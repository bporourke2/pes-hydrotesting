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borourke\Downloads\"/>
    </mc:Choice>
  </mc:AlternateContent>
  <xr:revisionPtr revIDLastSave="0" documentId="8_{2A8ECDE5-75E7-4F81-92AD-962CFDB0A6DC}" xr6:coauthVersionLast="47" xr6:coauthVersionMax="47" xr10:uidLastSave="{00000000-0000-0000-0000-000000000000}"/>
  <bookViews>
    <workbookView xWindow="-28920" yWindow="-120" windowWidth="29040" windowHeight="15720" tabRatio="861" xr2:uid="{00000000-000D-0000-FFFF-FFFF00000000}"/>
  </bookViews>
  <sheets>
    <sheet name="TS" sheetId="19" r:id="rId1"/>
    <sheet name="Inputs" sheetId="23" r:id="rId2"/>
    <sheet name="Pressure Profile" sheetId="38" r:id="rId3"/>
    <sheet name="Gen Calcs" sheetId="30" state="hidden" r:id="rId4"/>
    <sheet name="Air calcs" sheetId="46" state="hidden" r:id="rId5"/>
    <sheet name="1&amp;2 Instructions" sheetId="44" state="hidden" r:id="rId6"/>
    <sheet name="Line FIll" sheetId="47" r:id="rId7"/>
    <sheet name="Dewater" sheetId="31" state="hidden" r:id="rId8"/>
  </sheets>
  <definedNames>
    <definedName name="_xlnm._FilterDatabase" localSheetId="0" hidden="1">TS!$A$1:$AD$1391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9" l="1"/>
  <c r="G4" i="19"/>
  <c r="G5" i="19"/>
  <c r="G6" i="19"/>
  <c r="G7" i="19"/>
  <c r="G8" i="19"/>
  <c r="G9" i="19"/>
  <c r="G10" i="19"/>
  <c r="G11" i="19"/>
  <c r="G12" i="19"/>
  <c r="G13" i="19"/>
  <c r="G14" i="19"/>
  <c r="G15" i="19"/>
  <c r="G16" i="19"/>
  <c r="G17" i="19"/>
  <c r="G18" i="19"/>
  <c r="G19" i="19"/>
  <c r="G20" i="19"/>
  <c r="G21" i="19"/>
  <c r="G22" i="19"/>
  <c r="G23" i="19"/>
  <c r="G24" i="19"/>
  <c r="G25" i="19"/>
  <c r="G26" i="19"/>
  <c r="G27" i="19"/>
  <c r="G28" i="19"/>
  <c r="G29" i="19"/>
  <c r="G30" i="19"/>
  <c r="G31" i="19"/>
  <c r="G32" i="19"/>
  <c r="G33" i="19"/>
  <c r="G34" i="19"/>
  <c r="G35" i="19"/>
  <c r="G36" i="19"/>
  <c r="G37" i="19"/>
  <c r="G38" i="19"/>
  <c r="G39" i="19"/>
  <c r="G40" i="19"/>
  <c r="G41" i="19"/>
  <c r="G42" i="19"/>
  <c r="G43" i="19"/>
  <c r="G44" i="19"/>
  <c r="G45" i="19"/>
  <c r="G46" i="19"/>
  <c r="G47" i="19"/>
  <c r="G48" i="19"/>
  <c r="G49" i="19"/>
  <c r="G50" i="19"/>
  <c r="G51" i="19"/>
  <c r="G52" i="19"/>
  <c r="G53" i="19"/>
  <c r="G54" i="19"/>
  <c r="G55" i="19"/>
  <c r="G56" i="19"/>
  <c r="G57" i="19"/>
  <c r="G58" i="19"/>
  <c r="G59" i="19"/>
  <c r="G60" i="19"/>
  <c r="G61" i="19"/>
  <c r="G62" i="19"/>
  <c r="G63" i="19"/>
  <c r="G64" i="19"/>
  <c r="G65" i="19"/>
  <c r="G66" i="19"/>
  <c r="G67" i="19"/>
  <c r="G68" i="19"/>
  <c r="G69" i="19"/>
  <c r="G70" i="19"/>
  <c r="G71" i="19"/>
  <c r="G72" i="19"/>
  <c r="G73" i="19"/>
  <c r="G74" i="19"/>
  <c r="G75" i="19"/>
  <c r="G76" i="19"/>
  <c r="G77" i="19"/>
  <c r="G78" i="19"/>
  <c r="G79" i="19"/>
  <c r="G80" i="19"/>
  <c r="G81" i="19"/>
  <c r="G82" i="19"/>
  <c r="G83" i="19"/>
  <c r="G84" i="19"/>
  <c r="G85" i="19"/>
  <c r="G86" i="19"/>
  <c r="G87" i="19"/>
  <c r="G88" i="19"/>
  <c r="G89" i="19"/>
  <c r="G90" i="19"/>
  <c r="G91" i="19"/>
  <c r="G92" i="19"/>
  <c r="G93" i="19"/>
  <c r="G94" i="19"/>
  <c r="G95" i="19"/>
  <c r="G96" i="19"/>
  <c r="G97" i="19"/>
  <c r="G98" i="19"/>
  <c r="G99" i="19"/>
  <c r="G100" i="19"/>
  <c r="G101" i="19"/>
  <c r="G102" i="19"/>
  <c r="G103" i="19"/>
  <c r="G104" i="19"/>
  <c r="G105" i="19"/>
  <c r="G106" i="19"/>
  <c r="G107" i="19"/>
  <c r="G108" i="19"/>
  <c r="G109" i="19"/>
  <c r="G110" i="19"/>
  <c r="G111" i="19"/>
  <c r="G112" i="19"/>
  <c r="G113" i="19"/>
  <c r="G114" i="19"/>
  <c r="G115" i="19"/>
  <c r="G116" i="19"/>
  <c r="G117" i="19"/>
  <c r="G118" i="19"/>
  <c r="G119" i="19"/>
  <c r="G120" i="19"/>
  <c r="G121" i="19"/>
  <c r="G122" i="19"/>
  <c r="G123" i="19"/>
  <c r="G124" i="19"/>
  <c r="G125" i="19"/>
  <c r="G126" i="19"/>
  <c r="G127" i="19"/>
  <c r="G128" i="19"/>
  <c r="G129" i="19"/>
  <c r="G130" i="19"/>
  <c r="G131" i="19"/>
  <c r="G132" i="19"/>
  <c r="G133" i="19"/>
  <c r="G134" i="19"/>
  <c r="G135" i="19"/>
  <c r="G136" i="19"/>
  <c r="G137" i="19"/>
  <c r="G138" i="19"/>
  <c r="G139" i="19"/>
  <c r="G140" i="19"/>
  <c r="G141" i="19"/>
  <c r="G142" i="19"/>
  <c r="G143" i="19"/>
  <c r="G144" i="19"/>
  <c r="G145" i="19"/>
  <c r="G146" i="19"/>
  <c r="G147" i="19"/>
  <c r="G148" i="19"/>
  <c r="G149" i="19"/>
  <c r="G150" i="19"/>
  <c r="G151" i="19"/>
  <c r="G152" i="19"/>
  <c r="G153" i="19"/>
  <c r="G154" i="19"/>
  <c r="G155" i="19"/>
  <c r="G156" i="19"/>
  <c r="G157" i="19"/>
  <c r="G158" i="19"/>
  <c r="G159" i="19"/>
  <c r="G160" i="19"/>
  <c r="G161" i="19"/>
  <c r="G162" i="19"/>
  <c r="G163" i="19"/>
  <c r="G164" i="19"/>
  <c r="G165" i="19"/>
  <c r="G166" i="19"/>
  <c r="G167" i="19"/>
  <c r="G168" i="19"/>
  <c r="G169" i="19"/>
  <c r="G170" i="19"/>
  <c r="G171" i="19"/>
  <c r="G172" i="19"/>
  <c r="G173" i="19"/>
  <c r="G174" i="19"/>
  <c r="G175" i="19"/>
  <c r="G176" i="19"/>
  <c r="G177" i="19"/>
  <c r="G178" i="19"/>
  <c r="G179" i="19"/>
  <c r="G180" i="19"/>
  <c r="G181" i="19"/>
  <c r="G182" i="19"/>
  <c r="G183" i="19"/>
  <c r="G184" i="19"/>
  <c r="G185" i="19"/>
  <c r="G186" i="19"/>
  <c r="G187" i="19"/>
  <c r="G188" i="19"/>
  <c r="G189" i="19"/>
  <c r="G190" i="19"/>
  <c r="G191" i="19"/>
  <c r="G192" i="19"/>
  <c r="G193" i="19"/>
  <c r="G194" i="19"/>
  <c r="G195" i="19"/>
  <c r="G196" i="19"/>
  <c r="G197" i="19"/>
  <c r="G198" i="19"/>
  <c r="G199" i="19"/>
  <c r="G200" i="19"/>
  <c r="G201" i="19"/>
  <c r="G202" i="19"/>
  <c r="G203" i="19"/>
  <c r="G204" i="19"/>
  <c r="G205" i="19"/>
  <c r="G206" i="19"/>
  <c r="G207" i="19"/>
  <c r="G208" i="19"/>
  <c r="G209" i="19"/>
  <c r="G210" i="19"/>
  <c r="G211" i="19"/>
  <c r="G212" i="19"/>
  <c r="G213" i="19"/>
  <c r="G214" i="19"/>
  <c r="G215" i="19"/>
  <c r="G216" i="19"/>
  <c r="G217" i="19"/>
  <c r="G218" i="19"/>
  <c r="G219" i="19"/>
  <c r="G220" i="19"/>
  <c r="G221" i="19"/>
  <c r="G222" i="19"/>
  <c r="G223" i="19"/>
  <c r="G224" i="19"/>
  <c r="G225" i="19"/>
  <c r="G226" i="19"/>
  <c r="G227" i="19"/>
  <c r="G228" i="19"/>
  <c r="G229" i="19"/>
  <c r="G230" i="19"/>
  <c r="G231" i="19"/>
  <c r="G232" i="19"/>
  <c r="G233" i="19"/>
  <c r="G234" i="19"/>
  <c r="G235" i="19"/>
  <c r="G236" i="19"/>
  <c r="G237" i="19"/>
  <c r="G238" i="19"/>
  <c r="G239" i="19"/>
  <c r="G240" i="19"/>
  <c r="G241" i="19"/>
  <c r="G242" i="19"/>
  <c r="G243" i="19"/>
  <c r="G244" i="19"/>
  <c r="G245" i="19"/>
  <c r="G246" i="19"/>
  <c r="G247" i="19"/>
  <c r="G248" i="19"/>
  <c r="G249" i="19"/>
  <c r="G250" i="19"/>
  <c r="G251" i="19"/>
  <c r="G252" i="19"/>
  <c r="G253" i="19"/>
  <c r="G254" i="19"/>
  <c r="G255" i="19"/>
  <c r="G256" i="19"/>
  <c r="G257" i="19"/>
  <c r="G258" i="19"/>
  <c r="G259" i="19"/>
  <c r="G260" i="19"/>
  <c r="G261" i="19"/>
  <c r="G262" i="19"/>
  <c r="G263" i="19"/>
  <c r="G264" i="19"/>
  <c r="G265" i="19"/>
  <c r="G266" i="19"/>
  <c r="G267" i="19"/>
  <c r="G268" i="19"/>
  <c r="G269" i="19"/>
  <c r="G270" i="19"/>
  <c r="G271" i="19"/>
  <c r="G272" i="19"/>
  <c r="G273" i="19"/>
  <c r="G274" i="19"/>
  <c r="G275" i="19"/>
  <c r="G276" i="19"/>
  <c r="G277" i="19"/>
  <c r="G278" i="19"/>
  <c r="G279" i="19"/>
  <c r="G280" i="19"/>
  <c r="G281" i="19"/>
  <c r="G282" i="19"/>
  <c r="G283" i="19"/>
  <c r="G284" i="19"/>
  <c r="G285" i="19"/>
  <c r="G286" i="19"/>
  <c r="G287" i="19"/>
  <c r="G288" i="19"/>
  <c r="G289" i="19"/>
  <c r="G290" i="19"/>
  <c r="G291" i="19"/>
  <c r="G292" i="19"/>
  <c r="G293" i="19"/>
  <c r="G294" i="19"/>
  <c r="G295" i="19"/>
  <c r="G296" i="19"/>
  <c r="G297" i="19"/>
  <c r="G298" i="19"/>
  <c r="G299" i="19"/>
  <c r="G300" i="19"/>
  <c r="G301" i="19"/>
  <c r="G302" i="19"/>
  <c r="G303" i="19"/>
  <c r="G304" i="19"/>
  <c r="G305" i="19"/>
  <c r="G306" i="19"/>
  <c r="G307" i="19"/>
  <c r="G308" i="19"/>
  <c r="G309" i="19"/>
  <c r="G310" i="19"/>
  <c r="G311" i="19"/>
  <c r="G312" i="19"/>
  <c r="G313" i="19"/>
  <c r="G314" i="19"/>
  <c r="G315" i="19"/>
  <c r="G316" i="19"/>
  <c r="G317" i="19"/>
  <c r="G318" i="19"/>
  <c r="G319" i="19"/>
  <c r="G320" i="19"/>
  <c r="G321" i="19"/>
  <c r="G322" i="19"/>
  <c r="G323" i="19"/>
  <c r="G324" i="19"/>
  <c r="G325" i="19"/>
  <c r="G326" i="19"/>
  <c r="G327" i="19"/>
  <c r="G328" i="19"/>
  <c r="G329" i="19"/>
  <c r="G330" i="19"/>
  <c r="G331" i="19"/>
  <c r="G332" i="19"/>
  <c r="G333" i="19"/>
  <c r="G334" i="19"/>
  <c r="G335" i="19"/>
  <c r="G336" i="19"/>
  <c r="G337" i="19"/>
  <c r="G338" i="19"/>
  <c r="G339" i="19"/>
  <c r="G340" i="19"/>
  <c r="G341" i="19"/>
  <c r="G342" i="19"/>
  <c r="G343" i="19"/>
  <c r="G344" i="19"/>
  <c r="G345" i="19"/>
  <c r="G346" i="19"/>
  <c r="G347" i="19"/>
  <c r="G348" i="19"/>
  <c r="G349" i="19"/>
  <c r="G350" i="19"/>
  <c r="G351" i="19"/>
  <c r="G352" i="19"/>
  <c r="G353" i="19"/>
  <c r="G354" i="19"/>
  <c r="G355" i="19"/>
  <c r="G356" i="19"/>
  <c r="G357" i="19"/>
  <c r="G358" i="19"/>
  <c r="G359" i="19"/>
  <c r="G360" i="19"/>
  <c r="G361" i="19"/>
  <c r="G362" i="19"/>
  <c r="G363" i="19"/>
  <c r="G364" i="19"/>
  <c r="G365" i="19"/>
  <c r="G366" i="19"/>
  <c r="G367" i="19"/>
  <c r="G368" i="19"/>
  <c r="G369" i="19"/>
  <c r="G370" i="19"/>
  <c r="G371" i="19"/>
  <c r="G372" i="19"/>
  <c r="G373" i="19"/>
  <c r="G374" i="19"/>
  <c r="G375" i="19"/>
  <c r="G376" i="19"/>
  <c r="G377" i="19"/>
  <c r="G378" i="19"/>
  <c r="G379" i="19"/>
  <c r="J379" i="19" s="1"/>
  <c r="G380" i="19"/>
  <c r="G381" i="19"/>
  <c r="G382" i="19"/>
  <c r="G383" i="19"/>
  <c r="G384" i="19"/>
  <c r="J384" i="19" s="1"/>
  <c r="G385" i="19"/>
  <c r="J385" i="19" s="1"/>
  <c r="G386" i="19"/>
  <c r="G387" i="19"/>
  <c r="G388" i="19"/>
  <c r="G389" i="19"/>
  <c r="G390" i="19"/>
  <c r="G391" i="19"/>
  <c r="G392" i="19"/>
  <c r="G393" i="19"/>
  <c r="G394" i="19"/>
  <c r="G395" i="19"/>
  <c r="G396" i="19"/>
  <c r="J396" i="19" s="1"/>
  <c r="G397" i="19"/>
  <c r="J397" i="19" s="1"/>
  <c r="G398" i="19"/>
  <c r="G399" i="19"/>
  <c r="G400" i="19"/>
  <c r="G401" i="19"/>
  <c r="G402" i="19"/>
  <c r="J402" i="19" s="1"/>
  <c r="G403" i="19"/>
  <c r="G404" i="19"/>
  <c r="G405" i="19"/>
  <c r="G406" i="19"/>
  <c r="G407" i="19"/>
  <c r="G408" i="19"/>
  <c r="J408" i="19" s="1"/>
  <c r="G409" i="19"/>
  <c r="J409" i="19" s="1"/>
  <c r="G410" i="19"/>
  <c r="G411" i="19"/>
  <c r="G412" i="19"/>
  <c r="G413" i="19"/>
  <c r="G414" i="19"/>
  <c r="G415" i="19"/>
  <c r="G416" i="19"/>
  <c r="G417" i="19"/>
  <c r="G418" i="19"/>
  <c r="G419" i="19"/>
  <c r="G420" i="19"/>
  <c r="J420" i="19" s="1"/>
  <c r="G421" i="19"/>
  <c r="G422" i="19"/>
  <c r="G423" i="19"/>
  <c r="G424" i="19"/>
  <c r="G425" i="19"/>
  <c r="G426" i="19"/>
  <c r="G427" i="19"/>
  <c r="G428" i="19"/>
  <c r="G429" i="19"/>
  <c r="G430" i="19"/>
  <c r="G431" i="19"/>
  <c r="G432" i="19"/>
  <c r="J432" i="19" s="1"/>
  <c r="G433" i="19"/>
  <c r="J433" i="19" s="1"/>
  <c r="G434" i="19"/>
  <c r="G435" i="19"/>
  <c r="G436" i="19"/>
  <c r="G437" i="19"/>
  <c r="G438" i="19"/>
  <c r="G439" i="19"/>
  <c r="J439" i="19" s="1"/>
  <c r="G440" i="19"/>
  <c r="G441" i="19"/>
  <c r="G442" i="19"/>
  <c r="G443" i="19"/>
  <c r="G444" i="19"/>
  <c r="J444" i="19" s="1"/>
  <c r="G445" i="19"/>
  <c r="J445" i="19" s="1"/>
  <c r="G446" i="19"/>
  <c r="G447" i="19"/>
  <c r="G448" i="19"/>
  <c r="G449" i="19"/>
  <c r="G450" i="19"/>
  <c r="G451" i="19"/>
  <c r="G452" i="19"/>
  <c r="G453" i="19"/>
  <c r="G454" i="19"/>
  <c r="G455" i="19"/>
  <c r="G456" i="19"/>
  <c r="J456" i="19" s="1"/>
  <c r="G457" i="19"/>
  <c r="J457" i="19" s="1"/>
  <c r="G458" i="19"/>
  <c r="G459" i="19"/>
  <c r="G460" i="19"/>
  <c r="G461" i="19"/>
  <c r="G462" i="19"/>
  <c r="G463" i="19"/>
  <c r="G464" i="19"/>
  <c r="G465" i="19"/>
  <c r="G466" i="19"/>
  <c r="G467" i="19"/>
  <c r="G468" i="19"/>
  <c r="J468" i="19" s="1"/>
  <c r="G469" i="19"/>
  <c r="J469" i="19" s="1"/>
  <c r="G470" i="19"/>
  <c r="G471" i="19"/>
  <c r="G472" i="19"/>
  <c r="G473" i="19"/>
  <c r="G474" i="19"/>
  <c r="G475" i="19"/>
  <c r="G476" i="19"/>
  <c r="G477" i="19"/>
  <c r="G478" i="19"/>
  <c r="G479" i="19"/>
  <c r="G480" i="19"/>
  <c r="J480" i="19" s="1"/>
  <c r="G481" i="19"/>
  <c r="J481" i="19" s="1"/>
  <c r="G482" i="19"/>
  <c r="G483" i="19"/>
  <c r="G484" i="19"/>
  <c r="G485" i="19"/>
  <c r="G486" i="19"/>
  <c r="G487" i="19"/>
  <c r="G488" i="19"/>
  <c r="G489" i="19"/>
  <c r="G490" i="19"/>
  <c r="G491" i="19"/>
  <c r="G492" i="19"/>
  <c r="J492" i="19" s="1"/>
  <c r="G493" i="19"/>
  <c r="J493" i="19" s="1"/>
  <c r="G494" i="19"/>
  <c r="G495" i="19"/>
  <c r="G496" i="19"/>
  <c r="G497" i="19"/>
  <c r="G498" i="19"/>
  <c r="G499" i="19"/>
  <c r="J499" i="19" s="1"/>
  <c r="G500" i="19"/>
  <c r="G501" i="19"/>
  <c r="G502" i="19"/>
  <c r="G503" i="19"/>
  <c r="G504" i="19"/>
  <c r="J504" i="19" s="1"/>
  <c r="G505" i="19"/>
  <c r="J505" i="19" s="1"/>
  <c r="G506" i="19"/>
  <c r="J506" i="19" s="1"/>
  <c r="G507" i="19"/>
  <c r="G508" i="19"/>
  <c r="G509" i="19"/>
  <c r="G510" i="19"/>
  <c r="G511" i="19"/>
  <c r="J511" i="19" s="1"/>
  <c r="G512" i="19"/>
  <c r="G513" i="19"/>
  <c r="G514" i="19"/>
  <c r="G515" i="19"/>
  <c r="G516" i="19"/>
  <c r="J516" i="19" s="1"/>
  <c r="G517" i="19"/>
  <c r="J517" i="19" s="1"/>
  <c r="G518" i="19"/>
  <c r="G519" i="19"/>
  <c r="G520" i="19"/>
  <c r="G521" i="19"/>
  <c r="G522" i="19"/>
  <c r="G523" i="19"/>
  <c r="G524" i="19"/>
  <c r="G525" i="19"/>
  <c r="G526" i="19"/>
  <c r="G527" i="19"/>
  <c r="G528" i="19"/>
  <c r="J528" i="19" s="1"/>
  <c r="G529" i="19"/>
  <c r="J529" i="19" s="1"/>
  <c r="G530" i="19"/>
  <c r="G531" i="19"/>
  <c r="G532" i="19"/>
  <c r="G533" i="19"/>
  <c r="G534" i="19"/>
  <c r="G535" i="19"/>
  <c r="G536" i="19"/>
  <c r="G537" i="19"/>
  <c r="G538" i="19"/>
  <c r="G539" i="19"/>
  <c r="G540" i="19"/>
  <c r="J540" i="19" s="1"/>
  <c r="G541" i="19"/>
  <c r="G542" i="19"/>
  <c r="G543" i="19"/>
  <c r="G544" i="19"/>
  <c r="G545" i="19"/>
  <c r="G546" i="19"/>
  <c r="G547" i="19"/>
  <c r="G548" i="19"/>
  <c r="G549" i="19"/>
  <c r="G550" i="19"/>
  <c r="G551" i="19"/>
  <c r="G552" i="19"/>
  <c r="J552" i="19" s="1"/>
  <c r="G553" i="19"/>
  <c r="J553" i="19" s="1"/>
  <c r="G554" i="19"/>
  <c r="G555" i="19"/>
  <c r="G556" i="19"/>
  <c r="G557" i="19"/>
  <c r="G558" i="19"/>
  <c r="J558" i="19" s="1"/>
  <c r="G559" i="19"/>
  <c r="G560" i="19"/>
  <c r="G561" i="19"/>
  <c r="G562" i="19"/>
  <c r="G563" i="19"/>
  <c r="G564" i="19"/>
  <c r="J564" i="19" s="1"/>
  <c r="G565" i="19"/>
  <c r="J565" i="19" s="1"/>
  <c r="G566" i="19"/>
  <c r="G567" i="19"/>
  <c r="G568" i="19"/>
  <c r="G569" i="19"/>
  <c r="G570" i="19"/>
  <c r="G571" i="19"/>
  <c r="G572" i="19"/>
  <c r="G573" i="19"/>
  <c r="G574" i="19"/>
  <c r="G575" i="19"/>
  <c r="G576" i="19"/>
  <c r="G577" i="19"/>
  <c r="J577" i="19" s="1"/>
  <c r="G578" i="19"/>
  <c r="G579" i="19"/>
  <c r="G580" i="19"/>
  <c r="G581" i="19"/>
  <c r="G582" i="19"/>
  <c r="J582" i="19" s="1"/>
  <c r="G583" i="19"/>
  <c r="G584" i="19"/>
  <c r="G585" i="19"/>
  <c r="G586" i="19"/>
  <c r="G587" i="19"/>
  <c r="G588" i="19"/>
  <c r="G589" i="19"/>
  <c r="J589" i="19" s="1"/>
  <c r="G590" i="19"/>
  <c r="G591" i="19"/>
  <c r="G592" i="19"/>
  <c r="G593" i="19"/>
  <c r="G594" i="19"/>
  <c r="G595" i="19"/>
  <c r="G596" i="19"/>
  <c r="G597" i="19"/>
  <c r="G598" i="19"/>
  <c r="G599" i="19"/>
  <c r="G600" i="19"/>
  <c r="J600" i="19" s="1"/>
  <c r="G601" i="19"/>
  <c r="J601" i="19" s="1"/>
  <c r="G602" i="19"/>
  <c r="G603" i="19"/>
  <c r="G604" i="19"/>
  <c r="G605" i="19"/>
  <c r="G606" i="19"/>
  <c r="G607" i="19"/>
  <c r="G608" i="19"/>
  <c r="G609" i="19"/>
  <c r="G610" i="19"/>
  <c r="G611" i="19"/>
  <c r="G612" i="19"/>
  <c r="J612" i="19" s="1"/>
  <c r="G613" i="19"/>
  <c r="G614" i="19"/>
  <c r="G615" i="19"/>
  <c r="G616" i="19"/>
  <c r="G617" i="19"/>
  <c r="G618" i="19"/>
  <c r="G619" i="19"/>
  <c r="G620" i="19"/>
  <c r="G621" i="19"/>
  <c r="G622" i="19"/>
  <c r="G623" i="19"/>
  <c r="G624" i="19"/>
  <c r="J624" i="19" s="1"/>
  <c r="G625" i="19"/>
  <c r="J625" i="19" s="1"/>
  <c r="G626" i="19"/>
  <c r="G627" i="19"/>
  <c r="G628" i="19"/>
  <c r="G629" i="19"/>
  <c r="G630" i="19"/>
  <c r="G631" i="19"/>
  <c r="G632" i="19"/>
  <c r="G633" i="19"/>
  <c r="G634" i="19"/>
  <c r="G635" i="19"/>
  <c r="G636" i="19"/>
  <c r="J636" i="19" s="1"/>
  <c r="G637" i="19"/>
  <c r="J637" i="19" s="1"/>
  <c r="G638" i="19"/>
  <c r="G639" i="19"/>
  <c r="G640" i="19"/>
  <c r="G641" i="19"/>
  <c r="G642" i="19"/>
  <c r="G643" i="19"/>
  <c r="G644" i="19"/>
  <c r="G645" i="19"/>
  <c r="G646" i="19"/>
  <c r="G647" i="19"/>
  <c r="G648" i="19"/>
  <c r="J648" i="19" s="1"/>
  <c r="G649" i="19"/>
  <c r="J649" i="19" s="1"/>
  <c r="G650" i="19"/>
  <c r="J650" i="19" s="1"/>
  <c r="G651" i="19"/>
  <c r="G652" i="19"/>
  <c r="G653" i="19"/>
  <c r="G654" i="19"/>
  <c r="G655" i="19"/>
  <c r="G656" i="19"/>
  <c r="G657" i="19"/>
  <c r="G658" i="19"/>
  <c r="G659" i="19"/>
  <c r="G660" i="19"/>
  <c r="J660" i="19" s="1"/>
  <c r="G661" i="19"/>
  <c r="G662" i="19"/>
  <c r="G663" i="19"/>
  <c r="G664" i="19"/>
  <c r="G665" i="19"/>
  <c r="G666" i="19"/>
  <c r="G667" i="19"/>
  <c r="G668" i="19"/>
  <c r="G669" i="19"/>
  <c r="G670" i="19"/>
  <c r="G671" i="19"/>
  <c r="G672" i="19"/>
  <c r="J672" i="19" s="1"/>
  <c r="G673" i="19"/>
  <c r="J673" i="19" s="1"/>
  <c r="G674" i="19"/>
  <c r="G675" i="19"/>
  <c r="G676" i="19"/>
  <c r="G677" i="19"/>
  <c r="G678" i="19"/>
  <c r="G679" i="19"/>
  <c r="G680" i="19"/>
  <c r="G681" i="19"/>
  <c r="G682" i="19"/>
  <c r="G683" i="19"/>
  <c r="G684" i="19"/>
  <c r="J684" i="19" s="1"/>
  <c r="G685" i="19"/>
  <c r="J685" i="19" s="1"/>
  <c r="G686" i="19"/>
  <c r="G687" i="19"/>
  <c r="G688" i="19"/>
  <c r="G689" i="19"/>
  <c r="G690" i="19"/>
  <c r="J690" i="19" s="1"/>
  <c r="G691" i="19"/>
  <c r="G692" i="19"/>
  <c r="G693" i="19"/>
  <c r="G694" i="19"/>
  <c r="G695" i="19"/>
  <c r="G696" i="19"/>
  <c r="J696" i="19" s="1"/>
  <c r="G697" i="19"/>
  <c r="J697" i="19" s="1"/>
  <c r="G698" i="19"/>
  <c r="G699" i="19"/>
  <c r="G700" i="19"/>
  <c r="G701" i="19"/>
  <c r="G702" i="19"/>
  <c r="G703" i="19"/>
  <c r="G704" i="19"/>
  <c r="J704" i="19" s="1"/>
  <c r="G705" i="19"/>
  <c r="G706" i="19"/>
  <c r="G707" i="19"/>
  <c r="G708" i="19"/>
  <c r="J708" i="19" s="1"/>
  <c r="G709" i="19"/>
  <c r="J709" i="19" s="1"/>
  <c r="G710" i="19"/>
  <c r="G711" i="19"/>
  <c r="G712" i="19"/>
  <c r="G713" i="19"/>
  <c r="G714" i="19"/>
  <c r="J714" i="19" s="1"/>
  <c r="G715" i="19"/>
  <c r="G716" i="19"/>
  <c r="G717" i="19"/>
  <c r="G718" i="19"/>
  <c r="G719" i="19"/>
  <c r="G720" i="19"/>
  <c r="J720" i="19" s="1"/>
  <c r="G721" i="19"/>
  <c r="J721" i="19" s="1"/>
  <c r="G722" i="19"/>
  <c r="G723" i="19"/>
  <c r="G724" i="19"/>
  <c r="G725" i="19"/>
  <c r="G726" i="19"/>
  <c r="G727" i="19"/>
  <c r="G728" i="19"/>
  <c r="G729" i="19"/>
  <c r="G730" i="19"/>
  <c r="G731" i="19"/>
  <c r="G732" i="19"/>
  <c r="J732" i="19" s="1"/>
  <c r="G733" i="19"/>
  <c r="J733" i="19" s="1"/>
  <c r="G734" i="19"/>
  <c r="G735" i="19"/>
  <c r="G736" i="19"/>
  <c r="G737" i="19"/>
  <c r="G738" i="19"/>
  <c r="G739" i="19"/>
  <c r="G740" i="19"/>
  <c r="G741" i="19"/>
  <c r="G742" i="19"/>
  <c r="G743" i="19"/>
  <c r="G744" i="19"/>
  <c r="J744" i="19" s="1"/>
  <c r="G745" i="19"/>
  <c r="J745" i="19" s="1"/>
  <c r="G746" i="19"/>
  <c r="G747" i="19"/>
  <c r="G748" i="19"/>
  <c r="G749" i="19"/>
  <c r="G750" i="19"/>
  <c r="G751" i="19"/>
  <c r="G752" i="19"/>
  <c r="J752" i="19" s="1"/>
  <c r="G753" i="19"/>
  <c r="G754" i="19"/>
  <c r="G755" i="19"/>
  <c r="G756" i="19"/>
  <c r="J756" i="19" s="1"/>
  <c r="G757" i="19"/>
  <c r="J757" i="19" s="1"/>
  <c r="G758" i="19"/>
  <c r="G759" i="19"/>
  <c r="G760" i="19"/>
  <c r="G761" i="19"/>
  <c r="G762" i="19"/>
  <c r="G763" i="19"/>
  <c r="G764" i="19"/>
  <c r="G765" i="19"/>
  <c r="G766" i="19"/>
  <c r="G767" i="19"/>
  <c r="G768" i="19"/>
  <c r="J768" i="19" s="1"/>
  <c r="G769" i="19"/>
  <c r="J769" i="19" s="1"/>
  <c r="G770" i="19"/>
  <c r="G771" i="19"/>
  <c r="G772" i="19"/>
  <c r="G773" i="19"/>
  <c r="G774" i="19"/>
  <c r="G775" i="19"/>
  <c r="G776" i="19"/>
  <c r="J776" i="19" s="1"/>
  <c r="G777" i="19"/>
  <c r="G778" i="19"/>
  <c r="G779" i="19"/>
  <c r="G780" i="19"/>
  <c r="J780" i="19" s="1"/>
  <c r="G781" i="19"/>
  <c r="G782" i="19"/>
  <c r="G783" i="19"/>
  <c r="G784" i="19"/>
  <c r="G785" i="19"/>
  <c r="G786" i="19"/>
  <c r="J786" i="19" s="1"/>
  <c r="G787" i="19"/>
  <c r="G788" i="19"/>
  <c r="G789" i="19"/>
  <c r="G790" i="19"/>
  <c r="G791" i="19"/>
  <c r="G792" i="19"/>
  <c r="J792" i="19" s="1"/>
  <c r="G793" i="19"/>
  <c r="J793" i="19" s="1"/>
  <c r="G794" i="19"/>
  <c r="J794" i="19" s="1"/>
  <c r="G795" i="19"/>
  <c r="G796" i="19"/>
  <c r="G797" i="19"/>
  <c r="G798" i="19"/>
  <c r="G799" i="19"/>
  <c r="G800" i="19"/>
  <c r="G801" i="19"/>
  <c r="G802" i="19"/>
  <c r="G803" i="19"/>
  <c r="G804" i="19"/>
  <c r="G805" i="19"/>
  <c r="J805" i="19" s="1"/>
  <c r="G806" i="19"/>
  <c r="G807" i="19"/>
  <c r="G808" i="19"/>
  <c r="G809" i="19"/>
  <c r="G810" i="19"/>
  <c r="G811" i="19"/>
  <c r="G812" i="19"/>
  <c r="G813" i="19"/>
  <c r="G814" i="19"/>
  <c r="G815" i="19"/>
  <c r="G816" i="19"/>
  <c r="J816" i="19" s="1"/>
  <c r="G817" i="19"/>
  <c r="J817" i="19" s="1"/>
  <c r="G818" i="19"/>
  <c r="G819" i="19"/>
  <c r="G820" i="19"/>
  <c r="G821" i="19"/>
  <c r="G822" i="19"/>
  <c r="G823" i="19"/>
  <c r="G824" i="19"/>
  <c r="G825" i="19"/>
  <c r="G826" i="19"/>
  <c r="G827" i="19"/>
  <c r="G828" i="19"/>
  <c r="J828" i="19" s="1"/>
  <c r="G829" i="19"/>
  <c r="J829" i="19" s="1"/>
  <c r="G830" i="19"/>
  <c r="G831" i="19"/>
  <c r="G832" i="19"/>
  <c r="G833" i="19"/>
  <c r="G834" i="19"/>
  <c r="G835" i="19"/>
  <c r="J835" i="19" s="1"/>
  <c r="G836" i="19"/>
  <c r="G837" i="19"/>
  <c r="G838" i="19"/>
  <c r="G839" i="19"/>
  <c r="G840" i="19"/>
  <c r="J840" i="19" s="1"/>
  <c r="G841" i="19"/>
  <c r="J841" i="19" s="1"/>
  <c r="G842" i="19"/>
  <c r="G843" i="19"/>
  <c r="G844" i="19"/>
  <c r="G845" i="19"/>
  <c r="G846" i="19"/>
  <c r="G847" i="19"/>
  <c r="G848" i="19"/>
  <c r="G849" i="19"/>
  <c r="G850" i="19"/>
  <c r="G851" i="19"/>
  <c r="G852" i="19"/>
  <c r="G853" i="19"/>
  <c r="J853" i="19" s="1"/>
  <c r="G854" i="19"/>
  <c r="G855" i="19"/>
  <c r="G856" i="19"/>
  <c r="G857" i="19"/>
  <c r="G858" i="19"/>
  <c r="G859" i="19"/>
  <c r="G860" i="19"/>
  <c r="G861" i="19"/>
  <c r="G862" i="19"/>
  <c r="G863" i="19"/>
  <c r="G864" i="19"/>
  <c r="J864" i="19" s="1"/>
  <c r="G865" i="19"/>
  <c r="J865" i="19" s="1"/>
  <c r="G866" i="19"/>
  <c r="G867" i="19"/>
  <c r="G868" i="19"/>
  <c r="G869" i="19"/>
  <c r="G870" i="19"/>
  <c r="G871" i="19"/>
  <c r="G872" i="19"/>
  <c r="G873" i="19"/>
  <c r="G874" i="19"/>
  <c r="G875" i="19"/>
  <c r="G876" i="19"/>
  <c r="J876" i="19" s="1"/>
  <c r="G877" i="19"/>
  <c r="J877" i="19" s="1"/>
  <c r="G878" i="19"/>
  <c r="G879" i="19"/>
  <c r="G880" i="19"/>
  <c r="G881" i="19"/>
  <c r="G882" i="19"/>
  <c r="G883" i="19"/>
  <c r="G884" i="19"/>
  <c r="G885" i="19"/>
  <c r="G886" i="19"/>
  <c r="G887" i="19"/>
  <c r="G888" i="19"/>
  <c r="G889" i="19"/>
  <c r="J889" i="19" s="1"/>
  <c r="G890" i="19"/>
  <c r="G891" i="19"/>
  <c r="G892" i="19"/>
  <c r="G893" i="19"/>
  <c r="G894" i="19"/>
  <c r="G895" i="19"/>
  <c r="G896" i="19"/>
  <c r="G897" i="19"/>
  <c r="G898" i="19"/>
  <c r="G899" i="19"/>
  <c r="G900" i="19"/>
  <c r="J900" i="19" s="1"/>
  <c r="G901" i="19"/>
  <c r="J901" i="19" s="1"/>
  <c r="G902" i="19"/>
  <c r="G903" i="19"/>
  <c r="G904" i="19"/>
  <c r="G905" i="19"/>
  <c r="G906" i="19"/>
  <c r="G907" i="19"/>
  <c r="G908" i="19"/>
  <c r="J908" i="19" s="1"/>
  <c r="G909" i="19"/>
  <c r="G910" i="19"/>
  <c r="G911" i="19"/>
  <c r="G912" i="19"/>
  <c r="J912" i="19" s="1"/>
  <c r="G913" i="19"/>
  <c r="J913" i="19" s="1"/>
  <c r="G914" i="19"/>
  <c r="G915" i="19"/>
  <c r="G916" i="19"/>
  <c r="G917" i="19"/>
  <c r="G918" i="19"/>
  <c r="G919" i="19"/>
  <c r="G920" i="19"/>
  <c r="G921" i="19"/>
  <c r="G922" i="19"/>
  <c r="G923" i="19"/>
  <c r="G924" i="19"/>
  <c r="J924" i="19" s="1"/>
  <c r="G925" i="19"/>
  <c r="J925" i="19" s="1"/>
  <c r="G926" i="19"/>
  <c r="G927" i="19"/>
  <c r="G928" i="19"/>
  <c r="G929" i="19"/>
  <c r="G930" i="19"/>
  <c r="G931" i="19"/>
  <c r="G932" i="19"/>
  <c r="G933" i="19"/>
  <c r="G934" i="19"/>
  <c r="G935" i="19"/>
  <c r="G936" i="19"/>
  <c r="J936" i="19" s="1"/>
  <c r="G937" i="19"/>
  <c r="J937" i="19" s="1"/>
  <c r="G938" i="19"/>
  <c r="G939" i="19"/>
  <c r="G940" i="19"/>
  <c r="G941" i="19"/>
  <c r="G942" i="19"/>
  <c r="G943" i="19"/>
  <c r="G944" i="19"/>
  <c r="G945" i="19"/>
  <c r="G946" i="19"/>
  <c r="G947" i="19"/>
  <c r="G948" i="19"/>
  <c r="J948" i="19" s="1"/>
  <c r="G949" i="19"/>
  <c r="J949" i="19" s="1"/>
  <c r="G950" i="19"/>
  <c r="G951" i="19"/>
  <c r="G952" i="19"/>
  <c r="G953" i="19"/>
  <c r="G954" i="19"/>
  <c r="G955" i="19"/>
  <c r="G956" i="19"/>
  <c r="G957" i="19"/>
  <c r="G958" i="19"/>
  <c r="G959" i="19"/>
  <c r="G960" i="19"/>
  <c r="J960" i="19" s="1"/>
  <c r="G961" i="19"/>
  <c r="J961" i="19" s="1"/>
  <c r="G962" i="19"/>
  <c r="G963" i="19"/>
  <c r="G964" i="19"/>
  <c r="G965" i="19"/>
  <c r="G966" i="19"/>
  <c r="G967" i="19"/>
  <c r="G968" i="19"/>
  <c r="G969" i="19"/>
  <c r="G970" i="19"/>
  <c r="G971" i="19"/>
  <c r="G972" i="19"/>
  <c r="J972" i="19" s="1"/>
  <c r="G973" i="19"/>
  <c r="J973" i="19" s="1"/>
  <c r="G974" i="19"/>
  <c r="G975" i="19"/>
  <c r="G976" i="19"/>
  <c r="G977" i="19"/>
  <c r="G978" i="19"/>
  <c r="G979" i="19"/>
  <c r="G980" i="19"/>
  <c r="G981" i="19"/>
  <c r="G982" i="19"/>
  <c r="G983" i="19"/>
  <c r="G984" i="19"/>
  <c r="J984" i="19" s="1"/>
  <c r="G985" i="19"/>
  <c r="J985" i="19" s="1"/>
  <c r="G986" i="19"/>
  <c r="J986" i="19" s="1"/>
  <c r="G987" i="19"/>
  <c r="G988" i="19"/>
  <c r="G989" i="19"/>
  <c r="G990" i="19"/>
  <c r="G991" i="19"/>
  <c r="G992" i="19"/>
  <c r="G993" i="19"/>
  <c r="G994" i="19"/>
  <c r="G995" i="19"/>
  <c r="G996" i="19"/>
  <c r="J996" i="19" s="1"/>
  <c r="G997" i="19"/>
  <c r="J997" i="19" s="1"/>
  <c r="G998" i="19"/>
  <c r="G999" i="19"/>
  <c r="G1000" i="19"/>
  <c r="G1001" i="19"/>
  <c r="G1002" i="19"/>
  <c r="G1003" i="19"/>
  <c r="G1004" i="19"/>
  <c r="G1005" i="19"/>
  <c r="G1006" i="19"/>
  <c r="G1007" i="19"/>
  <c r="G1008" i="19"/>
  <c r="J1008" i="19" s="1"/>
  <c r="G1009" i="19"/>
  <c r="J1009" i="19" s="1"/>
  <c r="G1010" i="19"/>
  <c r="G1011" i="19"/>
  <c r="G1012" i="19"/>
  <c r="G1013" i="19"/>
  <c r="G1014" i="19"/>
  <c r="G1015" i="19"/>
  <c r="J1015" i="19" s="1"/>
  <c r="G1016" i="19"/>
  <c r="G1017" i="19"/>
  <c r="G1018" i="19"/>
  <c r="G1019" i="19"/>
  <c r="G1020" i="19"/>
  <c r="J1020" i="19" s="1"/>
  <c r="G1021" i="19"/>
  <c r="J1021" i="19" s="1"/>
  <c r="G1022" i="19"/>
  <c r="G1023" i="19"/>
  <c r="G1024" i="19"/>
  <c r="G1025" i="19"/>
  <c r="G1026" i="19"/>
  <c r="G1027" i="19"/>
  <c r="G1028" i="19"/>
  <c r="G1029" i="19"/>
  <c r="G1030" i="19"/>
  <c r="G1031" i="19"/>
  <c r="G1032" i="19"/>
  <c r="J1032" i="19" s="1"/>
  <c r="G1033" i="19"/>
  <c r="J1033" i="19" s="1"/>
  <c r="G1034" i="19"/>
  <c r="G1035" i="19"/>
  <c r="G1036" i="19"/>
  <c r="G1037" i="19"/>
  <c r="G1038" i="19"/>
  <c r="G1039" i="19"/>
  <c r="G1040" i="19"/>
  <c r="G1041" i="19"/>
  <c r="G1042" i="19"/>
  <c r="G1043" i="19"/>
  <c r="G1044" i="19"/>
  <c r="J1044" i="19" s="1"/>
  <c r="G1045" i="19"/>
  <c r="J1045" i="19" s="1"/>
  <c r="G1046" i="19"/>
  <c r="G1047" i="19"/>
  <c r="G1048" i="19"/>
  <c r="G1049" i="19"/>
  <c r="G1050" i="19"/>
  <c r="G1051" i="19"/>
  <c r="G1052" i="19"/>
  <c r="G1053" i="19"/>
  <c r="G1054" i="19"/>
  <c r="G1055" i="19"/>
  <c r="G1056" i="19"/>
  <c r="J1056" i="19" s="1"/>
  <c r="G1057" i="19"/>
  <c r="J1057" i="19" s="1"/>
  <c r="G1058" i="19"/>
  <c r="G1059" i="19"/>
  <c r="G1060" i="19"/>
  <c r="G1061" i="19"/>
  <c r="G1062" i="19"/>
  <c r="G1063" i="19"/>
  <c r="G1064" i="19"/>
  <c r="J1064" i="19" s="1"/>
  <c r="G1065" i="19"/>
  <c r="G1066" i="19"/>
  <c r="G1067" i="19"/>
  <c r="G1068" i="19"/>
  <c r="G1069" i="19"/>
  <c r="G1070" i="19"/>
  <c r="G1071" i="19"/>
  <c r="G1072" i="19"/>
  <c r="G1073" i="19"/>
  <c r="G1074" i="19"/>
  <c r="G1075" i="19"/>
  <c r="G1076" i="19"/>
  <c r="G1077" i="19"/>
  <c r="G1078" i="19"/>
  <c r="G1079" i="19"/>
  <c r="G1080" i="19"/>
  <c r="J1080" i="19" s="1"/>
  <c r="G1081" i="19"/>
  <c r="J1081" i="19" s="1"/>
  <c r="G1082" i="19"/>
  <c r="G1083" i="19"/>
  <c r="G1084" i="19"/>
  <c r="G1085" i="19"/>
  <c r="G1086" i="19"/>
  <c r="G1087" i="19"/>
  <c r="G1088" i="19"/>
  <c r="G1089" i="19"/>
  <c r="G1090" i="19"/>
  <c r="G1091" i="19"/>
  <c r="G1092" i="19"/>
  <c r="J1092" i="19" s="1"/>
  <c r="G1093" i="19"/>
  <c r="G1094" i="19"/>
  <c r="G1095" i="19"/>
  <c r="G1096" i="19"/>
  <c r="G1097" i="19"/>
  <c r="G1098" i="19"/>
  <c r="G1099" i="19"/>
  <c r="G1100" i="19"/>
  <c r="J1100" i="19" s="1"/>
  <c r="G1101" i="19"/>
  <c r="G1102" i="19"/>
  <c r="G1103" i="19"/>
  <c r="G1104" i="19"/>
  <c r="J1104" i="19" s="1"/>
  <c r="G1105" i="19"/>
  <c r="J1105" i="19" s="1"/>
  <c r="G1106" i="19"/>
  <c r="G1107" i="19"/>
  <c r="G1108" i="19"/>
  <c r="G1109" i="19"/>
  <c r="G1110" i="19"/>
  <c r="G1111" i="19"/>
  <c r="G1112" i="19"/>
  <c r="G1113" i="19"/>
  <c r="G1114" i="19"/>
  <c r="G1115" i="19"/>
  <c r="G1116" i="19"/>
  <c r="J1116" i="19" s="1"/>
  <c r="G1117" i="19"/>
  <c r="J1117" i="19" s="1"/>
  <c r="G1118" i="19"/>
  <c r="G1119" i="19"/>
  <c r="G1120" i="19"/>
  <c r="G1121" i="19"/>
  <c r="G1122" i="19"/>
  <c r="G1123" i="19"/>
  <c r="G1124" i="19"/>
  <c r="G1125" i="19"/>
  <c r="G1126" i="19"/>
  <c r="G1127" i="19"/>
  <c r="G1128" i="19"/>
  <c r="J1128" i="19" s="1"/>
  <c r="G1129" i="19"/>
  <c r="J1129" i="19" s="1"/>
  <c r="G1130" i="19"/>
  <c r="G1131" i="19"/>
  <c r="G1132" i="19"/>
  <c r="G1133" i="19"/>
  <c r="G1134" i="19"/>
  <c r="G1135" i="19"/>
  <c r="G1136" i="19"/>
  <c r="G1137" i="19"/>
  <c r="G1138" i="19"/>
  <c r="G1139" i="19"/>
  <c r="G1140" i="19"/>
  <c r="J1140" i="19" s="1"/>
  <c r="G1141" i="19"/>
  <c r="J1141" i="19" s="1"/>
  <c r="G1142" i="19"/>
  <c r="J1142" i="19" s="1"/>
  <c r="G1143" i="19"/>
  <c r="G1144" i="19"/>
  <c r="G1145" i="19"/>
  <c r="G1146" i="19"/>
  <c r="G1147" i="19"/>
  <c r="G1148" i="19"/>
  <c r="G1149" i="19"/>
  <c r="G1150" i="19"/>
  <c r="G1151" i="19"/>
  <c r="G1152" i="19"/>
  <c r="J1152" i="19" s="1"/>
  <c r="G1153" i="19"/>
  <c r="J1153" i="19" s="1"/>
  <c r="G1154" i="19"/>
  <c r="G1155" i="19"/>
  <c r="G1156" i="19"/>
  <c r="G1157" i="19"/>
  <c r="G1158" i="19"/>
  <c r="G1159" i="19"/>
  <c r="G1160" i="19"/>
  <c r="G1161" i="19"/>
  <c r="G1162" i="19"/>
  <c r="G1163" i="19"/>
  <c r="G1164" i="19"/>
  <c r="J1164" i="19" s="1"/>
  <c r="G1165" i="19"/>
  <c r="J1165" i="19" s="1"/>
  <c r="G1166" i="19"/>
  <c r="G1167" i="19"/>
  <c r="G1168" i="19"/>
  <c r="G1169" i="19"/>
  <c r="G1170" i="19"/>
  <c r="G1171" i="19"/>
  <c r="G1172" i="19"/>
  <c r="G1173" i="19"/>
  <c r="G1174" i="19"/>
  <c r="G1175" i="19"/>
  <c r="G1176" i="19"/>
  <c r="J1176" i="19" s="1"/>
  <c r="G1177" i="19"/>
  <c r="J1177" i="19" s="1"/>
  <c r="G1178" i="19"/>
  <c r="G1179" i="19"/>
  <c r="G1180" i="19"/>
  <c r="G1181" i="19"/>
  <c r="G1182" i="19"/>
  <c r="G1183" i="19"/>
  <c r="G1184" i="19"/>
  <c r="G1185" i="19"/>
  <c r="G1186" i="19"/>
  <c r="G1187" i="19"/>
  <c r="G1188" i="19"/>
  <c r="J1188" i="19" s="1"/>
  <c r="G1189" i="19"/>
  <c r="J1189" i="19" s="1"/>
  <c r="G1190" i="19"/>
  <c r="G1191" i="19"/>
  <c r="G1192" i="19"/>
  <c r="G1193" i="19"/>
  <c r="G1194" i="19"/>
  <c r="G1195" i="19"/>
  <c r="G1196" i="19"/>
  <c r="G1197" i="19"/>
  <c r="G1198" i="19"/>
  <c r="G1199" i="19"/>
  <c r="G1200" i="19"/>
  <c r="J1200" i="19" s="1"/>
  <c r="G1201" i="19"/>
  <c r="J1201" i="19" s="1"/>
  <c r="G1202" i="19"/>
  <c r="G1203" i="19"/>
  <c r="G1204" i="19"/>
  <c r="G1205" i="19"/>
  <c r="G1206" i="19"/>
  <c r="G1207" i="19"/>
  <c r="G1208" i="19"/>
  <c r="G1209" i="19"/>
  <c r="G1210" i="19"/>
  <c r="G1211" i="19"/>
  <c r="G1212" i="19"/>
  <c r="J1212" i="19" s="1"/>
  <c r="G1213" i="19"/>
  <c r="J1213" i="19" s="1"/>
  <c r="G1214" i="19"/>
  <c r="G1215" i="19"/>
  <c r="G1216" i="19"/>
  <c r="G1217" i="19"/>
  <c r="G1218" i="19"/>
  <c r="G1219" i="19"/>
  <c r="G1220" i="19"/>
  <c r="J1220" i="19" s="1"/>
  <c r="G1221" i="19"/>
  <c r="G1222" i="19"/>
  <c r="G1223" i="19"/>
  <c r="G1224" i="19"/>
  <c r="J1224" i="19" s="1"/>
  <c r="G1225" i="19"/>
  <c r="G1226" i="19"/>
  <c r="G1227" i="19"/>
  <c r="G1228" i="19"/>
  <c r="G1229" i="19"/>
  <c r="G1230" i="19"/>
  <c r="J1230" i="19" s="1"/>
  <c r="G1231" i="19"/>
  <c r="G1232" i="19"/>
  <c r="G1233" i="19"/>
  <c r="G1234" i="19"/>
  <c r="G1235" i="19"/>
  <c r="G1236" i="19"/>
  <c r="J1236" i="19" s="1"/>
  <c r="G1237" i="19"/>
  <c r="J1237" i="19" s="1"/>
  <c r="G1238" i="19"/>
  <c r="G1239" i="19"/>
  <c r="G1240" i="19"/>
  <c r="G1241" i="19"/>
  <c r="G1242" i="19"/>
  <c r="G1243" i="19"/>
  <c r="G1244" i="19"/>
  <c r="J1244" i="19" s="1"/>
  <c r="G1245" i="19"/>
  <c r="G1246" i="19"/>
  <c r="G1247" i="19"/>
  <c r="G1248" i="19"/>
  <c r="J1248" i="19" s="1"/>
  <c r="G1249" i="19"/>
  <c r="J1249" i="19" s="1"/>
  <c r="G1250" i="19"/>
  <c r="G1251" i="19"/>
  <c r="G1252" i="19"/>
  <c r="G1253" i="19"/>
  <c r="G1254" i="19"/>
  <c r="G1255" i="19"/>
  <c r="G1256" i="19"/>
  <c r="G1257" i="19"/>
  <c r="G1258" i="19"/>
  <c r="G1259" i="19"/>
  <c r="G1260" i="19"/>
  <c r="G1261" i="19"/>
  <c r="J1261" i="19" s="1"/>
  <c r="G1262" i="19"/>
  <c r="G1263" i="19"/>
  <c r="G1264" i="19"/>
  <c r="G1265" i="19"/>
  <c r="G1266" i="19"/>
  <c r="G1267" i="19"/>
  <c r="G1268" i="19"/>
  <c r="J1268" i="19" s="1"/>
  <c r="G1269" i="19"/>
  <c r="G1270" i="19"/>
  <c r="G1271" i="19"/>
  <c r="G1272" i="19"/>
  <c r="J1272" i="19" s="1"/>
  <c r="G1273" i="19"/>
  <c r="J1273" i="19" s="1"/>
  <c r="G1274" i="19"/>
  <c r="G1275" i="19"/>
  <c r="G1276" i="19"/>
  <c r="G1277" i="19"/>
  <c r="G1278" i="19"/>
  <c r="G1279" i="19"/>
  <c r="J1279" i="19" s="1"/>
  <c r="G1280" i="19"/>
  <c r="G1281" i="19"/>
  <c r="G1282" i="19"/>
  <c r="G1283" i="19"/>
  <c r="G1284" i="19"/>
  <c r="G1285" i="19"/>
  <c r="J1285" i="19" s="1"/>
  <c r="G1286" i="19"/>
  <c r="G1287" i="19"/>
  <c r="G1288" i="19"/>
  <c r="G1289" i="19"/>
  <c r="G1290" i="19"/>
  <c r="G1291" i="19"/>
  <c r="G1292" i="19"/>
  <c r="J1292" i="19" s="1"/>
  <c r="G1293" i="19"/>
  <c r="G1294" i="19"/>
  <c r="G1295" i="19"/>
  <c r="G1296" i="19"/>
  <c r="J1296" i="19" s="1"/>
  <c r="G1297" i="19"/>
  <c r="J1297" i="19" s="1"/>
  <c r="G1298" i="19"/>
  <c r="G1299" i="19"/>
  <c r="G1300" i="19"/>
  <c r="G1301" i="19"/>
  <c r="G1302" i="19"/>
  <c r="G1303" i="19"/>
  <c r="G1304" i="19"/>
  <c r="J1304" i="19" s="1"/>
  <c r="G1305" i="19"/>
  <c r="G1306" i="19"/>
  <c r="G1307" i="19"/>
  <c r="G1308" i="19"/>
  <c r="J1308" i="19" s="1"/>
  <c r="G1309" i="19"/>
  <c r="J1309" i="19" s="1"/>
  <c r="G1310" i="19"/>
  <c r="J1310" i="19" s="1"/>
  <c r="G1311" i="19"/>
  <c r="G1312" i="19"/>
  <c r="G1313" i="19"/>
  <c r="G1314" i="19"/>
  <c r="G1315" i="19"/>
  <c r="G1316" i="19"/>
  <c r="G1317" i="19"/>
  <c r="G1318" i="19"/>
  <c r="G1319" i="19"/>
  <c r="G1320" i="19"/>
  <c r="G1321" i="19"/>
  <c r="J1321" i="19" s="1"/>
  <c r="G1322" i="19"/>
  <c r="G1323" i="19"/>
  <c r="G1324" i="19"/>
  <c r="G1325" i="19"/>
  <c r="G1326" i="19"/>
  <c r="G1327" i="19"/>
  <c r="G1328" i="19"/>
  <c r="J1328" i="19" s="1"/>
  <c r="G1329" i="19"/>
  <c r="G1330" i="19"/>
  <c r="G1331" i="19"/>
  <c r="G1332" i="19"/>
  <c r="J1332" i="19" s="1"/>
  <c r="G1333" i="19"/>
  <c r="G1334" i="19"/>
  <c r="G1335" i="19"/>
  <c r="G1336" i="19"/>
  <c r="G1337" i="19"/>
  <c r="G1338" i="19"/>
  <c r="G1339" i="19"/>
  <c r="G1340" i="19"/>
  <c r="G1341" i="19"/>
  <c r="G1342" i="19"/>
  <c r="G1343" i="19"/>
  <c r="J1343" i="19" s="1"/>
  <c r="G1344" i="19"/>
  <c r="J1344" i="19" s="1"/>
  <c r="G1345" i="19"/>
  <c r="J1345" i="19" s="1"/>
  <c r="G1346" i="19"/>
  <c r="G1347" i="19"/>
  <c r="G1348" i="19"/>
  <c r="G1349" i="19"/>
  <c r="G1350" i="19"/>
  <c r="G1351" i="19"/>
  <c r="G1352" i="19"/>
  <c r="J1352" i="19" s="1"/>
  <c r="G1353" i="19"/>
  <c r="G1354" i="19"/>
  <c r="G1355" i="19"/>
  <c r="G1356" i="19"/>
  <c r="G1357" i="19"/>
  <c r="J1357" i="19" s="1"/>
  <c r="G1358" i="19"/>
  <c r="G1359" i="19"/>
  <c r="G1360" i="19"/>
  <c r="G1361" i="19"/>
  <c r="G1362" i="19"/>
  <c r="G1363" i="19"/>
  <c r="G1364" i="19"/>
  <c r="G1365" i="19"/>
  <c r="G1366" i="19"/>
  <c r="G1367" i="19"/>
  <c r="G1368" i="19"/>
  <c r="J1368" i="19" s="1"/>
  <c r="G1369" i="19"/>
  <c r="J1369" i="19" s="1"/>
  <c r="G1370" i="19"/>
  <c r="G1371" i="19"/>
  <c r="G1372" i="19"/>
  <c r="G1373" i="19"/>
  <c r="G1374" i="19"/>
  <c r="G1375" i="19"/>
  <c r="G1376" i="19"/>
  <c r="G1377" i="19"/>
  <c r="G1378" i="19"/>
  <c r="G1379" i="19"/>
  <c r="G1380" i="19"/>
  <c r="J1380" i="19" s="1"/>
  <c r="G1381" i="19"/>
  <c r="J1381" i="19" s="1"/>
  <c r="G1382" i="19"/>
  <c r="G1383" i="19"/>
  <c r="G1384" i="19"/>
  <c r="G1385" i="19"/>
  <c r="G1386" i="19"/>
  <c r="G1387" i="19"/>
  <c r="G1388" i="19"/>
  <c r="G1389" i="19"/>
  <c r="G1390" i="19"/>
  <c r="G1391" i="19"/>
  <c r="G2" i="19"/>
  <c r="B3" i="23"/>
  <c r="J374" i="19"/>
  <c r="J386" i="19"/>
  <c r="J398" i="19"/>
  <c r="J410" i="19"/>
  <c r="J434" i="19"/>
  <c r="J446" i="19"/>
  <c r="J470" i="19"/>
  <c r="J494" i="19"/>
  <c r="J518" i="19"/>
  <c r="J530" i="19"/>
  <c r="J542" i="19"/>
  <c r="J554" i="19"/>
  <c r="J566" i="19"/>
  <c r="J578" i="19"/>
  <c r="J590" i="19"/>
  <c r="J602" i="19"/>
  <c r="J614" i="19"/>
  <c r="J626" i="19"/>
  <c r="J638" i="19"/>
  <c r="J662" i="19"/>
  <c r="J674" i="19"/>
  <c r="J686" i="19"/>
  <c r="J698" i="19"/>
  <c r="J710" i="19"/>
  <c r="J722" i="19"/>
  <c r="J734" i="19"/>
  <c r="J746" i="19"/>
  <c r="J758" i="19"/>
  <c r="J770" i="19"/>
  <c r="J782" i="19"/>
  <c r="J806" i="19"/>
  <c r="J830" i="19"/>
  <c r="J854" i="19"/>
  <c r="J866" i="19"/>
  <c r="J890" i="19"/>
  <c r="J902" i="19"/>
  <c r="J914" i="19"/>
  <c r="J926" i="19"/>
  <c r="J950" i="19"/>
  <c r="J962" i="19"/>
  <c r="J974" i="19"/>
  <c r="J998" i="19"/>
  <c r="J1010" i="19"/>
  <c r="J1022" i="19"/>
  <c r="J1034" i="19"/>
  <c r="J1046" i="19"/>
  <c r="J1058" i="19"/>
  <c r="J1070" i="19"/>
  <c r="J1082" i="19"/>
  <c r="J1094" i="19"/>
  <c r="J1106" i="19"/>
  <c r="J1130" i="19"/>
  <c r="J1154" i="19"/>
  <c r="J1166" i="19"/>
  <c r="J1178" i="19"/>
  <c r="J1202" i="19"/>
  <c r="J1214" i="19"/>
  <c r="J1226" i="19"/>
  <c r="J1238" i="19"/>
  <c r="J1250" i="19"/>
  <c r="J1274" i="19"/>
  <c r="J1286" i="19"/>
  <c r="J1298" i="19"/>
  <c r="J1322" i="19"/>
  <c r="J1334" i="19"/>
  <c r="J1346" i="19"/>
  <c r="J1358" i="19"/>
  <c r="J1370" i="19"/>
  <c r="J1382" i="19"/>
  <c r="AA2" i="19"/>
  <c r="AA3" i="19"/>
  <c r="AA4" i="19"/>
  <c r="AA5" i="19"/>
  <c r="AA6" i="19"/>
  <c r="AA7" i="19"/>
  <c r="AA8" i="19"/>
  <c r="AA9" i="19"/>
  <c r="AA10" i="19"/>
  <c r="AA11" i="19"/>
  <c r="AA12" i="19"/>
  <c r="AA13" i="19"/>
  <c r="AA14" i="19"/>
  <c r="AA15" i="19"/>
  <c r="AA16" i="19"/>
  <c r="AA17" i="19"/>
  <c r="AA18" i="19"/>
  <c r="AA19" i="19"/>
  <c r="AA20" i="19"/>
  <c r="AA21" i="19"/>
  <c r="AA22" i="19"/>
  <c r="AA23" i="19"/>
  <c r="AA24" i="19"/>
  <c r="AA25" i="19"/>
  <c r="AA26" i="19"/>
  <c r="AA27" i="19"/>
  <c r="AA28" i="19"/>
  <c r="AA29" i="19"/>
  <c r="AA30" i="19"/>
  <c r="AA31" i="19"/>
  <c r="AA32" i="19"/>
  <c r="AA33" i="19"/>
  <c r="AA34" i="19"/>
  <c r="AA35" i="19"/>
  <c r="AA36" i="19"/>
  <c r="AA37" i="19"/>
  <c r="AA38" i="19"/>
  <c r="AA39" i="19"/>
  <c r="AA40" i="19"/>
  <c r="AA41" i="19"/>
  <c r="AA42" i="19"/>
  <c r="AA43" i="19"/>
  <c r="AA44" i="19"/>
  <c r="AA45" i="19"/>
  <c r="AA46" i="19"/>
  <c r="AA47" i="19"/>
  <c r="AA48" i="19"/>
  <c r="AA49" i="19"/>
  <c r="AA50" i="19"/>
  <c r="AA51" i="19"/>
  <c r="AA52" i="19"/>
  <c r="AA53" i="19"/>
  <c r="AA54" i="19"/>
  <c r="AA55" i="19"/>
  <c r="AA56" i="19"/>
  <c r="AA57" i="19"/>
  <c r="AA58" i="19"/>
  <c r="AA59" i="19"/>
  <c r="AA60" i="19"/>
  <c r="AA61" i="19"/>
  <c r="AA62" i="19"/>
  <c r="AA63" i="19"/>
  <c r="AA64" i="19"/>
  <c r="AA65" i="19"/>
  <c r="AA66" i="19"/>
  <c r="AA67" i="19"/>
  <c r="AA68" i="19"/>
  <c r="AA69" i="19"/>
  <c r="AA70" i="19"/>
  <c r="AA71" i="19"/>
  <c r="AA72" i="19"/>
  <c r="AA73" i="19"/>
  <c r="AA74" i="19"/>
  <c r="AA75" i="19"/>
  <c r="AA76" i="19"/>
  <c r="AA77" i="19"/>
  <c r="AA78" i="19"/>
  <c r="AA79" i="19"/>
  <c r="AA80" i="19"/>
  <c r="AA81" i="19"/>
  <c r="AA82" i="19"/>
  <c r="AA83" i="19"/>
  <c r="AA84" i="19"/>
  <c r="AA85" i="19"/>
  <c r="AA86" i="19"/>
  <c r="AA87" i="19"/>
  <c r="AA88" i="19"/>
  <c r="AA89" i="19"/>
  <c r="AA90" i="19"/>
  <c r="AA91" i="19"/>
  <c r="AA92" i="19"/>
  <c r="AA93" i="19"/>
  <c r="AA94" i="19"/>
  <c r="AA95" i="19"/>
  <c r="AA96" i="19"/>
  <c r="AA97" i="19"/>
  <c r="AA98" i="19"/>
  <c r="AA99" i="19"/>
  <c r="AA100" i="19"/>
  <c r="AA101" i="19"/>
  <c r="AA102" i="19"/>
  <c r="AA103" i="19"/>
  <c r="AA104" i="19"/>
  <c r="AA105" i="19"/>
  <c r="AA106" i="19"/>
  <c r="AA107" i="19"/>
  <c r="AA108" i="19"/>
  <c r="AA109" i="19"/>
  <c r="AA110" i="19"/>
  <c r="AA111" i="19"/>
  <c r="AA112" i="19"/>
  <c r="AA113" i="19"/>
  <c r="AA114" i="19"/>
  <c r="AA115" i="19"/>
  <c r="AA116" i="19"/>
  <c r="AA117" i="19"/>
  <c r="AA118" i="19"/>
  <c r="AA119" i="19"/>
  <c r="AA120" i="19"/>
  <c r="AA121" i="19"/>
  <c r="AA122" i="19"/>
  <c r="AA123" i="19"/>
  <c r="AA124" i="19"/>
  <c r="AA125" i="19"/>
  <c r="AA126" i="19"/>
  <c r="AA127" i="19"/>
  <c r="AA128" i="19"/>
  <c r="AA129" i="19"/>
  <c r="AA130" i="19"/>
  <c r="AA131" i="19"/>
  <c r="AA132" i="19"/>
  <c r="AA133" i="19"/>
  <c r="AA134" i="19"/>
  <c r="AA135" i="19"/>
  <c r="AA136" i="19"/>
  <c r="AA137" i="19"/>
  <c r="AA138" i="19"/>
  <c r="AA139" i="19"/>
  <c r="AA140" i="19"/>
  <c r="AA141" i="19"/>
  <c r="AA142" i="19"/>
  <c r="AA143" i="19"/>
  <c r="AA144" i="19"/>
  <c r="AA145" i="19"/>
  <c r="AA146" i="19"/>
  <c r="AA147" i="19"/>
  <c r="AA148" i="19"/>
  <c r="AA149" i="19"/>
  <c r="AA150" i="19"/>
  <c r="AA151" i="19"/>
  <c r="AA152" i="19"/>
  <c r="AA153" i="19"/>
  <c r="AA154" i="19"/>
  <c r="AA155" i="19"/>
  <c r="AA156" i="19"/>
  <c r="AA157" i="19"/>
  <c r="AA158" i="19"/>
  <c r="AA159" i="19"/>
  <c r="AA160" i="19"/>
  <c r="AA161" i="19"/>
  <c r="AA162" i="19"/>
  <c r="AA163" i="19"/>
  <c r="AA164" i="19"/>
  <c r="AA165" i="19"/>
  <c r="AA166" i="19"/>
  <c r="AA167" i="19"/>
  <c r="AA168" i="19"/>
  <c r="AA169" i="19"/>
  <c r="AA170" i="19"/>
  <c r="AA171" i="19"/>
  <c r="AA172" i="19"/>
  <c r="AA173" i="19"/>
  <c r="AA174" i="19"/>
  <c r="AA175" i="19"/>
  <c r="AA176" i="19"/>
  <c r="AA177" i="19"/>
  <c r="AA178" i="19"/>
  <c r="AA179" i="19"/>
  <c r="AA180" i="19"/>
  <c r="AA181" i="19"/>
  <c r="AA182" i="19"/>
  <c r="AA183" i="19"/>
  <c r="AA184" i="19"/>
  <c r="AA185" i="19"/>
  <c r="AA186" i="19"/>
  <c r="AA187" i="19"/>
  <c r="AA188" i="19"/>
  <c r="AA189" i="19"/>
  <c r="AA190" i="19"/>
  <c r="AA191" i="19"/>
  <c r="AA192" i="19"/>
  <c r="AA193" i="19"/>
  <c r="AA194" i="19"/>
  <c r="AA195" i="19"/>
  <c r="AA196" i="19"/>
  <c r="AA197" i="19"/>
  <c r="AA198" i="19"/>
  <c r="AA199" i="19"/>
  <c r="AA200" i="19"/>
  <c r="AA201" i="19"/>
  <c r="AA202" i="19"/>
  <c r="AA203" i="19"/>
  <c r="AA204" i="19"/>
  <c r="AA205" i="19"/>
  <c r="AA206" i="19"/>
  <c r="AA207" i="19"/>
  <c r="AA208" i="19"/>
  <c r="AA209" i="19"/>
  <c r="AA210" i="19"/>
  <c r="AA211" i="19"/>
  <c r="AA212" i="19"/>
  <c r="AA213" i="19"/>
  <c r="AA214" i="19"/>
  <c r="AA215" i="19"/>
  <c r="AA216" i="19"/>
  <c r="AA217" i="19"/>
  <c r="AA218" i="19"/>
  <c r="AA219" i="19"/>
  <c r="AA220" i="19"/>
  <c r="AA221" i="19"/>
  <c r="AA222" i="19"/>
  <c r="AA223" i="19"/>
  <c r="AA224" i="19"/>
  <c r="AA225" i="19"/>
  <c r="AA226" i="19"/>
  <c r="AA227" i="19"/>
  <c r="AA228" i="19"/>
  <c r="AA229" i="19"/>
  <c r="AA230" i="19"/>
  <c r="AA231" i="19"/>
  <c r="AA232" i="19"/>
  <c r="AA233" i="19"/>
  <c r="AA234" i="19"/>
  <c r="AA235" i="19"/>
  <c r="AA236" i="19"/>
  <c r="AA237" i="19"/>
  <c r="AA238" i="19"/>
  <c r="AA239" i="19"/>
  <c r="AA240" i="19"/>
  <c r="AA241" i="19"/>
  <c r="AA242" i="19"/>
  <c r="AA243" i="19"/>
  <c r="AA244" i="19"/>
  <c r="AA245" i="19"/>
  <c r="AA246" i="19"/>
  <c r="AA247" i="19"/>
  <c r="AA248" i="19"/>
  <c r="AA249" i="19"/>
  <c r="AA250" i="19"/>
  <c r="AA251" i="19"/>
  <c r="AA252" i="19"/>
  <c r="AA253" i="19"/>
  <c r="AA254" i="19"/>
  <c r="AA255" i="19"/>
  <c r="AA256" i="19"/>
  <c r="AA257" i="19"/>
  <c r="AA258" i="19"/>
  <c r="AA259" i="19"/>
  <c r="AA260" i="19"/>
  <c r="AA261" i="19"/>
  <c r="AA262" i="19"/>
  <c r="AA263" i="19"/>
  <c r="AA264" i="19"/>
  <c r="AA265" i="19"/>
  <c r="AA266" i="19"/>
  <c r="AA267" i="19"/>
  <c r="AA268" i="19"/>
  <c r="AA269" i="19"/>
  <c r="AA270" i="19"/>
  <c r="AA271" i="19"/>
  <c r="AA272" i="19"/>
  <c r="AA273" i="19"/>
  <c r="AA274" i="19"/>
  <c r="AA275" i="19"/>
  <c r="AA276" i="19"/>
  <c r="AA277" i="19"/>
  <c r="AA278" i="19"/>
  <c r="AA279" i="19"/>
  <c r="AA280" i="19"/>
  <c r="AA281" i="19"/>
  <c r="AA282" i="19"/>
  <c r="AA283" i="19"/>
  <c r="AA284" i="19"/>
  <c r="AA285" i="19"/>
  <c r="AA286" i="19"/>
  <c r="AA287" i="19"/>
  <c r="AA288" i="19"/>
  <c r="AA289" i="19"/>
  <c r="AA290" i="19"/>
  <c r="AA291" i="19"/>
  <c r="AA292" i="19"/>
  <c r="AA293" i="19"/>
  <c r="AA294" i="19"/>
  <c r="AA295" i="19"/>
  <c r="AA296" i="19"/>
  <c r="AA297" i="19"/>
  <c r="AA298" i="19"/>
  <c r="AA299" i="19"/>
  <c r="AA300" i="19"/>
  <c r="AA301" i="19"/>
  <c r="AA302" i="19"/>
  <c r="AA303" i="19"/>
  <c r="AA304" i="19"/>
  <c r="AA305" i="19"/>
  <c r="AA306" i="19"/>
  <c r="AA307" i="19"/>
  <c r="AA308" i="19"/>
  <c r="AA309" i="19"/>
  <c r="AA310" i="19"/>
  <c r="AA311" i="19"/>
  <c r="AA312" i="19"/>
  <c r="AA313" i="19"/>
  <c r="AA314" i="19"/>
  <c r="AA315" i="19"/>
  <c r="AA316" i="19"/>
  <c r="AA317" i="19"/>
  <c r="AA318" i="19"/>
  <c r="AA319" i="19"/>
  <c r="AA320" i="19"/>
  <c r="AA321" i="19"/>
  <c r="AA322" i="19"/>
  <c r="AA323" i="19"/>
  <c r="AA324" i="19"/>
  <c r="AA325" i="19"/>
  <c r="AA326" i="19"/>
  <c r="AA327" i="19"/>
  <c r="AA328" i="19"/>
  <c r="AA329" i="19"/>
  <c r="AA330" i="19"/>
  <c r="AA331" i="19"/>
  <c r="AA332" i="19"/>
  <c r="AA333" i="19"/>
  <c r="AA334" i="19"/>
  <c r="AA335" i="19"/>
  <c r="AA336" i="19"/>
  <c r="AA337" i="19"/>
  <c r="AA338" i="19"/>
  <c r="AA339" i="19"/>
  <c r="AA340" i="19"/>
  <c r="AA341" i="19"/>
  <c r="AA342" i="19"/>
  <c r="AA343" i="19"/>
  <c r="AA344" i="19"/>
  <c r="AA345" i="19"/>
  <c r="AA346" i="19"/>
  <c r="AA347" i="19"/>
  <c r="AA348" i="19"/>
  <c r="AA349" i="19"/>
  <c r="AA350" i="19"/>
  <c r="AA351" i="19"/>
  <c r="AA352" i="19"/>
  <c r="AA353" i="19"/>
  <c r="AA354" i="19"/>
  <c r="AA355" i="19"/>
  <c r="AA356" i="19"/>
  <c r="AA357" i="19"/>
  <c r="AA358" i="19"/>
  <c r="AA359" i="19"/>
  <c r="AA360" i="19"/>
  <c r="AA361" i="19"/>
  <c r="AA362" i="19"/>
  <c r="AA363" i="19"/>
  <c r="AA364" i="19"/>
  <c r="AA365" i="19"/>
  <c r="AA366" i="19"/>
  <c r="AA367" i="19"/>
  <c r="AA368" i="19"/>
  <c r="AA369" i="19"/>
  <c r="AA370" i="19"/>
  <c r="AA371" i="19"/>
  <c r="AA372" i="19"/>
  <c r="AA373" i="19"/>
  <c r="AA374" i="19"/>
  <c r="AA375" i="19"/>
  <c r="AB375" i="19" s="1"/>
  <c r="AA376" i="19"/>
  <c r="AB376" i="19" s="1"/>
  <c r="AA377" i="19"/>
  <c r="AA378" i="19"/>
  <c r="AA379" i="19"/>
  <c r="AB379" i="19" s="1"/>
  <c r="AA380" i="19"/>
  <c r="AB380" i="19" s="1"/>
  <c r="AA381" i="19"/>
  <c r="AA382" i="19"/>
  <c r="AB382" i="19" s="1"/>
  <c r="AA383" i="19"/>
  <c r="AB383" i="19" s="1"/>
  <c r="AA384" i="19"/>
  <c r="AB384" i="19" s="1"/>
  <c r="AA385" i="19"/>
  <c r="AA386" i="19"/>
  <c r="AA387" i="19"/>
  <c r="AB387" i="19" s="1"/>
  <c r="AA388" i="19"/>
  <c r="AB388" i="19" s="1"/>
  <c r="AA389" i="19"/>
  <c r="AA390" i="19"/>
  <c r="AB390" i="19" s="1"/>
  <c r="AA391" i="19"/>
  <c r="AA392" i="19"/>
  <c r="AB392" i="19" s="1"/>
  <c r="AA393" i="19"/>
  <c r="AB393" i="19" s="1"/>
  <c r="AA394" i="19"/>
  <c r="AB394" i="19" s="1"/>
  <c r="AA395" i="19"/>
  <c r="AB395" i="19" s="1"/>
  <c r="AA396" i="19"/>
  <c r="AB396" i="19" s="1"/>
  <c r="AA397" i="19"/>
  <c r="AA398" i="19"/>
  <c r="AB398" i="19" s="1"/>
  <c r="AA399" i="19"/>
  <c r="AB399" i="19" s="1"/>
  <c r="AA400" i="19"/>
  <c r="AB400" i="19" s="1"/>
  <c r="AA401" i="19"/>
  <c r="AA402" i="19"/>
  <c r="AA403" i="19"/>
  <c r="AB403" i="19" s="1"/>
  <c r="AA404" i="19"/>
  <c r="AA405" i="19"/>
  <c r="AA406" i="19"/>
  <c r="AB406" i="19" s="1"/>
  <c r="AA407" i="19"/>
  <c r="AB407" i="19" s="1"/>
  <c r="AA408" i="19"/>
  <c r="AB408" i="19" s="1"/>
  <c r="AA409" i="19"/>
  <c r="AA410" i="19"/>
  <c r="AA411" i="19"/>
  <c r="AB411" i="19" s="1"/>
  <c r="AA412" i="19"/>
  <c r="AB412" i="19" s="1"/>
  <c r="AA413" i="19"/>
  <c r="AB413" i="19" s="1"/>
  <c r="AA414" i="19"/>
  <c r="AA415" i="19"/>
  <c r="AA416" i="19"/>
  <c r="AB416" i="19" s="1"/>
  <c r="AA417" i="19"/>
  <c r="AB417" i="19" s="1"/>
  <c r="AA418" i="19"/>
  <c r="AA419" i="19"/>
  <c r="AB419" i="19" s="1"/>
  <c r="AA420" i="19"/>
  <c r="AB420" i="19" s="1"/>
  <c r="AA421" i="19"/>
  <c r="AB421" i="19" s="1"/>
  <c r="AA422" i="19"/>
  <c r="AA423" i="19"/>
  <c r="AB423" i="19" s="1"/>
  <c r="AA424" i="19"/>
  <c r="AB424" i="19" s="1"/>
  <c r="AA425" i="19"/>
  <c r="AA426" i="19"/>
  <c r="AB426" i="19" s="1"/>
  <c r="AA427" i="19"/>
  <c r="AA428" i="19"/>
  <c r="AB428" i="19" s="1"/>
  <c r="AA429" i="19"/>
  <c r="AB429" i="19" s="1"/>
  <c r="AA430" i="19"/>
  <c r="AB430" i="19" s="1"/>
  <c r="AA431" i="19"/>
  <c r="AB431" i="19" s="1"/>
  <c r="AA432" i="19"/>
  <c r="AB432" i="19" s="1"/>
  <c r="AA433" i="19"/>
  <c r="AB433" i="19" s="1"/>
  <c r="AA434" i="19"/>
  <c r="AA435" i="19"/>
  <c r="AB435" i="19" s="1"/>
  <c r="AA436" i="19"/>
  <c r="AB436" i="19" s="1"/>
  <c r="AA437" i="19"/>
  <c r="AA438" i="19"/>
  <c r="AA439" i="19"/>
  <c r="AA440" i="19"/>
  <c r="AB440" i="19" s="1"/>
  <c r="AA441" i="19"/>
  <c r="AB441" i="19" s="1"/>
  <c r="AA442" i="19"/>
  <c r="AA443" i="19"/>
  <c r="AB443" i="19" s="1"/>
  <c r="AA444" i="19"/>
  <c r="AB444" i="19" s="1"/>
  <c r="AA445" i="19"/>
  <c r="AA446" i="19"/>
  <c r="AA447" i="19"/>
  <c r="AB447" i="19" s="1"/>
  <c r="AA448" i="19"/>
  <c r="AB448" i="19" s="1"/>
  <c r="AA449" i="19"/>
  <c r="AA450" i="19"/>
  <c r="AB450" i="19" s="1"/>
  <c r="AA451" i="19"/>
  <c r="AB451" i="19" s="1"/>
  <c r="AA452" i="19"/>
  <c r="AB452" i="19" s="1"/>
  <c r="AA453" i="19"/>
  <c r="AB453" i="19" s="1"/>
  <c r="AA454" i="19"/>
  <c r="AB454" i="19" s="1"/>
  <c r="AA455" i="19"/>
  <c r="AB455" i="19" s="1"/>
  <c r="AA456" i="19"/>
  <c r="AB456" i="19" s="1"/>
  <c r="AA457" i="19"/>
  <c r="AA458" i="19"/>
  <c r="AA459" i="19"/>
  <c r="AB459" i="19" s="1"/>
  <c r="AA460" i="19"/>
  <c r="AB460" i="19" s="1"/>
  <c r="AA461" i="19"/>
  <c r="AA462" i="19"/>
  <c r="AA463" i="19"/>
  <c r="AB463" i="19" s="1"/>
  <c r="AA464" i="19"/>
  <c r="AB464" i="19" s="1"/>
  <c r="AA465" i="19"/>
  <c r="AA466" i="19"/>
  <c r="AB466" i="19" s="1"/>
  <c r="AA467" i="19"/>
  <c r="AB467" i="19" s="1"/>
  <c r="AA468" i="19"/>
  <c r="AB468" i="19" s="1"/>
  <c r="AA469" i="19"/>
  <c r="AA470" i="19"/>
  <c r="AB470" i="19" s="1"/>
  <c r="AA471" i="19"/>
  <c r="AB471" i="19" s="1"/>
  <c r="AA472" i="19"/>
  <c r="AB472" i="19" s="1"/>
  <c r="AA473" i="19"/>
  <c r="AB473" i="19" s="1"/>
  <c r="AA474" i="19"/>
  <c r="AA475" i="19"/>
  <c r="AA476" i="19"/>
  <c r="AB476" i="19" s="1"/>
  <c r="AA477" i="19"/>
  <c r="AB477" i="19" s="1"/>
  <c r="AA478" i="19"/>
  <c r="AB478" i="19" s="1"/>
  <c r="AA479" i="19"/>
  <c r="AB479" i="19" s="1"/>
  <c r="AA480" i="19"/>
  <c r="AB480" i="19" s="1"/>
  <c r="AA481" i="19"/>
  <c r="AB481" i="19" s="1"/>
  <c r="AA482" i="19"/>
  <c r="AA483" i="19"/>
  <c r="AB483" i="19" s="1"/>
  <c r="AA484" i="19"/>
  <c r="AB484" i="19" s="1"/>
  <c r="AA485" i="19"/>
  <c r="AB485" i="19" s="1"/>
  <c r="AA486" i="19"/>
  <c r="AB486" i="19" s="1"/>
  <c r="AA487" i="19"/>
  <c r="AA488" i="19"/>
  <c r="AB488" i="19" s="1"/>
  <c r="AA489" i="19"/>
  <c r="AB489" i="19" s="1"/>
  <c r="AA490" i="19"/>
  <c r="AB490" i="19" s="1"/>
  <c r="AA491" i="19"/>
  <c r="AB491" i="19" s="1"/>
  <c r="AA492" i="19"/>
  <c r="AB492" i="19" s="1"/>
  <c r="AA493" i="19"/>
  <c r="AB493" i="19" s="1"/>
  <c r="AA494" i="19"/>
  <c r="AA495" i="19"/>
  <c r="AB495" i="19" s="1"/>
  <c r="AA496" i="19"/>
  <c r="AA497" i="19"/>
  <c r="AA498" i="19"/>
  <c r="AA499" i="19"/>
  <c r="AB499" i="19" s="1"/>
  <c r="AA500" i="19"/>
  <c r="AB500" i="19" s="1"/>
  <c r="AA501" i="19"/>
  <c r="AA502" i="19"/>
  <c r="AB502" i="19" s="1"/>
  <c r="AA503" i="19"/>
  <c r="AB503" i="19" s="1"/>
  <c r="AA504" i="19"/>
  <c r="AB504" i="19" s="1"/>
  <c r="AA505" i="19"/>
  <c r="AA506" i="19"/>
  <c r="AA507" i="19"/>
  <c r="AB507" i="19" s="1"/>
  <c r="AA508" i="19"/>
  <c r="AA509" i="19"/>
  <c r="AA510" i="19"/>
  <c r="AA511" i="19"/>
  <c r="AA512" i="19"/>
  <c r="AB512" i="19" s="1"/>
  <c r="AA513" i="19"/>
  <c r="AB513" i="19" s="1"/>
  <c r="AA514" i="19"/>
  <c r="AB514" i="19" s="1"/>
  <c r="AA515" i="19"/>
  <c r="AB515" i="19" s="1"/>
  <c r="AA516" i="19"/>
  <c r="AB516" i="19" s="1"/>
  <c r="AA517" i="19"/>
  <c r="AA518" i="19"/>
  <c r="AA519" i="19"/>
  <c r="AB519" i="19" s="1"/>
  <c r="AA520" i="19"/>
  <c r="AB520" i="19" s="1"/>
  <c r="AA521" i="19"/>
  <c r="AA522" i="19"/>
  <c r="AB522" i="19" s="1"/>
  <c r="AA523" i="19"/>
  <c r="AB523" i="19" s="1"/>
  <c r="AA524" i="19"/>
  <c r="AB524" i="19" s="1"/>
  <c r="AA525" i="19"/>
  <c r="AA526" i="19"/>
  <c r="AB526" i="19" s="1"/>
  <c r="AA527" i="19"/>
  <c r="AB527" i="19" s="1"/>
  <c r="AA528" i="19"/>
  <c r="AB528" i="19" s="1"/>
  <c r="AA529" i="19"/>
  <c r="AA530" i="19"/>
  <c r="AA531" i="19"/>
  <c r="AB531" i="19" s="1"/>
  <c r="AA532" i="19"/>
  <c r="AA533" i="19"/>
  <c r="AB533" i="19" s="1"/>
  <c r="AA534" i="19"/>
  <c r="AA535" i="19"/>
  <c r="AB535" i="19" s="1"/>
  <c r="AA536" i="19"/>
  <c r="AB536" i="19" s="1"/>
  <c r="AA537" i="19"/>
  <c r="AA538" i="19"/>
  <c r="AB538" i="19" s="1"/>
  <c r="AA539" i="19"/>
  <c r="AB539" i="19" s="1"/>
  <c r="AA540" i="19"/>
  <c r="AB540" i="19" s="1"/>
  <c r="AA541" i="19"/>
  <c r="AA542" i="19"/>
  <c r="AA543" i="19"/>
  <c r="AB543" i="19" s="1"/>
  <c r="AA544" i="19"/>
  <c r="AB544" i="19" s="1"/>
  <c r="AA545" i="19"/>
  <c r="AB545" i="19" s="1"/>
  <c r="AA546" i="19"/>
  <c r="AB546" i="19" s="1"/>
  <c r="AA547" i="19"/>
  <c r="AB547" i="19" s="1"/>
  <c r="AA548" i="19"/>
  <c r="AB548" i="19" s="1"/>
  <c r="AA549" i="19"/>
  <c r="AB549" i="19" s="1"/>
  <c r="AA550" i="19"/>
  <c r="AB550" i="19" s="1"/>
  <c r="AA551" i="19"/>
  <c r="AB551" i="19" s="1"/>
  <c r="AA552" i="19"/>
  <c r="AB552" i="19" s="1"/>
  <c r="AA553" i="19"/>
  <c r="AA554" i="19"/>
  <c r="AA555" i="19"/>
  <c r="AB555" i="19" s="1"/>
  <c r="AA556" i="19"/>
  <c r="AA557" i="19"/>
  <c r="AB557" i="19" s="1"/>
  <c r="AA558" i="19"/>
  <c r="AA559" i="19"/>
  <c r="AA560" i="19"/>
  <c r="AB560" i="19" s="1"/>
  <c r="AA561" i="19"/>
  <c r="AB561" i="19" s="1"/>
  <c r="AA562" i="19"/>
  <c r="AB562" i="19" s="1"/>
  <c r="AA563" i="19"/>
  <c r="AB563" i="19" s="1"/>
  <c r="AA564" i="19"/>
  <c r="AB564" i="19" s="1"/>
  <c r="AA565" i="19"/>
  <c r="AA566" i="19"/>
  <c r="AA567" i="19"/>
  <c r="AB567" i="19" s="1"/>
  <c r="AA568" i="19"/>
  <c r="AB568" i="19" s="1"/>
  <c r="AA569" i="19"/>
  <c r="AA570" i="19"/>
  <c r="AA571" i="19"/>
  <c r="AB571" i="19" s="1"/>
  <c r="AA572" i="19"/>
  <c r="AB572" i="19" s="1"/>
  <c r="AA573" i="19"/>
  <c r="AA574" i="19"/>
  <c r="AB574" i="19" s="1"/>
  <c r="AA575" i="19"/>
  <c r="AB575" i="19" s="1"/>
  <c r="AA576" i="19"/>
  <c r="AB576" i="19" s="1"/>
  <c r="AA577" i="19"/>
  <c r="AA578" i="19"/>
  <c r="AA579" i="19"/>
  <c r="AB579" i="19" s="1"/>
  <c r="AA580" i="19"/>
  <c r="AB580" i="19" s="1"/>
  <c r="AA581" i="19"/>
  <c r="AA582" i="19"/>
  <c r="AA583" i="19"/>
  <c r="AA584" i="19"/>
  <c r="AB584" i="19" s="1"/>
  <c r="AA585" i="19"/>
  <c r="AB585" i="19" s="1"/>
  <c r="AA586" i="19"/>
  <c r="AB586" i="19" s="1"/>
  <c r="AA587" i="19"/>
  <c r="AA588" i="19"/>
  <c r="AB588" i="19" s="1"/>
  <c r="AA589" i="19"/>
  <c r="AA590" i="19"/>
  <c r="AA591" i="19"/>
  <c r="AB591" i="19" s="1"/>
  <c r="AA592" i="19"/>
  <c r="AB592" i="19" s="1"/>
  <c r="AA593" i="19"/>
  <c r="AA594" i="19"/>
  <c r="AA595" i="19"/>
  <c r="AB595" i="19" s="1"/>
  <c r="AA596" i="19"/>
  <c r="AB596" i="19" s="1"/>
  <c r="AA597" i="19"/>
  <c r="AA598" i="19"/>
  <c r="AB598" i="19" s="1"/>
  <c r="AA599" i="19"/>
  <c r="AB599" i="19" s="1"/>
  <c r="AA600" i="19"/>
  <c r="AB600" i="19" s="1"/>
  <c r="AA601" i="19"/>
  <c r="AA602" i="19"/>
  <c r="AA603" i="19"/>
  <c r="AB603" i="19" s="1"/>
  <c r="AA604" i="19"/>
  <c r="AB604" i="19" s="1"/>
  <c r="AA605" i="19"/>
  <c r="AA606" i="19"/>
  <c r="AA607" i="19"/>
  <c r="AA608" i="19"/>
  <c r="AB608" i="19" s="1"/>
  <c r="AA609" i="19"/>
  <c r="AA610" i="19"/>
  <c r="AB610" i="19" s="1"/>
  <c r="AA611" i="19"/>
  <c r="AB611" i="19" s="1"/>
  <c r="AA612" i="19"/>
  <c r="AB612" i="19" s="1"/>
  <c r="AA613" i="19"/>
  <c r="AA614" i="19"/>
  <c r="AA615" i="19"/>
  <c r="AB615" i="19" s="1"/>
  <c r="AA616" i="19"/>
  <c r="AB616" i="19" s="1"/>
  <c r="AA617" i="19"/>
  <c r="AA618" i="19"/>
  <c r="AB618" i="19" s="1"/>
  <c r="AA619" i="19"/>
  <c r="AA620" i="19"/>
  <c r="AB620" i="19" s="1"/>
  <c r="AA621" i="19"/>
  <c r="AB621" i="19" s="1"/>
  <c r="AA622" i="19"/>
  <c r="AB622" i="19" s="1"/>
  <c r="AA623" i="19"/>
  <c r="AB623" i="19" s="1"/>
  <c r="AA624" i="19"/>
  <c r="AB624" i="19" s="1"/>
  <c r="AA625" i="19"/>
  <c r="AA626" i="19"/>
  <c r="AA627" i="19"/>
  <c r="AB627" i="19" s="1"/>
  <c r="AA628" i="19"/>
  <c r="AA629" i="19"/>
  <c r="AB629" i="19" s="1"/>
  <c r="AA630" i="19"/>
  <c r="AA631" i="19"/>
  <c r="AB631" i="19" s="1"/>
  <c r="AA632" i="19"/>
  <c r="AB632" i="19" s="1"/>
  <c r="AA633" i="19"/>
  <c r="AB633" i="19" s="1"/>
  <c r="AA634" i="19"/>
  <c r="AB634" i="19" s="1"/>
  <c r="AA635" i="19"/>
  <c r="AB635" i="19" s="1"/>
  <c r="AA636" i="19"/>
  <c r="AB636" i="19" s="1"/>
  <c r="AA637" i="19"/>
  <c r="AA638" i="19"/>
  <c r="AA639" i="19"/>
  <c r="AB639" i="19" s="1"/>
  <c r="AA640" i="19"/>
  <c r="AB640" i="19" s="1"/>
  <c r="AA641" i="19"/>
  <c r="AA642" i="19"/>
  <c r="AB642" i="19" s="1"/>
  <c r="AA643" i="19"/>
  <c r="AB643" i="19" s="1"/>
  <c r="AA644" i="19"/>
  <c r="AA645" i="19"/>
  <c r="AB645" i="19" s="1"/>
  <c r="AA646" i="19"/>
  <c r="AB646" i="19" s="1"/>
  <c r="AA647" i="19"/>
  <c r="AB647" i="19" s="1"/>
  <c r="AA648" i="19"/>
  <c r="AB648" i="19" s="1"/>
  <c r="AA649" i="19"/>
  <c r="AA650" i="19"/>
  <c r="AA651" i="19"/>
  <c r="AA652" i="19"/>
  <c r="AB652" i="19" s="1"/>
  <c r="AA653" i="19"/>
  <c r="AB653" i="19" s="1"/>
  <c r="AA654" i="19"/>
  <c r="AA655" i="19"/>
  <c r="AA656" i="19"/>
  <c r="AB656" i="19" s="1"/>
  <c r="AA657" i="19"/>
  <c r="AB657" i="19" s="1"/>
  <c r="AA658" i="19"/>
  <c r="AB658" i="19" s="1"/>
  <c r="AA659" i="19"/>
  <c r="AB659" i="19" s="1"/>
  <c r="AA660" i="19"/>
  <c r="AB660" i="19" s="1"/>
  <c r="AA661" i="19"/>
  <c r="AA662" i="19"/>
  <c r="AA663" i="19"/>
  <c r="AB663" i="19" s="1"/>
  <c r="AA664" i="19"/>
  <c r="AB664" i="19" s="1"/>
  <c r="AA665" i="19"/>
  <c r="AA666" i="19"/>
  <c r="AA667" i="19"/>
  <c r="AB667" i="19" s="1"/>
  <c r="AA668" i="19"/>
  <c r="AB668" i="19" s="1"/>
  <c r="AA669" i="19"/>
  <c r="AA670" i="19"/>
  <c r="AB670" i="19" s="1"/>
  <c r="AA671" i="19"/>
  <c r="AB671" i="19" s="1"/>
  <c r="AA672" i="19"/>
  <c r="AB672" i="19" s="1"/>
  <c r="AA673" i="19"/>
  <c r="AA674" i="19"/>
  <c r="AA675" i="19"/>
  <c r="AB675" i="19" s="1"/>
  <c r="AA676" i="19"/>
  <c r="AB676" i="19" s="1"/>
  <c r="AA677" i="19"/>
  <c r="AA678" i="19"/>
  <c r="AB678" i="19" s="1"/>
  <c r="AA679" i="19"/>
  <c r="AA680" i="19"/>
  <c r="AB680" i="19" s="1"/>
  <c r="AA681" i="19"/>
  <c r="AB681" i="19" s="1"/>
  <c r="AA682" i="19"/>
  <c r="AB682" i="19" s="1"/>
  <c r="AA683" i="19"/>
  <c r="AB683" i="19" s="1"/>
  <c r="AA684" i="19"/>
  <c r="AB684" i="19" s="1"/>
  <c r="AA685" i="19"/>
  <c r="AA686" i="19"/>
  <c r="AA687" i="19"/>
  <c r="AB687" i="19" s="1"/>
  <c r="AA688" i="19"/>
  <c r="AB688" i="19" s="1"/>
  <c r="AA689" i="19"/>
  <c r="AA690" i="19"/>
  <c r="AB690" i="19" s="1"/>
  <c r="AA691" i="19"/>
  <c r="AB691" i="19" s="1"/>
  <c r="AA692" i="19"/>
  <c r="AB692" i="19" s="1"/>
  <c r="AA693" i="19"/>
  <c r="AB693" i="19" s="1"/>
  <c r="AA694" i="19"/>
  <c r="AB694" i="19" s="1"/>
  <c r="AA695" i="19"/>
  <c r="AB695" i="19" s="1"/>
  <c r="AA696" i="19"/>
  <c r="AB696" i="19" s="1"/>
  <c r="AA697" i="19"/>
  <c r="AB697" i="19" s="1"/>
  <c r="AA698" i="19"/>
  <c r="AB698" i="19" s="1"/>
  <c r="AA699" i="19"/>
  <c r="AB699" i="19" s="1"/>
  <c r="AA700" i="19"/>
  <c r="AB700" i="19" s="1"/>
  <c r="AA701" i="19"/>
  <c r="AA702" i="19"/>
  <c r="AA703" i="19"/>
  <c r="AA704" i="19"/>
  <c r="AB704" i="19" s="1"/>
  <c r="AA705" i="19"/>
  <c r="AB705" i="19" s="1"/>
  <c r="AA706" i="19"/>
  <c r="AB706" i="19" s="1"/>
  <c r="AA707" i="19"/>
  <c r="AB707" i="19" s="1"/>
  <c r="AA708" i="19"/>
  <c r="AB708" i="19" s="1"/>
  <c r="AA709" i="19"/>
  <c r="AA710" i="19"/>
  <c r="AA711" i="19"/>
  <c r="AB711" i="19" s="1"/>
  <c r="AA712" i="19"/>
  <c r="AB712" i="19" s="1"/>
  <c r="AA713" i="19"/>
  <c r="AA714" i="19"/>
  <c r="AB714" i="19" s="1"/>
  <c r="AA715" i="19"/>
  <c r="AA716" i="19"/>
  <c r="AB716" i="19" s="1"/>
  <c r="AA717" i="19"/>
  <c r="AB717" i="19" s="1"/>
  <c r="AA718" i="19"/>
  <c r="AB718" i="19" s="1"/>
  <c r="AA719" i="19"/>
  <c r="AB719" i="19" s="1"/>
  <c r="AA720" i="19"/>
  <c r="AB720" i="19" s="1"/>
  <c r="AA721" i="19"/>
  <c r="AA722" i="19"/>
  <c r="AB722" i="19" s="1"/>
  <c r="AA723" i="19"/>
  <c r="AB723" i="19" s="1"/>
  <c r="AA724" i="19"/>
  <c r="AB724" i="19" s="1"/>
  <c r="AA725" i="19"/>
  <c r="AA726" i="19"/>
  <c r="AA727" i="19"/>
  <c r="AB727" i="19" s="1"/>
  <c r="AA728" i="19"/>
  <c r="AB728" i="19" s="1"/>
  <c r="AA729" i="19"/>
  <c r="AA730" i="19"/>
  <c r="AB730" i="19" s="1"/>
  <c r="AA731" i="19"/>
  <c r="AB731" i="19" s="1"/>
  <c r="AA732" i="19"/>
  <c r="AB732" i="19" s="1"/>
  <c r="AA733" i="19"/>
  <c r="AA734" i="19"/>
  <c r="AA735" i="19"/>
  <c r="AB735" i="19" s="1"/>
  <c r="AA736" i="19"/>
  <c r="AB736" i="19" s="1"/>
  <c r="AA737" i="19"/>
  <c r="AA738" i="19"/>
  <c r="AB738" i="19" s="1"/>
  <c r="AA739" i="19"/>
  <c r="AA740" i="19"/>
  <c r="AB740" i="19" s="1"/>
  <c r="AA741" i="19"/>
  <c r="AB741" i="19" s="1"/>
  <c r="AA742" i="19"/>
  <c r="AB742" i="19" s="1"/>
  <c r="AA743" i="19"/>
  <c r="AB743" i="19" s="1"/>
  <c r="AA744" i="19"/>
  <c r="AB744" i="19" s="1"/>
  <c r="AA745" i="19"/>
  <c r="AA746" i="19"/>
  <c r="AA747" i="19"/>
  <c r="AB747" i="19" s="1"/>
  <c r="AA748" i="19"/>
  <c r="AB748" i="19" s="1"/>
  <c r="AA749" i="19"/>
  <c r="AB749" i="19" s="1"/>
  <c r="AA750" i="19"/>
  <c r="AB750" i="19" s="1"/>
  <c r="AA751" i="19"/>
  <c r="AB751" i="19" s="1"/>
  <c r="AA752" i="19"/>
  <c r="AB752" i="19" s="1"/>
  <c r="AA753" i="19"/>
  <c r="AA754" i="19"/>
  <c r="AB754" i="19" s="1"/>
  <c r="AA755" i="19"/>
  <c r="AB755" i="19" s="1"/>
  <c r="AA756" i="19"/>
  <c r="AB756" i="19" s="1"/>
  <c r="AA757" i="19"/>
  <c r="AA758" i="19"/>
  <c r="AA759" i="19"/>
  <c r="AB759" i="19" s="1"/>
  <c r="AA760" i="19"/>
  <c r="AB760" i="19" s="1"/>
  <c r="AA761" i="19"/>
  <c r="AA762" i="19"/>
  <c r="AA763" i="19"/>
  <c r="AA764" i="19"/>
  <c r="AB764" i="19" s="1"/>
  <c r="AA765" i="19"/>
  <c r="AB765" i="19" s="1"/>
  <c r="AA766" i="19"/>
  <c r="AB766" i="19" s="1"/>
  <c r="AA767" i="19"/>
  <c r="AB767" i="19" s="1"/>
  <c r="AA768" i="19"/>
  <c r="AB768" i="19" s="1"/>
  <c r="AA769" i="19"/>
  <c r="AB769" i="19" s="1"/>
  <c r="AA770" i="19"/>
  <c r="AA771" i="19"/>
  <c r="AB771" i="19" s="1"/>
  <c r="AA772" i="19"/>
  <c r="AB772" i="19" s="1"/>
  <c r="AA773" i="19"/>
  <c r="AB773" i="19" s="1"/>
  <c r="AA774" i="19"/>
  <c r="AB774" i="19" s="1"/>
  <c r="AA775" i="19"/>
  <c r="AB775" i="19" s="1"/>
  <c r="AA776" i="19"/>
  <c r="AB776" i="19" s="1"/>
  <c r="AA777" i="19"/>
  <c r="AB777" i="19" s="1"/>
  <c r="AA778" i="19"/>
  <c r="AB778" i="19" s="1"/>
  <c r="AA779" i="19"/>
  <c r="AB779" i="19" s="1"/>
  <c r="AA780" i="19"/>
  <c r="AB780" i="19" s="1"/>
  <c r="AA781" i="19"/>
  <c r="AA782" i="19"/>
  <c r="AB782" i="19" s="1"/>
  <c r="AA783" i="19"/>
  <c r="AB783" i="19" s="1"/>
  <c r="AA784" i="19"/>
  <c r="AB784" i="19" s="1"/>
  <c r="AA785" i="19"/>
  <c r="AB785" i="19" s="1"/>
  <c r="AA786" i="19"/>
  <c r="AA787" i="19"/>
  <c r="AA788" i="19"/>
  <c r="AB788" i="19" s="1"/>
  <c r="AA789" i="19"/>
  <c r="AB789" i="19" s="1"/>
  <c r="AA790" i="19"/>
  <c r="AB790" i="19" s="1"/>
  <c r="AA791" i="19"/>
  <c r="AB791" i="19" s="1"/>
  <c r="AA792" i="19"/>
  <c r="AB792" i="19" s="1"/>
  <c r="AA793" i="19"/>
  <c r="AB793" i="19" s="1"/>
  <c r="AA794" i="19"/>
  <c r="AA795" i="19"/>
  <c r="AB795" i="19" s="1"/>
  <c r="AA796" i="19"/>
  <c r="AB796" i="19" s="1"/>
  <c r="AA797" i="19"/>
  <c r="AB797" i="19" s="1"/>
  <c r="AA798" i="19"/>
  <c r="AB798" i="19" s="1"/>
  <c r="AA799" i="19"/>
  <c r="AB799" i="19" s="1"/>
  <c r="AA800" i="19"/>
  <c r="AB800" i="19" s="1"/>
  <c r="AA801" i="19"/>
  <c r="AB801" i="19" s="1"/>
  <c r="AA802" i="19"/>
  <c r="AB802" i="19" s="1"/>
  <c r="AA803" i="19"/>
  <c r="AB803" i="19" s="1"/>
  <c r="AA804" i="19"/>
  <c r="AB804" i="19" s="1"/>
  <c r="AA805" i="19"/>
  <c r="AB805" i="19" s="1"/>
  <c r="AA806" i="19"/>
  <c r="AB806" i="19" s="1"/>
  <c r="AA807" i="19"/>
  <c r="AB807" i="19" s="1"/>
  <c r="AA808" i="19"/>
  <c r="AB808" i="19" s="1"/>
  <c r="AA809" i="19"/>
  <c r="AA810" i="19"/>
  <c r="AB810" i="19" s="1"/>
  <c r="AA811" i="19"/>
  <c r="AA812" i="19"/>
  <c r="AA813" i="19"/>
  <c r="AB813" i="19" s="1"/>
  <c r="AA814" i="19"/>
  <c r="AB814" i="19" s="1"/>
  <c r="AA815" i="19"/>
  <c r="AB815" i="19" s="1"/>
  <c r="AA816" i="19"/>
  <c r="AB816" i="19" s="1"/>
  <c r="AA817" i="19"/>
  <c r="AA818" i="19"/>
  <c r="AB818" i="19" s="1"/>
  <c r="AA819" i="19"/>
  <c r="AB819" i="19" s="1"/>
  <c r="AA820" i="19"/>
  <c r="AB820" i="19" s="1"/>
  <c r="AA821" i="19"/>
  <c r="AB821" i="19" s="1"/>
  <c r="AA822" i="19"/>
  <c r="AA823" i="19"/>
  <c r="AA824" i="19"/>
  <c r="AB824" i="19" s="1"/>
  <c r="AA825" i="19"/>
  <c r="AB825" i="19" s="1"/>
  <c r="AA826" i="19"/>
  <c r="AB826" i="19" s="1"/>
  <c r="AA827" i="19"/>
  <c r="AB827" i="19" s="1"/>
  <c r="AA828" i="19"/>
  <c r="AB828" i="19" s="1"/>
  <c r="AA829" i="19"/>
  <c r="AA830" i="19"/>
  <c r="AA831" i="19"/>
  <c r="AB831" i="19" s="1"/>
  <c r="AA832" i="19"/>
  <c r="AB832" i="19" s="1"/>
  <c r="AA833" i="19"/>
  <c r="AB833" i="19" s="1"/>
  <c r="AA834" i="19"/>
  <c r="AA835" i="19"/>
  <c r="AB835" i="19" s="1"/>
  <c r="AA836" i="19"/>
  <c r="AB836" i="19" s="1"/>
  <c r="AA837" i="19"/>
  <c r="AB837" i="19" s="1"/>
  <c r="AA838" i="19"/>
  <c r="AB838" i="19" s="1"/>
  <c r="AA839" i="19"/>
  <c r="AB839" i="19" s="1"/>
  <c r="AA840" i="19"/>
  <c r="AB840" i="19" s="1"/>
  <c r="AA841" i="19"/>
  <c r="AA842" i="19"/>
  <c r="AA843" i="19"/>
  <c r="AB843" i="19" s="1"/>
  <c r="AA844" i="19"/>
  <c r="AB844" i="19" s="1"/>
  <c r="AA845" i="19"/>
  <c r="AA846" i="19"/>
  <c r="AB846" i="19" s="1"/>
  <c r="AA847" i="19"/>
  <c r="AA848" i="19"/>
  <c r="AA849" i="19"/>
  <c r="AB849" i="19" s="1"/>
  <c r="AA850" i="19"/>
  <c r="AB850" i="19" s="1"/>
  <c r="AA851" i="19"/>
  <c r="AB851" i="19" s="1"/>
  <c r="AA852" i="19"/>
  <c r="AB852" i="19" s="1"/>
  <c r="AA853" i="19"/>
  <c r="AA854" i="19"/>
  <c r="AB854" i="19" s="1"/>
  <c r="AA855" i="19"/>
  <c r="AB855" i="19" s="1"/>
  <c r="AA856" i="19"/>
  <c r="AB856" i="19" s="1"/>
  <c r="AA857" i="19"/>
  <c r="AB857" i="19" s="1"/>
  <c r="AA858" i="19"/>
  <c r="AA859" i="19"/>
  <c r="AB859" i="19" s="1"/>
  <c r="AA860" i="19"/>
  <c r="AB860" i="19" s="1"/>
  <c r="AA861" i="19"/>
  <c r="AB861" i="19" s="1"/>
  <c r="AA862" i="19"/>
  <c r="AB862" i="19" s="1"/>
  <c r="AA863" i="19"/>
  <c r="AB863" i="19" s="1"/>
  <c r="AA864" i="19"/>
  <c r="AB864" i="19" s="1"/>
  <c r="AA865" i="19"/>
  <c r="AB865" i="19" s="1"/>
  <c r="AA866" i="19"/>
  <c r="AA867" i="19"/>
  <c r="AB867" i="19" s="1"/>
  <c r="AA868" i="19"/>
  <c r="AB868" i="19" s="1"/>
  <c r="AA869" i="19"/>
  <c r="AA870" i="19"/>
  <c r="AA871" i="19"/>
  <c r="AA872" i="19"/>
  <c r="AB872" i="19" s="1"/>
  <c r="AA873" i="19"/>
  <c r="AB873" i="19" s="1"/>
  <c r="AA874" i="19"/>
  <c r="AB874" i="19" s="1"/>
  <c r="AA875" i="19"/>
  <c r="AB875" i="19" s="1"/>
  <c r="AA876" i="19"/>
  <c r="AB876" i="19" s="1"/>
  <c r="AA877" i="19"/>
  <c r="AA878" i="19"/>
  <c r="AB878" i="19" s="1"/>
  <c r="AA879" i="19"/>
  <c r="AB879" i="19" s="1"/>
  <c r="AA880" i="19"/>
  <c r="AB880" i="19" s="1"/>
  <c r="AA881" i="19"/>
  <c r="AB881" i="19" s="1"/>
  <c r="AA882" i="19"/>
  <c r="AA883" i="19"/>
  <c r="AA884" i="19"/>
  <c r="AB884" i="19" s="1"/>
  <c r="AA885" i="19"/>
  <c r="AB885" i="19" s="1"/>
  <c r="AA886" i="19"/>
  <c r="AB886" i="19" s="1"/>
  <c r="AA887" i="19"/>
  <c r="AB887" i="19" s="1"/>
  <c r="AA888" i="19"/>
  <c r="AB888" i="19" s="1"/>
  <c r="AA889" i="19"/>
  <c r="AA890" i="19"/>
  <c r="AA891" i="19"/>
  <c r="AB891" i="19" s="1"/>
  <c r="AA892" i="19"/>
  <c r="AB892" i="19" s="1"/>
  <c r="AA893" i="19"/>
  <c r="AB893" i="19" s="1"/>
  <c r="AA894" i="19"/>
  <c r="AB894" i="19" s="1"/>
  <c r="AA895" i="19"/>
  <c r="AB895" i="19" s="1"/>
  <c r="AA896" i="19"/>
  <c r="AA897" i="19"/>
  <c r="AB897" i="19" s="1"/>
  <c r="AA898" i="19"/>
  <c r="AB898" i="19" s="1"/>
  <c r="AA899" i="19"/>
  <c r="AB899" i="19" s="1"/>
  <c r="AA900" i="19"/>
  <c r="AB900" i="19" s="1"/>
  <c r="AA901" i="19"/>
  <c r="AB901" i="19" s="1"/>
  <c r="AA902" i="19"/>
  <c r="AB902" i="19" s="1"/>
  <c r="AA903" i="19"/>
  <c r="AB903" i="19" s="1"/>
  <c r="AA904" i="19"/>
  <c r="AB904" i="19" s="1"/>
  <c r="AA905" i="19"/>
  <c r="AA906" i="19"/>
  <c r="AA907" i="19"/>
  <c r="AA908" i="19"/>
  <c r="AB908" i="19" s="1"/>
  <c r="AA909" i="19"/>
  <c r="AB909" i="19" s="1"/>
  <c r="AA910" i="19"/>
  <c r="AB910" i="19" s="1"/>
  <c r="AA911" i="19"/>
  <c r="AA912" i="19"/>
  <c r="AB912" i="19" s="1"/>
  <c r="AA913" i="19"/>
  <c r="AA914" i="19"/>
  <c r="AB914" i="19" s="1"/>
  <c r="AA915" i="19"/>
  <c r="AA916" i="19"/>
  <c r="AB916" i="19" s="1"/>
  <c r="AA917" i="19"/>
  <c r="AA918" i="19"/>
  <c r="AA919" i="19"/>
  <c r="AB919" i="19" s="1"/>
  <c r="AA920" i="19"/>
  <c r="AB920" i="19" s="1"/>
  <c r="AA921" i="19"/>
  <c r="AA922" i="19"/>
  <c r="AB922" i="19" s="1"/>
  <c r="AA923" i="19"/>
  <c r="AB923" i="19" s="1"/>
  <c r="AA924" i="19"/>
  <c r="AB924" i="19" s="1"/>
  <c r="AA925" i="19"/>
  <c r="AA926" i="19"/>
  <c r="AB926" i="19" s="1"/>
  <c r="AA927" i="19"/>
  <c r="AB927" i="19" s="1"/>
  <c r="AA928" i="19"/>
  <c r="AB928" i="19" s="1"/>
  <c r="AA929" i="19"/>
  <c r="AA930" i="19"/>
  <c r="AB930" i="19" s="1"/>
  <c r="AA931" i="19"/>
  <c r="AB931" i="19" s="1"/>
  <c r="AA932" i="19"/>
  <c r="AA933" i="19"/>
  <c r="AB933" i="19" s="1"/>
  <c r="AA934" i="19"/>
  <c r="AB934" i="19" s="1"/>
  <c r="AA935" i="19"/>
  <c r="AB935" i="19" s="1"/>
  <c r="AA936" i="19"/>
  <c r="AB936" i="19" s="1"/>
  <c r="AA937" i="19"/>
  <c r="AA938" i="19"/>
  <c r="AB938" i="19" s="1"/>
  <c r="AA939" i="19"/>
  <c r="AB939" i="19" s="1"/>
  <c r="AA940" i="19"/>
  <c r="AB940" i="19" s="1"/>
  <c r="AA941" i="19"/>
  <c r="AA942" i="19"/>
  <c r="AA943" i="19"/>
  <c r="AB943" i="19" s="1"/>
  <c r="AA944" i="19"/>
  <c r="AB944" i="19" s="1"/>
  <c r="AA945" i="19"/>
  <c r="AB945" i="19" s="1"/>
  <c r="AA946" i="19"/>
  <c r="AB946" i="19" s="1"/>
  <c r="AA947" i="19"/>
  <c r="AB947" i="19" s="1"/>
  <c r="AA948" i="19"/>
  <c r="AB948" i="19" s="1"/>
  <c r="AA949" i="19"/>
  <c r="AB949" i="19" s="1"/>
  <c r="AA950" i="19"/>
  <c r="AA951" i="19"/>
  <c r="AB951" i="19" s="1"/>
  <c r="AA952" i="19"/>
  <c r="AB952" i="19" s="1"/>
  <c r="AA953" i="19"/>
  <c r="AA954" i="19"/>
  <c r="AB954" i="19" s="1"/>
  <c r="AA955" i="19"/>
  <c r="AB955" i="19" s="1"/>
  <c r="AA956" i="19"/>
  <c r="AB956" i="19" s="1"/>
  <c r="AA957" i="19"/>
  <c r="AA958" i="19"/>
  <c r="AB958" i="19" s="1"/>
  <c r="AA959" i="19"/>
  <c r="AB959" i="19" s="1"/>
  <c r="AA960" i="19"/>
  <c r="AB960" i="19" s="1"/>
  <c r="AA961" i="19"/>
  <c r="AA962" i="19"/>
  <c r="AB962" i="19" s="1"/>
  <c r="AA963" i="19"/>
  <c r="AB963" i="19" s="1"/>
  <c r="AA964" i="19"/>
  <c r="AB964" i="19" s="1"/>
  <c r="AA965" i="19"/>
  <c r="AB965" i="19" s="1"/>
  <c r="AA966" i="19"/>
  <c r="AA967" i="19"/>
  <c r="AA968" i="19"/>
  <c r="AB968" i="19" s="1"/>
  <c r="AA969" i="19"/>
  <c r="AB969" i="19" s="1"/>
  <c r="AA970" i="19"/>
  <c r="AB970" i="19" s="1"/>
  <c r="AA971" i="19"/>
  <c r="AB971" i="19" s="1"/>
  <c r="AA972" i="19"/>
  <c r="AB972" i="19" s="1"/>
  <c r="AA973" i="19"/>
  <c r="AA974" i="19"/>
  <c r="AB974" i="19" s="1"/>
  <c r="AA975" i="19"/>
  <c r="AB975" i="19" s="1"/>
  <c r="AA976" i="19"/>
  <c r="AB976" i="19" s="1"/>
  <c r="AA977" i="19"/>
  <c r="AB977" i="19" s="1"/>
  <c r="AA978" i="19"/>
  <c r="AA979" i="19"/>
  <c r="AB979" i="19" s="1"/>
  <c r="AA980" i="19"/>
  <c r="AB980" i="19" s="1"/>
  <c r="AA981" i="19"/>
  <c r="AB981" i="19" s="1"/>
  <c r="AA982" i="19"/>
  <c r="AB982" i="19" s="1"/>
  <c r="AA983" i="19"/>
  <c r="AB983" i="19" s="1"/>
  <c r="AA984" i="19"/>
  <c r="AB984" i="19" s="1"/>
  <c r="AA985" i="19"/>
  <c r="AA986" i="19"/>
  <c r="AB986" i="19" s="1"/>
  <c r="AA987" i="19"/>
  <c r="AB987" i="19" s="1"/>
  <c r="AA988" i="19"/>
  <c r="AB988" i="19" s="1"/>
  <c r="AA989" i="19"/>
  <c r="AB989" i="19" s="1"/>
  <c r="AA990" i="19"/>
  <c r="AB990" i="19" s="1"/>
  <c r="AA991" i="19"/>
  <c r="AA992" i="19"/>
  <c r="AB992" i="19" s="1"/>
  <c r="AA993" i="19"/>
  <c r="AB993" i="19" s="1"/>
  <c r="AA994" i="19"/>
  <c r="AB994" i="19" s="1"/>
  <c r="AA995" i="19"/>
  <c r="AB995" i="19" s="1"/>
  <c r="AA996" i="19"/>
  <c r="AB996" i="19" s="1"/>
  <c r="AA997" i="19"/>
  <c r="AA998" i="19"/>
  <c r="AA999" i="19"/>
  <c r="AB999" i="19" s="1"/>
  <c r="AA1000" i="19"/>
  <c r="AB1000" i="19" s="1"/>
  <c r="AA1001" i="19"/>
  <c r="AA1002" i="19"/>
  <c r="AA1003" i="19"/>
  <c r="AB1003" i="19" s="1"/>
  <c r="AA1004" i="19"/>
  <c r="AB1004" i="19" s="1"/>
  <c r="AA1005" i="19"/>
  <c r="AB1005" i="19" s="1"/>
  <c r="AA1006" i="19"/>
  <c r="AA1007" i="19"/>
  <c r="AB1007" i="19" s="1"/>
  <c r="AA1008" i="19"/>
  <c r="AB1008" i="19" s="1"/>
  <c r="AA1009" i="19"/>
  <c r="AB1009" i="19" s="1"/>
  <c r="AA1010" i="19"/>
  <c r="AB1010" i="19" s="1"/>
  <c r="AA1011" i="19"/>
  <c r="AB1011" i="19" s="1"/>
  <c r="AA1012" i="19"/>
  <c r="AB1012" i="19" s="1"/>
  <c r="AA1013" i="19"/>
  <c r="AA1014" i="19"/>
  <c r="AB1014" i="19" s="1"/>
  <c r="AA1015" i="19"/>
  <c r="AA1016" i="19"/>
  <c r="AB1016" i="19" s="1"/>
  <c r="AA1017" i="19"/>
  <c r="AB1017" i="19" s="1"/>
  <c r="AA1018" i="19"/>
  <c r="AB1018" i="19" s="1"/>
  <c r="AA1019" i="19"/>
  <c r="AB1019" i="19" s="1"/>
  <c r="AA1020" i="19"/>
  <c r="AB1020" i="19" s="1"/>
  <c r="AA1021" i="19"/>
  <c r="AA1022" i="19"/>
  <c r="AB1022" i="19" s="1"/>
  <c r="AA1023" i="19"/>
  <c r="AB1023" i="19" s="1"/>
  <c r="AA1024" i="19"/>
  <c r="AB1024" i="19" s="1"/>
  <c r="AA1025" i="19"/>
  <c r="AB1025" i="19" s="1"/>
  <c r="AA1026" i="19"/>
  <c r="AB1026" i="19" s="1"/>
  <c r="AA1027" i="19"/>
  <c r="AA1028" i="19"/>
  <c r="AB1028" i="19" s="1"/>
  <c r="AA1029" i="19"/>
  <c r="AB1029" i="19" s="1"/>
  <c r="AA1030" i="19"/>
  <c r="AB1030" i="19" s="1"/>
  <c r="AA1031" i="19"/>
  <c r="AB1031" i="19" s="1"/>
  <c r="AA1032" i="19"/>
  <c r="AB1032" i="19" s="1"/>
  <c r="AA1033" i="19"/>
  <c r="AA1034" i="19"/>
  <c r="AB1034" i="19" s="1"/>
  <c r="AA1035" i="19"/>
  <c r="AB1035" i="19" s="1"/>
  <c r="AA1036" i="19"/>
  <c r="AB1036" i="19" s="1"/>
  <c r="AA1037" i="19"/>
  <c r="AB1037" i="19" s="1"/>
  <c r="AA1038" i="19"/>
  <c r="AA1039" i="19"/>
  <c r="AA1040" i="19"/>
  <c r="AB1040" i="19" s="1"/>
  <c r="AA1041" i="19"/>
  <c r="AB1041" i="19" s="1"/>
  <c r="AA1042" i="19"/>
  <c r="AB1042" i="19" s="1"/>
  <c r="AA1043" i="19"/>
  <c r="AB1043" i="19" s="1"/>
  <c r="AA1044" i="19"/>
  <c r="AB1044" i="19" s="1"/>
  <c r="AA1045" i="19"/>
  <c r="AB1045" i="19" s="1"/>
  <c r="AA1046" i="19"/>
  <c r="AB1046" i="19" s="1"/>
  <c r="AA1047" i="19"/>
  <c r="AB1047" i="19" s="1"/>
  <c r="AA1048" i="19"/>
  <c r="AB1048" i="19" s="1"/>
  <c r="AA1049" i="19"/>
  <c r="AB1049" i="19" s="1"/>
  <c r="AA1050" i="19"/>
  <c r="AB1050" i="19" s="1"/>
  <c r="AA1051" i="19"/>
  <c r="AB1051" i="19" s="1"/>
  <c r="AA1052" i="19"/>
  <c r="AA1053" i="19"/>
  <c r="AB1053" i="19" s="1"/>
  <c r="AA1054" i="19"/>
  <c r="AB1054" i="19" s="1"/>
  <c r="AA1055" i="19"/>
  <c r="AB1055" i="19" s="1"/>
  <c r="AA1056" i="19"/>
  <c r="AB1056" i="19" s="1"/>
  <c r="AA1057" i="19"/>
  <c r="AB1057" i="19" s="1"/>
  <c r="AA1058" i="19"/>
  <c r="AA1059" i="19"/>
  <c r="AB1059" i="19" s="1"/>
  <c r="AA1060" i="19"/>
  <c r="AB1060" i="19" s="1"/>
  <c r="AA1061" i="19"/>
  <c r="AB1061" i="19" s="1"/>
  <c r="AA1062" i="19"/>
  <c r="AB1062" i="19" s="1"/>
  <c r="AA1063" i="19"/>
  <c r="AA1064" i="19"/>
  <c r="AB1064" i="19" s="1"/>
  <c r="AA1065" i="19"/>
  <c r="AB1065" i="19" s="1"/>
  <c r="AA1066" i="19"/>
  <c r="AB1066" i="19" s="1"/>
  <c r="AA1067" i="19"/>
  <c r="AA1068" i="19"/>
  <c r="AB1068" i="19" s="1"/>
  <c r="AA1069" i="19"/>
  <c r="AA1070" i="19"/>
  <c r="AB1070" i="19" s="1"/>
  <c r="AA1071" i="19"/>
  <c r="AB1071" i="19" s="1"/>
  <c r="AA1072" i="19"/>
  <c r="AB1072" i="19" s="1"/>
  <c r="AA1073" i="19"/>
  <c r="AA1074" i="19"/>
  <c r="AA1075" i="19"/>
  <c r="AB1075" i="19" s="1"/>
  <c r="AA1076" i="19"/>
  <c r="AB1076" i="19" s="1"/>
  <c r="AA1077" i="19"/>
  <c r="AB1077" i="19" s="1"/>
  <c r="AA1078" i="19"/>
  <c r="AB1078" i="19" s="1"/>
  <c r="AA1079" i="19"/>
  <c r="AB1079" i="19" s="1"/>
  <c r="AA1080" i="19"/>
  <c r="AB1080" i="19" s="1"/>
  <c r="AA1081" i="19"/>
  <c r="AA1082" i="19"/>
  <c r="AB1082" i="19" s="1"/>
  <c r="AA1083" i="19"/>
  <c r="AB1083" i="19" s="1"/>
  <c r="AA1084" i="19"/>
  <c r="AB1084" i="19" s="1"/>
  <c r="AA1085" i="19"/>
  <c r="AB1085" i="19" s="1"/>
  <c r="AA1086" i="19"/>
  <c r="AB1086" i="19" s="1"/>
  <c r="AA1087" i="19"/>
  <c r="AA1088" i="19"/>
  <c r="AB1088" i="19" s="1"/>
  <c r="AA1089" i="19"/>
  <c r="AB1089" i="19" s="1"/>
  <c r="AA1090" i="19"/>
  <c r="AB1090" i="19" s="1"/>
  <c r="AA1091" i="19"/>
  <c r="AB1091" i="19" s="1"/>
  <c r="AA1092" i="19"/>
  <c r="AB1092" i="19" s="1"/>
  <c r="AA1093" i="19"/>
  <c r="AA1094" i="19"/>
  <c r="AA1095" i="19"/>
  <c r="AB1095" i="19" s="1"/>
  <c r="AA1096" i="19"/>
  <c r="AB1096" i="19" s="1"/>
  <c r="AA1097" i="19"/>
  <c r="AB1097" i="19" s="1"/>
  <c r="AA1098" i="19"/>
  <c r="AA1099" i="19"/>
  <c r="AA1100" i="19"/>
  <c r="AB1100" i="19" s="1"/>
  <c r="AA1101" i="19"/>
  <c r="AB1101" i="19" s="1"/>
  <c r="AA1102" i="19"/>
  <c r="AB1102" i="19" s="1"/>
  <c r="AA1103" i="19"/>
  <c r="AB1103" i="19" s="1"/>
  <c r="AA1104" i="19"/>
  <c r="AB1104" i="19" s="1"/>
  <c r="AA1105" i="19"/>
  <c r="AB1105" i="19" s="1"/>
  <c r="AA1106" i="19"/>
  <c r="AB1106" i="19" s="1"/>
  <c r="AA1107" i="19"/>
  <c r="AB1107" i="19" s="1"/>
  <c r="AA1108" i="19"/>
  <c r="AB1108" i="19" s="1"/>
  <c r="AA1109" i="19"/>
  <c r="AB1109" i="19" s="1"/>
  <c r="AA1110" i="19"/>
  <c r="AB1110" i="19" s="1"/>
  <c r="AA1111" i="19"/>
  <c r="AB1111" i="19" s="1"/>
  <c r="AA1112" i="19"/>
  <c r="AA1113" i="19"/>
  <c r="AB1113" i="19" s="1"/>
  <c r="AA1114" i="19"/>
  <c r="AB1114" i="19" s="1"/>
  <c r="AA1115" i="19"/>
  <c r="AB1115" i="19" s="1"/>
  <c r="AA1116" i="19"/>
  <c r="AB1116" i="19" s="1"/>
  <c r="AA1117" i="19"/>
  <c r="AA1118" i="19"/>
  <c r="AB1118" i="19" s="1"/>
  <c r="AA1119" i="19"/>
  <c r="AB1119" i="19" s="1"/>
  <c r="AA1120" i="19"/>
  <c r="AB1120" i="19" s="1"/>
  <c r="AA1121" i="19"/>
  <c r="AA1122" i="19"/>
  <c r="AB1122" i="19" s="1"/>
  <c r="AA1123" i="19"/>
  <c r="AA1124" i="19"/>
  <c r="AB1124" i="19" s="1"/>
  <c r="AA1125" i="19"/>
  <c r="AB1125" i="19" s="1"/>
  <c r="AA1126" i="19"/>
  <c r="AB1126" i="19" s="1"/>
  <c r="AA1127" i="19"/>
  <c r="AB1127" i="19" s="1"/>
  <c r="AA1128" i="19"/>
  <c r="AB1128" i="19" s="1"/>
  <c r="AA1129" i="19"/>
  <c r="AA1130" i="19"/>
  <c r="AA1131" i="19"/>
  <c r="AB1131" i="19" s="1"/>
  <c r="AA1132" i="19"/>
  <c r="AB1132" i="19" s="1"/>
  <c r="AA1133" i="19"/>
  <c r="AA1134" i="19"/>
  <c r="AB1134" i="19" s="1"/>
  <c r="AA1135" i="19"/>
  <c r="AB1135" i="19" s="1"/>
  <c r="AA1136" i="19"/>
  <c r="AB1136" i="19" s="1"/>
  <c r="AA1137" i="19"/>
  <c r="AB1137" i="19" s="1"/>
  <c r="AA1138" i="19"/>
  <c r="AB1138" i="19" s="1"/>
  <c r="AA1139" i="19"/>
  <c r="AB1139" i="19" s="1"/>
  <c r="AA1140" i="19"/>
  <c r="AB1140" i="19" s="1"/>
  <c r="AA1141" i="19"/>
  <c r="AB1141" i="19" s="1"/>
  <c r="AA1142" i="19"/>
  <c r="AB1142" i="19" s="1"/>
  <c r="AA1143" i="19"/>
  <c r="AB1143" i="19" s="1"/>
  <c r="AA1144" i="19"/>
  <c r="AB1144" i="19" s="1"/>
  <c r="AA1145" i="19"/>
  <c r="AA1146" i="19"/>
  <c r="AB1146" i="19" s="1"/>
  <c r="AA1147" i="19"/>
  <c r="AA1148" i="19"/>
  <c r="AB1148" i="19" s="1"/>
  <c r="AA1149" i="19"/>
  <c r="AB1149" i="19" s="1"/>
  <c r="AA1150" i="19"/>
  <c r="AB1150" i="19" s="1"/>
  <c r="AA1151" i="19"/>
  <c r="AB1151" i="19" s="1"/>
  <c r="AA1152" i="19"/>
  <c r="AB1152" i="19" s="1"/>
  <c r="AA1153" i="19"/>
  <c r="AB1153" i="19" s="1"/>
  <c r="AA1154" i="19"/>
  <c r="AB1154" i="19" s="1"/>
  <c r="AA1155" i="19"/>
  <c r="AB1155" i="19" s="1"/>
  <c r="AA1156" i="19"/>
  <c r="AB1156" i="19" s="1"/>
  <c r="AA1157" i="19"/>
  <c r="AA1158" i="19"/>
  <c r="AB1158" i="19" s="1"/>
  <c r="AA1159" i="19"/>
  <c r="AB1159" i="19" s="1"/>
  <c r="AA1160" i="19"/>
  <c r="AB1160" i="19" s="1"/>
  <c r="AA1161" i="19"/>
  <c r="AA1162" i="19"/>
  <c r="AB1162" i="19" s="1"/>
  <c r="AA1163" i="19"/>
  <c r="AB1163" i="19" s="1"/>
  <c r="AA1164" i="19"/>
  <c r="AB1164" i="19" s="1"/>
  <c r="AA1165" i="19"/>
  <c r="AA1166" i="19"/>
  <c r="AA1167" i="19"/>
  <c r="AB1167" i="19" s="1"/>
  <c r="AA1168" i="19"/>
  <c r="AB1168" i="19" s="1"/>
  <c r="AA1169" i="19"/>
  <c r="AA1170" i="19"/>
  <c r="AB1170" i="19" s="1"/>
  <c r="AA1171" i="19"/>
  <c r="AA1172" i="19"/>
  <c r="AB1172" i="19" s="1"/>
  <c r="AA1173" i="19"/>
  <c r="AB1173" i="19" s="1"/>
  <c r="AA1174" i="19"/>
  <c r="AB1174" i="19" s="1"/>
  <c r="AA1175" i="19"/>
  <c r="AB1175" i="19" s="1"/>
  <c r="AA1176" i="19"/>
  <c r="AB1176" i="19" s="1"/>
  <c r="AA1177" i="19"/>
  <c r="AA1178" i="19"/>
  <c r="AB1178" i="19" s="1"/>
  <c r="AA1179" i="19"/>
  <c r="AB1179" i="19" s="1"/>
  <c r="AA1180" i="19"/>
  <c r="AB1180" i="19" s="1"/>
  <c r="AA1181" i="19"/>
  <c r="AA1182" i="19"/>
  <c r="AB1182" i="19" s="1"/>
  <c r="AA1183" i="19"/>
  <c r="AB1183" i="19" s="1"/>
  <c r="AA1184" i="19"/>
  <c r="AB1184" i="19" s="1"/>
  <c r="AA1185" i="19"/>
  <c r="AB1185" i="19" s="1"/>
  <c r="AA1186" i="19"/>
  <c r="AB1186" i="19" s="1"/>
  <c r="AA1187" i="19"/>
  <c r="AB1187" i="19" s="1"/>
  <c r="AA1188" i="19"/>
  <c r="AB1188" i="19" s="1"/>
  <c r="AA1189" i="19"/>
  <c r="AB1189" i="19" s="1"/>
  <c r="AA1190" i="19"/>
  <c r="AB1190" i="19" s="1"/>
  <c r="AA1191" i="19"/>
  <c r="AB1191" i="19" s="1"/>
  <c r="AA1192" i="19"/>
  <c r="AB1192" i="19" s="1"/>
  <c r="AA1193" i="19"/>
  <c r="AA1194" i="19"/>
  <c r="AA1195" i="19"/>
  <c r="AA1196" i="19"/>
  <c r="AB1196" i="19" s="1"/>
  <c r="AA1197" i="19"/>
  <c r="AB1197" i="19" s="1"/>
  <c r="AA1198" i="19"/>
  <c r="AB1198" i="19" s="1"/>
  <c r="AA1199" i="19"/>
  <c r="AB1199" i="19" s="1"/>
  <c r="AA1200" i="19"/>
  <c r="AB1200" i="19" s="1"/>
  <c r="AA1201" i="19"/>
  <c r="AB1201" i="19" s="1"/>
  <c r="AA1202" i="19"/>
  <c r="AB1202" i="19" s="1"/>
  <c r="AA1203" i="19"/>
  <c r="AB1203" i="19" s="1"/>
  <c r="AA1204" i="19"/>
  <c r="AB1204" i="19" s="1"/>
  <c r="AA1205" i="19"/>
  <c r="AA1206" i="19"/>
  <c r="AB1206" i="19" s="1"/>
  <c r="AA1207" i="19"/>
  <c r="AB1207" i="19" s="1"/>
  <c r="AA1208" i="19"/>
  <c r="AB1208" i="19" s="1"/>
  <c r="AA1209" i="19"/>
  <c r="AB1209" i="19" s="1"/>
  <c r="AA1210" i="19"/>
  <c r="AB1210" i="19" s="1"/>
  <c r="AA1211" i="19"/>
  <c r="AB1211" i="19" s="1"/>
  <c r="AA1212" i="19"/>
  <c r="AB1212" i="19" s="1"/>
  <c r="AA1213" i="19"/>
  <c r="AA1214" i="19"/>
  <c r="AB1214" i="19" s="1"/>
  <c r="AA1215" i="19"/>
  <c r="AB1215" i="19" s="1"/>
  <c r="AA1216" i="19"/>
  <c r="AB1216" i="19" s="1"/>
  <c r="AA1217" i="19"/>
  <c r="AB1217" i="19" s="1"/>
  <c r="AA1218" i="19"/>
  <c r="AB1218" i="19" s="1"/>
  <c r="AA1219" i="19"/>
  <c r="AA1220" i="19"/>
  <c r="AB1220" i="19" s="1"/>
  <c r="AA1221" i="19"/>
  <c r="AB1221" i="19" s="1"/>
  <c r="AA1222" i="19"/>
  <c r="AB1222" i="19" s="1"/>
  <c r="AA1223" i="19"/>
  <c r="AB1223" i="19" s="1"/>
  <c r="AA1224" i="19"/>
  <c r="AB1224" i="19" s="1"/>
  <c r="AA1225" i="19"/>
  <c r="AB1225" i="19" s="1"/>
  <c r="AA1226" i="19"/>
  <c r="AB1226" i="19" s="1"/>
  <c r="AA1227" i="19"/>
  <c r="AB1227" i="19" s="1"/>
  <c r="AA1228" i="19"/>
  <c r="AB1228" i="19" s="1"/>
  <c r="AA1229" i="19"/>
  <c r="AB1229" i="19" s="1"/>
  <c r="AA1230" i="19"/>
  <c r="AB1230" i="19" s="1"/>
  <c r="AA1231" i="19"/>
  <c r="AB1231" i="19" s="1"/>
  <c r="AA1232" i="19"/>
  <c r="AB1232" i="19" s="1"/>
  <c r="AA1233" i="19"/>
  <c r="AB1233" i="19" s="1"/>
  <c r="AA1234" i="19"/>
  <c r="AB1234" i="19" s="1"/>
  <c r="AA1235" i="19"/>
  <c r="AB1235" i="19" s="1"/>
  <c r="AA1236" i="19"/>
  <c r="AB1236" i="19" s="1"/>
  <c r="AA1237" i="19"/>
  <c r="AA1238" i="19"/>
  <c r="AB1238" i="19" s="1"/>
  <c r="AA1239" i="19"/>
  <c r="AB1239" i="19" s="1"/>
  <c r="AA1240" i="19"/>
  <c r="AB1240" i="19" s="1"/>
  <c r="AA1241" i="19"/>
  <c r="AA1242" i="19"/>
  <c r="AA1243" i="19"/>
  <c r="AB1243" i="19" s="1"/>
  <c r="AA1244" i="19"/>
  <c r="AB1244" i="19" s="1"/>
  <c r="AA1245" i="19"/>
  <c r="AB1245" i="19" s="1"/>
  <c r="AA1246" i="19"/>
  <c r="AB1246" i="19" s="1"/>
  <c r="AA1247" i="19"/>
  <c r="AB1247" i="19" s="1"/>
  <c r="AA1248" i="19"/>
  <c r="AB1248" i="19" s="1"/>
  <c r="AA1249" i="19"/>
  <c r="AA1250" i="19"/>
  <c r="AB1250" i="19" s="1"/>
  <c r="AA1251" i="19"/>
  <c r="AB1251" i="19" s="1"/>
  <c r="AA1252" i="19"/>
  <c r="AB1252" i="19" s="1"/>
  <c r="AA1253" i="19"/>
  <c r="AB1253" i="19" s="1"/>
  <c r="AA1254" i="19"/>
  <c r="AB1254" i="19" s="1"/>
  <c r="AA1255" i="19"/>
  <c r="AB1255" i="19" s="1"/>
  <c r="AA1256" i="19"/>
  <c r="AB1256" i="19" s="1"/>
  <c r="AA1257" i="19"/>
  <c r="AB1257" i="19" s="1"/>
  <c r="AA1258" i="19"/>
  <c r="AB1258" i="19" s="1"/>
  <c r="AA1259" i="19"/>
  <c r="AB1259" i="19" s="1"/>
  <c r="AA1260" i="19"/>
  <c r="AB1260" i="19" s="1"/>
  <c r="AA1261" i="19"/>
  <c r="AB1261" i="19" s="1"/>
  <c r="AA1262" i="19"/>
  <c r="AB1262" i="19" s="1"/>
  <c r="AA1263" i="19"/>
  <c r="AB1263" i="19" s="1"/>
  <c r="AA1264" i="19"/>
  <c r="AB1264" i="19" s="1"/>
  <c r="AA1265" i="19"/>
  <c r="AA1266" i="19"/>
  <c r="AA1267" i="19"/>
  <c r="AB1267" i="19" s="1"/>
  <c r="AA1268" i="19"/>
  <c r="AB1268" i="19" s="1"/>
  <c r="AA1269" i="19"/>
  <c r="AB1269" i="19" s="1"/>
  <c r="AA1270" i="19"/>
  <c r="AB1270" i="19" s="1"/>
  <c r="AA1271" i="19"/>
  <c r="AB1271" i="19" s="1"/>
  <c r="AA1272" i="19"/>
  <c r="AB1272" i="19" s="1"/>
  <c r="AA1273" i="19"/>
  <c r="AB1273" i="19" s="1"/>
  <c r="AA1274" i="19"/>
  <c r="AB1274" i="19" s="1"/>
  <c r="AA1275" i="19"/>
  <c r="AB1275" i="19" s="1"/>
  <c r="AA1276" i="19"/>
  <c r="AB1276" i="19" s="1"/>
  <c r="AA1277" i="19"/>
  <c r="AB1277" i="19" s="1"/>
  <c r="AA1278" i="19"/>
  <c r="AB1278" i="19" s="1"/>
  <c r="AA1279" i="19"/>
  <c r="AA1280" i="19"/>
  <c r="AB1280" i="19" s="1"/>
  <c r="AA1281" i="19"/>
  <c r="AB1281" i="19" s="1"/>
  <c r="AA1282" i="19"/>
  <c r="AB1282" i="19" s="1"/>
  <c r="AA1283" i="19"/>
  <c r="AB1283" i="19" s="1"/>
  <c r="AA1284" i="19"/>
  <c r="AB1284" i="19" s="1"/>
  <c r="AA1285" i="19"/>
  <c r="AB1285" i="19" s="1"/>
  <c r="AA1286" i="19"/>
  <c r="AA1287" i="19"/>
  <c r="AB1287" i="19" s="1"/>
  <c r="AA1288" i="19"/>
  <c r="AB1288" i="19" s="1"/>
  <c r="AA1289" i="19"/>
  <c r="AA1290" i="19"/>
  <c r="AB1290" i="19" s="1"/>
  <c r="AA1291" i="19"/>
  <c r="AA1292" i="19"/>
  <c r="AB1292" i="19" s="1"/>
  <c r="AA1293" i="19"/>
  <c r="AB1293" i="19" s="1"/>
  <c r="AA1294" i="19"/>
  <c r="AB1294" i="19" s="1"/>
  <c r="AA1295" i="19"/>
  <c r="AB1295" i="19" s="1"/>
  <c r="AA1296" i="19"/>
  <c r="AB1296" i="19" s="1"/>
  <c r="AA1297" i="19"/>
  <c r="AB1297" i="19" s="1"/>
  <c r="AA1298" i="19"/>
  <c r="AB1298" i="19" s="1"/>
  <c r="AA1299" i="19"/>
  <c r="AB1299" i="19" s="1"/>
  <c r="AA1300" i="19"/>
  <c r="AB1300" i="19" s="1"/>
  <c r="AA1301" i="19"/>
  <c r="AB1301" i="19" s="1"/>
  <c r="AA1302" i="19"/>
  <c r="AB1302" i="19" s="1"/>
  <c r="AA1303" i="19"/>
  <c r="AA1304" i="19"/>
  <c r="AB1304" i="19" s="1"/>
  <c r="AA1305" i="19"/>
  <c r="AB1305" i="19" s="1"/>
  <c r="AA1306" i="19"/>
  <c r="AB1306" i="19" s="1"/>
  <c r="AA1307" i="19"/>
  <c r="AB1307" i="19" s="1"/>
  <c r="AA1308" i="19"/>
  <c r="AB1308" i="19" s="1"/>
  <c r="AA1309" i="19"/>
  <c r="AA1310" i="19"/>
  <c r="AB1310" i="19" s="1"/>
  <c r="AA1311" i="19"/>
  <c r="AB1311" i="19" s="1"/>
  <c r="AA1312" i="19"/>
  <c r="AB1312" i="19" s="1"/>
  <c r="AA1313" i="19"/>
  <c r="AA1314" i="19"/>
  <c r="AB1314" i="19" s="1"/>
  <c r="AA1315" i="19"/>
  <c r="AA1316" i="19"/>
  <c r="AB1316" i="19" s="1"/>
  <c r="AA1317" i="19"/>
  <c r="AB1317" i="19" s="1"/>
  <c r="AA1318" i="19"/>
  <c r="AB1318" i="19" s="1"/>
  <c r="AA1319" i="19"/>
  <c r="AB1319" i="19" s="1"/>
  <c r="AA1320" i="19"/>
  <c r="AB1320" i="19" s="1"/>
  <c r="AA1321" i="19"/>
  <c r="AA1322" i="19"/>
  <c r="AB1322" i="19" s="1"/>
  <c r="AA1323" i="19"/>
  <c r="AB1323" i="19" s="1"/>
  <c r="AA1324" i="19"/>
  <c r="AB1324" i="19" s="1"/>
  <c r="AA1325" i="19"/>
  <c r="AA1326" i="19"/>
  <c r="AB1326" i="19" s="1"/>
  <c r="AA1327" i="19"/>
  <c r="AA1328" i="19"/>
  <c r="AB1328" i="19" s="1"/>
  <c r="AA1329" i="19"/>
  <c r="AB1329" i="19" s="1"/>
  <c r="AA1330" i="19"/>
  <c r="AB1330" i="19" s="1"/>
  <c r="AA1331" i="19"/>
  <c r="AB1331" i="19" s="1"/>
  <c r="AA1332" i="19"/>
  <c r="AB1332" i="19" s="1"/>
  <c r="AA1333" i="19"/>
  <c r="AA1334" i="19"/>
  <c r="AB1334" i="19" s="1"/>
  <c r="AA1335" i="19"/>
  <c r="AB1335" i="19" s="1"/>
  <c r="AA1336" i="19"/>
  <c r="AB1336" i="19" s="1"/>
  <c r="AA1337" i="19"/>
  <c r="AB1337" i="19" s="1"/>
  <c r="AA1338" i="19"/>
  <c r="AA1339" i="19"/>
  <c r="AA1340" i="19"/>
  <c r="AB1340" i="19" s="1"/>
  <c r="AA1341" i="19"/>
  <c r="AB1341" i="19" s="1"/>
  <c r="AA1342" i="19"/>
  <c r="AB1342" i="19" s="1"/>
  <c r="AA1343" i="19"/>
  <c r="AB1343" i="19" s="1"/>
  <c r="AA1344" i="19"/>
  <c r="AB1344" i="19" s="1"/>
  <c r="AA1345" i="19"/>
  <c r="AA1346" i="19"/>
  <c r="AB1346" i="19" s="1"/>
  <c r="AA1347" i="19"/>
  <c r="AB1347" i="19" s="1"/>
  <c r="AA1348" i="19"/>
  <c r="AB1348" i="19" s="1"/>
  <c r="AA1349" i="19"/>
  <c r="AB1349" i="19" s="1"/>
  <c r="AA1350" i="19"/>
  <c r="AA1351" i="19"/>
  <c r="AB1351" i="19" s="1"/>
  <c r="AA1352" i="19"/>
  <c r="AB1352" i="19" s="1"/>
  <c r="AA1353" i="19"/>
  <c r="AB1353" i="19" s="1"/>
  <c r="AA1354" i="19"/>
  <c r="AB1354" i="19" s="1"/>
  <c r="AA1355" i="19"/>
  <c r="AB1355" i="19" s="1"/>
  <c r="AA1356" i="19"/>
  <c r="AB1356" i="19" s="1"/>
  <c r="AA1357" i="19"/>
  <c r="AB1357" i="19" s="1"/>
  <c r="AA1358" i="19"/>
  <c r="AB1358" i="19" s="1"/>
  <c r="AA1359" i="19"/>
  <c r="AB1359" i="19" s="1"/>
  <c r="AA1360" i="19"/>
  <c r="AB1360" i="19" s="1"/>
  <c r="AA1361" i="19"/>
  <c r="AB1361" i="19" s="1"/>
  <c r="AA1362" i="19"/>
  <c r="AA1363" i="19"/>
  <c r="AB1363" i="19" s="1"/>
  <c r="AA1364" i="19"/>
  <c r="AB1364" i="19" s="1"/>
  <c r="AA1365" i="19"/>
  <c r="AB1365" i="19" s="1"/>
  <c r="AA1366" i="19"/>
  <c r="AB1366" i="19" s="1"/>
  <c r="AA1367" i="19"/>
  <c r="AB1367" i="19" s="1"/>
  <c r="AA1368" i="19"/>
  <c r="AB1368" i="19" s="1"/>
  <c r="AA1369" i="19"/>
  <c r="AB1369" i="19" s="1"/>
  <c r="AA1370" i="19"/>
  <c r="AA1371" i="19"/>
  <c r="AB1371" i="19" s="1"/>
  <c r="AA1372" i="19"/>
  <c r="AB1372" i="19" s="1"/>
  <c r="AA1373" i="19"/>
  <c r="AB1373" i="19" s="1"/>
  <c r="AA1374" i="19"/>
  <c r="AA1375" i="19"/>
  <c r="AA1376" i="19"/>
  <c r="AB1376" i="19" s="1"/>
  <c r="AA1377" i="19"/>
  <c r="AB1377" i="19" s="1"/>
  <c r="AA1378" i="19"/>
  <c r="AB1378" i="19" s="1"/>
  <c r="AA1379" i="19"/>
  <c r="AB1379" i="19" s="1"/>
  <c r="AA1380" i="19"/>
  <c r="AB1380" i="19" s="1"/>
  <c r="AA1381" i="19"/>
  <c r="AB1381" i="19" s="1"/>
  <c r="AA1382" i="19"/>
  <c r="AB1382" i="19" s="1"/>
  <c r="AA1383" i="19"/>
  <c r="AB1383" i="19" s="1"/>
  <c r="AA1384" i="19"/>
  <c r="AB1384" i="19" s="1"/>
  <c r="AA1385" i="19"/>
  <c r="AA1386" i="19"/>
  <c r="AB1386" i="19" s="1"/>
  <c r="AA1387" i="19"/>
  <c r="AB1387" i="19" s="1"/>
  <c r="AA1388" i="19"/>
  <c r="AB1388" i="19" s="1"/>
  <c r="AA1389" i="19"/>
  <c r="AB1389" i="19" s="1"/>
  <c r="AA1390" i="19"/>
  <c r="AB1390" i="19" s="1"/>
  <c r="AA1391" i="19"/>
  <c r="AB1391" i="19" s="1"/>
  <c r="I2" i="19"/>
  <c r="K2" i="19"/>
  <c r="N2" i="19"/>
  <c r="O2" i="19"/>
  <c r="I3" i="19"/>
  <c r="K3" i="19"/>
  <c r="N3" i="19"/>
  <c r="O3" i="19"/>
  <c r="I4" i="19"/>
  <c r="K4" i="19"/>
  <c r="N4" i="19"/>
  <c r="O4" i="19"/>
  <c r="I5" i="19"/>
  <c r="K5" i="19"/>
  <c r="N5" i="19"/>
  <c r="O5" i="19"/>
  <c r="I6" i="19"/>
  <c r="K6" i="19"/>
  <c r="N6" i="19"/>
  <c r="O6" i="19"/>
  <c r="I7" i="19"/>
  <c r="K7" i="19"/>
  <c r="N7" i="19"/>
  <c r="O7" i="19"/>
  <c r="I8" i="19"/>
  <c r="K8" i="19"/>
  <c r="N8" i="19"/>
  <c r="O8" i="19"/>
  <c r="I9" i="19"/>
  <c r="K9" i="19"/>
  <c r="N9" i="19"/>
  <c r="O9" i="19"/>
  <c r="I10" i="19"/>
  <c r="K10" i="19"/>
  <c r="N10" i="19"/>
  <c r="O10" i="19"/>
  <c r="I11" i="19"/>
  <c r="K11" i="19"/>
  <c r="N11" i="19"/>
  <c r="O11" i="19"/>
  <c r="I12" i="19"/>
  <c r="K12" i="19"/>
  <c r="N12" i="19"/>
  <c r="O12" i="19"/>
  <c r="I13" i="19"/>
  <c r="K13" i="19"/>
  <c r="N13" i="19"/>
  <c r="O13" i="19"/>
  <c r="I14" i="19"/>
  <c r="K14" i="19"/>
  <c r="N14" i="19"/>
  <c r="O14" i="19"/>
  <c r="I15" i="19"/>
  <c r="K15" i="19"/>
  <c r="N15" i="19"/>
  <c r="O15" i="19"/>
  <c r="I16" i="19"/>
  <c r="K16" i="19"/>
  <c r="N16" i="19"/>
  <c r="O16" i="19"/>
  <c r="I17" i="19"/>
  <c r="K17" i="19"/>
  <c r="N17" i="19"/>
  <c r="O17" i="19"/>
  <c r="I18" i="19"/>
  <c r="K18" i="19"/>
  <c r="N18" i="19"/>
  <c r="O18" i="19"/>
  <c r="I19" i="19"/>
  <c r="K19" i="19"/>
  <c r="N19" i="19"/>
  <c r="O19" i="19"/>
  <c r="I20" i="19"/>
  <c r="K20" i="19"/>
  <c r="N20" i="19"/>
  <c r="O20" i="19"/>
  <c r="I21" i="19"/>
  <c r="K21" i="19"/>
  <c r="N21" i="19"/>
  <c r="O21" i="19"/>
  <c r="I22" i="19"/>
  <c r="K22" i="19"/>
  <c r="N22" i="19"/>
  <c r="O22" i="19"/>
  <c r="I23" i="19"/>
  <c r="K23" i="19"/>
  <c r="N23" i="19"/>
  <c r="O23" i="19"/>
  <c r="I24" i="19"/>
  <c r="K24" i="19"/>
  <c r="N24" i="19"/>
  <c r="O24" i="19"/>
  <c r="I25" i="19"/>
  <c r="K25" i="19"/>
  <c r="N25" i="19"/>
  <c r="O25" i="19"/>
  <c r="I26" i="19"/>
  <c r="K26" i="19"/>
  <c r="N26" i="19"/>
  <c r="O26" i="19"/>
  <c r="I27" i="19"/>
  <c r="K27" i="19"/>
  <c r="N27" i="19"/>
  <c r="O27" i="19"/>
  <c r="I28" i="19"/>
  <c r="K28" i="19"/>
  <c r="N28" i="19"/>
  <c r="O28" i="19"/>
  <c r="I29" i="19"/>
  <c r="K29" i="19"/>
  <c r="N29" i="19"/>
  <c r="O29" i="19"/>
  <c r="I30" i="19"/>
  <c r="K30" i="19"/>
  <c r="N30" i="19"/>
  <c r="O30" i="19"/>
  <c r="I31" i="19"/>
  <c r="K31" i="19"/>
  <c r="N31" i="19"/>
  <c r="O31" i="19"/>
  <c r="I32" i="19"/>
  <c r="K32" i="19"/>
  <c r="N32" i="19"/>
  <c r="O32" i="19"/>
  <c r="I33" i="19"/>
  <c r="K33" i="19"/>
  <c r="N33" i="19"/>
  <c r="O33" i="19"/>
  <c r="I34" i="19"/>
  <c r="K34" i="19"/>
  <c r="N34" i="19"/>
  <c r="O34" i="19"/>
  <c r="I35" i="19"/>
  <c r="K35" i="19"/>
  <c r="N35" i="19"/>
  <c r="O35" i="19"/>
  <c r="I36" i="19"/>
  <c r="K36" i="19"/>
  <c r="N36" i="19"/>
  <c r="O36" i="19"/>
  <c r="I37" i="19"/>
  <c r="K37" i="19"/>
  <c r="N37" i="19"/>
  <c r="O37" i="19"/>
  <c r="I38" i="19"/>
  <c r="K38" i="19"/>
  <c r="N38" i="19"/>
  <c r="O38" i="19"/>
  <c r="I39" i="19"/>
  <c r="K39" i="19"/>
  <c r="N39" i="19"/>
  <c r="O39" i="19"/>
  <c r="I40" i="19"/>
  <c r="K40" i="19"/>
  <c r="N40" i="19"/>
  <c r="O40" i="19"/>
  <c r="I41" i="19"/>
  <c r="K41" i="19"/>
  <c r="N41" i="19"/>
  <c r="O41" i="19"/>
  <c r="I42" i="19"/>
  <c r="K42" i="19"/>
  <c r="N42" i="19"/>
  <c r="O42" i="19"/>
  <c r="I43" i="19"/>
  <c r="K43" i="19"/>
  <c r="N43" i="19"/>
  <c r="O43" i="19"/>
  <c r="I44" i="19"/>
  <c r="K44" i="19"/>
  <c r="N44" i="19"/>
  <c r="O44" i="19"/>
  <c r="I45" i="19"/>
  <c r="K45" i="19"/>
  <c r="N45" i="19"/>
  <c r="O45" i="19"/>
  <c r="I46" i="19"/>
  <c r="K46" i="19"/>
  <c r="N46" i="19"/>
  <c r="O46" i="19"/>
  <c r="I47" i="19"/>
  <c r="K47" i="19"/>
  <c r="N47" i="19"/>
  <c r="O47" i="19"/>
  <c r="I48" i="19"/>
  <c r="K48" i="19"/>
  <c r="N48" i="19"/>
  <c r="O48" i="19"/>
  <c r="I49" i="19"/>
  <c r="K49" i="19"/>
  <c r="N49" i="19"/>
  <c r="O49" i="19"/>
  <c r="I50" i="19"/>
  <c r="K50" i="19"/>
  <c r="N50" i="19"/>
  <c r="O50" i="19"/>
  <c r="I51" i="19"/>
  <c r="K51" i="19"/>
  <c r="N51" i="19"/>
  <c r="O51" i="19"/>
  <c r="I52" i="19"/>
  <c r="K52" i="19"/>
  <c r="N52" i="19"/>
  <c r="O52" i="19"/>
  <c r="I53" i="19"/>
  <c r="K53" i="19"/>
  <c r="N53" i="19"/>
  <c r="O53" i="19"/>
  <c r="I54" i="19"/>
  <c r="K54" i="19"/>
  <c r="N54" i="19"/>
  <c r="O54" i="19"/>
  <c r="I55" i="19"/>
  <c r="K55" i="19"/>
  <c r="N55" i="19"/>
  <c r="O55" i="19"/>
  <c r="I56" i="19"/>
  <c r="K56" i="19"/>
  <c r="N56" i="19"/>
  <c r="O56" i="19"/>
  <c r="I57" i="19"/>
  <c r="K57" i="19"/>
  <c r="N57" i="19"/>
  <c r="O57" i="19"/>
  <c r="I58" i="19"/>
  <c r="K58" i="19"/>
  <c r="N58" i="19"/>
  <c r="O58" i="19"/>
  <c r="I59" i="19"/>
  <c r="K59" i="19"/>
  <c r="N59" i="19"/>
  <c r="O59" i="19"/>
  <c r="I60" i="19"/>
  <c r="K60" i="19"/>
  <c r="N60" i="19"/>
  <c r="O60" i="19"/>
  <c r="I61" i="19"/>
  <c r="K61" i="19"/>
  <c r="N61" i="19"/>
  <c r="O61" i="19"/>
  <c r="I62" i="19"/>
  <c r="K62" i="19"/>
  <c r="N62" i="19"/>
  <c r="O62" i="19"/>
  <c r="I63" i="19"/>
  <c r="K63" i="19"/>
  <c r="N63" i="19"/>
  <c r="O63" i="19"/>
  <c r="I64" i="19"/>
  <c r="K64" i="19"/>
  <c r="N64" i="19"/>
  <c r="O64" i="19"/>
  <c r="I65" i="19"/>
  <c r="K65" i="19"/>
  <c r="N65" i="19"/>
  <c r="O65" i="19"/>
  <c r="I66" i="19"/>
  <c r="K66" i="19"/>
  <c r="N66" i="19"/>
  <c r="O66" i="19"/>
  <c r="I67" i="19"/>
  <c r="K67" i="19"/>
  <c r="N67" i="19"/>
  <c r="O67" i="19"/>
  <c r="I68" i="19"/>
  <c r="K68" i="19"/>
  <c r="N68" i="19"/>
  <c r="O68" i="19"/>
  <c r="I69" i="19"/>
  <c r="K69" i="19"/>
  <c r="N69" i="19"/>
  <c r="O69" i="19"/>
  <c r="I70" i="19"/>
  <c r="K70" i="19"/>
  <c r="N70" i="19"/>
  <c r="O70" i="19"/>
  <c r="I71" i="19"/>
  <c r="K71" i="19"/>
  <c r="N71" i="19"/>
  <c r="O71" i="19"/>
  <c r="I72" i="19"/>
  <c r="K72" i="19"/>
  <c r="N72" i="19"/>
  <c r="O72" i="19"/>
  <c r="I73" i="19"/>
  <c r="K73" i="19"/>
  <c r="N73" i="19"/>
  <c r="O73" i="19"/>
  <c r="I74" i="19"/>
  <c r="K74" i="19"/>
  <c r="N74" i="19"/>
  <c r="O74" i="19"/>
  <c r="I75" i="19"/>
  <c r="K75" i="19"/>
  <c r="N75" i="19"/>
  <c r="O75" i="19"/>
  <c r="I76" i="19"/>
  <c r="K76" i="19"/>
  <c r="N76" i="19"/>
  <c r="O76" i="19"/>
  <c r="I77" i="19"/>
  <c r="K77" i="19"/>
  <c r="N77" i="19"/>
  <c r="O77" i="19"/>
  <c r="I78" i="19"/>
  <c r="K78" i="19"/>
  <c r="N78" i="19"/>
  <c r="O78" i="19"/>
  <c r="I79" i="19"/>
  <c r="K79" i="19"/>
  <c r="N79" i="19"/>
  <c r="O79" i="19"/>
  <c r="I80" i="19"/>
  <c r="K80" i="19"/>
  <c r="N80" i="19"/>
  <c r="O80" i="19"/>
  <c r="I81" i="19"/>
  <c r="K81" i="19"/>
  <c r="N81" i="19"/>
  <c r="O81" i="19"/>
  <c r="I82" i="19"/>
  <c r="K82" i="19"/>
  <c r="N82" i="19"/>
  <c r="O82" i="19"/>
  <c r="I83" i="19"/>
  <c r="K83" i="19"/>
  <c r="N83" i="19"/>
  <c r="O83" i="19"/>
  <c r="I84" i="19"/>
  <c r="K84" i="19"/>
  <c r="N84" i="19"/>
  <c r="O84" i="19"/>
  <c r="I85" i="19"/>
  <c r="K85" i="19"/>
  <c r="N85" i="19"/>
  <c r="O85" i="19"/>
  <c r="I86" i="19"/>
  <c r="K86" i="19"/>
  <c r="N86" i="19"/>
  <c r="O86" i="19"/>
  <c r="I87" i="19"/>
  <c r="K87" i="19"/>
  <c r="N87" i="19"/>
  <c r="O87" i="19"/>
  <c r="I88" i="19"/>
  <c r="K88" i="19"/>
  <c r="N88" i="19"/>
  <c r="O88" i="19"/>
  <c r="I89" i="19"/>
  <c r="K89" i="19"/>
  <c r="N89" i="19"/>
  <c r="O89" i="19"/>
  <c r="I90" i="19"/>
  <c r="K90" i="19"/>
  <c r="N90" i="19"/>
  <c r="O90" i="19"/>
  <c r="I91" i="19"/>
  <c r="K91" i="19"/>
  <c r="N91" i="19"/>
  <c r="O91" i="19"/>
  <c r="I92" i="19"/>
  <c r="K92" i="19"/>
  <c r="N92" i="19"/>
  <c r="O92" i="19"/>
  <c r="I93" i="19"/>
  <c r="K93" i="19"/>
  <c r="N93" i="19"/>
  <c r="O93" i="19"/>
  <c r="I94" i="19"/>
  <c r="K94" i="19"/>
  <c r="N94" i="19"/>
  <c r="O94" i="19"/>
  <c r="I95" i="19"/>
  <c r="K95" i="19"/>
  <c r="N95" i="19"/>
  <c r="O95" i="19"/>
  <c r="I96" i="19"/>
  <c r="K96" i="19"/>
  <c r="N96" i="19"/>
  <c r="O96" i="19"/>
  <c r="I97" i="19"/>
  <c r="K97" i="19"/>
  <c r="N97" i="19"/>
  <c r="O97" i="19"/>
  <c r="I98" i="19"/>
  <c r="K98" i="19"/>
  <c r="N98" i="19"/>
  <c r="O98" i="19"/>
  <c r="I99" i="19"/>
  <c r="K99" i="19"/>
  <c r="N99" i="19"/>
  <c r="O99" i="19"/>
  <c r="I100" i="19"/>
  <c r="K100" i="19"/>
  <c r="N100" i="19"/>
  <c r="O100" i="19"/>
  <c r="I101" i="19"/>
  <c r="K101" i="19"/>
  <c r="N101" i="19"/>
  <c r="O101" i="19"/>
  <c r="I102" i="19"/>
  <c r="K102" i="19"/>
  <c r="N102" i="19"/>
  <c r="O102" i="19"/>
  <c r="I103" i="19"/>
  <c r="K103" i="19"/>
  <c r="N103" i="19"/>
  <c r="O103" i="19"/>
  <c r="I104" i="19"/>
  <c r="K104" i="19"/>
  <c r="N104" i="19"/>
  <c r="O104" i="19"/>
  <c r="I105" i="19"/>
  <c r="K105" i="19"/>
  <c r="N105" i="19"/>
  <c r="O105" i="19"/>
  <c r="I106" i="19"/>
  <c r="K106" i="19"/>
  <c r="N106" i="19"/>
  <c r="O106" i="19"/>
  <c r="I107" i="19"/>
  <c r="K107" i="19"/>
  <c r="N107" i="19"/>
  <c r="O107" i="19"/>
  <c r="I108" i="19"/>
  <c r="K108" i="19"/>
  <c r="N108" i="19"/>
  <c r="O108" i="19"/>
  <c r="I109" i="19"/>
  <c r="K109" i="19"/>
  <c r="N109" i="19"/>
  <c r="O109" i="19"/>
  <c r="I110" i="19"/>
  <c r="K110" i="19"/>
  <c r="N110" i="19"/>
  <c r="O110" i="19"/>
  <c r="I111" i="19"/>
  <c r="K111" i="19"/>
  <c r="N111" i="19"/>
  <c r="O111" i="19"/>
  <c r="I112" i="19"/>
  <c r="K112" i="19"/>
  <c r="N112" i="19"/>
  <c r="O112" i="19"/>
  <c r="I113" i="19"/>
  <c r="K113" i="19"/>
  <c r="N113" i="19"/>
  <c r="O113" i="19"/>
  <c r="I114" i="19"/>
  <c r="K114" i="19"/>
  <c r="N114" i="19"/>
  <c r="O114" i="19"/>
  <c r="I115" i="19"/>
  <c r="K115" i="19"/>
  <c r="N115" i="19"/>
  <c r="O115" i="19"/>
  <c r="I116" i="19"/>
  <c r="K116" i="19"/>
  <c r="N116" i="19"/>
  <c r="O116" i="19"/>
  <c r="I117" i="19"/>
  <c r="K117" i="19"/>
  <c r="N117" i="19"/>
  <c r="O117" i="19"/>
  <c r="I118" i="19"/>
  <c r="K118" i="19"/>
  <c r="N118" i="19"/>
  <c r="O118" i="19"/>
  <c r="I119" i="19"/>
  <c r="K119" i="19"/>
  <c r="N119" i="19"/>
  <c r="O119" i="19"/>
  <c r="I120" i="19"/>
  <c r="K120" i="19"/>
  <c r="N120" i="19"/>
  <c r="O120" i="19"/>
  <c r="I121" i="19"/>
  <c r="K121" i="19"/>
  <c r="N121" i="19"/>
  <c r="O121" i="19"/>
  <c r="I122" i="19"/>
  <c r="K122" i="19"/>
  <c r="N122" i="19"/>
  <c r="O122" i="19"/>
  <c r="I123" i="19"/>
  <c r="K123" i="19"/>
  <c r="N123" i="19"/>
  <c r="O123" i="19"/>
  <c r="I124" i="19"/>
  <c r="K124" i="19"/>
  <c r="N124" i="19"/>
  <c r="O124" i="19"/>
  <c r="I125" i="19"/>
  <c r="K125" i="19"/>
  <c r="N125" i="19"/>
  <c r="O125" i="19"/>
  <c r="I126" i="19"/>
  <c r="K126" i="19"/>
  <c r="N126" i="19"/>
  <c r="O126" i="19"/>
  <c r="I127" i="19"/>
  <c r="K127" i="19"/>
  <c r="N127" i="19"/>
  <c r="O127" i="19"/>
  <c r="I128" i="19"/>
  <c r="K128" i="19"/>
  <c r="N128" i="19"/>
  <c r="O128" i="19"/>
  <c r="I129" i="19"/>
  <c r="K129" i="19"/>
  <c r="N129" i="19"/>
  <c r="O129" i="19"/>
  <c r="I130" i="19"/>
  <c r="K130" i="19"/>
  <c r="N130" i="19"/>
  <c r="O130" i="19"/>
  <c r="I131" i="19"/>
  <c r="K131" i="19"/>
  <c r="N131" i="19"/>
  <c r="O131" i="19"/>
  <c r="I132" i="19"/>
  <c r="K132" i="19"/>
  <c r="N132" i="19"/>
  <c r="O132" i="19"/>
  <c r="I133" i="19"/>
  <c r="K133" i="19"/>
  <c r="N133" i="19"/>
  <c r="O133" i="19"/>
  <c r="I134" i="19"/>
  <c r="K134" i="19"/>
  <c r="N134" i="19"/>
  <c r="O134" i="19"/>
  <c r="I135" i="19"/>
  <c r="K135" i="19"/>
  <c r="N135" i="19"/>
  <c r="O135" i="19"/>
  <c r="I136" i="19"/>
  <c r="K136" i="19"/>
  <c r="N136" i="19"/>
  <c r="O136" i="19"/>
  <c r="I137" i="19"/>
  <c r="K137" i="19"/>
  <c r="N137" i="19"/>
  <c r="O137" i="19"/>
  <c r="I138" i="19"/>
  <c r="K138" i="19"/>
  <c r="N138" i="19"/>
  <c r="O138" i="19"/>
  <c r="I139" i="19"/>
  <c r="K139" i="19"/>
  <c r="N139" i="19"/>
  <c r="O139" i="19"/>
  <c r="I140" i="19"/>
  <c r="K140" i="19"/>
  <c r="N140" i="19"/>
  <c r="O140" i="19"/>
  <c r="I141" i="19"/>
  <c r="K141" i="19"/>
  <c r="N141" i="19"/>
  <c r="O141" i="19"/>
  <c r="I142" i="19"/>
  <c r="K142" i="19"/>
  <c r="N142" i="19"/>
  <c r="O142" i="19"/>
  <c r="I143" i="19"/>
  <c r="K143" i="19"/>
  <c r="N143" i="19"/>
  <c r="O143" i="19"/>
  <c r="I144" i="19"/>
  <c r="K144" i="19"/>
  <c r="N144" i="19"/>
  <c r="O144" i="19"/>
  <c r="I145" i="19"/>
  <c r="K145" i="19"/>
  <c r="N145" i="19"/>
  <c r="O145" i="19"/>
  <c r="I146" i="19"/>
  <c r="K146" i="19"/>
  <c r="N146" i="19"/>
  <c r="O146" i="19"/>
  <c r="I147" i="19"/>
  <c r="K147" i="19"/>
  <c r="N147" i="19"/>
  <c r="O147" i="19"/>
  <c r="I148" i="19"/>
  <c r="K148" i="19"/>
  <c r="N148" i="19"/>
  <c r="O148" i="19"/>
  <c r="I149" i="19"/>
  <c r="K149" i="19"/>
  <c r="N149" i="19"/>
  <c r="O149" i="19"/>
  <c r="I150" i="19"/>
  <c r="K150" i="19"/>
  <c r="N150" i="19"/>
  <c r="O150" i="19"/>
  <c r="I151" i="19"/>
  <c r="K151" i="19"/>
  <c r="N151" i="19"/>
  <c r="O151" i="19"/>
  <c r="I152" i="19"/>
  <c r="K152" i="19"/>
  <c r="N152" i="19"/>
  <c r="O152" i="19"/>
  <c r="I153" i="19"/>
  <c r="K153" i="19"/>
  <c r="N153" i="19"/>
  <c r="O153" i="19"/>
  <c r="I154" i="19"/>
  <c r="K154" i="19"/>
  <c r="N154" i="19"/>
  <c r="O154" i="19"/>
  <c r="I155" i="19"/>
  <c r="K155" i="19"/>
  <c r="N155" i="19"/>
  <c r="O155" i="19"/>
  <c r="I156" i="19"/>
  <c r="K156" i="19"/>
  <c r="N156" i="19"/>
  <c r="O156" i="19"/>
  <c r="I157" i="19"/>
  <c r="K157" i="19"/>
  <c r="N157" i="19"/>
  <c r="O157" i="19"/>
  <c r="I158" i="19"/>
  <c r="K158" i="19"/>
  <c r="N158" i="19"/>
  <c r="O158" i="19"/>
  <c r="I159" i="19"/>
  <c r="K159" i="19"/>
  <c r="N159" i="19"/>
  <c r="O159" i="19"/>
  <c r="I160" i="19"/>
  <c r="K160" i="19"/>
  <c r="N160" i="19"/>
  <c r="O160" i="19"/>
  <c r="I161" i="19"/>
  <c r="K161" i="19"/>
  <c r="N161" i="19"/>
  <c r="O161" i="19"/>
  <c r="I162" i="19"/>
  <c r="K162" i="19"/>
  <c r="N162" i="19"/>
  <c r="O162" i="19"/>
  <c r="I163" i="19"/>
  <c r="K163" i="19"/>
  <c r="N163" i="19"/>
  <c r="O163" i="19"/>
  <c r="I164" i="19"/>
  <c r="K164" i="19"/>
  <c r="N164" i="19"/>
  <c r="O164" i="19"/>
  <c r="I165" i="19"/>
  <c r="K165" i="19"/>
  <c r="N165" i="19"/>
  <c r="O165" i="19"/>
  <c r="I166" i="19"/>
  <c r="K166" i="19"/>
  <c r="N166" i="19"/>
  <c r="O166" i="19"/>
  <c r="I167" i="19"/>
  <c r="K167" i="19"/>
  <c r="N167" i="19"/>
  <c r="O167" i="19"/>
  <c r="I168" i="19"/>
  <c r="K168" i="19"/>
  <c r="N168" i="19"/>
  <c r="O168" i="19"/>
  <c r="I169" i="19"/>
  <c r="K169" i="19"/>
  <c r="N169" i="19"/>
  <c r="O169" i="19"/>
  <c r="I170" i="19"/>
  <c r="K170" i="19"/>
  <c r="N170" i="19"/>
  <c r="O170" i="19"/>
  <c r="I171" i="19"/>
  <c r="K171" i="19"/>
  <c r="N171" i="19"/>
  <c r="O171" i="19"/>
  <c r="I172" i="19"/>
  <c r="K172" i="19"/>
  <c r="N172" i="19"/>
  <c r="O172" i="19"/>
  <c r="I173" i="19"/>
  <c r="K173" i="19"/>
  <c r="N173" i="19"/>
  <c r="O173" i="19"/>
  <c r="I174" i="19"/>
  <c r="K174" i="19"/>
  <c r="N174" i="19"/>
  <c r="O174" i="19"/>
  <c r="I175" i="19"/>
  <c r="K175" i="19"/>
  <c r="N175" i="19"/>
  <c r="O175" i="19"/>
  <c r="I176" i="19"/>
  <c r="K176" i="19"/>
  <c r="N176" i="19"/>
  <c r="O176" i="19"/>
  <c r="I177" i="19"/>
  <c r="K177" i="19"/>
  <c r="N177" i="19"/>
  <c r="O177" i="19"/>
  <c r="I178" i="19"/>
  <c r="K178" i="19"/>
  <c r="N178" i="19"/>
  <c r="O178" i="19"/>
  <c r="I179" i="19"/>
  <c r="K179" i="19"/>
  <c r="N179" i="19"/>
  <c r="O179" i="19"/>
  <c r="I180" i="19"/>
  <c r="K180" i="19"/>
  <c r="N180" i="19"/>
  <c r="O180" i="19"/>
  <c r="I181" i="19"/>
  <c r="K181" i="19"/>
  <c r="N181" i="19"/>
  <c r="O181" i="19"/>
  <c r="I182" i="19"/>
  <c r="K182" i="19"/>
  <c r="N182" i="19"/>
  <c r="O182" i="19"/>
  <c r="I183" i="19"/>
  <c r="K183" i="19"/>
  <c r="N183" i="19"/>
  <c r="O183" i="19"/>
  <c r="I184" i="19"/>
  <c r="K184" i="19"/>
  <c r="N184" i="19"/>
  <c r="O184" i="19"/>
  <c r="I185" i="19"/>
  <c r="K185" i="19"/>
  <c r="N185" i="19"/>
  <c r="O185" i="19"/>
  <c r="I186" i="19"/>
  <c r="K186" i="19"/>
  <c r="N186" i="19"/>
  <c r="O186" i="19"/>
  <c r="I187" i="19"/>
  <c r="K187" i="19"/>
  <c r="N187" i="19"/>
  <c r="O187" i="19"/>
  <c r="I188" i="19"/>
  <c r="K188" i="19"/>
  <c r="N188" i="19"/>
  <c r="O188" i="19"/>
  <c r="I189" i="19"/>
  <c r="K189" i="19"/>
  <c r="N189" i="19"/>
  <c r="O189" i="19"/>
  <c r="I190" i="19"/>
  <c r="K190" i="19"/>
  <c r="N190" i="19"/>
  <c r="O190" i="19"/>
  <c r="I191" i="19"/>
  <c r="K191" i="19"/>
  <c r="N191" i="19"/>
  <c r="O191" i="19"/>
  <c r="I192" i="19"/>
  <c r="K192" i="19"/>
  <c r="N192" i="19"/>
  <c r="O192" i="19"/>
  <c r="I193" i="19"/>
  <c r="K193" i="19"/>
  <c r="N193" i="19"/>
  <c r="O193" i="19"/>
  <c r="I194" i="19"/>
  <c r="K194" i="19"/>
  <c r="N194" i="19"/>
  <c r="O194" i="19"/>
  <c r="I195" i="19"/>
  <c r="K195" i="19"/>
  <c r="N195" i="19"/>
  <c r="O195" i="19"/>
  <c r="I196" i="19"/>
  <c r="K196" i="19"/>
  <c r="N196" i="19"/>
  <c r="O196" i="19"/>
  <c r="I197" i="19"/>
  <c r="K197" i="19"/>
  <c r="L197" i="19"/>
  <c r="N197" i="19"/>
  <c r="O197" i="19"/>
  <c r="I198" i="19"/>
  <c r="K198" i="19"/>
  <c r="N198" i="19"/>
  <c r="O198" i="19"/>
  <c r="I199" i="19"/>
  <c r="K199" i="19"/>
  <c r="N199" i="19"/>
  <c r="O199" i="19"/>
  <c r="I200" i="19"/>
  <c r="K200" i="19"/>
  <c r="N200" i="19"/>
  <c r="O200" i="19"/>
  <c r="I201" i="19"/>
  <c r="K201" i="19"/>
  <c r="N201" i="19"/>
  <c r="O201" i="19"/>
  <c r="I202" i="19"/>
  <c r="K202" i="19"/>
  <c r="N202" i="19"/>
  <c r="O202" i="19"/>
  <c r="I203" i="19"/>
  <c r="K203" i="19"/>
  <c r="N203" i="19"/>
  <c r="O203" i="19"/>
  <c r="I204" i="19"/>
  <c r="K204" i="19"/>
  <c r="N204" i="19"/>
  <c r="O204" i="19"/>
  <c r="I205" i="19"/>
  <c r="K205" i="19"/>
  <c r="N205" i="19"/>
  <c r="O205" i="19"/>
  <c r="I206" i="19"/>
  <c r="K206" i="19"/>
  <c r="N206" i="19"/>
  <c r="O206" i="19"/>
  <c r="I207" i="19"/>
  <c r="K207" i="19"/>
  <c r="N207" i="19"/>
  <c r="O207" i="19"/>
  <c r="I208" i="19"/>
  <c r="K208" i="19"/>
  <c r="N208" i="19"/>
  <c r="O208" i="19"/>
  <c r="I209" i="19"/>
  <c r="K209" i="19"/>
  <c r="N209" i="19"/>
  <c r="O209" i="19"/>
  <c r="I210" i="19"/>
  <c r="K210" i="19"/>
  <c r="N210" i="19"/>
  <c r="O210" i="19"/>
  <c r="I211" i="19"/>
  <c r="K211" i="19"/>
  <c r="N211" i="19"/>
  <c r="O211" i="19"/>
  <c r="I212" i="19"/>
  <c r="K212" i="19"/>
  <c r="N212" i="19"/>
  <c r="O212" i="19"/>
  <c r="I213" i="19"/>
  <c r="K213" i="19"/>
  <c r="N213" i="19"/>
  <c r="O213" i="19"/>
  <c r="I214" i="19"/>
  <c r="K214" i="19"/>
  <c r="N214" i="19"/>
  <c r="O214" i="19"/>
  <c r="I215" i="19"/>
  <c r="K215" i="19"/>
  <c r="N215" i="19"/>
  <c r="O215" i="19"/>
  <c r="I216" i="19"/>
  <c r="K216" i="19"/>
  <c r="N216" i="19"/>
  <c r="O216" i="19"/>
  <c r="I217" i="19"/>
  <c r="K217" i="19"/>
  <c r="N217" i="19"/>
  <c r="O217" i="19"/>
  <c r="I218" i="19"/>
  <c r="K218" i="19"/>
  <c r="N218" i="19"/>
  <c r="O218" i="19"/>
  <c r="I219" i="19"/>
  <c r="K219" i="19"/>
  <c r="N219" i="19"/>
  <c r="O219" i="19"/>
  <c r="I220" i="19"/>
  <c r="K220" i="19"/>
  <c r="N220" i="19"/>
  <c r="O220" i="19"/>
  <c r="I221" i="19"/>
  <c r="K221" i="19"/>
  <c r="N221" i="19"/>
  <c r="O221" i="19"/>
  <c r="I222" i="19"/>
  <c r="K222" i="19"/>
  <c r="N222" i="19"/>
  <c r="O222" i="19"/>
  <c r="I223" i="19"/>
  <c r="K223" i="19"/>
  <c r="N223" i="19"/>
  <c r="O223" i="19"/>
  <c r="I224" i="19"/>
  <c r="K224" i="19"/>
  <c r="N224" i="19"/>
  <c r="O224" i="19"/>
  <c r="I225" i="19"/>
  <c r="K225" i="19"/>
  <c r="N225" i="19"/>
  <c r="O225" i="19"/>
  <c r="I226" i="19"/>
  <c r="K226" i="19"/>
  <c r="N226" i="19"/>
  <c r="O226" i="19"/>
  <c r="I227" i="19"/>
  <c r="K227" i="19"/>
  <c r="N227" i="19"/>
  <c r="O227" i="19"/>
  <c r="I228" i="19"/>
  <c r="K228" i="19"/>
  <c r="N228" i="19"/>
  <c r="O228" i="19"/>
  <c r="I229" i="19"/>
  <c r="K229" i="19"/>
  <c r="N229" i="19"/>
  <c r="O229" i="19"/>
  <c r="I230" i="19"/>
  <c r="K230" i="19"/>
  <c r="N230" i="19"/>
  <c r="O230" i="19"/>
  <c r="I231" i="19"/>
  <c r="K231" i="19"/>
  <c r="N231" i="19"/>
  <c r="O231" i="19"/>
  <c r="I232" i="19"/>
  <c r="K232" i="19"/>
  <c r="N232" i="19"/>
  <c r="O232" i="19"/>
  <c r="I233" i="19"/>
  <c r="K233" i="19"/>
  <c r="N233" i="19"/>
  <c r="O233" i="19"/>
  <c r="I234" i="19"/>
  <c r="K234" i="19"/>
  <c r="N234" i="19"/>
  <c r="O234" i="19"/>
  <c r="I235" i="19"/>
  <c r="K235" i="19"/>
  <c r="N235" i="19"/>
  <c r="O235" i="19"/>
  <c r="I236" i="19"/>
  <c r="K236" i="19"/>
  <c r="N236" i="19"/>
  <c r="O236" i="19"/>
  <c r="I237" i="19"/>
  <c r="K237" i="19"/>
  <c r="N237" i="19"/>
  <c r="O237" i="19"/>
  <c r="I238" i="19"/>
  <c r="K238" i="19"/>
  <c r="N238" i="19"/>
  <c r="O238" i="19"/>
  <c r="I239" i="19"/>
  <c r="K239" i="19"/>
  <c r="N239" i="19"/>
  <c r="O239" i="19"/>
  <c r="I240" i="19"/>
  <c r="K240" i="19"/>
  <c r="N240" i="19"/>
  <c r="O240" i="19"/>
  <c r="I241" i="19"/>
  <c r="K241" i="19"/>
  <c r="N241" i="19"/>
  <c r="O241" i="19"/>
  <c r="I242" i="19"/>
  <c r="K242" i="19"/>
  <c r="N242" i="19"/>
  <c r="O242" i="19"/>
  <c r="I243" i="19"/>
  <c r="K243" i="19"/>
  <c r="N243" i="19"/>
  <c r="O243" i="19"/>
  <c r="I244" i="19"/>
  <c r="K244" i="19"/>
  <c r="N244" i="19"/>
  <c r="O244" i="19"/>
  <c r="I245" i="19"/>
  <c r="K245" i="19"/>
  <c r="N245" i="19"/>
  <c r="O245" i="19"/>
  <c r="I246" i="19"/>
  <c r="K246" i="19"/>
  <c r="N246" i="19"/>
  <c r="O246" i="19"/>
  <c r="I247" i="19"/>
  <c r="K247" i="19"/>
  <c r="N247" i="19"/>
  <c r="O247" i="19"/>
  <c r="I248" i="19"/>
  <c r="K248" i="19"/>
  <c r="N248" i="19"/>
  <c r="O248" i="19"/>
  <c r="I249" i="19"/>
  <c r="K249" i="19"/>
  <c r="N249" i="19"/>
  <c r="O249" i="19"/>
  <c r="I250" i="19"/>
  <c r="K250" i="19"/>
  <c r="N250" i="19"/>
  <c r="O250" i="19"/>
  <c r="I251" i="19"/>
  <c r="K251" i="19"/>
  <c r="N251" i="19"/>
  <c r="O251" i="19"/>
  <c r="I252" i="19"/>
  <c r="K252" i="19"/>
  <c r="N252" i="19"/>
  <c r="O252" i="19"/>
  <c r="I253" i="19"/>
  <c r="K253" i="19"/>
  <c r="N253" i="19"/>
  <c r="O253" i="19"/>
  <c r="I254" i="19"/>
  <c r="K254" i="19"/>
  <c r="N254" i="19"/>
  <c r="O254" i="19"/>
  <c r="I255" i="19"/>
  <c r="K255" i="19"/>
  <c r="N255" i="19"/>
  <c r="O255" i="19"/>
  <c r="I256" i="19"/>
  <c r="K256" i="19"/>
  <c r="N256" i="19"/>
  <c r="O256" i="19"/>
  <c r="I257" i="19"/>
  <c r="K257" i="19"/>
  <c r="N257" i="19"/>
  <c r="O257" i="19"/>
  <c r="I258" i="19"/>
  <c r="K258" i="19"/>
  <c r="N258" i="19"/>
  <c r="O258" i="19"/>
  <c r="I259" i="19"/>
  <c r="K259" i="19"/>
  <c r="N259" i="19"/>
  <c r="O259" i="19"/>
  <c r="I260" i="19"/>
  <c r="K260" i="19"/>
  <c r="N260" i="19"/>
  <c r="O260" i="19"/>
  <c r="I261" i="19"/>
  <c r="K261" i="19"/>
  <c r="N261" i="19"/>
  <c r="O261" i="19"/>
  <c r="I262" i="19"/>
  <c r="K262" i="19"/>
  <c r="N262" i="19"/>
  <c r="O262" i="19"/>
  <c r="I263" i="19"/>
  <c r="K263" i="19"/>
  <c r="N263" i="19"/>
  <c r="O263" i="19"/>
  <c r="I264" i="19"/>
  <c r="K264" i="19"/>
  <c r="N264" i="19"/>
  <c r="O264" i="19"/>
  <c r="I265" i="19"/>
  <c r="K265" i="19"/>
  <c r="N265" i="19"/>
  <c r="O265" i="19"/>
  <c r="I266" i="19"/>
  <c r="K266" i="19"/>
  <c r="N266" i="19"/>
  <c r="O266" i="19"/>
  <c r="I267" i="19"/>
  <c r="K267" i="19"/>
  <c r="N267" i="19"/>
  <c r="O267" i="19"/>
  <c r="I268" i="19"/>
  <c r="K268" i="19"/>
  <c r="N268" i="19"/>
  <c r="O268" i="19"/>
  <c r="I269" i="19"/>
  <c r="K269" i="19"/>
  <c r="N269" i="19"/>
  <c r="O269" i="19"/>
  <c r="I270" i="19"/>
  <c r="K270" i="19"/>
  <c r="N270" i="19"/>
  <c r="O270" i="19"/>
  <c r="I271" i="19"/>
  <c r="K271" i="19"/>
  <c r="N271" i="19"/>
  <c r="O271" i="19"/>
  <c r="I272" i="19"/>
  <c r="K272" i="19"/>
  <c r="N272" i="19"/>
  <c r="O272" i="19"/>
  <c r="I273" i="19"/>
  <c r="K273" i="19"/>
  <c r="N273" i="19"/>
  <c r="O273" i="19"/>
  <c r="I274" i="19"/>
  <c r="K274" i="19"/>
  <c r="N274" i="19"/>
  <c r="O274" i="19"/>
  <c r="I275" i="19"/>
  <c r="K275" i="19"/>
  <c r="N275" i="19"/>
  <c r="O275" i="19"/>
  <c r="I276" i="19"/>
  <c r="K276" i="19"/>
  <c r="N276" i="19"/>
  <c r="O276" i="19"/>
  <c r="I277" i="19"/>
  <c r="K277" i="19"/>
  <c r="N277" i="19"/>
  <c r="O277" i="19"/>
  <c r="I278" i="19"/>
  <c r="K278" i="19"/>
  <c r="N278" i="19"/>
  <c r="O278" i="19"/>
  <c r="I279" i="19"/>
  <c r="K279" i="19"/>
  <c r="N279" i="19"/>
  <c r="O279" i="19"/>
  <c r="I280" i="19"/>
  <c r="K280" i="19"/>
  <c r="N280" i="19"/>
  <c r="O280" i="19"/>
  <c r="I281" i="19"/>
  <c r="K281" i="19"/>
  <c r="N281" i="19"/>
  <c r="O281" i="19"/>
  <c r="I282" i="19"/>
  <c r="K282" i="19"/>
  <c r="N282" i="19"/>
  <c r="O282" i="19"/>
  <c r="I283" i="19"/>
  <c r="K283" i="19"/>
  <c r="N283" i="19"/>
  <c r="O283" i="19"/>
  <c r="I284" i="19"/>
  <c r="K284" i="19"/>
  <c r="N284" i="19"/>
  <c r="O284" i="19"/>
  <c r="I285" i="19"/>
  <c r="K285" i="19"/>
  <c r="N285" i="19"/>
  <c r="O285" i="19"/>
  <c r="I286" i="19"/>
  <c r="K286" i="19"/>
  <c r="N286" i="19"/>
  <c r="O286" i="19"/>
  <c r="I287" i="19"/>
  <c r="K287" i="19"/>
  <c r="N287" i="19"/>
  <c r="O287" i="19"/>
  <c r="I288" i="19"/>
  <c r="K288" i="19"/>
  <c r="N288" i="19"/>
  <c r="O288" i="19"/>
  <c r="I289" i="19"/>
  <c r="K289" i="19"/>
  <c r="N289" i="19"/>
  <c r="O289" i="19"/>
  <c r="I290" i="19"/>
  <c r="K290" i="19"/>
  <c r="N290" i="19"/>
  <c r="O290" i="19"/>
  <c r="I291" i="19"/>
  <c r="K291" i="19"/>
  <c r="N291" i="19"/>
  <c r="O291" i="19"/>
  <c r="I292" i="19"/>
  <c r="K292" i="19"/>
  <c r="N292" i="19"/>
  <c r="O292" i="19"/>
  <c r="I293" i="19"/>
  <c r="K293" i="19"/>
  <c r="N293" i="19"/>
  <c r="O293" i="19"/>
  <c r="I294" i="19"/>
  <c r="K294" i="19"/>
  <c r="N294" i="19"/>
  <c r="O294" i="19"/>
  <c r="I295" i="19"/>
  <c r="K295" i="19"/>
  <c r="N295" i="19"/>
  <c r="O295" i="19"/>
  <c r="I296" i="19"/>
  <c r="K296" i="19"/>
  <c r="N296" i="19"/>
  <c r="O296" i="19"/>
  <c r="I297" i="19"/>
  <c r="K297" i="19"/>
  <c r="N297" i="19"/>
  <c r="O297" i="19"/>
  <c r="I298" i="19"/>
  <c r="K298" i="19"/>
  <c r="N298" i="19"/>
  <c r="O298" i="19"/>
  <c r="I299" i="19"/>
  <c r="K299" i="19"/>
  <c r="N299" i="19"/>
  <c r="O299" i="19"/>
  <c r="I300" i="19"/>
  <c r="K300" i="19"/>
  <c r="N300" i="19"/>
  <c r="O300" i="19"/>
  <c r="I301" i="19"/>
  <c r="K301" i="19"/>
  <c r="N301" i="19"/>
  <c r="O301" i="19"/>
  <c r="I302" i="19"/>
  <c r="K302" i="19"/>
  <c r="N302" i="19"/>
  <c r="O302" i="19"/>
  <c r="I303" i="19"/>
  <c r="K303" i="19"/>
  <c r="N303" i="19"/>
  <c r="O303" i="19"/>
  <c r="I304" i="19"/>
  <c r="K304" i="19"/>
  <c r="N304" i="19"/>
  <c r="O304" i="19"/>
  <c r="I305" i="19"/>
  <c r="K305" i="19"/>
  <c r="N305" i="19"/>
  <c r="O305" i="19"/>
  <c r="I306" i="19"/>
  <c r="K306" i="19"/>
  <c r="N306" i="19"/>
  <c r="O306" i="19"/>
  <c r="I307" i="19"/>
  <c r="K307" i="19"/>
  <c r="N307" i="19"/>
  <c r="O307" i="19"/>
  <c r="I308" i="19"/>
  <c r="K308" i="19"/>
  <c r="N308" i="19"/>
  <c r="O308" i="19"/>
  <c r="I309" i="19"/>
  <c r="K309" i="19"/>
  <c r="N309" i="19"/>
  <c r="O309" i="19"/>
  <c r="I310" i="19"/>
  <c r="K310" i="19"/>
  <c r="N310" i="19"/>
  <c r="O310" i="19"/>
  <c r="I311" i="19"/>
  <c r="K311" i="19"/>
  <c r="N311" i="19"/>
  <c r="O311" i="19"/>
  <c r="I312" i="19"/>
  <c r="K312" i="19"/>
  <c r="N312" i="19"/>
  <c r="O312" i="19"/>
  <c r="I313" i="19"/>
  <c r="K313" i="19"/>
  <c r="N313" i="19"/>
  <c r="O313" i="19"/>
  <c r="I314" i="19"/>
  <c r="K314" i="19"/>
  <c r="N314" i="19"/>
  <c r="O314" i="19"/>
  <c r="I315" i="19"/>
  <c r="K315" i="19"/>
  <c r="N315" i="19"/>
  <c r="O315" i="19"/>
  <c r="I316" i="19"/>
  <c r="K316" i="19"/>
  <c r="N316" i="19"/>
  <c r="O316" i="19"/>
  <c r="I317" i="19"/>
  <c r="K317" i="19"/>
  <c r="N317" i="19"/>
  <c r="O317" i="19"/>
  <c r="I318" i="19"/>
  <c r="K318" i="19"/>
  <c r="N318" i="19"/>
  <c r="O318" i="19"/>
  <c r="I319" i="19"/>
  <c r="K319" i="19"/>
  <c r="N319" i="19"/>
  <c r="O319" i="19"/>
  <c r="I320" i="19"/>
  <c r="K320" i="19"/>
  <c r="N320" i="19"/>
  <c r="O320" i="19"/>
  <c r="I321" i="19"/>
  <c r="K321" i="19"/>
  <c r="N321" i="19"/>
  <c r="O321" i="19"/>
  <c r="I322" i="19"/>
  <c r="K322" i="19"/>
  <c r="N322" i="19"/>
  <c r="O322" i="19"/>
  <c r="I323" i="19"/>
  <c r="K323" i="19"/>
  <c r="N323" i="19"/>
  <c r="O323" i="19"/>
  <c r="I324" i="19"/>
  <c r="K324" i="19"/>
  <c r="N324" i="19"/>
  <c r="O324" i="19"/>
  <c r="I325" i="19"/>
  <c r="K325" i="19"/>
  <c r="N325" i="19"/>
  <c r="O325" i="19"/>
  <c r="I326" i="19"/>
  <c r="K326" i="19"/>
  <c r="N326" i="19"/>
  <c r="O326" i="19"/>
  <c r="I327" i="19"/>
  <c r="K327" i="19"/>
  <c r="N327" i="19"/>
  <c r="O327" i="19"/>
  <c r="I328" i="19"/>
  <c r="K328" i="19"/>
  <c r="N328" i="19"/>
  <c r="O328" i="19"/>
  <c r="I329" i="19"/>
  <c r="K329" i="19"/>
  <c r="N329" i="19"/>
  <c r="O329" i="19"/>
  <c r="I330" i="19"/>
  <c r="K330" i="19"/>
  <c r="N330" i="19"/>
  <c r="O330" i="19"/>
  <c r="I331" i="19"/>
  <c r="K331" i="19"/>
  <c r="N331" i="19"/>
  <c r="O331" i="19"/>
  <c r="I332" i="19"/>
  <c r="K332" i="19"/>
  <c r="N332" i="19"/>
  <c r="O332" i="19"/>
  <c r="I333" i="19"/>
  <c r="K333" i="19"/>
  <c r="N333" i="19"/>
  <c r="O333" i="19"/>
  <c r="I334" i="19"/>
  <c r="K334" i="19"/>
  <c r="N334" i="19"/>
  <c r="O334" i="19"/>
  <c r="I335" i="19"/>
  <c r="K335" i="19"/>
  <c r="N335" i="19"/>
  <c r="O335" i="19"/>
  <c r="I336" i="19"/>
  <c r="K336" i="19"/>
  <c r="N336" i="19"/>
  <c r="O336" i="19"/>
  <c r="I337" i="19"/>
  <c r="K337" i="19"/>
  <c r="N337" i="19"/>
  <c r="O337" i="19"/>
  <c r="I338" i="19"/>
  <c r="K338" i="19"/>
  <c r="N338" i="19"/>
  <c r="O338" i="19"/>
  <c r="I339" i="19"/>
  <c r="K339" i="19"/>
  <c r="N339" i="19"/>
  <c r="O339" i="19"/>
  <c r="I340" i="19"/>
  <c r="K340" i="19"/>
  <c r="N340" i="19"/>
  <c r="O340" i="19"/>
  <c r="I341" i="19"/>
  <c r="K341" i="19"/>
  <c r="N341" i="19"/>
  <c r="O341" i="19"/>
  <c r="I342" i="19"/>
  <c r="K342" i="19"/>
  <c r="N342" i="19"/>
  <c r="O342" i="19"/>
  <c r="I343" i="19"/>
  <c r="K343" i="19"/>
  <c r="N343" i="19"/>
  <c r="O343" i="19"/>
  <c r="I344" i="19"/>
  <c r="K344" i="19"/>
  <c r="N344" i="19"/>
  <c r="O344" i="19"/>
  <c r="I345" i="19"/>
  <c r="K345" i="19"/>
  <c r="N345" i="19"/>
  <c r="O345" i="19"/>
  <c r="I346" i="19"/>
  <c r="K346" i="19"/>
  <c r="N346" i="19"/>
  <c r="O346" i="19"/>
  <c r="I347" i="19"/>
  <c r="K347" i="19"/>
  <c r="N347" i="19"/>
  <c r="O347" i="19"/>
  <c r="I348" i="19"/>
  <c r="K348" i="19"/>
  <c r="N348" i="19"/>
  <c r="O348" i="19"/>
  <c r="I349" i="19"/>
  <c r="K349" i="19"/>
  <c r="N349" i="19"/>
  <c r="O349" i="19"/>
  <c r="I350" i="19"/>
  <c r="K350" i="19"/>
  <c r="N350" i="19"/>
  <c r="O350" i="19"/>
  <c r="I351" i="19"/>
  <c r="K351" i="19"/>
  <c r="N351" i="19"/>
  <c r="O351" i="19"/>
  <c r="I352" i="19"/>
  <c r="K352" i="19"/>
  <c r="N352" i="19"/>
  <c r="O352" i="19"/>
  <c r="I353" i="19"/>
  <c r="K353" i="19"/>
  <c r="N353" i="19"/>
  <c r="O353" i="19"/>
  <c r="I354" i="19"/>
  <c r="K354" i="19"/>
  <c r="N354" i="19"/>
  <c r="O354" i="19"/>
  <c r="I355" i="19"/>
  <c r="K355" i="19"/>
  <c r="N355" i="19"/>
  <c r="O355" i="19"/>
  <c r="I356" i="19"/>
  <c r="K356" i="19"/>
  <c r="N356" i="19"/>
  <c r="O356" i="19"/>
  <c r="I357" i="19"/>
  <c r="K357" i="19"/>
  <c r="N357" i="19"/>
  <c r="O357" i="19"/>
  <c r="I358" i="19"/>
  <c r="K358" i="19"/>
  <c r="N358" i="19"/>
  <c r="O358" i="19"/>
  <c r="I359" i="19"/>
  <c r="K359" i="19"/>
  <c r="N359" i="19"/>
  <c r="O359" i="19"/>
  <c r="I360" i="19"/>
  <c r="K360" i="19"/>
  <c r="N360" i="19"/>
  <c r="O360" i="19"/>
  <c r="I361" i="19"/>
  <c r="K361" i="19"/>
  <c r="N361" i="19"/>
  <c r="O361" i="19"/>
  <c r="I362" i="19"/>
  <c r="K362" i="19"/>
  <c r="N362" i="19"/>
  <c r="O362" i="19"/>
  <c r="I363" i="19"/>
  <c r="K363" i="19"/>
  <c r="N363" i="19"/>
  <c r="O363" i="19"/>
  <c r="I364" i="19"/>
  <c r="K364" i="19"/>
  <c r="N364" i="19"/>
  <c r="O364" i="19"/>
  <c r="I365" i="19"/>
  <c r="K365" i="19"/>
  <c r="N365" i="19"/>
  <c r="O365" i="19"/>
  <c r="I366" i="19"/>
  <c r="K366" i="19"/>
  <c r="N366" i="19"/>
  <c r="O366" i="19"/>
  <c r="I367" i="19"/>
  <c r="K367" i="19"/>
  <c r="N367" i="19"/>
  <c r="O367" i="19"/>
  <c r="I368" i="19"/>
  <c r="K368" i="19"/>
  <c r="N368" i="19"/>
  <c r="O368" i="19"/>
  <c r="I369" i="19"/>
  <c r="K369" i="19"/>
  <c r="N369" i="19"/>
  <c r="O369" i="19"/>
  <c r="I370" i="19"/>
  <c r="K370" i="19"/>
  <c r="N370" i="19"/>
  <c r="O370" i="19"/>
  <c r="I371" i="19"/>
  <c r="K371" i="19"/>
  <c r="N371" i="19"/>
  <c r="O371" i="19"/>
  <c r="I372" i="19"/>
  <c r="K372" i="19"/>
  <c r="N372" i="19"/>
  <c r="O372" i="19"/>
  <c r="I373" i="19"/>
  <c r="K373" i="19"/>
  <c r="N373" i="19"/>
  <c r="O373" i="19"/>
  <c r="I374" i="19"/>
  <c r="K374" i="19"/>
  <c r="N374" i="19"/>
  <c r="O374" i="19"/>
  <c r="I375" i="19"/>
  <c r="K375" i="19"/>
  <c r="N375" i="19"/>
  <c r="O375" i="19"/>
  <c r="I376" i="19"/>
  <c r="K376" i="19"/>
  <c r="N376" i="19"/>
  <c r="O376" i="19"/>
  <c r="I377" i="19"/>
  <c r="K377" i="19"/>
  <c r="N377" i="19"/>
  <c r="O377" i="19"/>
  <c r="I378" i="19"/>
  <c r="K378" i="19"/>
  <c r="N378" i="19"/>
  <c r="O378" i="19"/>
  <c r="I379" i="19"/>
  <c r="K379" i="19"/>
  <c r="R379" i="19" s="1"/>
  <c r="N379" i="19"/>
  <c r="O379" i="19"/>
  <c r="V379" i="19" s="1"/>
  <c r="W379" i="19" s="1"/>
  <c r="X379" i="19" s="1"/>
  <c r="Y379" i="19" s="1"/>
  <c r="I380" i="19"/>
  <c r="K380" i="19"/>
  <c r="N380" i="19"/>
  <c r="O380" i="19"/>
  <c r="V380" i="19" s="1"/>
  <c r="W380" i="19" s="1"/>
  <c r="X380" i="19" s="1"/>
  <c r="Y380" i="19" s="1"/>
  <c r="I381" i="19"/>
  <c r="K381" i="19"/>
  <c r="N381" i="19"/>
  <c r="O381" i="19"/>
  <c r="I382" i="19"/>
  <c r="K382" i="19"/>
  <c r="N382" i="19"/>
  <c r="O382" i="19"/>
  <c r="V382" i="19" s="1"/>
  <c r="W382" i="19" s="1"/>
  <c r="X382" i="19" s="1"/>
  <c r="Y382" i="19" s="1"/>
  <c r="I383" i="19"/>
  <c r="K383" i="19"/>
  <c r="N383" i="19"/>
  <c r="O383" i="19"/>
  <c r="I384" i="19"/>
  <c r="K384" i="19"/>
  <c r="N384" i="19"/>
  <c r="O384" i="19"/>
  <c r="V384" i="19" s="1"/>
  <c r="W384" i="19" s="1"/>
  <c r="X384" i="19" s="1"/>
  <c r="Y384" i="19" s="1"/>
  <c r="I385" i="19"/>
  <c r="K385" i="19"/>
  <c r="N385" i="19"/>
  <c r="O385" i="19"/>
  <c r="I386" i="19"/>
  <c r="K386" i="19"/>
  <c r="N386" i="19"/>
  <c r="O386" i="19"/>
  <c r="I387" i="19"/>
  <c r="K387" i="19"/>
  <c r="N387" i="19"/>
  <c r="O387" i="19"/>
  <c r="I388" i="19"/>
  <c r="K388" i="19"/>
  <c r="N388" i="19"/>
  <c r="O388" i="19"/>
  <c r="V388" i="19" s="1"/>
  <c r="W388" i="19" s="1"/>
  <c r="X388" i="19" s="1"/>
  <c r="Y388" i="19" s="1"/>
  <c r="I389" i="19"/>
  <c r="K389" i="19"/>
  <c r="N389" i="19"/>
  <c r="O389" i="19"/>
  <c r="I390" i="19"/>
  <c r="K390" i="19"/>
  <c r="N390" i="19"/>
  <c r="O390" i="19"/>
  <c r="I391" i="19"/>
  <c r="K391" i="19"/>
  <c r="N391" i="19"/>
  <c r="O391" i="19"/>
  <c r="I392" i="19"/>
  <c r="K392" i="19"/>
  <c r="N392" i="19"/>
  <c r="O392" i="19"/>
  <c r="V392" i="19" s="1"/>
  <c r="W392" i="19" s="1"/>
  <c r="X392" i="19" s="1"/>
  <c r="Y392" i="19" s="1"/>
  <c r="I393" i="19"/>
  <c r="K393" i="19"/>
  <c r="N393" i="19"/>
  <c r="O393" i="19"/>
  <c r="I394" i="19"/>
  <c r="K394" i="19"/>
  <c r="N394" i="19"/>
  <c r="O394" i="19"/>
  <c r="V394" i="19" s="1"/>
  <c r="W394" i="19" s="1"/>
  <c r="X394" i="19" s="1"/>
  <c r="Y394" i="19" s="1"/>
  <c r="I395" i="19"/>
  <c r="K395" i="19"/>
  <c r="N395" i="19"/>
  <c r="O395" i="19"/>
  <c r="I396" i="19"/>
  <c r="K396" i="19"/>
  <c r="N396" i="19"/>
  <c r="O396" i="19"/>
  <c r="I397" i="19"/>
  <c r="K397" i="19"/>
  <c r="N397" i="19"/>
  <c r="O397" i="19"/>
  <c r="I398" i="19"/>
  <c r="K398" i="19"/>
  <c r="N398" i="19"/>
  <c r="O398" i="19"/>
  <c r="I399" i="19"/>
  <c r="K399" i="19"/>
  <c r="N399" i="19"/>
  <c r="O399" i="19"/>
  <c r="I400" i="19"/>
  <c r="K400" i="19"/>
  <c r="N400" i="19"/>
  <c r="O400" i="19"/>
  <c r="I401" i="19"/>
  <c r="K401" i="19"/>
  <c r="N401" i="19"/>
  <c r="O401" i="19"/>
  <c r="I402" i="19"/>
  <c r="K402" i="19"/>
  <c r="N402" i="19"/>
  <c r="O402" i="19"/>
  <c r="I403" i="19"/>
  <c r="K403" i="19"/>
  <c r="N403" i="19"/>
  <c r="O403" i="19"/>
  <c r="V403" i="19" s="1"/>
  <c r="W403" i="19" s="1"/>
  <c r="X403" i="19" s="1"/>
  <c r="Y403" i="19" s="1"/>
  <c r="I404" i="19"/>
  <c r="K404" i="19"/>
  <c r="N404" i="19"/>
  <c r="O404" i="19"/>
  <c r="V404" i="19" s="1"/>
  <c r="W404" i="19" s="1"/>
  <c r="X404" i="19" s="1"/>
  <c r="Y404" i="19" s="1"/>
  <c r="I405" i="19"/>
  <c r="K405" i="19"/>
  <c r="N405" i="19"/>
  <c r="O405" i="19"/>
  <c r="I406" i="19"/>
  <c r="K406" i="19"/>
  <c r="N406" i="19"/>
  <c r="O406" i="19"/>
  <c r="I407" i="19"/>
  <c r="K407" i="19"/>
  <c r="N407" i="19"/>
  <c r="O407" i="19"/>
  <c r="I408" i="19"/>
  <c r="K408" i="19"/>
  <c r="N408" i="19"/>
  <c r="O408" i="19"/>
  <c r="I409" i="19"/>
  <c r="K409" i="19"/>
  <c r="N409" i="19"/>
  <c r="O409" i="19"/>
  <c r="V409" i="19" s="1"/>
  <c r="W409" i="19" s="1"/>
  <c r="X409" i="19" s="1"/>
  <c r="Y409" i="19" s="1"/>
  <c r="I410" i="19"/>
  <c r="K410" i="19"/>
  <c r="N410" i="19"/>
  <c r="O410" i="19"/>
  <c r="I411" i="19"/>
  <c r="K411" i="19"/>
  <c r="N411" i="19"/>
  <c r="O411" i="19"/>
  <c r="I412" i="19"/>
  <c r="K412" i="19"/>
  <c r="N412" i="19"/>
  <c r="O412" i="19"/>
  <c r="I413" i="19"/>
  <c r="K413" i="19"/>
  <c r="N413" i="19"/>
  <c r="O413" i="19"/>
  <c r="I414" i="19"/>
  <c r="K414" i="19"/>
  <c r="N414" i="19"/>
  <c r="O414" i="19"/>
  <c r="V414" i="19" s="1"/>
  <c r="W414" i="19" s="1"/>
  <c r="X414" i="19" s="1"/>
  <c r="Y414" i="19" s="1"/>
  <c r="I415" i="19"/>
  <c r="K415" i="19"/>
  <c r="N415" i="19"/>
  <c r="O415" i="19"/>
  <c r="I416" i="19"/>
  <c r="K416" i="19"/>
  <c r="N416" i="19"/>
  <c r="O416" i="19"/>
  <c r="I417" i="19"/>
  <c r="K417" i="19"/>
  <c r="N417" i="19"/>
  <c r="O417" i="19"/>
  <c r="V417" i="19" s="1"/>
  <c r="W417" i="19" s="1"/>
  <c r="X417" i="19" s="1"/>
  <c r="Y417" i="19" s="1"/>
  <c r="I418" i="19"/>
  <c r="K418" i="19"/>
  <c r="N418" i="19"/>
  <c r="O418" i="19"/>
  <c r="I419" i="19"/>
  <c r="K419" i="19"/>
  <c r="N419" i="19"/>
  <c r="O419" i="19"/>
  <c r="I420" i="19"/>
  <c r="K420" i="19"/>
  <c r="N420" i="19"/>
  <c r="O420" i="19"/>
  <c r="I421" i="19"/>
  <c r="K421" i="19"/>
  <c r="N421" i="19"/>
  <c r="O421" i="19"/>
  <c r="V421" i="19" s="1"/>
  <c r="W421" i="19" s="1"/>
  <c r="X421" i="19" s="1"/>
  <c r="Y421" i="19" s="1"/>
  <c r="I422" i="19"/>
  <c r="K422" i="19"/>
  <c r="N422" i="19"/>
  <c r="O422" i="19"/>
  <c r="I423" i="19"/>
  <c r="K423" i="19"/>
  <c r="N423" i="19"/>
  <c r="R423" i="19" s="1"/>
  <c r="O423" i="19"/>
  <c r="V423" i="19" s="1"/>
  <c r="W423" i="19" s="1"/>
  <c r="X423" i="19" s="1"/>
  <c r="Y423" i="19" s="1"/>
  <c r="I424" i="19"/>
  <c r="K424" i="19"/>
  <c r="N424" i="19"/>
  <c r="O424" i="19"/>
  <c r="I425" i="19"/>
  <c r="K425" i="19"/>
  <c r="N425" i="19"/>
  <c r="O425" i="19"/>
  <c r="I426" i="19"/>
  <c r="K426" i="19"/>
  <c r="N426" i="19"/>
  <c r="O426" i="19"/>
  <c r="I427" i="19"/>
  <c r="K427" i="19"/>
  <c r="N427" i="19"/>
  <c r="O427" i="19"/>
  <c r="I428" i="19"/>
  <c r="K428" i="19"/>
  <c r="N428" i="19"/>
  <c r="O428" i="19"/>
  <c r="I429" i="19"/>
  <c r="K429" i="19"/>
  <c r="N429" i="19"/>
  <c r="O429" i="19"/>
  <c r="I430" i="19"/>
  <c r="K430" i="19"/>
  <c r="N430" i="19"/>
  <c r="O430" i="19"/>
  <c r="V430" i="19" s="1"/>
  <c r="W430" i="19" s="1"/>
  <c r="X430" i="19" s="1"/>
  <c r="Y430" i="19" s="1"/>
  <c r="I431" i="19"/>
  <c r="K431" i="19"/>
  <c r="N431" i="19"/>
  <c r="O431" i="19"/>
  <c r="I432" i="19"/>
  <c r="K432" i="19"/>
  <c r="N432" i="19"/>
  <c r="O432" i="19"/>
  <c r="I433" i="19"/>
  <c r="K433" i="19"/>
  <c r="N433" i="19"/>
  <c r="O433" i="19"/>
  <c r="V433" i="19" s="1"/>
  <c r="W433" i="19" s="1"/>
  <c r="X433" i="19" s="1"/>
  <c r="Y433" i="19" s="1"/>
  <c r="I434" i="19"/>
  <c r="K434" i="19"/>
  <c r="N434" i="19"/>
  <c r="O434" i="19"/>
  <c r="I435" i="19"/>
  <c r="K435" i="19"/>
  <c r="N435" i="19"/>
  <c r="O435" i="19"/>
  <c r="I436" i="19"/>
  <c r="K436" i="19"/>
  <c r="N436" i="19"/>
  <c r="R436" i="19" s="1"/>
  <c r="O436" i="19"/>
  <c r="I437" i="19"/>
  <c r="K437" i="19"/>
  <c r="N437" i="19"/>
  <c r="O437" i="19"/>
  <c r="I438" i="19"/>
  <c r="K438" i="19"/>
  <c r="N438" i="19"/>
  <c r="O438" i="19"/>
  <c r="I439" i="19"/>
  <c r="K439" i="19"/>
  <c r="N439" i="19"/>
  <c r="O439" i="19"/>
  <c r="I440" i="19"/>
  <c r="K440" i="19"/>
  <c r="N440" i="19"/>
  <c r="O440" i="19"/>
  <c r="I441" i="19"/>
  <c r="K441" i="19"/>
  <c r="N441" i="19"/>
  <c r="O441" i="19"/>
  <c r="I442" i="19"/>
  <c r="K442" i="19"/>
  <c r="N442" i="19"/>
  <c r="O442" i="19"/>
  <c r="V442" i="19" s="1"/>
  <c r="W442" i="19" s="1"/>
  <c r="X442" i="19" s="1"/>
  <c r="Y442" i="19" s="1"/>
  <c r="I443" i="19"/>
  <c r="K443" i="19"/>
  <c r="N443" i="19"/>
  <c r="O443" i="19"/>
  <c r="I444" i="19"/>
  <c r="K444" i="19"/>
  <c r="N444" i="19"/>
  <c r="O444" i="19"/>
  <c r="I445" i="19"/>
  <c r="K445" i="19"/>
  <c r="N445" i="19"/>
  <c r="O445" i="19"/>
  <c r="I446" i="19"/>
  <c r="K446" i="19"/>
  <c r="N446" i="19"/>
  <c r="O446" i="19"/>
  <c r="I447" i="19"/>
  <c r="K447" i="19"/>
  <c r="N447" i="19"/>
  <c r="O447" i="19"/>
  <c r="V447" i="19" s="1"/>
  <c r="W447" i="19" s="1"/>
  <c r="X447" i="19" s="1"/>
  <c r="Y447" i="19" s="1"/>
  <c r="I448" i="19"/>
  <c r="K448" i="19"/>
  <c r="N448" i="19"/>
  <c r="O448" i="19"/>
  <c r="I449" i="19"/>
  <c r="K449" i="19"/>
  <c r="N449" i="19"/>
  <c r="O449" i="19"/>
  <c r="V449" i="19" s="1"/>
  <c r="W449" i="19" s="1"/>
  <c r="X449" i="19" s="1"/>
  <c r="Y449" i="19" s="1"/>
  <c r="I450" i="19"/>
  <c r="K450" i="19"/>
  <c r="N450" i="19"/>
  <c r="O450" i="19"/>
  <c r="I451" i="19"/>
  <c r="K451" i="19"/>
  <c r="N451" i="19"/>
  <c r="O451" i="19"/>
  <c r="I452" i="19"/>
  <c r="K452" i="19"/>
  <c r="N452" i="19"/>
  <c r="O452" i="19"/>
  <c r="V452" i="19" s="1"/>
  <c r="W452" i="19" s="1"/>
  <c r="X452" i="19" s="1"/>
  <c r="Y452" i="19" s="1"/>
  <c r="I453" i="19"/>
  <c r="K453" i="19"/>
  <c r="N453" i="19"/>
  <c r="O453" i="19"/>
  <c r="V453" i="19" s="1"/>
  <c r="W453" i="19" s="1"/>
  <c r="X453" i="19" s="1"/>
  <c r="Y453" i="19" s="1"/>
  <c r="I454" i="19"/>
  <c r="K454" i="19"/>
  <c r="N454" i="19"/>
  <c r="O454" i="19"/>
  <c r="V454" i="19" s="1"/>
  <c r="W454" i="19" s="1"/>
  <c r="X454" i="19" s="1"/>
  <c r="Y454" i="19" s="1"/>
  <c r="I455" i="19"/>
  <c r="K455" i="19"/>
  <c r="N455" i="19"/>
  <c r="O455" i="19"/>
  <c r="V455" i="19" s="1"/>
  <c r="W455" i="19" s="1"/>
  <c r="X455" i="19" s="1"/>
  <c r="Y455" i="19" s="1"/>
  <c r="I456" i="19"/>
  <c r="K456" i="19"/>
  <c r="N456" i="19"/>
  <c r="O456" i="19"/>
  <c r="I457" i="19"/>
  <c r="K457" i="19"/>
  <c r="N457" i="19"/>
  <c r="O457" i="19"/>
  <c r="V457" i="19" s="1"/>
  <c r="W457" i="19" s="1"/>
  <c r="X457" i="19" s="1"/>
  <c r="Y457" i="19" s="1"/>
  <c r="I458" i="19"/>
  <c r="K458" i="19"/>
  <c r="N458" i="19"/>
  <c r="O458" i="19"/>
  <c r="I459" i="19"/>
  <c r="K459" i="19"/>
  <c r="N459" i="19"/>
  <c r="O459" i="19"/>
  <c r="I460" i="19"/>
  <c r="K460" i="19"/>
  <c r="N460" i="19"/>
  <c r="O460" i="19"/>
  <c r="V460" i="19" s="1"/>
  <c r="W460" i="19" s="1"/>
  <c r="X460" i="19" s="1"/>
  <c r="Y460" i="19" s="1"/>
  <c r="I461" i="19"/>
  <c r="K461" i="19"/>
  <c r="N461" i="19"/>
  <c r="O461" i="19"/>
  <c r="I462" i="19"/>
  <c r="K462" i="19"/>
  <c r="N462" i="19"/>
  <c r="O462" i="19"/>
  <c r="V462" i="19" s="1"/>
  <c r="W462" i="19" s="1"/>
  <c r="X462" i="19" s="1"/>
  <c r="Y462" i="19" s="1"/>
  <c r="I463" i="19"/>
  <c r="K463" i="19"/>
  <c r="N463" i="19"/>
  <c r="O463" i="19"/>
  <c r="V463" i="19" s="1"/>
  <c r="W463" i="19" s="1"/>
  <c r="X463" i="19" s="1"/>
  <c r="Y463" i="19" s="1"/>
  <c r="I464" i="19"/>
  <c r="K464" i="19"/>
  <c r="N464" i="19"/>
  <c r="O464" i="19"/>
  <c r="I465" i="19"/>
  <c r="K465" i="19"/>
  <c r="N465" i="19"/>
  <c r="O465" i="19"/>
  <c r="I466" i="19"/>
  <c r="K466" i="19"/>
  <c r="N466" i="19"/>
  <c r="O466" i="19"/>
  <c r="V466" i="19" s="1"/>
  <c r="W466" i="19" s="1"/>
  <c r="X466" i="19" s="1"/>
  <c r="Y466" i="19" s="1"/>
  <c r="I467" i="19"/>
  <c r="K467" i="19"/>
  <c r="N467" i="19"/>
  <c r="O467" i="19"/>
  <c r="I468" i="19"/>
  <c r="K468" i="19"/>
  <c r="N468" i="19"/>
  <c r="O468" i="19"/>
  <c r="V468" i="19" s="1"/>
  <c r="W468" i="19" s="1"/>
  <c r="X468" i="19" s="1"/>
  <c r="Y468" i="19" s="1"/>
  <c r="I469" i="19"/>
  <c r="K469" i="19"/>
  <c r="N469" i="19"/>
  <c r="O469" i="19"/>
  <c r="V469" i="19" s="1"/>
  <c r="W469" i="19" s="1"/>
  <c r="X469" i="19" s="1"/>
  <c r="Y469" i="19" s="1"/>
  <c r="I470" i="19"/>
  <c r="K470" i="19"/>
  <c r="N470" i="19"/>
  <c r="O470" i="19"/>
  <c r="I471" i="19"/>
  <c r="K471" i="19"/>
  <c r="N471" i="19"/>
  <c r="O471" i="19"/>
  <c r="I472" i="19"/>
  <c r="K472" i="19"/>
  <c r="N472" i="19"/>
  <c r="O472" i="19"/>
  <c r="I473" i="19"/>
  <c r="K473" i="19"/>
  <c r="N473" i="19"/>
  <c r="O473" i="19"/>
  <c r="I474" i="19"/>
  <c r="K474" i="19"/>
  <c r="N474" i="19"/>
  <c r="O474" i="19"/>
  <c r="I475" i="19"/>
  <c r="K475" i="19"/>
  <c r="N475" i="19"/>
  <c r="O475" i="19"/>
  <c r="I476" i="19"/>
  <c r="K476" i="19"/>
  <c r="N476" i="19"/>
  <c r="O476" i="19"/>
  <c r="I477" i="19"/>
  <c r="K477" i="19"/>
  <c r="N477" i="19"/>
  <c r="O477" i="19"/>
  <c r="I478" i="19"/>
  <c r="K478" i="19"/>
  <c r="N478" i="19"/>
  <c r="O478" i="19"/>
  <c r="V478" i="19" s="1"/>
  <c r="W478" i="19" s="1"/>
  <c r="X478" i="19" s="1"/>
  <c r="Y478" i="19" s="1"/>
  <c r="I479" i="19"/>
  <c r="K479" i="19"/>
  <c r="N479" i="19"/>
  <c r="O479" i="19"/>
  <c r="I480" i="19"/>
  <c r="K480" i="19"/>
  <c r="N480" i="19"/>
  <c r="O480" i="19"/>
  <c r="I481" i="19"/>
  <c r="K481" i="19"/>
  <c r="N481" i="19"/>
  <c r="O481" i="19"/>
  <c r="I482" i="19"/>
  <c r="K482" i="19"/>
  <c r="N482" i="19"/>
  <c r="O482" i="19"/>
  <c r="I483" i="19"/>
  <c r="K483" i="19"/>
  <c r="N483" i="19"/>
  <c r="O483" i="19"/>
  <c r="I484" i="19"/>
  <c r="K484" i="19"/>
  <c r="N484" i="19"/>
  <c r="O484" i="19"/>
  <c r="V484" i="19" s="1"/>
  <c r="W484" i="19" s="1"/>
  <c r="X484" i="19" s="1"/>
  <c r="Y484" i="19" s="1"/>
  <c r="I485" i="19"/>
  <c r="K485" i="19"/>
  <c r="N485" i="19"/>
  <c r="O485" i="19"/>
  <c r="I486" i="19"/>
  <c r="K486" i="19"/>
  <c r="N486" i="19"/>
  <c r="O486" i="19"/>
  <c r="V486" i="19" s="1"/>
  <c r="W486" i="19" s="1"/>
  <c r="X486" i="19" s="1"/>
  <c r="Y486" i="19" s="1"/>
  <c r="I487" i="19"/>
  <c r="K487" i="19"/>
  <c r="N487" i="19"/>
  <c r="O487" i="19"/>
  <c r="I488" i="19"/>
  <c r="K488" i="19"/>
  <c r="N488" i="19"/>
  <c r="O488" i="19"/>
  <c r="I489" i="19"/>
  <c r="K489" i="19"/>
  <c r="N489" i="19"/>
  <c r="O489" i="19"/>
  <c r="I490" i="19"/>
  <c r="K490" i="19"/>
  <c r="N490" i="19"/>
  <c r="O490" i="19"/>
  <c r="I491" i="19"/>
  <c r="K491" i="19"/>
  <c r="N491" i="19"/>
  <c r="O491" i="19"/>
  <c r="V491" i="19" s="1"/>
  <c r="W491" i="19" s="1"/>
  <c r="X491" i="19" s="1"/>
  <c r="Y491" i="19" s="1"/>
  <c r="I492" i="19"/>
  <c r="K492" i="19"/>
  <c r="N492" i="19"/>
  <c r="O492" i="19"/>
  <c r="I493" i="19"/>
  <c r="K493" i="19"/>
  <c r="N493" i="19"/>
  <c r="O493" i="19"/>
  <c r="I494" i="19"/>
  <c r="K494" i="19"/>
  <c r="N494" i="19"/>
  <c r="O494" i="19"/>
  <c r="I495" i="19"/>
  <c r="K495" i="19"/>
  <c r="N495" i="19"/>
  <c r="O495" i="19"/>
  <c r="I496" i="19"/>
  <c r="K496" i="19"/>
  <c r="N496" i="19"/>
  <c r="O496" i="19"/>
  <c r="V496" i="19" s="1"/>
  <c r="W496" i="19" s="1"/>
  <c r="X496" i="19" s="1"/>
  <c r="Y496" i="19" s="1"/>
  <c r="I497" i="19"/>
  <c r="K497" i="19"/>
  <c r="N497" i="19"/>
  <c r="O497" i="19"/>
  <c r="I498" i="19"/>
  <c r="K498" i="19"/>
  <c r="N498" i="19"/>
  <c r="O498" i="19"/>
  <c r="I499" i="19"/>
  <c r="K499" i="19"/>
  <c r="N499" i="19"/>
  <c r="O499" i="19"/>
  <c r="V499" i="19" s="1"/>
  <c r="W499" i="19" s="1"/>
  <c r="X499" i="19" s="1"/>
  <c r="Y499" i="19" s="1"/>
  <c r="I500" i="19"/>
  <c r="K500" i="19"/>
  <c r="N500" i="19"/>
  <c r="O500" i="19"/>
  <c r="I501" i="19"/>
  <c r="K501" i="19"/>
  <c r="R501" i="19" s="1"/>
  <c r="N501" i="19"/>
  <c r="O501" i="19"/>
  <c r="I502" i="19"/>
  <c r="K502" i="19"/>
  <c r="N502" i="19"/>
  <c r="O502" i="19"/>
  <c r="V502" i="19" s="1"/>
  <c r="W502" i="19" s="1"/>
  <c r="X502" i="19" s="1"/>
  <c r="Y502" i="19" s="1"/>
  <c r="I503" i="19"/>
  <c r="K503" i="19"/>
  <c r="N503" i="19"/>
  <c r="O503" i="19"/>
  <c r="I504" i="19"/>
  <c r="K504" i="19"/>
  <c r="N504" i="19"/>
  <c r="O504" i="19"/>
  <c r="I505" i="19"/>
  <c r="K505" i="19"/>
  <c r="N505" i="19"/>
  <c r="O505" i="19"/>
  <c r="V505" i="19" s="1"/>
  <c r="W505" i="19" s="1"/>
  <c r="X505" i="19" s="1"/>
  <c r="Y505" i="19" s="1"/>
  <c r="I506" i="19"/>
  <c r="K506" i="19"/>
  <c r="N506" i="19"/>
  <c r="O506" i="19"/>
  <c r="I507" i="19"/>
  <c r="K507" i="19"/>
  <c r="N507" i="19"/>
  <c r="O507" i="19"/>
  <c r="V507" i="19" s="1"/>
  <c r="W507" i="19" s="1"/>
  <c r="X507" i="19" s="1"/>
  <c r="Y507" i="19" s="1"/>
  <c r="I508" i="19"/>
  <c r="K508" i="19"/>
  <c r="N508" i="19"/>
  <c r="O508" i="19"/>
  <c r="V508" i="19" s="1"/>
  <c r="W508" i="19" s="1"/>
  <c r="X508" i="19" s="1"/>
  <c r="Y508" i="19" s="1"/>
  <c r="I509" i="19"/>
  <c r="K509" i="19"/>
  <c r="N509" i="19"/>
  <c r="O509" i="19"/>
  <c r="I510" i="19"/>
  <c r="K510" i="19"/>
  <c r="N510" i="19"/>
  <c r="O510" i="19"/>
  <c r="V510" i="19" s="1"/>
  <c r="W510" i="19" s="1"/>
  <c r="X510" i="19" s="1"/>
  <c r="Y510" i="19" s="1"/>
  <c r="I511" i="19"/>
  <c r="K511" i="19"/>
  <c r="N511" i="19"/>
  <c r="O511" i="19"/>
  <c r="I512" i="19"/>
  <c r="K512" i="19"/>
  <c r="N512" i="19"/>
  <c r="O512" i="19"/>
  <c r="V512" i="19" s="1"/>
  <c r="W512" i="19" s="1"/>
  <c r="X512" i="19" s="1"/>
  <c r="Y512" i="19" s="1"/>
  <c r="I513" i="19"/>
  <c r="K513" i="19"/>
  <c r="N513" i="19"/>
  <c r="O513" i="19"/>
  <c r="I514" i="19"/>
  <c r="K514" i="19"/>
  <c r="N514" i="19"/>
  <c r="O514" i="19"/>
  <c r="I515" i="19"/>
  <c r="K515" i="19"/>
  <c r="N515" i="19"/>
  <c r="O515" i="19"/>
  <c r="V515" i="19" s="1"/>
  <c r="W515" i="19" s="1"/>
  <c r="X515" i="19" s="1"/>
  <c r="Y515" i="19" s="1"/>
  <c r="I516" i="19"/>
  <c r="K516" i="19"/>
  <c r="N516" i="19"/>
  <c r="O516" i="19"/>
  <c r="I517" i="19"/>
  <c r="K517" i="19"/>
  <c r="N517" i="19"/>
  <c r="O517" i="19"/>
  <c r="V517" i="19" s="1"/>
  <c r="W517" i="19" s="1"/>
  <c r="X517" i="19" s="1"/>
  <c r="Y517" i="19" s="1"/>
  <c r="I518" i="19"/>
  <c r="K518" i="19"/>
  <c r="N518" i="19"/>
  <c r="O518" i="19"/>
  <c r="I519" i="19"/>
  <c r="K519" i="19"/>
  <c r="N519" i="19"/>
  <c r="O519" i="19"/>
  <c r="I520" i="19"/>
  <c r="K520" i="19"/>
  <c r="N520" i="19"/>
  <c r="O520" i="19"/>
  <c r="V520" i="19" s="1"/>
  <c r="W520" i="19" s="1"/>
  <c r="X520" i="19" s="1"/>
  <c r="Y520" i="19" s="1"/>
  <c r="I521" i="19"/>
  <c r="K521" i="19"/>
  <c r="N521" i="19"/>
  <c r="O521" i="19"/>
  <c r="I522" i="19"/>
  <c r="K522" i="19"/>
  <c r="N522" i="19"/>
  <c r="O522" i="19"/>
  <c r="I523" i="19"/>
  <c r="K523" i="19"/>
  <c r="N523" i="19"/>
  <c r="O523" i="19"/>
  <c r="I524" i="19"/>
  <c r="K524" i="19"/>
  <c r="N524" i="19"/>
  <c r="O524" i="19"/>
  <c r="V524" i="19" s="1"/>
  <c r="W524" i="19" s="1"/>
  <c r="X524" i="19" s="1"/>
  <c r="Y524" i="19" s="1"/>
  <c r="I525" i="19"/>
  <c r="K525" i="19"/>
  <c r="N525" i="19"/>
  <c r="O525" i="19"/>
  <c r="I526" i="19"/>
  <c r="K526" i="19"/>
  <c r="N526" i="19"/>
  <c r="O526" i="19"/>
  <c r="V526" i="19" s="1"/>
  <c r="W526" i="19" s="1"/>
  <c r="X526" i="19" s="1"/>
  <c r="Y526" i="19" s="1"/>
  <c r="I527" i="19"/>
  <c r="K527" i="19"/>
  <c r="N527" i="19"/>
  <c r="O527" i="19"/>
  <c r="I528" i="19"/>
  <c r="K528" i="19"/>
  <c r="N528" i="19"/>
  <c r="O528" i="19"/>
  <c r="I529" i="19"/>
  <c r="K529" i="19"/>
  <c r="N529" i="19"/>
  <c r="R529" i="19" s="1"/>
  <c r="O529" i="19"/>
  <c r="V529" i="19" s="1"/>
  <c r="W529" i="19" s="1"/>
  <c r="X529" i="19" s="1"/>
  <c r="Y529" i="19" s="1"/>
  <c r="I530" i="19"/>
  <c r="K530" i="19"/>
  <c r="N530" i="19"/>
  <c r="O530" i="19"/>
  <c r="I531" i="19"/>
  <c r="K531" i="19"/>
  <c r="N531" i="19"/>
  <c r="O531" i="19"/>
  <c r="I532" i="19"/>
  <c r="K532" i="19"/>
  <c r="N532" i="19"/>
  <c r="R532" i="19" s="1"/>
  <c r="O532" i="19"/>
  <c r="I533" i="19"/>
  <c r="K533" i="19"/>
  <c r="N533" i="19"/>
  <c r="O533" i="19"/>
  <c r="I534" i="19"/>
  <c r="K534" i="19"/>
  <c r="N534" i="19"/>
  <c r="O534" i="19"/>
  <c r="I535" i="19"/>
  <c r="K535" i="19"/>
  <c r="N535" i="19"/>
  <c r="O535" i="19"/>
  <c r="V535" i="19" s="1"/>
  <c r="W535" i="19" s="1"/>
  <c r="X535" i="19" s="1"/>
  <c r="Y535" i="19" s="1"/>
  <c r="I536" i="19"/>
  <c r="K536" i="19"/>
  <c r="N536" i="19"/>
  <c r="O536" i="19"/>
  <c r="I537" i="19"/>
  <c r="K537" i="19"/>
  <c r="N537" i="19"/>
  <c r="O537" i="19"/>
  <c r="I538" i="19"/>
  <c r="K538" i="19"/>
  <c r="N538" i="19"/>
  <c r="O538" i="19"/>
  <c r="I539" i="19"/>
  <c r="K539" i="19"/>
  <c r="N539" i="19"/>
  <c r="O539" i="19"/>
  <c r="V539" i="19" s="1"/>
  <c r="W539" i="19" s="1"/>
  <c r="X539" i="19" s="1"/>
  <c r="Y539" i="19" s="1"/>
  <c r="I540" i="19"/>
  <c r="K540" i="19"/>
  <c r="N540" i="19"/>
  <c r="O540" i="19"/>
  <c r="I541" i="19"/>
  <c r="K541" i="19"/>
  <c r="N541" i="19"/>
  <c r="O541" i="19"/>
  <c r="I542" i="19"/>
  <c r="K542" i="19"/>
  <c r="N542" i="19"/>
  <c r="O542" i="19"/>
  <c r="I543" i="19"/>
  <c r="K543" i="19"/>
  <c r="N543" i="19"/>
  <c r="O543" i="19"/>
  <c r="I544" i="19"/>
  <c r="K544" i="19"/>
  <c r="N544" i="19"/>
  <c r="O544" i="19"/>
  <c r="I545" i="19"/>
  <c r="K545" i="19"/>
  <c r="N545" i="19"/>
  <c r="O545" i="19"/>
  <c r="I546" i="19"/>
  <c r="K546" i="19"/>
  <c r="N546" i="19"/>
  <c r="O546" i="19"/>
  <c r="I547" i="19"/>
  <c r="K547" i="19"/>
  <c r="N547" i="19"/>
  <c r="O547" i="19"/>
  <c r="I548" i="19"/>
  <c r="K548" i="19"/>
  <c r="N548" i="19"/>
  <c r="O548" i="19"/>
  <c r="I549" i="19"/>
  <c r="K549" i="19"/>
  <c r="N549" i="19"/>
  <c r="O549" i="19"/>
  <c r="V549" i="19" s="1"/>
  <c r="W549" i="19" s="1"/>
  <c r="X549" i="19" s="1"/>
  <c r="Y549" i="19" s="1"/>
  <c r="I550" i="19"/>
  <c r="K550" i="19"/>
  <c r="N550" i="19"/>
  <c r="O550" i="19"/>
  <c r="I551" i="19"/>
  <c r="K551" i="19"/>
  <c r="N551" i="19"/>
  <c r="O551" i="19"/>
  <c r="V551" i="19" s="1"/>
  <c r="W551" i="19" s="1"/>
  <c r="X551" i="19" s="1"/>
  <c r="Y551" i="19" s="1"/>
  <c r="I552" i="19"/>
  <c r="K552" i="19"/>
  <c r="R552" i="19" s="1"/>
  <c r="N552" i="19"/>
  <c r="O552" i="19"/>
  <c r="V552" i="19" s="1"/>
  <c r="W552" i="19" s="1"/>
  <c r="X552" i="19" s="1"/>
  <c r="Y552" i="19" s="1"/>
  <c r="I553" i="19"/>
  <c r="K553" i="19"/>
  <c r="N553" i="19"/>
  <c r="O553" i="19"/>
  <c r="V553" i="19" s="1"/>
  <c r="W553" i="19" s="1"/>
  <c r="X553" i="19" s="1"/>
  <c r="Y553" i="19" s="1"/>
  <c r="I554" i="19"/>
  <c r="K554" i="19"/>
  <c r="N554" i="19"/>
  <c r="O554" i="19"/>
  <c r="V554" i="19" s="1"/>
  <c r="W554" i="19" s="1"/>
  <c r="X554" i="19" s="1"/>
  <c r="Y554" i="19" s="1"/>
  <c r="I555" i="19"/>
  <c r="K555" i="19"/>
  <c r="N555" i="19"/>
  <c r="O555" i="19"/>
  <c r="I556" i="19"/>
  <c r="K556" i="19"/>
  <c r="N556" i="19"/>
  <c r="O556" i="19"/>
  <c r="I557" i="19"/>
  <c r="K557" i="19"/>
  <c r="N557" i="19"/>
  <c r="O557" i="19"/>
  <c r="I558" i="19"/>
  <c r="K558" i="19"/>
  <c r="N558" i="19"/>
  <c r="O558" i="19"/>
  <c r="I559" i="19"/>
  <c r="K559" i="19"/>
  <c r="N559" i="19"/>
  <c r="O559" i="19"/>
  <c r="I560" i="19"/>
  <c r="K560" i="19"/>
  <c r="N560" i="19"/>
  <c r="O560" i="19"/>
  <c r="V560" i="19" s="1"/>
  <c r="W560" i="19" s="1"/>
  <c r="X560" i="19" s="1"/>
  <c r="Y560" i="19" s="1"/>
  <c r="I561" i="19"/>
  <c r="K561" i="19"/>
  <c r="N561" i="19"/>
  <c r="O561" i="19"/>
  <c r="I562" i="19"/>
  <c r="K562" i="19"/>
  <c r="L562" i="19"/>
  <c r="N562" i="19"/>
  <c r="O562" i="19"/>
  <c r="I563" i="19"/>
  <c r="K563" i="19"/>
  <c r="N563" i="19"/>
  <c r="O563" i="19"/>
  <c r="I564" i="19"/>
  <c r="K564" i="19"/>
  <c r="N564" i="19"/>
  <c r="O564" i="19"/>
  <c r="I565" i="19"/>
  <c r="K565" i="19"/>
  <c r="N565" i="19"/>
  <c r="O565" i="19"/>
  <c r="I566" i="19"/>
  <c r="K566" i="19"/>
  <c r="N566" i="19"/>
  <c r="O566" i="19"/>
  <c r="I567" i="19"/>
  <c r="K567" i="19"/>
  <c r="N567" i="19"/>
  <c r="O567" i="19"/>
  <c r="I568" i="19"/>
  <c r="K568" i="19"/>
  <c r="N568" i="19"/>
  <c r="O568" i="19"/>
  <c r="I569" i="19"/>
  <c r="K569" i="19"/>
  <c r="N569" i="19"/>
  <c r="O569" i="19"/>
  <c r="I570" i="19"/>
  <c r="K570" i="19"/>
  <c r="N570" i="19"/>
  <c r="O570" i="19"/>
  <c r="I571" i="19"/>
  <c r="K571" i="19"/>
  <c r="N571" i="19"/>
  <c r="O571" i="19"/>
  <c r="I572" i="19"/>
  <c r="K572" i="19"/>
  <c r="N572" i="19"/>
  <c r="O572" i="19"/>
  <c r="V572" i="19" s="1"/>
  <c r="W572" i="19" s="1"/>
  <c r="X572" i="19" s="1"/>
  <c r="Y572" i="19" s="1"/>
  <c r="I573" i="19"/>
  <c r="K573" i="19"/>
  <c r="N573" i="19"/>
  <c r="O573" i="19"/>
  <c r="I574" i="19"/>
  <c r="K574" i="19"/>
  <c r="N574" i="19"/>
  <c r="O574" i="19"/>
  <c r="I575" i="19"/>
  <c r="K575" i="19"/>
  <c r="N575" i="19"/>
  <c r="O575" i="19"/>
  <c r="V575" i="19" s="1"/>
  <c r="W575" i="19" s="1"/>
  <c r="X575" i="19" s="1"/>
  <c r="Y575" i="19" s="1"/>
  <c r="I576" i="19"/>
  <c r="K576" i="19"/>
  <c r="N576" i="19"/>
  <c r="O576" i="19"/>
  <c r="V576" i="19" s="1"/>
  <c r="W576" i="19" s="1"/>
  <c r="X576" i="19" s="1"/>
  <c r="Y576" i="19" s="1"/>
  <c r="I577" i="19"/>
  <c r="K577" i="19"/>
  <c r="N577" i="19"/>
  <c r="O577" i="19"/>
  <c r="I578" i="19"/>
  <c r="K578" i="19"/>
  <c r="N578" i="19"/>
  <c r="O578" i="19"/>
  <c r="V578" i="19" s="1"/>
  <c r="W578" i="19" s="1"/>
  <c r="X578" i="19" s="1"/>
  <c r="Y578" i="19" s="1"/>
  <c r="I579" i="19"/>
  <c r="K579" i="19"/>
  <c r="N579" i="19"/>
  <c r="O579" i="19"/>
  <c r="V579" i="19" s="1"/>
  <c r="W579" i="19" s="1"/>
  <c r="X579" i="19" s="1"/>
  <c r="Y579" i="19" s="1"/>
  <c r="I580" i="19"/>
  <c r="K580" i="19"/>
  <c r="N580" i="19"/>
  <c r="O580" i="19"/>
  <c r="I581" i="19"/>
  <c r="K581" i="19"/>
  <c r="N581" i="19"/>
  <c r="O581" i="19"/>
  <c r="V581" i="19" s="1"/>
  <c r="W581" i="19" s="1"/>
  <c r="X581" i="19" s="1"/>
  <c r="Y581" i="19" s="1"/>
  <c r="I582" i="19"/>
  <c r="K582" i="19"/>
  <c r="N582" i="19"/>
  <c r="O582" i="19"/>
  <c r="I583" i="19"/>
  <c r="K583" i="19"/>
  <c r="N583" i="19"/>
  <c r="O583" i="19"/>
  <c r="V583" i="19" s="1"/>
  <c r="W583" i="19" s="1"/>
  <c r="X583" i="19" s="1"/>
  <c r="Y583" i="19" s="1"/>
  <c r="I584" i="19"/>
  <c r="K584" i="19"/>
  <c r="N584" i="19"/>
  <c r="O584" i="19"/>
  <c r="I585" i="19"/>
  <c r="K585" i="19"/>
  <c r="N585" i="19"/>
  <c r="O585" i="19"/>
  <c r="V585" i="19" s="1"/>
  <c r="W585" i="19" s="1"/>
  <c r="X585" i="19" s="1"/>
  <c r="Y585" i="19" s="1"/>
  <c r="I586" i="19"/>
  <c r="K586" i="19"/>
  <c r="N586" i="19"/>
  <c r="O586" i="19"/>
  <c r="I587" i="19"/>
  <c r="K587" i="19"/>
  <c r="N587" i="19"/>
  <c r="O587" i="19"/>
  <c r="I588" i="19"/>
  <c r="K588" i="19"/>
  <c r="N588" i="19"/>
  <c r="O588" i="19"/>
  <c r="I589" i="19"/>
  <c r="K589" i="19"/>
  <c r="N589" i="19"/>
  <c r="O589" i="19"/>
  <c r="I590" i="19"/>
  <c r="K590" i="19"/>
  <c r="N590" i="19"/>
  <c r="O590" i="19"/>
  <c r="V590" i="19" s="1"/>
  <c r="W590" i="19" s="1"/>
  <c r="X590" i="19" s="1"/>
  <c r="Y590" i="19" s="1"/>
  <c r="I591" i="19"/>
  <c r="K591" i="19"/>
  <c r="N591" i="19"/>
  <c r="O591" i="19"/>
  <c r="V591" i="19" s="1"/>
  <c r="W591" i="19" s="1"/>
  <c r="X591" i="19" s="1"/>
  <c r="Y591" i="19" s="1"/>
  <c r="I592" i="19"/>
  <c r="K592" i="19"/>
  <c r="N592" i="19"/>
  <c r="O592" i="19"/>
  <c r="I593" i="19"/>
  <c r="K593" i="19"/>
  <c r="N593" i="19"/>
  <c r="O593" i="19"/>
  <c r="I594" i="19"/>
  <c r="K594" i="19"/>
  <c r="N594" i="19"/>
  <c r="O594" i="19"/>
  <c r="I595" i="19"/>
  <c r="K595" i="19"/>
  <c r="N595" i="19"/>
  <c r="O595" i="19"/>
  <c r="V595" i="19" s="1"/>
  <c r="W595" i="19" s="1"/>
  <c r="X595" i="19" s="1"/>
  <c r="Y595" i="19" s="1"/>
  <c r="I596" i="19"/>
  <c r="K596" i="19"/>
  <c r="N596" i="19"/>
  <c r="O596" i="19"/>
  <c r="V596" i="19" s="1"/>
  <c r="W596" i="19" s="1"/>
  <c r="X596" i="19" s="1"/>
  <c r="Y596" i="19" s="1"/>
  <c r="I597" i="19"/>
  <c r="K597" i="19"/>
  <c r="N597" i="19"/>
  <c r="O597" i="19"/>
  <c r="I598" i="19"/>
  <c r="K598" i="19"/>
  <c r="N598" i="19"/>
  <c r="O598" i="19"/>
  <c r="I599" i="19"/>
  <c r="K599" i="19"/>
  <c r="N599" i="19"/>
  <c r="O599" i="19"/>
  <c r="I600" i="19"/>
  <c r="K600" i="19"/>
  <c r="N600" i="19"/>
  <c r="O600" i="19"/>
  <c r="I601" i="19"/>
  <c r="K601" i="19"/>
  <c r="N601" i="19"/>
  <c r="O601" i="19"/>
  <c r="I602" i="19"/>
  <c r="K602" i="19"/>
  <c r="N602" i="19"/>
  <c r="O602" i="19"/>
  <c r="I603" i="19"/>
  <c r="K603" i="19"/>
  <c r="N603" i="19"/>
  <c r="O603" i="19"/>
  <c r="I604" i="19"/>
  <c r="K604" i="19"/>
  <c r="N604" i="19"/>
  <c r="O604" i="19"/>
  <c r="V604" i="19" s="1"/>
  <c r="W604" i="19" s="1"/>
  <c r="X604" i="19" s="1"/>
  <c r="Y604" i="19" s="1"/>
  <c r="I605" i="19"/>
  <c r="K605" i="19"/>
  <c r="N605" i="19"/>
  <c r="O605" i="19"/>
  <c r="I606" i="19"/>
  <c r="K606" i="19"/>
  <c r="N606" i="19"/>
  <c r="O606" i="19"/>
  <c r="I607" i="19"/>
  <c r="K607" i="19"/>
  <c r="N607" i="19"/>
  <c r="O607" i="19"/>
  <c r="I608" i="19"/>
  <c r="K608" i="19"/>
  <c r="N608" i="19"/>
  <c r="O608" i="19"/>
  <c r="V608" i="19" s="1"/>
  <c r="W608" i="19" s="1"/>
  <c r="X608" i="19" s="1"/>
  <c r="Y608" i="19" s="1"/>
  <c r="I609" i="19"/>
  <c r="K609" i="19"/>
  <c r="N609" i="19"/>
  <c r="O609" i="19"/>
  <c r="I610" i="19"/>
  <c r="K610" i="19"/>
  <c r="N610" i="19"/>
  <c r="O610" i="19"/>
  <c r="I611" i="19"/>
  <c r="K611" i="19"/>
  <c r="N611" i="19"/>
  <c r="O611" i="19"/>
  <c r="I612" i="19"/>
  <c r="K612" i="19"/>
  <c r="N612" i="19"/>
  <c r="O612" i="19"/>
  <c r="I613" i="19"/>
  <c r="K613" i="19"/>
  <c r="N613" i="19"/>
  <c r="O613" i="19"/>
  <c r="I614" i="19"/>
  <c r="K614" i="19"/>
  <c r="N614" i="19"/>
  <c r="O614" i="19"/>
  <c r="V614" i="19" s="1"/>
  <c r="W614" i="19" s="1"/>
  <c r="X614" i="19" s="1"/>
  <c r="Y614" i="19" s="1"/>
  <c r="I615" i="19"/>
  <c r="K615" i="19"/>
  <c r="N615" i="19"/>
  <c r="O615" i="19"/>
  <c r="I616" i="19"/>
  <c r="K616" i="19"/>
  <c r="N616" i="19"/>
  <c r="O616" i="19"/>
  <c r="I617" i="19"/>
  <c r="K617" i="19"/>
  <c r="N617" i="19"/>
  <c r="O617" i="19"/>
  <c r="I618" i="19"/>
  <c r="K618" i="19"/>
  <c r="N618" i="19"/>
  <c r="O618" i="19"/>
  <c r="I619" i="19"/>
  <c r="K619" i="19"/>
  <c r="N619" i="19"/>
  <c r="O619" i="19"/>
  <c r="V619" i="19" s="1"/>
  <c r="W619" i="19" s="1"/>
  <c r="X619" i="19" s="1"/>
  <c r="Y619" i="19" s="1"/>
  <c r="I620" i="19"/>
  <c r="K620" i="19"/>
  <c r="N620" i="19"/>
  <c r="O620" i="19"/>
  <c r="V620" i="19" s="1"/>
  <c r="W620" i="19" s="1"/>
  <c r="X620" i="19" s="1"/>
  <c r="Y620" i="19" s="1"/>
  <c r="I621" i="19"/>
  <c r="K621" i="19"/>
  <c r="N621" i="19"/>
  <c r="O621" i="19"/>
  <c r="I622" i="19"/>
  <c r="K622" i="19"/>
  <c r="N622" i="19"/>
  <c r="O622" i="19"/>
  <c r="V622" i="19" s="1"/>
  <c r="W622" i="19" s="1"/>
  <c r="X622" i="19" s="1"/>
  <c r="Y622" i="19" s="1"/>
  <c r="I623" i="19"/>
  <c r="K623" i="19"/>
  <c r="N623" i="19"/>
  <c r="O623" i="19"/>
  <c r="I624" i="19"/>
  <c r="K624" i="19"/>
  <c r="N624" i="19"/>
  <c r="O624" i="19"/>
  <c r="I625" i="19"/>
  <c r="K625" i="19"/>
  <c r="N625" i="19"/>
  <c r="O625" i="19"/>
  <c r="V625" i="19" s="1"/>
  <c r="W625" i="19" s="1"/>
  <c r="X625" i="19" s="1"/>
  <c r="Y625" i="19" s="1"/>
  <c r="I626" i="19"/>
  <c r="K626" i="19"/>
  <c r="N626" i="19"/>
  <c r="O626" i="19"/>
  <c r="V626" i="19" s="1"/>
  <c r="W626" i="19" s="1"/>
  <c r="X626" i="19" s="1"/>
  <c r="Y626" i="19" s="1"/>
  <c r="I627" i="19"/>
  <c r="K627" i="19"/>
  <c r="N627" i="19"/>
  <c r="O627" i="19"/>
  <c r="V627" i="19" s="1"/>
  <c r="W627" i="19" s="1"/>
  <c r="X627" i="19" s="1"/>
  <c r="Y627" i="19" s="1"/>
  <c r="I628" i="19"/>
  <c r="K628" i="19"/>
  <c r="N628" i="19"/>
  <c r="O628" i="19"/>
  <c r="I629" i="19"/>
  <c r="K629" i="19"/>
  <c r="N629" i="19"/>
  <c r="O629" i="19"/>
  <c r="I630" i="19"/>
  <c r="K630" i="19"/>
  <c r="N630" i="19"/>
  <c r="O630" i="19"/>
  <c r="I631" i="19"/>
  <c r="K631" i="19"/>
  <c r="N631" i="19"/>
  <c r="O631" i="19"/>
  <c r="I632" i="19"/>
  <c r="K632" i="19"/>
  <c r="N632" i="19"/>
  <c r="O632" i="19"/>
  <c r="I633" i="19"/>
  <c r="K633" i="19"/>
  <c r="N633" i="19"/>
  <c r="O633" i="19"/>
  <c r="I634" i="19"/>
  <c r="K634" i="19"/>
  <c r="N634" i="19"/>
  <c r="O634" i="19"/>
  <c r="I635" i="19"/>
  <c r="K635" i="19"/>
  <c r="N635" i="19"/>
  <c r="O635" i="19"/>
  <c r="V635" i="19" s="1"/>
  <c r="W635" i="19" s="1"/>
  <c r="X635" i="19" s="1"/>
  <c r="Y635" i="19" s="1"/>
  <c r="I636" i="19"/>
  <c r="K636" i="19"/>
  <c r="N636" i="19"/>
  <c r="O636" i="19"/>
  <c r="I637" i="19"/>
  <c r="K637" i="19"/>
  <c r="N637" i="19"/>
  <c r="R637" i="19" s="1"/>
  <c r="O637" i="19"/>
  <c r="I638" i="19"/>
  <c r="K638" i="19"/>
  <c r="N638" i="19"/>
  <c r="O638" i="19"/>
  <c r="I639" i="19"/>
  <c r="K639" i="19"/>
  <c r="N639" i="19"/>
  <c r="O639" i="19"/>
  <c r="I640" i="19"/>
  <c r="K640" i="19"/>
  <c r="N640" i="19"/>
  <c r="O640" i="19"/>
  <c r="I641" i="19"/>
  <c r="K641" i="19"/>
  <c r="N641" i="19"/>
  <c r="O641" i="19"/>
  <c r="I642" i="19"/>
  <c r="K642" i="19"/>
  <c r="N642" i="19"/>
  <c r="O642" i="19"/>
  <c r="V642" i="19" s="1"/>
  <c r="W642" i="19" s="1"/>
  <c r="X642" i="19" s="1"/>
  <c r="Y642" i="19" s="1"/>
  <c r="I643" i="19"/>
  <c r="K643" i="19"/>
  <c r="N643" i="19"/>
  <c r="O643" i="19"/>
  <c r="I644" i="19"/>
  <c r="K644" i="19"/>
  <c r="N644" i="19"/>
  <c r="O644" i="19"/>
  <c r="I645" i="19"/>
  <c r="K645" i="19"/>
  <c r="N645" i="19"/>
  <c r="O645" i="19"/>
  <c r="V645" i="19" s="1"/>
  <c r="W645" i="19" s="1"/>
  <c r="X645" i="19" s="1"/>
  <c r="Y645" i="19" s="1"/>
  <c r="I646" i="19"/>
  <c r="K646" i="19"/>
  <c r="N646" i="19"/>
  <c r="O646" i="19"/>
  <c r="I647" i="19"/>
  <c r="K647" i="19"/>
  <c r="N647" i="19"/>
  <c r="O647" i="19"/>
  <c r="I648" i="19"/>
  <c r="K648" i="19"/>
  <c r="N648" i="19"/>
  <c r="O648" i="19"/>
  <c r="V648" i="19" s="1"/>
  <c r="W648" i="19" s="1"/>
  <c r="X648" i="19" s="1"/>
  <c r="Y648" i="19" s="1"/>
  <c r="I649" i="19"/>
  <c r="K649" i="19"/>
  <c r="N649" i="19"/>
  <c r="O649" i="19"/>
  <c r="I650" i="19"/>
  <c r="K650" i="19"/>
  <c r="N650" i="19"/>
  <c r="O650" i="19"/>
  <c r="I651" i="19"/>
  <c r="K651" i="19"/>
  <c r="N651" i="19"/>
  <c r="O651" i="19"/>
  <c r="I652" i="19"/>
  <c r="K652" i="19"/>
  <c r="N652" i="19"/>
  <c r="O652" i="19"/>
  <c r="V652" i="19" s="1"/>
  <c r="W652" i="19" s="1"/>
  <c r="X652" i="19" s="1"/>
  <c r="Y652" i="19" s="1"/>
  <c r="I653" i="19"/>
  <c r="K653" i="19"/>
  <c r="N653" i="19"/>
  <c r="O653" i="19"/>
  <c r="I654" i="19"/>
  <c r="K654" i="19"/>
  <c r="N654" i="19"/>
  <c r="O654" i="19"/>
  <c r="I655" i="19"/>
  <c r="K655" i="19"/>
  <c r="N655" i="19"/>
  <c r="O655" i="19"/>
  <c r="V655" i="19" s="1"/>
  <c r="W655" i="19" s="1"/>
  <c r="X655" i="19" s="1"/>
  <c r="Y655" i="19" s="1"/>
  <c r="I656" i="19"/>
  <c r="K656" i="19"/>
  <c r="N656" i="19"/>
  <c r="O656" i="19"/>
  <c r="I657" i="19"/>
  <c r="K657" i="19"/>
  <c r="N657" i="19"/>
  <c r="R657" i="19" s="1"/>
  <c r="O657" i="19"/>
  <c r="I658" i="19"/>
  <c r="K658" i="19"/>
  <c r="N658" i="19"/>
  <c r="O658" i="19"/>
  <c r="I659" i="19"/>
  <c r="K659" i="19"/>
  <c r="N659" i="19"/>
  <c r="O659" i="19"/>
  <c r="I660" i="19"/>
  <c r="K660" i="19"/>
  <c r="N660" i="19"/>
  <c r="O660" i="19"/>
  <c r="I661" i="19"/>
  <c r="K661" i="19"/>
  <c r="N661" i="19"/>
  <c r="R661" i="19" s="1"/>
  <c r="O661" i="19"/>
  <c r="I662" i="19"/>
  <c r="K662" i="19"/>
  <c r="N662" i="19"/>
  <c r="O662" i="19"/>
  <c r="I663" i="19"/>
  <c r="K663" i="19"/>
  <c r="N663" i="19"/>
  <c r="O663" i="19"/>
  <c r="I664" i="19"/>
  <c r="K664" i="19"/>
  <c r="N664" i="19"/>
  <c r="O664" i="19"/>
  <c r="I665" i="19"/>
  <c r="K665" i="19"/>
  <c r="N665" i="19"/>
  <c r="O665" i="19"/>
  <c r="I666" i="19"/>
  <c r="K666" i="19"/>
  <c r="N666" i="19"/>
  <c r="O666" i="19"/>
  <c r="I667" i="19"/>
  <c r="K667" i="19"/>
  <c r="N667" i="19"/>
  <c r="O667" i="19"/>
  <c r="I668" i="19"/>
  <c r="K668" i="19"/>
  <c r="N668" i="19"/>
  <c r="O668" i="19"/>
  <c r="V668" i="19" s="1"/>
  <c r="W668" i="19" s="1"/>
  <c r="X668" i="19" s="1"/>
  <c r="Y668" i="19" s="1"/>
  <c r="I669" i="19"/>
  <c r="K669" i="19"/>
  <c r="N669" i="19"/>
  <c r="O669" i="19"/>
  <c r="V669" i="19" s="1"/>
  <c r="W669" i="19" s="1"/>
  <c r="X669" i="19" s="1"/>
  <c r="Y669" i="19" s="1"/>
  <c r="I670" i="19"/>
  <c r="K670" i="19"/>
  <c r="N670" i="19"/>
  <c r="O670" i="19"/>
  <c r="I671" i="19"/>
  <c r="K671" i="19"/>
  <c r="N671" i="19"/>
  <c r="O671" i="19"/>
  <c r="I672" i="19"/>
  <c r="K672" i="19"/>
  <c r="N672" i="19"/>
  <c r="O672" i="19"/>
  <c r="I673" i="19"/>
  <c r="K673" i="19"/>
  <c r="N673" i="19"/>
  <c r="O673" i="19"/>
  <c r="I674" i="19"/>
  <c r="K674" i="19"/>
  <c r="N674" i="19"/>
  <c r="O674" i="19"/>
  <c r="I675" i="19"/>
  <c r="K675" i="19"/>
  <c r="N675" i="19"/>
  <c r="O675" i="19"/>
  <c r="I676" i="19"/>
  <c r="K676" i="19"/>
  <c r="N676" i="19"/>
  <c r="O676" i="19"/>
  <c r="I677" i="19"/>
  <c r="K677" i="19"/>
  <c r="N677" i="19"/>
  <c r="O677" i="19"/>
  <c r="I678" i="19"/>
  <c r="K678" i="19"/>
  <c r="N678" i="19"/>
  <c r="O678" i="19"/>
  <c r="I679" i="19"/>
  <c r="K679" i="19"/>
  <c r="N679" i="19"/>
  <c r="O679" i="19"/>
  <c r="I680" i="19"/>
  <c r="K680" i="19"/>
  <c r="N680" i="19"/>
  <c r="O680" i="19"/>
  <c r="I681" i="19"/>
  <c r="K681" i="19"/>
  <c r="N681" i="19"/>
  <c r="O681" i="19"/>
  <c r="V681" i="19" s="1"/>
  <c r="W681" i="19" s="1"/>
  <c r="X681" i="19" s="1"/>
  <c r="Y681" i="19" s="1"/>
  <c r="I682" i="19"/>
  <c r="K682" i="19"/>
  <c r="N682" i="19"/>
  <c r="O682" i="19"/>
  <c r="I683" i="19"/>
  <c r="K683" i="19"/>
  <c r="N683" i="19"/>
  <c r="O683" i="19"/>
  <c r="I684" i="19"/>
  <c r="K684" i="19"/>
  <c r="N684" i="19"/>
  <c r="O684" i="19"/>
  <c r="I685" i="19"/>
  <c r="K685" i="19"/>
  <c r="N685" i="19"/>
  <c r="R685" i="19" s="1"/>
  <c r="O685" i="19"/>
  <c r="I686" i="19"/>
  <c r="K686" i="19"/>
  <c r="N686" i="19"/>
  <c r="O686" i="19"/>
  <c r="I687" i="19"/>
  <c r="K687" i="19"/>
  <c r="N687" i="19"/>
  <c r="O687" i="19"/>
  <c r="V687" i="19" s="1"/>
  <c r="W687" i="19" s="1"/>
  <c r="X687" i="19" s="1"/>
  <c r="Y687" i="19" s="1"/>
  <c r="I688" i="19"/>
  <c r="K688" i="19"/>
  <c r="N688" i="19"/>
  <c r="R688" i="19" s="1"/>
  <c r="O688" i="19"/>
  <c r="V688" i="19" s="1"/>
  <c r="W688" i="19" s="1"/>
  <c r="X688" i="19" s="1"/>
  <c r="Y688" i="19" s="1"/>
  <c r="I689" i="19"/>
  <c r="K689" i="19"/>
  <c r="N689" i="19"/>
  <c r="O689" i="19"/>
  <c r="I690" i="19"/>
  <c r="K690" i="19"/>
  <c r="N690" i="19"/>
  <c r="O690" i="19"/>
  <c r="I691" i="19"/>
  <c r="K691" i="19"/>
  <c r="N691" i="19"/>
  <c r="O691" i="19"/>
  <c r="I692" i="19"/>
  <c r="K692" i="19"/>
  <c r="N692" i="19"/>
  <c r="O692" i="19"/>
  <c r="V692" i="19" s="1"/>
  <c r="W692" i="19" s="1"/>
  <c r="X692" i="19" s="1"/>
  <c r="Y692" i="19" s="1"/>
  <c r="I693" i="19"/>
  <c r="K693" i="19"/>
  <c r="N693" i="19"/>
  <c r="O693" i="19"/>
  <c r="I694" i="19"/>
  <c r="K694" i="19"/>
  <c r="L694" i="19"/>
  <c r="N694" i="19"/>
  <c r="O694" i="19"/>
  <c r="I695" i="19"/>
  <c r="K695" i="19"/>
  <c r="N695" i="19"/>
  <c r="O695" i="19"/>
  <c r="V695" i="19" s="1"/>
  <c r="W695" i="19" s="1"/>
  <c r="X695" i="19" s="1"/>
  <c r="Y695" i="19" s="1"/>
  <c r="I696" i="19"/>
  <c r="K696" i="19"/>
  <c r="N696" i="19"/>
  <c r="O696" i="19"/>
  <c r="I697" i="19"/>
  <c r="K697" i="19"/>
  <c r="N697" i="19"/>
  <c r="O697" i="19"/>
  <c r="I698" i="19"/>
  <c r="K698" i="19"/>
  <c r="N698" i="19"/>
  <c r="O698" i="19"/>
  <c r="V698" i="19" s="1"/>
  <c r="W698" i="19" s="1"/>
  <c r="X698" i="19" s="1"/>
  <c r="Y698" i="19" s="1"/>
  <c r="I699" i="19"/>
  <c r="K699" i="19"/>
  <c r="N699" i="19"/>
  <c r="O699" i="19"/>
  <c r="I700" i="19"/>
  <c r="K700" i="19"/>
  <c r="N700" i="19"/>
  <c r="O700" i="19"/>
  <c r="V700" i="19" s="1"/>
  <c r="W700" i="19" s="1"/>
  <c r="X700" i="19" s="1"/>
  <c r="Y700" i="19" s="1"/>
  <c r="I701" i="19"/>
  <c r="K701" i="19"/>
  <c r="N701" i="19"/>
  <c r="R701" i="19" s="1"/>
  <c r="O701" i="19"/>
  <c r="I702" i="19"/>
  <c r="K702" i="19"/>
  <c r="N702" i="19"/>
  <c r="O702" i="19"/>
  <c r="I703" i="19"/>
  <c r="K703" i="19"/>
  <c r="N703" i="19"/>
  <c r="O703" i="19"/>
  <c r="I704" i="19"/>
  <c r="K704" i="19"/>
  <c r="N704" i="19"/>
  <c r="O704" i="19"/>
  <c r="I705" i="19"/>
  <c r="K705" i="19"/>
  <c r="N705" i="19"/>
  <c r="O705" i="19"/>
  <c r="I706" i="19"/>
  <c r="K706" i="19"/>
  <c r="N706" i="19"/>
  <c r="O706" i="19"/>
  <c r="I707" i="19"/>
  <c r="K707" i="19"/>
  <c r="N707" i="19"/>
  <c r="O707" i="19"/>
  <c r="I708" i="19"/>
  <c r="K708" i="19"/>
  <c r="N708" i="19"/>
  <c r="O708" i="19"/>
  <c r="I709" i="19"/>
  <c r="K709" i="19"/>
  <c r="N709" i="19"/>
  <c r="O709" i="19"/>
  <c r="I710" i="19"/>
  <c r="K710" i="19"/>
  <c r="N710" i="19"/>
  <c r="O710" i="19"/>
  <c r="V710" i="19" s="1"/>
  <c r="W710" i="19" s="1"/>
  <c r="X710" i="19" s="1"/>
  <c r="Y710" i="19" s="1"/>
  <c r="I711" i="19"/>
  <c r="K711" i="19"/>
  <c r="N711" i="19"/>
  <c r="O711" i="19"/>
  <c r="V711" i="19" s="1"/>
  <c r="W711" i="19" s="1"/>
  <c r="X711" i="19" s="1"/>
  <c r="Y711" i="19" s="1"/>
  <c r="I712" i="19"/>
  <c r="K712" i="19"/>
  <c r="N712" i="19"/>
  <c r="O712" i="19"/>
  <c r="I713" i="19"/>
  <c r="K713" i="19"/>
  <c r="N713" i="19"/>
  <c r="O713" i="19"/>
  <c r="V713" i="19" s="1"/>
  <c r="W713" i="19" s="1"/>
  <c r="X713" i="19" s="1"/>
  <c r="Y713" i="19" s="1"/>
  <c r="I714" i="19"/>
  <c r="K714" i="19"/>
  <c r="N714" i="19"/>
  <c r="R714" i="19" s="1"/>
  <c r="O714" i="19"/>
  <c r="I715" i="19"/>
  <c r="K715" i="19"/>
  <c r="N715" i="19"/>
  <c r="O715" i="19"/>
  <c r="I716" i="19"/>
  <c r="K716" i="19"/>
  <c r="N716" i="19"/>
  <c r="O716" i="19"/>
  <c r="V716" i="19" s="1"/>
  <c r="W716" i="19" s="1"/>
  <c r="X716" i="19" s="1"/>
  <c r="Y716" i="19" s="1"/>
  <c r="I717" i="19"/>
  <c r="K717" i="19"/>
  <c r="N717" i="19"/>
  <c r="O717" i="19"/>
  <c r="I718" i="19"/>
  <c r="K718" i="19"/>
  <c r="N718" i="19"/>
  <c r="O718" i="19"/>
  <c r="I719" i="19"/>
  <c r="K719" i="19"/>
  <c r="N719" i="19"/>
  <c r="R719" i="19" s="1"/>
  <c r="O719" i="19"/>
  <c r="I720" i="19"/>
  <c r="K720" i="19"/>
  <c r="N720" i="19"/>
  <c r="O720" i="19"/>
  <c r="I721" i="19"/>
  <c r="K721" i="19"/>
  <c r="N721" i="19"/>
  <c r="O721" i="19"/>
  <c r="I722" i="19"/>
  <c r="K722" i="19"/>
  <c r="N722" i="19"/>
  <c r="O722" i="19"/>
  <c r="V722" i="19" s="1"/>
  <c r="W722" i="19" s="1"/>
  <c r="X722" i="19" s="1"/>
  <c r="Y722" i="19" s="1"/>
  <c r="I723" i="19"/>
  <c r="K723" i="19"/>
  <c r="N723" i="19"/>
  <c r="O723" i="19"/>
  <c r="I724" i="19"/>
  <c r="K724" i="19"/>
  <c r="N724" i="19"/>
  <c r="O724" i="19"/>
  <c r="I725" i="19"/>
  <c r="K725" i="19"/>
  <c r="N725" i="19"/>
  <c r="O725" i="19"/>
  <c r="I726" i="19"/>
  <c r="K726" i="19"/>
  <c r="N726" i="19"/>
  <c r="O726" i="19"/>
  <c r="I727" i="19"/>
  <c r="K727" i="19"/>
  <c r="N727" i="19"/>
  <c r="O727" i="19"/>
  <c r="I728" i="19"/>
  <c r="K728" i="19"/>
  <c r="N728" i="19"/>
  <c r="O728" i="19"/>
  <c r="I729" i="19"/>
  <c r="K729" i="19"/>
  <c r="N729" i="19"/>
  <c r="O729" i="19"/>
  <c r="I730" i="19"/>
  <c r="K730" i="19"/>
  <c r="N730" i="19"/>
  <c r="O730" i="19"/>
  <c r="I731" i="19"/>
  <c r="K731" i="19"/>
  <c r="N731" i="19"/>
  <c r="O731" i="19"/>
  <c r="I732" i="19"/>
  <c r="K732" i="19"/>
  <c r="N732" i="19"/>
  <c r="O732" i="19"/>
  <c r="I733" i="19"/>
  <c r="K733" i="19"/>
  <c r="N733" i="19"/>
  <c r="O733" i="19"/>
  <c r="V733" i="19" s="1"/>
  <c r="W733" i="19" s="1"/>
  <c r="X733" i="19" s="1"/>
  <c r="Y733" i="19" s="1"/>
  <c r="I734" i="19"/>
  <c r="K734" i="19"/>
  <c r="N734" i="19"/>
  <c r="O734" i="19"/>
  <c r="I735" i="19"/>
  <c r="K735" i="19"/>
  <c r="N735" i="19"/>
  <c r="O735" i="19"/>
  <c r="I736" i="19"/>
  <c r="K736" i="19"/>
  <c r="N736" i="19"/>
  <c r="O736" i="19"/>
  <c r="I737" i="19"/>
  <c r="K737" i="19"/>
  <c r="N737" i="19"/>
  <c r="O737" i="19"/>
  <c r="V737" i="19" s="1"/>
  <c r="W737" i="19" s="1"/>
  <c r="X737" i="19" s="1"/>
  <c r="Y737" i="19" s="1"/>
  <c r="I738" i="19"/>
  <c r="K738" i="19"/>
  <c r="N738" i="19"/>
  <c r="O738" i="19"/>
  <c r="I739" i="19"/>
  <c r="K739" i="19"/>
  <c r="N739" i="19"/>
  <c r="O739" i="19"/>
  <c r="I740" i="19"/>
  <c r="K740" i="19"/>
  <c r="N740" i="19"/>
  <c r="O740" i="19"/>
  <c r="I741" i="19"/>
  <c r="K741" i="19"/>
  <c r="N741" i="19"/>
  <c r="O741" i="19"/>
  <c r="V741" i="19" s="1"/>
  <c r="W741" i="19" s="1"/>
  <c r="X741" i="19" s="1"/>
  <c r="Y741" i="19" s="1"/>
  <c r="I742" i="19"/>
  <c r="K742" i="19"/>
  <c r="N742" i="19"/>
  <c r="O742" i="19"/>
  <c r="I743" i="19"/>
  <c r="K743" i="19"/>
  <c r="N743" i="19"/>
  <c r="O743" i="19"/>
  <c r="I744" i="19"/>
  <c r="K744" i="19"/>
  <c r="N744" i="19"/>
  <c r="O744" i="19"/>
  <c r="I745" i="19"/>
  <c r="K745" i="19"/>
  <c r="N745" i="19"/>
  <c r="O745" i="19"/>
  <c r="V745" i="19" s="1"/>
  <c r="W745" i="19" s="1"/>
  <c r="X745" i="19" s="1"/>
  <c r="Y745" i="19" s="1"/>
  <c r="I746" i="19"/>
  <c r="K746" i="19"/>
  <c r="N746" i="19"/>
  <c r="O746" i="19"/>
  <c r="V746" i="19" s="1"/>
  <c r="W746" i="19" s="1"/>
  <c r="X746" i="19" s="1"/>
  <c r="Y746" i="19" s="1"/>
  <c r="I747" i="19"/>
  <c r="K747" i="19"/>
  <c r="N747" i="19"/>
  <c r="O747" i="19"/>
  <c r="I748" i="19"/>
  <c r="K748" i="19"/>
  <c r="N748" i="19"/>
  <c r="O748" i="19"/>
  <c r="V748" i="19" s="1"/>
  <c r="W748" i="19" s="1"/>
  <c r="X748" i="19" s="1"/>
  <c r="Y748" i="19" s="1"/>
  <c r="I749" i="19"/>
  <c r="K749" i="19"/>
  <c r="N749" i="19"/>
  <c r="O749" i="19"/>
  <c r="I750" i="19"/>
  <c r="K750" i="19"/>
  <c r="N750" i="19"/>
  <c r="O750" i="19"/>
  <c r="I751" i="19"/>
  <c r="K751" i="19"/>
  <c r="N751" i="19"/>
  <c r="O751" i="19"/>
  <c r="V751" i="19" s="1"/>
  <c r="W751" i="19" s="1"/>
  <c r="X751" i="19" s="1"/>
  <c r="Y751" i="19" s="1"/>
  <c r="I752" i="19"/>
  <c r="K752" i="19"/>
  <c r="N752" i="19"/>
  <c r="O752" i="19"/>
  <c r="I753" i="19"/>
  <c r="K753" i="19"/>
  <c r="N753" i="19"/>
  <c r="O753" i="19"/>
  <c r="I754" i="19"/>
  <c r="K754" i="19"/>
  <c r="N754" i="19"/>
  <c r="O754" i="19"/>
  <c r="I755" i="19"/>
  <c r="K755" i="19"/>
  <c r="N755" i="19"/>
  <c r="O755" i="19"/>
  <c r="V755" i="19" s="1"/>
  <c r="W755" i="19" s="1"/>
  <c r="X755" i="19" s="1"/>
  <c r="Y755" i="19" s="1"/>
  <c r="I756" i="19"/>
  <c r="K756" i="19"/>
  <c r="N756" i="19"/>
  <c r="O756" i="19"/>
  <c r="I757" i="19"/>
  <c r="K757" i="19"/>
  <c r="N757" i="19"/>
  <c r="O757" i="19"/>
  <c r="V757" i="19" s="1"/>
  <c r="W757" i="19" s="1"/>
  <c r="X757" i="19" s="1"/>
  <c r="Y757" i="19" s="1"/>
  <c r="I758" i="19"/>
  <c r="K758" i="19"/>
  <c r="N758" i="19"/>
  <c r="O758" i="19"/>
  <c r="I759" i="19"/>
  <c r="K759" i="19"/>
  <c r="N759" i="19"/>
  <c r="O759" i="19"/>
  <c r="I760" i="19"/>
  <c r="K760" i="19"/>
  <c r="N760" i="19"/>
  <c r="O760" i="19"/>
  <c r="I761" i="19"/>
  <c r="K761" i="19"/>
  <c r="N761" i="19"/>
  <c r="O761" i="19"/>
  <c r="I762" i="19"/>
  <c r="K762" i="19"/>
  <c r="N762" i="19"/>
  <c r="O762" i="19"/>
  <c r="I763" i="19"/>
  <c r="K763" i="19"/>
  <c r="N763" i="19"/>
  <c r="O763" i="19"/>
  <c r="I764" i="19"/>
  <c r="K764" i="19"/>
  <c r="N764" i="19"/>
  <c r="O764" i="19"/>
  <c r="I765" i="19"/>
  <c r="K765" i="19"/>
  <c r="N765" i="19"/>
  <c r="O765" i="19"/>
  <c r="I766" i="19"/>
  <c r="K766" i="19"/>
  <c r="N766" i="19"/>
  <c r="O766" i="19"/>
  <c r="I767" i="19"/>
  <c r="K767" i="19"/>
  <c r="N767" i="19"/>
  <c r="O767" i="19"/>
  <c r="I768" i="19"/>
  <c r="K768" i="19"/>
  <c r="R768" i="19" s="1"/>
  <c r="N768" i="19"/>
  <c r="O768" i="19"/>
  <c r="I769" i="19"/>
  <c r="K769" i="19"/>
  <c r="N769" i="19"/>
  <c r="O769" i="19"/>
  <c r="V769" i="19" s="1"/>
  <c r="W769" i="19" s="1"/>
  <c r="X769" i="19" s="1"/>
  <c r="Y769" i="19" s="1"/>
  <c r="I770" i="19"/>
  <c r="K770" i="19"/>
  <c r="N770" i="19"/>
  <c r="O770" i="19"/>
  <c r="I771" i="19"/>
  <c r="K771" i="19"/>
  <c r="N771" i="19"/>
  <c r="O771" i="19"/>
  <c r="V771" i="19" s="1"/>
  <c r="W771" i="19" s="1"/>
  <c r="X771" i="19" s="1"/>
  <c r="Y771" i="19" s="1"/>
  <c r="I772" i="19"/>
  <c r="K772" i="19"/>
  <c r="N772" i="19"/>
  <c r="O772" i="19"/>
  <c r="V772" i="19" s="1"/>
  <c r="W772" i="19" s="1"/>
  <c r="X772" i="19" s="1"/>
  <c r="Y772" i="19" s="1"/>
  <c r="I773" i="19"/>
  <c r="K773" i="19"/>
  <c r="N773" i="19"/>
  <c r="O773" i="19"/>
  <c r="I774" i="19"/>
  <c r="K774" i="19"/>
  <c r="N774" i="19"/>
  <c r="O774" i="19"/>
  <c r="V774" i="19" s="1"/>
  <c r="W774" i="19" s="1"/>
  <c r="X774" i="19" s="1"/>
  <c r="Y774" i="19" s="1"/>
  <c r="I775" i="19"/>
  <c r="K775" i="19"/>
  <c r="N775" i="19"/>
  <c r="O775" i="19"/>
  <c r="I776" i="19"/>
  <c r="K776" i="19"/>
  <c r="N776" i="19"/>
  <c r="O776" i="19"/>
  <c r="I777" i="19"/>
  <c r="K777" i="19"/>
  <c r="N777" i="19"/>
  <c r="O777" i="19"/>
  <c r="I778" i="19"/>
  <c r="K778" i="19"/>
  <c r="N778" i="19"/>
  <c r="O778" i="19"/>
  <c r="I779" i="19"/>
  <c r="K779" i="19"/>
  <c r="N779" i="19"/>
  <c r="O779" i="19"/>
  <c r="I780" i="19"/>
  <c r="K780" i="19"/>
  <c r="N780" i="19"/>
  <c r="O780" i="19"/>
  <c r="V780" i="19" s="1"/>
  <c r="W780" i="19" s="1"/>
  <c r="X780" i="19" s="1"/>
  <c r="Y780" i="19" s="1"/>
  <c r="I781" i="19"/>
  <c r="K781" i="19"/>
  <c r="N781" i="19"/>
  <c r="O781" i="19"/>
  <c r="V781" i="19" s="1"/>
  <c r="W781" i="19" s="1"/>
  <c r="X781" i="19" s="1"/>
  <c r="Y781" i="19" s="1"/>
  <c r="I782" i="19"/>
  <c r="K782" i="19"/>
  <c r="N782" i="19"/>
  <c r="O782" i="19"/>
  <c r="I783" i="19"/>
  <c r="K783" i="19"/>
  <c r="N783" i="19"/>
  <c r="O783" i="19"/>
  <c r="I784" i="19"/>
  <c r="K784" i="19"/>
  <c r="N784" i="19"/>
  <c r="O784" i="19"/>
  <c r="I785" i="19"/>
  <c r="K785" i="19"/>
  <c r="N785" i="19"/>
  <c r="O785" i="19"/>
  <c r="V785" i="19" s="1"/>
  <c r="W785" i="19" s="1"/>
  <c r="X785" i="19" s="1"/>
  <c r="Y785" i="19" s="1"/>
  <c r="I786" i="19"/>
  <c r="K786" i="19"/>
  <c r="N786" i="19"/>
  <c r="O786" i="19"/>
  <c r="I787" i="19"/>
  <c r="K787" i="19"/>
  <c r="N787" i="19"/>
  <c r="O787" i="19"/>
  <c r="V787" i="19" s="1"/>
  <c r="W787" i="19" s="1"/>
  <c r="X787" i="19" s="1"/>
  <c r="Y787" i="19" s="1"/>
  <c r="I788" i="19"/>
  <c r="K788" i="19"/>
  <c r="N788" i="19"/>
  <c r="O788" i="19"/>
  <c r="I789" i="19"/>
  <c r="K789" i="19"/>
  <c r="N789" i="19"/>
  <c r="O789" i="19"/>
  <c r="V789" i="19" s="1"/>
  <c r="W789" i="19" s="1"/>
  <c r="X789" i="19" s="1"/>
  <c r="Y789" i="19" s="1"/>
  <c r="I790" i="19"/>
  <c r="K790" i="19"/>
  <c r="N790" i="19"/>
  <c r="O790" i="19"/>
  <c r="I791" i="19"/>
  <c r="K791" i="19"/>
  <c r="N791" i="19"/>
  <c r="O791" i="19"/>
  <c r="I792" i="19"/>
  <c r="K792" i="19"/>
  <c r="N792" i="19"/>
  <c r="O792" i="19"/>
  <c r="V792" i="19" s="1"/>
  <c r="W792" i="19" s="1"/>
  <c r="X792" i="19" s="1"/>
  <c r="Y792" i="19" s="1"/>
  <c r="I793" i="19"/>
  <c r="K793" i="19"/>
  <c r="N793" i="19"/>
  <c r="O793" i="19"/>
  <c r="I794" i="19"/>
  <c r="K794" i="19"/>
  <c r="N794" i="19"/>
  <c r="O794" i="19"/>
  <c r="I795" i="19"/>
  <c r="K795" i="19"/>
  <c r="N795" i="19"/>
  <c r="O795" i="19"/>
  <c r="I796" i="19"/>
  <c r="K796" i="19"/>
  <c r="N796" i="19"/>
  <c r="O796" i="19"/>
  <c r="V796" i="19" s="1"/>
  <c r="W796" i="19" s="1"/>
  <c r="X796" i="19" s="1"/>
  <c r="Y796" i="19" s="1"/>
  <c r="I797" i="19"/>
  <c r="K797" i="19"/>
  <c r="N797" i="19"/>
  <c r="O797" i="19"/>
  <c r="I798" i="19"/>
  <c r="K798" i="19"/>
  <c r="N798" i="19"/>
  <c r="O798" i="19"/>
  <c r="I799" i="19"/>
  <c r="K799" i="19"/>
  <c r="N799" i="19"/>
  <c r="O799" i="19"/>
  <c r="V799" i="19" s="1"/>
  <c r="W799" i="19" s="1"/>
  <c r="X799" i="19" s="1"/>
  <c r="Y799" i="19" s="1"/>
  <c r="I800" i="19"/>
  <c r="K800" i="19"/>
  <c r="N800" i="19"/>
  <c r="O800" i="19"/>
  <c r="V800" i="19" s="1"/>
  <c r="W800" i="19" s="1"/>
  <c r="X800" i="19" s="1"/>
  <c r="Y800" i="19" s="1"/>
  <c r="I801" i="19"/>
  <c r="K801" i="19"/>
  <c r="N801" i="19"/>
  <c r="O801" i="19"/>
  <c r="I802" i="19"/>
  <c r="K802" i="19"/>
  <c r="N802" i="19"/>
  <c r="O802" i="19"/>
  <c r="V802" i="19" s="1"/>
  <c r="W802" i="19" s="1"/>
  <c r="X802" i="19" s="1"/>
  <c r="Y802" i="19" s="1"/>
  <c r="I803" i="19"/>
  <c r="K803" i="19"/>
  <c r="N803" i="19"/>
  <c r="O803" i="19"/>
  <c r="I804" i="19"/>
  <c r="K804" i="19"/>
  <c r="N804" i="19"/>
  <c r="O804" i="19"/>
  <c r="I805" i="19"/>
  <c r="K805" i="19"/>
  <c r="N805" i="19"/>
  <c r="O805" i="19"/>
  <c r="V805" i="19" s="1"/>
  <c r="W805" i="19" s="1"/>
  <c r="X805" i="19" s="1"/>
  <c r="Y805" i="19" s="1"/>
  <c r="I806" i="19"/>
  <c r="K806" i="19"/>
  <c r="N806" i="19"/>
  <c r="O806" i="19"/>
  <c r="I807" i="19"/>
  <c r="K807" i="19"/>
  <c r="N807" i="19"/>
  <c r="O807" i="19"/>
  <c r="V807" i="19" s="1"/>
  <c r="W807" i="19" s="1"/>
  <c r="X807" i="19" s="1"/>
  <c r="Y807" i="19" s="1"/>
  <c r="I808" i="19"/>
  <c r="K808" i="19"/>
  <c r="N808" i="19"/>
  <c r="O808" i="19"/>
  <c r="I809" i="19"/>
  <c r="K809" i="19"/>
  <c r="N809" i="19"/>
  <c r="O809" i="19"/>
  <c r="I810" i="19"/>
  <c r="K810" i="19"/>
  <c r="N810" i="19"/>
  <c r="O810" i="19"/>
  <c r="I811" i="19"/>
  <c r="K811" i="19"/>
  <c r="N811" i="19"/>
  <c r="O811" i="19"/>
  <c r="I812" i="19"/>
  <c r="K812" i="19"/>
  <c r="N812" i="19"/>
  <c r="O812" i="19"/>
  <c r="I813" i="19"/>
  <c r="K813" i="19"/>
  <c r="N813" i="19"/>
  <c r="O813" i="19"/>
  <c r="I814" i="19"/>
  <c r="K814" i="19"/>
  <c r="N814" i="19"/>
  <c r="O814" i="19"/>
  <c r="V814" i="19" s="1"/>
  <c r="W814" i="19" s="1"/>
  <c r="X814" i="19" s="1"/>
  <c r="Y814" i="19" s="1"/>
  <c r="I815" i="19"/>
  <c r="K815" i="19"/>
  <c r="N815" i="19"/>
  <c r="O815" i="19"/>
  <c r="I816" i="19"/>
  <c r="K816" i="19"/>
  <c r="N816" i="19"/>
  <c r="O816" i="19"/>
  <c r="I817" i="19"/>
  <c r="K817" i="19"/>
  <c r="N817" i="19"/>
  <c r="O817" i="19"/>
  <c r="I818" i="19"/>
  <c r="K818" i="19"/>
  <c r="N818" i="19"/>
  <c r="O818" i="19"/>
  <c r="I819" i="19"/>
  <c r="K819" i="19"/>
  <c r="N819" i="19"/>
  <c r="O819" i="19"/>
  <c r="I820" i="19"/>
  <c r="K820" i="19"/>
  <c r="N820" i="19"/>
  <c r="O820" i="19"/>
  <c r="I821" i="19"/>
  <c r="K821" i="19"/>
  <c r="N821" i="19"/>
  <c r="O821" i="19"/>
  <c r="I822" i="19"/>
  <c r="K822" i="19"/>
  <c r="N822" i="19"/>
  <c r="O822" i="19"/>
  <c r="I823" i="19"/>
  <c r="K823" i="19"/>
  <c r="N823" i="19"/>
  <c r="O823" i="19"/>
  <c r="I824" i="19"/>
  <c r="K824" i="19"/>
  <c r="N824" i="19"/>
  <c r="O824" i="19"/>
  <c r="I825" i="19"/>
  <c r="K825" i="19"/>
  <c r="N825" i="19"/>
  <c r="O825" i="19"/>
  <c r="I826" i="19"/>
  <c r="K826" i="19"/>
  <c r="N826" i="19"/>
  <c r="O826" i="19"/>
  <c r="I827" i="19"/>
  <c r="K827" i="19"/>
  <c r="N827" i="19"/>
  <c r="O827" i="19"/>
  <c r="I828" i="19"/>
  <c r="K828" i="19"/>
  <c r="N828" i="19"/>
  <c r="O828" i="19"/>
  <c r="V828" i="19" s="1"/>
  <c r="W828" i="19" s="1"/>
  <c r="X828" i="19" s="1"/>
  <c r="Y828" i="19" s="1"/>
  <c r="I829" i="19"/>
  <c r="K829" i="19"/>
  <c r="N829" i="19"/>
  <c r="O829" i="19"/>
  <c r="I830" i="19"/>
  <c r="K830" i="19"/>
  <c r="N830" i="19"/>
  <c r="O830" i="19"/>
  <c r="I831" i="19"/>
  <c r="K831" i="19"/>
  <c r="N831" i="19"/>
  <c r="O831" i="19"/>
  <c r="I832" i="19"/>
  <c r="K832" i="19"/>
  <c r="N832" i="19"/>
  <c r="O832" i="19"/>
  <c r="I833" i="19"/>
  <c r="K833" i="19"/>
  <c r="N833" i="19"/>
  <c r="O833" i="19"/>
  <c r="I834" i="19"/>
  <c r="K834" i="19"/>
  <c r="N834" i="19"/>
  <c r="O834" i="19"/>
  <c r="I835" i="19"/>
  <c r="K835" i="19"/>
  <c r="N835" i="19"/>
  <c r="O835" i="19"/>
  <c r="I836" i="19"/>
  <c r="K836" i="19"/>
  <c r="L836" i="19"/>
  <c r="N836" i="19"/>
  <c r="O836" i="19"/>
  <c r="I837" i="19"/>
  <c r="K837" i="19"/>
  <c r="N837" i="19"/>
  <c r="O837" i="19"/>
  <c r="I838" i="19"/>
  <c r="K838" i="19"/>
  <c r="N838" i="19"/>
  <c r="O838" i="19"/>
  <c r="V838" i="19" s="1"/>
  <c r="W838" i="19" s="1"/>
  <c r="X838" i="19" s="1"/>
  <c r="Y838" i="19" s="1"/>
  <c r="I839" i="19"/>
  <c r="K839" i="19"/>
  <c r="N839" i="19"/>
  <c r="O839" i="19"/>
  <c r="V839" i="19" s="1"/>
  <c r="W839" i="19" s="1"/>
  <c r="X839" i="19" s="1"/>
  <c r="Y839" i="19" s="1"/>
  <c r="I840" i="19"/>
  <c r="K840" i="19"/>
  <c r="N840" i="19"/>
  <c r="O840" i="19"/>
  <c r="I841" i="19"/>
  <c r="K841" i="19"/>
  <c r="N841" i="19"/>
  <c r="R841" i="19" s="1"/>
  <c r="O841" i="19"/>
  <c r="I842" i="19"/>
  <c r="K842" i="19"/>
  <c r="N842" i="19"/>
  <c r="O842" i="19"/>
  <c r="I843" i="19"/>
  <c r="K843" i="19"/>
  <c r="N843" i="19"/>
  <c r="O843" i="19"/>
  <c r="V843" i="19" s="1"/>
  <c r="W843" i="19" s="1"/>
  <c r="X843" i="19" s="1"/>
  <c r="Y843" i="19" s="1"/>
  <c r="I844" i="19"/>
  <c r="K844" i="19"/>
  <c r="N844" i="19"/>
  <c r="O844" i="19"/>
  <c r="I845" i="19"/>
  <c r="K845" i="19"/>
  <c r="N845" i="19"/>
  <c r="O845" i="19"/>
  <c r="I846" i="19"/>
  <c r="K846" i="19"/>
  <c r="N846" i="19"/>
  <c r="O846" i="19"/>
  <c r="I847" i="19"/>
  <c r="K847" i="19"/>
  <c r="N847" i="19"/>
  <c r="O847" i="19"/>
  <c r="I848" i="19"/>
  <c r="K848" i="19"/>
  <c r="N848" i="19"/>
  <c r="O848" i="19"/>
  <c r="I849" i="19"/>
  <c r="K849" i="19"/>
  <c r="N849" i="19"/>
  <c r="O849" i="19"/>
  <c r="I850" i="19"/>
  <c r="K850" i="19"/>
  <c r="N850" i="19"/>
  <c r="O850" i="19"/>
  <c r="I851" i="19"/>
  <c r="K851" i="19"/>
  <c r="N851" i="19"/>
  <c r="O851" i="19"/>
  <c r="I852" i="19"/>
  <c r="K852" i="19"/>
  <c r="N852" i="19"/>
  <c r="O852" i="19"/>
  <c r="V852" i="19" s="1"/>
  <c r="W852" i="19" s="1"/>
  <c r="X852" i="19" s="1"/>
  <c r="Y852" i="19" s="1"/>
  <c r="I853" i="19"/>
  <c r="K853" i="19"/>
  <c r="N853" i="19"/>
  <c r="O853" i="19"/>
  <c r="I854" i="19"/>
  <c r="K854" i="19"/>
  <c r="N854" i="19"/>
  <c r="O854" i="19"/>
  <c r="I855" i="19"/>
  <c r="K855" i="19"/>
  <c r="N855" i="19"/>
  <c r="O855" i="19"/>
  <c r="V855" i="19" s="1"/>
  <c r="W855" i="19" s="1"/>
  <c r="X855" i="19" s="1"/>
  <c r="Y855" i="19" s="1"/>
  <c r="I856" i="19"/>
  <c r="K856" i="19"/>
  <c r="N856" i="19"/>
  <c r="O856" i="19"/>
  <c r="I857" i="19"/>
  <c r="K857" i="19"/>
  <c r="N857" i="19"/>
  <c r="O857" i="19"/>
  <c r="I858" i="19"/>
  <c r="K858" i="19"/>
  <c r="N858" i="19"/>
  <c r="O858" i="19"/>
  <c r="V858" i="19" s="1"/>
  <c r="W858" i="19" s="1"/>
  <c r="X858" i="19" s="1"/>
  <c r="Y858" i="19" s="1"/>
  <c r="I859" i="19"/>
  <c r="K859" i="19"/>
  <c r="N859" i="19"/>
  <c r="O859" i="19"/>
  <c r="V859" i="19" s="1"/>
  <c r="W859" i="19" s="1"/>
  <c r="X859" i="19" s="1"/>
  <c r="Y859" i="19" s="1"/>
  <c r="I860" i="19"/>
  <c r="K860" i="19"/>
  <c r="N860" i="19"/>
  <c r="O860" i="19"/>
  <c r="I861" i="19"/>
  <c r="K861" i="19"/>
  <c r="N861" i="19"/>
  <c r="O861" i="19"/>
  <c r="I862" i="19"/>
  <c r="K862" i="19"/>
  <c r="N862" i="19"/>
  <c r="O862" i="19"/>
  <c r="V862" i="19" s="1"/>
  <c r="W862" i="19" s="1"/>
  <c r="X862" i="19" s="1"/>
  <c r="Y862" i="19" s="1"/>
  <c r="I863" i="19"/>
  <c r="K863" i="19"/>
  <c r="N863" i="19"/>
  <c r="O863" i="19"/>
  <c r="V863" i="19" s="1"/>
  <c r="W863" i="19" s="1"/>
  <c r="X863" i="19" s="1"/>
  <c r="Y863" i="19" s="1"/>
  <c r="I864" i="19"/>
  <c r="K864" i="19"/>
  <c r="N864" i="19"/>
  <c r="O864" i="19"/>
  <c r="V864" i="19" s="1"/>
  <c r="W864" i="19" s="1"/>
  <c r="X864" i="19" s="1"/>
  <c r="Y864" i="19" s="1"/>
  <c r="I865" i="19"/>
  <c r="K865" i="19"/>
  <c r="N865" i="19"/>
  <c r="O865" i="19"/>
  <c r="I866" i="19"/>
  <c r="K866" i="19"/>
  <c r="N866" i="19"/>
  <c r="O866" i="19"/>
  <c r="V866" i="19" s="1"/>
  <c r="W866" i="19" s="1"/>
  <c r="X866" i="19" s="1"/>
  <c r="Y866" i="19" s="1"/>
  <c r="I867" i="19"/>
  <c r="K867" i="19"/>
  <c r="N867" i="19"/>
  <c r="O867" i="19"/>
  <c r="V867" i="19" s="1"/>
  <c r="W867" i="19" s="1"/>
  <c r="X867" i="19" s="1"/>
  <c r="Y867" i="19" s="1"/>
  <c r="I868" i="19"/>
  <c r="K868" i="19"/>
  <c r="N868" i="19"/>
  <c r="O868" i="19"/>
  <c r="AC868" i="19" s="1"/>
  <c r="I869" i="19"/>
  <c r="K869" i="19"/>
  <c r="N869" i="19"/>
  <c r="O869" i="19"/>
  <c r="AC869" i="19" s="1"/>
  <c r="I870" i="19"/>
  <c r="K870" i="19"/>
  <c r="N870" i="19"/>
  <c r="O870" i="19"/>
  <c r="I871" i="19"/>
  <c r="K871" i="19"/>
  <c r="N871" i="19"/>
  <c r="O871" i="19"/>
  <c r="I872" i="19"/>
  <c r="K872" i="19"/>
  <c r="N872" i="19"/>
  <c r="O872" i="19"/>
  <c r="V872" i="19" s="1"/>
  <c r="W872" i="19" s="1"/>
  <c r="X872" i="19" s="1"/>
  <c r="Y872" i="19" s="1"/>
  <c r="I873" i="19"/>
  <c r="K873" i="19"/>
  <c r="N873" i="19"/>
  <c r="O873" i="19"/>
  <c r="I874" i="19"/>
  <c r="K874" i="19"/>
  <c r="N874" i="19"/>
  <c r="O874" i="19"/>
  <c r="V874" i="19" s="1"/>
  <c r="W874" i="19" s="1"/>
  <c r="X874" i="19" s="1"/>
  <c r="Y874" i="19" s="1"/>
  <c r="I875" i="19"/>
  <c r="K875" i="19"/>
  <c r="N875" i="19"/>
  <c r="O875" i="19"/>
  <c r="I876" i="19"/>
  <c r="K876" i="19"/>
  <c r="N876" i="19"/>
  <c r="O876" i="19"/>
  <c r="I877" i="19"/>
  <c r="K877" i="19"/>
  <c r="N877" i="19"/>
  <c r="O877" i="19"/>
  <c r="I878" i="19"/>
  <c r="K878" i="19"/>
  <c r="N878" i="19"/>
  <c r="O878" i="19"/>
  <c r="I879" i="19"/>
  <c r="K879" i="19"/>
  <c r="N879" i="19"/>
  <c r="O879" i="19"/>
  <c r="V879" i="19" s="1"/>
  <c r="W879" i="19" s="1"/>
  <c r="X879" i="19" s="1"/>
  <c r="Y879" i="19" s="1"/>
  <c r="I880" i="19"/>
  <c r="K880" i="19"/>
  <c r="N880" i="19"/>
  <c r="O880" i="19"/>
  <c r="I881" i="19"/>
  <c r="K881" i="19"/>
  <c r="N881" i="19"/>
  <c r="O881" i="19"/>
  <c r="I882" i="19"/>
  <c r="K882" i="19"/>
  <c r="N882" i="19"/>
  <c r="O882" i="19"/>
  <c r="I883" i="19"/>
  <c r="K883" i="19"/>
  <c r="N883" i="19"/>
  <c r="O883" i="19"/>
  <c r="I884" i="19"/>
  <c r="K884" i="19"/>
  <c r="N884" i="19"/>
  <c r="O884" i="19"/>
  <c r="I885" i="19"/>
  <c r="K885" i="19"/>
  <c r="N885" i="19"/>
  <c r="O885" i="19"/>
  <c r="V885" i="19" s="1"/>
  <c r="W885" i="19" s="1"/>
  <c r="X885" i="19" s="1"/>
  <c r="Y885" i="19" s="1"/>
  <c r="I886" i="19"/>
  <c r="K886" i="19"/>
  <c r="N886" i="19"/>
  <c r="O886" i="19"/>
  <c r="I887" i="19"/>
  <c r="K887" i="19"/>
  <c r="N887" i="19"/>
  <c r="O887" i="19"/>
  <c r="V887" i="19" s="1"/>
  <c r="W887" i="19" s="1"/>
  <c r="X887" i="19" s="1"/>
  <c r="Y887" i="19" s="1"/>
  <c r="I888" i="19"/>
  <c r="K888" i="19"/>
  <c r="N888" i="19"/>
  <c r="O888" i="19"/>
  <c r="I889" i="19"/>
  <c r="K889" i="19"/>
  <c r="N889" i="19"/>
  <c r="O889" i="19"/>
  <c r="I890" i="19"/>
  <c r="K890" i="19"/>
  <c r="N890" i="19"/>
  <c r="O890" i="19"/>
  <c r="I891" i="19"/>
  <c r="K891" i="19"/>
  <c r="N891" i="19"/>
  <c r="O891" i="19"/>
  <c r="V891" i="19" s="1"/>
  <c r="W891" i="19" s="1"/>
  <c r="X891" i="19" s="1"/>
  <c r="Y891" i="19" s="1"/>
  <c r="I892" i="19"/>
  <c r="K892" i="19"/>
  <c r="N892" i="19"/>
  <c r="O892" i="19"/>
  <c r="I893" i="19"/>
  <c r="K893" i="19"/>
  <c r="N893" i="19"/>
  <c r="O893" i="19"/>
  <c r="V893" i="19" s="1"/>
  <c r="W893" i="19" s="1"/>
  <c r="X893" i="19" s="1"/>
  <c r="Y893" i="19" s="1"/>
  <c r="I894" i="19"/>
  <c r="K894" i="19"/>
  <c r="N894" i="19"/>
  <c r="O894" i="19"/>
  <c r="V894" i="19" s="1"/>
  <c r="W894" i="19" s="1"/>
  <c r="X894" i="19" s="1"/>
  <c r="Y894" i="19" s="1"/>
  <c r="I895" i="19"/>
  <c r="K895" i="19"/>
  <c r="N895" i="19"/>
  <c r="O895" i="19"/>
  <c r="I896" i="19"/>
  <c r="K896" i="19"/>
  <c r="N896" i="19"/>
  <c r="O896" i="19"/>
  <c r="I897" i="19"/>
  <c r="K897" i="19"/>
  <c r="N897" i="19"/>
  <c r="O897" i="19"/>
  <c r="I898" i="19"/>
  <c r="K898" i="19"/>
  <c r="N898" i="19"/>
  <c r="O898" i="19"/>
  <c r="I899" i="19"/>
  <c r="K899" i="19"/>
  <c r="N899" i="19"/>
  <c r="O899" i="19"/>
  <c r="I900" i="19"/>
  <c r="K900" i="19"/>
  <c r="N900" i="19"/>
  <c r="O900" i="19"/>
  <c r="I901" i="19"/>
  <c r="K901" i="19"/>
  <c r="N901" i="19"/>
  <c r="O901" i="19"/>
  <c r="I902" i="19"/>
  <c r="K902" i="19"/>
  <c r="N902" i="19"/>
  <c r="O902" i="19"/>
  <c r="I903" i="19"/>
  <c r="K903" i="19"/>
  <c r="N903" i="19"/>
  <c r="O903" i="19"/>
  <c r="I904" i="19"/>
  <c r="K904" i="19"/>
  <c r="N904" i="19"/>
  <c r="O904" i="19"/>
  <c r="I905" i="19"/>
  <c r="K905" i="19"/>
  <c r="N905" i="19"/>
  <c r="O905" i="19"/>
  <c r="I906" i="19"/>
  <c r="K906" i="19"/>
  <c r="N906" i="19"/>
  <c r="O906" i="19"/>
  <c r="V906" i="19" s="1"/>
  <c r="W906" i="19" s="1"/>
  <c r="X906" i="19" s="1"/>
  <c r="Y906" i="19" s="1"/>
  <c r="I907" i="19"/>
  <c r="K907" i="19"/>
  <c r="N907" i="19"/>
  <c r="R907" i="19" s="1"/>
  <c r="O907" i="19"/>
  <c r="I908" i="19"/>
  <c r="K908" i="19"/>
  <c r="N908" i="19"/>
  <c r="O908" i="19"/>
  <c r="I909" i="19"/>
  <c r="K909" i="19"/>
  <c r="N909" i="19"/>
  <c r="O909" i="19"/>
  <c r="V909" i="19" s="1"/>
  <c r="W909" i="19" s="1"/>
  <c r="X909" i="19" s="1"/>
  <c r="Y909" i="19" s="1"/>
  <c r="I910" i="19"/>
  <c r="K910" i="19"/>
  <c r="N910" i="19"/>
  <c r="O910" i="19"/>
  <c r="I911" i="19"/>
  <c r="K911" i="19"/>
  <c r="N911" i="19"/>
  <c r="O911" i="19"/>
  <c r="I912" i="19"/>
  <c r="K912" i="19"/>
  <c r="N912" i="19"/>
  <c r="O912" i="19"/>
  <c r="V912" i="19" s="1"/>
  <c r="W912" i="19" s="1"/>
  <c r="X912" i="19" s="1"/>
  <c r="Y912" i="19" s="1"/>
  <c r="I913" i="19"/>
  <c r="K913" i="19"/>
  <c r="N913" i="19"/>
  <c r="O913" i="19"/>
  <c r="I914" i="19"/>
  <c r="K914" i="19"/>
  <c r="N914" i="19"/>
  <c r="O914" i="19"/>
  <c r="I915" i="19"/>
  <c r="K915" i="19"/>
  <c r="N915" i="19"/>
  <c r="O915" i="19"/>
  <c r="I916" i="19"/>
  <c r="K916" i="19"/>
  <c r="N916" i="19"/>
  <c r="O916" i="19"/>
  <c r="I917" i="19"/>
  <c r="K917" i="19"/>
  <c r="N917" i="19"/>
  <c r="O917" i="19"/>
  <c r="I918" i="19"/>
  <c r="K918" i="19"/>
  <c r="N918" i="19"/>
  <c r="O918" i="19"/>
  <c r="I919" i="19"/>
  <c r="K919" i="19"/>
  <c r="N919" i="19"/>
  <c r="O919" i="19"/>
  <c r="I920" i="19"/>
  <c r="K920" i="19"/>
  <c r="N920" i="19"/>
  <c r="O920" i="19"/>
  <c r="I921" i="19"/>
  <c r="K921" i="19"/>
  <c r="N921" i="19"/>
  <c r="O921" i="19"/>
  <c r="V921" i="19" s="1"/>
  <c r="W921" i="19" s="1"/>
  <c r="X921" i="19" s="1"/>
  <c r="Y921" i="19" s="1"/>
  <c r="I922" i="19"/>
  <c r="K922" i="19"/>
  <c r="N922" i="19"/>
  <c r="O922" i="19"/>
  <c r="I923" i="19"/>
  <c r="K923" i="19"/>
  <c r="N923" i="19"/>
  <c r="O923" i="19"/>
  <c r="I924" i="19"/>
  <c r="K924" i="19"/>
  <c r="N924" i="19"/>
  <c r="O924" i="19"/>
  <c r="I925" i="19"/>
  <c r="K925" i="19"/>
  <c r="N925" i="19"/>
  <c r="O925" i="19"/>
  <c r="I926" i="19"/>
  <c r="K926" i="19"/>
  <c r="N926" i="19"/>
  <c r="O926" i="19"/>
  <c r="I927" i="19"/>
  <c r="K927" i="19"/>
  <c r="N927" i="19"/>
  <c r="O927" i="19"/>
  <c r="I928" i="19"/>
  <c r="K928" i="19"/>
  <c r="N928" i="19"/>
  <c r="O928" i="19"/>
  <c r="I929" i="19"/>
  <c r="K929" i="19"/>
  <c r="N929" i="19"/>
  <c r="O929" i="19"/>
  <c r="I930" i="19"/>
  <c r="K930" i="19"/>
  <c r="N930" i="19"/>
  <c r="O930" i="19"/>
  <c r="I931" i="19"/>
  <c r="K931" i="19"/>
  <c r="N931" i="19"/>
  <c r="O931" i="19"/>
  <c r="I932" i="19"/>
  <c r="K932" i="19"/>
  <c r="N932" i="19"/>
  <c r="O932" i="19"/>
  <c r="V932" i="19" s="1"/>
  <c r="W932" i="19" s="1"/>
  <c r="X932" i="19" s="1"/>
  <c r="Y932" i="19" s="1"/>
  <c r="I933" i="19"/>
  <c r="K933" i="19"/>
  <c r="N933" i="19"/>
  <c r="O933" i="19"/>
  <c r="I934" i="19"/>
  <c r="J934" i="19"/>
  <c r="K934" i="19"/>
  <c r="N934" i="19"/>
  <c r="O934" i="19"/>
  <c r="I935" i="19"/>
  <c r="K935" i="19"/>
  <c r="N935" i="19"/>
  <c r="O935" i="19"/>
  <c r="I936" i="19"/>
  <c r="K936" i="19"/>
  <c r="N936" i="19"/>
  <c r="O936" i="19"/>
  <c r="V936" i="19" s="1"/>
  <c r="W936" i="19" s="1"/>
  <c r="X936" i="19" s="1"/>
  <c r="Y936" i="19" s="1"/>
  <c r="I937" i="19"/>
  <c r="K937" i="19"/>
  <c r="N937" i="19"/>
  <c r="O937" i="19"/>
  <c r="I938" i="19"/>
  <c r="K938" i="19"/>
  <c r="N938" i="19"/>
  <c r="O938" i="19"/>
  <c r="V938" i="19" s="1"/>
  <c r="W938" i="19" s="1"/>
  <c r="X938" i="19" s="1"/>
  <c r="Y938" i="19" s="1"/>
  <c r="I939" i="19"/>
  <c r="K939" i="19"/>
  <c r="N939" i="19"/>
  <c r="O939" i="19"/>
  <c r="I940" i="19"/>
  <c r="K940" i="19"/>
  <c r="N940" i="19"/>
  <c r="O940" i="19"/>
  <c r="I941" i="19"/>
  <c r="K941" i="19"/>
  <c r="N941" i="19"/>
  <c r="O941" i="19"/>
  <c r="V941" i="19" s="1"/>
  <c r="W941" i="19" s="1"/>
  <c r="X941" i="19" s="1"/>
  <c r="Y941" i="19" s="1"/>
  <c r="I942" i="19"/>
  <c r="K942" i="19"/>
  <c r="N942" i="19"/>
  <c r="O942" i="19"/>
  <c r="I943" i="19"/>
  <c r="K943" i="19"/>
  <c r="N943" i="19"/>
  <c r="O943" i="19"/>
  <c r="I944" i="19"/>
  <c r="K944" i="19"/>
  <c r="N944" i="19"/>
  <c r="O944" i="19"/>
  <c r="I945" i="19"/>
  <c r="K945" i="19"/>
  <c r="N945" i="19"/>
  <c r="O945" i="19"/>
  <c r="I946" i="19"/>
  <c r="K946" i="19"/>
  <c r="N946" i="19"/>
  <c r="O946" i="19"/>
  <c r="I947" i="19"/>
  <c r="K947" i="19"/>
  <c r="N947" i="19"/>
  <c r="O947" i="19"/>
  <c r="I948" i="19"/>
  <c r="K948" i="19"/>
  <c r="N948" i="19"/>
  <c r="O948" i="19"/>
  <c r="I949" i="19"/>
  <c r="K949" i="19"/>
  <c r="N949" i="19"/>
  <c r="O949" i="19"/>
  <c r="I950" i="19"/>
  <c r="K950" i="19"/>
  <c r="N950" i="19"/>
  <c r="O950" i="19"/>
  <c r="I951" i="19"/>
  <c r="K951" i="19"/>
  <c r="N951" i="19"/>
  <c r="O951" i="19"/>
  <c r="I952" i="19"/>
  <c r="K952" i="19"/>
  <c r="N952" i="19"/>
  <c r="O952" i="19"/>
  <c r="I953" i="19"/>
  <c r="K953" i="19"/>
  <c r="N953" i="19"/>
  <c r="O953" i="19"/>
  <c r="I954" i="19"/>
  <c r="K954" i="19"/>
  <c r="N954" i="19"/>
  <c r="O954" i="19"/>
  <c r="V954" i="19" s="1"/>
  <c r="W954" i="19" s="1"/>
  <c r="X954" i="19" s="1"/>
  <c r="Y954" i="19" s="1"/>
  <c r="I955" i="19"/>
  <c r="K955" i="19"/>
  <c r="N955" i="19"/>
  <c r="O955" i="19"/>
  <c r="V955" i="19" s="1"/>
  <c r="W955" i="19" s="1"/>
  <c r="X955" i="19" s="1"/>
  <c r="Y955" i="19" s="1"/>
  <c r="I956" i="19"/>
  <c r="K956" i="19"/>
  <c r="N956" i="19"/>
  <c r="O956" i="19"/>
  <c r="V956" i="19" s="1"/>
  <c r="W956" i="19" s="1"/>
  <c r="X956" i="19" s="1"/>
  <c r="Y956" i="19" s="1"/>
  <c r="I957" i="19"/>
  <c r="K957" i="19"/>
  <c r="N957" i="19"/>
  <c r="O957" i="19"/>
  <c r="V957" i="19" s="1"/>
  <c r="W957" i="19" s="1"/>
  <c r="X957" i="19" s="1"/>
  <c r="Y957" i="19" s="1"/>
  <c r="I958" i="19"/>
  <c r="K958" i="19"/>
  <c r="N958" i="19"/>
  <c r="O958" i="19"/>
  <c r="I959" i="19"/>
  <c r="K959" i="19"/>
  <c r="N959" i="19"/>
  <c r="O959" i="19"/>
  <c r="I960" i="19"/>
  <c r="K960" i="19"/>
  <c r="N960" i="19"/>
  <c r="O960" i="19"/>
  <c r="V960" i="19" s="1"/>
  <c r="W960" i="19" s="1"/>
  <c r="X960" i="19" s="1"/>
  <c r="Y960" i="19" s="1"/>
  <c r="I961" i="19"/>
  <c r="K961" i="19"/>
  <c r="N961" i="19"/>
  <c r="O961" i="19"/>
  <c r="I962" i="19"/>
  <c r="K962" i="19"/>
  <c r="N962" i="19"/>
  <c r="O962" i="19"/>
  <c r="I963" i="19"/>
  <c r="K963" i="19"/>
  <c r="N963" i="19"/>
  <c r="O963" i="19"/>
  <c r="I964" i="19"/>
  <c r="K964" i="19"/>
  <c r="N964" i="19"/>
  <c r="O964" i="19"/>
  <c r="I965" i="19"/>
  <c r="K965" i="19"/>
  <c r="N965" i="19"/>
  <c r="O965" i="19"/>
  <c r="I966" i="19"/>
  <c r="K966" i="19"/>
  <c r="N966" i="19"/>
  <c r="O966" i="19"/>
  <c r="I967" i="19"/>
  <c r="K967" i="19"/>
  <c r="N967" i="19"/>
  <c r="O967" i="19"/>
  <c r="I968" i="19"/>
  <c r="K968" i="19"/>
  <c r="N968" i="19"/>
  <c r="O968" i="19"/>
  <c r="I969" i="19"/>
  <c r="K969" i="19"/>
  <c r="N969" i="19"/>
  <c r="O969" i="19"/>
  <c r="I970" i="19"/>
  <c r="K970" i="19"/>
  <c r="N970" i="19"/>
  <c r="O970" i="19"/>
  <c r="V970" i="19" s="1"/>
  <c r="W970" i="19" s="1"/>
  <c r="X970" i="19" s="1"/>
  <c r="Y970" i="19" s="1"/>
  <c r="I971" i="19"/>
  <c r="K971" i="19"/>
  <c r="N971" i="19"/>
  <c r="O971" i="19"/>
  <c r="I972" i="19"/>
  <c r="K972" i="19"/>
  <c r="N972" i="19"/>
  <c r="O972" i="19"/>
  <c r="I973" i="19"/>
  <c r="K973" i="19"/>
  <c r="N973" i="19"/>
  <c r="O973" i="19"/>
  <c r="I974" i="19"/>
  <c r="K974" i="19"/>
  <c r="N974" i="19"/>
  <c r="O974" i="19"/>
  <c r="I975" i="19"/>
  <c r="K975" i="19"/>
  <c r="N975" i="19"/>
  <c r="O975" i="19"/>
  <c r="I976" i="19"/>
  <c r="K976" i="19"/>
  <c r="N976" i="19"/>
  <c r="O976" i="19"/>
  <c r="I977" i="19"/>
  <c r="K977" i="19"/>
  <c r="N977" i="19"/>
  <c r="O977" i="19"/>
  <c r="I978" i="19"/>
  <c r="K978" i="19"/>
  <c r="N978" i="19"/>
  <c r="O978" i="19"/>
  <c r="I979" i="19"/>
  <c r="K979" i="19"/>
  <c r="N979" i="19"/>
  <c r="O979" i="19"/>
  <c r="I980" i="19"/>
  <c r="K980" i="19"/>
  <c r="N980" i="19"/>
  <c r="O980" i="19"/>
  <c r="I981" i="19"/>
  <c r="K981" i="19"/>
  <c r="N981" i="19"/>
  <c r="O981" i="19"/>
  <c r="I982" i="19"/>
  <c r="K982" i="19"/>
  <c r="N982" i="19"/>
  <c r="O982" i="19"/>
  <c r="I983" i="19"/>
  <c r="K983" i="19"/>
  <c r="N983" i="19"/>
  <c r="O983" i="19"/>
  <c r="I984" i="19"/>
  <c r="K984" i="19"/>
  <c r="N984" i="19"/>
  <c r="O984" i="19"/>
  <c r="I985" i="19"/>
  <c r="K985" i="19"/>
  <c r="N985" i="19"/>
  <c r="O985" i="19"/>
  <c r="I986" i="19"/>
  <c r="K986" i="19"/>
  <c r="N986" i="19"/>
  <c r="O986" i="19"/>
  <c r="I987" i="19"/>
  <c r="K987" i="19"/>
  <c r="N987" i="19"/>
  <c r="O987" i="19"/>
  <c r="I988" i="19"/>
  <c r="K988" i="19"/>
  <c r="N988" i="19"/>
  <c r="O988" i="19"/>
  <c r="I989" i="19"/>
  <c r="K989" i="19"/>
  <c r="N989" i="19"/>
  <c r="O989" i="19"/>
  <c r="V989" i="19" s="1"/>
  <c r="W989" i="19" s="1"/>
  <c r="X989" i="19" s="1"/>
  <c r="Y989" i="19" s="1"/>
  <c r="I990" i="19"/>
  <c r="K990" i="19"/>
  <c r="N990" i="19"/>
  <c r="O990" i="19"/>
  <c r="V990" i="19" s="1"/>
  <c r="W990" i="19" s="1"/>
  <c r="X990" i="19" s="1"/>
  <c r="Y990" i="19" s="1"/>
  <c r="I991" i="19"/>
  <c r="K991" i="19"/>
  <c r="N991" i="19"/>
  <c r="O991" i="19"/>
  <c r="I992" i="19"/>
  <c r="K992" i="19"/>
  <c r="N992" i="19"/>
  <c r="O992" i="19"/>
  <c r="I993" i="19"/>
  <c r="K993" i="19"/>
  <c r="N993" i="19"/>
  <c r="O993" i="19"/>
  <c r="I994" i="19"/>
  <c r="K994" i="19"/>
  <c r="N994" i="19"/>
  <c r="O994" i="19"/>
  <c r="V994" i="19" s="1"/>
  <c r="W994" i="19" s="1"/>
  <c r="X994" i="19" s="1"/>
  <c r="Y994" i="19" s="1"/>
  <c r="I995" i="19"/>
  <c r="K995" i="19"/>
  <c r="N995" i="19"/>
  <c r="O995" i="19"/>
  <c r="V995" i="19" s="1"/>
  <c r="W995" i="19" s="1"/>
  <c r="X995" i="19" s="1"/>
  <c r="Y995" i="19" s="1"/>
  <c r="I996" i="19"/>
  <c r="K996" i="19"/>
  <c r="N996" i="19"/>
  <c r="O996" i="19"/>
  <c r="I997" i="19"/>
  <c r="K997" i="19"/>
  <c r="N997" i="19"/>
  <c r="O997" i="19"/>
  <c r="V997" i="19" s="1"/>
  <c r="W997" i="19" s="1"/>
  <c r="X997" i="19" s="1"/>
  <c r="Y997" i="19" s="1"/>
  <c r="I998" i="19"/>
  <c r="K998" i="19"/>
  <c r="N998" i="19"/>
  <c r="O998" i="19"/>
  <c r="I999" i="19"/>
  <c r="K999" i="19"/>
  <c r="N999" i="19"/>
  <c r="O999" i="19"/>
  <c r="V999" i="19" s="1"/>
  <c r="W999" i="19" s="1"/>
  <c r="X999" i="19" s="1"/>
  <c r="Y999" i="19" s="1"/>
  <c r="I1000" i="19"/>
  <c r="J1000" i="19"/>
  <c r="K1000" i="19"/>
  <c r="N1000" i="19"/>
  <c r="O1000" i="19"/>
  <c r="I1001" i="19"/>
  <c r="K1001" i="19"/>
  <c r="N1001" i="19"/>
  <c r="O1001" i="19"/>
  <c r="I1002" i="19"/>
  <c r="K1002" i="19"/>
  <c r="N1002" i="19"/>
  <c r="O1002" i="19"/>
  <c r="I1003" i="19"/>
  <c r="K1003" i="19"/>
  <c r="N1003" i="19"/>
  <c r="O1003" i="19"/>
  <c r="I1004" i="19"/>
  <c r="K1004" i="19"/>
  <c r="N1004" i="19"/>
  <c r="O1004" i="19"/>
  <c r="V1004" i="19" s="1"/>
  <c r="W1004" i="19" s="1"/>
  <c r="X1004" i="19" s="1"/>
  <c r="Y1004" i="19" s="1"/>
  <c r="I1005" i="19"/>
  <c r="K1005" i="19"/>
  <c r="N1005" i="19"/>
  <c r="O1005" i="19"/>
  <c r="I1006" i="19"/>
  <c r="K1006" i="19"/>
  <c r="N1006" i="19"/>
  <c r="O1006" i="19"/>
  <c r="I1007" i="19"/>
  <c r="K1007" i="19"/>
  <c r="N1007" i="19"/>
  <c r="R1007" i="19" s="1"/>
  <c r="O1007" i="19"/>
  <c r="I1008" i="19"/>
  <c r="K1008" i="19"/>
  <c r="N1008" i="19"/>
  <c r="O1008" i="19"/>
  <c r="I1009" i="19"/>
  <c r="K1009" i="19"/>
  <c r="N1009" i="19"/>
  <c r="O1009" i="19"/>
  <c r="I1010" i="19"/>
  <c r="K1010" i="19"/>
  <c r="N1010" i="19"/>
  <c r="O1010" i="19"/>
  <c r="V1010" i="19" s="1"/>
  <c r="W1010" i="19" s="1"/>
  <c r="X1010" i="19" s="1"/>
  <c r="Y1010" i="19" s="1"/>
  <c r="I1011" i="19"/>
  <c r="K1011" i="19"/>
  <c r="N1011" i="19"/>
  <c r="O1011" i="19"/>
  <c r="I1012" i="19"/>
  <c r="K1012" i="19"/>
  <c r="N1012" i="19"/>
  <c r="O1012" i="19"/>
  <c r="V1012" i="19" s="1"/>
  <c r="W1012" i="19" s="1"/>
  <c r="X1012" i="19" s="1"/>
  <c r="Y1012" i="19" s="1"/>
  <c r="I1013" i="19"/>
  <c r="K1013" i="19"/>
  <c r="N1013" i="19"/>
  <c r="R1013" i="19" s="1"/>
  <c r="O1013" i="19"/>
  <c r="I1014" i="19"/>
  <c r="K1014" i="19"/>
  <c r="N1014" i="19"/>
  <c r="O1014" i="19"/>
  <c r="I1015" i="19"/>
  <c r="K1015" i="19"/>
  <c r="N1015" i="19"/>
  <c r="O1015" i="19"/>
  <c r="V1015" i="19" s="1"/>
  <c r="W1015" i="19" s="1"/>
  <c r="X1015" i="19" s="1"/>
  <c r="Y1015" i="19" s="1"/>
  <c r="I1016" i="19"/>
  <c r="K1016" i="19"/>
  <c r="N1016" i="19"/>
  <c r="R1016" i="19" s="1"/>
  <c r="O1016" i="19"/>
  <c r="V1016" i="19" s="1"/>
  <c r="W1016" i="19" s="1"/>
  <c r="X1016" i="19" s="1"/>
  <c r="Y1016" i="19" s="1"/>
  <c r="I1017" i="19"/>
  <c r="K1017" i="19"/>
  <c r="N1017" i="19"/>
  <c r="O1017" i="19"/>
  <c r="V1017" i="19" s="1"/>
  <c r="W1017" i="19" s="1"/>
  <c r="X1017" i="19" s="1"/>
  <c r="Y1017" i="19" s="1"/>
  <c r="I1018" i="19"/>
  <c r="K1018" i="19"/>
  <c r="N1018" i="19"/>
  <c r="O1018" i="19"/>
  <c r="I1019" i="19"/>
  <c r="K1019" i="19"/>
  <c r="N1019" i="19"/>
  <c r="O1019" i="19"/>
  <c r="V1019" i="19" s="1"/>
  <c r="W1019" i="19" s="1"/>
  <c r="X1019" i="19" s="1"/>
  <c r="Y1019" i="19" s="1"/>
  <c r="I1020" i="19"/>
  <c r="K1020" i="19"/>
  <c r="N1020" i="19"/>
  <c r="O1020" i="19"/>
  <c r="I1021" i="19"/>
  <c r="K1021" i="19"/>
  <c r="N1021" i="19"/>
  <c r="O1021" i="19"/>
  <c r="I1022" i="19"/>
  <c r="K1022" i="19"/>
  <c r="N1022" i="19"/>
  <c r="O1022" i="19"/>
  <c r="V1022" i="19" s="1"/>
  <c r="W1022" i="19" s="1"/>
  <c r="X1022" i="19" s="1"/>
  <c r="Y1022" i="19" s="1"/>
  <c r="I1023" i="19"/>
  <c r="K1023" i="19"/>
  <c r="N1023" i="19"/>
  <c r="O1023" i="19"/>
  <c r="I1024" i="19"/>
  <c r="K1024" i="19"/>
  <c r="N1024" i="19"/>
  <c r="O1024" i="19"/>
  <c r="V1024" i="19" s="1"/>
  <c r="W1024" i="19" s="1"/>
  <c r="X1024" i="19" s="1"/>
  <c r="Y1024" i="19" s="1"/>
  <c r="I1025" i="19"/>
  <c r="K1025" i="19"/>
  <c r="N1025" i="19"/>
  <c r="R1025" i="19" s="1"/>
  <c r="O1025" i="19"/>
  <c r="I1026" i="19"/>
  <c r="K1026" i="19"/>
  <c r="N1026" i="19"/>
  <c r="O1026" i="19"/>
  <c r="V1026" i="19" s="1"/>
  <c r="W1026" i="19" s="1"/>
  <c r="X1026" i="19" s="1"/>
  <c r="Y1026" i="19" s="1"/>
  <c r="I1027" i="19"/>
  <c r="K1027" i="19"/>
  <c r="N1027" i="19"/>
  <c r="O1027" i="19"/>
  <c r="I1028" i="19"/>
  <c r="K1028" i="19"/>
  <c r="N1028" i="19"/>
  <c r="O1028" i="19"/>
  <c r="I1029" i="19"/>
  <c r="K1029" i="19"/>
  <c r="N1029" i="19"/>
  <c r="O1029" i="19"/>
  <c r="I1030" i="19"/>
  <c r="K1030" i="19"/>
  <c r="N1030" i="19"/>
  <c r="O1030" i="19"/>
  <c r="V1030" i="19" s="1"/>
  <c r="W1030" i="19" s="1"/>
  <c r="X1030" i="19" s="1"/>
  <c r="Y1030" i="19" s="1"/>
  <c r="I1031" i="19"/>
  <c r="K1031" i="19"/>
  <c r="N1031" i="19"/>
  <c r="O1031" i="19"/>
  <c r="I1032" i="19"/>
  <c r="K1032" i="19"/>
  <c r="N1032" i="19"/>
  <c r="O1032" i="19"/>
  <c r="I1033" i="19"/>
  <c r="K1033" i="19"/>
  <c r="N1033" i="19"/>
  <c r="O1033" i="19"/>
  <c r="I1034" i="19"/>
  <c r="K1034" i="19"/>
  <c r="N1034" i="19"/>
  <c r="O1034" i="19"/>
  <c r="I1035" i="19"/>
  <c r="K1035" i="19"/>
  <c r="N1035" i="19"/>
  <c r="O1035" i="19"/>
  <c r="I1036" i="19"/>
  <c r="K1036" i="19"/>
  <c r="N1036" i="19"/>
  <c r="O1036" i="19"/>
  <c r="I1037" i="19"/>
  <c r="K1037" i="19"/>
  <c r="N1037" i="19"/>
  <c r="O1037" i="19"/>
  <c r="I1038" i="19"/>
  <c r="K1038" i="19"/>
  <c r="N1038" i="19"/>
  <c r="O1038" i="19"/>
  <c r="I1039" i="19"/>
  <c r="K1039" i="19"/>
  <c r="N1039" i="19"/>
  <c r="O1039" i="19"/>
  <c r="I1040" i="19"/>
  <c r="K1040" i="19"/>
  <c r="N1040" i="19"/>
  <c r="O1040" i="19"/>
  <c r="V1040" i="19" s="1"/>
  <c r="W1040" i="19" s="1"/>
  <c r="X1040" i="19" s="1"/>
  <c r="Y1040" i="19" s="1"/>
  <c r="I1041" i="19"/>
  <c r="K1041" i="19"/>
  <c r="N1041" i="19"/>
  <c r="O1041" i="19"/>
  <c r="I1042" i="19"/>
  <c r="K1042" i="19"/>
  <c r="N1042" i="19"/>
  <c r="O1042" i="19"/>
  <c r="I1043" i="19"/>
  <c r="K1043" i="19"/>
  <c r="N1043" i="19"/>
  <c r="O1043" i="19"/>
  <c r="I1044" i="19"/>
  <c r="K1044" i="19"/>
  <c r="N1044" i="19"/>
  <c r="O1044" i="19"/>
  <c r="I1045" i="19"/>
  <c r="K1045" i="19"/>
  <c r="N1045" i="19"/>
  <c r="O1045" i="19"/>
  <c r="I1046" i="19"/>
  <c r="K1046" i="19"/>
  <c r="N1046" i="19"/>
  <c r="O1046" i="19"/>
  <c r="I1047" i="19"/>
  <c r="K1047" i="19"/>
  <c r="N1047" i="19"/>
  <c r="O1047" i="19"/>
  <c r="I1048" i="19"/>
  <c r="K1048" i="19"/>
  <c r="N1048" i="19"/>
  <c r="O1048" i="19"/>
  <c r="I1049" i="19"/>
  <c r="K1049" i="19"/>
  <c r="N1049" i="19"/>
  <c r="O1049" i="19"/>
  <c r="I1050" i="19"/>
  <c r="K1050" i="19"/>
  <c r="N1050" i="19"/>
  <c r="O1050" i="19"/>
  <c r="V1050" i="19" s="1"/>
  <c r="W1050" i="19" s="1"/>
  <c r="X1050" i="19" s="1"/>
  <c r="Y1050" i="19" s="1"/>
  <c r="I1051" i="19"/>
  <c r="J1051" i="19"/>
  <c r="K1051" i="19"/>
  <c r="N1051" i="19"/>
  <c r="O1051" i="19"/>
  <c r="I1052" i="19"/>
  <c r="K1052" i="19"/>
  <c r="N1052" i="19"/>
  <c r="O1052" i="19"/>
  <c r="V1052" i="19" s="1"/>
  <c r="W1052" i="19" s="1"/>
  <c r="X1052" i="19" s="1"/>
  <c r="Y1052" i="19" s="1"/>
  <c r="I1053" i="19"/>
  <c r="K1053" i="19"/>
  <c r="N1053" i="19"/>
  <c r="O1053" i="19"/>
  <c r="I1054" i="19"/>
  <c r="K1054" i="19"/>
  <c r="N1054" i="19"/>
  <c r="O1054" i="19"/>
  <c r="V1054" i="19" s="1"/>
  <c r="W1054" i="19" s="1"/>
  <c r="X1054" i="19" s="1"/>
  <c r="Y1054" i="19" s="1"/>
  <c r="I1055" i="19"/>
  <c r="K1055" i="19"/>
  <c r="N1055" i="19"/>
  <c r="O1055" i="19"/>
  <c r="I1056" i="19"/>
  <c r="K1056" i="19"/>
  <c r="N1056" i="19"/>
  <c r="O1056" i="19"/>
  <c r="I1057" i="19"/>
  <c r="K1057" i="19"/>
  <c r="N1057" i="19"/>
  <c r="O1057" i="19"/>
  <c r="I1058" i="19"/>
  <c r="K1058" i="19"/>
  <c r="N1058" i="19"/>
  <c r="O1058" i="19"/>
  <c r="I1059" i="19"/>
  <c r="K1059" i="19"/>
  <c r="N1059" i="19"/>
  <c r="O1059" i="19"/>
  <c r="I1060" i="19"/>
  <c r="K1060" i="19"/>
  <c r="N1060" i="19"/>
  <c r="O1060" i="19"/>
  <c r="I1061" i="19"/>
  <c r="K1061" i="19"/>
  <c r="N1061" i="19"/>
  <c r="O1061" i="19"/>
  <c r="I1062" i="19"/>
  <c r="K1062" i="19"/>
  <c r="N1062" i="19"/>
  <c r="O1062" i="19"/>
  <c r="I1063" i="19"/>
  <c r="K1063" i="19"/>
  <c r="N1063" i="19"/>
  <c r="O1063" i="19"/>
  <c r="I1064" i="19"/>
  <c r="K1064" i="19"/>
  <c r="N1064" i="19"/>
  <c r="O1064" i="19"/>
  <c r="I1065" i="19"/>
  <c r="K1065" i="19"/>
  <c r="N1065" i="19"/>
  <c r="O1065" i="19"/>
  <c r="V1065" i="19" s="1"/>
  <c r="W1065" i="19" s="1"/>
  <c r="X1065" i="19" s="1"/>
  <c r="Y1065" i="19" s="1"/>
  <c r="I1066" i="19"/>
  <c r="K1066" i="19"/>
  <c r="N1066" i="19"/>
  <c r="O1066" i="19"/>
  <c r="I1067" i="19"/>
  <c r="K1067" i="19"/>
  <c r="N1067" i="19"/>
  <c r="O1067" i="19"/>
  <c r="I1068" i="19"/>
  <c r="K1068" i="19"/>
  <c r="N1068" i="19"/>
  <c r="O1068" i="19"/>
  <c r="V1068" i="19" s="1"/>
  <c r="W1068" i="19" s="1"/>
  <c r="X1068" i="19" s="1"/>
  <c r="Y1068" i="19" s="1"/>
  <c r="I1069" i="19"/>
  <c r="K1069" i="19"/>
  <c r="N1069" i="19"/>
  <c r="O1069" i="19"/>
  <c r="V1069" i="19" s="1"/>
  <c r="W1069" i="19" s="1"/>
  <c r="X1069" i="19" s="1"/>
  <c r="Y1069" i="19" s="1"/>
  <c r="I1070" i="19"/>
  <c r="K1070" i="19"/>
  <c r="N1070" i="19"/>
  <c r="O1070" i="19"/>
  <c r="V1070" i="19" s="1"/>
  <c r="W1070" i="19" s="1"/>
  <c r="X1070" i="19" s="1"/>
  <c r="Y1070" i="19" s="1"/>
  <c r="I1071" i="19"/>
  <c r="K1071" i="19"/>
  <c r="N1071" i="19"/>
  <c r="O1071" i="19"/>
  <c r="I1072" i="19"/>
  <c r="K1072" i="19"/>
  <c r="N1072" i="19"/>
  <c r="O1072" i="19"/>
  <c r="I1073" i="19"/>
  <c r="K1073" i="19"/>
  <c r="N1073" i="19"/>
  <c r="O1073" i="19"/>
  <c r="I1074" i="19"/>
  <c r="K1074" i="19"/>
  <c r="N1074" i="19"/>
  <c r="O1074" i="19"/>
  <c r="I1075" i="19"/>
  <c r="K1075" i="19"/>
  <c r="N1075" i="19"/>
  <c r="O1075" i="19"/>
  <c r="I1076" i="19"/>
  <c r="K1076" i="19"/>
  <c r="N1076" i="19"/>
  <c r="O1076" i="19"/>
  <c r="I1077" i="19"/>
  <c r="K1077" i="19"/>
  <c r="N1077" i="19"/>
  <c r="O1077" i="19"/>
  <c r="V1077" i="19" s="1"/>
  <c r="W1077" i="19" s="1"/>
  <c r="X1077" i="19" s="1"/>
  <c r="Y1077" i="19" s="1"/>
  <c r="I1078" i="19"/>
  <c r="K1078" i="19"/>
  <c r="N1078" i="19"/>
  <c r="O1078" i="19"/>
  <c r="I1079" i="19"/>
  <c r="K1079" i="19"/>
  <c r="N1079" i="19"/>
  <c r="O1079" i="19"/>
  <c r="I1080" i="19"/>
  <c r="K1080" i="19"/>
  <c r="N1080" i="19"/>
  <c r="O1080" i="19"/>
  <c r="I1081" i="19"/>
  <c r="K1081" i="19"/>
  <c r="N1081" i="19"/>
  <c r="O1081" i="19"/>
  <c r="I1082" i="19"/>
  <c r="K1082" i="19"/>
  <c r="N1082" i="19"/>
  <c r="O1082" i="19"/>
  <c r="I1083" i="19"/>
  <c r="K1083" i="19"/>
  <c r="N1083" i="19"/>
  <c r="O1083" i="19"/>
  <c r="I1084" i="19"/>
  <c r="K1084" i="19"/>
  <c r="N1084" i="19"/>
  <c r="O1084" i="19"/>
  <c r="I1085" i="19"/>
  <c r="K1085" i="19"/>
  <c r="N1085" i="19"/>
  <c r="O1085" i="19"/>
  <c r="I1086" i="19"/>
  <c r="K1086" i="19"/>
  <c r="N1086" i="19"/>
  <c r="O1086" i="19"/>
  <c r="I1087" i="19"/>
  <c r="K1087" i="19"/>
  <c r="N1087" i="19"/>
  <c r="O1087" i="19"/>
  <c r="V1087" i="19" s="1"/>
  <c r="W1087" i="19" s="1"/>
  <c r="X1087" i="19" s="1"/>
  <c r="Y1087" i="19" s="1"/>
  <c r="I1088" i="19"/>
  <c r="K1088" i="19"/>
  <c r="N1088" i="19"/>
  <c r="O1088" i="19"/>
  <c r="I1089" i="19"/>
  <c r="K1089" i="19"/>
  <c r="N1089" i="19"/>
  <c r="O1089" i="19"/>
  <c r="I1090" i="19"/>
  <c r="K1090" i="19"/>
  <c r="N1090" i="19"/>
  <c r="O1090" i="19"/>
  <c r="I1091" i="19"/>
  <c r="K1091" i="19"/>
  <c r="N1091" i="19"/>
  <c r="O1091" i="19"/>
  <c r="I1092" i="19"/>
  <c r="K1092" i="19"/>
  <c r="N1092" i="19"/>
  <c r="O1092" i="19"/>
  <c r="I1093" i="19"/>
  <c r="K1093" i="19"/>
  <c r="N1093" i="19"/>
  <c r="O1093" i="19"/>
  <c r="I1094" i="19"/>
  <c r="K1094" i="19"/>
  <c r="N1094" i="19"/>
  <c r="O1094" i="19"/>
  <c r="I1095" i="19"/>
  <c r="K1095" i="19"/>
  <c r="N1095" i="19"/>
  <c r="O1095" i="19"/>
  <c r="I1096" i="19"/>
  <c r="K1096" i="19"/>
  <c r="N1096" i="19"/>
  <c r="O1096" i="19"/>
  <c r="V1096" i="19" s="1"/>
  <c r="W1096" i="19" s="1"/>
  <c r="X1096" i="19" s="1"/>
  <c r="Y1096" i="19" s="1"/>
  <c r="I1097" i="19"/>
  <c r="K1097" i="19"/>
  <c r="N1097" i="19"/>
  <c r="O1097" i="19"/>
  <c r="I1098" i="19"/>
  <c r="K1098" i="19"/>
  <c r="N1098" i="19"/>
  <c r="O1098" i="19"/>
  <c r="I1099" i="19"/>
  <c r="K1099" i="19"/>
  <c r="N1099" i="19"/>
  <c r="O1099" i="19"/>
  <c r="I1100" i="19"/>
  <c r="K1100" i="19"/>
  <c r="N1100" i="19"/>
  <c r="O1100" i="19"/>
  <c r="I1101" i="19"/>
  <c r="K1101" i="19"/>
  <c r="N1101" i="19"/>
  <c r="O1101" i="19"/>
  <c r="I1102" i="19"/>
  <c r="K1102" i="19"/>
  <c r="N1102" i="19"/>
  <c r="O1102" i="19"/>
  <c r="V1102" i="19" s="1"/>
  <c r="W1102" i="19" s="1"/>
  <c r="X1102" i="19" s="1"/>
  <c r="Y1102" i="19" s="1"/>
  <c r="I1103" i="19"/>
  <c r="K1103" i="19"/>
  <c r="N1103" i="19"/>
  <c r="O1103" i="19"/>
  <c r="I1104" i="19"/>
  <c r="K1104" i="19"/>
  <c r="N1104" i="19"/>
  <c r="O1104" i="19"/>
  <c r="V1104" i="19" s="1"/>
  <c r="W1104" i="19" s="1"/>
  <c r="X1104" i="19" s="1"/>
  <c r="Y1104" i="19" s="1"/>
  <c r="I1105" i="19"/>
  <c r="K1105" i="19"/>
  <c r="N1105" i="19"/>
  <c r="O1105" i="19"/>
  <c r="V1105" i="19" s="1"/>
  <c r="W1105" i="19" s="1"/>
  <c r="X1105" i="19" s="1"/>
  <c r="Y1105" i="19" s="1"/>
  <c r="I1106" i="19"/>
  <c r="K1106" i="19"/>
  <c r="N1106" i="19"/>
  <c r="O1106" i="19"/>
  <c r="I1107" i="19"/>
  <c r="K1107" i="19"/>
  <c r="N1107" i="19"/>
  <c r="O1107" i="19"/>
  <c r="I1108" i="19"/>
  <c r="K1108" i="19"/>
  <c r="N1108" i="19"/>
  <c r="O1108" i="19"/>
  <c r="I1109" i="19"/>
  <c r="K1109" i="19"/>
  <c r="N1109" i="19"/>
  <c r="O1109" i="19"/>
  <c r="I1110" i="19"/>
  <c r="K1110" i="19"/>
  <c r="N1110" i="19"/>
  <c r="O1110" i="19"/>
  <c r="I1111" i="19"/>
  <c r="K1111" i="19"/>
  <c r="N1111" i="19"/>
  <c r="O1111" i="19"/>
  <c r="I1112" i="19"/>
  <c r="K1112" i="19"/>
  <c r="N1112" i="19"/>
  <c r="O1112" i="19"/>
  <c r="V1112" i="19" s="1"/>
  <c r="W1112" i="19" s="1"/>
  <c r="X1112" i="19" s="1"/>
  <c r="Y1112" i="19" s="1"/>
  <c r="I1113" i="19"/>
  <c r="K1113" i="19"/>
  <c r="N1113" i="19"/>
  <c r="O1113" i="19"/>
  <c r="I1114" i="19"/>
  <c r="J1114" i="19"/>
  <c r="K1114" i="19"/>
  <c r="N1114" i="19"/>
  <c r="O1114" i="19"/>
  <c r="I1115" i="19"/>
  <c r="K1115" i="19"/>
  <c r="N1115" i="19"/>
  <c r="O1115" i="19"/>
  <c r="I1116" i="19"/>
  <c r="K1116" i="19"/>
  <c r="N1116" i="19"/>
  <c r="O1116" i="19"/>
  <c r="I1117" i="19"/>
  <c r="K1117" i="19"/>
  <c r="N1117" i="19"/>
  <c r="O1117" i="19"/>
  <c r="I1118" i="19"/>
  <c r="K1118" i="19"/>
  <c r="N1118" i="19"/>
  <c r="O1118" i="19"/>
  <c r="I1119" i="19"/>
  <c r="K1119" i="19"/>
  <c r="N1119" i="19"/>
  <c r="O1119" i="19"/>
  <c r="V1119" i="19" s="1"/>
  <c r="W1119" i="19" s="1"/>
  <c r="X1119" i="19" s="1"/>
  <c r="Y1119" i="19" s="1"/>
  <c r="I1120" i="19"/>
  <c r="K1120" i="19"/>
  <c r="N1120" i="19"/>
  <c r="O1120" i="19"/>
  <c r="I1121" i="19"/>
  <c r="K1121" i="19"/>
  <c r="N1121" i="19"/>
  <c r="O1121" i="19"/>
  <c r="I1122" i="19"/>
  <c r="K1122" i="19"/>
  <c r="N1122" i="19"/>
  <c r="O1122" i="19"/>
  <c r="I1123" i="19"/>
  <c r="K1123" i="19"/>
  <c r="N1123" i="19"/>
  <c r="O1123" i="19"/>
  <c r="I1124" i="19"/>
  <c r="K1124" i="19"/>
  <c r="N1124" i="19"/>
  <c r="O1124" i="19"/>
  <c r="I1125" i="19"/>
  <c r="K1125" i="19"/>
  <c r="N1125" i="19"/>
  <c r="O1125" i="19"/>
  <c r="I1126" i="19"/>
  <c r="K1126" i="19"/>
  <c r="N1126" i="19"/>
  <c r="O1126" i="19"/>
  <c r="V1126" i="19" s="1"/>
  <c r="W1126" i="19" s="1"/>
  <c r="X1126" i="19" s="1"/>
  <c r="Y1126" i="19" s="1"/>
  <c r="I1127" i="19"/>
  <c r="K1127" i="19"/>
  <c r="N1127" i="19"/>
  <c r="O1127" i="19"/>
  <c r="I1128" i="19"/>
  <c r="K1128" i="19"/>
  <c r="N1128" i="19"/>
  <c r="O1128" i="19"/>
  <c r="V1128" i="19" s="1"/>
  <c r="W1128" i="19" s="1"/>
  <c r="X1128" i="19" s="1"/>
  <c r="Y1128" i="19" s="1"/>
  <c r="I1129" i="19"/>
  <c r="K1129" i="19"/>
  <c r="N1129" i="19"/>
  <c r="O1129" i="19"/>
  <c r="I1130" i="19"/>
  <c r="K1130" i="19"/>
  <c r="N1130" i="19"/>
  <c r="O1130" i="19"/>
  <c r="I1131" i="19"/>
  <c r="K1131" i="19"/>
  <c r="N1131" i="19"/>
  <c r="O1131" i="19"/>
  <c r="I1132" i="19"/>
  <c r="K1132" i="19"/>
  <c r="N1132" i="19"/>
  <c r="O1132" i="19"/>
  <c r="I1133" i="19"/>
  <c r="K1133" i="19"/>
  <c r="N1133" i="19"/>
  <c r="O1133" i="19"/>
  <c r="I1134" i="19"/>
  <c r="K1134" i="19"/>
  <c r="N1134" i="19"/>
  <c r="O1134" i="19"/>
  <c r="I1135" i="19"/>
  <c r="K1135" i="19"/>
  <c r="N1135" i="19"/>
  <c r="O1135" i="19"/>
  <c r="V1135" i="19" s="1"/>
  <c r="W1135" i="19" s="1"/>
  <c r="X1135" i="19" s="1"/>
  <c r="Y1135" i="19" s="1"/>
  <c r="I1136" i="19"/>
  <c r="K1136" i="19"/>
  <c r="N1136" i="19"/>
  <c r="O1136" i="19"/>
  <c r="I1137" i="19"/>
  <c r="K1137" i="19"/>
  <c r="N1137" i="19"/>
  <c r="O1137" i="19"/>
  <c r="I1138" i="19"/>
  <c r="K1138" i="19"/>
  <c r="N1138" i="19"/>
  <c r="O1138" i="19"/>
  <c r="I1139" i="19"/>
  <c r="K1139" i="19"/>
  <c r="N1139" i="19"/>
  <c r="O1139" i="19"/>
  <c r="I1140" i="19"/>
  <c r="K1140" i="19"/>
  <c r="N1140" i="19"/>
  <c r="O1140" i="19"/>
  <c r="V1140" i="19" s="1"/>
  <c r="W1140" i="19" s="1"/>
  <c r="X1140" i="19" s="1"/>
  <c r="Y1140" i="19" s="1"/>
  <c r="I1141" i="19"/>
  <c r="K1141" i="19"/>
  <c r="N1141" i="19"/>
  <c r="O1141" i="19"/>
  <c r="V1141" i="19" s="1"/>
  <c r="W1141" i="19" s="1"/>
  <c r="X1141" i="19" s="1"/>
  <c r="Y1141" i="19" s="1"/>
  <c r="I1142" i="19"/>
  <c r="K1142" i="19"/>
  <c r="N1142" i="19"/>
  <c r="O1142" i="19"/>
  <c r="I1143" i="19"/>
  <c r="K1143" i="19"/>
  <c r="N1143" i="19"/>
  <c r="O1143" i="19"/>
  <c r="I1144" i="19"/>
  <c r="K1144" i="19"/>
  <c r="N1144" i="19"/>
  <c r="O1144" i="19"/>
  <c r="V1144" i="19" s="1"/>
  <c r="W1144" i="19" s="1"/>
  <c r="X1144" i="19" s="1"/>
  <c r="Y1144" i="19" s="1"/>
  <c r="I1145" i="19"/>
  <c r="K1145" i="19"/>
  <c r="N1145" i="19"/>
  <c r="O1145" i="19"/>
  <c r="I1146" i="19"/>
  <c r="K1146" i="19"/>
  <c r="N1146" i="19"/>
  <c r="O1146" i="19"/>
  <c r="V1146" i="19" s="1"/>
  <c r="W1146" i="19" s="1"/>
  <c r="X1146" i="19" s="1"/>
  <c r="Y1146" i="19" s="1"/>
  <c r="I1147" i="19"/>
  <c r="K1147" i="19"/>
  <c r="N1147" i="19"/>
  <c r="O1147" i="19"/>
  <c r="I1148" i="19"/>
  <c r="K1148" i="19"/>
  <c r="N1148" i="19"/>
  <c r="O1148" i="19"/>
  <c r="I1149" i="19"/>
  <c r="K1149" i="19"/>
  <c r="N1149" i="19"/>
  <c r="O1149" i="19"/>
  <c r="I1150" i="19"/>
  <c r="K1150" i="19"/>
  <c r="N1150" i="19"/>
  <c r="O1150" i="19"/>
  <c r="V1150" i="19" s="1"/>
  <c r="W1150" i="19" s="1"/>
  <c r="X1150" i="19" s="1"/>
  <c r="Y1150" i="19" s="1"/>
  <c r="I1151" i="19"/>
  <c r="K1151" i="19"/>
  <c r="N1151" i="19"/>
  <c r="O1151" i="19"/>
  <c r="I1152" i="19"/>
  <c r="K1152" i="19"/>
  <c r="N1152" i="19"/>
  <c r="O1152" i="19"/>
  <c r="V1152" i="19" s="1"/>
  <c r="W1152" i="19" s="1"/>
  <c r="X1152" i="19" s="1"/>
  <c r="Y1152" i="19" s="1"/>
  <c r="I1153" i="19"/>
  <c r="K1153" i="19"/>
  <c r="N1153" i="19"/>
  <c r="O1153" i="19"/>
  <c r="V1153" i="19" s="1"/>
  <c r="W1153" i="19" s="1"/>
  <c r="X1153" i="19" s="1"/>
  <c r="Y1153" i="19" s="1"/>
  <c r="I1154" i="19"/>
  <c r="K1154" i="19"/>
  <c r="N1154" i="19"/>
  <c r="O1154" i="19"/>
  <c r="I1155" i="19"/>
  <c r="K1155" i="19"/>
  <c r="N1155" i="19"/>
  <c r="O1155" i="19"/>
  <c r="V1155" i="19" s="1"/>
  <c r="W1155" i="19" s="1"/>
  <c r="X1155" i="19" s="1"/>
  <c r="Y1155" i="19" s="1"/>
  <c r="I1156" i="19"/>
  <c r="K1156" i="19"/>
  <c r="N1156" i="19"/>
  <c r="O1156" i="19"/>
  <c r="I1157" i="19"/>
  <c r="K1157" i="19"/>
  <c r="N1157" i="19"/>
  <c r="O1157" i="19"/>
  <c r="I1158" i="19"/>
  <c r="K1158" i="19"/>
  <c r="N1158" i="19"/>
  <c r="O1158" i="19"/>
  <c r="V1158" i="19" s="1"/>
  <c r="W1158" i="19" s="1"/>
  <c r="X1158" i="19" s="1"/>
  <c r="Y1158" i="19" s="1"/>
  <c r="I1159" i="19"/>
  <c r="K1159" i="19"/>
  <c r="N1159" i="19"/>
  <c r="O1159" i="19"/>
  <c r="I1160" i="19"/>
  <c r="K1160" i="19"/>
  <c r="N1160" i="19"/>
  <c r="O1160" i="19"/>
  <c r="I1161" i="19"/>
  <c r="K1161" i="19"/>
  <c r="N1161" i="19"/>
  <c r="O1161" i="19"/>
  <c r="I1162" i="19"/>
  <c r="K1162" i="19"/>
  <c r="N1162" i="19"/>
  <c r="O1162" i="19"/>
  <c r="V1162" i="19" s="1"/>
  <c r="W1162" i="19" s="1"/>
  <c r="X1162" i="19" s="1"/>
  <c r="Y1162" i="19" s="1"/>
  <c r="I1163" i="19"/>
  <c r="K1163" i="19"/>
  <c r="N1163" i="19"/>
  <c r="O1163" i="19"/>
  <c r="I1164" i="19"/>
  <c r="K1164" i="19"/>
  <c r="N1164" i="19"/>
  <c r="O1164" i="19"/>
  <c r="V1164" i="19" s="1"/>
  <c r="W1164" i="19" s="1"/>
  <c r="X1164" i="19" s="1"/>
  <c r="Y1164" i="19" s="1"/>
  <c r="I1165" i="19"/>
  <c r="K1165" i="19"/>
  <c r="N1165" i="19"/>
  <c r="O1165" i="19"/>
  <c r="V1165" i="19" s="1"/>
  <c r="W1165" i="19" s="1"/>
  <c r="X1165" i="19" s="1"/>
  <c r="Y1165" i="19" s="1"/>
  <c r="I1166" i="19"/>
  <c r="K1166" i="19"/>
  <c r="N1166" i="19"/>
  <c r="O1166" i="19"/>
  <c r="I1167" i="19"/>
  <c r="K1167" i="19"/>
  <c r="N1167" i="19"/>
  <c r="O1167" i="19"/>
  <c r="V1167" i="19" s="1"/>
  <c r="W1167" i="19" s="1"/>
  <c r="X1167" i="19" s="1"/>
  <c r="Y1167" i="19" s="1"/>
  <c r="I1168" i="19"/>
  <c r="K1168" i="19"/>
  <c r="N1168" i="19"/>
  <c r="O1168" i="19"/>
  <c r="V1168" i="19" s="1"/>
  <c r="W1168" i="19" s="1"/>
  <c r="X1168" i="19" s="1"/>
  <c r="Y1168" i="19" s="1"/>
  <c r="I1169" i="19"/>
  <c r="K1169" i="19"/>
  <c r="N1169" i="19"/>
  <c r="O1169" i="19"/>
  <c r="V1169" i="19" s="1"/>
  <c r="W1169" i="19" s="1"/>
  <c r="X1169" i="19" s="1"/>
  <c r="Y1169" i="19" s="1"/>
  <c r="I1170" i="19"/>
  <c r="K1170" i="19"/>
  <c r="N1170" i="19"/>
  <c r="O1170" i="19"/>
  <c r="I1171" i="19"/>
  <c r="K1171" i="19"/>
  <c r="N1171" i="19"/>
  <c r="O1171" i="19"/>
  <c r="I1172" i="19"/>
  <c r="K1172" i="19"/>
  <c r="N1172" i="19"/>
  <c r="O1172" i="19"/>
  <c r="I1173" i="19"/>
  <c r="K1173" i="19"/>
  <c r="N1173" i="19"/>
  <c r="O1173" i="19"/>
  <c r="I1174" i="19"/>
  <c r="K1174" i="19"/>
  <c r="N1174" i="19"/>
  <c r="O1174" i="19"/>
  <c r="V1174" i="19" s="1"/>
  <c r="W1174" i="19" s="1"/>
  <c r="X1174" i="19" s="1"/>
  <c r="Y1174" i="19" s="1"/>
  <c r="I1175" i="19"/>
  <c r="K1175" i="19"/>
  <c r="N1175" i="19"/>
  <c r="O1175" i="19"/>
  <c r="I1176" i="19"/>
  <c r="K1176" i="19"/>
  <c r="N1176" i="19"/>
  <c r="O1176" i="19"/>
  <c r="I1177" i="19"/>
  <c r="K1177" i="19"/>
  <c r="N1177" i="19"/>
  <c r="O1177" i="19"/>
  <c r="V1177" i="19" s="1"/>
  <c r="W1177" i="19" s="1"/>
  <c r="X1177" i="19" s="1"/>
  <c r="Y1177" i="19" s="1"/>
  <c r="I1178" i="19"/>
  <c r="K1178" i="19"/>
  <c r="N1178" i="19"/>
  <c r="O1178" i="19"/>
  <c r="I1179" i="19"/>
  <c r="K1179" i="19"/>
  <c r="N1179" i="19"/>
  <c r="O1179" i="19"/>
  <c r="I1180" i="19"/>
  <c r="K1180" i="19"/>
  <c r="N1180" i="19"/>
  <c r="O1180" i="19"/>
  <c r="V1180" i="19" s="1"/>
  <c r="W1180" i="19" s="1"/>
  <c r="X1180" i="19" s="1"/>
  <c r="Y1180" i="19" s="1"/>
  <c r="I1181" i="19"/>
  <c r="K1181" i="19"/>
  <c r="N1181" i="19"/>
  <c r="O1181" i="19"/>
  <c r="I1182" i="19"/>
  <c r="K1182" i="19"/>
  <c r="N1182" i="19"/>
  <c r="O1182" i="19"/>
  <c r="V1182" i="19" s="1"/>
  <c r="W1182" i="19" s="1"/>
  <c r="X1182" i="19" s="1"/>
  <c r="Y1182" i="19" s="1"/>
  <c r="I1183" i="19"/>
  <c r="K1183" i="19"/>
  <c r="N1183" i="19"/>
  <c r="O1183" i="19"/>
  <c r="V1183" i="19" s="1"/>
  <c r="W1183" i="19" s="1"/>
  <c r="X1183" i="19" s="1"/>
  <c r="Y1183" i="19" s="1"/>
  <c r="I1184" i="19"/>
  <c r="K1184" i="19"/>
  <c r="N1184" i="19"/>
  <c r="O1184" i="19"/>
  <c r="V1184" i="19" s="1"/>
  <c r="W1184" i="19" s="1"/>
  <c r="X1184" i="19" s="1"/>
  <c r="Y1184" i="19" s="1"/>
  <c r="I1185" i="19"/>
  <c r="K1185" i="19"/>
  <c r="N1185" i="19"/>
  <c r="O1185" i="19"/>
  <c r="I1186" i="19"/>
  <c r="K1186" i="19"/>
  <c r="N1186" i="19"/>
  <c r="O1186" i="19"/>
  <c r="V1186" i="19" s="1"/>
  <c r="W1186" i="19" s="1"/>
  <c r="X1186" i="19" s="1"/>
  <c r="Y1186" i="19" s="1"/>
  <c r="I1187" i="19"/>
  <c r="K1187" i="19"/>
  <c r="N1187" i="19"/>
  <c r="O1187" i="19"/>
  <c r="I1188" i="19"/>
  <c r="K1188" i="19"/>
  <c r="N1188" i="19"/>
  <c r="O1188" i="19"/>
  <c r="I1189" i="19"/>
  <c r="K1189" i="19"/>
  <c r="N1189" i="19"/>
  <c r="O1189" i="19"/>
  <c r="I1190" i="19"/>
  <c r="K1190" i="19"/>
  <c r="N1190" i="19"/>
  <c r="O1190" i="19"/>
  <c r="I1191" i="19"/>
  <c r="K1191" i="19"/>
  <c r="N1191" i="19"/>
  <c r="O1191" i="19"/>
  <c r="I1192" i="19"/>
  <c r="K1192" i="19"/>
  <c r="N1192" i="19"/>
  <c r="O1192" i="19"/>
  <c r="I1193" i="19"/>
  <c r="K1193" i="19"/>
  <c r="N1193" i="19"/>
  <c r="O1193" i="19"/>
  <c r="V1193" i="19" s="1"/>
  <c r="W1193" i="19" s="1"/>
  <c r="X1193" i="19" s="1"/>
  <c r="Y1193" i="19" s="1"/>
  <c r="I1194" i="19"/>
  <c r="K1194" i="19"/>
  <c r="N1194" i="19"/>
  <c r="O1194" i="19"/>
  <c r="V1194" i="19" s="1"/>
  <c r="W1194" i="19" s="1"/>
  <c r="X1194" i="19" s="1"/>
  <c r="Y1194" i="19" s="1"/>
  <c r="I1195" i="19"/>
  <c r="K1195" i="19"/>
  <c r="N1195" i="19"/>
  <c r="O1195" i="19"/>
  <c r="I1196" i="19"/>
  <c r="K1196" i="19"/>
  <c r="N1196" i="19"/>
  <c r="O1196" i="19"/>
  <c r="I1197" i="19"/>
  <c r="K1197" i="19"/>
  <c r="N1197" i="19"/>
  <c r="O1197" i="19"/>
  <c r="V1197" i="19" s="1"/>
  <c r="W1197" i="19" s="1"/>
  <c r="X1197" i="19" s="1"/>
  <c r="Y1197" i="19" s="1"/>
  <c r="I1198" i="19"/>
  <c r="K1198" i="19"/>
  <c r="N1198" i="19"/>
  <c r="O1198" i="19"/>
  <c r="I1199" i="19"/>
  <c r="K1199" i="19"/>
  <c r="N1199" i="19"/>
  <c r="O1199" i="19"/>
  <c r="I1200" i="19"/>
  <c r="K1200" i="19"/>
  <c r="N1200" i="19"/>
  <c r="O1200" i="19"/>
  <c r="V1200" i="19" s="1"/>
  <c r="W1200" i="19" s="1"/>
  <c r="X1200" i="19" s="1"/>
  <c r="Y1200" i="19" s="1"/>
  <c r="I1201" i="19"/>
  <c r="K1201" i="19"/>
  <c r="N1201" i="19"/>
  <c r="O1201" i="19"/>
  <c r="I1202" i="19"/>
  <c r="K1202" i="19"/>
  <c r="N1202" i="19"/>
  <c r="O1202" i="19"/>
  <c r="I1203" i="19"/>
  <c r="K1203" i="19"/>
  <c r="N1203" i="19"/>
  <c r="O1203" i="19"/>
  <c r="V1203" i="19" s="1"/>
  <c r="W1203" i="19" s="1"/>
  <c r="X1203" i="19" s="1"/>
  <c r="Y1203" i="19" s="1"/>
  <c r="I1204" i="19"/>
  <c r="K1204" i="19"/>
  <c r="N1204" i="19"/>
  <c r="O1204" i="19"/>
  <c r="I1205" i="19"/>
  <c r="J1205" i="19"/>
  <c r="K1205" i="19"/>
  <c r="N1205" i="19"/>
  <c r="O1205" i="19"/>
  <c r="V1205" i="19" s="1"/>
  <c r="W1205" i="19" s="1"/>
  <c r="X1205" i="19" s="1"/>
  <c r="Y1205" i="19" s="1"/>
  <c r="I1206" i="19"/>
  <c r="K1206" i="19"/>
  <c r="N1206" i="19"/>
  <c r="O1206" i="19"/>
  <c r="I1207" i="19"/>
  <c r="K1207" i="19"/>
  <c r="N1207" i="19"/>
  <c r="O1207" i="19"/>
  <c r="I1208" i="19"/>
  <c r="K1208" i="19"/>
  <c r="N1208" i="19"/>
  <c r="O1208" i="19"/>
  <c r="I1209" i="19"/>
  <c r="K1209" i="19"/>
  <c r="N1209" i="19"/>
  <c r="O1209" i="19"/>
  <c r="V1209" i="19" s="1"/>
  <c r="W1209" i="19" s="1"/>
  <c r="X1209" i="19" s="1"/>
  <c r="Y1209" i="19" s="1"/>
  <c r="I1210" i="19"/>
  <c r="K1210" i="19"/>
  <c r="N1210" i="19"/>
  <c r="O1210" i="19"/>
  <c r="V1210" i="19" s="1"/>
  <c r="W1210" i="19" s="1"/>
  <c r="X1210" i="19" s="1"/>
  <c r="Y1210" i="19" s="1"/>
  <c r="I1211" i="19"/>
  <c r="K1211" i="19"/>
  <c r="N1211" i="19"/>
  <c r="O1211" i="19"/>
  <c r="I1212" i="19"/>
  <c r="K1212" i="19"/>
  <c r="N1212" i="19"/>
  <c r="O1212" i="19"/>
  <c r="I1213" i="19"/>
  <c r="K1213" i="19"/>
  <c r="L1213" i="19"/>
  <c r="N1213" i="19"/>
  <c r="O1213" i="19"/>
  <c r="I1214" i="19"/>
  <c r="K1214" i="19"/>
  <c r="N1214" i="19"/>
  <c r="O1214" i="19"/>
  <c r="I1215" i="19"/>
  <c r="K1215" i="19"/>
  <c r="N1215" i="19"/>
  <c r="O1215" i="19"/>
  <c r="I1216" i="19"/>
  <c r="K1216" i="19"/>
  <c r="L1216" i="19"/>
  <c r="N1216" i="19"/>
  <c r="O1216" i="19"/>
  <c r="I1217" i="19"/>
  <c r="K1217" i="19"/>
  <c r="N1217" i="19"/>
  <c r="O1217" i="19"/>
  <c r="V1217" i="19" s="1"/>
  <c r="W1217" i="19" s="1"/>
  <c r="X1217" i="19" s="1"/>
  <c r="Y1217" i="19" s="1"/>
  <c r="I1218" i="19"/>
  <c r="K1218" i="19"/>
  <c r="N1218" i="19"/>
  <c r="O1218" i="19"/>
  <c r="V1218" i="19" s="1"/>
  <c r="W1218" i="19" s="1"/>
  <c r="X1218" i="19" s="1"/>
  <c r="Y1218" i="19" s="1"/>
  <c r="I1219" i="19"/>
  <c r="K1219" i="19"/>
  <c r="N1219" i="19"/>
  <c r="O1219" i="19"/>
  <c r="I1220" i="19"/>
  <c r="K1220" i="19"/>
  <c r="N1220" i="19"/>
  <c r="O1220" i="19"/>
  <c r="I1221" i="19"/>
  <c r="K1221" i="19"/>
  <c r="N1221" i="19"/>
  <c r="O1221" i="19"/>
  <c r="V1221" i="19" s="1"/>
  <c r="W1221" i="19" s="1"/>
  <c r="X1221" i="19" s="1"/>
  <c r="Y1221" i="19" s="1"/>
  <c r="I1222" i="19"/>
  <c r="K1222" i="19"/>
  <c r="N1222" i="19"/>
  <c r="O1222" i="19"/>
  <c r="V1222" i="19" s="1"/>
  <c r="W1222" i="19" s="1"/>
  <c r="X1222" i="19" s="1"/>
  <c r="Y1222" i="19" s="1"/>
  <c r="I1223" i="19"/>
  <c r="K1223" i="19"/>
  <c r="N1223" i="19"/>
  <c r="O1223" i="19"/>
  <c r="V1223" i="19" s="1"/>
  <c r="W1223" i="19" s="1"/>
  <c r="X1223" i="19" s="1"/>
  <c r="Y1223" i="19" s="1"/>
  <c r="I1224" i="19"/>
  <c r="K1224" i="19"/>
  <c r="N1224" i="19"/>
  <c r="O1224" i="19"/>
  <c r="I1225" i="19"/>
  <c r="K1225" i="19"/>
  <c r="N1225" i="19"/>
  <c r="O1225" i="19"/>
  <c r="I1226" i="19"/>
  <c r="K1226" i="19"/>
  <c r="N1226" i="19"/>
  <c r="O1226" i="19"/>
  <c r="I1227" i="19"/>
  <c r="K1227" i="19"/>
  <c r="N1227" i="19"/>
  <c r="O1227" i="19"/>
  <c r="I1228" i="19"/>
  <c r="K1228" i="19"/>
  <c r="N1228" i="19"/>
  <c r="O1228" i="19"/>
  <c r="V1228" i="19" s="1"/>
  <c r="W1228" i="19" s="1"/>
  <c r="X1228" i="19" s="1"/>
  <c r="Y1228" i="19" s="1"/>
  <c r="I1229" i="19"/>
  <c r="K1229" i="19"/>
  <c r="N1229" i="19"/>
  <c r="O1229" i="19"/>
  <c r="I1230" i="19"/>
  <c r="K1230" i="19"/>
  <c r="N1230" i="19"/>
  <c r="O1230" i="19"/>
  <c r="V1230" i="19" s="1"/>
  <c r="W1230" i="19" s="1"/>
  <c r="X1230" i="19" s="1"/>
  <c r="Y1230" i="19" s="1"/>
  <c r="I1231" i="19"/>
  <c r="K1231" i="19"/>
  <c r="N1231" i="19"/>
  <c r="O1231" i="19"/>
  <c r="I1232" i="19"/>
  <c r="K1232" i="19"/>
  <c r="N1232" i="19"/>
  <c r="O1232" i="19"/>
  <c r="I1233" i="19"/>
  <c r="K1233" i="19"/>
  <c r="N1233" i="19"/>
  <c r="O1233" i="19"/>
  <c r="I1234" i="19"/>
  <c r="K1234" i="19"/>
  <c r="N1234" i="19"/>
  <c r="O1234" i="19"/>
  <c r="V1234" i="19" s="1"/>
  <c r="W1234" i="19" s="1"/>
  <c r="X1234" i="19" s="1"/>
  <c r="Y1234" i="19" s="1"/>
  <c r="I1235" i="19"/>
  <c r="K1235" i="19"/>
  <c r="N1235" i="19"/>
  <c r="O1235" i="19"/>
  <c r="I1236" i="19"/>
  <c r="K1236" i="19"/>
  <c r="N1236" i="19"/>
  <c r="O1236" i="19"/>
  <c r="I1237" i="19"/>
  <c r="K1237" i="19"/>
  <c r="N1237" i="19"/>
  <c r="O1237" i="19"/>
  <c r="V1237" i="19" s="1"/>
  <c r="W1237" i="19" s="1"/>
  <c r="X1237" i="19" s="1"/>
  <c r="Y1237" i="19" s="1"/>
  <c r="I1238" i="19"/>
  <c r="K1238" i="19"/>
  <c r="N1238" i="19"/>
  <c r="O1238" i="19"/>
  <c r="I1239" i="19"/>
  <c r="K1239" i="19"/>
  <c r="N1239" i="19"/>
  <c r="O1239" i="19"/>
  <c r="I1240" i="19"/>
  <c r="K1240" i="19"/>
  <c r="N1240" i="19"/>
  <c r="O1240" i="19"/>
  <c r="I1241" i="19"/>
  <c r="K1241" i="19"/>
  <c r="N1241" i="19"/>
  <c r="O1241" i="19"/>
  <c r="V1241" i="19" s="1"/>
  <c r="W1241" i="19" s="1"/>
  <c r="X1241" i="19" s="1"/>
  <c r="Y1241" i="19" s="1"/>
  <c r="I1242" i="19"/>
  <c r="K1242" i="19"/>
  <c r="N1242" i="19"/>
  <c r="O1242" i="19"/>
  <c r="V1242" i="19" s="1"/>
  <c r="W1242" i="19" s="1"/>
  <c r="X1242" i="19" s="1"/>
  <c r="Y1242" i="19" s="1"/>
  <c r="I1243" i="19"/>
  <c r="K1243" i="19"/>
  <c r="N1243" i="19"/>
  <c r="O1243" i="19"/>
  <c r="I1244" i="19"/>
  <c r="K1244" i="19"/>
  <c r="N1244" i="19"/>
  <c r="O1244" i="19"/>
  <c r="I1245" i="19"/>
  <c r="K1245" i="19"/>
  <c r="N1245" i="19"/>
  <c r="O1245" i="19"/>
  <c r="I1246" i="19"/>
  <c r="K1246" i="19"/>
  <c r="N1246" i="19"/>
  <c r="O1246" i="19"/>
  <c r="I1247" i="19"/>
  <c r="K1247" i="19"/>
  <c r="N1247" i="19"/>
  <c r="O1247" i="19"/>
  <c r="V1247" i="19" s="1"/>
  <c r="W1247" i="19" s="1"/>
  <c r="X1247" i="19" s="1"/>
  <c r="Y1247" i="19" s="1"/>
  <c r="I1248" i="19"/>
  <c r="K1248" i="19"/>
  <c r="N1248" i="19"/>
  <c r="O1248" i="19"/>
  <c r="I1249" i="19"/>
  <c r="K1249" i="19"/>
  <c r="N1249" i="19"/>
  <c r="O1249" i="19"/>
  <c r="I1250" i="19"/>
  <c r="K1250" i="19"/>
  <c r="N1250" i="19"/>
  <c r="O1250" i="19"/>
  <c r="I1251" i="19"/>
  <c r="K1251" i="19"/>
  <c r="N1251" i="19"/>
  <c r="O1251" i="19"/>
  <c r="I1252" i="19"/>
  <c r="K1252" i="19"/>
  <c r="N1252" i="19"/>
  <c r="O1252" i="19"/>
  <c r="I1253" i="19"/>
  <c r="K1253" i="19"/>
  <c r="N1253" i="19"/>
  <c r="O1253" i="19"/>
  <c r="V1253" i="19" s="1"/>
  <c r="W1253" i="19" s="1"/>
  <c r="X1253" i="19" s="1"/>
  <c r="Y1253" i="19" s="1"/>
  <c r="I1254" i="19"/>
  <c r="K1254" i="19"/>
  <c r="N1254" i="19"/>
  <c r="O1254" i="19"/>
  <c r="I1255" i="19"/>
  <c r="K1255" i="19"/>
  <c r="N1255" i="19"/>
  <c r="O1255" i="19"/>
  <c r="V1255" i="19" s="1"/>
  <c r="W1255" i="19" s="1"/>
  <c r="X1255" i="19" s="1"/>
  <c r="Y1255" i="19" s="1"/>
  <c r="I1256" i="19"/>
  <c r="K1256" i="19"/>
  <c r="N1256" i="19"/>
  <c r="O1256" i="19"/>
  <c r="I1257" i="19"/>
  <c r="K1257" i="19"/>
  <c r="N1257" i="19"/>
  <c r="O1257" i="19"/>
  <c r="I1258" i="19"/>
  <c r="K1258" i="19"/>
  <c r="N1258" i="19"/>
  <c r="O1258" i="19"/>
  <c r="I1259" i="19"/>
  <c r="K1259" i="19"/>
  <c r="N1259" i="19"/>
  <c r="O1259" i="19"/>
  <c r="I1260" i="19"/>
  <c r="K1260" i="19"/>
  <c r="N1260" i="19"/>
  <c r="O1260" i="19"/>
  <c r="I1261" i="19"/>
  <c r="K1261" i="19"/>
  <c r="N1261" i="19"/>
  <c r="O1261" i="19"/>
  <c r="I1262" i="19"/>
  <c r="K1262" i="19"/>
  <c r="N1262" i="19"/>
  <c r="O1262" i="19"/>
  <c r="V1262" i="19" s="1"/>
  <c r="W1262" i="19" s="1"/>
  <c r="X1262" i="19" s="1"/>
  <c r="Y1262" i="19" s="1"/>
  <c r="I1263" i="19"/>
  <c r="K1263" i="19"/>
  <c r="N1263" i="19"/>
  <c r="O1263" i="19"/>
  <c r="I1264" i="19"/>
  <c r="K1264" i="19"/>
  <c r="N1264" i="19"/>
  <c r="O1264" i="19"/>
  <c r="I1265" i="19"/>
  <c r="K1265" i="19"/>
  <c r="N1265" i="19"/>
  <c r="O1265" i="19"/>
  <c r="I1266" i="19"/>
  <c r="K1266" i="19"/>
  <c r="N1266" i="19"/>
  <c r="R1266" i="19" s="1"/>
  <c r="O1266" i="19"/>
  <c r="I1267" i="19"/>
  <c r="K1267" i="19"/>
  <c r="N1267" i="19"/>
  <c r="O1267" i="19"/>
  <c r="V1267" i="19" s="1"/>
  <c r="W1267" i="19" s="1"/>
  <c r="X1267" i="19" s="1"/>
  <c r="Y1267" i="19" s="1"/>
  <c r="I1268" i="19"/>
  <c r="K1268" i="19"/>
  <c r="N1268" i="19"/>
  <c r="O1268" i="19"/>
  <c r="V1268" i="19" s="1"/>
  <c r="W1268" i="19" s="1"/>
  <c r="X1268" i="19" s="1"/>
  <c r="Y1268" i="19" s="1"/>
  <c r="I1269" i="19"/>
  <c r="K1269" i="19"/>
  <c r="N1269" i="19"/>
  <c r="O1269" i="19"/>
  <c r="V1269" i="19" s="1"/>
  <c r="W1269" i="19" s="1"/>
  <c r="X1269" i="19" s="1"/>
  <c r="Y1269" i="19" s="1"/>
  <c r="I1270" i="19"/>
  <c r="K1270" i="19"/>
  <c r="N1270" i="19"/>
  <c r="O1270" i="19"/>
  <c r="I1271" i="19"/>
  <c r="K1271" i="19"/>
  <c r="N1271" i="19"/>
  <c r="O1271" i="19"/>
  <c r="I1272" i="19"/>
  <c r="K1272" i="19"/>
  <c r="N1272" i="19"/>
  <c r="O1272" i="19"/>
  <c r="I1273" i="19"/>
  <c r="K1273" i="19"/>
  <c r="N1273" i="19"/>
  <c r="O1273" i="19"/>
  <c r="I1274" i="19"/>
  <c r="K1274" i="19"/>
  <c r="N1274" i="19"/>
  <c r="O1274" i="19"/>
  <c r="I1275" i="19"/>
  <c r="K1275" i="19"/>
  <c r="N1275" i="19"/>
  <c r="O1275" i="19"/>
  <c r="I1276" i="19"/>
  <c r="K1276" i="19"/>
  <c r="N1276" i="19"/>
  <c r="O1276" i="19"/>
  <c r="I1277" i="19"/>
  <c r="K1277" i="19"/>
  <c r="N1277" i="19"/>
  <c r="O1277" i="19"/>
  <c r="I1278" i="19"/>
  <c r="K1278" i="19"/>
  <c r="N1278" i="19"/>
  <c r="R1278" i="19" s="1"/>
  <c r="O1278" i="19"/>
  <c r="V1278" i="19" s="1"/>
  <c r="W1278" i="19" s="1"/>
  <c r="X1278" i="19" s="1"/>
  <c r="Y1278" i="19" s="1"/>
  <c r="I1279" i="19"/>
  <c r="K1279" i="19"/>
  <c r="N1279" i="19"/>
  <c r="O1279" i="19"/>
  <c r="V1279" i="19" s="1"/>
  <c r="W1279" i="19" s="1"/>
  <c r="X1279" i="19" s="1"/>
  <c r="Y1279" i="19" s="1"/>
  <c r="I1280" i="19"/>
  <c r="K1280" i="19"/>
  <c r="N1280" i="19"/>
  <c r="O1280" i="19"/>
  <c r="V1280" i="19" s="1"/>
  <c r="W1280" i="19" s="1"/>
  <c r="X1280" i="19" s="1"/>
  <c r="Y1280" i="19" s="1"/>
  <c r="I1281" i="19"/>
  <c r="K1281" i="19"/>
  <c r="L1281" i="19"/>
  <c r="N1281" i="19"/>
  <c r="O1281" i="19"/>
  <c r="V1281" i="19" s="1"/>
  <c r="W1281" i="19" s="1"/>
  <c r="X1281" i="19" s="1"/>
  <c r="Y1281" i="19" s="1"/>
  <c r="I1282" i="19"/>
  <c r="K1282" i="19"/>
  <c r="N1282" i="19"/>
  <c r="O1282" i="19"/>
  <c r="V1282" i="19" s="1"/>
  <c r="W1282" i="19" s="1"/>
  <c r="X1282" i="19" s="1"/>
  <c r="Y1282" i="19" s="1"/>
  <c r="I1283" i="19"/>
  <c r="K1283" i="19"/>
  <c r="N1283" i="19"/>
  <c r="O1283" i="19"/>
  <c r="I1284" i="19"/>
  <c r="K1284" i="19"/>
  <c r="N1284" i="19"/>
  <c r="O1284" i="19"/>
  <c r="I1285" i="19"/>
  <c r="K1285" i="19"/>
  <c r="N1285" i="19"/>
  <c r="O1285" i="19"/>
  <c r="V1285" i="19" s="1"/>
  <c r="W1285" i="19" s="1"/>
  <c r="X1285" i="19" s="1"/>
  <c r="Y1285" i="19" s="1"/>
  <c r="I1286" i="19"/>
  <c r="K1286" i="19"/>
  <c r="N1286" i="19"/>
  <c r="O1286" i="19"/>
  <c r="V1286" i="19" s="1"/>
  <c r="W1286" i="19" s="1"/>
  <c r="X1286" i="19" s="1"/>
  <c r="Y1286" i="19" s="1"/>
  <c r="I1287" i="19"/>
  <c r="J1287" i="19"/>
  <c r="K1287" i="19"/>
  <c r="N1287" i="19"/>
  <c r="O1287" i="19"/>
  <c r="V1287" i="19" s="1"/>
  <c r="W1287" i="19" s="1"/>
  <c r="X1287" i="19" s="1"/>
  <c r="Y1287" i="19" s="1"/>
  <c r="I1288" i="19"/>
  <c r="K1288" i="19"/>
  <c r="N1288" i="19"/>
  <c r="R1288" i="19" s="1"/>
  <c r="O1288" i="19"/>
  <c r="I1289" i="19"/>
  <c r="K1289" i="19"/>
  <c r="N1289" i="19"/>
  <c r="O1289" i="19"/>
  <c r="I1290" i="19"/>
  <c r="K1290" i="19"/>
  <c r="N1290" i="19"/>
  <c r="O1290" i="19"/>
  <c r="I1291" i="19"/>
  <c r="K1291" i="19"/>
  <c r="N1291" i="19"/>
  <c r="O1291" i="19"/>
  <c r="V1291" i="19" s="1"/>
  <c r="W1291" i="19" s="1"/>
  <c r="X1291" i="19" s="1"/>
  <c r="Y1291" i="19" s="1"/>
  <c r="I1292" i="19"/>
  <c r="K1292" i="19"/>
  <c r="N1292" i="19"/>
  <c r="O1292" i="19"/>
  <c r="V1292" i="19" s="1"/>
  <c r="W1292" i="19" s="1"/>
  <c r="X1292" i="19" s="1"/>
  <c r="Y1292" i="19" s="1"/>
  <c r="I1293" i="19"/>
  <c r="K1293" i="19"/>
  <c r="N1293" i="19"/>
  <c r="O1293" i="19"/>
  <c r="V1293" i="19" s="1"/>
  <c r="W1293" i="19" s="1"/>
  <c r="X1293" i="19" s="1"/>
  <c r="Y1293" i="19" s="1"/>
  <c r="I1294" i="19"/>
  <c r="K1294" i="19"/>
  <c r="N1294" i="19"/>
  <c r="O1294" i="19"/>
  <c r="I1295" i="19"/>
  <c r="K1295" i="19"/>
  <c r="N1295" i="19"/>
  <c r="O1295" i="19"/>
  <c r="I1296" i="19"/>
  <c r="K1296" i="19"/>
  <c r="N1296" i="19"/>
  <c r="O1296" i="19"/>
  <c r="V1296" i="19" s="1"/>
  <c r="W1296" i="19" s="1"/>
  <c r="X1296" i="19" s="1"/>
  <c r="Y1296" i="19" s="1"/>
  <c r="I1297" i="19"/>
  <c r="K1297" i="19"/>
  <c r="N1297" i="19"/>
  <c r="O1297" i="19"/>
  <c r="V1297" i="19" s="1"/>
  <c r="W1297" i="19" s="1"/>
  <c r="X1297" i="19" s="1"/>
  <c r="Y1297" i="19" s="1"/>
  <c r="I1298" i="19"/>
  <c r="K1298" i="19"/>
  <c r="N1298" i="19"/>
  <c r="O1298" i="19"/>
  <c r="I1299" i="19"/>
  <c r="K1299" i="19"/>
  <c r="N1299" i="19"/>
  <c r="O1299" i="19"/>
  <c r="I1300" i="19"/>
  <c r="K1300" i="19"/>
  <c r="N1300" i="19"/>
  <c r="O1300" i="19"/>
  <c r="V1300" i="19" s="1"/>
  <c r="W1300" i="19" s="1"/>
  <c r="X1300" i="19" s="1"/>
  <c r="Y1300" i="19" s="1"/>
  <c r="I1301" i="19"/>
  <c r="K1301" i="19"/>
  <c r="N1301" i="19"/>
  <c r="O1301" i="19"/>
  <c r="I1302" i="19"/>
  <c r="K1302" i="19"/>
  <c r="N1302" i="19"/>
  <c r="O1302" i="19"/>
  <c r="V1302" i="19" s="1"/>
  <c r="W1302" i="19" s="1"/>
  <c r="X1302" i="19" s="1"/>
  <c r="Y1302" i="19" s="1"/>
  <c r="I1303" i="19"/>
  <c r="K1303" i="19"/>
  <c r="N1303" i="19"/>
  <c r="O1303" i="19"/>
  <c r="I1304" i="19"/>
  <c r="K1304" i="19"/>
  <c r="N1304" i="19"/>
  <c r="O1304" i="19"/>
  <c r="V1304" i="19" s="1"/>
  <c r="W1304" i="19" s="1"/>
  <c r="X1304" i="19" s="1"/>
  <c r="Y1304" i="19" s="1"/>
  <c r="I1305" i="19"/>
  <c r="K1305" i="19"/>
  <c r="N1305" i="19"/>
  <c r="O1305" i="19"/>
  <c r="V1305" i="19" s="1"/>
  <c r="W1305" i="19" s="1"/>
  <c r="X1305" i="19" s="1"/>
  <c r="Y1305" i="19" s="1"/>
  <c r="I1306" i="19"/>
  <c r="K1306" i="19"/>
  <c r="N1306" i="19"/>
  <c r="R1306" i="19" s="1"/>
  <c r="O1306" i="19"/>
  <c r="V1306" i="19" s="1"/>
  <c r="W1306" i="19" s="1"/>
  <c r="X1306" i="19" s="1"/>
  <c r="Y1306" i="19" s="1"/>
  <c r="I1307" i="19"/>
  <c r="J1307" i="19"/>
  <c r="K1307" i="19"/>
  <c r="N1307" i="19"/>
  <c r="O1307" i="19"/>
  <c r="V1307" i="19" s="1"/>
  <c r="W1307" i="19" s="1"/>
  <c r="X1307" i="19" s="1"/>
  <c r="Y1307" i="19" s="1"/>
  <c r="I1308" i="19"/>
  <c r="K1308" i="19"/>
  <c r="N1308" i="19"/>
  <c r="R1308" i="19" s="1"/>
  <c r="O1308" i="19"/>
  <c r="I1309" i="19"/>
  <c r="K1309" i="19"/>
  <c r="N1309" i="19"/>
  <c r="O1309" i="19"/>
  <c r="I1310" i="19"/>
  <c r="K1310" i="19"/>
  <c r="N1310" i="19"/>
  <c r="O1310" i="19"/>
  <c r="V1310" i="19" s="1"/>
  <c r="W1310" i="19" s="1"/>
  <c r="X1310" i="19" s="1"/>
  <c r="Y1310" i="19" s="1"/>
  <c r="I1311" i="19"/>
  <c r="K1311" i="19"/>
  <c r="N1311" i="19"/>
  <c r="O1311" i="19"/>
  <c r="I1312" i="19"/>
  <c r="K1312" i="19"/>
  <c r="N1312" i="19"/>
  <c r="O1312" i="19"/>
  <c r="V1312" i="19" s="1"/>
  <c r="W1312" i="19" s="1"/>
  <c r="X1312" i="19" s="1"/>
  <c r="Y1312" i="19" s="1"/>
  <c r="I1313" i="19"/>
  <c r="K1313" i="19"/>
  <c r="N1313" i="19"/>
  <c r="O1313" i="19"/>
  <c r="V1313" i="19" s="1"/>
  <c r="W1313" i="19" s="1"/>
  <c r="X1313" i="19" s="1"/>
  <c r="Y1313" i="19" s="1"/>
  <c r="I1314" i="19"/>
  <c r="K1314" i="19"/>
  <c r="N1314" i="19"/>
  <c r="O1314" i="19"/>
  <c r="V1314" i="19" s="1"/>
  <c r="W1314" i="19" s="1"/>
  <c r="X1314" i="19" s="1"/>
  <c r="Y1314" i="19" s="1"/>
  <c r="I1315" i="19"/>
  <c r="K1315" i="19"/>
  <c r="N1315" i="19"/>
  <c r="O1315" i="19"/>
  <c r="V1315" i="19" s="1"/>
  <c r="W1315" i="19" s="1"/>
  <c r="X1315" i="19" s="1"/>
  <c r="Y1315" i="19" s="1"/>
  <c r="I1316" i="19"/>
  <c r="K1316" i="19"/>
  <c r="N1316" i="19"/>
  <c r="R1316" i="19" s="1"/>
  <c r="O1316" i="19"/>
  <c r="V1316" i="19" s="1"/>
  <c r="W1316" i="19" s="1"/>
  <c r="X1316" i="19" s="1"/>
  <c r="Y1316" i="19" s="1"/>
  <c r="I1317" i="19"/>
  <c r="K1317" i="19"/>
  <c r="N1317" i="19"/>
  <c r="O1317" i="19"/>
  <c r="V1317" i="19" s="1"/>
  <c r="W1317" i="19" s="1"/>
  <c r="X1317" i="19" s="1"/>
  <c r="Y1317" i="19" s="1"/>
  <c r="I1318" i="19"/>
  <c r="K1318" i="19"/>
  <c r="N1318" i="19"/>
  <c r="O1318" i="19"/>
  <c r="I1319" i="19"/>
  <c r="K1319" i="19"/>
  <c r="N1319" i="19"/>
  <c r="O1319" i="19"/>
  <c r="V1319" i="19" s="1"/>
  <c r="W1319" i="19" s="1"/>
  <c r="X1319" i="19" s="1"/>
  <c r="Y1319" i="19" s="1"/>
  <c r="I1320" i="19"/>
  <c r="K1320" i="19"/>
  <c r="N1320" i="19"/>
  <c r="O1320" i="19"/>
  <c r="I1321" i="19"/>
  <c r="K1321" i="19"/>
  <c r="N1321" i="19"/>
  <c r="O1321" i="19"/>
  <c r="V1321" i="19" s="1"/>
  <c r="W1321" i="19" s="1"/>
  <c r="X1321" i="19" s="1"/>
  <c r="Y1321" i="19" s="1"/>
  <c r="I1322" i="19"/>
  <c r="K1322" i="19"/>
  <c r="N1322" i="19"/>
  <c r="O1322" i="19"/>
  <c r="I1323" i="19"/>
  <c r="K1323" i="19"/>
  <c r="N1323" i="19"/>
  <c r="O1323" i="19"/>
  <c r="V1323" i="19" s="1"/>
  <c r="W1323" i="19" s="1"/>
  <c r="X1323" i="19" s="1"/>
  <c r="Y1323" i="19" s="1"/>
  <c r="I1324" i="19"/>
  <c r="K1324" i="19"/>
  <c r="N1324" i="19"/>
  <c r="O1324" i="19"/>
  <c r="V1324" i="19" s="1"/>
  <c r="W1324" i="19" s="1"/>
  <c r="X1324" i="19" s="1"/>
  <c r="Y1324" i="19" s="1"/>
  <c r="I1325" i="19"/>
  <c r="K1325" i="19"/>
  <c r="N1325" i="19"/>
  <c r="O1325" i="19"/>
  <c r="V1325" i="19" s="1"/>
  <c r="W1325" i="19" s="1"/>
  <c r="X1325" i="19" s="1"/>
  <c r="Y1325" i="19" s="1"/>
  <c r="I1326" i="19"/>
  <c r="K1326" i="19"/>
  <c r="N1326" i="19"/>
  <c r="O1326" i="19"/>
  <c r="I1327" i="19"/>
  <c r="K1327" i="19"/>
  <c r="N1327" i="19"/>
  <c r="O1327" i="19"/>
  <c r="V1327" i="19" s="1"/>
  <c r="W1327" i="19" s="1"/>
  <c r="X1327" i="19" s="1"/>
  <c r="Y1327" i="19" s="1"/>
  <c r="I1328" i="19"/>
  <c r="K1328" i="19"/>
  <c r="N1328" i="19"/>
  <c r="O1328" i="19"/>
  <c r="I1329" i="19"/>
  <c r="K1329" i="19"/>
  <c r="N1329" i="19"/>
  <c r="O1329" i="19"/>
  <c r="I1330" i="19"/>
  <c r="K1330" i="19"/>
  <c r="N1330" i="19"/>
  <c r="O1330" i="19"/>
  <c r="I1331" i="19"/>
  <c r="K1331" i="19"/>
  <c r="L1331" i="19"/>
  <c r="N1331" i="19"/>
  <c r="O1331" i="19"/>
  <c r="I1332" i="19"/>
  <c r="K1332" i="19"/>
  <c r="N1332" i="19"/>
  <c r="O1332" i="19"/>
  <c r="I1333" i="19"/>
  <c r="K1333" i="19"/>
  <c r="N1333" i="19"/>
  <c r="O1333" i="19"/>
  <c r="V1333" i="19" s="1"/>
  <c r="W1333" i="19" s="1"/>
  <c r="X1333" i="19" s="1"/>
  <c r="Y1333" i="19" s="1"/>
  <c r="I1334" i="19"/>
  <c r="K1334" i="19"/>
  <c r="N1334" i="19"/>
  <c r="O1334" i="19"/>
  <c r="I1335" i="19"/>
  <c r="K1335" i="19"/>
  <c r="N1335" i="19"/>
  <c r="O1335" i="19"/>
  <c r="I1336" i="19"/>
  <c r="K1336" i="19"/>
  <c r="N1336" i="19"/>
  <c r="O1336" i="19"/>
  <c r="I1337" i="19"/>
  <c r="K1337" i="19"/>
  <c r="N1337" i="19"/>
  <c r="O1337" i="19"/>
  <c r="I1338" i="19"/>
  <c r="K1338" i="19"/>
  <c r="N1338" i="19"/>
  <c r="O1338" i="19"/>
  <c r="I1339" i="19"/>
  <c r="K1339" i="19"/>
  <c r="N1339" i="19"/>
  <c r="O1339" i="19"/>
  <c r="I1340" i="19"/>
  <c r="K1340" i="19"/>
  <c r="N1340" i="19"/>
  <c r="O1340" i="19"/>
  <c r="I1341" i="19"/>
  <c r="K1341" i="19"/>
  <c r="N1341" i="19"/>
  <c r="O1341" i="19"/>
  <c r="I1342" i="19"/>
  <c r="K1342" i="19"/>
  <c r="N1342" i="19"/>
  <c r="O1342" i="19"/>
  <c r="V1342" i="19" s="1"/>
  <c r="W1342" i="19" s="1"/>
  <c r="X1342" i="19" s="1"/>
  <c r="Y1342" i="19" s="1"/>
  <c r="I1343" i="19"/>
  <c r="K1343" i="19"/>
  <c r="N1343" i="19"/>
  <c r="O1343" i="19"/>
  <c r="V1343" i="19" s="1"/>
  <c r="W1343" i="19" s="1"/>
  <c r="X1343" i="19" s="1"/>
  <c r="Y1343" i="19" s="1"/>
  <c r="I1344" i="19"/>
  <c r="K1344" i="19"/>
  <c r="N1344" i="19"/>
  <c r="O1344" i="19"/>
  <c r="I1345" i="19"/>
  <c r="K1345" i="19"/>
  <c r="N1345" i="19"/>
  <c r="O1345" i="19"/>
  <c r="V1345" i="19" s="1"/>
  <c r="W1345" i="19" s="1"/>
  <c r="X1345" i="19" s="1"/>
  <c r="Y1345" i="19" s="1"/>
  <c r="I1346" i="19"/>
  <c r="K1346" i="19"/>
  <c r="N1346" i="19"/>
  <c r="R1346" i="19" s="1"/>
  <c r="O1346" i="19"/>
  <c r="V1346" i="19" s="1"/>
  <c r="W1346" i="19" s="1"/>
  <c r="X1346" i="19" s="1"/>
  <c r="Y1346" i="19" s="1"/>
  <c r="I1347" i="19"/>
  <c r="K1347" i="19"/>
  <c r="N1347" i="19"/>
  <c r="O1347" i="19"/>
  <c r="I1348" i="19"/>
  <c r="K1348" i="19"/>
  <c r="N1348" i="19"/>
  <c r="O1348" i="19"/>
  <c r="V1348" i="19" s="1"/>
  <c r="W1348" i="19" s="1"/>
  <c r="X1348" i="19" s="1"/>
  <c r="Y1348" i="19" s="1"/>
  <c r="I1349" i="19"/>
  <c r="K1349" i="19"/>
  <c r="N1349" i="19"/>
  <c r="O1349" i="19"/>
  <c r="I1350" i="19"/>
  <c r="K1350" i="19"/>
  <c r="N1350" i="19"/>
  <c r="O1350" i="19"/>
  <c r="V1350" i="19" s="1"/>
  <c r="W1350" i="19" s="1"/>
  <c r="X1350" i="19" s="1"/>
  <c r="Y1350" i="19" s="1"/>
  <c r="I1351" i="19"/>
  <c r="K1351" i="19"/>
  <c r="N1351" i="19"/>
  <c r="O1351" i="19"/>
  <c r="I1352" i="19"/>
  <c r="K1352" i="19"/>
  <c r="N1352" i="19"/>
  <c r="R1352" i="19" s="1"/>
  <c r="O1352" i="19"/>
  <c r="I1353" i="19"/>
  <c r="K1353" i="19"/>
  <c r="N1353" i="19"/>
  <c r="O1353" i="19"/>
  <c r="V1353" i="19" s="1"/>
  <c r="W1353" i="19" s="1"/>
  <c r="X1353" i="19" s="1"/>
  <c r="Y1353" i="19" s="1"/>
  <c r="I1354" i="19"/>
  <c r="K1354" i="19"/>
  <c r="N1354" i="19"/>
  <c r="R1354" i="19" s="1"/>
  <c r="O1354" i="19"/>
  <c r="I1355" i="19"/>
  <c r="K1355" i="19"/>
  <c r="N1355" i="19"/>
  <c r="R1355" i="19" s="1"/>
  <c r="O1355" i="19"/>
  <c r="V1355" i="19" s="1"/>
  <c r="W1355" i="19" s="1"/>
  <c r="X1355" i="19" s="1"/>
  <c r="Y1355" i="19" s="1"/>
  <c r="I1356" i="19"/>
  <c r="J1356" i="19"/>
  <c r="K1356" i="19"/>
  <c r="N1356" i="19"/>
  <c r="O1356" i="19"/>
  <c r="I1357" i="19"/>
  <c r="K1357" i="19"/>
  <c r="N1357" i="19"/>
  <c r="O1357" i="19"/>
  <c r="I1358" i="19"/>
  <c r="K1358" i="19"/>
  <c r="N1358" i="19"/>
  <c r="O1358" i="19"/>
  <c r="I1359" i="19"/>
  <c r="K1359" i="19"/>
  <c r="N1359" i="19"/>
  <c r="O1359" i="19"/>
  <c r="V1359" i="19" s="1"/>
  <c r="W1359" i="19" s="1"/>
  <c r="X1359" i="19" s="1"/>
  <c r="Y1359" i="19" s="1"/>
  <c r="I1360" i="19"/>
  <c r="K1360" i="19"/>
  <c r="N1360" i="19"/>
  <c r="O1360" i="19"/>
  <c r="V1360" i="19" s="1"/>
  <c r="W1360" i="19" s="1"/>
  <c r="X1360" i="19" s="1"/>
  <c r="Y1360" i="19" s="1"/>
  <c r="I1361" i="19"/>
  <c r="K1361" i="19"/>
  <c r="N1361" i="19"/>
  <c r="O1361" i="19"/>
  <c r="V1361" i="19" s="1"/>
  <c r="W1361" i="19" s="1"/>
  <c r="X1361" i="19" s="1"/>
  <c r="Y1361" i="19" s="1"/>
  <c r="I1362" i="19"/>
  <c r="K1362" i="19"/>
  <c r="N1362" i="19"/>
  <c r="O1362" i="19"/>
  <c r="I1363" i="19"/>
  <c r="K1363" i="19"/>
  <c r="N1363" i="19"/>
  <c r="R1363" i="19" s="1"/>
  <c r="O1363" i="19"/>
  <c r="V1363" i="19" s="1"/>
  <c r="W1363" i="19" s="1"/>
  <c r="X1363" i="19" s="1"/>
  <c r="Y1363" i="19" s="1"/>
  <c r="I1364" i="19"/>
  <c r="K1364" i="19"/>
  <c r="N1364" i="19"/>
  <c r="O1364" i="19"/>
  <c r="V1364" i="19" s="1"/>
  <c r="W1364" i="19" s="1"/>
  <c r="X1364" i="19" s="1"/>
  <c r="Y1364" i="19" s="1"/>
  <c r="I1365" i="19"/>
  <c r="K1365" i="19"/>
  <c r="N1365" i="19"/>
  <c r="R1365" i="19" s="1"/>
  <c r="O1365" i="19"/>
  <c r="V1365" i="19" s="1"/>
  <c r="W1365" i="19" s="1"/>
  <c r="X1365" i="19" s="1"/>
  <c r="Y1365" i="19" s="1"/>
  <c r="I1366" i="19"/>
  <c r="K1366" i="19"/>
  <c r="N1366" i="19"/>
  <c r="O1366" i="19"/>
  <c r="I1367" i="19"/>
  <c r="K1367" i="19"/>
  <c r="N1367" i="19"/>
  <c r="R1367" i="19" s="1"/>
  <c r="O1367" i="19"/>
  <c r="V1367" i="19" s="1"/>
  <c r="W1367" i="19" s="1"/>
  <c r="X1367" i="19" s="1"/>
  <c r="Y1367" i="19" s="1"/>
  <c r="I1368" i="19"/>
  <c r="K1368" i="19"/>
  <c r="N1368" i="19"/>
  <c r="O1368" i="19"/>
  <c r="V1368" i="19" s="1"/>
  <c r="W1368" i="19" s="1"/>
  <c r="X1368" i="19" s="1"/>
  <c r="Y1368" i="19" s="1"/>
  <c r="I1369" i="19"/>
  <c r="K1369" i="19"/>
  <c r="N1369" i="19"/>
  <c r="O1369" i="19"/>
  <c r="V1369" i="19" s="1"/>
  <c r="W1369" i="19" s="1"/>
  <c r="X1369" i="19" s="1"/>
  <c r="Y1369" i="19" s="1"/>
  <c r="I1370" i="19"/>
  <c r="K1370" i="19"/>
  <c r="N1370" i="19"/>
  <c r="O1370" i="19"/>
  <c r="I1371" i="19"/>
  <c r="K1371" i="19"/>
  <c r="N1371" i="19"/>
  <c r="O1371" i="19"/>
  <c r="I1372" i="19"/>
  <c r="K1372" i="19"/>
  <c r="N1372" i="19"/>
  <c r="O1372" i="19"/>
  <c r="V1372" i="19" s="1"/>
  <c r="W1372" i="19" s="1"/>
  <c r="X1372" i="19" s="1"/>
  <c r="Y1372" i="19" s="1"/>
  <c r="I1373" i="19"/>
  <c r="K1373" i="19"/>
  <c r="N1373" i="19"/>
  <c r="O1373" i="19"/>
  <c r="V1373" i="19" s="1"/>
  <c r="W1373" i="19" s="1"/>
  <c r="X1373" i="19" s="1"/>
  <c r="Y1373" i="19" s="1"/>
  <c r="I1374" i="19"/>
  <c r="K1374" i="19"/>
  <c r="N1374" i="19"/>
  <c r="O1374" i="19"/>
  <c r="I1375" i="19"/>
  <c r="K1375" i="19"/>
  <c r="N1375" i="19"/>
  <c r="O1375" i="19"/>
  <c r="V1375" i="19" s="1"/>
  <c r="W1375" i="19" s="1"/>
  <c r="X1375" i="19" s="1"/>
  <c r="Y1375" i="19" s="1"/>
  <c r="I1376" i="19"/>
  <c r="K1376" i="19"/>
  <c r="N1376" i="19"/>
  <c r="O1376" i="19"/>
  <c r="V1376" i="19" s="1"/>
  <c r="W1376" i="19" s="1"/>
  <c r="X1376" i="19" s="1"/>
  <c r="Y1376" i="19" s="1"/>
  <c r="I1377" i="19"/>
  <c r="K1377" i="19"/>
  <c r="N1377" i="19"/>
  <c r="O1377" i="19"/>
  <c r="I1378" i="19"/>
  <c r="K1378" i="19"/>
  <c r="N1378" i="19"/>
  <c r="O1378" i="19"/>
  <c r="I1379" i="19"/>
  <c r="K1379" i="19"/>
  <c r="N1379" i="19"/>
  <c r="O1379" i="19"/>
  <c r="I1380" i="19"/>
  <c r="K1380" i="19"/>
  <c r="N1380" i="19"/>
  <c r="O1380" i="19"/>
  <c r="V1380" i="19" s="1"/>
  <c r="W1380" i="19" s="1"/>
  <c r="X1380" i="19" s="1"/>
  <c r="Y1380" i="19" s="1"/>
  <c r="I1381" i="19"/>
  <c r="K1381" i="19"/>
  <c r="N1381" i="19"/>
  <c r="O1381" i="19"/>
  <c r="V1381" i="19" s="1"/>
  <c r="W1381" i="19" s="1"/>
  <c r="X1381" i="19" s="1"/>
  <c r="Y1381" i="19" s="1"/>
  <c r="I1382" i="19"/>
  <c r="K1382" i="19"/>
  <c r="N1382" i="19"/>
  <c r="R1382" i="19" s="1"/>
  <c r="O1382" i="19"/>
  <c r="I1383" i="19"/>
  <c r="K1383" i="19"/>
  <c r="N1383" i="19"/>
  <c r="O1383" i="19"/>
  <c r="I1384" i="19"/>
  <c r="K1384" i="19"/>
  <c r="R1384" i="19" s="1"/>
  <c r="N1384" i="19"/>
  <c r="Q1384" i="19" s="1"/>
  <c r="O1384" i="19"/>
  <c r="I1385" i="19"/>
  <c r="K1385" i="19"/>
  <c r="N1385" i="19"/>
  <c r="O1385" i="19"/>
  <c r="V1385" i="19" s="1"/>
  <c r="W1385" i="19" s="1"/>
  <c r="X1385" i="19" s="1"/>
  <c r="Y1385" i="19" s="1"/>
  <c r="I1386" i="19"/>
  <c r="K1386" i="19"/>
  <c r="N1386" i="19"/>
  <c r="O1386" i="19"/>
  <c r="I1387" i="19"/>
  <c r="K1387" i="19"/>
  <c r="N1387" i="19"/>
  <c r="O1387" i="19"/>
  <c r="V1387" i="19" s="1"/>
  <c r="W1387" i="19" s="1"/>
  <c r="X1387" i="19" s="1"/>
  <c r="Y1387" i="19" s="1"/>
  <c r="I1388" i="19"/>
  <c r="K1388" i="19"/>
  <c r="N1388" i="19"/>
  <c r="R1388" i="19" s="1"/>
  <c r="O1388" i="19"/>
  <c r="V1388" i="19" s="1"/>
  <c r="W1388" i="19" s="1"/>
  <c r="X1388" i="19" s="1"/>
  <c r="Y1388" i="19" s="1"/>
  <c r="I1389" i="19"/>
  <c r="K1389" i="19"/>
  <c r="N1389" i="19"/>
  <c r="O1389" i="19"/>
  <c r="V1389" i="19" s="1"/>
  <c r="W1389" i="19" s="1"/>
  <c r="X1389" i="19" s="1"/>
  <c r="Y1389" i="19" s="1"/>
  <c r="I1390" i="19"/>
  <c r="K1390" i="19"/>
  <c r="N1390" i="19"/>
  <c r="O1390" i="19"/>
  <c r="I1391" i="19"/>
  <c r="K1391" i="19"/>
  <c r="N1391" i="19"/>
  <c r="O1391" i="19"/>
  <c r="V1391" i="19" s="1"/>
  <c r="W1391" i="19" s="1"/>
  <c r="X1391" i="19" s="1"/>
  <c r="Y1391" i="19" s="1"/>
  <c r="P8" i="23"/>
  <c r="L1205" i="19" s="1"/>
  <c r="E4" i="23"/>
  <c r="F4" i="23" s="1"/>
  <c r="E3" i="23"/>
  <c r="F3" i="23" s="1"/>
  <c r="C3" i="23"/>
  <c r="E479" i="19"/>
  <c r="E535" i="19"/>
  <c r="E679" i="19"/>
  <c r="E758" i="19"/>
  <c r="E859" i="19"/>
  <c r="E986" i="19"/>
  <c r="E1020" i="19"/>
  <c r="E1172" i="19"/>
  <c r="E1228" i="19"/>
  <c r="E1243" i="19"/>
  <c r="E1358" i="19"/>
  <c r="E1379" i="19"/>
  <c r="J1335" i="19"/>
  <c r="J1336" i="19"/>
  <c r="J1337" i="19"/>
  <c r="J1338" i="19"/>
  <c r="J1339" i="19"/>
  <c r="J1340" i="19"/>
  <c r="J1341" i="19"/>
  <c r="Q1341" i="19" s="1"/>
  <c r="J1342" i="19"/>
  <c r="J1347" i="19"/>
  <c r="J1348" i="19"/>
  <c r="J1349" i="19"/>
  <c r="J1350" i="19"/>
  <c r="J1351" i="19"/>
  <c r="J1353" i="19"/>
  <c r="J1354" i="19"/>
  <c r="J1359" i="19"/>
  <c r="Q1359" i="19" s="1"/>
  <c r="J1360" i="19"/>
  <c r="J1361" i="19"/>
  <c r="J1362" i="19"/>
  <c r="J1363" i="19"/>
  <c r="J1364" i="19"/>
  <c r="J1365" i="19"/>
  <c r="J1366" i="19"/>
  <c r="J1371" i="19"/>
  <c r="J1372" i="19"/>
  <c r="J1373" i="19"/>
  <c r="J1374" i="19"/>
  <c r="J1375" i="19"/>
  <c r="J1377" i="19"/>
  <c r="J1378" i="19"/>
  <c r="J1383" i="19"/>
  <c r="J1384" i="19"/>
  <c r="J1385" i="19"/>
  <c r="J1386" i="19"/>
  <c r="J1387" i="19"/>
  <c r="J1388" i="19"/>
  <c r="J1389" i="19"/>
  <c r="J1390" i="19"/>
  <c r="J1333" i="19"/>
  <c r="AB1350" i="19"/>
  <c r="V1356" i="19"/>
  <c r="W1356" i="19" s="1"/>
  <c r="X1356" i="19" s="1"/>
  <c r="Y1356" i="19" s="1"/>
  <c r="AB1362" i="19"/>
  <c r="AB1370" i="19"/>
  <c r="V1371" i="19"/>
  <c r="W1371" i="19" s="1"/>
  <c r="X1371" i="19" s="1"/>
  <c r="Y1371" i="19" s="1"/>
  <c r="R1374" i="19"/>
  <c r="AB1374" i="19"/>
  <c r="AB1375" i="19"/>
  <c r="AB1385" i="19"/>
  <c r="B4" i="23"/>
  <c r="C4" i="23" s="1"/>
  <c r="D1287" i="19"/>
  <c r="D1288" i="19"/>
  <c r="J1245" i="19"/>
  <c r="D1289" i="19"/>
  <c r="AE1289" i="19" s="1"/>
  <c r="J1246" i="19"/>
  <c r="D1290" i="19"/>
  <c r="D1291" i="19"/>
  <c r="D1292" i="19"/>
  <c r="AB1249" i="19"/>
  <c r="D1293" i="19"/>
  <c r="AE1293" i="19" s="1"/>
  <c r="D1294" i="19"/>
  <c r="AE1294" i="19" s="1"/>
  <c r="D1295" i="19"/>
  <c r="AE1295" i="19" s="1"/>
  <c r="D1296" i="19"/>
  <c r="J1253" i="19"/>
  <c r="D1297" i="19"/>
  <c r="D1298" i="19"/>
  <c r="J1255" i="19"/>
  <c r="D1299" i="19"/>
  <c r="J1256" i="19"/>
  <c r="D1300" i="19"/>
  <c r="AE1300" i="19" s="1"/>
  <c r="J1257" i="19"/>
  <c r="D1301" i="19"/>
  <c r="J1258" i="19"/>
  <c r="D1302" i="19"/>
  <c r="AE1302" i="19" s="1"/>
  <c r="J1259" i="19"/>
  <c r="D1303" i="19"/>
  <c r="AE1303" i="19" s="1"/>
  <c r="D1304" i="19"/>
  <c r="AE1304" i="19" s="1"/>
  <c r="D1305" i="19"/>
  <c r="AE1305" i="19" s="1"/>
  <c r="J1262" i="19"/>
  <c r="D1306" i="19"/>
  <c r="J1263" i="19"/>
  <c r="D1307" i="19"/>
  <c r="AE1307" i="19" s="1"/>
  <c r="J1264" i="19"/>
  <c r="D1308" i="19"/>
  <c r="J1265" i="19"/>
  <c r="AB1265" i="19"/>
  <c r="D1309" i="19"/>
  <c r="AB1266" i="19"/>
  <c r="D1310" i="19"/>
  <c r="J1267" i="19"/>
  <c r="D1311" i="19"/>
  <c r="D1312" i="19"/>
  <c r="J1269" i="19"/>
  <c r="D1313" i="19"/>
  <c r="J1270" i="19"/>
  <c r="D1314" i="19"/>
  <c r="AE1314" i="19" s="1"/>
  <c r="J1271" i="19"/>
  <c r="D1315" i="19"/>
  <c r="D1316" i="19"/>
  <c r="D1317" i="19"/>
  <c r="D1318" i="19"/>
  <c r="J1275" i="19"/>
  <c r="V1275" i="19"/>
  <c r="W1275" i="19" s="1"/>
  <c r="X1275" i="19" s="1"/>
  <c r="Y1275" i="19" s="1"/>
  <c r="D1319" i="19"/>
  <c r="AE1319" i="19" s="1"/>
  <c r="J1276" i="19"/>
  <c r="D1320" i="19"/>
  <c r="J1277" i="19"/>
  <c r="D1321" i="19"/>
  <c r="J1278" i="19"/>
  <c r="D1322" i="19"/>
  <c r="AE1322" i="19" s="1"/>
  <c r="AB1279" i="19"/>
  <c r="D1323" i="19"/>
  <c r="J1280" i="19"/>
  <c r="D1324" i="19"/>
  <c r="AE1324" i="19" s="1"/>
  <c r="J1281" i="19"/>
  <c r="D1325" i="19"/>
  <c r="J1282" i="19"/>
  <c r="D1326" i="19"/>
  <c r="AE1326" i="19" s="1"/>
  <c r="J1283" i="19"/>
  <c r="D1327" i="19"/>
  <c r="AE1327" i="19" s="1"/>
  <c r="D1328" i="19"/>
  <c r="D1329" i="19"/>
  <c r="AE1329" i="19" s="1"/>
  <c r="AB1286" i="19"/>
  <c r="D1330" i="19"/>
  <c r="AE1330" i="19" s="1"/>
  <c r="D1331" i="19"/>
  <c r="J1288" i="19"/>
  <c r="D1332" i="19"/>
  <c r="J1289" i="19"/>
  <c r="AB1289" i="19"/>
  <c r="D1333" i="19"/>
  <c r="J1290" i="19"/>
  <c r="D1334" i="19"/>
  <c r="AE1334" i="19" s="1"/>
  <c r="J1291" i="19"/>
  <c r="AB1291" i="19"/>
  <c r="D1335" i="19"/>
  <c r="D1336" i="19"/>
  <c r="J1293" i="19"/>
  <c r="D1337" i="19"/>
  <c r="J1294" i="19"/>
  <c r="D1338" i="19"/>
  <c r="AE1338" i="19" s="1"/>
  <c r="J1295" i="19"/>
  <c r="D1339" i="19"/>
  <c r="AE1339" i="19" s="1"/>
  <c r="D1340" i="19"/>
  <c r="D1341" i="19"/>
  <c r="AE1341" i="19" s="1"/>
  <c r="D1342" i="19"/>
  <c r="AE1342" i="19" s="1"/>
  <c r="J1299" i="19"/>
  <c r="D1343" i="19"/>
  <c r="J1300" i="19"/>
  <c r="D1344" i="19"/>
  <c r="J1301" i="19"/>
  <c r="V1301" i="19"/>
  <c r="W1301" i="19" s="1"/>
  <c r="X1301" i="19" s="1"/>
  <c r="Y1301" i="19" s="1"/>
  <c r="D1345" i="19"/>
  <c r="D1346" i="19"/>
  <c r="J1303" i="19"/>
  <c r="AB1303" i="19"/>
  <c r="D1347" i="19"/>
  <c r="D1348" i="19"/>
  <c r="AE1348" i="19" s="1"/>
  <c r="J1305" i="19"/>
  <c r="D1349" i="19"/>
  <c r="J1306" i="19"/>
  <c r="D1350" i="19"/>
  <c r="AE1350" i="19" s="1"/>
  <c r="D1351" i="19"/>
  <c r="D1352" i="19"/>
  <c r="AE1352" i="19" s="1"/>
  <c r="AB1309" i="19"/>
  <c r="D1353" i="19"/>
  <c r="AE1353" i="19" s="1"/>
  <c r="D1354" i="19"/>
  <c r="AE1354" i="19" s="1"/>
  <c r="J1311" i="19"/>
  <c r="D1355" i="19"/>
  <c r="AE1355" i="19" s="1"/>
  <c r="J1312" i="19"/>
  <c r="D1356" i="19"/>
  <c r="J1313" i="19"/>
  <c r="AB1313" i="19"/>
  <c r="D1357" i="19"/>
  <c r="D1358" i="19"/>
  <c r="AE1358" i="19" s="1"/>
  <c r="J1315" i="19"/>
  <c r="AB1315" i="19"/>
  <c r="D1359" i="19"/>
  <c r="J1316" i="19"/>
  <c r="D1360" i="19"/>
  <c r="AE1360" i="19" s="1"/>
  <c r="J1317" i="19"/>
  <c r="D1361" i="19"/>
  <c r="J1318" i="19"/>
  <c r="D1362" i="19"/>
  <c r="AE1362" i="19" s="1"/>
  <c r="J1319" i="19"/>
  <c r="D1363" i="19"/>
  <c r="AE1363" i="19" s="1"/>
  <c r="D1364" i="19"/>
  <c r="AE1364" i="19" s="1"/>
  <c r="AB1321" i="19"/>
  <c r="D1365" i="19"/>
  <c r="D1366" i="19"/>
  <c r="J1323" i="19"/>
  <c r="D1367" i="19"/>
  <c r="AE1367" i="19" s="1"/>
  <c r="J1324" i="19"/>
  <c r="D1368" i="19"/>
  <c r="J1325" i="19"/>
  <c r="AB1325" i="19"/>
  <c r="D1369" i="19"/>
  <c r="AE1369" i="19" s="1"/>
  <c r="J1326" i="19"/>
  <c r="D1370" i="19"/>
  <c r="AE1370" i="19" s="1"/>
  <c r="J1327" i="19"/>
  <c r="AB1327" i="19"/>
  <c r="D1371" i="19"/>
  <c r="D1372" i="19"/>
  <c r="J1329" i="19"/>
  <c r="D1373" i="19"/>
  <c r="J1330" i="19"/>
  <c r="D1374" i="19"/>
  <c r="AE1374" i="19" s="1"/>
  <c r="J1331" i="19"/>
  <c r="D1375" i="19"/>
  <c r="AE1375" i="19" s="1"/>
  <c r="V1332" i="19"/>
  <c r="W1332" i="19" s="1"/>
  <c r="X1332" i="19" s="1"/>
  <c r="Y1332" i="19" s="1"/>
  <c r="D1376" i="19"/>
  <c r="AE1376" i="19" s="1"/>
  <c r="AB1333" i="19"/>
  <c r="D1377" i="19"/>
  <c r="AE1377" i="19" s="1"/>
  <c r="D1378" i="19"/>
  <c r="V1335" i="19"/>
  <c r="W1335" i="19" s="1"/>
  <c r="X1335" i="19" s="1"/>
  <c r="Y1335" i="19" s="1"/>
  <c r="D1379" i="19"/>
  <c r="AE1379" i="19" s="1"/>
  <c r="D1380" i="19"/>
  <c r="D1381" i="19"/>
  <c r="AE1381" i="19" s="1"/>
  <c r="AB1338" i="19"/>
  <c r="D1382" i="19"/>
  <c r="AE1382" i="19" s="1"/>
  <c r="AB1339" i="19"/>
  <c r="D1383" i="19"/>
  <c r="D1384" i="19"/>
  <c r="V1341" i="19"/>
  <c r="W1341" i="19" s="1"/>
  <c r="X1341" i="19" s="1"/>
  <c r="Y1341" i="19" s="1"/>
  <c r="D1385" i="19"/>
  <c r="AE1385" i="19" s="1"/>
  <c r="D1386" i="19"/>
  <c r="AE1386" i="19" s="1"/>
  <c r="D1387" i="19"/>
  <c r="AE1387" i="19" s="1"/>
  <c r="D1388" i="19"/>
  <c r="AB1345" i="19"/>
  <c r="D1389" i="19"/>
  <c r="D1390" i="19"/>
  <c r="D1391" i="19"/>
  <c r="AE1391" i="19" s="1"/>
  <c r="D417" i="19"/>
  <c r="AB374" i="19"/>
  <c r="D418" i="19"/>
  <c r="AE418" i="19" s="1"/>
  <c r="J375" i="19"/>
  <c r="D419" i="19"/>
  <c r="J376" i="19"/>
  <c r="D420" i="19"/>
  <c r="J377" i="19"/>
  <c r="AB377" i="19"/>
  <c r="D421" i="19"/>
  <c r="AE421" i="19" s="1"/>
  <c r="J378" i="19"/>
  <c r="AB378" i="19"/>
  <c r="D422" i="19"/>
  <c r="D423" i="19"/>
  <c r="AE423" i="19" s="1"/>
  <c r="J380" i="19"/>
  <c r="D424" i="19"/>
  <c r="AE424" i="19" s="1"/>
  <c r="J381" i="19"/>
  <c r="V381" i="19"/>
  <c r="W381" i="19" s="1"/>
  <c r="X381" i="19" s="1"/>
  <c r="Y381" i="19" s="1"/>
  <c r="AB381" i="19"/>
  <c r="D425" i="19"/>
  <c r="AE425" i="19" s="1"/>
  <c r="J382" i="19"/>
  <c r="R382" i="19"/>
  <c r="D426" i="19"/>
  <c r="AE426" i="19" s="1"/>
  <c r="J383" i="19"/>
  <c r="D427" i="19"/>
  <c r="D428" i="19"/>
  <c r="AB385" i="19"/>
  <c r="D429" i="19"/>
  <c r="AB386" i="19"/>
  <c r="D430" i="19"/>
  <c r="D431" i="19"/>
  <c r="AE431" i="19" s="1"/>
  <c r="J388" i="19"/>
  <c r="D432" i="19"/>
  <c r="J389" i="19"/>
  <c r="AB389" i="19"/>
  <c r="D433" i="19"/>
  <c r="AE433" i="19" s="1"/>
  <c r="J390" i="19"/>
  <c r="D434" i="19"/>
  <c r="AE434" i="19" s="1"/>
  <c r="J391" i="19"/>
  <c r="R391" i="19"/>
  <c r="AB391" i="19"/>
  <c r="D435" i="19"/>
  <c r="J392" i="19"/>
  <c r="D436" i="19"/>
  <c r="J393" i="19"/>
  <c r="D437" i="19"/>
  <c r="J394" i="19"/>
  <c r="D438" i="19"/>
  <c r="AE438" i="19" s="1"/>
  <c r="J395" i="19"/>
  <c r="D439" i="19"/>
  <c r="D440" i="19"/>
  <c r="AB397" i="19"/>
  <c r="D441" i="19"/>
  <c r="AE441" i="19" s="1"/>
  <c r="D442" i="19"/>
  <c r="J399" i="19"/>
  <c r="D443" i="19"/>
  <c r="AE443" i="19" s="1"/>
  <c r="J400" i="19"/>
  <c r="D444" i="19"/>
  <c r="J401" i="19"/>
  <c r="V401" i="19"/>
  <c r="W401" i="19" s="1"/>
  <c r="X401" i="19" s="1"/>
  <c r="Y401" i="19" s="1"/>
  <c r="AB401" i="19"/>
  <c r="D445" i="19"/>
  <c r="AB402" i="19"/>
  <c r="D446" i="19"/>
  <c r="AE446" i="19" s="1"/>
  <c r="J403" i="19"/>
  <c r="D447" i="19"/>
  <c r="J404" i="19"/>
  <c r="AB404" i="19"/>
  <c r="D448" i="19"/>
  <c r="AE448" i="19" s="1"/>
  <c r="J405" i="19"/>
  <c r="V405" i="19"/>
  <c r="W405" i="19" s="1"/>
  <c r="X405" i="19" s="1"/>
  <c r="Y405" i="19" s="1"/>
  <c r="AB405" i="19"/>
  <c r="D449" i="19"/>
  <c r="AE449" i="19" s="1"/>
  <c r="J406" i="19"/>
  <c r="D450" i="19"/>
  <c r="AE450" i="19" s="1"/>
  <c r="J407" i="19"/>
  <c r="D451" i="19"/>
  <c r="AE451" i="19" s="1"/>
  <c r="D452" i="19"/>
  <c r="AB409" i="19"/>
  <c r="D453" i="19"/>
  <c r="AE453" i="19" s="1"/>
  <c r="AB410" i="19"/>
  <c r="D454" i="19"/>
  <c r="D455" i="19"/>
  <c r="J412" i="19"/>
  <c r="D456" i="19"/>
  <c r="J413" i="19"/>
  <c r="D457" i="19"/>
  <c r="AE457" i="19" s="1"/>
  <c r="J414" i="19"/>
  <c r="AB414" i="19"/>
  <c r="D458" i="19"/>
  <c r="J415" i="19"/>
  <c r="AB415" i="19"/>
  <c r="D459" i="19"/>
  <c r="J416" i="19"/>
  <c r="D460" i="19"/>
  <c r="AE460" i="19" s="1"/>
  <c r="J417" i="19"/>
  <c r="D461" i="19"/>
  <c r="J418" i="19"/>
  <c r="AB418" i="19"/>
  <c r="D462" i="19"/>
  <c r="AE462" i="19" s="1"/>
  <c r="J419" i="19"/>
  <c r="D463" i="19"/>
  <c r="V420" i="19"/>
  <c r="W420" i="19" s="1"/>
  <c r="X420" i="19" s="1"/>
  <c r="Y420" i="19" s="1"/>
  <c r="D464" i="19"/>
  <c r="J421" i="19"/>
  <c r="D465" i="19"/>
  <c r="AE465" i="19" s="1"/>
  <c r="J422" i="19"/>
  <c r="AB422" i="19"/>
  <c r="D466" i="19"/>
  <c r="AE466" i="19" s="1"/>
  <c r="J423" i="19"/>
  <c r="D467" i="19"/>
  <c r="AE467" i="19" s="1"/>
  <c r="J424" i="19"/>
  <c r="D468" i="19"/>
  <c r="J425" i="19"/>
  <c r="AB425" i="19"/>
  <c r="D469" i="19"/>
  <c r="J426" i="19"/>
  <c r="D470" i="19"/>
  <c r="AE470" i="19" s="1"/>
  <c r="J427" i="19"/>
  <c r="AB427" i="19"/>
  <c r="D471" i="19"/>
  <c r="J428" i="19"/>
  <c r="D472" i="19"/>
  <c r="AE472" i="19" s="1"/>
  <c r="J429" i="19"/>
  <c r="D473" i="19"/>
  <c r="AE473" i="19" s="1"/>
  <c r="J430" i="19"/>
  <c r="D474" i="19"/>
  <c r="AE474" i="19" s="1"/>
  <c r="J431" i="19"/>
  <c r="D475" i="19"/>
  <c r="D476" i="19"/>
  <c r="D477" i="19"/>
  <c r="AE477" i="19" s="1"/>
  <c r="R434" i="19"/>
  <c r="AB434" i="19"/>
  <c r="D478" i="19"/>
  <c r="AE478" i="19" s="1"/>
  <c r="J435" i="19"/>
  <c r="D479" i="19"/>
  <c r="AE479" i="19" s="1"/>
  <c r="J436" i="19"/>
  <c r="D480" i="19"/>
  <c r="J437" i="19"/>
  <c r="V437" i="19"/>
  <c r="W437" i="19" s="1"/>
  <c r="X437" i="19" s="1"/>
  <c r="Y437" i="19" s="1"/>
  <c r="AB437" i="19"/>
  <c r="D481" i="19"/>
  <c r="J438" i="19"/>
  <c r="AB438" i="19"/>
  <c r="D482" i="19"/>
  <c r="AB439" i="19"/>
  <c r="D483" i="19"/>
  <c r="AE483" i="19" s="1"/>
  <c r="J440" i="19"/>
  <c r="D484" i="19"/>
  <c r="AE484" i="19" s="1"/>
  <c r="J441" i="19"/>
  <c r="D485" i="19"/>
  <c r="AE485" i="19" s="1"/>
  <c r="J442" i="19"/>
  <c r="AB442" i="19"/>
  <c r="D486" i="19"/>
  <c r="AE486" i="19" s="1"/>
  <c r="J443" i="19"/>
  <c r="D487" i="19"/>
  <c r="D488" i="19"/>
  <c r="AB445" i="19"/>
  <c r="D489" i="19"/>
  <c r="AE489" i="19" s="1"/>
  <c r="AB446" i="19"/>
  <c r="D490" i="19"/>
  <c r="J447" i="19"/>
  <c r="D491" i="19"/>
  <c r="J448" i="19"/>
  <c r="D492" i="19"/>
  <c r="AE492" i="19" s="1"/>
  <c r="J449" i="19"/>
  <c r="AB449" i="19"/>
  <c r="D493" i="19"/>
  <c r="J450" i="19"/>
  <c r="D494" i="19"/>
  <c r="J451" i="19"/>
  <c r="D495" i="19"/>
  <c r="J452" i="19"/>
  <c r="D496" i="19"/>
  <c r="J453" i="19"/>
  <c r="D497" i="19"/>
  <c r="J454" i="19"/>
  <c r="D498" i="19"/>
  <c r="AE498" i="19" s="1"/>
  <c r="J455" i="19"/>
  <c r="R455" i="19"/>
  <c r="D499" i="19"/>
  <c r="AE499" i="19" s="1"/>
  <c r="D500" i="19"/>
  <c r="AB457" i="19"/>
  <c r="D501" i="19"/>
  <c r="AE501" i="19" s="1"/>
  <c r="J458" i="19"/>
  <c r="AB458" i="19"/>
  <c r="D502" i="19"/>
  <c r="AE502" i="19" s="1"/>
  <c r="J459" i="19"/>
  <c r="D503" i="19"/>
  <c r="AE503" i="19" s="1"/>
  <c r="J460" i="19"/>
  <c r="D504" i="19"/>
  <c r="AE504" i="19" s="1"/>
  <c r="J461" i="19"/>
  <c r="V461" i="19"/>
  <c r="W461" i="19" s="1"/>
  <c r="X461" i="19" s="1"/>
  <c r="Y461" i="19" s="1"/>
  <c r="AB461" i="19"/>
  <c r="D505" i="19"/>
  <c r="J462" i="19"/>
  <c r="AB462" i="19"/>
  <c r="D506" i="19"/>
  <c r="J463" i="19"/>
  <c r="D507" i="19"/>
  <c r="AE507" i="19" s="1"/>
  <c r="J464" i="19"/>
  <c r="V464" i="19"/>
  <c r="W464" i="19" s="1"/>
  <c r="X464" i="19" s="1"/>
  <c r="Y464" i="19" s="1"/>
  <c r="D508" i="19"/>
  <c r="J465" i="19"/>
  <c r="AB465" i="19"/>
  <c r="D509" i="19"/>
  <c r="J466" i="19"/>
  <c r="D510" i="19"/>
  <c r="J467" i="19"/>
  <c r="V467" i="19"/>
  <c r="W467" i="19" s="1"/>
  <c r="X467" i="19" s="1"/>
  <c r="Y467" i="19" s="1"/>
  <c r="D511" i="19"/>
  <c r="AE511" i="19" s="1"/>
  <c r="D512" i="19"/>
  <c r="AB469" i="19"/>
  <c r="D513" i="19"/>
  <c r="AE513" i="19" s="1"/>
  <c r="V470" i="19"/>
  <c r="W470" i="19" s="1"/>
  <c r="X470" i="19" s="1"/>
  <c r="Y470" i="19" s="1"/>
  <c r="D514" i="19"/>
  <c r="AE514" i="19" s="1"/>
  <c r="J471" i="19"/>
  <c r="D515" i="19"/>
  <c r="J472" i="19"/>
  <c r="D516" i="19"/>
  <c r="AE516" i="19" s="1"/>
  <c r="J473" i="19"/>
  <c r="V473" i="19"/>
  <c r="W473" i="19" s="1"/>
  <c r="X473" i="19" s="1"/>
  <c r="Y473" i="19" s="1"/>
  <c r="D517" i="19"/>
  <c r="AE517" i="19" s="1"/>
  <c r="J474" i="19"/>
  <c r="AB474" i="19"/>
  <c r="D518" i="19"/>
  <c r="J475" i="19"/>
  <c r="AB475" i="19"/>
  <c r="D519" i="19"/>
  <c r="AE519" i="19" s="1"/>
  <c r="J476" i="19"/>
  <c r="V476" i="19"/>
  <c r="W476" i="19" s="1"/>
  <c r="X476" i="19" s="1"/>
  <c r="Y476" i="19" s="1"/>
  <c r="D520" i="19"/>
  <c r="J477" i="19"/>
  <c r="D521" i="19"/>
  <c r="J478" i="19"/>
  <c r="D522" i="19"/>
  <c r="AE522" i="19" s="1"/>
  <c r="J479" i="19"/>
  <c r="V479" i="19"/>
  <c r="W479" i="19" s="1"/>
  <c r="X479" i="19" s="1"/>
  <c r="Y479" i="19" s="1"/>
  <c r="D523" i="19"/>
  <c r="D524" i="19"/>
  <c r="D525" i="19"/>
  <c r="AE525" i="19" s="1"/>
  <c r="J482" i="19"/>
  <c r="AB482" i="19"/>
  <c r="D526" i="19"/>
  <c r="AE526" i="19" s="1"/>
  <c r="J483" i="19"/>
  <c r="D527" i="19"/>
  <c r="J484" i="19"/>
  <c r="D528" i="19"/>
  <c r="AE528" i="19" s="1"/>
  <c r="J485" i="19"/>
  <c r="D529" i="19"/>
  <c r="J486" i="19"/>
  <c r="D530" i="19"/>
  <c r="AE530" i="19" s="1"/>
  <c r="J487" i="19"/>
  <c r="AB487" i="19"/>
  <c r="D531" i="19"/>
  <c r="AE531" i="19" s="1"/>
  <c r="J488" i="19"/>
  <c r="D532" i="19"/>
  <c r="AE532" i="19" s="1"/>
  <c r="J489" i="19"/>
  <c r="D533" i="19"/>
  <c r="AE533" i="19" s="1"/>
  <c r="D534" i="19"/>
  <c r="J491" i="19"/>
  <c r="D535" i="19"/>
  <c r="AE535" i="19" s="1"/>
  <c r="D536" i="19"/>
  <c r="D537" i="19"/>
  <c r="AB494" i="19"/>
  <c r="D538" i="19"/>
  <c r="AE538" i="19" s="1"/>
  <c r="J495" i="19"/>
  <c r="D539" i="19"/>
  <c r="J496" i="19"/>
  <c r="AB496" i="19"/>
  <c r="D540" i="19"/>
  <c r="AE540" i="19" s="1"/>
  <c r="J497" i="19"/>
  <c r="AB497" i="19"/>
  <c r="D541" i="19"/>
  <c r="AE541" i="19" s="1"/>
  <c r="J498" i="19"/>
  <c r="R498" i="19"/>
  <c r="AB498" i="19"/>
  <c r="D542" i="19"/>
  <c r="AE542" i="19" s="1"/>
  <c r="D543" i="19"/>
  <c r="J500" i="19"/>
  <c r="D544" i="19"/>
  <c r="AE544" i="19" s="1"/>
  <c r="J501" i="19"/>
  <c r="AB501" i="19"/>
  <c r="D545" i="19"/>
  <c r="J502" i="19"/>
  <c r="D546" i="19"/>
  <c r="J503" i="19"/>
  <c r="D547" i="19"/>
  <c r="D548" i="19"/>
  <c r="AB505" i="19"/>
  <c r="D549" i="19"/>
  <c r="R506" i="19"/>
  <c r="AB506" i="19"/>
  <c r="D550" i="19"/>
  <c r="E550" i="19" s="1"/>
  <c r="J507" i="19"/>
  <c r="D551" i="19"/>
  <c r="AE551" i="19" s="1"/>
  <c r="J508" i="19"/>
  <c r="AB508" i="19"/>
  <c r="D552" i="19"/>
  <c r="J509" i="19"/>
  <c r="AB509" i="19"/>
  <c r="D553" i="19"/>
  <c r="AE553" i="19" s="1"/>
  <c r="J510" i="19"/>
  <c r="AB510" i="19"/>
  <c r="D554" i="19"/>
  <c r="AB511" i="19"/>
  <c r="D555" i="19"/>
  <c r="J512" i="19"/>
  <c r="D556" i="19"/>
  <c r="J513" i="19"/>
  <c r="D557" i="19"/>
  <c r="AE557" i="19" s="1"/>
  <c r="J514" i="19"/>
  <c r="D558" i="19"/>
  <c r="J515" i="19"/>
  <c r="D559" i="19"/>
  <c r="AE559" i="19" s="1"/>
  <c r="D560" i="19"/>
  <c r="AB517" i="19"/>
  <c r="D561" i="19"/>
  <c r="V518" i="19"/>
  <c r="W518" i="19" s="1"/>
  <c r="X518" i="19" s="1"/>
  <c r="Y518" i="19" s="1"/>
  <c r="AB518" i="19"/>
  <c r="D562" i="19"/>
  <c r="AE562" i="19" s="1"/>
  <c r="J519" i="19"/>
  <c r="D563" i="19"/>
  <c r="AE563" i="19" s="1"/>
  <c r="J520" i="19"/>
  <c r="D564" i="19"/>
  <c r="J521" i="19"/>
  <c r="AB521" i="19"/>
  <c r="D565" i="19"/>
  <c r="AE565" i="19" s="1"/>
  <c r="J522" i="19"/>
  <c r="D566" i="19"/>
  <c r="J523" i="19"/>
  <c r="D567" i="19"/>
  <c r="AE567" i="19" s="1"/>
  <c r="J524" i="19"/>
  <c r="D568" i="19"/>
  <c r="J525" i="19"/>
  <c r="AB525" i="19"/>
  <c r="D569" i="19"/>
  <c r="AE569" i="19" s="1"/>
  <c r="J526" i="19"/>
  <c r="D570" i="19"/>
  <c r="AE570" i="19" s="1"/>
  <c r="J527" i="19"/>
  <c r="D571" i="19"/>
  <c r="D572" i="19"/>
  <c r="AB529" i="19"/>
  <c r="D573" i="19"/>
  <c r="V530" i="19"/>
  <c r="W530" i="19" s="1"/>
  <c r="X530" i="19" s="1"/>
  <c r="Y530" i="19" s="1"/>
  <c r="AB530" i="19"/>
  <c r="D574" i="19"/>
  <c r="J531" i="19"/>
  <c r="D575" i="19"/>
  <c r="AE575" i="19" s="1"/>
  <c r="J532" i="19"/>
  <c r="AB532" i="19"/>
  <c r="D576" i="19"/>
  <c r="J533" i="19"/>
  <c r="V533" i="19"/>
  <c r="W533" i="19" s="1"/>
  <c r="X533" i="19" s="1"/>
  <c r="Y533" i="19" s="1"/>
  <c r="D577" i="19"/>
  <c r="AE577" i="19" s="1"/>
  <c r="J534" i="19"/>
  <c r="AB534" i="19"/>
  <c r="D578" i="19"/>
  <c r="J535" i="19"/>
  <c r="D579" i="19"/>
  <c r="AE579" i="19" s="1"/>
  <c r="J536" i="19"/>
  <c r="D580" i="19"/>
  <c r="AE580" i="19" s="1"/>
  <c r="J537" i="19"/>
  <c r="AB537" i="19"/>
  <c r="D581" i="19"/>
  <c r="AE581" i="19" s="1"/>
  <c r="J538" i="19"/>
  <c r="D582" i="19"/>
  <c r="AE582" i="19" s="1"/>
  <c r="J539" i="19"/>
  <c r="D583" i="19"/>
  <c r="D584" i="19"/>
  <c r="J541" i="19"/>
  <c r="AB541" i="19"/>
  <c r="D585" i="19"/>
  <c r="AE585" i="19" s="1"/>
  <c r="V542" i="19"/>
  <c r="W542" i="19" s="1"/>
  <c r="X542" i="19" s="1"/>
  <c r="Y542" i="19" s="1"/>
  <c r="AB542" i="19"/>
  <c r="D586" i="19"/>
  <c r="J543" i="19"/>
  <c r="D587" i="19"/>
  <c r="J544" i="19"/>
  <c r="D588" i="19"/>
  <c r="AE588" i="19" s="1"/>
  <c r="J545" i="19"/>
  <c r="V545" i="19"/>
  <c r="W545" i="19" s="1"/>
  <c r="X545" i="19" s="1"/>
  <c r="Y545" i="19" s="1"/>
  <c r="D589" i="19"/>
  <c r="J546" i="19"/>
  <c r="D590" i="19"/>
  <c r="J547" i="19"/>
  <c r="D591" i="19"/>
  <c r="AE591" i="19" s="1"/>
  <c r="J548" i="19"/>
  <c r="D592" i="19"/>
  <c r="J549" i="19"/>
  <c r="D593" i="19"/>
  <c r="J550" i="19"/>
  <c r="D594" i="19"/>
  <c r="J551" i="19"/>
  <c r="D595" i="19"/>
  <c r="D596" i="19"/>
  <c r="AB553" i="19"/>
  <c r="D597" i="19"/>
  <c r="AB554" i="19"/>
  <c r="D598" i="19"/>
  <c r="AE598" i="19" s="1"/>
  <c r="J555" i="19"/>
  <c r="D599" i="19"/>
  <c r="J556" i="19"/>
  <c r="AB556" i="19"/>
  <c r="D600" i="19"/>
  <c r="J557" i="19"/>
  <c r="V557" i="19"/>
  <c r="W557" i="19" s="1"/>
  <c r="X557" i="19" s="1"/>
  <c r="Y557" i="19" s="1"/>
  <c r="D601" i="19"/>
  <c r="AE601" i="19" s="1"/>
  <c r="AB558" i="19"/>
  <c r="D602" i="19"/>
  <c r="J559" i="19"/>
  <c r="AB559" i="19"/>
  <c r="D603" i="19"/>
  <c r="J560" i="19"/>
  <c r="D604" i="19"/>
  <c r="J561" i="19"/>
  <c r="D605" i="19"/>
  <c r="J562" i="19"/>
  <c r="D606" i="19"/>
  <c r="AE606" i="19" s="1"/>
  <c r="J563" i="19"/>
  <c r="D607" i="19"/>
  <c r="D608" i="19"/>
  <c r="AB565" i="19"/>
  <c r="D609" i="19"/>
  <c r="AB566" i="19"/>
  <c r="D610" i="19"/>
  <c r="AE610" i="19" s="1"/>
  <c r="J567" i="19"/>
  <c r="D611" i="19"/>
  <c r="J568" i="19"/>
  <c r="D612" i="19"/>
  <c r="J569" i="19"/>
  <c r="AB569" i="19"/>
  <c r="D613" i="19"/>
  <c r="J570" i="19"/>
  <c r="AB570" i="19"/>
  <c r="D614" i="19"/>
  <c r="AE614" i="19" s="1"/>
  <c r="J571" i="19"/>
  <c r="V571" i="19"/>
  <c r="W571" i="19" s="1"/>
  <c r="X571" i="19" s="1"/>
  <c r="Y571" i="19" s="1"/>
  <c r="D615" i="19"/>
  <c r="J572" i="19"/>
  <c r="D616" i="19"/>
  <c r="AE616" i="19" s="1"/>
  <c r="J573" i="19"/>
  <c r="AB573" i="19"/>
  <c r="D617" i="19"/>
  <c r="AE617" i="19" s="1"/>
  <c r="J574" i="19"/>
  <c r="D618" i="19"/>
  <c r="AE618" i="19" s="1"/>
  <c r="J575" i="19"/>
  <c r="D619" i="19"/>
  <c r="AE619" i="19" s="1"/>
  <c r="R576" i="19"/>
  <c r="D620" i="19"/>
  <c r="AB577" i="19"/>
  <c r="D621" i="19"/>
  <c r="AE621" i="19" s="1"/>
  <c r="AB578" i="19"/>
  <c r="D622" i="19"/>
  <c r="AE622" i="19" s="1"/>
  <c r="J579" i="19"/>
  <c r="D623" i="19"/>
  <c r="J580" i="19"/>
  <c r="D624" i="19"/>
  <c r="J581" i="19"/>
  <c r="AB581" i="19"/>
  <c r="D625" i="19"/>
  <c r="AB582" i="19"/>
  <c r="D626" i="19"/>
  <c r="J583" i="19"/>
  <c r="AB583" i="19"/>
  <c r="D627" i="19"/>
  <c r="J584" i="19"/>
  <c r="D628" i="19"/>
  <c r="AE628" i="19" s="1"/>
  <c r="J585" i="19"/>
  <c r="D629" i="19"/>
  <c r="J586" i="19"/>
  <c r="D630" i="19"/>
  <c r="J587" i="19"/>
  <c r="AB587" i="19"/>
  <c r="D631" i="19"/>
  <c r="J588" i="19"/>
  <c r="V588" i="19"/>
  <c r="W588" i="19" s="1"/>
  <c r="X588" i="19" s="1"/>
  <c r="Y588" i="19" s="1"/>
  <c r="D632" i="19"/>
  <c r="V589" i="19"/>
  <c r="W589" i="19" s="1"/>
  <c r="X589" i="19" s="1"/>
  <c r="Y589" i="19" s="1"/>
  <c r="AB589" i="19"/>
  <c r="D633" i="19"/>
  <c r="AB590" i="19"/>
  <c r="D634" i="19"/>
  <c r="J591" i="19"/>
  <c r="D635" i="19"/>
  <c r="J592" i="19"/>
  <c r="D636" i="19"/>
  <c r="AE636" i="19" s="1"/>
  <c r="J593" i="19"/>
  <c r="AB593" i="19"/>
  <c r="D637" i="19"/>
  <c r="J594" i="19"/>
  <c r="AB594" i="19"/>
  <c r="D638" i="19"/>
  <c r="J595" i="19"/>
  <c r="D639" i="19"/>
  <c r="J596" i="19"/>
  <c r="D640" i="19"/>
  <c r="AE640" i="19" s="1"/>
  <c r="J597" i="19"/>
  <c r="AB597" i="19"/>
  <c r="D641" i="19"/>
  <c r="J598" i="19"/>
  <c r="D642" i="19"/>
  <c r="AE642" i="19" s="1"/>
  <c r="J599" i="19"/>
  <c r="V599" i="19"/>
  <c r="W599" i="19" s="1"/>
  <c r="X599" i="19" s="1"/>
  <c r="Y599" i="19" s="1"/>
  <c r="D643" i="19"/>
  <c r="D644" i="19"/>
  <c r="V601" i="19"/>
  <c r="W601" i="19" s="1"/>
  <c r="X601" i="19" s="1"/>
  <c r="Y601" i="19" s="1"/>
  <c r="AB601" i="19"/>
  <c r="D645" i="19"/>
  <c r="AE645" i="19" s="1"/>
  <c r="V602" i="19"/>
  <c r="W602" i="19" s="1"/>
  <c r="X602" i="19" s="1"/>
  <c r="Y602" i="19" s="1"/>
  <c r="AB602" i="19"/>
  <c r="D646" i="19"/>
  <c r="AE646" i="19" s="1"/>
  <c r="J603" i="19"/>
  <c r="D647" i="19"/>
  <c r="AE647" i="19" s="1"/>
  <c r="J604" i="19"/>
  <c r="D648" i="19"/>
  <c r="J605" i="19"/>
  <c r="AB605" i="19"/>
  <c r="D649" i="19"/>
  <c r="AE649" i="19" s="1"/>
  <c r="J606" i="19"/>
  <c r="AB606" i="19"/>
  <c r="D650" i="19"/>
  <c r="AE650" i="19" s="1"/>
  <c r="J607" i="19"/>
  <c r="AB607" i="19"/>
  <c r="D651" i="19"/>
  <c r="AE651" i="19" s="1"/>
  <c r="D652" i="19"/>
  <c r="J609" i="19"/>
  <c r="R609" i="19"/>
  <c r="AB609" i="19"/>
  <c r="D653" i="19"/>
  <c r="AE653" i="19" s="1"/>
  <c r="J610" i="19"/>
  <c r="D654" i="19"/>
  <c r="J611" i="19"/>
  <c r="V611" i="19"/>
  <c r="W611" i="19" s="1"/>
  <c r="X611" i="19" s="1"/>
  <c r="Y611" i="19" s="1"/>
  <c r="D655" i="19"/>
  <c r="D656" i="19"/>
  <c r="J613" i="19"/>
  <c r="AB613" i="19"/>
  <c r="D657" i="19"/>
  <c r="AE657" i="19" s="1"/>
  <c r="AB614" i="19"/>
  <c r="D658" i="19"/>
  <c r="AE658" i="19" s="1"/>
  <c r="J615" i="19"/>
  <c r="D659" i="19"/>
  <c r="AE659" i="19" s="1"/>
  <c r="J616" i="19"/>
  <c r="V616" i="19"/>
  <c r="W616" i="19" s="1"/>
  <c r="X616" i="19" s="1"/>
  <c r="Y616" i="19" s="1"/>
  <c r="D660" i="19"/>
  <c r="J617" i="19"/>
  <c r="AB617" i="19"/>
  <c r="D661" i="19"/>
  <c r="J618" i="19"/>
  <c r="D662" i="19"/>
  <c r="J619" i="19"/>
  <c r="AB619" i="19"/>
  <c r="D663" i="19"/>
  <c r="J620" i="19"/>
  <c r="D664" i="19"/>
  <c r="J621" i="19"/>
  <c r="D665" i="19"/>
  <c r="J622" i="19"/>
  <c r="D666" i="19"/>
  <c r="J623" i="19"/>
  <c r="D667" i="19"/>
  <c r="D668" i="19"/>
  <c r="AB625" i="19"/>
  <c r="D669" i="19"/>
  <c r="AE669" i="19" s="1"/>
  <c r="AB626" i="19"/>
  <c r="D670" i="19"/>
  <c r="J627" i="19"/>
  <c r="D671" i="19"/>
  <c r="J628" i="19"/>
  <c r="AB628" i="19"/>
  <c r="D672" i="19"/>
  <c r="AE672" i="19" s="1"/>
  <c r="J629" i="19"/>
  <c r="D673" i="19"/>
  <c r="AE673" i="19" s="1"/>
  <c r="J630" i="19"/>
  <c r="AB630" i="19"/>
  <c r="D674" i="19"/>
  <c r="AE674" i="19" s="1"/>
  <c r="J631" i="19"/>
  <c r="D675" i="19"/>
  <c r="AE675" i="19" s="1"/>
  <c r="J632" i="19"/>
  <c r="D676" i="19"/>
  <c r="J633" i="19"/>
  <c r="D677" i="19"/>
  <c r="J634" i="19"/>
  <c r="D678" i="19"/>
  <c r="J635" i="19"/>
  <c r="D679" i="19"/>
  <c r="AE679" i="19" s="1"/>
  <c r="D680" i="19"/>
  <c r="AB637" i="19"/>
  <c r="D681" i="19"/>
  <c r="E681" i="19" s="1"/>
  <c r="AB638" i="19"/>
  <c r="D682" i="19"/>
  <c r="AE682" i="19" s="1"/>
  <c r="J639" i="19"/>
  <c r="D683" i="19"/>
  <c r="J640" i="19"/>
  <c r="D684" i="19"/>
  <c r="J641" i="19"/>
  <c r="V641" i="19"/>
  <c r="W641" i="19" s="1"/>
  <c r="X641" i="19" s="1"/>
  <c r="Y641" i="19" s="1"/>
  <c r="AB641" i="19"/>
  <c r="D685" i="19"/>
  <c r="AE685" i="19" s="1"/>
  <c r="J642" i="19"/>
  <c r="D686" i="19"/>
  <c r="AE686" i="19" s="1"/>
  <c r="J643" i="19"/>
  <c r="D687" i="19"/>
  <c r="AE687" i="19" s="1"/>
  <c r="J644" i="19"/>
  <c r="AB644" i="19"/>
  <c r="D688" i="19"/>
  <c r="J645" i="19"/>
  <c r="D689" i="19"/>
  <c r="J646" i="19"/>
  <c r="D690" i="19"/>
  <c r="AE690" i="19" s="1"/>
  <c r="J647" i="19"/>
  <c r="D691" i="19"/>
  <c r="D692" i="19"/>
  <c r="AB649" i="19"/>
  <c r="D693" i="19"/>
  <c r="AB650" i="19"/>
  <c r="D694" i="19"/>
  <c r="J651" i="19"/>
  <c r="AB651" i="19"/>
  <c r="D695" i="19"/>
  <c r="J652" i="19"/>
  <c r="D696" i="19"/>
  <c r="J653" i="19"/>
  <c r="V653" i="19"/>
  <c r="W653" i="19" s="1"/>
  <c r="X653" i="19" s="1"/>
  <c r="Y653" i="19" s="1"/>
  <c r="D697" i="19"/>
  <c r="J654" i="19"/>
  <c r="AB654" i="19"/>
  <c r="D698" i="19"/>
  <c r="J655" i="19"/>
  <c r="AB655" i="19"/>
  <c r="D699" i="19"/>
  <c r="AE699" i="19" s="1"/>
  <c r="J656" i="19"/>
  <c r="D700" i="19"/>
  <c r="AE700" i="19" s="1"/>
  <c r="J657" i="19"/>
  <c r="D701" i="19"/>
  <c r="J658" i="19"/>
  <c r="D702" i="19"/>
  <c r="J659" i="19"/>
  <c r="D703" i="19"/>
  <c r="D704" i="19"/>
  <c r="J661" i="19"/>
  <c r="AB661" i="19"/>
  <c r="D705" i="19"/>
  <c r="AB662" i="19"/>
  <c r="D706" i="19"/>
  <c r="AE706" i="19" s="1"/>
  <c r="J663" i="19"/>
  <c r="D707" i="19"/>
  <c r="J664" i="19"/>
  <c r="V664" i="19"/>
  <c r="W664" i="19" s="1"/>
  <c r="X664" i="19" s="1"/>
  <c r="Y664" i="19" s="1"/>
  <c r="D708" i="19"/>
  <c r="AE708" i="19" s="1"/>
  <c r="J665" i="19"/>
  <c r="AB665" i="19"/>
  <c r="D709" i="19"/>
  <c r="AE709" i="19" s="1"/>
  <c r="J666" i="19"/>
  <c r="AB666" i="19"/>
  <c r="D710" i="19"/>
  <c r="J667" i="19"/>
  <c r="D711" i="19"/>
  <c r="J668" i="19"/>
  <c r="D712" i="19"/>
  <c r="AE712" i="19" s="1"/>
  <c r="J669" i="19"/>
  <c r="AB669" i="19"/>
  <c r="D713" i="19"/>
  <c r="AE713" i="19" s="1"/>
  <c r="J670" i="19"/>
  <c r="D714" i="19"/>
  <c r="AE714" i="19" s="1"/>
  <c r="J671" i="19"/>
  <c r="D715" i="19"/>
  <c r="AE715" i="19" s="1"/>
  <c r="D716" i="19"/>
  <c r="AB673" i="19"/>
  <c r="D717" i="19"/>
  <c r="V674" i="19"/>
  <c r="W674" i="19" s="1"/>
  <c r="X674" i="19" s="1"/>
  <c r="Y674" i="19" s="1"/>
  <c r="AB674" i="19"/>
  <c r="D718" i="19"/>
  <c r="J675" i="19"/>
  <c r="D719" i="19"/>
  <c r="AE719" i="19" s="1"/>
  <c r="J676" i="19"/>
  <c r="D720" i="19"/>
  <c r="J677" i="19"/>
  <c r="AB677" i="19"/>
  <c r="D721" i="19"/>
  <c r="AE721" i="19" s="1"/>
  <c r="J678" i="19"/>
  <c r="D722" i="19"/>
  <c r="J679" i="19"/>
  <c r="AB679" i="19"/>
  <c r="D723" i="19"/>
  <c r="AE723" i="19" s="1"/>
  <c r="J680" i="19"/>
  <c r="D724" i="19"/>
  <c r="AE724" i="19" s="1"/>
  <c r="J681" i="19"/>
  <c r="D725" i="19"/>
  <c r="AE725" i="19" s="1"/>
  <c r="J682" i="19"/>
  <c r="D726" i="19"/>
  <c r="J683" i="19"/>
  <c r="V683" i="19"/>
  <c r="W683" i="19" s="1"/>
  <c r="X683" i="19" s="1"/>
  <c r="Y683" i="19" s="1"/>
  <c r="D727" i="19"/>
  <c r="D728" i="19"/>
  <c r="AB685" i="19"/>
  <c r="D729" i="19"/>
  <c r="AE729" i="19" s="1"/>
  <c r="AB686" i="19"/>
  <c r="D730" i="19"/>
  <c r="J687" i="19"/>
  <c r="D731" i="19"/>
  <c r="J688" i="19"/>
  <c r="D732" i="19"/>
  <c r="AE732" i="19" s="1"/>
  <c r="J689" i="19"/>
  <c r="V689" i="19"/>
  <c r="W689" i="19" s="1"/>
  <c r="X689" i="19" s="1"/>
  <c r="Y689" i="19" s="1"/>
  <c r="AB689" i="19"/>
  <c r="D733" i="19"/>
  <c r="AE733" i="19" s="1"/>
  <c r="D734" i="19"/>
  <c r="J691" i="19"/>
  <c r="D735" i="19"/>
  <c r="J692" i="19"/>
  <c r="D736" i="19"/>
  <c r="AE736" i="19" s="1"/>
  <c r="J693" i="19"/>
  <c r="D737" i="19"/>
  <c r="J694" i="19"/>
  <c r="D738" i="19"/>
  <c r="J695" i="19"/>
  <c r="D739" i="19"/>
  <c r="AE739" i="19" s="1"/>
  <c r="V696" i="19"/>
  <c r="W696" i="19" s="1"/>
  <c r="X696" i="19" s="1"/>
  <c r="Y696" i="19" s="1"/>
  <c r="D740" i="19"/>
  <c r="D741" i="19"/>
  <c r="AE741" i="19" s="1"/>
  <c r="D742" i="19"/>
  <c r="J699" i="19"/>
  <c r="D743" i="19"/>
  <c r="J700" i="19"/>
  <c r="D744" i="19"/>
  <c r="AE744" i="19" s="1"/>
  <c r="J701" i="19"/>
  <c r="V701" i="19"/>
  <c r="W701" i="19" s="1"/>
  <c r="X701" i="19" s="1"/>
  <c r="Y701" i="19" s="1"/>
  <c r="AB701" i="19"/>
  <c r="D745" i="19"/>
  <c r="J702" i="19"/>
  <c r="AB702" i="19"/>
  <c r="D746" i="19"/>
  <c r="J703" i="19"/>
  <c r="AB703" i="19"/>
  <c r="D747" i="19"/>
  <c r="AE747" i="19" s="1"/>
  <c r="D748" i="19"/>
  <c r="AE748" i="19" s="1"/>
  <c r="V705" i="19"/>
  <c r="W705" i="19" s="1"/>
  <c r="X705" i="19" s="1"/>
  <c r="Y705" i="19" s="1"/>
  <c r="D749" i="19"/>
  <c r="AE749" i="19" s="1"/>
  <c r="J706" i="19"/>
  <c r="V706" i="19"/>
  <c r="W706" i="19" s="1"/>
  <c r="X706" i="19" s="1"/>
  <c r="Y706" i="19" s="1"/>
  <c r="D750" i="19"/>
  <c r="J707" i="19"/>
  <c r="D751" i="19"/>
  <c r="AE751" i="19" s="1"/>
  <c r="D752" i="19"/>
  <c r="AB709" i="19"/>
  <c r="D753" i="19"/>
  <c r="AE753" i="19" s="1"/>
  <c r="AB710" i="19"/>
  <c r="D754" i="19"/>
  <c r="J711" i="19"/>
  <c r="D755" i="19"/>
  <c r="AE755" i="19" s="1"/>
  <c r="J712" i="19"/>
  <c r="D756" i="19"/>
  <c r="AE756" i="19" s="1"/>
  <c r="J713" i="19"/>
  <c r="AB713" i="19"/>
  <c r="D757" i="19"/>
  <c r="D758" i="19"/>
  <c r="AE758" i="19" s="1"/>
  <c r="J715" i="19"/>
  <c r="AB715" i="19"/>
  <c r="D759" i="19"/>
  <c r="AE759" i="19" s="1"/>
  <c r="J716" i="19"/>
  <c r="D760" i="19"/>
  <c r="AE760" i="19" s="1"/>
  <c r="J717" i="19"/>
  <c r="V717" i="19"/>
  <c r="W717" i="19" s="1"/>
  <c r="X717" i="19" s="1"/>
  <c r="Y717" i="19" s="1"/>
  <c r="D761" i="19"/>
  <c r="J718" i="19"/>
  <c r="V718" i="19"/>
  <c r="W718" i="19" s="1"/>
  <c r="X718" i="19" s="1"/>
  <c r="Y718" i="19" s="1"/>
  <c r="D762" i="19"/>
  <c r="J719" i="19"/>
  <c r="D763" i="19"/>
  <c r="V720" i="19"/>
  <c r="W720" i="19" s="1"/>
  <c r="X720" i="19" s="1"/>
  <c r="Y720" i="19" s="1"/>
  <c r="D764" i="19"/>
  <c r="AB721" i="19"/>
  <c r="D765" i="19"/>
  <c r="D766" i="19"/>
  <c r="J723" i="19"/>
  <c r="D767" i="19"/>
  <c r="J724" i="19"/>
  <c r="D768" i="19"/>
  <c r="AE768" i="19" s="1"/>
  <c r="J725" i="19"/>
  <c r="AB725" i="19"/>
  <c r="D769" i="19"/>
  <c r="J726" i="19"/>
  <c r="AB726" i="19"/>
  <c r="D770" i="19"/>
  <c r="J727" i="19"/>
  <c r="D771" i="19"/>
  <c r="J728" i="19"/>
  <c r="D772" i="19"/>
  <c r="J729" i="19"/>
  <c r="V729" i="19"/>
  <c r="W729" i="19" s="1"/>
  <c r="X729" i="19" s="1"/>
  <c r="Y729" i="19" s="1"/>
  <c r="AB729" i="19"/>
  <c r="D773" i="19"/>
  <c r="J730" i="19"/>
  <c r="D774" i="19"/>
  <c r="J731" i="19"/>
  <c r="D775" i="19"/>
  <c r="AE775" i="19" s="1"/>
  <c r="D776" i="19"/>
  <c r="AB733" i="19"/>
  <c r="D777" i="19"/>
  <c r="AE777" i="19" s="1"/>
  <c r="AB734" i="19"/>
  <c r="D778" i="19"/>
  <c r="AE778" i="19" s="1"/>
  <c r="J735" i="19"/>
  <c r="D779" i="19"/>
  <c r="AE779" i="19" s="1"/>
  <c r="J736" i="19"/>
  <c r="D780" i="19"/>
  <c r="AE780" i="19" s="1"/>
  <c r="J737" i="19"/>
  <c r="AB737" i="19"/>
  <c r="D781" i="19"/>
  <c r="D782" i="19"/>
  <c r="J739" i="19"/>
  <c r="V739" i="19"/>
  <c r="W739" i="19" s="1"/>
  <c r="X739" i="19" s="1"/>
  <c r="Y739" i="19" s="1"/>
  <c r="AB739" i="19"/>
  <c r="D783" i="19"/>
  <c r="J740" i="19"/>
  <c r="D784" i="19"/>
  <c r="J741" i="19"/>
  <c r="D785" i="19"/>
  <c r="AE785" i="19" s="1"/>
  <c r="J742" i="19"/>
  <c r="D786" i="19"/>
  <c r="J743" i="19"/>
  <c r="D787" i="19"/>
  <c r="AE787" i="19" s="1"/>
  <c r="D788" i="19"/>
  <c r="AB745" i="19"/>
  <c r="D789" i="19"/>
  <c r="AE789" i="19" s="1"/>
  <c r="AB746" i="19"/>
  <c r="D790" i="19"/>
  <c r="J747" i="19"/>
  <c r="V747" i="19"/>
  <c r="W747" i="19" s="1"/>
  <c r="X747" i="19" s="1"/>
  <c r="Y747" i="19" s="1"/>
  <c r="D791" i="19"/>
  <c r="AE791" i="19" s="1"/>
  <c r="J748" i="19"/>
  <c r="D792" i="19"/>
  <c r="AE792" i="19" s="1"/>
  <c r="J749" i="19"/>
  <c r="D793" i="19"/>
  <c r="AE793" i="19" s="1"/>
  <c r="J750" i="19"/>
  <c r="V750" i="19"/>
  <c r="W750" i="19" s="1"/>
  <c r="X750" i="19" s="1"/>
  <c r="Y750" i="19" s="1"/>
  <c r="D794" i="19"/>
  <c r="J751" i="19"/>
  <c r="D795" i="19"/>
  <c r="D796" i="19"/>
  <c r="J753" i="19"/>
  <c r="AB753" i="19"/>
  <c r="D797" i="19"/>
  <c r="J754" i="19"/>
  <c r="D798" i="19"/>
  <c r="J755" i="19"/>
  <c r="D799" i="19"/>
  <c r="AE799" i="19" s="1"/>
  <c r="V756" i="19"/>
  <c r="W756" i="19" s="1"/>
  <c r="X756" i="19" s="1"/>
  <c r="Y756" i="19" s="1"/>
  <c r="D800" i="19"/>
  <c r="AB757" i="19"/>
  <c r="D801" i="19"/>
  <c r="AE801" i="19" s="1"/>
  <c r="V758" i="19"/>
  <c r="W758" i="19" s="1"/>
  <c r="X758" i="19" s="1"/>
  <c r="Y758" i="19" s="1"/>
  <c r="AB758" i="19"/>
  <c r="D802" i="19"/>
  <c r="J759" i="19"/>
  <c r="D803" i="19"/>
  <c r="AE803" i="19" s="1"/>
  <c r="J760" i="19"/>
  <c r="D804" i="19"/>
  <c r="AE804" i="19" s="1"/>
  <c r="J761" i="19"/>
  <c r="AB761" i="19"/>
  <c r="D805" i="19"/>
  <c r="AE805" i="19" s="1"/>
  <c r="J762" i="19"/>
  <c r="AB762" i="19"/>
  <c r="D806" i="19"/>
  <c r="J763" i="19"/>
  <c r="V763" i="19"/>
  <c r="W763" i="19" s="1"/>
  <c r="X763" i="19" s="1"/>
  <c r="Y763" i="19" s="1"/>
  <c r="AB763" i="19"/>
  <c r="D807" i="19"/>
  <c r="J764" i="19"/>
  <c r="D808" i="19"/>
  <c r="J765" i="19"/>
  <c r="D809" i="19"/>
  <c r="J766" i="19"/>
  <c r="D810" i="19"/>
  <c r="J767" i="19"/>
  <c r="D811" i="19"/>
  <c r="D812" i="19"/>
  <c r="D813" i="19"/>
  <c r="AB770" i="19"/>
  <c r="D814" i="19"/>
  <c r="AE814" i="19" s="1"/>
  <c r="J771" i="19"/>
  <c r="D815" i="19"/>
  <c r="AE815" i="19" s="1"/>
  <c r="J772" i="19"/>
  <c r="D816" i="19"/>
  <c r="J773" i="19"/>
  <c r="D817" i="19"/>
  <c r="AE817" i="19" s="1"/>
  <c r="J774" i="19"/>
  <c r="D818" i="19"/>
  <c r="J775" i="19"/>
  <c r="D819" i="19"/>
  <c r="D820" i="19"/>
  <c r="AE820" i="19" s="1"/>
  <c r="J777" i="19"/>
  <c r="D821" i="19"/>
  <c r="J778" i="19"/>
  <c r="D822" i="19"/>
  <c r="J779" i="19"/>
  <c r="D823" i="19"/>
  <c r="AE823" i="19" s="1"/>
  <c r="D824" i="19"/>
  <c r="J781" i="19"/>
  <c r="AB781" i="19"/>
  <c r="D825" i="19"/>
  <c r="D826" i="19"/>
  <c r="AE826" i="19" s="1"/>
  <c r="J783" i="19"/>
  <c r="D827" i="19"/>
  <c r="J784" i="19"/>
  <c r="D828" i="19"/>
  <c r="AE828" i="19" s="1"/>
  <c r="J785" i="19"/>
  <c r="D829" i="19"/>
  <c r="AE829" i="19" s="1"/>
  <c r="AB786" i="19"/>
  <c r="D830" i="19"/>
  <c r="AE830" i="19" s="1"/>
  <c r="J787" i="19"/>
  <c r="AB787" i="19"/>
  <c r="D831" i="19"/>
  <c r="J788" i="19"/>
  <c r="D832" i="19"/>
  <c r="AE832" i="19" s="1"/>
  <c r="J789" i="19"/>
  <c r="D833" i="19"/>
  <c r="J790" i="19"/>
  <c r="D834" i="19"/>
  <c r="J791" i="19"/>
  <c r="D835" i="19"/>
  <c r="D836" i="19"/>
  <c r="D837" i="19"/>
  <c r="V794" i="19"/>
  <c r="W794" i="19" s="1"/>
  <c r="X794" i="19" s="1"/>
  <c r="Y794" i="19" s="1"/>
  <c r="AB794" i="19"/>
  <c r="D838" i="19"/>
  <c r="J795" i="19"/>
  <c r="D839" i="19"/>
  <c r="AE839" i="19" s="1"/>
  <c r="J796" i="19"/>
  <c r="D840" i="19"/>
  <c r="AE840" i="19" s="1"/>
  <c r="J797" i="19"/>
  <c r="V797" i="19"/>
  <c r="W797" i="19" s="1"/>
  <c r="X797" i="19" s="1"/>
  <c r="Y797" i="19" s="1"/>
  <c r="D841" i="19"/>
  <c r="R798" i="19"/>
  <c r="D842" i="19"/>
  <c r="J799" i="19"/>
  <c r="D843" i="19"/>
  <c r="AE843" i="19" s="1"/>
  <c r="J800" i="19"/>
  <c r="D844" i="19"/>
  <c r="J801" i="19"/>
  <c r="D845" i="19"/>
  <c r="J802" i="19"/>
  <c r="D846" i="19"/>
  <c r="J803" i="19"/>
  <c r="D847" i="19"/>
  <c r="J804" i="19"/>
  <c r="D848" i="19"/>
  <c r="D849" i="19"/>
  <c r="D850" i="19"/>
  <c r="J807" i="19"/>
  <c r="D851" i="19"/>
  <c r="J808" i="19"/>
  <c r="D852" i="19"/>
  <c r="J809" i="19"/>
  <c r="AB809" i="19"/>
  <c r="D853" i="19"/>
  <c r="J810" i="19"/>
  <c r="D854" i="19"/>
  <c r="J811" i="19"/>
  <c r="AB811" i="19"/>
  <c r="D855" i="19"/>
  <c r="J812" i="19"/>
  <c r="AB812" i="19"/>
  <c r="D856" i="19"/>
  <c r="AE856" i="19" s="1"/>
  <c r="J813" i="19"/>
  <c r="D857" i="19"/>
  <c r="AE857" i="19" s="1"/>
  <c r="J814" i="19"/>
  <c r="D858" i="19"/>
  <c r="AE858" i="19" s="1"/>
  <c r="J815" i="19"/>
  <c r="D859" i="19"/>
  <c r="AE859" i="19" s="1"/>
  <c r="D860" i="19"/>
  <c r="V817" i="19"/>
  <c r="W817" i="19" s="1"/>
  <c r="X817" i="19" s="1"/>
  <c r="Y817" i="19" s="1"/>
  <c r="AB817" i="19"/>
  <c r="D861" i="19"/>
  <c r="J818" i="19"/>
  <c r="D862" i="19"/>
  <c r="J819" i="19"/>
  <c r="D863" i="19"/>
  <c r="AE863" i="19" s="1"/>
  <c r="J820" i="19"/>
  <c r="D864" i="19"/>
  <c r="J821" i="19"/>
  <c r="D865" i="19"/>
  <c r="AE865" i="19" s="1"/>
  <c r="J822" i="19"/>
  <c r="AB822" i="19"/>
  <c r="D866" i="19"/>
  <c r="J823" i="19"/>
  <c r="V823" i="19"/>
  <c r="W823" i="19" s="1"/>
  <c r="X823" i="19" s="1"/>
  <c r="Y823" i="19" s="1"/>
  <c r="AB823" i="19"/>
  <c r="D867" i="19"/>
  <c r="J824" i="19"/>
  <c r="V824" i="19"/>
  <c r="W824" i="19" s="1"/>
  <c r="X824" i="19" s="1"/>
  <c r="Y824" i="19" s="1"/>
  <c r="D868" i="19"/>
  <c r="AE868" i="19" s="1"/>
  <c r="J825" i="19"/>
  <c r="D869" i="19"/>
  <c r="J826" i="19"/>
  <c r="D870" i="19"/>
  <c r="J827" i="19"/>
  <c r="D871" i="19"/>
  <c r="AE871" i="19" s="1"/>
  <c r="D872" i="19"/>
  <c r="AB829" i="19"/>
  <c r="D873" i="19"/>
  <c r="AB830" i="19"/>
  <c r="D874" i="19"/>
  <c r="J831" i="19"/>
  <c r="D875" i="19"/>
  <c r="J832" i="19"/>
  <c r="D876" i="19"/>
  <c r="AE876" i="19" s="1"/>
  <c r="J833" i="19"/>
  <c r="D877" i="19"/>
  <c r="J834" i="19"/>
  <c r="AB834" i="19"/>
  <c r="D878" i="19"/>
  <c r="D879" i="19"/>
  <c r="AE879" i="19" s="1"/>
  <c r="J836" i="19"/>
  <c r="D880" i="19"/>
  <c r="AE880" i="19" s="1"/>
  <c r="J837" i="19"/>
  <c r="D881" i="19"/>
  <c r="J838" i="19"/>
  <c r="D882" i="19"/>
  <c r="AE882" i="19" s="1"/>
  <c r="J839" i="19"/>
  <c r="D883" i="19"/>
  <c r="AE883" i="19" s="1"/>
  <c r="D884" i="19"/>
  <c r="AB841" i="19"/>
  <c r="D885" i="19"/>
  <c r="AB842" i="19"/>
  <c r="D886" i="19"/>
  <c r="AE886" i="19" s="1"/>
  <c r="J843" i="19"/>
  <c r="D887" i="19"/>
  <c r="J844" i="19"/>
  <c r="D888" i="19"/>
  <c r="J845" i="19"/>
  <c r="AB845" i="19"/>
  <c r="D889" i="19"/>
  <c r="AE889" i="19" s="1"/>
  <c r="J846" i="19"/>
  <c r="D890" i="19"/>
  <c r="J847" i="19"/>
  <c r="AB847" i="19"/>
  <c r="D891" i="19"/>
  <c r="AE891" i="19" s="1"/>
  <c r="J848" i="19"/>
  <c r="AB848" i="19"/>
  <c r="D892" i="19"/>
  <c r="J849" i="19"/>
  <c r="D893" i="19"/>
  <c r="AE893" i="19" s="1"/>
  <c r="J850" i="19"/>
  <c r="V850" i="19"/>
  <c r="W850" i="19" s="1"/>
  <c r="X850" i="19" s="1"/>
  <c r="Y850" i="19" s="1"/>
  <c r="D894" i="19"/>
  <c r="AE894" i="19" s="1"/>
  <c r="J851" i="19"/>
  <c r="D895" i="19"/>
  <c r="AE895" i="19" s="1"/>
  <c r="J852" i="19"/>
  <c r="D896" i="19"/>
  <c r="V853" i="19"/>
  <c r="W853" i="19" s="1"/>
  <c r="X853" i="19" s="1"/>
  <c r="Y853" i="19" s="1"/>
  <c r="AB853" i="19"/>
  <c r="D897" i="19"/>
  <c r="AE897" i="19" s="1"/>
  <c r="D898" i="19"/>
  <c r="AE898" i="19" s="1"/>
  <c r="J855" i="19"/>
  <c r="D899" i="19"/>
  <c r="AE899" i="19" s="1"/>
  <c r="J856" i="19"/>
  <c r="D900" i="19"/>
  <c r="J857" i="19"/>
  <c r="D901" i="19"/>
  <c r="AE901" i="19" s="1"/>
  <c r="J858" i="19"/>
  <c r="AB858" i="19"/>
  <c r="D902" i="19"/>
  <c r="J859" i="19"/>
  <c r="D903" i="19"/>
  <c r="J860" i="19"/>
  <c r="D904" i="19"/>
  <c r="J861" i="19"/>
  <c r="D905" i="19"/>
  <c r="AE905" i="19" s="1"/>
  <c r="J862" i="19"/>
  <c r="D906" i="19"/>
  <c r="AE906" i="19" s="1"/>
  <c r="J863" i="19"/>
  <c r="D907" i="19"/>
  <c r="D908" i="19"/>
  <c r="D909" i="19"/>
  <c r="AE909" i="19" s="1"/>
  <c r="AB866" i="19"/>
  <c r="D910" i="19"/>
  <c r="AE910" i="19" s="1"/>
  <c r="J867" i="19"/>
  <c r="D911" i="19"/>
  <c r="AE911" i="19" s="1"/>
  <c r="J868" i="19"/>
  <c r="D912" i="19"/>
  <c r="AE912" i="19" s="1"/>
  <c r="J869" i="19"/>
  <c r="AB869" i="19"/>
  <c r="D913" i="19"/>
  <c r="J870" i="19"/>
  <c r="AB870" i="19"/>
  <c r="D914" i="19"/>
  <c r="J871" i="19"/>
  <c r="AB871" i="19"/>
  <c r="D915" i="19"/>
  <c r="J872" i="19"/>
  <c r="D916" i="19"/>
  <c r="J873" i="19"/>
  <c r="D917" i="19"/>
  <c r="J874" i="19"/>
  <c r="D918" i="19"/>
  <c r="AE918" i="19" s="1"/>
  <c r="J875" i="19"/>
  <c r="D919" i="19"/>
  <c r="D920" i="19"/>
  <c r="AB877" i="19"/>
  <c r="D921" i="19"/>
  <c r="AE921" i="19" s="1"/>
  <c r="J878" i="19"/>
  <c r="D922" i="19"/>
  <c r="AE922" i="19" s="1"/>
  <c r="J879" i="19"/>
  <c r="D923" i="19"/>
  <c r="J880" i="19"/>
  <c r="D924" i="19"/>
  <c r="AE924" i="19" s="1"/>
  <c r="J881" i="19"/>
  <c r="D925" i="19"/>
  <c r="AE925" i="19" s="1"/>
  <c r="J882" i="19"/>
  <c r="AB882" i="19"/>
  <c r="D926" i="19"/>
  <c r="J883" i="19"/>
  <c r="AB883" i="19"/>
  <c r="D927" i="19"/>
  <c r="J884" i="19"/>
  <c r="D928" i="19"/>
  <c r="AE928" i="19" s="1"/>
  <c r="J885" i="19"/>
  <c r="D929" i="19"/>
  <c r="AE929" i="19" s="1"/>
  <c r="J886" i="19"/>
  <c r="D930" i="19"/>
  <c r="J887" i="19"/>
  <c r="D931" i="19"/>
  <c r="J888" i="19"/>
  <c r="D932" i="19"/>
  <c r="AB889" i="19"/>
  <c r="D933" i="19"/>
  <c r="AB890" i="19"/>
  <c r="D934" i="19"/>
  <c r="J891" i="19"/>
  <c r="D935" i="19"/>
  <c r="AE935" i="19" s="1"/>
  <c r="J892" i="19"/>
  <c r="D936" i="19"/>
  <c r="AE936" i="19" s="1"/>
  <c r="J893" i="19"/>
  <c r="D937" i="19"/>
  <c r="J894" i="19"/>
  <c r="D938" i="19"/>
  <c r="AE938" i="19" s="1"/>
  <c r="J895" i="19"/>
  <c r="D939" i="19"/>
  <c r="J896" i="19"/>
  <c r="AB896" i="19"/>
  <c r="D940" i="19"/>
  <c r="AE940" i="19" s="1"/>
  <c r="J897" i="19"/>
  <c r="D941" i="19"/>
  <c r="AE941" i="19" s="1"/>
  <c r="J898" i="19"/>
  <c r="D942" i="19"/>
  <c r="E942" i="19" s="1"/>
  <c r="J899" i="19"/>
  <c r="V899" i="19"/>
  <c r="W899" i="19" s="1"/>
  <c r="X899" i="19" s="1"/>
  <c r="Y899" i="19" s="1"/>
  <c r="D943" i="19"/>
  <c r="AE943" i="19" s="1"/>
  <c r="D944" i="19"/>
  <c r="D945" i="19"/>
  <c r="AE945" i="19" s="1"/>
  <c r="D946" i="19"/>
  <c r="AE946" i="19" s="1"/>
  <c r="J903" i="19"/>
  <c r="D947" i="19"/>
  <c r="AE947" i="19" s="1"/>
  <c r="J904" i="19"/>
  <c r="D948" i="19"/>
  <c r="J905" i="19"/>
  <c r="AB905" i="19"/>
  <c r="D949" i="19"/>
  <c r="AE949" i="19" s="1"/>
  <c r="J906" i="19"/>
  <c r="AB906" i="19"/>
  <c r="D950" i="19"/>
  <c r="J907" i="19"/>
  <c r="AB907" i="19"/>
  <c r="D951" i="19"/>
  <c r="AE951" i="19" s="1"/>
  <c r="D952" i="19"/>
  <c r="AE952" i="19" s="1"/>
  <c r="J909" i="19"/>
  <c r="D953" i="19"/>
  <c r="J910" i="19"/>
  <c r="D954" i="19"/>
  <c r="J911" i="19"/>
  <c r="AB911" i="19"/>
  <c r="D955" i="19"/>
  <c r="D956" i="19"/>
  <c r="AB913" i="19"/>
  <c r="D957" i="19"/>
  <c r="AE957" i="19" s="1"/>
  <c r="D958" i="19"/>
  <c r="AE958" i="19" s="1"/>
  <c r="J915" i="19"/>
  <c r="AB915" i="19"/>
  <c r="D959" i="19"/>
  <c r="AE959" i="19" s="1"/>
  <c r="J916" i="19"/>
  <c r="D960" i="19"/>
  <c r="AE960" i="19" s="1"/>
  <c r="J917" i="19"/>
  <c r="V917" i="19"/>
  <c r="W917" i="19" s="1"/>
  <c r="X917" i="19" s="1"/>
  <c r="Y917" i="19" s="1"/>
  <c r="AB917" i="19"/>
  <c r="D961" i="19"/>
  <c r="J918" i="19"/>
  <c r="AB918" i="19"/>
  <c r="D962" i="19"/>
  <c r="AE962" i="19" s="1"/>
  <c r="J919" i="19"/>
  <c r="D963" i="19"/>
  <c r="AE963" i="19" s="1"/>
  <c r="J920" i="19"/>
  <c r="D964" i="19"/>
  <c r="J921" i="19"/>
  <c r="AB921" i="19"/>
  <c r="D965" i="19"/>
  <c r="E965" i="19" s="1"/>
  <c r="J922" i="19"/>
  <c r="D966" i="19"/>
  <c r="J923" i="19"/>
  <c r="D967" i="19"/>
  <c r="D968" i="19"/>
  <c r="AB925" i="19"/>
  <c r="D969" i="19"/>
  <c r="AE969" i="19" s="1"/>
  <c r="D970" i="19"/>
  <c r="J927" i="19"/>
  <c r="D971" i="19"/>
  <c r="J928" i="19"/>
  <c r="D972" i="19"/>
  <c r="J929" i="19"/>
  <c r="AB929" i="19"/>
  <c r="D973" i="19"/>
  <c r="J930" i="19"/>
  <c r="D974" i="19"/>
  <c r="AE974" i="19" s="1"/>
  <c r="J931" i="19"/>
  <c r="D975" i="19"/>
  <c r="J932" i="19"/>
  <c r="AB932" i="19"/>
  <c r="D976" i="19"/>
  <c r="AE976" i="19" s="1"/>
  <c r="J933" i="19"/>
  <c r="D977" i="19"/>
  <c r="AE977" i="19" s="1"/>
  <c r="D978" i="19"/>
  <c r="J935" i="19"/>
  <c r="V935" i="19"/>
  <c r="W935" i="19" s="1"/>
  <c r="X935" i="19" s="1"/>
  <c r="Y935" i="19" s="1"/>
  <c r="D979" i="19"/>
  <c r="D980" i="19"/>
  <c r="AB937" i="19"/>
  <c r="D981" i="19"/>
  <c r="AE981" i="19" s="1"/>
  <c r="J938" i="19"/>
  <c r="D982" i="19"/>
  <c r="J939" i="19"/>
  <c r="D983" i="19"/>
  <c r="AE983" i="19" s="1"/>
  <c r="J940" i="19"/>
  <c r="D984" i="19"/>
  <c r="AE984" i="19" s="1"/>
  <c r="J941" i="19"/>
  <c r="AB941" i="19"/>
  <c r="D985" i="19"/>
  <c r="AE985" i="19" s="1"/>
  <c r="J942" i="19"/>
  <c r="AB942" i="19"/>
  <c r="D986" i="19"/>
  <c r="AE986" i="19" s="1"/>
  <c r="J943" i="19"/>
  <c r="D987" i="19"/>
  <c r="AE987" i="19" s="1"/>
  <c r="J944" i="19"/>
  <c r="D988" i="19"/>
  <c r="AE988" i="19" s="1"/>
  <c r="J945" i="19"/>
  <c r="V945" i="19"/>
  <c r="W945" i="19" s="1"/>
  <c r="X945" i="19" s="1"/>
  <c r="Y945" i="19" s="1"/>
  <c r="D989" i="19"/>
  <c r="J946" i="19"/>
  <c r="D990" i="19"/>
  <c r="AE990" i="19" s="1"/>
  <c r="J947" i="19"/>
  <c r="D991" i="19"/>
  <c r="D992" i="19"/>
  <c r="D993" i="19"/>
  <c r="AB950" i="19"/>
  <c r="D994" i="19"/>
  <c r="AE994" i="19" s="1"/>
  <c r="J951" i="19"/>
  <c r="V951" i="19"/>
  <c r="W951" i="19" s="1"/>
  <c r="X951" i="19" s="1"/>
  <c r="Y951" i="19" s="1"/>
  <c r="D995" i="19"/>
  <c r="J952" i="19"/>
  <c r="D996" i="19"/>
  <c r="J953" i="19"/>
  <c r="AB953" i="19"/>
  <c r="D997" i="19"/>
  <c r="J954" i="19"/>
  <c r="D998" i="19"/>
  <c r="E998" i="19" s="1"/>
  <c r="J955" i="19"/>
  <c r="D999" i="19"/>
  <c r="J956" i="19"/>
  <c r="D1000" i="19"/>
  <c r="J957" i="19"/>
  <c r="AB957" i="19"/>
  <c r="D1001" i="19"/>
  <c r="AE1001" i="19" s="1"/>
  <c r="J958" i="19"/>
  <c r="D1002" i="19"/>
  <c r="J959" i="19"/>
  <c r="D1003" i="19"/>
  <c r="D1004" i="19"/>
  <c r="V961" i="19"/>
  <c r="W961" i="19" s="1"/>
  <c r="X961" i="19" s="1"/>
  <c r="Y961" i="19" s="1"/>
  <c r="AB961" i="19"/>
  <c r="D1005" i="19"/>
  <c r="D1006" i="19"/>
  <c r="J963" i="19"/>
  <c r="D1007" i="19"/>
  <c r="E1007" i="19" s="1"/>
  <c r="J964" i="19"/>
  <c r="D1008" i="19"/>
  <c r="J965" i="19"/>
  <c r="D1009" i="19"/>
  <c r="J966" i="19"/>
  <c r="AB966" i="19"/>
  <c r="D1010" i="19"/>
  <c r="J967" i="19"/>
  <c r="AB967" i="19"/>
  <c r="D1011" i="19"/>
  <c r="J968" i="19"/>
  <c r="D1012" i="19"/>
  <c r="J969" i="19"/>
  <c r="D1013" i="19"/>
  <c r="AE1013" i="19" s="1"/>
  <c r="J970" i="19"/>
  <c r="D1014" i="19"/>
  <c r="AE1014" i="19" s="1"/>
  <c r="J971" i="19"/>
  <c r="D1015" i="19"/>
  <c r="AE1015" i="19" s="1"/>
  <c r="V972" i="19"/>
  <c r="W972" i="19" s="1"/>
  <c r="X972" i="19" s="1"/>
  <c r="Y972" i="19" s="1"/>
  <c r="D1016" i="19"/>
  <c r="AB973" i="19"/>
  <c r="D1017" i="19"/>
  <c r="AE1017" i="19" s="1"/>
  <c r="D1018" i="19"/>
  <c r="J975" i="19"/>
  <c r="D1019" i="19"/>
  <c r="J976" i="19"/>
  <c r="D1020" i="19"/>
  <c r="AE1020" i="19" s="1"/>
  <c r="J977" i="19"/>
  <c r="D1021" i="19"/>
  <c r="J978" i="19"/>
  <c r="V978" i="19"/>
  <c r="W978" i="19" s="1"/>
  <c r="X978" i="19" s="1"/>
  <c r="Y978" i="19" s="1"/>
  <c r="AB978" i="19"/>
  <c r="D1022" i="19"/>
  <c r="AE1022" i="19" s="1"/>
  <c r="J979" i="19"/>
  <c r="D1023" i="19"/>
  <c r="AE1023" i="19" s="1"/>
  <c r="J980" i="19"/>
  <c r="D1024" i="19"/>
  <c r="AE1024" i="19" s="1"/>
  <c r="J981" i="19"/>
  <c r="D1025" i="19"/>
  <c r="J982" i="19"/>
  <c r="D1026" i="19"/>
  <c r="AE1026" i="19" s="1"/>
  <c r="J983" i="19"/>
  <c r="D1027" i="19"/>
  <c r="AE1027" i="19" s="1"/>
  <c r="V984" i="19"/>
  <c r="W984" i="19" s="1"/>
  <c r="X984" i="19" s="1"/>
  <c r="Y984" i="19" s="1"/>
  <c r="D1028" i="19"/>
  <c r="AB985" i="19"/>
  <c r="D1029" i="19"/>
  <c r="AE1029" i="19" s="1"/>
  <c r="D1030" i="19"/>
  <c r="J987" i="19"/>
  <c r="D1031" i="19"/>
  <c r="J988" i="19"/>
  <c r="D1032" i="19"/>
  <c r="AE1032" i="19" s="1"/>
  <c r="J989" i="19"/>
  <c r="D1033" i="19"/>
  <c r="J990" i="19"/>
  <c r="D1034" i="19"/>
  <c r="E1034" i="19" s="1"/>
  <c r="J991" i="19"/>
  <c r="AB991" i="19"/>
  <c r="D1035" i="19"/>
  <c r="AE1035" i="19" s="1"/>
  <c r="J992" i="19"/>
  <c r="D1036" i="19"/>
  <c r="J993" i="19"/>
  <c r="D1037" i="19"/>
  <c r="J994" i="19"/>
  <c r="D1038" i="19"/>
  <c r="J995" i="19"/>
  <c r="D1039" i="19"/>
  <c r="AE1039" i="19" s="1"/>
  <c r="D1040" i="19"/>
  <c r="AB997" i="19"/>
  <c r="D1041" i="19"/>
  <c r="AB998" i="19"/>
  <c r="D1042" i="19"/>
  <c r="J999" i="19"/>
  <c r="D1043" i="19"/>
  <c r="AE1043" i="19" s="1"/>
  <c r="D1044" i="19"/>
  <c r="J1001" i="19"/>
  <c r="AB1001" i="19"/>
  <c r="D1045" i="19"/>
  <c r="J1002" i="19"/>
  <c r="AB1002" i="19"/>
  <c r="D1046" i="19"/>
  <c r="AE1046" i="19" s="1"/>
  <c r="J1003" i="19"/>
  <c r="V1003" i="19"/>
  <c r="W1003" i="19" s="1"/>
  <c r="X1003" i="19" s="1"/>
  <c r="Y1003" i="19" s="1"/>
  <c r="D1047" i="19"/>
  <c r="J1004" i="19"/>
  <c r="D1048" i="19"/>
  <c r="AE1048" i="19" s="1"/>
  <c r="J1005" i="19"/>
  <c r="D1049" i="19"/>
  <c r="AE1049" i="19" s="1"/>
  <c r="J1006" i="19"/>
  <c r="AB1006" i="19"/>
  <c r="D1050" i="19"/>
  <c r="AE1050" i="19" s="1"/>
  <c r="J1007" i="19"/>
  <c r="D1051" i="19"/>
  <c r="AE1051" i="19" s="1"/>
  <c r="D1052" i="19"/>
  <c r="AE1052" i="19" s="1"/>
  <c r="D1053" i="19"/>
  <c r="AE1053" i="19" s="1"/>
  <c r="D1054" i="19"/>
  <c r="J1011" i="19"/>
  <c r="D1055" i="19"/>
  <c r="AE1055" i="19" s="1"/>
  <c r="J1012" i="19"/>
  <c r="D1056" i="19"/>
  <c r="AE1056" i="19" s="1"/>
  <c r="J1013" i="19"/>
  <c r="AB1013" i="19"/>
  <c r="D1057" i="19"/>
  <c r="J1014" i="19"/>
  <c r="V1014" i="19"/>
  <c r="W1014" i="19" s="1"/>
  <c r="X1014" i="19" s="1"/>
  <c r="Y1014" i="19" s="1"/>
  <c r="D1058" i="19"/>
  <c r="AB1015" i="19"/>
  <c r="D1059" i="19"/>
  <c r="AE1059" i="19" s="1"/>
  <c r="J1016" i="19"/>
  <c r="D1060" i="19"/>
  <c r="J1017" i="19"/>
  <c r="D1061" i="19"/>
  <c r="J1018" i="19"/>
  <c r="D1062" i="19"/>
  <c r="AE1062" i="19" s="1"/>
  <c r="J1019" i="19"/>
  <c r="D1063" i="19"/>
  <c r="AE1063" i="19" s="1"/>
  <c r="D1064" i="19"/>
  <c r="V1021" i="19"/>
  <c r="W1021" i="19" s="1"/>
  <c r="X1021" i="19" s="1"/>
  <c r="Y1021" i="19" s="1"/>
  <c r="AB1021" i="19"/>
  <c r="D1065" i="19"/>
  <c r="D1066" i="19"/>
  <c r="J1023" i="19"/>
  <c r="D1067" i="19"/>
  <c r="J1024" i="19"/>
  <c r="D1068" i="19"/>
  <c r="J1025" i="19"/>
  <c r="D1069" i="19"/>
  <c r="E1069" i="19" s="1"/>
  <c r="J1026" i="19"/>
  <c r="D1070" i="19"/>
  <c r="J1027" i="19"/>
  <c r="V1027" i="19"/>
  <c r="W1027" i="19" s="1"/>
  <c r="X1027" i="19" s="1"/>
  <c r="Y1027" i="19" s="1"/>
  <c r="AB1027" i="19"/>
  <c r="D1071" i="19"/>
  <c r="J1028" i="19"/>
  <c r="D1072" i="19"/>
  <c r="AE1072" i="19" s="1"/>
  <c r="J1029" i="19"/>
  <c r="R1029" i="19"/>
  <c r="D1073" i="19"/>
  <c r="J1030" i="19"/>
  <c r="D1074" i="19"/>
  <c r="AE1074" i="19" s="1"/>
  <c r="J1031" i="19"/>
  <c r="D1075" i="19"/>
  <c r="AE1075" i="19" s="1"/>
  <c r="D1076" i="19"/>
  <c r="V1033" i="19"/>
  <c r="W1033" i="19" s="1"/>
  <c r="X1033" i="19" s="1"/>
  <c r="Y1033" i="19" s="1"/>
  <c r="AB1033" i="19"/>
  <c r="D1077" i="19"/>
  <c r="AE1077" i="19" s="1"/>
  <c r="D1078" i="19"/>
  <c r="AE1078" i="19" s="1"/>
  <c r="J1035" i="19"/>
  <c r="D1079" i="19"/>
  <c r="AE1079" i="19" s="1"/>
  <c r="J1036" i="19"/>
  <c r="D1080" i="19"/>
  <c r="J1037" i="19"/>
  <c r="D1081" i="19"/>
  <c r="AE1081" i="19" s="1"/>
  <c r="J1038" i="19"/>
  <c r="AB1038" i="19"/>
  <c r="D1082" i="19"/>
  <c r="AE1082" i="19" s="1"/>
  <c r="J1039" i="19"/>
  <c r="AB1039" i="19"/>
  <c r="D1083" i="19"/>
  <c r="J1040" i="19"/>
  <c r="D1084" i="19"/>
  <c r="AE1084" i="19" s="1"/>
  <c r="J1041" i="19"/>
  <c r="V1041" i="19"/>
  <c r="W1041" i="19" s="1"/>
  <c r="X1041" i="19" s="1"/>
  <c r="Y1041" i="19" s="1"/>
  <c r="D1085" i="19"/>
  <c r="AE1085" i="19" s="1"/>
  <c r="J1042" i="19"/>
  <c r="D1086" i="19"/>
  <c r="E1086" i="19" s="1"/>
  <c r="J1043" i="19"/>
  <c r="D1087" i="19"/>
  <c r="AE1087" i="19" s="1"/>
  <c r="D1088" i="19"/>
  <c r="AE1088" i="19" s="1"/>
  <c r="D1089" i="19"/>
  <c r="D1090" i="19"/>
  <c r="AE1090" i="19" s="1"/>
  <c r="J1047" i="19"/>
  <c r="D1091" i="19"/>
  <c r="AE1091" i="19" s="1"/>
  <c r="J1048" i="19"/>
  <c r="D1092" i="19"/>
  <c r="J1049" i="19"/>
  <c r="D1093" i="19"/>
  <c r="J1050" i="19"/>
  <c r="D1094" i="19"/>
  <c r="AE1094" i="19" s="1"/>
  <c r="V1051" i="19"/>
  <c r="W1051" i="19" s="1"/>
  <c r="X1051" i="19" s="1"/>
  <c r="Y1051" i="19" s="1"/>
  <c r="D1095" i="19"/>
  <c r="J1052" i="19"/>
  <c r="AB1052" i="19"/>
  <c r="D1096" i="19"/>
  <c r="AE1096" i="19" s="1"/>
  <c r="J1053" i="19"/>
  <c r="D1097" i="19"/>
  <c r="J1054" i="19"/>
  <c r="D1098" i="19"/>
  <c r="J1055" i="19"/>
  <c r="D1099" i="19"/>
  <c r="AE1099" i="19" s="1"/>
  <c r="D1100" i="19"/>
  <c r="AE1100" i="19" s="1"/>
  <c r="D1101" i="19"/>
  <c r="AE1101" i="19" s="1"/>
  <c r="AB1058" i="19"/>
  <c r="D1102" i="19"/>
  <c r="J1059" i="19"/>
  <c r="D1103" i="19"/>
  <c r="J1060" i="19"/>
  <c r="D1104" i="19"/>
  <c r="J1061" i="19"/>
  <c r="D1105" i="19"/>
  <c r="J1062" i="19"/>
  <c r="D1106" i="19"/>
  <c r="J1063" i="19"/>
  <c r="V1063" i="19"/>
  <c r="W1063" i="19" s="1"/>
  <c r="X1063" i="19" s="1"/>
  <c r="Y1063" i="19" s="1"/>
  <c r="AB1063" i="19"/>
  <c r="D1107" i="19"/>
  <c r="D1108" i="19"/>
  <c r="J1065" i="19"/>
  <c r="D1109" i="19"/>
  <c r="J1066" i="19"/>
  <c r="V1066" i="19"/>
  <c r="W1066" i="19" s="1"/>
  <c r="X1066" i="19" s="1"/>
  <c r="Y1066" i="19" s="1"/>
  <c r="D1110" i="19"/>
  <c r="AE1110" i="19" s="1"/>
  <c r="J1067" i="19"/>
  <c r="AB1067" i="19"/>
  <c r="D1111" i="19"/>
  <c r="J1068" i="19"/>
  <c r="D1112" i="19"/>
  <c r="AE1112" i="19" s="1"/>
  <c r="J1069" i="19"/>
  <c r="AB1069" i="19"/>
  <c r="D1113" i="19"/>
  <c r="AE1113" i="19" s="1"/>
  <c r="D1114" i="19"/>
  <c r="AE1114" i="19" s="1"/>
  <c r="J1071" i="19"/>
  <c r="D1115" i="19"/>
  <c r="AE1115" i="19" s="1"/>
  <c r="J1072" i="19"/>
  <c r="D1116" i="19"/>
  <c r="J1073" i="19"/>
  <c r="AB1073" i="19"/>
  <c r="D1117" i="19"/>
  <c r="J1074" i="19"/>
  <c r="AB1074" i="19"/>
  <c r="D1118" i="19"/>
  <c r="J1075" i="19"/>
  <c r="D1119" i="19"/>
  <c r="J1076" i="19"/>
  <c r="D1120" i="19"/>
  <c r="AE1120" i="19" s="1"/>
  <c r="J1077" i="19"/>
  <c r="D1121" i="19"/>
  <c r="AE1121" i="19" s="1"/>
  <c r="J1078" i="19"/>
  <c r="D1122" i="19"/>
  <c r="J1079" i="19"/>
  <c r="V1079" i="19"/>
  <c r="W1079" i="19" s="1"/>
  <c r="X1079" i="19" s="1"/>
  <c r="Y1079" i="19" s="1"/>
  <c r="D1123" i="19"/>
  <c r="AE1123" i="19" s="1"/>
  <c r="V1080" i="19"/>
  <c r="W1080" i="19" s="1"/>
  <c r="X1080" i="19" s="1"/>
  <c r="Y1080" i="19" s="1"/>
  <c r="D1124" i="19"/>
  <c r="AE1124" i="19" s="1"/>
  <c r="AB1081" i="19"/>
  <c r="D1125" i="19"/>
  <c r="AE1125" i="19" s="1"/>
  <c r="D1126" i="19"/>
  <c r="AE1126" i="19" s="1"/>
  <c r="J1083" i="19"/>
  <c r="D1127" i="19"/>
  <c r="AE1127" i="19" s="1"/>
  <c r="J1084" i="19"/>
  <c r="D1128" i="19"/>
  <c r="AE1128" i="19" s="1"/>
  <c r="J1085" i="19"/>
  <c r="D1129" i="19"/>
  <c r="J1086" i="19"/>
  <c r="D1130" i="19"/>
  <c r="J1087" i="19"/>
  <c r="AB1087" i="19"/>
  <c r="D1131" i="19"/>
  <c r="J1088" i="19"/>
  <c r="D1132" i="19"/>
  <c r="J1089" i="19"/>
  <c r="V1089" i="19"/>
  <c r="W1089" i="19" s="1"/>
  <c r="X1089" i="19" s="1"/>
  <c r="Y1089" i="19" s="1"/>
  <c r="D1133" i="19"/>
  <c r="J1090" i="19"/>
  <c r="D1134" i="19"/>
  <c r="J1091" i="19"/>
  <c r="D1135" i="19"/>
  <c r="V1092" i="19"/>
  <c r="W1092" i="19" s="1"/>
  <c r="X1092" i="19" s="1"/>
  <c r="Y1092" i="19" s="1"/>
  <c r="D1136" i="19"/>
  <c r="J1093" i="19"/>
  <c r="AB1093" i="19"/>
  <c r="D1137" i="19"/>
  <c r="AB1094" i="19"/>
  <c r="D1138" i="19"/>
  <c r="AE1138" i="19" s="1"/>
  <c r="J1095" i="19"/>
  <c r="D1139" i="19"/>
  <c r="J1096" i="19"/>
  <c r="D1140" i="19"/>
  <c r="J1097" i="19"/>
  <c r="D1141" i="19"/>
  <c r="J1098" i="19"/>
  <c r="AB1098" i="19"/>
  <c r="D1142" i="19"/>
  <c r="AE1142" i="19" s="1"/>
  <c r="J1099" i="19"/>
  <c r="AB1099" i="19"/>
  <c r="D1143" i="19"/>
  <c r="D1144" i="19"/>
  <c r="J1101" i="19"/>
  <c r="V1101" i="19"/>
  <c r="W1101" i="19" s="1"/>
  <c r="X1101" i="19" s="1"/>
  <c r="Y1101" i="19" s="1"/>
  <c r="D1145" i="19"/>
  <c r="AE1145" i="19" s="1"/>
  <c r="J1102" i="19"/>
  <c r="D1146" i="19"/>
  <c r="AE1146" i="19" s="1"/>
  <c r="J1103" i="19"/>
  <c r="D1147" i="19"/>
  <c r="AE1147" i="19" s="1"/>
  <c r="D1148" i="19"/>
  <c r="D1149" i="19"/>
  <c r="D1150" i="19"/>
  <c r="AE1150" i="19" s="1"/>
  <c r="J1107" i="19"/>
  <c r="R1107" i="19"/>
  <c r="D1151" i="19"/>
  <c r="J1108" i="19"/>
  <c r="D1152" i="19"/>
  <c r="AE1152" i="19" s="1"/>
  <c r="J1109" i="19"/>
  <c r="D1153" i="19"/>
  <c r="J1110" i="19"/>
  <c r="D1154" i="19"/>
  <c r="AE1154" i="19" s="1"/>
  <c r="J1111" i="19"/>
  <c r="D1155" i="19"/>
  <c r="J1112" i="19"/>
  <c r="AB1112" i="19"/>
  <c r="D1156" i="19"/>
  <c r="AE1156" i="19" s="1"/>
  <c r="J1113" i="19"/>
  <c r="D1157" i="19"/>
  <c r="D1158" i="19"/>
  <c r="J1115" i="19"/>
  <c r="D1159" i="19"/>
  <c r="AE1159" i="19" s="1"/>
  <c r="D1160" i="19"/>
  <c r="AB1117" i="19"/>
  <c r="D1161" i="19"/>
  <c r="AE1161" i="19" s="1"/>
  <c r="J1118" i="19"/>
  <c r="D1162" i="19"/>
  <c r="AE1162" i="19" s="1"/>
  <c r="J1119" i="19"/>
  <c r="D1163" i="19"/>
  <c r="J1120" i="19"/>
  <c r="D1164" i="19"/>
  <c r="J1121" i="19"/>
  <c r="AB1121" i="19"/>
  <c r="D1165" i="19"/>
  <c r="E1165" i="19" s="1"/>
  <c r="J1122" i="19"/>
  <c r="D1166" i="19"/>
  <c r="J1123" i="19"/>
  <c r="AB1123" i="19"/>
  <c r="D1167" i="19"/>
  <c r="J1124" i="19"/>
  <c r="D1168" i="19"/>
  <c r="J1125" i="19"/>
  <c r="V1125" i="19"/>
  <c r="W1125" i="19" s="1"/>
  <c r="X1125" i="19" s="1"/>
  <c r="Y1125" i="19" s="1"/>
  <c r="D1169" i="19"/>
  <c r="AE1169" i="19" s="1"/>
  <c r="J1126" i="19"/>
  <c r="D1170" i="19"/>
  <c r="J1127" i="19"/>
  <c r="V1127" i="19"/>
  <c r="W1127" i="19" s="1"/>
  <c r="X1127" i="19" s="1"/>
  <c r="Y1127" i="19" s="1"/>
  <c r="D1171" i="19"/>
  <c r="AE1171" i="19" s="1"/>
  <c r="D1172" i="19"/>
  <c r="AE1172" i="19" s="1"/>
  <c r="AB1129" i="19"/>
  <c r="D1173" i="19"/>
  <c r="AE1173" i="19" s="1"/>
  <c r="AB1130" i="19"/>
  <c r="D1174" i="19"/>
  <c r="J1131" i="19"/>
  <c r="D1175" i="19"/>
  <c r="AE1175" i="19" s="1"/>
  <c r="J1132" i="19"/>
  <c r="D1176" i="19"/>
  <c r="AE1176" i="19" s="1"/>
  <c r="J1133" i="19"/>
  <c r="AB1133" i="19"/>
  <c r="D1177" i="19"/>
  <c r="AE1177" i="19" s="1"/>
  <c r="J1134" i="19"/>
  <c r="D1178" i="19"/>
  <c r="AE1178" i="19" s="1"/>
  <c r="J1135" i="19"/>
  <c r="D1179" i="19"/>
  <c r="J1136" i="19"/>
  <c r="D1180" i="19"/>
  <c r="AE1180" i="19" s="1"/>
  <c r="J1137" i="19"/>
  <c r="D1181" i="19"/>
  <c r="E1181" i="19" s="1"/>
  <c r="J1138" i="19"/>
  <c r="D1182" i="19"/>
  <c r="AE1182" i="19" s="1"/>
  <c r="J1139" i="19"/>
  <c r="D1183" i="19"/>
  <c r="AE1183" i="19" s="1"/>
  <c r="D1184" i="19"/>
  <c r="D1185" i="19"/>
  <c r="AE1185" i="19" s="1"/>
  <c r="D1186" i="19"/>
  <c r="J1143" i="19"/>
  <c r="D1187" i="19"/>
  <c r="J1144" i="19"/>
  <c r="D1188" i="19"/>
  <c r="J1145" i="19"/>
  <c r="AB1145" i="19"/>
  <c r="D1189" i="19"/>
  <c r="J1146" i="19"/>
  <c r="D1190" i="19"/>
  <c r="J1147" i="19"/>
  <c r="AB1147" i="19"/>
  <c r="D1191" i="19"/>
  <c r="J1148" i="19"/>
  <c r="D1192" i="19"/>
  <c r="AE1192" i="19" s="1"/>
  <c r="J1149" i="19"/>
  <c r="D1193" i="19"/>
  <c r="J1150" i="19"/>
  <c r="D1194" i="19"/>
  <c r="J1151" i="19"/>
  <c r="D1195" i="19"/>
  <c r="AE1195" i="19" s="1"/>
  <c r="D1196" i="19"/>
  <c r="D1197" i="19"/>
  <c r="V1154" i="19"/>
  <c r="W1154" i="19" s="1"/>
  <c r="X1154" i="19" s="1"/>
  <c r="Y1154" i="19" s="1"/>
  <c r="D1198" i="19"/>
  <c r="J1155" i="19"/>
  <c r="D1199" i="19"/>
  <c r="J1156" i="19"/>
  <c r="D1200" i="19"/>
  <c r="AE1200" i="19" s="1"/>
  <c r="J1157" i="19"/>
  <c r="V1157" i="19"/>
  <c r="W1157" i="19" s="1"/>
  <c r="X1157" i="19" s="1"/>
  <c r="Y1157" i="19" s="1"/>
  <c r="AB1157" i="19"/>
  <c r="D1201" i="19"/>
  <c r="J1158" i="19"/>
  <c r="D1202" i="19"/>
  <c r="AE1202" i="19" s="1"/>
  <c r="J1159" i="19"/>
  <c r="D1203" i="19"/>
  <c r="AE1203" i="19" s="1"/>
  <c r="J1160" i="19"/>
  <c r="D1204" i="19"/>
  <c r="AE1204" i="19" s="1"/>
  <c r="J1161" i="19"/>
  <c r="AB1161" i="19"/>
  <c r="D1205" i="19"/>
  <c r="AE1205" i="19" s="1"/>
  <c r="J1162" i="19"/>
  <c r="D1206" i="19"/>
  <c r="AE1206" i="19" s="1"/>
  <c r="J1163" i="19"/>
  <c r="V1163" i="19"/>
  <c r="W1163" i="19" s="1"/>
  <c r="X1163" i="19" s="1"/>
  <c r="Y1163" i="19" s="1"/>
  <c r="D1207" i="19"/>
  <c r="AE1207" i="19" s="1"/>
  <c r="D1208" i="19"/>
  <c r="AE1208" i="19" s="1"/>
  <c r="AB1165" i="19"/>
  <c r="D1209" i="19"/>
  <c r="AE1209" i="19" s="1"/>
  <c r="AB1166" i="19"/>
  <c r="D1210" i="19"/>
  <c r="J1167" i="19"/>
  <c r="D1211" i="19"/>
  <c r="J1168" i="19"/>
  <c r="D1212" i="19"/>
  <c r="J1169" i="19"/>
  <c r="AB1169" i="19"/>
  <c r="D1213" i="19"/>
  <c r="J1170" i="19"/>
  <c r="D1214" i="19"/>
  <c r="AE1214" i="19" s="1"/>
  <c r="J1171" i="19"/>
  <c r="AB1171" i="19"/>
  <c r="D1215" i="19"/>
  <c r="AE1215" i="19" s="1"/>
  <c r="J1172" i="19"/>
  <c r="D1216" i="19"/>
  <c r="J1173" i="19"/>
  <c r="D1217" i="19"/>
  <c r="AE1217" i="19" s="1"/>
  <c r="J1174" i="19"/>
  <c r="D1218" i="19"/>
  <c r="J1175" i="19"/>
  <c r="V1175" i="19"/>
  <c r="W1175" i="19" s="1"/>
  <c r="X1175" i="19" s="1"/>
  <c r="Y1175" i="19" s="1"/>
  <c r="D1219" i="19"/>
  <c r="D1220" i="19"/>
  <c r="AE1220" i="19" s="1"/>
  <c r="AB1177" i="19"/>
  <c r="D1221" i="19"/>
  <c r="AE1221" i="19" s="1"/>
  <c r="D1222" i="19"/>
  <c r="AE1222" i="19" s="1"/>
  <c r="J1179" i="19"/>
  <c r="D1223" i="19"/>
  <c r="AE1223" i="19" s="1"/>
  <c r="J1180" i="19"/>
  <c r="D1224" i="19"/>
  <c r="AE1224" i="19" s="1"/>
  <c r="J1181" i="19"/>
  <c r="V1181" i="19"/>
  <c r="W1181" i="19" s="1"/>
  <c r="X1181" i="19" s="1"/>
  <c r="Y1181" i="19" s="1"/>
  <c r="AB1181" i="19"/>
  <c r="D1225" i="19"/>
  <c r="D1226" i="19"/>
  <c r="J1183" i="19"/>
  <c r="D1227" i="19"/>
  <c r="AE1227" i="19" s="1"/>
  <c r="J1184" i="19"/>
  <c r="D1228" i="19"/>
  <c r="AE1228" i="19" s="1"/>
  <c r="J1185" i="19"/>
  <c r="D1229" i="19"/>
  <c r="AE1229" i="19" s="1"/>
  <c r="J1186" i="19"/>
  <c r="D1230" i="19"/>
  <c r="J1187" i="19"/>
  <c r="D1231" i="19"/>
  <c r="AE1231" i="19" s="1"/>
  <c r="D1232" i="19"/>
  <c r="AE1232" i="19" s="1"/>
  <c r="D1233" i="19"/>
  <c r="AE1233" i="19" s="1"/>
  <c r="J1190" i="19"/>
  <c r="D1234" i="19"/>
  <c r="AE1234" i="19" s="1"/>
  <c r="J1191" i="19"/>
  <c r="V1191" i="19"/>
  <c r="W1191" i="19" s="1"/>
  <c r="X1191" i="19" s="1"/>
  <c r="Y1191" i="19" s="1"/>
  <c r="D1235" i="19"/>
  <c r="J1192" i="19"/>
  <c r="D1236" i="19"/>
  <c r="J1193" i="19"/>
  <c r="AB1193" i="19"/>
  <c r="D1237" i="19"/>
  <c r="J1194" i="19"/>
  <c r="AB1194" i="19"/>
  <c r="D1238" i="19"/>
  <c r="J1195" i="19"/>
  <c r="AB1195" i="19"/>
  <c r="D1239" i="19"/>
  <c r="J1196" i="19"/>
  <c r="D1240" i="19"/>
  <c r="J1197" i="19"/>
  <c r="D1241" i="19"/>
  <c r="AE1241" i="19" s="1"/>
  <c r="J1198" i="19"/>
  <c r="D1242" i="19"/>
  <c r="J1199" i="19"/>
  <c r="D1243" i="19"/>
  <c r="AE1243" i="19" s="1"/>
  <c r="D1244" i="19"/>
  <c r="AE1244" i="19" s="1"/>
  <c r="D1245" i="19"/>
  <c r="V1202" i="19"/>
  <c r="W1202" i="19" s="1"/>
  <c r="X1202" i="19" s="1"/>
  <c r="Y1202" i="19" s="1"/>
  <c r="D1246" i="19"/>
  <c r="AE1246" i="19" s="1"/>
  <c r="J1203" i="19"/>
  <c r="D1247" i="19"/>
  <c r="AE1247" i="19" s="1"/>
  <c r="J1204" i="19"/>
  <c r="D1248" i="19"/>
  <c r="AB1205" i="19"/>
  <c r="D1249" i="19"/>
  <c r="AE1249" i="19" s="1"/>
  <c r="J1206" i="19"/>
  <c r="D1250" i="19"/>
  <c r="AE1250" i="19" s="1"/>
  <c r="J1207" i="19"/>
  <c r="D1251" i="19"/>
  <c r="J1208" i="19"/>
  <c r="V1208" i="19"/>
  <c r="W1208" i="19" s="1"/>
  <c r="X1208" i="19" s="1"/>
  <c r="Y1208" i="19" s="1"/>
  <c r="D1252" i="19"/>
  <c r="AE1252" i="19" s="1"/>
  <c r="J1209" i="19"/>
  <c r="D1253" i="19"/>
  <c r="AE1253" i="19" s="1"/>
  <c r="J1210" i="19"/>
  <c r="D1254" i="19"/>
  <c r="AE1254" i="19" s="1"/>
  <c r="J1211" i="19"/>
  <c r="D1255" i="19"/>
  <c r="AE1255" i="19" s="1"/>
  <c r="D1256" i="19"/>
  <c r="AB1213" i="19"/>
  <c r="D1257" i="19"/>
  <c r="AE1257" i="19" s="1"/>
  <c r="D1258" i="19"/>
  <c r="J1215" i="19"/>
  <c r="D1259" i="19"/>
  <c r="AE1259" i="19" s="1"/>
  <c r="J1216" i="19"/>
  <c r="D1260" i="19"/>
  <c r="J1217" i="19"/>
  <c r="D1261" i="19"/>
  <c r="AE1261" i="19" s="1"/>
  <c r="J1218" i="19"/>
  <c r="D1262" i="19"/>
  <c r="J1219" i="19"/>
  <c r="AB1219" i="19"/>
  <c r="D1263" i="19"/>
  <c r="V1220" i="19"/>
  <c r="W1220" i="19" s="1"/>
  <c r="X1220" i="19" s="1"/>
  <c r="Y1220" i="19" s="1"/>
  <c r="D1264" i="19"/>
  <c r="J1221" i="19"/>
  <c r="D1265" i="19"/>
  <c r="J1222" i="19"/>
  <c r="D1266" i="19"/>
  <c r="J1223" i="19"/>
  <c r="R1223" i="19"/>
  <c r="D1267" i="19"/>
  <c r="AE1267" i="19" s="1"/>
  <c r="D1268" i="19"/>
  <c r="AE1268" i="19" s="1"/>
  <c r="J1225" i="19"/>
  <c r="D1269" i="19"/>
  <c r="AE1269" i="19" s="1"/>
  <c r="D1270" i="19"/>
  <c r="AE1270" i="19" s="1"/>
  <c r="J1227" i="19"/>
  <c r="D1271" i="19"/>
  <c r="J1228" i="19"/>
  <c r="D1272" i="19"/>
  <c r="AE1272" i="19" s="1"/>
  <c r="J1229" i="19"/>
  <c r="D1273" i="19"/>
  <c r="E1273" i="19" s="1"/>
  <c r="D1274" i="19"/>
  <c r="J1231" i="19"/>
  <c r="D1275" i="19"/>
  <c r="J1232" i="19"/>
  <c r="D1276" i="19"/>
  <c r="AE1276" i="19" s="1"/>
  <c r="J1233" i="19"/>
  <c r="V1233" i="19"/>
  <c r="W1233" i="19" s="1"/>
  <c r="X1233" i="19" s="1"/>
  <c r="Y1233" i="19" s="1"/>
  <c r="D1277" i="19"/>
  <c r="J1234" i="19"/>
  <c r="D1278" i="19"/>
  <c r="J1235" i="19"/>
  <c r="D1279" i="19"/>
  <c r="AE1279" i="19" s="1"/>
  <c r="D1280" i="19"/>
  <c r="AE1280" i="19" s="1"/>
  <c r="AB1237" i="19"/>
  <c r="D1281" i="19"/>
  <c r="AE1281" i="19" s="1"/>
  <c r="D1282" i="19"/>
  <c r="AE1282" i="19" s="1"/>
  <c r="J1239" i="19"/>
  <c r="D1283" i="19"/>
  <c r="AE1283" i="19" s="1"/>
  <c r="J1240" i="19"/>
  <c r="V1240" i="19"/>
  <c r="W1240" i="19" s="1"/>
  <c r="X1240" i="19" s="1"/>
  <c r="Y1240" i="19" s="1"/>
  <c r="D1284" i="19"/>
  <c r="AE1284" i="19" s="1"/>
  <c r="J1241" i="19"/>
  <c r="AB1241" i="19"/>
  <c r="D1285" i="19"/>
  <c r="E1285" i="19" s="1"/>
  <c r="J1242" i="19"/>
  <c r="AB1242" i="19"/>
  <c r="D1286" i="19"/>
  <c r="J1243" i="19"/>
  <c r="V1243" i="19"/>
  <c r="W1243" i="19" s="1"/>
  <c r="X1243" i="19" s="1"/>
  <c r="Y1243" i="19" s="1"/>
  <c r="E1303" i="19" l="1"/>
  <c r="E753" i="19"/>
  <c r="L1364" i="19"/>
  <c r="R1358" i="19"/>
  <c r="R1159" i="19"/>
  <c r="R888" i="19"/>
  <c r="R622" i="19"/>
  <c r="E673" i="19"/>
  <c r="R983" i="19"/>
  <c r="L971" i="19"/>
  <c r="L235" i="19"/>
  <c r="E1175" i="19"/>
  <c r="E551" i="19"/>
  <c r="R1024" i="19"/>
  <c r="R965" i="19"/>
  <c r="R941" i="19"/>
  <c r="R860" i="19"/>
  <c r="AC558" i="19"/>
  <c r="L429" i="19"/>
  <c r="E1171" i="19"/>
  <c r="L1146" i="19"/>
  <c r="L985" i="19"/>
  <c r="L761" i="19"/>
  <c r="L282" i="19"/>
  <c r="E1084" i="19"/>
  <c r="R602" i="19"/>
  <c r="Q1351" i="19"/>
  <c r="E987" i="19"/>
  <c r="R503" i="19"/>
  <c r="R473" i="19"/>
  <c r="R1139" i="19"/>
  <c r="R1136" i="19"/>
  <c r="AC1000" i="19"/>
  <c r="AC724" i="19"/>
  <c r="AC559" i="19"/>
  <c r="AC722" i="19"/>
  <c r="R1293" i="19"/>
  <c r="AC298" i="19"/>
  <c r="AC310" i="19"/>
  <c r="AC322" i="19"/>
  <c r="AC334" i="19"/>
  <c r="AC346" i="19"/>
  <c r="AC358" i="19"/>
  <c r="AC370" i="19"/>
  <c r="AC382" i="19"/>
  <c r="AC394" i="19"/>
  <c r="AC406" i="19"/>
  <c r="AC418" i="19"/>
  <c r="AC430" i="19"/>
  <c r="AC442" i="19"/>
  <c r="AC454" i="19"/>
  <c r="AC466" i="19"/>
  <c r="AC478" i="19"/>
  <c r="AC490" i="19"/>
  <c r="AC502" i="19"/>
  <c r="AC514" i="19"/>
  <c r="AC526" i="19"/>
  <c r="AC538" i="19"/>
  <c r="AC550" i="19"/>
  <c r="AC562" i="19"/>
  <c r="AC574" i="19"/>
  <c r="AC586" i="19"/>
  <c r="AC598" i="19"/>
  <c r="AC610" i="19"/>
  <c r="AC622" i="19"/>
  <c r="AC634" i="19"/>
  <c r="AC646" i="19"/>
  <c r="AC658" i="19"/>
  <c r="AC670" i="19"/>
  <c r="AC682" i="19"/>
  <c r="AC694" i="19"/>
  <c r="AC706" i="19"/>
  <c r="AC718" i="19"/>
  <c r="AC730" i="19"/>
  <c r="AC742" i="19"/>
  <c r="AC754" i="19"/>
  <c r="AC766" i="19"/>
  <c r="AC778" i="19"/>
  <c r="AC790" i="19"/>
  <c r="AC802" i="19"/>
  <c r="AC814" i="19"/>
  <c r="AC826" i="19"/>
  <c r="AC838" i="19"/>
  <c r="AC850" i="19"/>
  <c r="AC862" i="19"/>
  <c r="AC874" i="19"/>
  <c r="AC886" i="19"/>
  <c r="AC898" i="19"/>
  <c r="AC910" i="19"/>
  <c r="AC922" i="19"/>
  <c r="AC934" i="19"/>
  <c r="AC946" i="19"/>
  <c r="AC958" i="19"/>
  <c r="AC970" i="19"/>
  <c r="AC982" i="19"/>
  <c r="AC994" i="19"/>
  <c r="AC1006" i="19"/>
  <c r="AC1018" i="19"/>
  <c r="AC1030" i="19"/>
  <c r="AC1042" i="19"/>
  <c r="AC1054" i="19"/>
  <c r="AC299" i="19"/>
  <c r="AC311" i="19"/>
  <c r="AC323" i="19"/>
  <c r="AC335" i="19"/>
  <c r="AC347" i="19"/>
  <c r="AC359" i="19"/>
  <c r="AC371" i="19"/>
  <c r="AC383" i="19"/>
  <c r="AC395" i="19"/>
  <c r="AC407" i="19"/>
  <c r="AC419" i="19"/>
  <c r="AC431" i="19"/>
  <c r="AC443" i="19"/>
  <c r="AC455" i="19"/>
  <c r="AC467" i="19"/>
  <c r="AC479" i="19"/>
  <c r="AC491" i="19"/>
  <c r="AC503" i="19"/>
  <c r="AC515" i="19"/>
  <c r="AC527" i="19"/>
  <c r="AC539" i="19"/>
  <c r="AC300" i="19"/>
  <c r="AC312" i="19"/>
  <c r="AC324" i="19"/>
  <c r="AC336" i="19"/>
  <c r="AC348" i="19"/>
  <c r="AC360" i="19"/>
  <c r="AC372" i="19"/>
  <c r="AC384" i="19"/>
  <c r="AC396" i="19"/>
  <c r="AC408" i="19"/>
  <c r="AC420" i="19"/>
  <c r="AC432" i="19"/>
  <c r="AC444" i="19"/>
  <c r="AC456" i="19"/>
  <c r="AC468" i="19"/>
  <c r="AC480" i="19"/>
  <c r="AC492" i="19"/>
  <c r="AC504" i="19"/>
  <c r="AC516" i="19"/>
  <c r="AC528" i="19"/>
  <c r="AC540" i="19"/>
  <c r="AC552" i="19"/>
  <c r="AC564" i="19"/>
  <c r="AC576" i="19"/>
  <c r="AC588" i="19"/>
  <c r="AC600" i="19"/>
  <c r="AC612" i="19"/>
  <c r="AC624" i="19"/>
  <c r="AC636" i="19"/>
  <c r="AC648" i="19"/>
  <c r="AC660" i="19"/>
  <c r="AC672" i="19"/>
  <c r="AC684" i="19"/>
  <c r="AC696" i="19"/>
  <c r="AC708" i="19"/>
  <c r="AC720" i="19"/>
  <c r="AC732" i="19"/>
  <c r="AC744" i="19"/>
  <c r="AC756" i="19"/>
  <c r="AC768" i="19"/>
  <c r="AC780" i="19"/>
  <c r="AC792" i="19"/>
  <c r="AC804" i="19"/>
  <c r="AC816" i="19"/>
  <c r="AC828" i="19"/>
  <c r="AC840" i="19"/>
  <c r="AC852" i="19"/>
  <c r="AC864" i="19"/>
  <c r="AC876" i="19"/>
  <c r="AC888" i="19"/>
  <c r="AC900" i="19"/>
  <c r="AC912" i="19"/>
  <c r="AC924" i="19"/>
  <c r="AC936" i="19"/>
  <c r="AC948" i="19"/>
  <c r="AC960" i="19"/>
  <c r="AC972" i="19"/>
  <c r="AC984" i="19"/>
  <c r="AC996" i="19"/>
  <c r="AC1008" i="19"/>
  <c r="AC1020" i="19"/>
  <c r="AC1032" i="19"/>
  <c r="AC1044" i="19"/>
  <c r="AC1056" i="19"/>
  <c r="AC1068" i="19"/>
  <c r="AC1080" i="19"/>
  <c r="AC1092" i="19"/>
  <c r="AC1104" i="19"/>
  <c r="AC1116" i="19"/>
  <c r="AC1128" i="19"/>
  <c r="AC1140" i="19"/>
  <c r="AC1152" i="19"/>
  <c r="AC1164" i="19"/>
  <c r="AC1176" i="19"/>
  <c r="AC1188" i="19"/>
  <c r="AC1200" i="19"/>
  <c r="AC1212" i="19"/>
  <c r="AC1224" i="19"/>
  <c r="AC1236" i="19"/>
  <c r="AC1248" i="19"/>
  <c r="AC1260" i="19"/>
  <c r="AC1272" i="19"/>
  <c r="AC1284" i="19"/>
  <c r="AC1296" i="19"/>
  <c r="AC1308" i="19"/>
  <c r="AC302" i="19"/>
  <c r="AC314" i="19"/>
  <c r="AC326" i="19"/>
  <c r="AC338" i="19"/>
  <c r="AC350" i="19"/>
  <c r="AC362" i="19"/>
  <c r="AC374" i="19"/>
  <c r="AC386" i="19"/>
  <c r="AC398" i="19"/>
  <c r="AC410" i="19"/>
  <c r="AC303" i="19"/>
  <c r="AC315" i="19"/>
  <c r="AC327" i="19"/>
  <c r="AC339" i="19"/>
  <c r="AC351" i="19"/>
  <c r="AC363" i="19"/>
  <c r="AC375" i="19"/>
  <c r="AC387" i="19"/>
  <c r="AC399" i="19"/>
  <c r="AC411" i="19"/>
  <c r="AC423" i="19"/>
  <c r="AC435" i="19"/>
  <c r="AC447" i="19"/>
  <c r="AC459" i="19"/>
  <c r="AC471" i="19"/>
  <c r="AC483" i="19"/>
  <c r="AC495" i="19"/>
  <c r="AC507" i="19"/>
  <c r="AC519" i="19"/>
  <c r="AC531" i="19"/>
  <c r="AC543" i="19"/>
  <c r="AC555" i="19"/>
  <c r="AC567" i="19"/>
  <c r="AC579" i="19"/>
  <c r="AC591" i="19"/>
  <c r="AC603" i="19"/>
  <c r="AC615" i="19"/>
  <c r="AC627" i="19"/>
  <c r="AC639" i="19"/>
  <c r="AC651" i="19"/>
  <c r="AC663" i="19"/>
  <c r="AC675" i="19"/>
  <c r="AC687" i="19"/>
  <c r="AC699" i="19"/>
  <c r="AC711" i="19"/>
  <c r="AC723" i="19"/>
  <c r="AC735" i="19"/>
  <c r="AC747" i="19"/>
  <c r="AC759" i="19"/>
  <c r="AC771" i="19"/>
  <c r="AC783" i="19"/>
  <c r="AC795" i="19"/>
  <c r="AC807" i="19"/>
  <c r="AC819" i="19"/>
  <c r="AC831" i="19"/>
  <c r="AC843" i="19"/>
  <c r="AC855" i="19"/>
  <c r="AC867" i="19"/>
  <c r="AC879" i="19"/>
  <c r="AC891" i="19"/>
  <c r="AC903" i="19"/>
  <c r="AC915" i="19"/>
  <c r="AC927" i="19"/>
  <c r="AC304" i="19"/>
  <c r="AC321" i="19"/>
  <c r="AC343" i="19"/>
  <c r="AC365" i="19"/>
  <c r="AC385" i="19"/>
  <c r="AC404" i="19"/>
  <c r="AC425" i="19"/>
  <c r="AC441" i="19"/>
  <c r="AC461" i="19"/>
  <c r="AC477" i="19"/>
  <c r="AC497" i="19"/>
  <c r="AC513" i="19"/>
  <c r="AC533" i="19"/>
  <c r="AC549" i="19"/>
  <c r="AC566" i="19"/>
  <c r="AC582" i="19"/>
  <c r="AC597" i="19"/>
  <c r="AC614" i="19"/>
  <c r="AC630" i="19"/>
  <c r="AC645" i="19"/>
  <c r="AC662" i="19"/>
  <c r="AC678" i="19"/>
  <c r="AC693" i="19"/>
  <c r="AC710" i="19"/>
  <c r="AC726" i="19"/>
  <c r="AC741" i="19"/>
  <c r="AC758" i="19"/>
  <c r="AC774" i="19"/>
  <c r="AC789" i="19"/>
  <c r="AC806" i="19"/>
  <c r="AC822" i="19"/>
  <c r="AC837" i="19"/>
  <c r="AC854" i="19"/>
  <c r="AC870" i="19"/>
  <c r="AC885" i="19"/>
  <c r="AC902" i="19"/>
  <c r="AC918" i="19"/>
  <c r="AC933" i="19"/>
  <c r="AC949" i="19"/>
  <c r="AC963" i="19"/>
  <c r="AC977" i="19"/>
  <c r="AC991" i="19"/>
  <c r="AC1005" i="19"/>
  <c r="AC1021" i="19"/>
  <c r="AC1035" i="19"/>
  <c r="AC1049" i="19"/>
  <c r="AC1063" i="19"/>
  <c r="AC1076" i="19"/>
  <c r="AC1089" i="19"/>
  <c r="AC1102" i="19"/>
  <c r="AC1115" i="19"/>
  <c r="AC1129" i="19"/>
  <c r="AC1142" i="19"/>
  <c r="AC1155" i="19"/>
  <c r="AC1168" i="19"/>
  <c r="AC1181" i="19"/>
  <c r="AC1194" i="19"/>
  <c r="AC1207" i="19"/>
  <c r="AC1220" i="19"/>
  <c r="AC1233" i="19"/>
  <c r="AC1246" i="19"/>
  <c r="AC1259" i="19"/>
  <c r="AC1273" i="19"/>
  <c r="AC1286" i="19"/>
  <c r="AC1299" i="19"/>
  <c r="AC1312" i="19"/>
  <c r="AC1324" i="19"/>
  <c r="AC1336" i="19"/>
  <c r="AC1348" i="19"/>
  <c r="AC1360" i="19"/>
  <c r="AC1372" i="19"/>
  <c r="AC1384" i="19"/>
  <c r="AC306" i="19"/>
  <c r="AC328" i="19"/>
  <c r="AC345" i="19"/>
  <c r="AC367" i="19"/>
  <c r="AC389" i="19"/>
  <c r="AC409" i="19"/>
  <c r="AC427" i="19"/>
  <c r="AC446" i="19"/>
  <c r="AC463" i="19"/>
  <c r="AC482" i="19"/>
  <c r="AC499" i="19"/>
  <c r="AC518" i="19"/>
  <c r="AC535" i="19"/>
  <c r="AC553" i="19"/>
  <c r="AC569" i="19"/>
  <c r="AC584" i="19"/>
  <c r="AC601" i="19"/>
  <c r="AC617" i="19"/>
  <c r="AC632" i="19"/>
  <c r="AC649" i="19"/>
  <c r="AC665" i="19"/>
  <c r="AC680" i="19"/>
  <c r="AC697" i="19"/>
  <c r="AC713" i="19"/>
  <c r="AC728" i="19"/>
  <c r="AC745" i="19"/>
  <c r="AC761" i="19"/>
  <c r="AC776" i="19"/>
  <c r="AC793" i="19"/>
  <c r="AC809" i="19"/>
  <c r="AC824" i="19"/>
  <c r="AC841" i="19"/>
  <c r="AC857" i="19"/>
  <c r="AC872" i="19"/>
  <c r="AC889" i="19"/>
  <c r="AC905" i="19"/>
  <c r="AC920" i="19"/>
  <c r="AC937" i="19"/>
  <c r="AC951" i="19"/>
  <c r="AC965" i="19"/>
  <c r="AC979" i="19"/>
  <c r="AC993" i="19"/>
  <c r="AC1009" i="19"/>
  <c r="AC1023" i="19"/>
  <c r="AC1037" i="19"/>
  <c r="AC1051" i="19"/>
  <c r="AC1065" i="19"/>
  <c r="AC1078" i="19"/>
  <c r="AC1091" i="19"/>
  <c r="AC1105" i="19"/>
  <c r="AC1118" i="19"/>
  <c r="AC1131" i="19"/>
  <c r="AC1144" i="19"/>
  <c r="AC1157" i="19"/>
  <c r="AC1170" i="19"/>
  <c r="AC1183" i="19"/>
  <c r="AC1196" i="19"/>
  <c r="AC1209" i="19"/>
  <c r="AC1222" i="19"/>
  <c r="AC1235" i="19"/>
  <c r="AC1249" i="19"/>
  <c r="AC1262" i="19"/>
  <c r="AC1275" i="19"/>
  <c r="AC1288" i="19"/>
  <c r="AC1301" i="19"/>
  <c r="AC1314" i="19"/>
  <c r="AC1326" i="19"/>
  <c r="AC1338" i="19"/>
  <c r="AC1350" i="19"/>
  <c r="AC1362" i="19"/>
  <c r="AC1374" i="19"/>
  <c r="AC1386" i="19"/>
  <c r="AC307" i="19"/>
  <c r="AC329" i="19"/>
  <c r="AC349" i="19"/>
  <c r="AC368" i="19"/>
  <c r="AC390" i="19"/>
  <c r="AC412" i="19"/>
  <c r="AC428" i="19"/>
  <c r="AC448" i="19"/>
  <c r="AC464" i="19"/>
  <c r="AC484" i="19"/>
  <c r="AC500" i="19"/>
  <c r="AC520" i="19"/>
  <c r="AC536" i="19"/>
  <c r="AC554" i="19"/>
  <c r="AC570" i="19"/>
  <c r="AC585" i="19"/>
  <c r="AC602" i="19"/>
  <c r="AC618" i="19"/>
  <c r="AC633" i="19"/>
  <c r="AC650" i="19"/>
  <c r="AC666" i="19"/>
  <c r="AC681" i="19"/>
  <c r="AC698" i="19"/>
  <c r="AC714" i="19"/>
  <c r="AC729" i="19"/>
  <c r="AC308" i="19"/>
  <c r="AC330" i="19"/>
  <c r="AC352" i="19"/>
  <c r="AC369" i="19"/>
  <c r="AC391" i="19"/>
  <c r="AC413" i="19"/>
  <c r="AC429" i="19"/>
  <c r="AC449" i="19"/>
  <c r="AC465" i="19"/>
  <c r="AC485" i="19"/>
  <c r="AC501" i="19"/>
  <c r="AC521" i="19"/>
  <c r="AC537" i="19"/>
  <c r="AC556" i="19"/>
  <c r="AC571" i="19"/>
  <c r="AC587" i="19"/>
  <c r="AC604" i="19"/>
  <c r="AC619" i="19"/>
  <c r="AC635" i="19"/>
  <c r="AC652" i="19"/>
  <c r="AC667" i="19"/>
  <c r="AC683" i="19"/>
  <c r="AC700" i="19"/>
  <c r="AC715" i="19"/>
  <c r="AC731" i="19"/>
  <c r="AC748" i="19"/>
  <c r="AC763" i="19"/>
  <c r="AC779" i="19"/>
  <c r="AC796" i="19"/>
  <c r="AC811" i="19"/>
  <c r="AC827" i="19"/>
  <c r="AC844" i="19"/>
  <c r="AC859" i="19"/>
  <c r="AC875" i="19"/>
  <c r="AC892" i="19"/>
  <c r="AC907" i="19"/>
  <c r="AC923" i="19"/>
  <c r="AC939" i="19"/>
  <c r="AC953" i="19"/>
  <c r="AC967" i="19"/>
  <c r="AC981" i="19"/>
  <c r="AC997" i="19"/>
  <c r="AC1011" i="19"/>
  <c r="AC1025" i="19"/>
  <c r="AC1039" i="19"/>
  <c r="AC1053" i="19"/>
  <c r="AC1067" i="19"/>
  <c r="AC1081" i="19"/>
  <c r="AC1094" i="19"/>
  <c r="AC1107" i="19"/>
  <c r="AC1120" i="19"/>
  <c r="AC1133" i="19"/>
  <c r="AC1146" i="19"/>
  <c r="AC1159" i="19"/>
  <c r="AC1172" i="19"/>
  <c r="AC1185" i="19"/>
  <c r="AC1198" i="19"/>
  <c r="AC1211" i="19"/>
  <c r="AC1225" i="19"/>
  <c r="AC1238" i="19"/>
  <c r="AC1251" i="19"/>
  <c r="AC1264" i="19"/>
  <c r="AC1277" i="19"/>
  <c r="AC1290" i="19"/>
  <c r="AC1303" i="19"/>
  <c r="AC1316" i="19"/>
  <c r="AC1328" i="19"/>
  <c r="AC1340" i="19"/>
  <c r="AC1352" i="19"/>
  <c r="AC1364" i="19"/>
  <c r="AC1376" i="19"/>
  <c r="AC1388" i="19"/>
  <c r="AC317" i="19"/>
  <c r="AC337" i="19"/>
  <c r="AC356" i="19"/>
  <c r="AC378" i="19"/>
  <c r="AC400" i="19"/>
  <c r="AC417" i="19"/>
  <c r="AC437" i="19"/>
  <c r="AC453" i="19"/>
  <c r="AC473" i="19"/>
  <c r="AC489" i="19"/>
  <c r="AC509" i="19"/>
  <c r="AC525" i="19"/>
  <c r="AC545" i="19"/>
  <c r="AC560" i="19"/>
  <c r="AC577" i="19"/>
  <c r="AC593" i="19"/>
  <c r="AC608" i="19"/>
  <c r="AC625" i="19"/>
  <c r="AC641" i="19"/>
  <c r="AC656" i="19"/>
  <c r="AC673" i="19"/>
  <c r="AC689" i="19"/>
  <c r="AC704" i="19"/>
  <c r="AC721" i="19"/>
  <c r="AC737" i="19"/>
  <c r="AC752" i="19"/>
  <c r="AC769" i="19"/>
  <c r="AC785" i="19"/>
  <c r="AC800" i="19"/>
  <c r="AC817" i="19"/>
  <c r="AC833" i="19"/>
  <c r="AC848" i="19"/>
  <c r="AC865" i="19"/>
  <c r="AC881" i="19"/>
  <c r="AC896" i="19"/>
  <c r="AC913" i="19"/>
  <c r="AC929" i="19"/>
  <c r="AC943" i="19"/>
  <c r="AC957" i="19"/>
  <c r="AC301" i="19"/>
  <c r="AC340" i="19"/>
  <c r="AC376" i="19"/>
  <c r="AC405" i="19"/>
  <c r="AC439" i="19"/>
  <c r="AC472" i="19"/>
  <c r="AC505" i="19"/>
  <c r="AC532" i="19"/>
  <c r="AC561" i="19"/>
  <c r="AC590" i="19"/>
  <c r="AC616" i="19"/>
  <c r="AC643" i="19"/>
  <c r="AC671" i="19"/>
  <c r="AC701" i="19"/>
  <c r="AC725" i="19"/>
  <c r="AC751" i="19"/>
  <c r="AC775" i="19"/>
  <c r="AC799" i="19"/>
  <c r="AC823" i="19"/>
  <c r="AC847" i="19"/>
  <c r="AC871" i="19"/>
  <c r="AC895" i="19"/>
  <c r="AC919" i="19"/>
  <c r="AC942" i="19"/>
  <c r="AC964" i="19"/>
  <c r="AC985" i="19"/>
  <c r="AC1002" i="19"/>
  <c r="AC1022" i="19"/>
  <c r="AC1041" i="19"/>
  <c r="AC1060" i="19"/>
  <c r="AC1077" i="19"/>
  <c r="AC1096" i="19"/>
  <c r="AC1112" i="19"/>
  <c r="AC1130" i="19"/>
  <c r="AC1148" i="19"/>
  <c r="AC1165" i="19"/>
  <c r="AC1182" i="19"/>
  <c r="AC1201" i="19"/>
  <c r="AC1217" i="19"/>
  <c r="AC1234" i="19"/>
  <c r="AC1253" i="19"/>
  <c r="AC1269" i="19"/>
  <c r="AC1287" i="19"/>
  <c r="AC1305" i="19"/>
  <c r="AC1321" i="19"/>
  <c r="AC1337" i="19"/>
  <c r="AC1354" i="19"/>
  <c r="AC1369" i="19"/>
  <c r="AC1385" i="19"/>
  <c r="AC305" i="19"/>
  <c r="AC341" i="19"/>
  <c r="AC377" i="19"/>
  <c r="AC414" i="19"/>
  <c r="AC440" i="19"/>
  <c r="AC474" i="19"/>
  <c r="AC506" i="19"/>
  <c r="AC534" i="19"/>
  <c r="AC563" i="19"/>
  <c r="AC592" i="19"/>
  <c r="AC620" i="19"/>
  <c r="AC644" i="19"/>
  <c r="AC674" i="19"/>
  <c r="AC702" i="19"/>
  <c r="AC727" i="19"/>
  <c r="AC753" i="19"/>
  <c r="AC777" i="19"/>
  <c r="AC801" i="19"/>
  <c r="AC825" i="19"/>
  <c r="AC849" i="19"/>
  <c r="AC873" i="19"/>
  <c r="AC897" i="19"/>
  <c r="AC921" i="19"/>
  <c r="AC944" i="19"/>
  <c r="AC966" i="19"/>
  <c r="AC986" i="19"/>
  <c r="AC1003" i="19"/>
  <c r="AC1024" i="19"/>
  <c r="AC1043" i="19"/>
  <c r="AC1061" i="19"/>
  <c r="AC1079" i="19"/>
  <c r="AC1097" i="19"/>
  <c r="AC1113" i="19"/>
  <c r="AC1132" i="19"/>
  <c r="AC1149" i="19"/>
  <c r="AC1166" i="19"/>
  <c r="AC1184" i="19"/>
  <c r="AC1202" i="19"/>
  <c r="AC1218" i="19"/>
  <c r="AC1237" i="19"/>
  <c r="AC1254" i="19"/>
  <c r="AC1270" i="19"/>
  <c r="AC1289" i="19"/>
  <c r="AC1306" i="19"/>
  <c r="AC1322" i="19"/>
  <c r="AC1339" i="19"/>
  <c r="AC1355" i="19"/>
  <c r="AC1370" i="19"/>
  <c r="AC1387" i="19"/>
  <c r="AC309" i="19"/>
  <c r="AC342" i="19"/>
  <c r="AC379" i="19"/>
  <c r="AC415" i="19"/>
  <c r="AC445" i="19"/>
  <c r="AC475" i="19"/>
  <c r="AC508" i="19"/>
  <c r="AC541" i="19"/>
  <c r="AC565" i="19"/>
  <c r="AC594" i="19"/>
  <c r="AC621" i="19"/>
  <c r="AC647" i="19"/>
  <c r="AC676" i="19"/>
  <c r="AC703" i="19"/>
  <c r="AC733" i="19"/>
  <c r="AC755" i="19"/>
  <c r="AC781" i="19"/>
  <c r="AC803" i="19"/>
  <c r="AC829" i="19"/>
  <c r="AC851" i="19"/>
  <c r="AC877" i="19"/>
  <c r="AC899" i="19"/>
  <c r="AC925" i="19"/>
  <c r="AC945" i="19"/>
  <c r="AC968" i="19"/>
  <c r="AC987" i="19"/>
  <c r="AC1004" i="19"/>
  <c r="AC1026" i="19"/>
  <c r="AC1045" i="19"/>
  <c r="AC1062" i="19"/>
  <c r="AC1082" i="19"/>
  <c r="AC1098" i="19"/>
  <c r="AC1114" i="19"/>
  <c r="AC1134" i="19"/>
  <c r="AC1150" i="19"/>
  <c r="AC1167" i="19"/>
  <c r="AC1186" i="19"/>
  <c r="AC1203" i="19"/>
  <c r="AC1219" i="19"/>
  <c r="AC1239" i="19"/>
  <c r="AC1255" i="19"/>
  <c r="AC1271" i="19"/>
  <c r="AC1291" i="19"/>
  <c r="AC1307" i="19"/>
  <c r="AC1323" i="19"/>
  <c r="AC1341" i="19"/>
  <c r="AC1356" i="19"/>
  <c r="AC1371" i="19"/>
  <c r="AC1389" i="19"/>
  <c r="AC313" i="19"/>
  <c r="AC344" i="19"/>
  <c r="AC380" i="19"/>
  <c r="AC416" i="19"/>
  <c r="AC450" i="19"/>
  <c r="AC476" i="19"/>
  <c r="AC510" i="19"/>
  <c r="AC542" i="19"/>
  <c r="AC568" i="19"/>
  <c r="AC595" i="19"/>
  <c r="AC623" i="19"/>
  <c r="AC653" i="19"/>
  <c r="AC677" i="19"/>
  <c r="AC705" i="19"/>
  <c r="AC734" i="19"/>
  <c r="AC757" i="19"/>
  <c r="AC782" i="19"/>
  <c r="AC805" i="19"/>
  <c r="AC830" i="19"/>
  <c r="AC853" i="19"/>
  <c r="AC878" i="19"/>
  <c r="AC901" i="19"/>
  <c r="AC926" i="19"/>
  <c r="AC947" i="19"/>
  <c r="AC969" i="19"/>
  <c r="AC988" i="19"/>
  <c r="AC1007" i="19"/>
  <c r="AC1027" i="19"/>
  <c r="AC1046" i="19"/>
  <c r="AC1064" i="19"/>
  <c r="AC1083" i="19"/>
  <c r="AC1099" i="19"/>
  <c r="AC1117" i="19"/>
  <c r="AC1135" i="19"/>
  <c r="AC1151" i="19"/>
  <c r="AC1169" i="19"/>
  <c r="AC1187" i="19"/>
  <c r="AC1204" i="19"/>
  <c r="AC1221" i="19"/>
  <c r="AC1240" i="19"/>
  <c r="AC1256" i="19"/>
  <c r="AC1274" i="19"/>
  <c r="AC1292" i="19"/>
  <c r="AC1309" i="19"/>
  <c r="AC1325" i="19"/>
  <c r="AC1342" i="19"/>
  <c r="AC1357" i="19"/>
  <c r="AC1373" i="19"/>
  <c r="AC1390" i="19"/>
  <c r="AC316" i="19"/>
  <c r="AC353" i="19"/>
  <c r="AC381" i="19"/>
  <c r="AC421" i="19"/>
  <c r="AC451" i="19"/>
  <c r="AC481" i="19"/>
  <c r="AC511" i="19"/>
  <c r="AC544" i="19"/>
  <c r="AC572" i="19"/>
  <c r="AC596" i="19"/>
  <c r="AC626" i="19"/>
  <c r="AC654" i="19"/>
  <c r="AC679" i="19"/>
  <c r="AC707" i="19"/>
  <c r="AC736" i="19"/>
  <c r="AC760" i="19"/>
  <c r="AC784" i="19"/>
  <c r="AC808" i="19"/>
  <c r="AC832" i="19"/>
  <c r="AC856" i="19"/>
  <c r="AC880" i="19"/>
  <c r="AC904" i="19"/>
  <c r="AC928" i="19"/>
  <c r="AC950" i="19"/>
  <c r="AC971" i="19"/>
  <c r="AC989" i="19"/>
  <c r="AC1010" i="19"/>
  <c r="AC1028" i="19"/>
  <c r="AC1047" i="19"/>
  <c r="AC1066" i="19"/>
  <c r="AC1084" i="19"/>
  <c r="AC1100" i="19"/>
  <c r="AC1119" i="19"/>
  <c r="AC1136" i="19"/>
  <c r="AC1153" i="19"/>
  <c r="AC1171" i="19"/>
  <c r="AC1189" i="19"/>
  <c r="AC1205" i="19"/>
  <c r="AC1223" i="19"/>
  <c r="AC1241" i="19"/>
  <c r="AC1257" i="19"/>
  <c r="AC1276" i="19"/>
  <c r="AC1293" i="19"/>
  <c r="AC1310" i="19"/>
  <c r="AC1327" i="19"/>
  <c r="AC1343" i="19"/>
  <c r="AC1358" i="19"/>
  <c r="AC1375" i="19"/>
  <c r="AC1391" i="19"/>
  <c r="AC2" i="19"/>
  <c r="AC318" i="19"/>
  <c r="AC354" i="19"/>
  <c r="AC388" i="19"/>
  <c r="AC422" i="19"/>
  <c r="AC452" i="19"/>
  <c r="AC486" i="19"/>
  <c r="AC512" i="19"/>
  <c r="AC546" i="19"/>
  <c r="AC573" i="19"/>
  <c r="AC599" i="19"/>
  <c r="AC628" i="19"/>
  <c r="AC655" i="19"/>
  <c r="AC685" i="19"/>
  <c r="AC709" i="19"/>
  <c r="AC738" i="19"/>
  <c r="AC762" i="19"/>
  <c r="AC786" i="19"/>
  <c r="AC810" i="19"/>
  <c r="AC834" i="19"/>
  <c r="AC858" i="19"/>
  <c r="AC882" i="19"/>
  <c r="AC906" i="19"/>
  <c r="AC930" i="19"/>
  <c r="AC952" i="19"/>
  <c r="AC973" i="19"/>
  <c r="AC990" i="19"/>
  <c r="AC1012" i="19"/>
  <c r="AC1029" i="19"/>
  <c r="AC1048" i="19"/>
  <c r="AC1069" i="19"/>
  <c r="AC1085" i="19"/>
  <c r="AC1101" i="19"/>
  <c r="AC1121" i="19"/>
  <c r="AC1137" i="19"/>
  <c r="AC1154" i="19"/>
  <c r="AC1173" i="19"/>
  <c r="AC1190" i="19"/>
  <c r="AC1206" i="19"/>
  <c r="AC1226" i="19"/>
  <c r="AC1242" i="19"/>
  <c r="AC1258" i="19"/>
  <c r="AC1278" i="19"/>
  <c r="AC1294" i="19"/>
  <c r="AC1311" i="19"/>
  <c r="AC1329" i="19"/>
  <c r="AC1344" i="19"/>
  <c r="AC1359" i="19"/>
  <c r="AC1377" i="19"/>
  <c r="AC319" i="19"/>
  <c r="AC355" i="19"/>
  <c r="AC392" i="19"/>
  <c r="AC424" i="19"/>
  <c r="AC457" i="19"/>
  <c r="AC487" i="19"/>
  <c r="AC517" i="19"/>
  <c r="AC547" i="19"/>
  <c r="AC575" i="19"/>
  <c r="AC605" i="19"/>
  <c r="AC629" i="19"/>
  <c r="AC657" i="19"/>
  <c r="AC686" i="19"/>
  <c r="AC712" i="19"/>
  <c r="AC739" i="19"/>
  <c r="AC764" i="19"/>
  <c r="AC787" i="19"/>
  <c r="AC812" i="19"/>
  <c r="AC835" i="19"/>
  <c r="AC860" i="19"/>
  <c r="AC883" i="19"/>
  <c r="AC908" i="19"/>
  <c r="AC931" i="19"/>
  <c r="AC954" i="19"/>
  <c r="AC974" i="19"/>
  <c r="AC992" i="19"/>
  <c r="AC1013" i="19"/>
  <c r="AC1031" i="19"/>
  <c r="AC1050" i="19"/>
  <c r="AC1070" i="19"/>
  <c r="AC1086" i="19"/>
  <c r="AC1103" i="19"/>
  <c r="AC1122" i="19"/>
  <c r="AC1138" i="19"/>
  <c r="AC1156" i="19"/>
  <c r="AC1174" i="19"/>
  <c r="AC1191" i="19"/>
  <c r="AC1208" i="19"/>
  <c r="AC1227" i="19"/>
  <c r="AC1243" i="19"/>
  <c r="AC1261" i="19"/>
  <c r="AC1279" i="19"/>
  <c r="AC1295" i="19"/>
  <c r="AC1313" i="19"/>
  <c r="AC1330" i="19"/>
  <c r="AC1345" i="19"/>
  <c r="AC1361" i="19"/>
  <c r="AC1378" i="19"/>
  <c r="AC320" i="19"/>
  <c r="AC357" i="19"/>
  <c r="AC393" i="19"/>
  <c r="AC426" i="19"/>
  <c r="AC458" i="19"/>
  <c r="AC488" i="19"/>
  <c r="AC522" i="19"/>
  <c r="AC548" i="19"/>
  <c r="AC578" i="19"/>
  <c r="AC606" i="19"/>
  <c r="AC631" i="19"/>
  <c r="AC659" i="19"/>
  <c r="AC688" i="19"/>
  <c r="AC716" i="19"/>
  <c r="AC740" i="19"/>
  <c r="AC765" i="19"/>
  <c r="AC788" i="19"/>
  <c r="AC813" i="19"/>
  <c r="AC836" i="19"/>
  <c r="AC861" i="19"/>
  <c r="AC884" i="19"/>
  <c r="AC909" i="19"/>
  <c r="AC932" i="19"/>
  <c r="AC955" i="19"/>
  <c r="AC975" i="19"/>
  <c r="AC995" i="19"/>
  <c r="AC1014" i="19"/>
  <c r="AC1033" i="19"/>
  <c r="AC1052" i="19"/>
  <c r="AC1071" i="19"/>
  <c r="AC1087" i="19"/>
  <c r="AC1106" i="19"/>
  <c r="AC1123" i="19"/>
  <c r="AC1139" i="19"/>
  <c r="AC1158" i="19"/>
  <c r="AC1175" i="19"/>
  <c r="AC1192" i="19"/>
  <c r="AC1210" i="19"/>
  <c r="AC1228" i="19"/>
  <c r="AC1244" i="19"/>
  <c r="AC1263" i="19"/>
  <c r="AC1280" i="19"/>
  <c r="AC1297" i="19"/>
  <c r="AC1315" i="19"/>
  <c r="AC1331" i="19"/>
  <c r="AC1346" i="19"/>
  <c r="AC1363" i="19"/>
  <c r="AC1379" i="19"/>
  <c r="AC325" i="19"/>
  <c r="AC361" i="19"/>
  <c r="AC397" i="19"/>
  <c r="AC433" i="19"/>
  <c r="AC460" i="19"/>
  <c r="AC493" i="19"/>
  <c r="AC523" i="19"/>
  <c r="AC551" i="19"/>
  <c r="AC580" i="19"/>
  <c r="AC607" i="19"/>
  <c r="AC637" i="19"/>
  <c r="AC661" i="19"/>
  <c r="AC690" i="19"/>
  <c r="AC717" i="19"/>
  <c r="AC743" i="19"/>
  <c r="AC767" i="19"/>
  <c r="AC791" i="19"/>
  <c r="AC815" i="19"/>
  <c r="AC839" i="19"/>
  <c r="AC863" i="19"/>
  <c r="AC887" i="19"/>
  <c r="AC911" i="19"/>
  <c r="AC935" i="19"/>
  <c r="AC956" i="19"/>
  <c r="AC976" i="19"/>
  <c r="AC998" i="19"/>
  <c r="AC1015" i="19"/>
  <c r="AC1034" i="19"/>
  <c r="AC1055" i="19"/>
  <c r="AC1072" i="19"/>
  <c r="AC1088" i="19"/>
  <c r="AC1108" i="19"/>
  <c r="AC1124" i="19"/>
  <c r="AC1141" i="19"/>
  <c r="AC1160" i="19"/>
  <c r="AC1177" i="19"/>
  <c r="AC1193" i="19"/>
  <c r="AC1213" i="19"/>
  <c r="AC1229" i="19"/>
  <c r="AC1245" i="19"/>
  <c r="AC1265" i="19"/>
  <c r="AC1281" i="19"/>
  <c r="AC1298" i="19"/>
  <c r="AC1317" i="19"/>
  <c r="AC1332" i="19"/>
  <c r="AC1347" i="19"/>
  <c r="AC1365" i="19"/>
  <c r="AC1380" i="19"/>
  <c r="AC331" i="19"/>
  <c r="AC364" i="19"/>
  <c r="AC401" i="19"/>
  <c r="AC434" i="19"/>
  <c r="AC462" i="19"/>
  <c r="AC494" i="19"/>
  <c r="AC524" i="19"/>
  <c r="AC557" i="19"/>
  <c r="AC581" i="19"/>
  <c r="AC609" i="19"/>
  <c r="AC638" i="19"/>
  <c r="AC664" i="19"/>
  <c r="AC691" i="19"/>
  <c r="AC719" i="19"/>
  <c r="AC746" i="19"/>
  <c r="AC770" i="19"/>
  <c r="AC794" i="19"/>
  <c r="AC818" i="19"/>
  <c r="AC842" i="19"/>
  <c r="AC866" i="19"/>
  <c r="AC890" i="19"/>
  <c r="AC914" i="19"/>
  <c r="AC938" i="19"/>
  <c r="AC959" i="19"/>
  <c r="AC978" i="19"/>
  <c r="AC999" i="19"/>
  <c r="AC1016" i="19"/>
  <c r="AC1036" i="19"/>
  <c r="AC1057" i="19"/>
  <c r="AC1073" i="19"/>
  <c r="AC1090" i="19"/>
  <c r="AC1109" i="19"/>
  <c r="AC1125" i="19"/>
  <c r="AC1143" i="19"/>
  <c r="AC1161" i="19"/>
  <c r="AC1178" i="19"/>
  <c r="AC1195" i="19"/>
  <c r="AC1214" i="19"/>
  <c r="AC1230" i="19"/>
  <c r="AC1247" i="19"/>
  <c r="AC1266" i="19"/>
  <c r="AC1282" i="19"/>
  <c r="AC1300" i="19"/>
  <c r="AC1318" i="19"/>
  <c r="AC1333" i="19"/>
  <c r="AC1349" i="19"/>
  <c r="AC1366" i="19"/>
  <c r="AC1381" i="19"/>
  <c r="AC332" i="19"/>
  <c r="AC366" i="19"/>
  <c r="AC333" i="19"/>
  <c r="AC373" i="19"/>
  <c r="AC1304" i="19"/>
  <c r="AC1199" i="19"/>
  <c r="AC1095" i="19"/>
  <c r="AC983" i="19"/>
  <c r="AC846" i="19"/>
  <c r="AC695" i="19"/>
  <c r="AC530" i="19"/>
  <c r="AC1216" i="19"/>
  <c r="AE1317" i="19"/>
  <c r="E1317" i="19"/>
  <c r="AC1302" i="19"/>
  <c r="AC1197" i="19"/>
  <c r="AC1093" i="19"/>
  <c r="AC980" i="19"/>
  <c r="AC845" i="19"/>
  <c r="AC692" i="19"/>
  <c r="AC529" i="19"/>
  <c r="AC1319" i="19"/>
  <c r="Q1371" i="19"/>
  <c r="E928" i="19"/>
  <c r="R1337" i="19"/>
  <c r="R1245" i="19"/>
  <c r="AC1383" i="19"/>
  <c r="AC1285" i="19"/>
  <c r="AC1180" i="19"/>
  <c r="AC1075" i="19"/>
  <c r="AC962" i="19"/>
  <c r="AC821" i="19"/>
  <c r="AC669" i="19"/>
  <c r="AC498" i="19"/>
  <c r="AC1111" i="19"/>
  <c r="AC1215" i="19"/>
  <c r="Q535" i="19"/>
  <c r="E1180" i="19"/>
  <c r="E925" i="19"/>
  <c r="R1390" i="19"/>
  <c r="R1372" i="19"/>
  <c r="R1366" i="19"/>
  <c r="AC1382" i="19"/>
  <c r="AC1283" i="19"/>
  <c r="AC1179" i="19"/>
  <c r="AC1074" i="19"/>
  <c r="AC961" i="19"/>
  <c r="AC820" i="19"/>
  <c r="AC668" i="19"/>
  <c r="AC496" i="19"/>
  <c r="AC1320" i="19"/>
  <c r="AC1368" i="19"/>
  <c r="AC1268" i="19"/>
  <c r="AC1163" i="19"/>
  <c r="AC1059" i="19"/>
  <c r="AC941" i="19"/>
  <c r="AC798" i="19"/>
  <c r="AC642" i="19"/>
  <c r="AC470" i="19"/>
  <c r="E922" i="19"/>
  <c r="AE853" i="19"/>
  <c r="E853" i="19"/>
  <c r="E1385" i="19"/>
  <c r="E921" i="19"/>
  <c r="E477" i="19"/>
  <c r="R985" i="19"/>
  <c r="AC1367" i="19"/>
  <c r="AC1267" i="19"/>
  <c r="AC1162" i="19"/>
  <c r="AC1058" i="19"/>
  <c r="AC940" i="19"/>
  <c r="AC797" i="19"/>
  <c r="AC640" i="19"/>
  <c r="AC469" i="19"/>
  <c r="E1293" i="19"/>
  <c r="AC1353" i="19"/>
  <c r="AC1252" i="19"/>
  <c r="AC1147" i="19"/>
  <c r="AC1040" i="19"/>
  <c r="AC917" i="19"/>
  <c r="AC773" i="19"/>
  <c r="AC613" i="19"/>
  <c r="AC438" i="19"/>
  <c r="AC1351" i="19"/>
  <c r="AC1250" i="19"/>
  <c r="AC1145" i="19"/>
  <c r="AC1038" i="19"/>
  <c r="AC916" i="19"/>
  <c r="AC772" i="19"/>
  <c r="AC611" i="19"/>
  <c r="AC436" i="19"/>
  <c r="AC1110" i="19"/>
  <c r="E840" i="19"/>
  <c r="E1353" i="19"/>
  <c r="E1090" i="19"/>
  <c r="E779" i="19"/>
  <c r="AC1335" i="19"/>
  <c r="AC1232" i="19"/>
  <c r="AC1127" i="19"/>
  <c r="AC1019" i="19"/>
  <c r="AC894" i="19"/>
  <c r="AC750" i="19"/>
  <c r="AC589" i="19"/>
  <c r="AC403" i="19"/>
  <c r="AC1001" i="19"/>
  <c r="E1244" i="19"/>
  <c r="R1290" i="19"/>
  <c r="Q607" i="19"/>
  <c r="E1120" i="19"/>
  <c r="AE1097" i="19"/>
  <c r="E1097" i="19"/>
  <c r="E1304" i="19"/>
  <c r="E1085" i="19"/>
  <c r="E775" i="19"/>
  <c r="L58" i="19"/>
  <c r="L1108" i="19"/>
  <c r="M1108" i="19" s="1"/>
  <c r="L1149" i="19"/>
  <c r="L530" i="19"/>
  <c r="L820" i="19"/>
  <c r="L936" i="19"/>
  <c r="L1191" i="19"/>
  <c r="L957" i="19"/>
  <c r="L1138" i="19"/>
  <c r="R1356" i="19"/>
  <c r="R1350" i="19"/>
  <c r="R1270" i="19"/>
  <c r="R1249" i="19"/>
  <c r="R1234" i="19"/>
  <c r="R1157" i="19"/>
  <c r="L847" i="19"/>
  <c r="AC1334" i="19"/>
  <c r="AC1231" i="19"/>
  <c r="AC1126" i="19"/>
  <c r="AC1017" i="19"/>
  <c r="AC893" i="19"/>
  <c r="AC749" i="19"/>
  <c r="AC583" i="19"/>
  <c r="AC402" i="19"/>
  <c r="R1351" i="19"/>
  <c r="R1324" i="19"/>
  <c r="R1043" i="19"/>
  <c r="R1040" i="19"/>
  <c r="R778" i="19"/>
  <c r="R443" i="19"/>
  <c r="R1297" i="19"/>
  <c r="Q1364" i="19"/>
  <c r="E1307" i="19"/>
  <c r="E1013" i="19"/>
  <c r="E857" i="19"/>
  <c r="E777" i="19"/>
  <c r="E674" i="19"/>
  <c r="E478" i="19"/>
  <c r="R1386" i="19"/>
  <c r="L1353" i="19"/>
  <c r="L1339" i="19"/>
  <c r="R1328" i="19"/>
  <c r="L1312" i="19"/>
  <c r="L1295" i="19"/>
  <c r="L1037" i="19"/>
  <c r="R994" i="19"/>
  <c r="R939" i="19"/>
  <c r="L919" i="19"/>
  <c r="L841" i="19"/>
  <c r="R811" i="19"/>
  <c r="L746" i="19"/>
  <c r="L588" i="19"/>
  <c r="R414" i="19"/>
  <c r="L302" i="19"/>
  <c r="L276" i="19"/>
  <c r="L232" i="19"/>
  <c r="L191" i="19"/>
  <c r="R399" i="19"/>
  <c r="R378" i="19"/>
  <c r="L293" i="19"/>
  <c r="L252" i="19"/>
  <c r="L287" i="19"/>
  <c r="L1317" i="19"/>
  <c r="E1352" i="19"/>
  <c r="E1282" i="19"/>
  <c r="E1217" i="19"/>
  <c r="E1156" i="19"/>
  <c r="E1063" i="19"/>
  <c r="E977" i="19"/>
  <c r="E910" i="19"/>
  <c r="E832" i="19"/>
  <c r="E739" i="19"/>
  <c r="E621" i="19"/>
  <c r="E530" i="19"/>
  <c r="E450" i="19"/>
  <c r="L1366" i="19"/>
  <c r="R1303" i="19"/>
  <c r="L1229" i="19"/>
  <c r="L1148" i="19"/>
  <c r="L1007" i="19"/>
  <c r="L987" i="19"/>
  <c r="L944" i="19"/>
  <c r="L895" i="19"/>
  <c r="L810" i="19"/>
  <c r="L716" i="19"/>
  <c r="L518" i="19"/>
  <c r="L489" i="19"/>
  <c r="L457" i="19"/>
  <c r="L351" i="19"/>
  <c r="L91" i="19"/>
  <c r="L6" i="19"/>
  <c r="E984" i="19"/>
  <c r="E473" i="19"/>
  <c r="L1303" i="19"/>
  <c r="E1338" i="19"/>
  <c r="E1281" i="19"/>
  <c r="E1214" i="19"/>
  <c r="E1152" i="19"/>
  <c r="E1049" i="19"/>
  <c r="E974" i="19"/>
  <c r="E894" i="19"/>
  <c r="E830" i="19"/>
  <c r="E721" i="19"/>
  <c r="E618" i="19"/>
  <c r="E517" i="19"/>
  <c r="E449" i="19"/>
  <c r="L1385" i="19"/>
  <c r="L1327" i="19"/>
  <c r="L1322" i="19"/>
  <c r="L1308" i="19"/>
  <c r="L1263" i="19"/>
  <c r="L1187" i="19"/>
  <c r="L1167" i="19"/>
  <c r="L1153" i="19"/>
  <c r="L1001" i="19"/>
  <c r="L832" i="19"/>
  <c r="L827" i="19"/>
  <c r="L710" i="19"/>
  <c r="L645" i="19"/>
  <c r="L613" i="19"/>
  <c r="L575" i="19"/>
  <c r="L515" i="19"/>
  <c r="L410" i="19"/>
  <c r="L345" i="19"/>
  <c r="L123" i="19"/>
  <c r="L82" i="19"/>
  <c r="L23" i="19"/>
  <c r="L3" i="19"/>
  <c r="E1233" i="19"/>
  <c r="E640" i="19"/>
  <c r="L976" i="19"/>
  <c r="Q1372" i="19"/>
  <c r="E1334" i="19"/>
  <c r="E1276" i="19"/>
  <c r="E1209" i="19"/>
  <c r="E1147" i="19"/>
  <c r="E1048" i="19"/>
  <c r="E960" i="19"/>
  <c r="E893" i="19"/>
  <c r="E828" i="19"/>
  <c r="E713" i="19"/>
  <c r="E616" i="19"/>
  <c r="E514" i="19"/>
  <c r="E446" i="19"/>
  <c r="L1371" i="19"/>
  <c r="L1319" i="19"/>
  <c r="L1175" i="19"/>
  <c r="L1058" i="19"/>
  <c r="L1012" i="19"/>
  <c r="L903" i="19"/>
  <c r="L883" i="19"/>
  <c r="L824" i="19"/>
  <c r="L742" i="19"/>
  <c r="L610" i="19"/>
  <c r="L359" i="19"/>
  <c r="L137" i="19"/>
  <c r="L114" i="19"/>
  <c r="L11" i="19"/>
  <c r="E541" i="19"/>
  <c r="E1169" i="19"/>
  <c r="E839" i="19"/>
  <c r="L1391" i="19"/>
  <c r="R933" i="19"/>
  <c r="E1330" i="19"/>
  <c r="E1253" i="19"/>
  <c r="E1208" i="19"/>
  <c r="E1145" i="19"/>
  <c r="E1046" i="19"/>
  <c r="E958" i="19"/>
  <c r="E891" i="19"/>
  <c r="E801" i="19"/>
  <c r="E712" i="19"/>
  <c r="E588" i="19"/>
  <c r="E513" i="19"/>
  <c r="E431" i="19"/>
  <c r="L1379" i="19"/>
  <c r="L1368" i="19"/>
  <c r="L1343" i="19"/>
  <c r="L1265" i="19"/>
  <c r="L1257" i="19"/>
  <c r="L1172" i="19"/>
  <c r="L1161" i="19"/>
  <c r="M1161" i="19" s="1"/>
  <c r="L829" i="19"/>
  <c r="L736" i="19"/>
  <c r="L636" i="19"/>
  <c r="L592" i="19"/>
  <c r="L497" i="19"/>
  <c r="L353" i="19"/>
  <c r="L321" i="19"/>
  <c r="L169" i="19"/>
  <c r="L131" i="19"/>
  <c r="E657" i="19"/>
  <c r="E474" i="19"/>
  <c r="E1327" i="19"/>
  <c r="E1252" i="19"/>
  <c r="E1205" i="19"/>
  <c r="E1126" i="19"/>
  <c r="E1029" i="19"/>
  <c r="E957" i="19"/>
  <c r="E889" i="19"/>
  <c r="E792" i="19"/>
  <c r="E686" i="19"/>
  <c r="E570" i="19"/>
  <c r="E501" i="19"/>
  <c r="E421" i="19"/>
  <c r="R1379" i="19"/>
  <c r="L1376" i="19"/>
  <c r="L1329" i="19"/>
  <c r="L1324" i="19"/>
  <c r="L1189" i="19"/>
  <c r="L1087" i="19"/>
  <c r="L834" i="19"/>
  <c r="L647" i="19"/>
  <c r="L418" i="19"/>
  <c r="L157" i="19"/>
  <c r="L125" i="19"/>
  <c r="L61" i="19"/>
  <c r="E553" i="19"/>
  <c r="E1355" i="19"/>
  <c r="L1224" i="19"/>
  <c r="L1210" i="19"/>
  <c r="L1162" i="19"/>
  <c r="L1151" i="19"/>
  <c r="L1045" i="19"/>
  <c r="L702" i="19"/>
  <c r="L573" i="19"/>
  <c r="L481" i="19"/>
  <c r="L331" i="19"/>
  <c r="L77" i="19"/>
  <c r="R437" i="19"/>
  <c r="L109" i="19"/>
  <c r="L9" i="19"/>
  <c r="Q1250" i="19"/>
  <c r="E1387" i="19"/>
  <c r="E1326" i="19"/>
  <c r="E1250" i="19"/>
  <c r="E1204" i="19"/>
  <c r="E1125" i="19"/>
  <c r="E1027" i="19"/>
  <c r="E949" i="19"/>
  <c r="E882" i="19"/>
  <c r="E791" i="19"/>
  <c r="E685" i="19"/>
  <c r="E562" i="19"/>
  <c r="E485" i="19"/>
  <c r="R1376" i="19"/>
  <c r="L1373" i="19"/>
  <c r="M1373" i="19" s="1"/>
  <c r="L1351" i="19"/>
  <c r="L1225" i="19"/>
  <c r="L1203" i="19"/>
  <c r="L1098" i="19"/>
  <c r="L1072" i="19"/>
  <c r="L1035" i="19"/>
  <c r="L911" i="19"/>
  <c r="L862" i="19"/>
  <c r="L839" i="19"/>
  <c r="L744" i="19"/>
  <c r="L450" i="19"/>
  <c r="L227" i="19"/>
  <c r="L180" i="19"/>
  <c r="L145" i="19"/>
  <c r="E1223" i="19"/>
  <c r="E912" i="19"/>
  <c r="E532" i="19"/>
  <c r="L1053" i="19"/>
  <c r="L921" i="19"/>
  <c r="L875" i="19"/>
  <c r="L74" i="19"/>
  <c r="E1386" i="19"/>
  <c r="E1322" i="19"/>
  <c r="E1247" i="19"/>
  <c r="E1200" i="19"/>
  <c r="E1124" i="19"/>
  <c r="E1026" i="19"/>
  <c r="E946" i="19"/>
  <c r="E863" i="19"/>
  <c r="E787" i="19"/>
  <c r="E682" i="19"/>
  <c r="E559" i="19"/>
  <c r="E484" i="19"/>
  <c r="L1381" i="19"/>
  <c r="R1370" i="19"/>
  <c r="L1356" i="19"/>
  <c r="L1348" i="19"/>
  <c r="L1334" i="19"/>
  <c r="R1331" i="19"/>
  <c r="L1326" i="19"/>
  <c r="R1287" i="19"/>
  <c r="L1267" i="19"/>
  <c r="L1259" i="19"/>
  <c r="M1259" i="19" s="1"/>
  <c r="R1205" i="19"/>
  <c r="L1141" i="19"/>
  <c r="L1106" i="19"/>
  <c r="L1095" i="19"/>
  <c r="L980" i="19"/>
  <c r="L831" i="19"/>
  <c r="L782" i="19"/>
  <c r="R738" i="19"/>
  <c r="L638" i="19"/>
  <c r="R600" i="19"/>
  <c r="L533" i="19"/>
  <c r="L522" i="19"/>
  <c r="L447" i="19"/>
  <c r="L241" i="19"/>
  <c r="L203" i="19"/>
  <c r="L177" i="19"/>
  <c r="AE877" i="19"/>
  <c r="E877" i="19"/>
  <c r="AE461" i="19"/>
  <c r="E461" i="19"/>
  <c r="AE662" i="19"/>
  <c r="E662" i="19"/>
  <c r="E1363" i="19"/>
  <c r="E577" i="19"/>
  <c r="AE1389" i="19"/>
  <c r="E1389" i="19"/>
  <c r="AE661" i="19"/>
  <c r="E661" i="19"/>
  <c r="AE555" i="19"/>
  <c r="E555" i="19"/>
  <c r="E1207" i="19"/>
  <c r="E829" i="19"/>
  <c r="E659" i="19"/>
  <c r="E418" i="19"/>
  <c r="AE1286" i="19"/>
  <c r="E1286" i="19"/>
  <c r="E1283" i="19"/>
  <c r="AE1168" i="19"/>
  <c r="E1168" i="19"/>
  <c r="AE997" i="19"/>
  <c r="E997" i="19"/>
  <c r="E423" i="19"/>
  <c r="E1149" i="19"/>
  <c r="AE1149" i="19"/>
  <c r="AE735" i="19"/>
  <c r="E735" i="19"/>
  <c r="E511" i="19"/>
  <c r="AE1240" i="19"/>
  <c r="E1240" i="19"/>
  <c r="E1159" i="19"/>
  <c r="AE1198" i="19"/>
  <c r="E1198" i="19"/>
  <c r="E1189" i="19"/>
  <c r="AE1189" i="19"/>
  <c r="AE1000" i="19"/>
  <c r="E1000" i="19"/>
  <c r="AE771" i="19"/>
  <c r="E771" i="19"/>
  <c r="AE763" i="19"/>
  <c r="E763" i="19"/>
  <c r="E510" i="19"/>
  <c r="AE510" i="19"/>
  <c r="AE873" i="19"/>
  <c r="E873" i="19"/>
  <c r="AE842" i="19"/>
  <c r="E842" i="19"/>
  <c r="AE1160" i="19"/>
  <c r="E1160" i="19"/>
  <c r="AE1137" i="19"/>
  <c r="E1137" i="19"/>
  <c r="E1127" i="19"/>
  <c r="AE1073" i="19"/>
  <c r="E1073" i="19"/>
  <c r="E1005" i="19"/>
  <c r="AE1005" i="19"/>
  <c r="AE637" i="19"/>
  <c r="E637" i="19"/>
  <c r="E1354" i="19"/>
  <c r="AE670" i="19"/>
  <c r="E670" i="19"/>
  <c r="AE629" i="19"/>
  <c r="E629" i="19"/>
  <c r="AE1318" i="19"/>
  <c r="E1318" i="19"/>
  <c r="E1234" i="19"/>
  <c r="E868" i="19"/>
  <c r="E759" i="19"/>
  <c r="E614" i="19"/>
  <c r="E460" i="19"/>
  <c r="AE996" i="19"/>
  <c r="E996" i="19"/>
  <c r="E1344" i="19"/>
  <c r="AE1344" i="19"/>
  <c r="E1382" i="19"/>
  <c r="E1350" i="19"/>
  <c r="E1305" i="19"/>
  <c r="E1269" i="19"/>
  <c r="E1062" i="19"/>
  <c r="E1017" i="19"/>
  <c r="E865" i="19"/>
  <c r="E658" i="19"/>
  <c r="E610" i="19"/>
  <c r="E457" i="19"/>
  <c r="AE1266" i="19"/>
  <c r="E1266" i="19"/>
  <c r="AE1108" i="19"/>
  <c r="E1108" i="19"/>
  <c r="AE1103" i="19"/>
  <c r="E1103" i="19"/>
  <c r="E1098" i="19"/>
  <c r="AE1098" i="19"/>
  <c r="AE1030" i="19"/>
  <c r="E1030" i="19"/>
  <c r="AE1012" i="19"/>
  <c r="E1012" i="19"/>
  <c r="AE892" i="19"/>
  <c r="E892" i="19"/>
  <c r="AE844" i="19"/>
  <c r="E844" i="19"/>
  <c r="AE813" i="19"/>
  <c r="E813" i="19"/>
  <c r="E808" i="19"/>
  <c r="AE808" i="19"/>
  <c r="AE726" i="19"/>
  <c r="E726" i="19"/>
  <c r="E481" i="19"/>
  <c r="AE481" i="19"/>
  <c r="E1268" i="19"/>
  <c r="E1232" i="19"/>
  <c r="E1154" i="19"/>
  <c r="E1114" i="19"/>
  <c r="E1052" i="19"/>
  <c r="E1014" i="19"/>
  <c r="E911" i="19"/>
  <c r="E820" i="19"/>
  <c r="E755" i="19"/>
  <c r="E706" i="19"/>
  <c r="E606" i="19"/>
  <c r="E544" i="19"/>
  <c r="E499" i="19"/>
  <c r="E453" i="19"/>
  <c r="AE597" i="19"/>
  <c r="E597" i="19"/>
  <c r="E1095" i="19"/>
  <c r="AE1095" i="19"/>
  <c r="E752" i="19"/>
  <c r="AE752" i="19"/>
  <c r="AE633" i="19"/>
  <c r="E633" i="19"/>
  <c r="AE518" i="19"/>
  <c r="E518" i="19"/>
  <c r="E1279" i="19"/>
  <c r="AE1109" i="19"/>
  <c r="E1109" i="19"/>
  <c r="AE767" i="19"/>
  <c r="E767" i="19"/>
  <c r="E1123" i="19"/>
  <c r="E503" i="19"/>
  <c r="AE1258" i="19"/>
  <c r="E1258" i="19"/>
  <c r="AE490" i="19"/>
  <c r="E490" i="19"/>
  <c r="AE948" i="19"/>
  <c r="E948" i="19"/>
  <c r="AE930" i="19"/>
  <c r="E930" i="19"/>
  <c r="AE870" i="19"/>
  <c r="E870" i="19"/>
  <c r="AE766" i="19"/>
  <c r="E766" i="19"/>
  <c r="AE738" i="19"/>
  <c r="E738" i="19"/>
  <c r="AE554" i="19"/>
  <c r="E554" i="19"/>
  <c r="AE1373" i="19"/>
  <c r="E1373" i="19"/>
  <c r="AE1288" i="19"/>
  <c r="E1288" i="19"/>
  <c r="E1377" i="19"/>
  <c r="E1267" i="19"/>
  <c r="E1231" i="19"/>
  <c r="E1113" i="19"/>
  <c r="E1051" i="19"/>
  <c r="E952" i="19"/>
  <c r="E817" i="19"/>
  <c r="E700" i="19"/>
  <c r="E653" i="19"/>
  <c r="E598" i="19"/>
  <c r="E498" i="19"/>
  <c r="E451" i="19"/>
  <c r="AE972" i="19"/>
  <c r="E972" i="19"/>
  <c r="AE902" i="19"/>
  <c r="E902" i="19"/>
  <c r="E441" i="19"/>
  <c r="E1008" i="19"/>
  <c r="AE1008" i="19"/>
  <c r="AE506" i="19"/>
  <c r="E506" i="19"/>
  <c r="AE1235" i="19"/>
  <c r="E1235" i="19"/>
  <c r="AE1218" i="19"/>
  <c r="E1218" i="19"/>
  <c r="AE1193" i="19"/>
  <c r="E1193" i="19"/>
  <c r="AE1067" i="19"/>
  <c r="E1067" i="19"/>
  <c r="E849" i="19"/>
  <c r="AE849" i="19"/>
  <c r="AE1042" i="19"/>
  <c r="E1042" i="19"/>
  <c r="AE1038" i="19"/>
  <c r="E1038" i="19"/>
  <c r="AE973" i="19"/>
  <c r="E973" i="19"/>
  <c r="AE816" i="19"/>
  <c r="E816" i="19"/>
  <c r="AE807" i="19"/>
  <c r="E807" i="19"/>
  <c r="AE539" i="19"/>
  <c r="E539" i="19"/>
  <c r="E1347" i="19"/>
  <c r="AE1347" i="19"/>
  <c r="E1376" i="19"/>
  <c r="E1302" i="19"/>
  <c r="E1257" i="19"/>
  <c r="E1229" i="19"/>
  <c r="E1192" i="19"/>
  <c r="E1150" i="19"/>
  <c r="E1050" i="19"/>
  <c r="E994" i="19"/>
  <c r="E951" i="19"/>
  <c r="E898" i="19"/>
  <c r="E858" i="19"/>
  <c r="E751" i="19"/>
  <c r="E687" i="19"/>
  <c r="E650" i="19"/>
  <c r="E540" i="19"/>
  <c r="E486" i="19"/>
  <c r="Q1244" i="19"/>
  <c r="R608" i="19"/>
  <c r="E811" i="19"/>
  <c r="AE811" i="19"/>
  <c r="AE634" i="19"/>
  <c r="E634" i="19"/>
  <c r="E611" i="19"/>
  <c r="AE611" i="19"/>
  <c r="AE1264" i="19"/>
  <c r="E1264" i="19"/>
  <c r="AE1242" i="19"/>
  <c r="E1242" i="19"/>
  <c r="AE697" i="19"/>
  <c r="E697" i="19"/>
  <c r="AE971" i="19"/>
  <c r="E971" i="19"/>
  <c r="AE841" i="19"/>
  <c r="E841" i="19"/>
  <c r="AE593" i="19"/>
  <c r="E593" i="19"/>
  <c r="E1332" i="19"/>
  <c r="AE1332" i="19"/>
  <c r="E1319" i="19"/>
  <c r="E924" i="19"/>
  <c r="E886" i="19"/>
  <c r="E715" i="19"/>
  <c r="R1383" i="19"/>
  <c r="Q1348" i="19"/>
  <c r="R1348" i="19"/>
  <c r="AE1219" i="19"/>
  <c r="E1219" i="19"/>
  <c r="AE696" i="19"/>
  <c r="E696" i="19"/>
  <c r="AE666" i="19"/>
  <c r="E666" i="19"/>
  <c r="AE1388" i="19"/>
  <c r="E1388" i="19"/>
  <c r="AE1313" i="19"/>
  <c r="E1313" i="19"/>
  <c r="E1082" i="19"/>
  <c r="E1024" i="19"/>
  <c r="AE1194" i="19"/>
  <c r="E1194" i="19"/>
  <c r="E683" i="19"/>
  <c r="AE683" i="19"/>
  <c r="AE1197" i="19"/>
  <c r="E1197" i="19"/>
  <c r="AE1033" i="19"/>
  <c r="E1033" i="19"/>
  <c r="AE964" i="19"/>
  <c r="E964" i="19"/>
  <c r="AE878" i="19"/>
  <c r="E878" i="19"/>
  <c r="AE852" i="19"/>
  <c r="E852" i="19"/>
  <c r="E848" i="19"/>
  <c r="AE848" i="19"/>
  <c r="AE774" i="19"/>
  <c r="E774" i="19"/>
  <c r="AE737" i="19"/>
  <c r="E737" i="19"/>
  <c r="AE623" i="19"/>
  <c r="E623" i="19"/>
  <c r="AE595" i="19"/>
  <c r="E595" i="19"/>
  <c r="AE590" i="19"/>
  <c r="E590" i="19"/>
  <c r="AE566" i="19"/>
  <c r="E566" i="19"/>
  <c r="AE529" i="19"/>
  <c r="E529" i="19"/>
  <c r="AE1390" i="19"/>
  <c r="E1390" i="19"/>
  <c r="AE1372" i="19"/>
  <c r="E1372" i="19"/>
  <c r="AE1287" i="19"/>
  <c r="E1287" i="19"/>
  <c r="E1375" i="19"/>
  <c r="E1329" i="19"/>
  <c r="E1300" i="19"/>
  <c r="E1255" i="19"/>
  <c r="E1185" i="19"/>
  <c r="E1096" i="19"/>
  <c r="E988" i="19"/>
  <c r="E895" i="19"/>
  <c r="E748" i="19"/>
  <c r="E649" i="19"/>
  <c r="E585" i="19"/>
  <c r="AE794" i="19"/>
  <c r="E794" i="19"/>
  <c r="AE1337" i="19"/>
  <c r="E1337" i="19"/>
  <c r="AE1291" i="19"/>
  <c r="E1291" i="19"/>
  <c r="E1324" i="19"/>
  <c r="E1173" i="19"/>
  <c r="E1087" i="19"/>
  <c r="AE1132" i="19"/>
  <c r="E1132" i="19"/>
  <c r="AE496" i="19"/>
  <c r="E496" i="19"/>
  <c r="E981" i="19"/>
  <c r="E778" i="19"/>
  <c r="E719" i="19"/>
  <c r="E675" i="19"/>
  <c r="E619" i="19"/>
  <c r="E569" i="19"/>
  <c r="E424" i="19"/>
  <c r="Q1257" i="19"/>
  <c r="AE1065" i="19"/>
  <c r="E1065" i="19"/>
  <c r="AE1009" i="19"/>
  <c r="E1009" i="19"/>
  <c r="AE427" i="19"/>
  <c r="E427" i="19"/>
  <c r="E625" i="19"/>
  <c r="AE625" i="19"/>
  <c r="AE1336" i="19"/>
  <c r="E1336" i="19"/>
  <c r="E714" i="19"/>
  <c r="AE1158" i="19"/>
  <c r="E1158" i="19"/>
  <c r="AE1265" i="19"/>
  <c r="E1265" i="19"/>
  <c r="AE1238" i="19"/>
  <c r="E1238" i="19"/>
  <c r="AE1133" i="19"/>
  <c r="E1133" i="19"/>
  <c r="AE1111" i="19"/>
  <c r="E1111" i="19"/>
  <c r="AE1066" i="19"/>
  <c r="E1066" i="19"/>
  <c r="AE933" i="19"/>
  <c r="E933" i="19"/>
  <c r="AE915" i="19"/>
  <c r="E915" i="19"/>
  <c r="AE907" i="19"/>
  <c r="E907" i="19"/>
  <c r="AE861" i="19"/>
  <c r="E861" i="19"/>
  <c r="AE689" i="19"/>
  <c r="E689" i="19"/>
  <c r="E631" i="19"/>
  <c r="AE631" i="19"/>
  <c r="AE558" i="19"/>
  <c r="E558" i="19"/>
  <c r="AE437" i="19"/>
  <c r="E437" i="19"/>
  <c r="E420" i="19"/>
  <c r="AE420" i="19"/>
  <c r="AE1310" i="19"/>
  <c r="E1310" i="19"/>
  <c r="E1367" i="19"/>
  <c r="E1295" i="19"/>
  <c r="E1227" i="19"/>
  <c r="E1146" i="19"/>
  <c r="E1091" i="19"/>
  <c r="E947" i="19"/>
  <c r="E856" i="19"/>
  <c r="E747" i="19"/>
  <c r="E647" i="19"/>
  <c r="E581" i="19"/>
  <c r="E1188" i="19"/>
  <c r="AE1188" i="19"/>
  <c r="E1139" i="19"/>
  <c r="AE1139" i="19"/>
  <c r="AE1130" i="19"/>
  <c r="E1130" i="19"/>
  <c r="AE833" i="19"/>
  <c r="E833" i="19"/>
  <c r="AE605" i="19"/>
  <c r="E605" i="19"/>
  <c r="E1391" i="19"/>
  <c r="E1374" i="19"/>
  <c r="E1221" i="19"/>
  <c r="E1142" i="19"/>
  <c r="E1112" i="19"/>
  <c r="E1077" i="19"/>
  <c r="E945" i="19"/>
  <c r="E699" i="19"/>
  <c r="E672" i="19"/>
  <c r="E472" i="19"/>
  <c r="E438" i="19"/>
  <c r="L1390" i="19"/>
  <c r="R1375" i="19"/>
  <c r="L1305" i="19"/>
  <c r="L1283" i="19"/>
  <c r="L1215" i="19"/>
  <c r="L1188" i="19"/>
  <c r="L1177" i="19"/>
  <c r="L1158" i="19"/>
  <c r="L1116" i="19"/>
  <c r="L1080" i="19"/>
  <c r="L1069" i="19"/>
  <c r="L1055" i="19"/>
  <c r="L998" i="19"/>
  <c r="L959" i="19"/>
  <c r="L888" i="19"/>
  <c r="L695" i="19"/>
  <c r="L678" i="19"/>
  <c r="L496" i="19"/>
  <c r="L482" i="19"/>
  <c r="R471" i="19"/>
  <c r="L422" i="19"/>
  <c r="L376" i="19"/>
  <c r="L211" i="19"/>
  <c r="AE454" i="19"/>
  <c r="E454" i="19"/>
  <c r="E1220" i="19"/>
  <c r="E1162" i="19"/>
  <c r="E1035" i="19"/>
  <c r="E936" i="19"/>
  <c r="E906" i="19"/>
  <c r="E557" i="19"/>
  <c r="E528" i="19"/>
  <c r="E492" i="19"/>
  <c r="E467" i="19"/>
  <c r="L21" i="19"/>
  <c r="L29" i="19"/>
  <c r="L102" i="19"/>
  <c r="L181" i="19"/>
  <c r="L206" i="19"/>
  <c r="L220" i="19"/>
  <c r="L272" i="19"/>
  <c r="L300" i="19"/>
  <c r="L305" i="19"/>
  <c r="L316" i="19"/>
  <c r="L335" i="19"/>
  <c r="L365" i="19"/>
  <c r="L474" i="19"/>
  <c r="L526" i="19"/>
  <c r="L542" i="19"/>
  <c r="L586" i="19"/>
  <c r="L611" i="19"/>
  <c r="L616" i="19"/>
  <c r="L621" i="19"/>
  <c r="L629" i="19"/>
  <c r="L653" i="19"/>
  <c r="L658" i="19"/>
  <c r="L734" i="19"/>
  <c r="L798" i="19"/>
  <c r="L803" i="19"/>
  <c r="L813" i="19"/>
  <c r="L850" i="19"/>
  <c r="L858" i="19"/>
  <c r="L863" i="19"/>
  <c r="L930" i="19"/>
  <c r="L943" i="19"/>
  <c r="L984" i="19"/>
  <c r="L994" i="19"/>
  <c r="L1041" i="19"/>
  <c r="L1104" i="19"/>
  <c r="L2" i="19"/>
  <c r="L59" i="19"/>
  <c r="L78" i="19"/>
  <c r="L83" i="19"/>
  <c r="L110" i="19"/>
  <c r="L124" i="19"/>
  <c r="L152" i="19"/>
  <c r="L163" i="19"/>
  <c r="L184" i="19"/>
  <c r="L195" i="19"/>
  <c r="L239" i="19"/>
  <c r="L255" i="19"/>
  <c r="L327" i="19"/>
  <c r="L379" i="19"/>
  <c r="L392" i="19"/>
  <c r="L411" i="19"/>
  <c r="L424" i="19"/>
  <c r="L448" i="19"/>
  <c r="L460" i="19"/>
  <c r="L472" i="19"/>
  <c r="L534" i="19"/>
  <c r="L571" i="19"/>
  <c r="L609" i="19"/>
  <c r="L682" i="19"/>
  <c r="L698" i="19"/>
  <c r="L729" i="19"/>
  <c r="L763" i="19"/>
  <c r="L783" i="19"/>
  <c r="L818" i="19"/>
  <c r="L825" i="19"/>
  <c r="L845" i="19"/>
  <c r="L873" i="19"/>
  <c r="L880" i="19"/>
  <c r="L887" i="19"/>
  <c r="L907" i="19"/>
  <c r="L917" i="19"/>
  <c r="L948" i="19"/>
  <c r="M948" i="19" s="1"/>
  <c r="L955" i="19"/>
  <c r="L1004" i="19"/>
  <c r="L1031" i="19"/>
  <c r="L1051" i="19"/>
  <c r="L1061" i="19"/>
  <c r="L1076" i="19"/>
  <c r="L1094" i="19"/>
  <c r="L1122" i="19"/>
  <c r="L1127" i="19"/>
  <c r="L1152" i="19"/>
  <c r="L1176" i="19"/>
  <c r="L1233" i="19"/>
  <c r="L1289" i="19"/>
  <c r="L1302" i="19"/>
  <c r="L1314" i="19"/>
  <c r="L10" i="19"/>
  <c r="L32" i="19"/>
  <c r="L43" i="19"/>
  <c r="L51" i="19"/>
  <c r="L73" i="19"/>
  <c r="L89" i="19"/>
  <c r="L97" i="19"/>
  <c r="L105" i="19"/>
  <c r="L141" i="19"/>
  <c r="L155" i="19"/>
  <c r="L179" i="19"/>
  <c r="L267" i="19"/>
  <c r="L338" i="19"/>
  <c r="L349" i="19"/>
  <c r="L374" i="19"/>
  <c r="L390" i="19"/>
  <c r="L395" i="19"/>
  <c r="L419" i="19"/>
  <c r="L427" i="19"/>
  <c r="L443" i="19"/>
  <c r="L458" i="19"/>
  <c r="L501" i="19"/>
  <c r="L519" i="19"/>
  <c r="L566" i="19"/>
  <c r="L576" i="19"/>
  <c r="L584" i="19"/>
  <c r="L594" i="19"/>
  <c r="L602" i="19"/>
  <c r="L627" i="19"/>
  <c r="L651" i="19"/>
  <c r="L656" i="19"/>
  <c r="L714" i="19"/>
  <c r="L722" i="19"/>
  <c r="L796" i="19"/>
  <c r="L801" i="19"/>
  <c r="L806" i="19"/>
  <c r="L823" i="19"/>
  <c r="L835" i="19"/>
  <c r="L871" i="19"/>
  <c r="L912" i="19"/>
  <c r="L938" i="19"/>
  <c r="L953" i="19"/>
  <c r="L960" i="19"/>
  <c r="L972" i="19"/>
  <c r="L982" i="19"/>
  <c r="L1016" i="19"/>
  <c r="L1026" i="19"/>
  <c r="L1056" i="19"/>
  <c r="L1112" i="19"/>
  <c r="L1169" i="19"/>
  <c r="L1181" i="19"/>
  <c r="L1186" i="19"/>
  <c r="L1201" i="19"/>
  <c r="L1246" i="19"/>
  <c r="L1307" i="19"/>
  <c r="L27" i="19"/>
  <c r="L57" i="19"/>
  <c r="L62" i="19"/>
  <c r="L166" i="19"/>
  <c r="L190" i="19"/>
  <c r="L253" i="19"/>
  <c r="L270" i="19"/>
  <c r="L298" i="19"/>
  <c r="L303" i="19"/>
  <c r="L314" i="19"/>
  <c r="L322" i="19"/>
  <c r="L363" i="19"/>
  <c r="L398" i="19"/>
  <c r="L406" i="19"/>
  <c r="L446" i="19"/>
  <c r="L456" i="19"/>
  <c r="L470" i="19"/>
  <c r="L488" i="19"/>
  <c r="L517" i="19"/>
  <c r="L532" i="19"/>
  <c r="L589" i="19"/>
  <c r="L607" i="19"/>
  <c r="L661" i="19"/>
  <c r="L727" i="19"/>
  <c r="L732" i="19"/>
  <c r="L768" i="19"/>
  <c r="M768" i="19" s="1"/>
  <c r="L776" i="19"/>
  <c r="L786" i="19"/>
  <c r="L816" i="19"/>
  <c r="L828" i="19"/>
  <c r="L856" i="19"/>
  <c r="L866" i="19"/>
  <c r="L878" i="19"/>
  <c r="L885" i="19"/>
  <c r="L910" i="19"/>
  <c r="L928" i="19"/>
  <c r="L946" i="19"/>
  <c r="L1009" i="19"/>
  <c r="L1034" i="19"/>
  <c r="L1049" i="19"/>
  <c r="L1064" i="19"/>
  <c r="L1130" i="19"/>
  <c r="L1140" i="19"/>
  <c r="L1145" i="19"/>
  <c r="L1157" i="19"/>
  <c r="L1164" i="19"/>
  <c r="L1174" i="19"/>
  <c r="L1193" i="19"/>
  <c r="L1221" i="19"/>
  <c r="L1241" i="19"/>
  <c r="L1251" i="19"/>
  <c r="L1271" i="19"/>
  <c r="L41" i="19"/>
  <c r="L49" i="19"/>
  <c r="L71" i="19"/>
  <c r="L95" i="19"/>
  <c r="L103" i="19"/>
  <c r="L172" i="19"/>
  <c r="L207" i="19"/>
  <c r="L251" i="19"/>
  <c r="L301" i="19"/>
  <c r="L306" i="19"/>
  <c r="L336" i="19"/>
  <c r="L347" i="19"/>
  <c r="L369" i="19"/>
  <c r="L388" i="19"/>
  <c r="L433" i="19"/>
  <c r="L441" i="19"/>
  <c r="L454" i="19"/>
  <c r="L463" i="19"/>
  <c r="L468" i="19"/>
  <c r="L491" i="19"/>
  <c r="L507" i="19"/>
  <c r="L543" i="19"/>
  <c r="L548" i="19"/>
  <c r="L564" i="19"/>
  <c r="L582" i="19"/>
  <c r="L587" i="19"/>
  <c r="L600" i="19"/>
  <c r="L617" i="19"/>
  <c r="L712" i="19"/>
  <c r="L725" i="19"/>
  <c r="L766" i="19"/>
  <c r="L774" i="19"/>
  <c r="L794" i="19"/>
  <c r="L799" i="19"/>
  <c r="M799" i="19" s="1"/>
  <c r="L821" i="19"/>
  <c r="L838" i="19"/>
  <c r="L851" i="19"/>
  <c r="L47" i="19"/>
  <c r="L107" i="19"/>
  <c r="L161" i="19"/>
  <c r="L175" i="19"/>
  <c r="L186" i="19"/>
  <c r="L245" i="19"/>
  <c r="M245" i="19" s="1"/>
  <c r="L340" i="19"/>
  <c r="L439" i="19"/>
  <c r="L461" i="19"/>
  <c r="L466" i="19"/>
  <c r="L598" i="19"/>
  <c r="L631" i="19"/>
  <c r="L673" i="19"/>
  <c r="L684" i="19"/>
  <c r="M684" i="19" s="1"/>
  <c r="L759" i="19"/>
  <c r="L767" i="19"/>
  <c r="L865" i="19"/>
  <c r="L899" i="19"/>
  <c r="L920" i="19"/>
  <c r="L965" i="19"/>
  <c r="L988" i="19"/>
  <c r="L996" i="19"/>
  <c r="L1030" i="19"/>
  <c r="L1088" i="19"/>
  <c r="L1096" i="19"/>
  <c r="L1120" i="19"/>
  <c r="L1170" i="19"/>
  <c r="L1183" i="19"/>
  <c r="L1209" i="19"/>
  <c r="L1248" i="19"/>
  <c r="L1330" i="19"/>
  <c r="L1352" i="19"/>
  <c r="L1374" i="19"/>
  <c r="L33" i="19"/>
  <c r="L164" i="19"/>
  <c r="L226" i="19"/>
  <c r="L323" i="19"/>
  <c r="L383" i="19"/>
  <c r="L431" i="19"/>
  <c r="L516" i="19"/>
  <c r="L546" i="19"/>
  <c r="L560" i="19"/>
  <c r="M560" i="19" s="1"/>
  <c r="L604" i="19"/>
  <c r="L665" i="19"/>
  <c r="L751" i="19"/>
  <c r="L792" i="19"/>
  <c r="L860" i="19"/>
  <c r="L894" i="19"/>
  <c r="L934" i="19"/>
  <c r="L945" i="19"/>
  <c r="L973" i="19"/>
  <c r="L978" i="19"/>
  <c r="L1022" i="19"/>
  <c r="L1033" i="19"/>
  <c r="L1065" i="19"/>
  <c r="L1070" i="19"/>
  <c r="L1083" i="19"/>
  <c r="M1083" i="19" s="1"/>
  <c r="L1134" i="19"/>
  <c r="L1160" i="19"/>
  <c r="L1235" i="19"/>
  <c r="L1243" i="19"/>
  <c r="L1277" i="19"/>
  <c r="L1285" i="19"/>
  <c r="L1293" i="19"/>
  <c r="L1301" i="19"/>
  <c r="L1321" i="19"/>
  <c r="L1362" i="19"/>
  <c r="L1372" i="19"/>
  <c r="L36" i="19"/>
  <c r="L79" i="19"/>
  <c r="L93" i="19"/>
  <c r="L147" i="19"/>
  <c r="L178" i="19"/>
  <c r="L254" i="19"/>
  <c r="L312" i="19"/>
  <c r="L329" i="19"/>
  <c r="L420" i="19"/>
  <c r="L434" i="19"/>
  <c r="L459" i="19"/>
  <c r="L505" i="19"/>
  <c r="L541" i="19"/>
  <c r="L668" i="19"/>
  <c r="L718" i="19"/>
  <c r="L754" i="19"/>
  <c r="L784" i="19"/>
  <c r="L817" i="19"/>
  <c r="L876" i="19"/>
  <c r="L986" i="19"/>
  <c r="L991" i="19"/>
  <c r="L1014" i="19"/>
  <c r="L1078" i="19"/>
  <c r="L1110" i="19"/>
  <c r="L1126" i="19"/>
  <c r="L1155" i="19"/>
  <c r="L1168" i="19"/>
  <c r="L1212" i="19"/>
  <c r="L1222" i="19"/>
  <c r="L1269" i="19"/>
  <c r="L1311" i="19"/>
  <c r="L1328" i="19"/>
  <c r="L1340" i="19"/>
  <c r="L1345" i="19"/>
  <c r="L1350" i="19"/>
  <c r="L1360" i="19"/>
  <c r="L1370" i="19"/>
  <c r="L8" i="19"/>
  <c r="L25" i="19"/>
  <c r="L45" i="19"/>
  <c r="L99" i="19"/>
  <c r="L173" i="19"/>
  <c r="L224" i="19"/>
  <c r="L243" i="19"/>
  <c r="L318" i="19"/>
  <c r="L451" i="19"/>
  <c r="L464" i="19"/>
  <c r="L514" i="19"/>
  <c r="L544" i="19"/>
  <c r="L585" i="19"/>
  <c r="L615" i="19"/>
  <c r="L671" i="19"/>
  <c r="L757" i="19"/>
  <c r="L765" i="19"/>
  <c r="L812" i="19"/>
  <c r="L884" i="19"/>
  <c r="L932" i="19"/>
  <c r="L963" i="19"/>
  <c r="L1025" i="19"/>
  <c r="L1068" i="19"/>
  <c r="L1118" i="19"/>
  <c r="L1129" i="19"/>
  <c r="L1137" i="19"/>
  <c r="L1207" i="19"/>
  <c r="L1217" i="19"/>
  <c r="L1304" i="19"/>
  <c r="M1304" i="19" s="1"/>
  <c r="L1309" i="19"/>
  <c r="L1333" i="19"/>
  <c r="L1380" i="19"/>
  <c r="L1341" i="19"/>
  <c r="M1341" i="19" s="1"/>
  <c r="L1310" i="19"/>
  <c r="L1291" i="19"/>
  <c r="L1253" i="19"/>
  <c r="L1245" i="19"/>
  <c r="L1190" i="19"/>
  <c r="L1163" i="19"/>
  <c r="L1074" i="19"/>
  <c r="R1055" i="19"/>
  <c r="L1047" i="19"/>
  <c r="L1013" i="19"/>
  <c r="L1003" i="19"/>
  <c r="L970" i="19"/>
  <c r="L872" i="19"/>
  <c r="L723" i="19"/>
  <c r="L580" i="19"/>
  <c r="L462" i="19"/>
  <c r="L405" i="19"/>
  <c r="L361" i="19"/>
  <c r="L225" i="19"/>
  <c r="L31" i="19"/>
  <c r="AE480" i="19"/>
  <c r="E480" i="19"/>
  <c r="E1312" i="19"/>
  <c r="AE1312" i="19"/>
  <c r="E1161" i="19"/>
  <c r="E905" i="19"/>
  <c r="E736" i="19"/>
  <c r="E690" i="19"/>
  <c r="E519" i="19"/>
  <c r="E462" i="19"/>
  <c r="E434" i="19"/>
  <c r="L1387" i="19"/>
  <c r="M1387" i="19" s="1"/>
  <c r="L1354" i="19"/>
  <c r="L1250" i="19"/>
  <c r="L1231" i="19"/>
  <c r="L1220" i="19"/>
  <c r="R1185" i="19"/>
  <c r="L1182" i="19"/>
  <c r="L1136" i="19"/>
  <c r="M1136" i="19" s="1"/>
  <c r="L1063" i="19"/>
  <c r="L951" i="19"/>
  <c r="L901" i="19"/>
  <c r="L797" i="19"/>
  <c r="L780" i="19"/>
  <c r="L686" i="19"/>
  <c r="L606" i="19"/>
  <c r="L577" i="19"/>
  <c r="L572" i="19"/>
  <c r="L487" i="19"/>
  <c r="L479" i="19"/>
  <c r="L413" i="19"/>
  <c r="L288" i="19"/>
  <c r="L274" i="19"/>
  <c r="L222" i="19"/>
  <c r="L121" i="19"/>
  <c r="L63" i="19"/>
  <c r="AE975" i="19"/>
  <c r="E975" i="19"/>
  <c r="E913" i="19"/>
  <c r="AE913" i="19"/>
  <c r="E740" i="19"/>
  <c r="AE740" i="19"/>
  <c r="E1325" i="19"/>
  <c r="AE1325" i="19"/>
  <c r="E1321" i="19"/>
  <c r="AE1321" i="19"/>
  <c r="E1370" i="19"/>
  <c r="E805" i="19"/>
  <c r="E489" i="19"/>
  <c r="E433" i="19"/>
  <c r="L1377" i="19"/>
  <c r="R1364" i="19"/>
  <c r="R1359" i="19"/>
  <c r="L1346" i="19"/>
  <c r="L1338" i="19"/>
  <c r="L1315" i="19"/>
  <c r="L1255" i="19"/>
  <c r="L1239" i="19"/>
  <c r="L1179" i="19"/>
  <c r="L1144" i="19"/>
  <c r="R1121" i="19"/>
  <c r="L1082" i="19"/>
  <c r="L1010" i="19"/>
  <c r="L1005" i="19"/>
  <c r="L961" i="19"/>
  <c r="L909" i="19"/>
  <c r="L890" i="19"/>
  <c r="L882" i="19"/>
  <c r="L874" i="19"/>
  <c r="L819" i="19"/>
  <c r="L808" i="19"/>
  <c r="L731" i="19"/>
  <c r="L680" i="19"/>
  <c r="L569" i="19"/>
  <c r="L473" i="19"/>
  <c r="L381" i="19"/>
  <c r="L230" i="19"/>
  <c r="L216" i="19"/>
  <c r="L129" i="19"/>
  <c r="L80" i="19"/>
  <c r="R1368" i="19"/>
  <c r="R1254" i="19"/>
  <c r="R855" i="19"/>
  <c r="R1301" i="19"/>
  <c r="R1173" i="19"/>
  <c r="R1070" i="19"/>
  <c r="R1057" i="19"/>
  <c r="R1345" i="19"/>
  <c r="R1209" i="19"/>
  <c r="R601" i="19"/>
  <c r="R735" i="19"/>
  <c r="R527" i="19"/>
  <c r="R1264" i="19"/>
  <c r="R409" i="19"/>
  <c r="R856" i="19"/>
  <c r="R1284" i="19"/>
  <c r="R858" i="19"/>
  <c r="R1068" i="19"/>
  <c r="Q8" i="23" a="1"/>
  <c r="Q8" i="23" s="1"/>
  <c r="AE1196" i="19"/>
  <c r="E1196" i="19"/>
  <c r="AE827" i="19"/>
  <c r="E827" i="19"/>
  <c r="J1314" i="19"/>
  <c r="Q1314" i="19" s="1"/>
  <c r="AE872" i="19"/>
  <c r="E872" i="19"/>
  <c r="E860" i="19"/>
  <c r="AE860" i="19"/>
  <c r="E810" i="19"/>
  <c r="AE810" i="19"/>
  <c r="AE781" i="19"/>
  <c r="E781" i="19"/>
  <c r="AE497" i="19"/>
  <c r="E497" i="19"/>
  <c r="AE635" i="19"/>
  <c r="E635" i="19"/>
  <c r="E552" i="19"/>
  <c r="AE552" i="19"/>
  <c r="AE1290" i="19"/>
  <c r="E1290" i="19"/>
  <c r="J1355" i="19"/>
  <c r="Q1355" i="19" s="1"/>
  <c r="AE671" i="19"/>
  <c r="E671" i="19"/>
  <c r="AE655" i="19"/>
  <c r="E655" i="19"/>
  <c r="AE999" i="19"/>
  <c r="E999" i="19"/>
  <c r="E978" i="19"/>
  <c r="AE978" i="19"/>
  <c r="AE1316" i="19"/>
  <c r="E1316" i="19"/>
  <c r="AE1297" i="19"/>
  <c r="E1297" i="19"/>
  <c r="AE1003" i="19"/>
  <c r="E1003" i="19"/>
  <c r="AE1315" i="19"/>
  <c r="E1315" i="19"/>
  <c r="AE1306" i="19"/>
  <c r="E1306" i="19"/>
  <c r="AE1301" i="19"/>
  <c r="E1301" i="19"/>
  <c r="V1265" i="19"/>
  <c r="W1265" i="19" s="1"/>
  <c r="X1265" i="19" s="1"/>
  <c r="Y1265" i="19" s="1"/>
  <c r="V1201" i="19"/>
  <c r="W1201" i="19" s="1"/>
  <c r="X1201" i="19" s="1"/>
  <c r="Y1201" i="19" s="1"/>
  <c r="V1090" i="19"/>
  <c r="W1090" i="19" s="1"/>
  <c r="X1090" i="19" s="1"/>
  <c r="Y1090" i="19" s="1"/>
  <c r="V493" i="19"/>
  <c r="W493" i="19" s="1"/>
  <c r="X493" i="19" s="1"/>
  <c r="Y493" i="19" s="1"/>
  <c r="AE1007" i="19"/>
  <c r="E1072" i="19"/>
  <c r="E876" i="19"/>
  <c r="V975" i="19"/>
  <c r="W975" i="19" s="1"/>
  <c r="X975" i="19" s="1"/>
  <c r="Y975" i="19" s="1"/>
  <c r="V916" i="19"/>
  <c r="W916" i="19" s="1"/>
  <c r="X916" i="19" s="1"/>
  <c r="Y916" i="19" s="1"/>
  <c r="AE1102" i="19"/>
  <c r="E1102" i="19"/>
  <c r="AE1093" i="19"/>
  <c r="E1093" i="19"/>
  <c r="AE970" i="19"/>
  <c r="E970" i="19"/>
  <c r="AE931" i="19"/>
  <c r="E931" i="19"/>
  <c r="AE656" i="19"/>
  <c r="E656" i="19"/>
  <c r="AE624" i="19"/>
  <c r="E624" i="19"/>
  <c r="AE609" i="19"/>
  <c r="E609" i="19"/>
  <c r="AE568" i="19"/>
  <c r="E568" i="19"/>
  <c r="AE556" i="19"/>
  <c r="E556" i="19"/>
  <c r="AE515" i="19"/>
  <c r="E515" i="19"/>
  <c r="AE471" i="19"/>
  <c r="E471" i="19"/>
  <c r="AE1361" i="19"/>
  <c r="E1361" i="19"/>
  <c r="AE1357" i="19"/>
  <c r="E1357" i="19"/>
  <c r="AE1298" i="19"/>
  <c r="E1298" i="19"/>
  <c r="J1247" i="19"/>
  <c r="Q1247" i="19" s="1"/>
  <c r="E897" i="19"/>
  <c r="E538" i="19"/>
  <c r="V1249" i="19"/>
  <c r="W1249" i="19" s="1"/>
  <c r="X1249" i="19" s="1"/>
  <c r="Y1249" i="19" s="1"/>
  <c r="V1081" i="19"/>
  <c r="W1081" i="19" s="1"/>
  <c r="X1081" i="19" s="1"/>
  <c r="Y1081" i="19" s="1"/>
  <c r="V1076" i="19"/>
  <c r="W1076" i="19" s="1"/>
  <c r="X1076" i="19" s="1"/>
  <c r="Y1076" i="19" s="1"/>
  <c r="AE1186" i="19"/>
  <c r="E1186" i="19"/>
  <c r="E596" i="19"/>
  <c r="AE596" i="19"/>
  <c r="AE587" i="19"/>
  <c r="E587" i="19"/>
  <c r="AE583" i="19"/>
  <c r="E583" i="19"/>
  <c r="AE1378" i="19"/>
  <c r="E1378" i="19"/>
  <c r="J1391" i="19"/>
  <c r="Q1391" i="19" s="1"/>
  <c r="J1379" i="19"/>
  <c r="Q1379" i="19" s="1"/>
  <c r="E1339" i="19"/>
  <c r="E814" i="19"/>
  <c r="V1124" i="19"/>
  <c r="W1124" i="19" s="1"/>
  <c r="X1124" i="19" s="1"/>
  <c r="Y1124" i="19" s="1"/>
  <c r="V946" i="19"/>
  <c r="W946" i="19" s="1"/>
  <c r="X946" i="19" s="1"/>
  <c r="Y946" i="19" s="1"/>
  <c r="V923" i="19"/>
  <c r="W923" i="19" s="1"/>
  <c r="X923" i="19" s="1"/>
  <c r="Y923" i="19" s="1"/>
  <c r="V736" i="19"/>
  <c r="W736" i="19" s="1"/>
  <c r="X736" i="19" s="1"/>
  <c r="Y736" i="19" s="1"/>
  <c r="V383" i="19"/>
  <c r="W383" i="19" s="1"/>
  <c r="X383" i="19" s="1"/>
  <c r="Y383" i="19" s="1"/>
  <c r="AE1239" i="19"/>
  <c r="E1239" i="19"/>
  <c r="AE1190" i="19"/>
  <c r="E1190" i="19"/>
  <c r="AE676" i="19"/>
  <c r="E676" i="19"/>
  <c r="J608" i="19"/>
  <c r="Q608" i="19" s="1"/>
  <c r="AE644" i="19"/>
  <c r="E644" i="19"/>
  <c r="AE620" i="19"/>
  <c r="E620" i="19"/>
  <c r="AE603" i="19"/>
  <c r="E603" i="19"/>
  <c r="J1254" i="19"/>
  <c r="Q1254" i="19" s="1"/>
  <c r="E918" i="19"/>
  <c r="V1226" i="19"/>
  <c r="W1226" i="19" s="1"/>
  <c r="X1226" i="19" s="1"/>
  <c r="Y1226" i="19" s="1"/>
  <c r="V749" i="19"/>
  <c r="W749" i="19" s="1"/>
  <c r="X749" i="19" s="1"/>
  <c r="Y749" i="19" s="1"/>
  <c r="V441" i="19"/>
  <c r="W441" i="19" s="1"/>
  <c r="X441" i="19" s="1"/>
  <c r="Y441" i="19" s="1"/>
  <c r="E1226" i="19"/>
  <c r="AE1226" i="19"/>
  <c r="AE1118" i="19"/>
  <c r="E1118" i="19"/>
  <c r="AE1106" i="19"/>
  <c r="E1106" i="19"/>
  <c r="AE1011" i="19"/>
  <c r="E1011" i="19"/>
  <c r="E995" i="19"/>
  <c r="AE995" i="19"/>
  <c r="AE702" i="19"/>
  <c r="E702" i="19"/>
  <c r="AE693" i="19"/>
  <c r="E693" i="19"/>
  <c r="AE663" i="19"/>
  <c r="E663" i="19"/>
  <c r="AE1384" i="19"/>
  <c r="E1384" i="19"/>
  <c r="AE1311" i="19"/>
  <c r="E1311" i="19"/>
  <c r="E1195" i="19"/>
  <c r="V1326" i="19"/>
  <c r="W1326" i="19" s="1"/>
  <c r="X1326" i="19" s="1"/>
  <c r="Y1326" i="19" s="1"/>
  <c r="V1111" i="19"/>
  <c r="W1111" i="19" s="1"/>
  <c r="X1111" i="19" s="1"/>
  <c r="Y1111" i="19" s="1"/>
  <c r="V1106" i="19"/>
  <c r="W1106" i="19" s="1"/>
  <c r="X1106" i="19" s="1"/>
  <c r="Y1106" i="19" s="1"/>
  <c r="AE1025" i="19"/>
  <c r="E1025" i="19"/>
  <c r="AE710" i="19"/>
  <c r="E710" i="19"/>
  <c r="AE688" i="19"/>
  <c r="E688" i="19"/>
  <c r="AE684" i="19"/>
  <c r="E684" i="19"/>
  <c r="AE667" i="19"/>
  <c r="E667" i="19"/>
  <c r="AE436" i="19"/>
  <c r="E436" i="19"/>
  <c r="E419" i="19"/>
  <c r="AE419" i="19"/>
  <c r="AE1383" i="19"/>
  <c r="E1383" i="19"/>
  <c r="AE1368" i="19"/>
  <c r="E1368" i="19"/>
  <c r="E1088" i="19"/>
  <c r="E617" i="19"/>
  <c r="V1379" i="19"/>
  <c r="W1379" i="19" s="1"/>
  <c r="X1379" i="19" s="1"/>
  <c r="Y1379" i="19" s="1"/>
  <c r="V1357" i="19"/>
  <c r="W1357" i="19" s="1"/>
  <c r="X1357" i="19" s="1"/>
  <c r="Y1357" i="19" s="1"/>
  <c r="V412" i="19"/>
  <c r="W412" i="19" s="1"/>
  <c r="X412" i="19" s="1"/>
  <c r="Y412" i="19" s="1"/>
  <c r="V393" i="19"/>
  <c r="W393" i="19" s="1"/>
  <c r="X393" i="19" s="1"/>
  <c r="Y393" i="19" s="1"/>
  <c r="E1260" i="19"/>
  <c r="AE1260" i="19"/>
  <c r="AE1256" i="19"/>
  <c r="E1256" i="19"/>
  <c r="AE1136" i="19"/>
  <c r="E1136" i="19"/>
  <c r="AE1131" i="19"/>
  <c r="E1131" i="19"/>
  <c r="AE1122" i="19"/>
  <c r="E1122" i="19"/>
  <c r="AE718" i="19"/>
  <c r="E718" i="19"/>
  <c r="AE701" i="19"/>
  <c r="E701" i="19"/>
  <c r="E680" i="19"/>
  <c r="AE680" i="19"/>
  <c r="AE1144" i="19"/>
  <c r="E1144" i="19"/>
  <c r="AE1058" i="19"/>
  <c r="E1058" i="19"/>
  <c r="AE1045" i="19"/>
  <c r="E1045" i="19"/>
  <c r="AE1041" i="19"/>
  <c r="E1041" i="19"/>
  <c r="AE1037" i="19"/>
  <c r="E1037" i="19"/>
  <c r="AE1010" i="19"/>
  <c r="E1010" i="19"/>
  <c r="AE1006" i="19"/>
  <c r="E1006" i="19"/>
  <c r="AE1002" i="19"/>
  <c r="E1002" i="19"/>
  <c r="AE989" i="19"/>
  <c r="E989" i="19"/>
  <c r="AE750" i="19"/>
  <c r="E750" i="19"/>
  <c r="AE746" i="19"/>
  <c r="E746" i="19"/>
  <c r="AE742" i="19"/>
  <c r="E742" i="19"/>
  <c r="AE722" i="19"/>
  <c r="E722" i="19"/>
  <c r="AE444" i="19"/>
  <c r="E444" i="19"/>
  <c r="AE435" i="19"/>
  <c r="E435" i="19"/>
  <c r="AE1323" i="19"/>
  <c r="E1323" i="19"/>
  <c r="E990" i="19"/>
  <c r="E935" i="19"/>
  <c r="E579" i="19"/>
  <c r="V998" i="19"/>
  <c r="W998" i="19" s="1"/>
  <c r="X998" i="19" s="1"/>
  <c r="Y998" i="19" s="1"/>
  <c r="V647" i="19"/>
  <c r="W647" i="19" s="1"/>
  <c r="X647" i="19" s="1"/>
  <c r="Y647" i="19" s="1"/>
  <c r="AE1271" i="19"/>
  <c r="E1271" i="19"/>
  <c r="AE1174" i="19"/>
  <c r="E1174" i="19"/>
  <c r="AE1170" i="19"/>
  <c r="E1170" i="19"/>
  <c r="AE1057" i="19"/>
  <c r="E1057" i="19"/>
  <c r="AE923" i="19"/>
  <c r="E923" i="19"/>
  <c r="AE919" i="19"/>
  <c r="E919" i="19"/>
  <c r="AE855" i="19"/>
  <c r="E855" i="19"/>
  <c r="E846" i="19"/>
  <c r="AE846" i="19"/>
  <c r="J798" i="19"/>
  <c r="Q798" i="19" s="1"/>
  <c r="AE819" i="19"/>
  <c r="E819" i="19"/>
  <c r="AE745" i="19"/>
  <c r="E745" i="19"/>
  <c r="J490" i="19"/>
  <c r="Q490" i="19" s="1"/>
  <c r="AE524" i="19"/>
  <c r="E524" i="19"/>
  <c r="AE505" i="19"/>
  <c r="E505" i="19"/>
  <c r="AE493" i="19"/>
  <c r="E493" i="19"/>
  <c r="AE1343" i="19"/>
  <c r="E1343" i="19"/>
  <c r="E516" i="19"/>
  <c r="E1187" i="19"/>
  <c r="AE1187" i="19"/>
  <c r="AE1151" i="19"/>
  <c r="E1151" i="19"/>
  <c r="E1060" i="19"/>
  <c r="AE1060" i="19"/>
  <c r="AE953" i="19"/>
  <c r="E953" i="19"/>
  <c r="V897" i="19"/>
  <c r="W897" i="19" s="1"/>
  <c r="X897" i="19" s="1"/>
  <c r="Y897" i="19" s="1"/>
  <c r="AE797" i="19"/>
  <c r="E797" i="19"/>
  <c r="J411" i="19"/>
  <c r="Q411" i="19" s="1"/>
  <c r="AE1346" i="19"/>
  <c r="E1346" i="19"/>
  <c r="E1178" i="19"/>
  <c r="V610" i="19"/>
  <c r="W610" i="19" s="1"/>
  <c r="X610" i="19" s="1"/>
  <c r="Y610" i="19" s="1"/>
  <c r="AE1211" i="19"/>
  <c r="E1211" i="19"/>
  <c r="E1191" i="19"/>
  <c r="AE1191" i="19"/>
  <c r="AE1089" i="19"/>
  <c r="E1089" i="19"/>
  <c r="AE1080" i="19"/>
  <c r="E1080" i="19"/>
  <c r="AE1064" i="19"/>
  <c r="E1064" i="19"/>
  <c r="AE961" i="19"/>
  <c r="E961" i="19"/>
  <c r="AE927" i="19"/>
  <c r="E927" i="19"/>
  <c r="AE885" i="19"/>
  <c r="E885" i="19"/>
  <c r="AE881" i="19"/>
  <c r="E881" i="19"/>
  <c r="AE867" i="19"/>
  <c r="E867" i="19"/>
  <c r="AE845" i="19"/>
  <c r="E845" i="19"/>
  <c r="AE837" i="19"/>
  <c r="E837" i="19"/>
  <c r="AE818" i="19"/>
  <c r="E818" i="19"/>
  <c r="AE600" i="19"/>
  <c r="E600" i="19"/>
  <c r="AE584" i="19"/>
  <c r="E584" i="19"/>
  <c r="AE564" i="19"/>
  <c r="E564" i="19"/>
  <c r="AE561" i="19"/>
  <c r="E561" i="19"/>
  <c r="AE545" i="19"/>
  <c r="E545" i="19"/>
  <c r="AE512" i="19"/>
  <c r="E512" i="19"/>
  <c r="AE463" i="19"/>
  <c r="E463" i="19"/>
  <c r="AE458" i="19"/>
  <c r="E458" i="19"/>
  <c r="AE1366" i="19"/>
  <c r="E1366" i="19"/>
  <c r="AE1199" i="19"/>
  <c r="E1199" i="19"/>
  <c r="AE639" i="19"/>
  <c r="E639" i="19"/>
  <c r="AE599" i="19"/>
  <c r="E599" i="19"/>
  <c r="AE572" i="19"/>
  <c r="E572" i="19"/>
  <c r="AE1061" i="19"/>
  <c r="E1061" i="19"/>
  <c r="AE754" i="19"/>
  <c r="E754" i="19"/>
  <c r="AE730" i="19"/>
  <c r="E730" i="19"/>
  <c r="AE1328" i="19"/>
  <c r="E1328" i="19"/>
  <c r="E793" i="19"/>
  <c r="AE998" i="19"/>
  <c r="AE508" i="19"/>
  <c r="E508" i="19"/>
  <c r="AE1076" i="19"/>
  <c r="E1076" i="19"/>
  <c r="AE648" i="19"/>
  <c r="E648" i="19"/>
  <c r="AE613" i="19"/>
  <c r="E613" i="19"/>
  <c r="AE604" i="19"/>
  <c r="E604" i="19"/>
  <c r="AE592" i="19"/>
  <c r="E592" i="19"/>
  <c r="E549" i="19"/>
  <c r="AE549" i="19"/>
  <c r="AE944" i="19"/>
  <c r="E944" i="19"/>
  <c r="AE632" i="19"/>
  <c r="E632" i="19"/>
  <c r="AE1349" i="19"/>
  <c r="E1349" i="19"/>
  <c r="J1367" i="19"/>
  <c r="Q1367" i="19" s="1"/>
  <c r="AE668" i="19"/>
  <c r="E668" i="19"/>
  <c r="AE627" i="19"/>
  <c r="E627" i="19"/>
  <c r="AE1365" i="19"/>
  <c r="E1365" i="19"/>
  <c r="AE1054" i="19"/>
  <c r="E1054" i="19"/>
  <c r="E769" i="19"/>
  <c r="AE769" i="19"/>
  <c r="V1274" i="19"/>
  <c r="W1274" i="19" s="1"/>
  <c r="X1274" i="19" s="1"/>
  <c r="Y1274" i="19" s="1"/>
  <c r="V424" i="19"/>
  <c r="W424" i="19" s="1"/>
  <c r="X424" i="19" s="1"/>
  <c r="Y424" i="19" s="1"/>
  <c r="AE1277" i="19"/>
  <c r="E1277" i="19"/>
  <c r="AE1166" i="19"/>
  <c r="E1166" i="19"/>
  <c r="AE1157" i="19"/>
  <c r="E1157" i="19"/>
  <c r="AE1148" i="19"/>
  <c r="E1148" i="19"/>
  <c r="AE1143" i="19"/>
  <c r="E1143" i="19"/>
  <c r="AE1135" i="19"/>
  <c r="E1135" i="19"/>
  <c r="AE1068" i="19"/>
  <c r="E1068" i="19"/>
  <c r="AE1036" i="19"/>
  <c r="E1036" i="19"/>
  <c r="AE1028" i="19"/>
  <c r="E1028" i="19"/>
  <c r="AE851" i="19"/>
  <c r="E851" i="19"/>
  <c r="AE806" i="19"/>
  <c r="E806" i="19"/>
  <c r="AE802" i="19"/>
  <c r="E802" i="19"/>
  <c r="AE798" i="19"/>
  <c r="E798" i="19"/>
  <c r="AE790" i="19"/>
  <c r="E790" i="19"/>
  <c r="AE786" i="19"/>
  <c r="E786" i="19"/>
  <c r="AE782" i="19"/>
  <c r="E782" i="19"/>
  <c r="AE773" i="19"/>
  <c r="E773" i="19"/>
  <c r="AE765" i="19"/>
  <c r="E765" i="19"/>
  <c r="AE761" i="19"/>
  <c r="E761" i="19"/>
  <c r="AE757" i="19"/>
  <c r="E757" i="19"/>
  <c r="E455" i="19"/>
  <c r="AE455" i="19"/>
  <c r="AE447" i="19"/>
  <c r="E447" i="19"/>
  <c r="AE439" i="19"/>
  <c r="E439" i="19"/>
  <c r="AE1335" i="19"/>
  <c r="E1335" i="19"/>
  <c r="AE1331" i="19"/>
  <c r="E1331" i="19"/>
  <c r="J1284" i="19"/>
  <c r="Q1284" i="19" s="1"/>
  <c r="E1182" i="19"/>
  <c r="E1110" i="19"/>
  <c r="E636" i="19"/>
  <c r="E575" i="19"/>
  <c r="V1120" i="19"/>
  <c r="W1120" i="19" s="1"/>
  <c r="X1120" i="19" s="1"/>
  <c r="Y1120" i="19" s="1"/>
  <c r="V854" i="19"/>
  <c r="W854" i="19" s="1"/>
  <c r="X854" i="19" s="1"/>
  <c r="Y854" i="19" s="1"/>
  <c r="V675" i="19"/>
  <c r="W675" i="19" s="1"/>
  <c r="X675" i="19" s="1"/>
  <c r="Y675" i="19" s="1"/>
  <c r="V667" i="19"/>
  <c r="W667" i="19" s="1"/>
  <c r="X667" i="19" s="1"/>
  <c r="Y667" i="19" s="1"/>
  <c r="V528" i="19"/>
  <c r="W528" i="19" s="1"/>
  <c r="X528" i="19" s="1"/>
  <c r="Y528" i="19" s="1"/>
  <c r="V500" i="19"/>
  <c r="W500" i="19" s="1"/>
  <c r="X500" i="19" s="1"/>
  <c r="Y500" i="19" s="1"/>
  <c r="V1271" i="19"/>
  <c r="W1271" i="19" s="1"/>
  <c r="X1271" i="19" s="1"/>
  <c r="Y1271" i="19" s="1"/>
  <c r="V1078" i="19"/>
  <c r="W1078" i="19" s="1"/>
  <c r="X1078" i="19" s="1"/>
  <c r="Y1078" i="19" s="1"/>
  <c r="V925" i="19"/>
  <c r="W925" i="19" s="1"/>
  <c r="X925" i="19" s="1"/>
  <c r="Y925" i="19" s="1"/>
  <c r="V777" i="19"/>
  <c r="W777" i="19" s="1"/>
  <c r="X777" i="19" s="1"/>
  <c r="Y777" i="19" s="1"/>
  <c r="AE1210" i="19"/>
  <c r="E1210" i="19"/>
  <c r="AE1105" i="19"/>
  <c r="E1105" i="19"/>
  <c r="E1044" i="19"/>
  <c r="AE1044" i="19"/>
  <c r="AE527" i="19"/>
  <c r="E527" i="19"/>
  <c r="AE422" i="19"/>
  <c r="E422" i="19"/>
  <c r="E1134" i="19"/>
  <c r="AE1134" i="19"/>
  <c r="AE717" i="19"/>
  <c r="E717" i="19"/>
  <c r="AE1356" i="19"/>
  <c r="E1356" i="19"/>
  <c r="E909" i="19"/>
  <c r="E732" i="19"/>
  <c r="E1164" i="19"/>
  <c r="AE1164" i="19"/>
  <c r="AE1018" i="19"/>
  <c r="E1018" i="19"/>
  <c r="AE908" i="19"/>
  <c r="E908" i="19"/>
  <c r="AE896" i="19"/>
  <c r="E896" i="19"/>
  <c r="E884" i="19"/>
  <c r="AE884" i="19"/>
  <c r="AE822" i="19"/>
  <c r="E822" i="19"/>
  <c r="E607" i="19"/>
  <c r="AE607" i="19"/>
  <c r="AE491" i="19"/>
  <c r="E491" i="19"/>
  <c r="AE1345" i="19"/>
  <c r="E1345" i="19"/>
  <c r="E1348" i="19"/>
  <c r="E1280" i="19"/>
  <c r="E1121" i="19"/>
  <c r="E567" i="19"/>
  <c r="AE1070" i="19"/>
  <c r="E1070" i="19"/>
  <c r="AE417" i="19"/>
  <c r="E417" i="19"/>
  <c r="AE1086" i="19"/>
  <c r="AE1245" i="19"/>
  <c r="E1245" i="19"/>
  <c r="AE1237" i="19"/>
  <c r="E1237" i="19"/>
  <c r="AE1184" i="19"/>
  <c r="E1184" i="19"/>
  <c r="AE980" i="19"/>
  <c r="E980" i="19"/>
  <c r="AE967" i="19"/>
  <c r="E967" i="19"/>
  <c r="AE903" i="19"/>
  <c r="E903" i="19"/>
  <c r="E835" i="19"/>
  <c r="AE835" i="19"/>
  <c r="AE795" i="19"/>
  <c r="E795" i="19"/>
  <c r="AE788" i="19"/>
  <c r="E788" i="19"/>
  <c r="AE783" i="19"/>
  <c r="E783" i="19"/>
  <c r="AE776" i="19"/>
  <c r="E776" i="19"/>
  <c r="AE716" i="19"/>
  <c r="E716" i="19"/>
  <c r="AE630" i="19"/>
  <c r="E630" i="19"/>
  <c r="AE594" i="19"/>
  <c r="E594" i="19"/>
  <c r="AE589" i="19"/>
  <c r="E589" i="19"/>
  <c r="AE547" i="19"/>
  <c r="E547" i="19"/>
  <c r="AE543" i="19"/>
  <c r="E543" i="19"/>
  <c r="AE495" i="19"/>
  <c r="E495" i="19"/>
  <c r="AE482" i="19"/>
  <c r="E482" i="19"/>
  <c r="AE469" i="19"/>
  <c r="E469" i="19"/>
  <c r="E456" i="19"/>
  <c r="AE456" i="19"/>
  <c r="AE445" i="19"/>
  <c r="E445" i="19"/>
  <c r="AE429" i="19"/>
  <c r="E429" i="19"/>
  <c r="AE1380" i="19"/>
  <c r="E1380" i="19"/>
  <c r="AE1359" i="19"/>
  <c r="E1359" i="19"/>
  <c r="E1362" i="19"/>
  <c r="E1294" i="19"/>
  <c r="E1241" i="19"/>
  <c r="E1206" i="19"/>
  <c r="E1115" i="19"/>
  <c r="E1078" i="19"/>
  <c r="E1039" i="19"/>
  <c r="E1022" i="19"/>
  <c r="E983" i="19"/>
  <c r="E962" i="19"/>
  <c r="E883" i="19"/>
  <c r="E826" i="19"/>
  <c r="E804" i="19"/>
  <c r="E725" i="19"/>
  <c r="E708" i="19"/>
  <c r="E669" i="19"/>
  <c r="E565" i="19"/>
  <c r="E466" i="19"/>
  <c r="E448" i="19"/>
  <c r="E426" i="19"/>
  <c r="V1261" i="19"/>
  <c r="W1261" i="19" s="1"/>
  <c r="X1261" i="19" s="1"/>
  <c r="Y1261" i="19" s="1"/>
  <c r="R963" i="19"/>
  <c r="V790" i="19"/>
  <c r="W790" i="19" s="1"/>
  <c r="X790" i="19" s="1"/>
  <c r="Y790" i="19" s="1"/>
  <c r="V413" i="19"/>
  <c r="W413" i="19" s="1"/>
  <c r="X413" i="19" s="1"/>
  <c r="Y413" i="19" s="1"/>
  <c r="AE942" i="19"/>
  <c r="AE550" i="19"/>
  <c r="E888" i="19"/>
  <c r="AE888" i="19"/>
  <c r="AE875" i="19"/>
  <c r="E875" i="19"/>
  <c r="AE854" i="19"/>
  <c r="E854" i="19"/>
  <c r="V385" i="19"/>
  <c r="W385" i="19" s="1"/>
  <c r="X385" i="19" s="1"/>
  <c r="Y385" i="19" s="1"/>
  <c r="J1182" i="19"/>
  <c r="Q1182" i="19" s="1"/>
  <c r="AE638" i="19"/>
  <c r="E638" i="19"/>
  <c r="E1371" i="19"/>
  <c r="AE1371" i="19"/>
  <c r="E1138" i="19"/>
  <c r="E729" i="19"/>
  <c r="V1232" i="19"/>
  <c r="W1232" i="19" s="1"/>
  <c r="X1232" i="19" s="1"/>
  <c r="Y1232" i="19" s="1"/>
  <c r="V760" i="19"/>
  <c r="W760" i="19" s="1"/>
  <c r="X760" i="19" s="1"/>
  <c r="Y760" i="19" s="1"/>
  <c r="V686" i="19"/>
  <c r="W686" i="19" s="1"/>
  <c r="X686" i="19" s="1"/>
  <c r="Y686" i="19" s="1"/>
  <c r="AE874" i="19"/>
  <c r="E874" i="19"/>
  <c r="AE866" i="19"/>
  <c r="E866" i="19"/>
  <c r="E691" i="19"/>
  <c r="AE691" i="19"/>
  <c r="E1099" i="19"/>
  <c r="E1079" i="19"/>
  <c r="E1023" i="19"/>
  <c r="AE1216" i="19"/>
  <c r="E1216" i="19"/>
  <c r="AE992" i="19"/>
  <c r="E992" i="19"/>
  <c r="AE869" i="19"/>
  <c r="E869" i="19"/>
  <c r="E803" i="19"/>
  <c r="AE1181" i="19"/>
  <c r="V1383" i="19"/>
  <c r="W1383" i="19" s="1"/>
  <c r="X1383" i="19" s="1"/>
  <c r="Y1383" i="19" s="1"/>
  <c r="V651" i="19"/>
  <c r="W651" i="19" s="1"/>
  <c r="X651" i="19" s="1"/>
  <c r="Y651" i="19" s="1"/>
  <c r="AE850" i="19"/>
  <c r="E850" i="19"/>
  <c r="AE692" i="19"/>
  <c r="E692" i="19"/>
  <c r="E1246" i="19"/>
  <c r="V1185" i="19"/>
  <c r="W1185" i="19" s="1"/>
  <c r="X1185" i="19" s="1"/>
  <c r="Y1185" i="19" s="1"/>
  <c r="AE1275" i="19"/>
  <c r="E1275" i="19"/>
  <c r="AE430" i="19"/>
  <c r="E430" i="19"/>
  <c r="J1302" i="19"/>
  <c r="Q1302" i="19" s="1"/>
  <c r="E531" i="19"/>
  <c r="AE1262" i="19"/>
  <c r="E1262" i="19"/>
  <c r="E1129" i="19"/>
  <c r="AE1129" i="19"/>
  <c r="AE968" i="19"/>
  <c r="E968" i="19"/>
  <c r="AE934" i="19"/>
  <c r="E934" i="19"/>
  <c r="AE602" i="19"/>
  <c r="E602" i="19"/>
  <c r="AE487" i="19"/>
  <c r="E487" i="19"/>
  <c r="AE475" i="19"/>
  <c r="E475" i="19"/>
  <c r="E1314" i="19"/>
  <c r="E1100" i="19"/>
  <c r="E749" i="19"/>
  <c r="E470" i="19"/>
  <c r="AE1274" i="19"/>
  <c r="E1274" i="19"/>
  <c r="AE1225" i="19"/>
  <c r="E1225" i="19"/>
  <c r="AE993" i="19"/>
  <c r="E993" i="19"/>
  <c r="AE916" i="19"/>
  <c r="E916" i="19"/>
  <c r="AE800" i="19"/>
  <c r="E800" i="19"/>
  <c r="E963" i="19"/>
  <c r="V896" i="19"/>
  <c r="W896" i="19" s="1"/>
  <c r="X896" i="19" s="1"/>
  <c r="Y896" i="19" s="1"/>
  <c r="V723" i="19"/>
  <c r="W723" i="19" s="1"/>
  <c r="X723" i="19" s="1"/>
  <c r="Y723" i="19" s="1"/>
  <c r="AE1212" i="19"/>
  <c r="E1212" i="19"/>
  <c r="AE821" i="19"/>
  <c r="E821" i="19"/>
  <c r="AE1351" i="19"/>
  <c r="E1351" i="19"/>
  <c r="E646" i="19"/>
  <c r="E526" i="19"/>
  <c r="V905" i="19"/>
  <c r="W905" i="19" s="1"/>
  <c r="X905" i="19" s="1"/>
  <c r="Y905" i="19" s="1"/>
  <c r="V650" i="19"/>
  <c r="W650" i="19" s="1"/>
  <c r="X650" i="19" s="1"/>
  <c r="Y650" i="19" s="1"/>
  <c r="V606" i="19"/>
  <c r="W606" i="19" s="1"/>
  <c r="X606" i="19" s="1"/>
  <c r="Y606" i="19" s="1"/>
  <c r="AE1278" i="19"/>
  <c r="E1278" i="19"/>
  <c r="AE1179" i="19"/>
  <c r="E1179" i="19"/>
  <c r="AE1119" i="19"/>
  <c r="E1119" i="19"/>
  <c r="AE1107" i="19"/>
  <c r="E1107" i="19"/>
  <c r="V1018" i="19"/>
  <c r="W1018" i="19" s="1"/>
  <c r="X1018" i="19" s="1"/>
  <c r="Y1018" i="19" s="1"/>
  <c r="AE1021" i="19"/>
  <c r="E1021" i="19"/>
  <c r="AE1004" i="19"/>
  <c r="E1004" i="19"/>
  <c r="V939" i="19"/>
  <c r="W939" i="19" s="1"/>
  <c r="X939" i="19" s="1"/>
  <c r="Y939" i="19" s="1"/>
  <c r="AE966" i="19"/>
  <c r="E966" i="19"/>
  <c r="AE954" i="19"/>
  <c r="E954" i="19"/>
  <c r="AE937" i="19"/>
  <c r="E937" i="19"/>
  <c r="AE731" i="19"/>
  <c r="E731" i="19"/>
  <c r="AE711" i="19"/>
  <c r="E711" i="19"/>
  <c r="AE698" i="19"/>
  <c r="E698" i="19"/>
  <c r="AE694" i="19"/>
  <c r="E694" i="19"/>
  <c r="AE677" i="19"/>
  <c r="E677" i="19"/>
  <c r="E664" i="19"/>
  <c r="AE664" i="19"/>
  <c r="AE660" i="19"/>
  <c r="E660" i="19"/>
  <c r="V613" i="19"/>
  <c r="W613" i="19" s="1"/>
  <c r="X613" i="19" s="1"/>
  <c r="Y613" i="19" s="1"/>
  <c r="AE641" i="19"/>
  <c r="E641" i="19"/>
  <c r="AE573" i="19"/>
  <c r="E573" i="19"/>
  <c r="AE494" i="19"/>
  <c r="E494" i="19"/>
  <c r="AE1320" i="19"/>
  <c r="E1320" i="19"/>
  <c r="E1308" i="19"/>
  <c r="AE1308" i="19"/>
  <c r="J1260" i="19"/>
  <c r="Q1260" i="19" s="1"/>
  <c r="AE1299" i="19"/>
  <c r="E1299" i="19"/>
  <c r="J1251" i="19"/>
  <c r="Q1251" i="19" s="1"/>
  <c r="E1360" i="19"/>
  <c r="E1342" i="19"/>
  <c r="E1055" i="19"/>
  <c r="E941" i="19"/>
  <c r="E899" i="19"/>
  <c r="E880" i="19"/>
  <c r="E723" i="19"/>
  <c r="E645" i="19"/>
  <c r="E622" i="19"/>
  <c r="E542" i="19"/>
  <c r="E525" i="19"/>
  <c r="E502" i="19"/>
  <c r="E483" i="19"/>
  <c r="R1391" i="19"/>
  <c r="V1322" i="19"/>
  <c r="W1322" i="19" s="1"/>
  <c r="X1322" i="19" s="1"/>
  <c r="Y1322" i="19" s="1"/>
  <c r="R1315" i="19"/>
  <c r="J1252" i="19"/>
  <c r="Q1252" i="19" s="1"/>
  <c r="V1231" i="19"/>
  <c r="W1231" i="19" s="1"/>
  <c r="X1231" i="19" s="1"/>
  <c r="Y1231" i="19" s="1"/>
  <c r="V1118" i="19"/>
  <c r="W1118" i="19" s="1"/>
  <c r="X1118" i="19" s="1"/>
  <c r="Y1118" i="19" s="1"/>
  <c r="V1067" i="19"/>
  <c r="W1067" i="19" s="1"/>
  <c r="X1067" i="19" s="1"/>
  <c r="Y1067" i="19" s="1"/>
  <c r="V1038" i="19"/>
  <c r="W1038" i="19" s="1"/>
  <c r="X1038" i="19" s="1"/>
  <c r="Y1038" i="19" s="1"/>
  <c r="AE1273" i="19"/>
  <c r="AE1034" i="19"/>
  <c r="AE681" i="19"/>
  <c r="AE900" i="19"/>
  <c r="E900" i="19"/>
  <c r="AE809" i="19"/>
  <c r="E809" i="19"/>
  <c r="AE537" i="19"/>
  <c r="E537" i="19"/>
  <c r="J387" i="19"/>
  <c r="Q387" i="19" s="1"/>
  <c r="E871" i="19"/>
  <c r="V1085" i="19"/>
  <c r="W1085" i="19" s="1"/>
  <c r="X1085" i="19" s="1"/>
  <c r="Y1085" i="19" s="1"/>
  <c r="V861" i="19"/>
  <c r="W861" i="19" s="1"/>
  <c r="X861" i="19" s="1"/>
  <c r="Y861" i="19" s="1"/>
  <c r="AE1230" i="19"/>
  <c r="E1230" i="19"/>
  <c r="AE1213" i="19"/>
  <c r="E1213" i="19"/>
  <c r="AE1083" i="19"/>
  <c r="E1083" i="19"/>
  <c r="E939" i="19"/>
  <c r="AE939" i="19"/>
  <c r="AE926" i="19"/>
  <c r="E926" i="19"/>
  <c r="AE917" i="19"/>
  <c r="E917" i="19"/>
  <c r="AE904" i="19"/>
  <c r="E904" i="19"/>
  <c r="AE836" i="19"/>
  <c r="E836" i="19"/>
  <c r="AE831" i="19"/>
  <c r="E831" i="19"/>
  <c r="E796" i="19"/>
  <c r="AE796" i="19"/>
  <c r="AE784" i="19"/>
  <c r="E784" i="19"/>
  <c r="AE764" i="19"/>
  <c r="E764" i="19"/>
  <c r="AE705" i="19"/>
  <c r="E705" i="19"/>
  <c r="AE643" i="19"/>
  <c r="E643" i="19"/>
  <c r="E586" i="19"/>
  <c r="AE586" i="19"/>
  <c r="AE578" i="19"/>
  <c r="E578" i="19"/>
  <c r="AE571" i="19"/>
  <c r="E571" i="19"/>
  <c r="AE500" i="19"/>
  <c r="E500" i="19"/>
  <c r="E789" i="19"/>
  <c r="E768" i="19"/>
  <c r="V1352" i="19"/>
  <c r="W1352" i="19" s="1"/>
  <c r="X1352" i="19" s="1"/>
  <c r="Y1352" i="19" s="1"/>
  <c r="V1013" i="19"/>
  <c r="W1013" i="19" s="1"/>
  <c r="X1013" i="19" s="1"/>
  <c r="Y1013" i="19" s="1"/>
  <c r="AE862" i="19"/>
  <c r="E862" i="19"/>
  <c r="AE772" i="19"/>
  <c r="E772" i="19"/>
  <c r="J576" i="19"/>
  <c r="Q576" i="19" s="1"/>
  <c r="AE574" i="19"/>
  <c r="E574" i="19"/>
  <c r="AE442" i="19"/>
  <c r="E442" i="19"/>
  <c r="E1364" i="19"/>
  <c r="E1259" i="19"/>
  <c r="E1043" i="19"/>
  <c r="E1047" i="19"/>
  <c r="AE1047" i="19"/>
  <c r="E955" i="19"/>
  <c r="AE955" i="19"/>
  <c r="AE887" i="19"/>
  <c r="E887" i="19"/>
  <c r="AE695" i="19"/>
  <c r="E695" i="19"/>
  <c r="E1309" i="19"/>
  <c r="AE1309" i="19"/>
  <c r="AE1292" i="19"/>
  <c r="E1292" i="19"/>
  <c r="E709" i="19"/>
  <c r="V1309" i="19"/>
  <c r="W1309" i="19" s="1"/>
  <c r="X1309" i="19" s="1"/>
  <c r="Y1309" i="19" s="1"/>
  <c r="AE1248" i="19"/>
  <c r="E1248" i="19"/>
  <c r="AE1167" i="19"/>
  <c r="E1167" i="19"/>
  <c r="AE1163" i="19"/>
  <c r="E1163" i="19"/>
  <c r="AE1141" i="19"/>
  <c r="E1141" i="19"/>
  <c r="AE950" i="19"/>
  <c r="E950" i="19"/>
  <c r="AE825" i="19"/>
  <c r="E825" i="19"/>
  <c r="AE521" i="19"/>
  <c r="E521" i="19"/>
  <c r="E1222" i="19"/>
  <c r="E943" i="19"/>
  <c r="E843" i="19"/>
  <c r="E823" i="19"/>
  <c r="E780" i="19"/>
  <c r="E724" i="19"/>
  <c r="E582" i="19"/>
  <c r="E465" i="19"/>
  <c r="E425" i="19"/>
  <c r="V898" i="19"/>
  <c r="W898" i="19" s="1"/>
  <c r="X898" i="19" s="1"/>
  <c r="Y898" i="19" s="1"/>
  <c r="V1196" i="19"/>
  <c r="W1196" i="19" s="1"/>
  <c r="X1196" i="19" s="1"/>
  <c r="Y1196" i="19" s="1"/>
  <c r="AE1153" i="19"/>
  <c r="E1153" i="19"/>
  <c r="AE1140" i="19"/>
  <c r="E1140" i="19"/>
  <c r="AE991" i="19"/>
  <c r="E991" i="19"/>
  <c r="AE979" i="19"/>
  <c r="E979" i="19"/>
  <c r="AE890" i="19"/>
  <c r="E890" i="19"/>
  <c r="AE762" i="19"/>
  <c r="E762" i="19"/>
  <c r="AE734" i="19"/>
  <c r="E734" i="19"/>
  <c r="AE727" i="19"/>
  <c r="E727" i="19"/>
  <c r="AE707" i="19"/>
  <c r="E707" i="19"/>
  <c r="AE703" i="19"/>
  <c r="E703" i="19"/>
  <c r="V628" i="19"/>
  <c r="W628" i="19" s="1"/>
  <c r="X628" i="19" s="1"/>
  <c r="Y628" i="19" s="1"/>
  <c r="AE652" i="19"/>
  <c r="E652" i="19"/>
  <c r="AE576" i="19"/>
  <c r="E576" i="19"/>
  <c r="AE546" i="19"/>
  <c r="E546" i="19"/>
  <c r="AE534" i="19"/>
  <c r="E534" i="19"/>
  <c r="E520" i="19"/>
  <c r="AE520" i="19"/>
  <c r="AE509" i="19"/>
  <c r="E509" i="19"/>
  <c r="AE468" i="19"/>
  <c r="E468" i="19"/>
  <c r="AE464" i="19"/>
  <c r="E464" i="19"/>
  <c r="AE459" i="19"/>
  <c r="E459" i="19"/>
  <c r="E452" i="19"/>
  <c r="AE452" i="19"/>
  <c r="V397" i="19"/>
  <c r="W397" i="19" s="1"/>
  <c r="X397" i="19" s="1"/>
  <c r="Y397" i="19" s="1"/>
  <c r="AE432" i="19"/>
  <c r="E432" i="19"/>
  <c r="AE428" i="19"/>
  <c r="E428" i="19"/>
  <c r="AE1340" i="19"/>
  <c r="E1340" i="19"/>
  <c r="E1341" i="19"/>
  <c r="E1270" i="19"/>
  <c r="E1254" i="19"/>
  <c r="E1202" i="19"/>
  <c r="E1183" i="19"/>
  <c r="E1094" i="19"/>
  <c r="E1075" i="19"/>
  <c r="E1015" i="19"/>
  <c r="E976" i="19"/>
  <c r="E959" i="19"/>
  <c r="E938" i="19"/>
  <c r="E879" i="19"/>
  <c r="E799" i="19"/>
  <c r="E760" i="19"/>
  <c r="E741" i="19"/>
  <c r="E642" i="19"/>
  <c r="E601" i="19"/>
  <c r="E580" i="19"/>
  <c r="V1384" i="19"/>
  <c r="W1384" i="19" s="1"/>
  <c r="X1384" i="19" s="1"/>
  <c r="Y1384" i="19" s="1"/>
  <c r="V1204" i="19"/>
  <c r="W1204" i="19" s="1"/>
  <c r="X1204" i="19" s="1"/>
  <c r="Y1204" i="19" s="1"/>
  <c r="R1170" i="19"/>
  <c r="V969" i="19"/>
  <c r="W969" i="19" s="1"/>
  <c r="X969" i="19" s="1"/>
  <c r="Y969" i="19" s="1"/>
  <c r="R893" i="19"/>
  <c r="V869" i="19"/>
  <c r="W869" i="19" s="1"/>
  <c r="X869" i="19" s="1"/>
  <c r="Y869" i="19" s="1"/>
  <c r="V801" i="19"/>
  <c r="W801" i="19" s="1"/>
  <c r="X801" i="19" s="1"/>
  <c r="Y801" i="19" s="1"/>
  <c r="V680" i="19"/>
  <c r="W680" i="19" s="1"/>
  <c r="X680" i="19" s="1"/>
  <c r="Y680" i="19" s="1"/>
  <c r="R574" i="19"/>
  <c r="R509" i="19"/>
  <c r="V483" i="19"/>
  <c r="W483" i="19" s="1"/>
  <c r="X483" i="19" s="1"/>
  <c r="Y483" i="19" s="1"/>
  <c r="AE1201" i="19"/>
  <c r="E1201" i="19"/>
  <c r="AE1117" i="19"/>
  <c r="E1117" i="19"/>
  <c r="AE1092" i="19"/>
  <c r="E1092" i="19"/>
  <c r="AE1071" i="19"/>
  <c r="E1071" i="19"/>
  <c r="AE1019" i="19"/>
  <c r="E1019" i="19"/>
  <c r="E982" i="19"/>
  <c r="AE982" i="19"/>
  <c r="AE914" i="19"/>
  <c r="E914" i="19"/>
  <c r="AE864" i="19"/>
  <c r="E864" i="19"/>
  <c r="AE847" i="19"/>
  <c r="E847" i="19"/>
  <c r="AE838" i="19"/>
  <c r="E838" i="19"/>
  <c r="E834" i="19"/>
  <c r="AE834" i="19"/>
  <c r="AE812" i="19"/>
  <c r="E812" i="19"/>
  <c r="AE720" i="19"/>
  <c r="E720" i="19"/>
  <c r="AE654" i="19"/>
  <c r="E654" i="19"/>
  <c r="AE612" i="19"/>
  <c r="E612" i="19"/>
  <c r="AE608" i="19"/>
  <c r="E608" i="19"/>
  <c r="AE523" i="19"/>
  <c r="E523" i="19"/>
  <c r="AE440" i="19"/>
  <c r="E440" i="19"/>
  <c r="J1320" i="19"/>
  <c r="Q1320" i="19" s="1"/>
  <c r="AE1333" i="19"/>
  <c r="E1333" i="19"/>
  <c r="V1377" i="19"/>
  <c r="W1377" i="19" s="1"/>
  <c r="X1377" i="19" s="1"/>
  <c r="Y1377" i="19" s="1"/>
  <c r="Q1388" i="19"/>
  <c r="J1376" i="19"/>
  <c r="Q1376" i="19" s="1"/>
  <c r="E1074" i="19"/>
  <c r="R1291" i="19"/>
  <c r="R1146" i="19"/>
  <c r="V761" i="19"/>
  <c r="W761" i="19" s="1"/>
  <c r="X761" i="19" s="1"/>
  <c r="Y761" i="19" s="1"/>
  <c r="V693" i="19"/>
  <c r="W693" i="19" s="1"/>
  <c r="X693" i="19" s="1"/>
  <c r="Y693" i="19" s="1"/>
  <c r="V477" i="19"/>
  <c r="W477" i="19" s="1"/>
  <c r="X477" i="19" s="1"/>
  <c r="Y477" i="19" s="1"/>
  <c r="AE1285" i="19"/>
  <c r="Q1363" i="19"/>
  <c r="V1192" i="19"/>
  <c r="W1192" i="19" s="1"/>
  <c r="X1192" i="19" s="1"/>
  <c r="Y1192" i="19" s="1"/>
  <c r="R1184" i="19"/>
  <c r="V992" i="19"/>
  <c r="W992" i="19" s="1"/>
  <c r="X992" i="19" s="1"/>
  <c r="Y992" i="19" s="1"/>
  <c r="V793" i="19"/>
  <c r="W793" i="19" s="1"/>
  <c r="X793" i="19" s="1"/>
  <c r="Y793" i="19" s="1"/>
  <c r="V561" i="19"/>
  <c r="W561" i="19" s="1"/>
  <c r="X561" i="19" s="1"/>
  <c r="Y561" i="19" s="1"/>
  <c r="AE965" i="19"/>
  <c r="AE1263" i="19"/>
  <c r="E1263" i="19"/>
  <c r="AE1251" i="19"/>
  <c r="E1251" i="19"/>
  <c r="AE1236" i="19"/>
  <c r="E1236" i="19"/>
  <c r="AE1155" i="19"/>
  <c r="E1155" i="19"/>
  <c r="E1116" i="19"/>
  <c r="AE1116" i="19"/>
  <c r="AE1104" i="19"/>
  <c r="E1104" i="19"/>
  <c r="E1031" i="19"/>
  <c r="AE1031" i="19"/>
  <c r="E770" i="19"/>
  <c r="AE770" i="19"/>
  <c r="AE743" i="19"/>
  <c r="E743" i="19"/>
  <c r="AE728" i="19"/>
  <c r="E728" i="19"/>
  <c r="AE704" i="19"/>
  <c r="E704" i="19"/>
  <c r="AE678" i="19"/>
  <c r="E678" i="19"/>
  <c r="AE665" i="19"/>
  <c r="E665" i="19"/>
  <c r="AE626" i="19"/>
  <c r="E626" i="19"/>
  <c r="AE615" i="19"/>
  <c r="E615" i="19"/>
  <c r="AE536" i="19"/>
  <c r="E536" i="19"/>
  <c r="AE476" i="19"/>
  <c r="E476" i="19"/>
  <c r="AE1296" i="19"/>
  <c r="E1296" i="19"/>
  <c r="E1289" i="19"/>
  <c r="E1101" i="19"/>
  <c r="E1053" i="19"/>
  <c r="E1001" i="19"/>
  <c r="E985" i="19"/>
  <c r="E815" i="19"/>
  <c r="E591" i="19"/>
  <c r="E522" i="19"/>
  <c r="E504" i="19"/>
  <c r="Q1383" i="19"/>
  <c r="Q1352" i="19"/>
  <c r="J1266" i="19"/>
  <c r="Q1266" i="19" s="1"/>
  <c r="V1097" i="19"/>
  <c r="W1097" i="19" s="1"/>
  <c r="X1097" i="19" s="1"/>
  <c r="Y1097" i="19" s="1"/>
  <c r="V937" i="19"/>
  <c r="W937" i="19" s="1"/>
  <c r="X937" i="19" s="1"/>
  <c r="Y937" i="19" s="1"/>
  <c r="V848" i="19"/>
  <c r="W848" i="19" s="1"/>
  <c r="X848" i="19" s="1"/>
  <c r="Y848" i="19" s="1"/>
  <c r="J705" i="19"/>
  <c r="Q705" i="19" s="1"/>
  <c r="AE560" i="19"/>
  <c r="E560" i="19"/>
  <c r="Q1319" i="19"/>
  <c r="E1215" i="19"/>
  <c r="E1203" i="19"/>
  <c r="E1059" i="19"/>
  <c r="E969" i="19"/>
  <c r="E929" i="19"/>
  <c r="E785" i="19"/>
  <c r="E733" i="19"/>
  <c r="E628" i="19"/>
  <c r="E563" i="19"/>
  <c r="L5" i="19"/>
  <c r="L7" i="19"/>
  <c r="L18" i="19"/>
  <c r="L20" i="19"/>
  <c r="L50" i="19"/>
  <c r="L52" i="19"/>
  <c r="L65" i="19"/>
  <c r="L67" i="19"/>
  <c r="M67" i="19" s="1"/>
  <c r="L69" i="19"/>
  <c r="L88" i="19"/>
  <c r="L116" i="19"/>
  <c r="M116" i="19" s="1"/>
  <c r="L127" i="19"/>
  <c r="L138" i="19"/>
  <c r="L140" i="19"/>
  <c r="L149" i="19"/>
  <c r="L156" i="19"/>
  <c r="L171" i="19"/>
  <c r="L193" i="19"/>
  <c r="L213" i="19"/>
  <c r="L215" i="19"/>
  <c r="M215" i="19" s="1"/>
  <c r="L228" i="19"/>
  <c r="L237" i="19"/>
  <c r="L248" i="19"/>
  <c r="M248" i="19" s="1"/>
  <c r="L257" i="19"/>
  <c r="L259" i="19"/>
  <c r="L261" i="19"/>
  <c r="L263" i="19"/>
  <c r="L265" i="19"/>
  <c r="L290" i="19"/>
  <c r="L307" i="19"/>
  <c r="L320" i="19"/>
  <c r="L333" i="19"/>
  <c r="M333" i="19" s="1"/>
  <c r="L346" i="19"/>
  <c r="L348" i="19"/>
  <c r="L370" i="19"/>
  <c r="L394" i="19"/>
  <c r="M394" i="19" s="1"/>
  <c r="L396" i="19"/>
  <c r="L415" i="19"/>
  <c r="L417" i="19"/>
  <c r="L426" i="19"/>
  <c r="L435" i="19"/>
  <c r="L437" i="19"/>
  <c r="L475" i="19"/>
  <c r="L477" i="19"/>
  <c r="M477" i="19" s="1"/>
  <c r="L498" i="19"/>
  <c r="L500" i="19"/>
  <c r="L502" i="19"/>
  <c r="M502" i="19" s="1"/>
  <c r="L521" i="19"/>
  <c r="L523" i="19"/>
  <c r="M523" i="19" s="1"/>
  <c r="L525" i="19"/>
  <c r="L557" i="19"/>
  <c r="L559" i="19"/>
  <c r="L561" i="19"/>
  <c r="L578" i="19"/>
  <c r="L591" i="19"/>
  <c r="L618" i="19"/>
  <c r="M618" i="19" s="1"/>
  <c r="L635" i="19"/>
  <c r="L637" i="19"/>
  <c r="L639" i="19"/>
  <c r="M639" i="19" s="1"/>
  <c r="L641" i="19"/>
  <c r="L643" i="19"/>
  <c r="M643" i="19" s="1"/>
  <c r="L660" i="19"/>
  <c r="L662" i="19"/>
  <c r="L664" i="19"/>
  <c r="L685" i="19"/>
  <c r="L696" i="19"/>
  <c r="L717" i="19"/>
  <c r="L747" i="19"/>
  <c r="M747" i="19" s="1"/>
  <c r="L35" i="19"/>
  <c r="L37" i="19"/>
  <c r="L39" i="19"/>
  <c r="M39" i="19" s="1"/>
  <c r="L90" i="19"/>
  <c r="L92" i="19"/>
  <c r="M92" i="19" s="1"/>
  <c r="L113" i="19"/>
  <c r="L115" i="19"/>
  <c r="L117" i="19"/>
  <c r="L132" i="19"/>
  <c r="L134" i="19"/>
  <c r="L136" i="19"/>
  <c r="L153" i="19"/>
  <c r="M153" i="19" s="1"/>
  <c r="L170" i="19"/>
  <c r="L174" i="19"/>
  <c r="L176" i="19"/>
  <c r="L189" i="19"/>
  <c r="L250" i="19"/>
  <c r="M250" i="19" s="1"/>
  <c r="L264" i="19"/>
  <c r="L266" i="19"/>
  <c r="L268" i="19"/>
  <c r="L284" i="19"/>
  <c r="L286" i="19"/>
  <c r="L309" i="19"/>
  <c r="L311" i="19"/>
  <c r="M311" i="19" s="1"/>
  <c r="L315" i="19"/>
  <c r="L328" i="19"/>
  <c r="L330" i="19"/>
  <c r="L332" i="19"/>
  <c r="L334" i="19"/>
  <c r="L355" i="19"/>
  <c r="L366" i="19"/>
  <c r="L428" i="19"/>
  <c r="L430" i="19"/>
  <c r="L465" i="19"/>
  <c r="L469" i="19"/>
  <c r="L471" i="19"/>
  <c r="M471" i="19" s="1"/>
  <c r="L483" i="19"/>
  <c r="L503" i="19"/>
  <c r="L535" i="19"/>
  <c r="L554" i="19"/>
  <c r="L556" i="19"/>
  <c r="L558" i="19"/>
  <c r="L570" i="19"/>
  <c r="L574" i="19"/>
  <c r="L593" i="19"/>
  <c r="L595" i="19"/>
  <c r="L597" i="19"/>
  <c r="L599" i="19"/>
  <c r="M599" i="19" s="1"/>
  <c r="L624" i="19"/>
  <c r="L626" i="19"/>
  <c r="L628" i="19"/>
  <c r="L640" i="19"/>
  <c r="M640" i="19" s="1"/>
  <c r="L650" i="19"/>
  <c r="L676" i="19"/>
  <c r="L693" i="19"/>
  <c r="L728" i="19"/>
  <c r="L730" i="19"/>
  <c r="L753" i="19"/>
  <c r="L755" i="19"/>
  <c r="L770" i="19"/>
  <c r="M770" i="19" s="1"/>
  <c r="L772" i="19"/>
  <c r="L781" i="19"/>
  <c r="L790" i="19"/>
  <c r="M790" i="19" s="1"/>
  <c r="L822" i="19"/>
  <c r="L843" i="19"/>
  <c r="L868" i="19"/>
  <c r="L870" i="19"/>
  <c r="L877" i="19"/>
  <c r="L893" i="19"/>
  <c r="L905" i="19"/>
  <c r="L914" i="19"/>
  <c r="L923" i="19"/>
  <c r="M923" i="19" s="1"/>
  <c r="L54" i="19"/>
  <c r="L56" i="19"/>
  <c r="L64" i="19"/>
  <c r="M64" i="19" s="1"/>
  <c r="L66" i="19"/>
  <c r="L84" i="19"/>
  <c r="M84" i="19" s="1"/>
  <c r="L86" i="19"/>
  <c r="L94" i="19"/>
  <c r="L96" i="19"/>
  <c r="L199" i="19"/>
  <c r="L234" i="19"/>
  <c r="L326" i="19"/>
  <c r="L342" i="19"/>
  <c r="M342" i="19" s="1"/>
  <c r="L344" i="19"/>
  <c r="L350" i="19"/>
  <c r="L352" i="19"/>
  <c r="L356" i="19"/>
  <c r="L389" i="19"/>
  <c r="M389" i="19" s="1"/>
  <c r="L391" i="19"/>
  <c r="L397" i="19"/>
  <c r="L401" i="19"/>
  <c r="L444" i="19"/>
  <c r="L495" i="19"/>
  <c r="L512" i="19"/>
  <c r="L529" i="19"/>
  <c r="L531" i="19"/>
  <c r="L547" i="19"/>
  <c r="L549" i="19"/>
  <c r="M549" i="19" s="1"/>
  <c r="L551" i="19"/>
  <c r="L553" i="19"/>
  <c r="L555" i="19"/>
  <c r="L623" i="19"/>
  <c r="L625" i="19"/>
  <c r="L633" i="19"/>
  <c r="L642" i="19"/>
  <c r="L646" i="19"/>
  <c r="L648" i="19"/>
  <c r="L679" i="19"/>
  <c r="L687" i="19"/>
  <c r="L689" i="19"/>
  <c r="L705" i="19"/>
  <c r="L707" i="19"/>
  <c r="L709" i="19"/>
  <c r="L711" i="19"/>
  <c r="L713" i="19"/>
  <c r="L715" i="19"/>
  <c r="L789" i="19"/>
  <c r="L800" i="19"/>
  <c r="L826" i="19"/>
  <c r="L840" i="19"/>
  <c r="L855" i="19"/>
  <c r="L864" i="19"/>
  <c r="L879" i="19"/>
  <c r="L886" i="19"/>
  <c r="L897" i="19"/>
  <c r="L913" i="19"/>
  <c r="L915" i="19"/>
  <c r="L924" i="19"/>
  <c r="L926" i="19"/>
  <c r="L933" i="19"/>
  <c r="L940" i="19"/>
  <c r="M940" i="19" s="1"/>
  <c r="L947" i="19"/>
  <c r="L967" i="19"/>
  <c r="L974" i="19"/>
  <c r="M974" i="19" s="1"/>
  <c r="L990" i="19"/>
  <c r="L997" i="19"/>
  <c r="L1011" i="19"/>
  <c r="L1018" i="19"/>
  <c r="L1020" i="19"/>
  <c r="L1027" i="19"/>
  <c r="L1029" i="19"/>
  <c r="L1036" i="19"/>
  <c r="L1043" i="19"/>
  <c r="M1043" i="19" s="1"/>
  <c r="L1050" i="19"/>
  <c r="L1057" i="19"/>
  <c r="L1066" i="19"/>
  <c r="L1077" i="19"/>
  <c r="M1077" i="19" s="1"/>
  <c r="L1091" i="19"/>
  <c r="L1100" i="19"/>
  <c r="L1107" i="19"/>
  <c r="L1114" i="19"/>
  <c r="L1128" i="19"/>
  <c r="L1147" i="19"/>
  <c r="L1159" i="19"/>
  <c r="L1166" i="19"/>
  <c r="M1166" i="19" s="1"/>
  <c r="L1173" i="19"/>
  <c r="L1185" i="19"/>
  <c r="L1197" i="19"/>
  <c r="L1204" i="19"/>
  <c r="L1211" i="19"/>
  <c r="L1223" i="19"/>
  <c r="L1242" i="19"/>
  <c r="L1249" i="19"/>
  <c r="L1261" i="19"/>
  <c r="L1287" i="19"/>
  <c r="L1299" i="19"/>
  <c r="L1325" i="19"/>
  <c r="M1325" i="19" s="1"/>
  <c r="L1337" i="19"/>
  <c r="L1344" i="19"/>
  <c r="L1363" i="19"/>
  <c r="M1363" i="19" s="1"/>
  <c r="L1375" i="19"/>
  <c r="L1382" i="19"/>
  <c r="L1389" i="19"/>
  <c r="L26" i="19"/>
  <c r="L28" i="19"/>
  <c r="L38" i="19"/>
  <c r="L40" i="19"/>
  <c r="L42" i="19"/>
  <c r="L44" i="19"/>
  <c r="L46" i="19"/>
  <c r="L48" i="19"/>
  <c r="L98" i="19"/>
  <c r="M98" i="19" s="1"/>
  <c r="L100" i="19"/>
  <c r="L106" i="19"/>
  <c r="L118" i="19"/>
  <c r="L120" i="19"/>
  <c r="L122" i="19"/>
  <c r="L142" i="19"/>
  <c r="L144" i="19"/>
  <c r="L146" i="19"/>
  <c r="L150" i="19"/>
  <c r="M150" i="19" s="1"/>
  <c r="L162" i="19"/>
  <c r="L182" i="19"/>
  <c r="M182" i="19" s="1"/>
  <c r="L201" i="19"/>
  <c r="L236" i="19"/>
  <c r="L238" i="19"/>
  <c r="M238" i="19" s="1"/>
  <c r="L354" i="19"/>
  <c r="L358" i="19"/>
  <c r="L360" i="19"/>
  <c r="L362" i="19"/>
  <c r="L399" i="19"/>
  <c r="L412" i="19"/>
  <c r="L442" i="19"/>
  <c r="M442" i="19" s="1"/>
  <c r="L493" i="19"/>
  <c r="L508" i="19"/>
  <c r="L510" i="19"/>
  <c r="L527" i="19"/>
  <c r="M527" i="19" s="1"/>
  <c r="L652" i="19"/>
  <c r="M652" i="19" s="1"/>
  <c r="L654" i="19"/>
  <c r="L675" i="19"/>
  <c r="L681" i="19"/>
  <c r="L683" i="19"/>
  <c r="L691" i="19"/>
  <c r="L703" i="19"/>
  <c r="L719" i="19"/>
  <c r="M719" i="19" s="1"/>
  <c r="L721" i="19"/>
  <c r="L739" i="19"/>
  <c r="L741" i="19"/>
  <c r="M741" i="19" s="1"/>
  <c r="L743" i="19"/>
  <c r="L745" i="19"/>
  <c r="M745" i="19" s="1"/>
  <c r="L778" i="19"/>
  <c r="L791" i="19"/>
  <c r="L802" i="19"/>
  <c r="L804" i="19"/>
  <c r="L815" i="19"/>
  <c r="L833" i="19"/>
  <c r="L853" i="19"/>
  <c r="L857" i="19"/>
  <c r="L904" i="19"/>
  <c r="M904" i="19" s="1"/>
  <c r="L906" i="19"/>
  <c r="L935" i="19"/>
  <c r="M935" i="19" s="1"/>
  <c r="L942" i="19"/>
  <c r="L949" i="19"/>
  <c r="L958" i="19"/>
  <c r="L969" i="19"/>
  <c r="L983" i="19"/>
  <c r="L992" i="19"/>
  <c r="L999" i="19"/>
  <c r="L1006" i="19"/>
  <c r="M1006" i="19" s="1"/>
  <c r="L1038" i="19"/>
  <c r="L1059" i="19"/>
  <c r="L1084" i="19"/>
  <c r="L1086" i="19"/>
  <c r="L1093" i="19"/>
  <c r="M1093" i="19" s="1"/>
  <c r="L1109" i="19"/>
  <c r="L1121" i="19"/>
  <c r="L1135" i="19"/>
  <c r="L1142" i="19"/>
  <c r="L1154" i="19"/>
  <c r="L1180" i="19"/>
  <c r="L1192" i="19"/>
  <c r="M1192" i="19" s="1"/>
  <c r="L1199" i="19"/>
  <c r="L1218" i="19"/>
  <c r="L1230" i="19"/>
  <c r="L1237" i="19"/>
  <c r="L1244" i="19"/>
  <c r="L1256" i="19"/>
  <c r="L1268" i="19"/>
  <c r="L1275" i="19"/>
  <c r="L1282" i="19"/>
  <c r="L1294" i="19"/>
  <c r="L1306" i="19"/>
  <c r="L1313" i="19"/>
  <c r="M1313" i="19" s="1"/>
  <c r="L1320" i="19"/>
  <c r="L1332" i="19"/>
  <c r="L12" i="19"/>
  <c r="L14" i="19"/>
  <c r="L16" i="19"/>
  <c r="M16" i="19" s="1"/>
  <c r="L34" i="19"/>
  <c r="L75" i="19"/>
  <c r="L130" i="19"/>
  <c r="L154" i="19"/>
  <c r="L158" i="19"/>
  <c r="L168" i="19"/>
  <c r="L188" i="19"/>
  <c r="M188" i="19" s="1"/>
  <c r="L205" i="19"/>
  <c r="L209" i="19"/>
  <c r="L217" i="19"/>
  <c r="M217" i="19" s="1"/>
  <c r="L219" i="19"/>
  <c r="L223" i="19"/>
  <c r="M223" i="19" s="1"/>
  <c r="L240" i="19"/>
  <c r="L242" i="19"/>
  <c r="L244" i="19"/>
  <c r="L260" i="19"/>
  <c r="L269" i="19"/>
  <c r="L273" i="19"/>
  <c r="L275" i="19"/>
  <c r="M275" i="19" s="1"/>
  <c r="L277" i="19"/>
  <c r="L279" i="19"/>
  <c r="L281" i="19"/>
  <c r="L283" i="19"/>
  <c r="L285" i="19"/>
  <c r="L289" i="19"/>
  <c r="L291" i="19"/>
  <c r="L297" i="19"/>
  <c r="L299" i="19"/>
  <c r="L313" i="19"/>
  <c r="L319" i="19"/>
  <c r="L368" i="19"/>
  <c r="M368" i="19" s="1"/>
  <c r="L372" i="19"/>
  <c r="L378" i="19"/>
  <c r="L380" i="19"/>
  <c r="M380" i="19" s="1"/>
  <c r="L382" i="19"/>
  <c r="L384" i="19"/>
  <c r="L386" i="19"/>
  <c r="L404" i="19"/>
  <c r="L408" i="19"/>
  <c r="L4" i="19"/>
  <c r="L17" i="19"/>
  <c r="L68" i="19"/>
  <c r="L104" i="19"/>
  <c r="M104" i="19" s="1"/>
  <c r="L128" i="19"/>
  <c r="L139" i="19"/>
  <c r="L143" i="19"/>
  <c r="M143" i="19" s="1"/>
  <c r="L165" i="19"/>
  <c r="M165" i="19" s="1"/>
  <c r="L167" i="19"/>
  <c r="L210" i="19"/>
  <c r="L212" i="19"/>
  <c r="L231" i="19"/>
  <c r="L233" i="19"/>
  <c r="L246" i="19"/>
  <c r="L294" i="19"/>
  <c r="L296" i="19"/>
  <c r="M296" i="19" s="1"/>
  <c r="L339" i="19"/>
  <c r="L343" i="19"/>
  <c r="L393" i="19"/>
  <c r="M393" i="19" s="1"/>
  <c r="L400" i="19"/>
  <c r="L407" i="19"/>
  <c r="L453" i="19"/>
  <c r="L455" i="19"/>
  <c r="L467" i="19"/>
  <c r="L484" i="19"/>
  <c r="L486" i="19"/>
  <c r="L504" i="19"/>
  <c r="L528" i="19"/>
  <c r="M528" i="19" s="1"/>
  <c r="L537" i="19"/>
  <c r="L539" i="19"/>
  <c r="L567" i="19"/>
  <c r="L590" i="19"/>
  <c r="L603" i="19"/>
  <c r="L614" i="19"/>
  <c r="L620" i="19"/>
  <c r="L622" i="19"/>
  <c r="L644" i="19"/>
  <c r="L663" i="19"/>
  <c r="L670" i="19"/>
  <c r="L677" i="19"/>
  <c r="M677" i="19" s="1"/>
  <c r="L700" i="19"/>
  <c r="M700" i="19" s="1"/>
  <c r="L737" i="19"/>
  <c r="L748" i="19"/>
  <c r="L750" i="19"/>
  <c r="L752" i="19"/>
  <c r="L814" i="19"/>
  <c r="L837" i="19"/>
  <c r="L849" i="19"/>
  <c r="L859" i="19"/>
  <c r="L861" i="19"/>
  <c r="L892" i="19"/>
  <c r="L896" i="19"/>
  <c r="M896" i="19" s="1"/>
  <c r="L898" i="19"/>
  <c r="L925" i="19"/>
  <c r="L927" i="19"/>
  <c r="M927" i="19" s="1"/>
  <c r="L929" i="19"/>
  <c r="M929" i="19" s="1"/>
  <c r="L950" i="19"/>
  <c r="L952" i="19"/>
  <c r="L954" i="19"/>
  <c r="L956" i="19"/>
  <c r="L975" i="19"/>
  <c r="L977" i="19"/>
  <c r="L979" i="19"/>
  <c r="L1000" i="19"/>
  <c r="M1000" i="19" s="1"/>
  <c r="L1002" i="19"/>
  <c r="L1017" i="19"/>
  <c r="L1019" i="19"/>
  <c r="M1019" i="19" s="1"/>
  <c r="L1021" i="19"/>
  <c r="L1023" i="19"/>
  <c r="L1046" i="19"/>
  <c r="L1067" i="19"/>
  <c r="L1071" i="19"/>
  <c r="L1073" i="19"/>
  <c r="L1090" i="19"/>
  <c r="L1092" i="19"/>
  <c r="L1111" i="19"/>
  <c r="M1111" i="19" s="1"/>
  <c r="L1124" i="19"/>
  <c r="L1139" i="19"/>
  <c r="L1150" i="19"/>
  <c r="M1150" i="19" s="1"/>
  <c r="L1165" i="19"/>
  <c r="L1178" i="19"/>
  <c r="M1178" i="19" s="1"/>
  <c r="L1206" i="19"/>
  <c r="L1208" i="19"/>
  <c r="L1219" i="19"/>
  <c r="L1232" i="19"/>
  <c r="L1247" i="19"/>
  <c r="L1260" i="19"/>
  <c r="L1273" i="19"/>
  <c r="M1273" i="19" s="1"/>
  <c r="L1286" i="19"/>
  <c r="L1297" i="19"/>
  <c r="L1323" i="19"/>
  <c r="L1336" i="19"/>
  <c r="L1349" i="19"/>
  <c r="M1349" i="19" s="1"/>
  <c r="L1358" i="19"/>
  <c r="L1367" i="19"/>
  <c r="L1383" i="19"/>
  <c r="L13" i="19"/>
  <c r="L55" i="19"/>
  <c r="M55" i="19" s="1"/>
  <c r="L85" i="19"/>
  <c r="L111" i="19"/>
  <c r="M111" i="19" s="1"/>
  <c r="L148" i="19"/>
  <c r="L159" i="19"/>
  <c r="L183" i="19"/>
  <c r="L208" i="19"/>
  <c r="L262" i="19"/>
  <c r="M262" i="19" s="1"/>
  <c r="L278" i="19"/>
  <c r="L324" i="19"/>
  <c r="L367" i="19"/>
  <c r="L385" i="19"/>
  <c r="L403" i="19"/>
  <c r="L421" i="19"/>
  <c r="L423" i="19"/>
  <c r="M423" i="19" s="1"/>
  <c r="L425" i="19"/>
  <c r="L449" i="19"/>
  <c r="L480" i="19"/>
  <c r="M480" i="19" s="1"/>
  <c r="L509" i="19"/>
  <c r="L524" i="19"/>
  <c r="M524" i="19" s="1"/>
  <c r="L550" i="19"/>
  <c r="L552" i="19"/>
  <c r="L608" i="19"/>
  <c r="L659" i="19"/>
  <c r="L666" i="19"/>
  <c r="L688" i="19"/>
  <c r="L690" i="19"/>
  <c r="M690" i="19" s="1"/>
  <c r="L692" i="19"/>
  <c r="L720" i="19"/>
  <c r="L733" i="19"/>
  <c r="M733" i="19" s="1"/>
  <c r="L740" i="19"/>
  <c r="L769" i="19"/>
  <c r="L771" i="19"/>
  <c r="L777" i="19"/>
  <c r="L785" i="19"/>
  <c r="L787" i="19"/>
  <c r="L793" i="19"/>
  <c r="M793" i="19" s="1"/>
  <c r="L795" i="19"/>
  <c r="L830" i="19"/>
  <c r="L867" i="19"/>
  <c r="L881" i="19"/>
  <c r="L908" i="19"/>
  <c r="M908" i="19" s="1"/>
  <c r="L939" i="19"/>
  <c r="L962" i="19"/>
  <c r="L964" i="19"/>
  <c r="L966" i="19"/>
  <c r="L968" i="19"/>
  <c r="L989" i="19"/>
  <c r="L1008" i="19"/>
  <c r="L1039" i="19"/>
  <c r="L1054" i="19"/>
  <c r="M1054" i="19" s="1"/>
  <c r="L1081" i="19"/>
  <c r="L1102" i="19"/>
  <c r="L1117" i="19"/>
  <c r="M1117" i="19" s="1"/>
  <c r="L1132" i="19"/>
  <c r="M1132" i="19" s="1"/>
  <c r="L1143" i="19"/>
  <c r="M1143" i="19" s="1"/>
  <c r="L1156" i="19"/>
  <c r="L1171" i="19"/>
  <c r="L1184" i="19"/>
  <c r="L1195" i="19"/>
  <c r="L1214" i="19"/>
  <c r="M1214" i="19" s="1"/>
  <c r="L1227" i="19"/>
  <c r="L1238" i="19"/>
  <c r="M1238" i="19" s="1"/>
  <c r="L1266" i="19"/>
  <c r="L1279" i="19"/>
  <c r="L1292" i="19"/>
  <c r="M1292" i="19" s="1"/>
  <c r="L1318" i="19"/>
  <c r="L1342" i="19"/>
  <c r="L1355" i="19"/>
  <c r="L1378" i="19"/>
  <c r="R1326" i="19"/>
  <c r="L1316" i="19"/>
  <c r="L1133" i="19"/>
  <c r="M1133" i="19" s="1"/>
  <c r="L1131" i="19"/>
  <c r="L1089" i="19"/>
  <c r="M1089" i="19" s="1"/>
  <c r="L1085" i="19"/>
  <c r="L1079" i="19"/>
  <c r="L1075" i="19"/>
  <c r="M1075" i="19" s="1"/>
  <c r="L1032" i="19"/>
  <c r="L1028" i="19"/>
  <c r="M1028" i="19" s="1"/>
  <c r="L1024" i="19"/>
  <c r="L1015" i="19"/>
  <c r="L995" i="19"/>
  <c r="L993" i="19"/>
  <c r="L981" i="19"/>
  <c r="M981" i="19" s="1"/>
  <c r="L902" i="19"/>
  <c r="L900" i="19"/>
  <c r="M900" i="19" s="1"/>
  <c r="L842" i="19"/>
  <c r="L738" i="19"/>
  <c r="L704" i="19"/>
  <c r="L699" i="19"/>
  <c r="L697" i="19"/>
  <c r="L672" i="19"/>
  <c r="L667" i="19"/>
  <c r="L649" i="19"/>
  <c r="L632" i="19"/>
  <c r="L630" i="19"/>
  <c r="M630" i="19" s="1"/>
  <c r="L619" i="19"/>
  <c r="L601" i="19"/>
  <c r="M601" i="19" s="1"/>
  <c r="L579" i="19"/>
  <c r="L568" i="19"/>
  <c r="L545" i="19"/>
  <c r="L520" i="19"/>
  <c r="L511" i="19"/>
  <c r="L506" i="19"/>
  <c r="L499" i="19"/>
  <c r="L492" i="19"/>
  <c r="L490" i="19"/>
  <c r="L476" i="19"/>
  <c r="M476" i="19" s="1"/>
  <c r="L432" i="19"/>
  <c r="L414" i="19"/>
  <c r="L402" i="19"/>
  <c r="L371" i="19"/>
  <c r="L364" i="19"/>
  <c r="L304" i="19"/>
  <c r="L295" i="19"/>
  <c r="M295" i="19" s="1"/>
  <c r="L271" i="19"/>
  <c r="L256" i="19"/>
  <c r="L247" i="19"/>
  <c r="L221" i="19"/>
  <c r="L214" i="19"/>
  <c r="M214" i="19" s="1"/>
  <c r="L198" i="19"/>
  <c r="L192" i="19"/>
  <c r="L133" i="19"/>
  <c r="L126" i="19"/>
  <c r="L108" i="19"/>
  <c r="M108" i="19" s="1"/>
  <c r="L101" i="19"/>
  <c r="L81" i="19"/>
  <c r="M81" i="19" s="1"/>
  <c r="L72" i="19"/>
  <c r="L70" i="19"/>
  <c r="L24" i="19"/>
  <c r="L22" i="19"/>
  <c r="L15" i="19"/>
  <c r="AE1165" i="19"/>
  <c r="AE1069" i="19"/>
  <c r="E548" i="19"/>
  <c r="AE548" i="19"/>
  <c r="AE488" i="19"/>
  <c r="E488" i="19"/>
  <c r="Q1287" i="19"/>
  <c r="E1381" i="19"/>
  <c r="E1369" i="19"/>
  <c r="E1261" i="19"/>
  <c r="E1249" i="19"/>
  <c r="E1177" i="19"/>
  <c r="E1081" i="19"/>
  <c r="E1032" i="19"/>
  <c r="E940" i="19"/>
  <c r="E901" i="19"/>
  <c r="E744" i="19"/>
  <c r="E443" i="19"/>
  <c r="L1388" i="19"/>
  <c r="M1388" i="19" s="1"/>
  <c r="L1386" i="19"/>
  <c r="L1369" i="19"/>
  <c r="L1365" i="19"/>
  <c r="L1361" i="19"/>
  <c r="V1349" i="19"/>
  <c r="W1349" i="19" s="1"/>
  <c r="X1349" i="19" s="1"/>
  <c r="Y1349" i="19" s="1"/>
  <c r="L1300" i="19"/>
  <c r="L1298" i="19"/>
  <c r="M1298" i="19" s="1"/>
  <c r="L1296" i="19"/>
  <c r="L1278" i="19"/>
  <c r="R1276" i="19"/>
  <c r="L1270" i="19"/>
  <c r="L1202" i="19"/>
  <c r="M1202" i="19" s="1"/>
  <c r="L1125" i="19"/>
  <c r="L1123" i="19"/>
  <c r="L1105" i="19"/>
  <c r="L1101" i="19"/>
  <c r="L1099" i="19"/>
  <c r="M1099" i="19" s="1"/>
  <c r="L1060" i="19"/>
  <c r="L1052" i="19"/>
  <c r="M1052" i="19" s="1"/>
  <c r="L1048" i="19"/>
  <c r="L931" i="19"/>
  <c r="L852" i="19"/>
  <c r="M852" i="19" s="1"/>
  <c r="L844" i="19"/>
  <c r="L807" i="19"/>
  <c r="M807" i="19" s="1"/>
  <c r="L805" i="19"/>
  <c r="L788" i="19"/>
  <c r="L773" i="19"/>
  <c r="R760" i="19"/>
  <c r="L758" i="19"/>
  <c r="M758" i="19" s="1"/>
  <c r="L756" i="19"/>
  <c r="L726" i="19"/>
  <c r="M726" i="19" s="1"/>
  <c r="L724" i="19"/>
  <c r="L701" i="19"/>
  <c r="L674" i="19"/>
  <c r="M674" i="19" s="1"/>
  <c r="L669" i="19"/>
  <c r="L657" i="19"/>
  <c r="M657" i="19" s="1"/>
  <c r="L655" i="19"/>
  <c r="L634" i="19"/>
  <c r="L612" i="19"/>
  <c r="L581" i="19"/>
  <c r="M581" i="19" s="1"/>
  <c r="L563" i="19"/>
  <c r="M563" i="19" s="1"/>
  <c r="L538" i="19"/>
  <c r="L536" i="19"/>
  <c r="M536" i="19" s="1"/>
  <c r="L513" i="19"/>
  <c r="L494" i="19"/>
  <c r="L436" i="19"/>
  <c r="L416" i="19"/>
  <c r="L387" i="19"/>
  <c r="M387" i="19" s="1"/>
  <c r="L377" i="19"/>
  <c r="L375" i="19"/>
  <c r="L373" i="19"/>
  <c r="L357" i="19"/>
  <c r="L337" i="19"/>
  <c r="M337" i="19" s="1"/>
  <c r="L317" i="19"/>
  <c r="L308" i="19"/>
  <c r="M308" i="19" s="1"/>
  <c r="L258" i="19"/>
  <c r="L249" i="19"/>
  <c r="L229" i="19"/>
  <c r="M229" i="19" s="1"/>
  <c r="L204" i="19"/>
  <c r="L200" i="19"/>
  <c r="L196" i="19"/>
  <c r="L194" i="19"/>
  <c r="L185" i="19"/>
  <c r="L151" i="19"/>
  <c r="L53" i="19"/>
  <c r="M53" i="19" s="1"/>
  <c r="AE1040" i="19"/>
  <c r="E1040" i="19"/>
  <c r="AE1016" i="19"/>
  <c r="E1016" i="19"/>
  <c r="AE956" i="19"/>
  <c r="E956" i="19"/>
  <c r="AE932" i="19"/>
  <c r="E932" i="19"/>
  <c r="AE920" i="19"/>
  <c r="E920" i="19"/>
  <c r="J842" i="19"/>
  <c r="Q842" i="19" s="1"/>
  <c r="AE824" i="19"/>
  <c r="E824" i="19"/>
  <c r="J738" i="19"/>
  <c r="Q738" i="19" s="1"/>
  <c r="Q622" i="19"/>
  <c r="Q1307" i="19"/>
  <c r="Q1271" i="19"/>
  <c r="E1284" i="19"/>
  <c r="E1272" i="19"/>
  <c r="E1224" i="19"/>
  <c r="E1176" i="19"/>
  <c r="E1128" i="19"/>
  <c r="E1056" i="19"/>
  <c r="E756" i="19"/>
  <c r="E651" i="19"/>
  <c r="E533" i="19"/>
  <c r="E507" i="19"/>
  <c r="L1384" i="19"/>
  <c r="R1378" i="19"/>
  <c r="L1359" i="19"/>
  <c r="L1357" i="19"/>
  <c r="L1347" i="19"/>
  <c r="L1335" i="19"/>
  <c r="R1296" i="19"/>
  <c r="L1290" i="19"/>
  <c r="L1288" i="19"/>
  <c r="M1288" i="19" s="1"/>
  <c r="L1284" i="19"/>
  <c r="L1280" i="19"/>
  <c r="M1280" i="19" s="1"/>
  <c r="L1276" i="19"/>
  <c r="L1274" i="19"/>
  <c r="L1272" i="19"/>
  <c r="M1272" i="19" s="1"/>
  <c r="L1264" i="19"/>
  <c r="M1264" i="19" s="1"/>
  <c r="L1262" i="19"/>
  <c r="M1262" i="19" s="1"/>
  <c r="L1258" i="19"/>
  <c r="L1254" i="19"/>
  <c r="L1252" i="19"/>
  <c r="R1246" i="19"/>
  <c r="L1240" i="19"/>
  <c r="M1240" i="19" s="1"/>
  <c r="L1236" i="19"/>
  <c r="L1234" i="19"/>
  <c r="M1234" i="19" s="1"/>
  <c r="L1228" i="19"/>
  <c r="L1226" i="19"/>
  <c r="L1200" i="19"/>
  <c r="L1198" i="19"/>
  <c r="L1196" i="19"/>
  <c r="M1196" i="19" s="1"/>
  <c r="L1194" i="19"/>
  <c r="R1125" i="19"/>
  <c r="L1119" i="19"/>
  <c r="L1115" i="19"/>
  <c r="L1113" i="19"/>
  <c r="M1113" i="19" s="1"/>
  <c r="L1103" i="19"/>
  <c r="L1097" i="19"/>
  <c r="M1097" i="19" s="1"/>
  <c r="L1062" i="19"/>
  <c r="L1044" i="19"/>
  <c r="L1042" i="19"/>
  <c r="L1040" i="19"/>
  <c r="L941" i="19"/>
  <c r="M941" i="19" s="1"/>
  <c r="L937" i="19"/>
  <c r="L922" i="19"/>
  <c r="L918" i="19"/>
  <c r="L916" i="19"/>
  <c r="L891" i="19"/>
  <c r="M891" i="19" s="1"/>
  <c r="L889" i="19"/>
  <c r="L869" i="19"/>
  <c r="M869" i="19" s="1"/>
  <c r="L854" i="19"/>
  <c r="L848" i="19"/>
  <c r="L846" i="19"/>
  <c r="M846" i="19" s="1"/>
  <c r="R821" i="19"/>
  <c r="L811" i="19"/>
  <c r="M811" i="19" s="1"/>
  <c r="L809" i="19"/>
  <c r="L779" i="19"/>
  <c r="L775" i="19"/>
  <c r="L764" i="19"/>
  <c r="L762" i="19"/>
  <c r="M762" i="19" s="1"/>
  <c r="L760" i="19"/>
  <c r="L749" i="19"/>
  <c r="M749" i="19" s="1"/>
  <c r="L735" i="19"/>
  <c r="L708" i="19"/>
  <c r="L706" i="19"/>
  <c r="L605" i="19"/>
  <c r="L596" i="19"/>
  <c r="M596" i="19" s="1"/>
  <c r="L583" i="19"/>
  <c r="L565" i="19"/>
  <c r="L540" i="19"/>
  <c r="L485" i="19"/>
  <c r="L478" i="19"/>
  <c r="M478" i="19" s="1"/>
  <c r="L452" i="19"/>
  <c r="L445" i="19"/>
  <c r="M445" i="19" s="1"/>
  <c r="L440" i="19"/>
  <c r="L438" i="19"/>
  <c r="M438" i="19" s="1"/>
  <c r="L409" i="19"/>
  <c r="M409" i="19" s="1"/>
  <c r="L341" i="19"/>
  <c r="L325" i="19"/>
  <c r="M325" i="19" s="1"/>
  <c r="L310" i="19"/>
  <c r="L292" i="19"/>
  <c r="L280" i="19"/>
  <c r="L218" i="19"/>
  <c r="L202" i="19"/>
  <c r="M202" i="19" s="1"/>
  <c r="L187" i="19"/>
  <c r="L160" i="19"/>
  <c r="L135" i="19"/>
  <c r="L119" i="19"/>
  <c r="L112" i="19"/>
  <c r="M112" i="19" s="1"/>
  <c r="L87" i="19"/>
  <c r="L76" i="19"/>
  <c r="M76" i="19" s="1"/>
  <c r="L60" i="19"/>
  <c r="L30" i="19"/>
  <c r="L19" i="19"/>
  <c r="R1380" i="19"/>
  <c r="R1371" i="19"/>
  <c r="R1369" i="19"/>
  <c r="R1362" i="19"/>
  <c r="Q1360" i="19"/>
  <c r="R883" i="19"/>
  <c r="V818" i="19"/>
  <c r="W818" i="19" s="1"/>
  <c r="X818" i="19" s="1"/>
  <c r="Y818" i="19" s="1"/>
  <c r="R799" i="19"/>
  <c r="R773" i="19"/>
  <c r="R1321" i="19"/>
  <c r="R672" i="19"/>
  <c r="R513" i="19"/>
  <c r="R1149" i="19"/>
  <c r="Q709" i="19"/>
  <c r="R689" i="19"/>
  <c r="Q1387" i="19"/>
  <c r="V809" i="19"/>
  <c r="W809" i="19" s="1"/>
  <c r="X809" i="19" s="1"/>
  <c r="Y809" i="19" s="1"/>
  <c r="V431" i="19"/>
  <c r="W431" i="19" s="1"/>
  <c r="X431" i="19" s="1"/>
  <c r="Y431" i="19" s="1"/>
  <c r="R829" i="19"/>
  <c r="R560" i="19"/>
  <c r="R457" i="19"/>
  <c r="R715" i="19"/>
  <c r="R616" i="19"/>
  <c r="R424" i="19"/>
  <c r="M5" i="19"/>
  <c r="M8" i="19"/>
  <c r="M23" i="19"/>
  <c r="M62" i="19"/>
  <c r="M83" i="19"/>
  <c r="M89" i="19"/>
  <c r="M107" i="19"/>
  <c r="M122" i="19"/>
  <c r="M173" i="19"/>
  <c r="M73" i="19"/>
  <c r="M109" i="19"/>
  <c r="M114" i="19"/>
  <c r="M175" i="19"/>
  <c r="M183" i="19"/>
  <c r="M209" i="19"/>
  <c r="M239" i="19"/>
  <c r="M326" i="19"/>
  <c r="M335" i="19"/>
  <c r="M353" i="19"/>
  <c r="M383" i="19"/>
  <c r="M386" i="19"/>
  <c r="M395" i="19"/>
  <c r="M124" i="19"/>
  <c r="M298" i="19"/>
  <c r="M381" i="19"/>
  <c r="M300" i="19"/>
  <c r="M61" i="19"/>
  <c r="M93" i="19"/>
  <c r="M220" i="19"/>
  <c r="M303" i="19"/>
  <c r="M512" i="19"/>
  <c r="M548" i="19"/>
  <c r="M573" i="19"/>
  <c r="M620" i="19"/>
  <c r="M667" i="19"/>
  <c r="M324" i="19"/>
  <c r="M556" i="19"/>
  <c r="M63" i="19"/>
  <c r="M168" i="19"/>
  <c r="M241" i="19"/>
  <c r="M364" i="19"/>
  <c r="M396" i="19"/>
  <c r="M694" i="19"/>
  <c r="M322" i="19"/>
  <c r="M443" i="19"/>
  <c r="M463" i="19"/>
  <c r="M486" i="19"/>
  <c r="M496" i="19"/>
  <c r="M366" i="19"/>
  <c r="M21" i="19"/>
  <c r="M97" i="19"/>
  <c r="M123" i="19"/>
  <c r="M336" i="19"/>
  <c r="M521" i="19"/>
  <c r="M752" i="19"/>
  <c r="M571" i="19"/>
  <c r="M589" i="19"/>
  <c r="M627" i="19"/>
  <c r="M695" i="19"/>
  <c r="M710" i="19"/>
  <c r="M779" i="19"/>
  <c r="M794" i="19"/>
  <c r="M824" i="19"/>
  <c r="M866" i="19"/>
  <c r="M872" i="19"/>
  <c r="M932" i="19"/>
  <c r="M938" i="19"/>
  <c r="M944" i="19"/>
  <c r="M950" i="19"/>
  <c r="M1013" i="19"/>
  <c r="M1022" i="19"/>
  <c r="M1055" i="19"/>
  <c r="M1061" i="19"/>
  <c r="M1064" i="19"/>
  <c r="M1067" i="19"/>
  <c r="M1106" i="19"/>
  <c r="M352" i="19"/>
  <c r="M634" i="19"/>
  <c r="M883" i="19"/>
  <c r="M1063" i="19"/>
  <c r="M138" i="19"/>
  <c r="M195" i="19"/>
  <c r="M638" i="19"/>
  <c r="M671" i="19"/>
  <c r="M1057" i="19"/>
  <c r="M1104" i="19"/>
  <c r="M357" i="19"/>
  <c r="M497" i="19"/>
  <c r="M530" i="19"/>
  <c r="M748" i="19"/>
  <c r="M988" i="19"/>
  <c r="M1035" i="19"/>
  <c r="M577" i="19"/>
  <c r="M464" i="19"/>
  <c r="M697" i="19"/>
  <c r="M704" i="19"/>
  <c r="M716" i="19"/>
  <c r="M767" i="19"/>
  <c r="M777" i="19"/>
  <c r="M1129" i="19"/>
  <c r="M1174" i="19"/>
  <c r="M1177" i="19"/>
  <c r="M1180" i="19"/>
  <c r="M1201" i="19"/>
  <c r="M1210" i="19"/>
  <c r="M1219" i="19"/>
  <c r="M1249" i="19"/>
  <c r="M1297" i="19"/>
  <c r="M1315" i="19"/>
  <c r="M1321" i="19"/>
  <c r="M1324" i="19"/>
  <c r="M1327" i="19"/>
  <c r="M1333" i="19"/>
  <c r="M1366" i="19"/>
  <c r="M321" i="19"/>
  <c r="M328" i="19"/>
  <c r="M810" i="19"/>
  <c r="M835" i="19"/>
  <c r="M954" i="19"/>
  <c r="M533" i="19"/>
  <c r="M623" i="19"/>
  <c r="M1151" i="19"/>
  <c r="M1248" i="19"/>
  <c r="M1295" i="19"/>
  <c r="M1331" i="19"/>
  <c r="M727" i="19"/>
  <c r="M853" i="19"/>
  <c r="M936" i="19"/>
  <c r="M1069" i="19"/>
  <c r="M1092" i="19"/>
  <c r="M1158" i="19"/>
  <c r="M457" i="19"/>
  <c r="M820" i="19"/>
  <c r="M825" i="19"/>
  <c r="M1041" i="19"/>
  <c r="M1191" i="19"/>
  <c r="M1263" i="19"/>
  <c r="M1299" i="19"/>
  <c r="M237" i="19"/>
  <c r="M472" i="19"/>
  <c r="M1003" i="19"/>
  <c r="M1066" i="19"/>
  <c r="M1127" i="19"/>
  <c r="M1224" i="19"/>
  <c r="M1343" i="19"/>
  <c r="M1368" i="19"/>
  <c r="M661" i="19"/>
  <c r="M832" i="19"/>
  <c r="M975" i="19"/>
  <c r="M1053" i="19"/>
  <c r="M1137" i="19"/>
  <c r="M1245" i="19"/>
  <c r="M1353" i="19"/>
  <c r="M384" i="19"/>
  <c r="M489" i="19"/>
  <c r="M972" i="19"/>
  <c r="M1045" i="19"/>
  <c r="M1134" i="19"/>
  <c r="M1242" i="19"/>
  <c r="M1289" i="19"/>
  <c r="M1361" i="19"/>
  <c r="M796" i="19"/>
  <c r="M1012" i="19"/>
  <c r="M1017" i="19"/>
  <c r="M1269" i="19"/>
  <c r="M668" i="19"/>
  <c r="M1160" i="19"/>
  <c r="M1376" i="19"/>
  <c r="M454" i="19"/>
  <c r="M529" i="19"/>
  <c r="M621" i="19"/>
  <c r="M925" i="19"/>
  <c r="M1362" i="19"/>
  <c r="M500" i="19"/>
  <c r="M706" i="19"/>
  <c r="M897" i="19"/>
  <c r="M1023" i="19"/>
  <c r="M1078" i="19"/>
  <c r="M33" i="19"/>
  <c r="M730" i="19"/>
  <c r="M826" i="19"/>
  <c r="M856" i="19"/>
  <c r="M1042" i="19"/>
  <c r="M1072" i="19"/>
  <c r="M433" i="19"/>
  <c r="M482" i="19"/>
  <c r="M746" i="19"/>
  <c r="M994" i="19"/>
  <c r="M1039" i="19"/>
  <c r="M1139" i="19"/>
  <c r="M1164" i="19"/>
  <c r="M1175" i="19"/>
  <c r="V527" i="19"/>
  <c r="W527" i="19" s="1"/>
  <c r="X527" i="19" s="1"/>
  <c r="Y527" i="19" s="1"/>
  <c r="V735" i="19"/>
  <c r="W735" i="19" s="1"/>
  <c r="X735" i="19" s="1"/>
  <c r="Y735" i="19" s="1"/>
  <c r="V513" i="19"/>
  <c r="W513" i="19" s="1"/>
  <c r="X513" i="19" s="1"/>
  <c r="Y513" i="19" s="1"/>
  <c r="V1094" i="19"/>
  <c r="W1094" i="19" s="1"/>
  <c r="X1094" i="19" s="1"/>
  <c r="Y1094" i="19" s="1"/>
  <c r="V546" i="19"/>
  <c r="W546" i="19" s="1"/>
  <c r="X546" i="19" s="1"/>
  <c r="Y546" i="19" s="1"/>
  <c r="V699" i="19"/>
  <c r="W699" i="19" s="1"/>
  <c r="X699" i="19" s="1"/>
  <c r="Y699" i="19" s="1"/>
  <c r="V1028" i="19"/>
  <c r="W1028" i="19" s="1"/>
  <c r="X1028" i="19" s="1"/>
  <c r="Y1028" i="19" s="1"/>
  <c r="V1351" i="19"/>
  <c r="W1351" i="19" s="1"/>
  <c r="X1351" i="19" s="1"/>
  <c r="Y1351" i="19" s="1"/>
  <c r="V639" i="19"/>
  <c r="W639" i="19" s="1"/>
  <c r="X639" i="19" s="1"/>
  <c r="Y639" i="19" s="1"/>
  <c r="V538" i="19"/>
  <c r="W538" i="19" s="1"/>
  <c r="X538" i="19" s="1"/>
  <c r="Y538" i="19" s="1"/>
  <c r="V679" i="19"/>
  <c r="W679" i="19" s="1"/>
  <c r="X679" i="19" s="1"/>
  <c r="Y679" i="19" s="1"/>
  <c r="V856" i="19"/>
  <c r="W856" i="19" s="1"/>
  <c r="X856" i="19" s="1"/>
  <c r="Y856" i="19" s="1"/>
  <c r="V548" i="19"/>
  <c r="W548" i="19" s="1"/>
  <c r="X548" i="19" s="1"/>
  <c r="Y548" i="19" s="1"/>
  <c r="V377" i="19"/>
  <c r="W377" i="19" s="1"/>
  <c r="X377" i="19" s="1"/>
  <c r="Y377" i="19" s="1"/>
  <c r="V629" i="19"/>
  <c r="W629" i="19" s="1"/>
  <c r="X629" i="19" s="1"/>
  <c r="Y629" i="19" s="1"/>
  <c r="V1207" i="19"/>
  <c r="W1207" i="19" s="1"/>
  <c r="X1207" i="19" s="1"/>
  <c r="Y1207" i="19" s="1"/>
  <c r="Q782" i="19"/>
  <c r="V950" i="19"/>
  <c r="W950" i="19" s="1"/>
  <c r="X950" i="19" s="1"/>
  <c r="Y950" i="19" s="1"/>
  <c r="V690" i="19"/>
  <c r="W690" i="19" s="1"/>
  <c r="X690" i="19" s="1"/>
  <c r="Y690" i="19" s="1"/>
  <c r="V487" i="19"/>
  <c r="W487" i="19" s="1"/>
  <c r="X487" i="19" s="1"/>
  <c r="Y487" i="19" s="1"/>
  <c r="V485" i="19"/>
  <c r="W485" i="19" s="1"/>
  <c r="X485" i="19" s="1"/>
  <c r="Y485" i="19" s="1"/>
  <c r="V656" i="19"/>
  <c r="W656" i="19" s="1"/>
  <c r="X656" i="19" s="1"/>
  <c r="Y656" i="19" s="1"/>
  <c r="V555" i="19"/>
  <c r="W555" i="19" s="1"/>
  <c r="X555" i="19" s="1"/>
  <c r="Y555" i="19" s="1"/>
  <c r="V459" i="19"/>
  <c r="W459" i="19" s="1"/>
  <c r="X459" i="19" s="1"/>
  <c r="Y459" i="19" s="1"/>
  <c r="V1108" i="19"/>
  <c r="W1108" i="19" s="1"/>
  <c r="X1108" i="19" s="1"/>
  <c r="Y1108" i="19" s="1"/>
  <c r="V531" i="19"/>
  <c r="W531" i="19" s="1"/>
  <c r="X531" i="19" s="1"/>
  <c r="Y531" i="19" s="1"/>
  <c r="V593" i="19"/>
  <c r="W593" i="19" s="1"/>
  <c r="X593" i="19" s="1"/>
  <c r="Y593" i="19" s="1"/>
  <c r="V704" i="19"/>
  <c r="W704" i="19" s="1"/>
  <c r="X704" i="19" s="1"/>
  <c r="Y704" i="19" s="1"/>
  <c r="V492" i="19"/>
  <c r="W492" i="19" s="1"/>
  <c r="X492" i="19" s="1"/>
  <c r="Y492" i="19" s="1"/>
  <c r="V1072" i="19"/>
  <c r="W1072" i="19" s="1"/>
  <c r="X1072" i="19" s="1"/>
  <c r="Y1072" i="19" s="1"/>
  <c r="V806" i="19"/>
  <c r="W806" i="19" s="1"/>
  <c r="X806" i="19" s="1"/>
  <c r="Y806" i="19" s="1"/>
  <c r="V657" i="19"/>
  <c r="W657" i="19" s="1"/>
  <c r="X657" i="19" s="1"/>
  <c r="Y657" i="19" s="1"/>
  <c r="V603" i="19"/>
  <c r="W603" i="19" s="1"/>
  <c r="X603" i="19" s="1"/>
  <c r="Y603" i="19" s="1"/>
  <c r="Q1064" i="19"/>
  <c r="V738" i="19"/>
  <c r="W738" i="19" s="1"/>
  <c r="X738" i="19" s="1"/>
  <c r="Y738" i="19" s="1"/>
  <c r="V451" i="19"/>
  <c r="W451" i="19" s="1"/>
  <c r="X451" i="19" s="1"/>
  <c r="Y451" i="19" s="1"/>
  <c r="R1387" i="19"/>
  <c r="V671" i="19"/>
  <c r="W671" i="19" s="1"/>
  <c r="X671" i="19" s="1"/>
  <c r="Y671" i="19" s="1"/>
  <c r="Q554" i="19"/>
  <c r="Q1345" i="19"/>
  <c r="Q1293" i="19"/>
  <c r="R1360" i="19"/>
  <c r="Q1380" i="19"/>
  <c r="Q1368" i="19"/>
  <c r="Q1356" i="19"/>
  <c r="Q1177" i="19"/>
  <c r="V402" i="19"/>
  <c r="W402" i="19" s="1"/>
  <c r="X402" i="19" s="1"/>
  <c r="Y402" i="19" s="1"/>
  <c r="Q1326" i="19"/>
  <c r="Q1290" i="19"/>
  <c r="Q1276" i="19"/>
  <c r="Q1270" i="19"/>
  <c r="Q1375" i="19"/>
  <c r="Q938" i="19"/>
  <c r="Q1374" i="19"/>
  <c r="Q1378" i="19"/>
  <c r="R1244" i="19"/>
  <c r="R1377" i="19"/>
  <c r="R1349" i="19"/>
  <c r="R1271" i="19"/>
  <c r="R1389" i="19"/>
  <c r="R1381" i="19"/>
  <c r="R1361" i="19"/>
  <c r="R1138" i="19"/>
  <c r="R1091" i="19"/>
  <c r="R1086" i="19"/>
  <c r="R1030" i="19"/>
  <c r="R954" i="19"/>
  <c r="R878" i="19"/>
  <c r="R868" i="19"/>
  <c r="R825" i="19"/>
  <c r="R464" i="19"/>
  <c r="R448" i="19"/>
  <c r="R1292" i="19"/>
  <c r="R1282" i="19"/>
  <c r="R1265" i="19"/>
  <c r="R1385" i="19"/>
  <c r="R1373" i="19"/>
  <c r="R1357" i="19"/>
  <c r="R1353" i="19"/>
  <c r="Q1358" i="19"/>
  <c r="Q1362" i="19"/>
  <c r="Q1370" i="19"/>
  <c r="Q1390" i="19"/>
  <c r="Q1366" i="19"/>
  <c r="Q1354" i="19"/>
  <c r="Q1350" i="19"/>
  <c r="Q1382" i="19"/>
  <c r="Q1386" i="19"/>
  <c r="Q1389" i="19"/>
  <c r="Q1385" i="19"/>
  <c r="Q1381" i="19"/>
  <c r="Q1377" i="19"/>
  <c r="Q1373" i="19"/>
  <c r="Q1369" i="19"/>
  <c r="Q1365" i="19"/>
  <c r="Q1361" i="19"/>
  <c r="Q1357" i="19"/>
  <c r="Q1353" i="19"/>
  <c r="Q1349" i="19"/>
  <c r="V1390" i="19"/>
  <c r="W1390" i="19" s="1"/>
  <c r="X1390" i="19" s="1"/>
  <c r="Y1390" i="19" s="1"/>
  <c r="V1386" i="19"/>
  <c r="W1386" i="19" s="1"/>
  <c r="X1386" i="19" s="1"/>
  <c r="Y1386" i="19" s="1"/>
  <c r="V1382" i="19"/>
  <c r="W1382" i="19" s="1"/>
  <c r="X1382" i="19" s="1"/>
  <c r="Y1382" i="19" s="1"/>
  <c r="V1378" i="19"/>
  <c r="W1378" i="19" s="1"/>
  <c r="X1378" i="19" s="1"/>
  <c r="Y1378" i="19" s="1"/>
  <c r="V1374" i="19"/>
  <c r="W1374" i="19" s="1"/>
  <c r="X1374" i="19" s="1"/>
  <c r="Y1374" i="19" s="1"/>
  <c r="V1370" i="19"/>
  <c r="W1370" i="19" s="1"/>
  <c r="X1370" i="19" s="1"/>
  <c r="Y1370" i="19" s="1"/>
  <c r="V1366" i="19"/>
  <c r="W1366" i="19" s="1"/>
  <c r="X1366" i="19" s="1"/>
  <c r="Y1366" i="19" s="1"/>
  <c r="V1362" i="19"/>
  <c r="W1362" i="19" s="1"/>
  <c r="X1362" i="19" s="1"/>
  <c r="Y1362" i="19" s="1"/>
  <c r="V1358" i="19"/>
  <c r="W1358" i="19" s="1"/>
  <c r="X1358" i="19" s="1"/>
  <c r="Y1358" i="19" s="1"/>
  <c r="V1354" i="19"/>
  <c r="W1354" i="19" s="1"/>
  <c r="X1354" i="19" s="1"/>
  <c r="Y1354" i="19" s="1"/>
  <c r="R1220" i="19"/>
  <c r="R1160" i="19"/>
  <c r="R1116" i="19"/>
  <c r="R1095" i="19"/>
  <c r="R1065" i="19"/>
  <c r="R1031" i="19"/>
  <c r="R971" i="19"/>
  <c r="R966" i="19"/>
  <c r="R857" i="19"/>
  <c r="R740" i="19"/>
  <c r="Q711" i="19"/>
  <c r="Q517" i="19"/>
  <c r="R510" i="19"/>
  <c r="R433" i="19"/>
  <c r="R415" i="19"/>
  <c r="R1336" i="19"/>
  <c r="Q1335" i="19"/>
  <c r="R1330" i="19"/>
  <c r="R1322" i="19"/>
  <c r="Q1317" i="19"/>
  <c r="Q1249" i="19"/>
  <c r="R1250" i="19"/>
  <c r="R1197" i="19"/>
  <c r="R485" i="19"/>
  <c r="R1323" i="19"/>
  <c r="R1318" i="19"/>
  <c r="R1307" i="19"/>
  <c r="R669" i="19"/>
  <c r="R1183" i="19"/>
  <c r="R1156" i="19"/>
  <c r="R1127" i="19"/>
  <c r="R980" i="19"/>
  <c r="R951" i="19"/>
  <c r="R946" i="19"/>
  <c r="R914" i="19"/>
  <c r="R677" i="19"/>
  <c r="Q669" i="19"/>
  <c r="R579" i="19"/>
  <c r="R566" i="19"/>
  <c r="R475" i="19"/>
  <c r="R1342" i="19"/>
  <c r="Q1310" i="19"/>
  <c r="R1247" i="19"/>
  <c r="R1232" i="19"/>
  <c r="R1221" i="19"/>
  <c r="R1171" i="19"/>
  <c r="R1161" i="19"/>
  <c r="R1096" i="19"/>
  <c r="Q1085" i="19"/>
  <c r="R1080" i="19"/>
  <c r="R1032" i="19"/>
  <c r="R1017" i="19"/>
  <c r="R922" i="19"/>
  <c r="R866" i="19"/>
  <c r="R834" i="19"/>
  <c r="Q1246" i="19"/>
  <c r="R544" i="19"/>
  <c r="Q1332" i="19"/>
  <c r="R411" i="19"/>
  <c r="R1327" i="19"/>
  <c r="R1319" i="19"/>
  <c r="R1251" i="19"/>
  <c r="R962" i="19"/>
  <c r="R910" i="19"/>
  <c r="R887" i="19"/>
  <c r="R673" i="19"/>
  <c r="R645" i="19"/>
  <c r="R642" i="19"/>
  <c r="R526" i="19"/>
  <c r="R499" i="19"/>
  <c r="R491" i="19"/>
  <c r="R468" i="19"/>
  <c r="Q390" i="19"/>
  <c r="R1339" i="19"/>
  <c r="R1320" i="19"/>
  <c r="Q1292" i="19"/>
  <c r="R1257" i="19"/>
  <c r="R1248" i="19"/>
  <c r="Q1195" i="19"/>
  <c r="Q1230" i="19"/>
  <c r="R1233" i="19"/>
  <c r="R1196" i="19"/>
  <c r="R1193" i="19"/>
  <c r="R1172" i="19"/>
  <c r="R1142" i="19"/>
  <c r="R960" i="19"/>
  <c r="R942" i="19"/>
  <c r="Q829" i="19"/>
  <c r="R711" i="19"/>
  <c r="R1340" i="19"/>
  <c r="R1314" i="19"/>
  <c r="R1207" i="19"/>
  <c r="R1126" i="19"/>
  <c r="Q1084" i="19"/>
  <c r="R1041" i="19"/>
  <c r="R929" i="19"/>
  <c r="R913" i="19"/>
  <c r="R885" i="19"/>
  <c r="R872" i="19"/>
  <c r="R812" i="19"/>
  <c r="R791" i="19"/>
  <c r="Q708" i="19"/>
  <c r="R538" i="19"/>
  <c r="R530" i="19"/>
  <c r="R479" i="19"/>
  <c r="R466" i="19"/>
  <c r="R381" i="19"/>
  <c r="R376" i="19"/>
  <c r="R1309" i="19"/>
  <c r="Q1291" i="19"/>
  <c r="R1272" i="19"/>
  <c r="R1252" i="19"/>
  <c r="Q1149" i="19"/>
  <c r="Q1208" i="19"/>
  <c r="R1204" i="19"/>
  <c r="R1186" i="19"/>
  <c r="Q1156" i="19"/>
  <c r="R1124" i="19"/>
  <c r="R1085" i="19"/>
  <c r="R1059" i="19"/>
  <c r="R993" i="19"/>
  <c r="R945" i="19"/>
  <c r="R934" i="19"/>
  <c r="R884" i="19"/>
  <c r="R840" i="19"/>
  <c r="R819" i="19"/>
  <c r="R687" i="19"/>
  <c r="R679" i="19"/>
  <c r="R567" i="19"/>
  <c r="R519" i="19"/>
  <c r="R462" i="19"/>
  <c r="R419" i="19"/>
  <c r="Q397" i="19"/>
  <c r="R390" i="19"/>
  <c r="Q1346" i="19"/>
  <c r="R915" i="19"/>
  <c r="R912" i="19"/>
  <c r="R833" i="19"/>
  <c r="R770" i="19"/>
  <c r="R621" i="19"/>
  <c r="R573" i="19"/>
  <c r="R570" i="19"/>
  <c r="R497" i="19"/>
  <c r="R456" i="19"/>
  <c r="R794" i="19"/>
  <c r="Q393" i="19"/>
  <c r="V1264" i="19"/>
  <c r="W1264" i="19" s="1"/>
  <c r="X1264" i="19" s="1"/>
  <c r="Y1264" i="19" s="1"/>
  <c r="R1263" i="19"/>
  <c r="Q1118" i="19"/>
  <c r="R1054" i="19"/>
  <c r="Q685" i="19"/>
  <c r="Q682" i="19"/>
  <c r="R535" i="19"/>
  <c r="V1276" i="19"/>
  <c r="W1276" i="19" s="1"/>
  <c r="X1276" i="19" s="1"/>
  <c r="Y1276" i="19" s="1"/>
  <c r="R1163" i="19"/>
  <c r="Q1010" i="19"/>
  <c r="Q915" i="19"/>
  <c r="R820" i="19"/>
  <c r="Q812" i="19"/>
  <c r="Q811" i="19"/>
  <c r="Q420" i="19"/>
  <c r="R1298" i="19"/>
  <c r="R1283" i="19"/>
  <c r="Q1221" i="19"/>
  <c r="R1208" i="19"/>
  <c r="R1174" i="19"/>
  <c r="R1131" i="19"/>
  <c r="R1123" i="19"/>
  <c r="R1120" i="19"/>
  <c r="R1020" i="19"/>
  <c r="R984" i="19"/>
  <c r="Q794" i="19"/>
  <c r="R781" i="19"/>
  <c r="R766" i="19"/>
  <c r="Q696" i="19"/>
  <c r="Q613" i="19"/>
  <c r="Q529" i="19"/>
  <c r="Q508" i="19"/>
  <c r="R476" i="19"/>
  <c r="Q1313" i="19"/>
  <c r="Q1275" i="19"/>
  <c r="V1263" i="19"/>
  <c r="W1263" i="19" s="1"/>
  <c r="X1263" i="19" s="1"/>
  <c r="Y1263" i="19" s="1"/>
  <c r="R1206" i="19"/>
  <c r="R1103" i="19"/>
  <c r="R1100" i="19"/>
  <c r="R1072" i="19"/>
  <c r="Q852" i="19"/>
  <c r="Q778" i="19"/>
  <c r="Q768" i="19"/>
  <c r="R658" i="19"/>
  <c r="Q590" i="19"/>
  <c r="Q530" i="19"/>
  <c r="Q460" i="19"/>
  <c r="V1336" i="19"/>
  <c r="W1336" i="19" s="1"/>
  <c r="X1336" i="19" s="1"/>
  <c r="Y1336" i="19" s="1"/>
  <c r="Q1298" i="19"/>
  <c r="V1270" i="19"/>
  <c r="W1270" i="19" s="1"/>
  <c r="X1270" i="19" s="1"/>
  <c r="Y1270" i="19" s="1"/>
  <c r="R936" i="19"/>
  <c r="R867" i="19"/>
  <c r="Q858" i="19"/>
  <c r="R795" i="19"/>
  <c r="Q702" i="19"/>
  <c r="R648" i="19"/>
  <c r="Q605" i="19"/>
  <c r="Q602" i="19"/>
  <c r="Q476" i="19"/>
  <c r="R429" i="19"/>
  <c r="Q423" i="19"/>
  <c r="R1343" i="19"/>
  <c r="R1332" i="19"/>
  <c r="R1304" i="19"/>
  <c r="Q1296" i="19"/>
  <c r="Q1294" i="19"/>
  <c r="Q1288" i="19"/>
  <c r="Q1283" i="19"/>
  <c r="Q1282" i="19"/>
  <c r="Q1281" i="19"/>
  <c r="Q1269" i="19"/>
  <c r="R862" i="19"/>
  <c r="R721" i="19"/>
  <c r="R713" i="19"/>
  <c r="Q678" i="19"/>
  <c r="R640" i="19"/>
  <c r="R625" i="19"/>
  <c r="Q587" i="19"/>
  <c r="R452" i="19"/>
  <c r="R1338" i="19"/>
  <c r="R1333" i="19"/>
  <c r="Q1331" i="19"/>
  <c r="R1329" i="19"/>
  <c r="R1325" i="19"/>
  <c r="F6" i="23"/>
  <c r="R1195" i="19"/>
  <c r="R1132" i="19"/>
  <c r="R1110" i="19"/>
  <c r="R1104" i="19"/>
  <c r="R1093" i="19"/>
  <c r="R1079" i="19"/>
  <c r="R1067" i="19"/>
  <c r="R1039" i="19"/>
  <c r="Q1033" i="19"/>
  <c r="R1018" i="19"/>
  <c r="R1012" i="19"/>
  <c r="Q839" i="19"/>
  <c r="R1269" i="19"/>
  <c r="R1260" i="19"/>
  <c r="Q1248" i="19"/>
  <c r="R1275" i="19"/>
  <c r="Q1272" i="19"/>
  <c r="R1310" i="19"/>
  <c r="R1302" i="19"/>
  <c r="Q1263" i="19"/>
  <c r="R1281" i="19"/>
  <c r="Q1265" i="19"/>
  <c r="Q1264" i="19"/>
  <c r="Q1278" i="19"/>
  <c r="Q1245" i="19"/>
  <c r="Q451" i="19"/>
  <c r="Q1297" i="19"/>
  <c r="Q1309" i="19"/>
  <c r="Q726" i="19"/>
  <c r="Q1334" i="19"/>
  <c r="Q1344" i="19"/>
  <c r="Q1328" i="19"/>
  <c r="Q1340" i="19"/>
  <c r="Q571" i="19"/>
  <c r="Q1337" i="19"/>
  <c r="Q1015" i="19"/>
  <c r="Q654" i="19"/>
  <c r="Q600" i="19"/>
  <c r="Q482" i="19"/>
  <c r="Q1347" i="19"/>
  <c r="Q1305" i="19"/>
  <c r="Q488" i="19"/>
  <c r="Q430" i="19"/>
  <c r="Q388" i="19"/>
  <c r="Q1187" i="19"/>
  <c r="Q1339" i="19"/>
  <c r="Q1330" i="19"/>
  <c r="Q1323" i="19"/>
  <c r="V1294" i="19"/>
  <c r="W1294" i="19" s="1"/>
  <c r="X1294" i="19" s="1"/>
  <c r="Y1294" i="19" s="1"/>
  <c r="V1340" i="19"/>
  <c r="W1340" i="19" s="1"/>
  <c r="X1340" i="19" s="1"/>
  <c r="Y1340" i="19" s="1"/>
  <c r="V1331" i="19"/>
  <c r="W1331" i="19" s="1"/>
  <c r="X1331" i="19" s="1"/>
  <c r="Y1331" i="19" s="1"/>
  <c r="Q1300" i="19"/>
  <c r="R1300" i="19"/>
  <c r="R1335" i="19"/>
  <c r="V1288" i="19"/>
  <c r="W1288" i="19" s="1"/>
  <c r="X1288" i="19" s="1"/>
  <c r="Y1288" i="19" s="1"/>
  <c r="V1252" i="19"/>
  <c r="W1252" i="19" s="1"/>
  <c r="X1252" i="19" s="1"/>
  <c r="Y1252" i="19" s="1"/>
  <c r="V1251" i="19"/>
  <c r="W1251" i="19" s="1"/>
  <c r="X1251" i="19" s="1"/>
  <c r="Y1251" i="19" s="1"/>
  <c r="V1347" i="19"/>
  <c r="W1347" i="19" s="1"/>
  <c r="X1347" i="19" s="1"/>
  <c r="Y1347" i="19" s="1"/>
  <c r="V1344" i="19"/>
  <c r="W1344" i="19" s="1"/>
  <c r="X1344" i="19" s="1"/>
  <c r="Y1344" i="19" s="1"/>
  <c r="Q1336" i="19"/>
  <c r="Q1327" i="19"/>
  <c r="Q1312" i="19"/>
  <c r="R1312" i="19"/>
  <c r="V1308" i="19"/>
  <c r="W1308" i="19" s="1"/>
  <c r="X1308" i="19" s="1"/>
  <c r="Y1308" i="19" s="1"/>
  <c r="V1320" i="19"/>
  <c r="W1320" i="19" s="1"/>
  <c r="X1320" i="19" s="1"/>
  <c r="Y1320" i="19" s="1"/>
  <c r="V1338" i="19"/>
  <c r="W1338" i="19" s="1"/>
  <c r="X1338" i="19" s="1"/>
  <c r="Y1338" i="19" s="1"/>
  <c r="V1337" i="19"/>
  <c r="W1337" i="19" s="1"/>
  <c r="X1337" i="19" s="1"/>
  <c r="Y1337" i="19" s="1"/>
  <c r="V1329" i="19"/>
  <c r="W1329" i="19" s="1"/>
  <c r="X1329" i="19" s="1"/>
  <c r="Y1329" i="19" s="1"/>
  <c r="V1328" i="19"/>
  <c r="W1328" i="19" s="1"/>
  <c r="X1328" i="19" s="1"/>
  <c r="Y1328" i="19" s="1"/>
  <c r="Q1324" i="19"/>
  <c r="R1317" i="19"/>
  <c r="Q1316" i="19"/>
  <c r="Q1308" i="19"/>
  <c r="V1299" i="19"/>
  <c r="W1299" i="19" s="1"/>
  <c r="X1299" i="19" s="1"/>
  <c r="Y1299" i="19" s="1"/>
  <c r="V1266" i="19"/>
  <c r="W1266" i="19" s="1"/>
  <c r="X1266" i="19" s="1"/>
  <c r="Y1266" i="19" s="1"/>
  <c r="R1344" i="19"/>
  <c r="R1341" i="19"/>
  <c r="V1339" i="19"/>
  <c r="W1339" i="19" s="1"/>
  <c r="X1339" i="19" s="1"/>
  <c r="Y1339" i="19" s="1"/>
  <c r="V1330" i="19"/>
  <c r="W1330" i="19" s="1"/>
  <c r="X1330" i="19" s="1"/>
  <c r="Y1330" i="19" s="1"/>
  <c r="Q1321" i="19"/>
  <c r="R1313" i="19"/>
  <c r="R1305" i="19"/>
  <c r="Q1304" i="19"/>
  <c r="Q1301" i="19"/>
  <c r="V1277" i="19"/>
  <c r="W1277" i="19" s="1"/>
  <c r="X1277" i="19" s="1"/>
  <c r="Y1277" i="19" s="1"/>
  <c r="V1334" i="19"/>
  <c r="W1334" i="19" s="1"/>
  <c r="X1334" i="19" s="1"/>
  <c r="Y1334" i="19" s="1"/>
  <c r="V1295" i="19"/>
  <c r="W1295" i="19" s="1"/>
  <c r="X1295" i="19" s="1"/>
  <c r="Y1295" i="19" s="1"/>
  <c r="R1295" i="19"/>
  <c r="Q1295" i="19"/>
  <c r="Q1261" i="19"/>
  <c r="R1261" i="19"/>
  <c r="R1347" i="19"/>
  <c r="Q1342" i="19"/>
  <c r="R1334" i="19"/>
  <c r="Q1325" i="19"/>
  <c r="Q1322" i="19"/>
  <c r="V1290" i="19"/>
  <c r="W1290" i="19" s="1"/>
  <c r="X1290" i="19" s="1"/>
  <c r="Y1290" i="19" s="1"/>
  <c r="R1277" i="19"/>
  <c r="Q1277" i="19"/>
  <c r="Q1311" i="19"/>
  <c r="R1311" i="19"/>
  <c r="Q1343" i="19"/>
  <c r="Q1338" i="19"/>
  <c r="Q1333" i="19"/>
  <c r="Q1329" i="19"/>
  <c r="V1318" i="19"/>
  <c r="W1318" i="19" s="1"/>
  <c r="X1318" i="19" s="1"/>
  <c r="Y1318" i="19" s="1"/>
  <c r="V1311" i="19"/>
  <c r="W1311" i="19" s="1"/>
  <c r="X1311" i="19" s="1"/>
  <c r="Y1311" i="19" s="1"/>
  <c r="V1303" i="19"/>
  <c r="W1303" i="19" s="1"/>
  <c r="X1303" i="19" s="1"/>
  <c r="Y1303" i="19" s="1"/>
  <c r="Q1299" i="19"/>
  <c r="Q1286" i="19"/>
  <c r="R1286" i="19"/>
  <c r="Q1318" i="19"/>
  <c r="Q1306" i="19"/>
  <c r="V1283" i="19"/>
  <c r="W1283" i="19" s="1"/>
  <c r="X1283" i="19" s="1"/>
  <c r="Y1283" i="19" s="1"/>
  <c r="Q1279" i="19"/>
  <c r="R1279" i="19"/>
  <c r="R1274" i="19"/>
  <c r="Q1274" i="19"/>
  <c r="V1257" i="19"/>
  <c r="W1257" i="19" s="1"/>
  <c r="X1257" i="19" s="1"/>
  <c r="Y1257" i="19" s="1"/>
  <c r="V1256" i="19"/>
  <c r="W1256" i="19" s="1"/>
  <c r="X1256" i="19" s="1"/>
  <c r="Y1256" i="19" s="1"/>
  <c r="V1244" i="19"/>
  <c r="W1244" i="19" s="1"/>
  <c r="X1244" i="19" s="1"/>
  <c r="Y1244" i="19" s="1"/>
  <c r="R1256" i="19"/>
  <c r="Q1256" i="19"/>
  <c r="Q1315" i="19"/>
  <c r="Q1303" i="19"/>
  <c r="R1299" i="19"/>
  <c r="R1294" i="19"/>
  <c r="V1289" i="19"/>
  <c r="W1289" i="19" s="1"/>
  <c r="X1289" i="19" s="1"/>
  <c r="Y1289" i="19" s="1"/>
  <c r="Q1285" i="19"/>
  <c r="R1285" i="19"/>
  <c r="V1273" i="19"/>
  <c r="W1273" i="19" s="1"/>
  <c r="X1273" i="19" s="1"/>
  <c r="Y1273" i="19" s="1"/>
  <c r="V1298" i="19"/>
  <c r="W1298" i="19" s="1"/>
  <c r="X1298" i="19" s="1"/>
  <c r="Y1298" i="19" s="1"/>
  <c r="R1268" i="19"/>
  <c r="Q1268" i="19"/>
  <c r="V1272" i="19"/>
  <c r="W1272" i="19" s="1"/>
  <c r="X1272" i="19" s="1"/>
  <c r="Y1272" i="19" s="1"/>
  <c r="V1250" i="19"/>
  <c r="W1250" i="19" s="1"/>
  <c r="X1250" i="19" s="1"/>
  <c r="Y1250" i="19" s="1"/>
  <c r="V1284" i="19"/>
  <c r="W1284" i="19" s="1"/>
  <c r="X1284" i="19" s="1"/>
  <c r="Y1284" i="19" s="1"/>
  <c r="Q1289" i="19"/>
  <c r="R1289" i="19"/>
  <c r="Q1273" i="19"/>
  <c r="R1273" i="19"/>
  <c r="Q1255" i="19"/>
  <c r="R1255" i="19"/>
  <c r="R1280" i="19"/>
  <c r="Q1280" i="19"/>
  <c r="R1259" i="19"/>
  <c r="Q1259" i="19"/>
  <c r="V1254" i="19"/>
  <c r="W1254" i="19" s="1"/>
  <c r="X1254" i="19" s="1"/>
  <c r="Y1254" i="19" s="1"/>
  <c r="V1246" i="19"/>
  <c r="W1246" i="19" s="1"/>
  <c r="X1246" i="19" s="1"/>
  <c r="Y1246" i="19" s="1"/>
  <c r="Q1262" i="19"/>
  <c r="V1258" i="19"/>
  <c r="W1258" i="19" s="1"/>
  <c r="X1258" i="19" s="1"/>
  <c r="Y1258" i="19" s="1"/>
  <c r="Q1267" i="19"/>
  <c r="R1267" i="19"/>
  <c r="Q1258" i="19"/>
  <c r="R1258" i="19"/>
  <c r="R1253" i="19"/>
  <c r="Q1253" i="19"/>
  <c r="V1260" i="19"/>
  <c r="W1260" i="19" s="1"/>
  <c r="X1260" i="19" s="1"/>
  <c r="Y1260" i="19" s="1"/>
  <c r="V1259" i="19"/>
  <c r="W1259" i="19" s="1"/>
  <c r="X1259" i="19" s="1"/>
  <c r="Y1259" i="19" s="1"/>
  <c r="V1248" i="19"/>
  <c r="W1248" i="19" s="1"/>
  <c r="X1248" i="19" s="1"/>
  <c r="Y1248" i="19" s="1"/>
  <c r="V1245" i="19"/>
  <c r="W1245" i="19" s="1"/>
  <c r="X1245" i="19" s="1"/>
  <c r="Y1245" i="19" s="1"/>
  <c r="R1262" i="19"/>
  <c r="Q1042" i="19"/>
  <c r="Q949" i="19"/>
  <c r="Q879" i="19"/>
  <c r="Q403" i="19"/>
  <c r="Q757" i="19"/>
  <c r="Q1242" i="19"/>
  <c r="Q1045" i="19"/>
  <c r="Q986" i="19"/>
  <c r="Q537" i="19"/>
  <c r="Q697" i="19"/>
  <c r="Q584" i="19"/>
  <c r="Q1224" i="19"/>
  <c r="Q1198" i="19"/>
  <c r="Q1185" i="19"/>
  <c r="Q981" i="19"/>
  <c r="Q649" i="19"/>
  <c r="Q1165" i="19"/>
  <c r="Q1061" i="19"/>
  <c r="Q1163" i="19"/>
  <c r="Q848" i="19"/>
  <c r="Q675" i="19"/>
  <c r="Q652" i="19"/>
  <c r="Q636" i="19"/>
  <c r="Q1111" i="19"/>
  <c r="Q663" i="19"/>
  <c r="Q1158" i="19"/>
  <c r="Q634" i="19"/>
  <c r="Q1030" i="19"/>
  <c r="Q945" i="19"/>
  <c r="R846" i="19"/>
  <c r="Q837" i="19"/>
  <c r="Q819" i="19"/>
  <c r="Q661" i="19"/>
  <c r="Q808" i="19"/>
  <c r="Q436" i="19"/>
  <c r="Q830" i="19"/>
  <c r="Q771" i="19"/>
  <c r="R585" i="19"/>
  <c r="R492" i="19"/>
  <c r="Q1219" i="19"/>
  <c r="Q1175" i="19"/>
  <c r="R861" i="19"/>
  <c r="R816" i="19"/>
  <c r="Q731" i="19"/>
  <c r="Q659" i="19"/>
  <c r="R643" i="19"/>
  <c r="R633" i="19"/>
  <c r="Q543" i="19"/>
  <c r="R505" i="19"/>
  <c r="Q475" i="19"/>
  <c r="Q439" i="19"/>
  <c r="R405" i="19"/>
  <c r="R402" i="19"/>
  <c r="R1222" i="19"/>
  <c r="R1219" i="19"/>
  <c r="R1229" i="19"/>
  <c r="Q1207" i="19"/>
  <c r="Q1100" i="19"/>
  <c r="Q1039" i="19"/>
  <c r="R1003" i="19"/>
  <c r="Q927" i="19"/>
  <c r="Q815" i="19"/>
  <c r="Q472" i="19"/>
  <c r="Q396" i="19"/>
  <c r="Q873" i="19"/>
  <c r="Q758" i="19"/>
  <c r="Q714" i="19"/>
  <c r="R660" i="19"/>
  <c r="Q609" i="19"/>
  <c r="R541" i="19"/>
  <c r="Q499" i="19"/>
  <c r="Q496" i="19"/>
  <c r="Q433" i="19"/>
  <c r="Q399" i="19"/>
  <c r="R830" i="19"/>
  <c r="Q618" i="19"/>
  <c r="R481" i="19"/>
  <c r="Q1233" i="19"/>
  <c r="Q1170" i="19"/>
  <c r="Q861" i="19"/>
  <c r="Q546" i="19"/>
  <c r="Q457" i="19"/>
  <c r="Q408" i="19"/>
  <c r="Q405" i="19"/>
  <c r="R808" i="19"/>
  <c r="R771" i="19"/>
  <c r="Q1052" i="19"/>
  <c r="R1202" i="19"/>
  <c r="R1182" i="19"/>
  <c r="R977" i="19"/>
  <c r="Q912" i="19"/>
  <c r="R897" i="19"/>
  <c r="R784" i="19"/>
  <c r="R693" i="19"/>
  <c r="Q628" i="19"/>
  <c r="Q452" i="19"/>
  <c r="R1026" i="19"/>
  <c r="Q1136" i="19"/>
  <c r="R1109" i="19"/>
  <c r="R1045" i="19"/>
  <c r="Q977" i="19"/>
  <c r="Q897" i="19"/>
  <c r="Q784" i="19"/>
  <c r="Q721" i="19"/>
  <c r="Q693" i="19"/>
  <c r="Q690" i="19"/>
  <c r="R666" i="19"/>
  <c r="R438" i="19"/>
  <c r="R780" i="19"/>
  <c r="Q743" i="19"/>
  <c r="R439" i="19"/>
  <c r="R1140" i="19"/>
  <c r="R1015" i="19"/>
  <c r="Q1210" i="19"/>
  <c r="R1210" i="19"/>
  <c r="Q1157" i="19"/>
  <c r="Q1167" i="19"/>
  <c r="Q1121" i="19"/>
  <c r="R871" i="19"/>
  <c r="Q924" i="19"/>
  <c r="R828" i="19"/>
  <c r="Q1184" i="19"/>
  <c r="Q1144" i="19"/>
  <c r="R1087" i="19"/>
  <c r="Q962" i="19"/>
  <c r="R943" i="19"/>
  <c r="R909" i="19"/>
  <c r="Q814" i="19"/>
  <c r="Q740" i="19"/>
  <c r="R726" i="19"/>
  <c r="R720" i="19"/>
  <c r="R1011" i="19"/>
  <c r="R1179" i="19"/>
  <c r="R1147" i="19"/>
  <c r="R1076" i="19"/>
  <c r="Q1022" i="19"/>
  <c r="Q785" i="19"/>
  <c r="R774" i="19"/>
  <c r="Q774" i="19"/>
  <c r="R733" i="19"/>
  <c r="R591" i="19"/>
  <c r="Q573" i="19"/>
  <c r="Q424" i="19"/>
  <c r="Q1147" i="19"/>
  <c r="Q1127" i="19"/>
  <c r="Q1076" i="19"/>
  <c r="R898" i="19"/>
  <c r="Q867" i="19"/>
  <c r="R813" i="19"/>
  <c r="Q813" i="19"/>
  <c r="R792" i="19"/>
  <c r="Q591" i="19"/>
  <c r="Q506" i="19"/>
  <c r="Q1151" i="19"/>
  <c r="R1066" i="19"/>
  <c r="R981" i="19"/>
  <c r="R975" i="19"/>
  <c r="Q792" i="19"/>
  <c r="Q733" i="19"/>
  <c r="Q713" i="19"/>
  <c r="Q603" i="19"/>
  <c r="Q509" i="19"/>
  <c r="R1081" i="19"/>
  <c r="R1077" i="19"/>
  <c r="R978" i="19"/>
  <c r="R935" i="19"/>
  <c r="Q1225" i="19"/>
  <c r="Q1159" i="19"/>
  <c r="Q884" i="19"/>
  <c r="Q872" i="19"/>
  <c r="R843" i="19"/>
  <c r="Q843" i="19"/>
  <c r="Q828" i="19"/>
  <c r="Q647" i="19"/>
  <c r="Q1172" i="19"/>
  <c r="Q1124" i="19"/>
  <c r="R938" i="19"/>
  <c r="Q929" i="19"/>
  <c r="Q855" i="19"/>
  <c r="Q657" i="19"/>
  <c r="Q619" i="19"/>
  <c r="R611" i="19"/>
  <c r="Q611" i="19"/>
  <c r="Q1220" i="19"/>
  <c r="R848" i="19"/>
  <c r="Q1169" i="19"/>
  <c r="R1169" i="19"/>
  <c r="R1092" i="19"/>
  <c r="Q975" i="19"/>
  <c r="R969" i="19"/>
  <c r="Q1040" i="19"/>
  <c r="Q1166" i="19"/>
  <c r="Q1130" i="19"/>
  <c r="Q840" i="19"/>
  <c r="R779" i="19"/>
  <c r="Q779" i="19"/>
  <c r="Q645" i="19"/>
  <c r="R418" i="19"/>
  <c r="Q951" i="19"/>
  <c r="R793" i="19"/>
  <c r="Q766" i="19"/>
  <c r="R729" i="19"/>
  <c r="R596" i="19"/>
  <c r="Q588" i="19"/>
  <c r="Q552" i="19"/>
  <c r="Q431" i="19"/>
  <c r="Q384" i="19"/>
  <c r="R1108" i="19"/>
  <c r="R1090" i="19"/>
  <c r="Q1087" i="19"/>
  <c r="Q1081" i="19"/>
  <c r="Q1066" i="19"/>
  <c r="R1053" i="19"/>
  <c r="Q969" i="19"/>
  <c r="Q966" i="19"/>
  <c r="R955" i="19"/>
  <c r="Q732" i="19"/>
  <c r="R732" i="19"/>
  <c r="Q717" i="19"/>
  <c r="Q651" i="19"/>
  <c r="Q648" i="19"/>
  <c r="Q639" i="19"/>
  <c r="Q599" i="19"/>
  <c r="Q1202" i="19"/>
  <c r="R1145" i="19"/>
  <c r="R1135" i="19"/>
  <c r="R1097" i="19"/>
  <c r="Q1090" i="19"/>
  <c r="Q1082" i="19"/>
  <c r="R1027" i="19"/>
  <c r="Q1016" i="19"/>
  <c r="Q1006" i="19"/>
  <c r="Q1213" i="19"/>
  <c r="Q1206" i="19"/>
  <c r="Q1183" i="19"/>
  <c r="R1180" i="19"/>
  <c r="Q1168" i="19"/>
  <c r="Q1139" i="19"/>
  <c r="Q1138" i="19"/>
  <c r="R1118" i="19"/>
  <c r="Q1093" i="19"/>
  <c r="Q891" i="19"/>
  <c r="Q838" i="19"/>
  <c r="Q596" i="19"/>
  <c r="Q592" i="19"/>
  <c r="Q456" i="19"/>
  <c r="Q447" i="19"/>
  <c r="R447" i="19"/>
  <c r="Q446" i="19"/>
  <c r="R1153" i="19"/>
  <c r="R1150" i="19"/>
  <c r="Q1142" i="19"/>
  <c r="Q1097" i="19"/>
  <c r="Q1094" i="19"/>
  <c r="R1033" i="19"/>
  <c r="Q1024" i="19"/>
  <c r="R1021" i="19"/>
  <c r="R896" i="19"/>
  <c r="R822" i="19"/>
  <c r="Q822" i="19"/>
  <c r="R777" i="19"/>
  <c r="Q701" i="19"/>
  <c r="Q640" i="19"/>
  <c r="Q633" i="19"/>
  <c r="R607" i="19"/>
  <c r="Q547" i="19"/>
  <c r="Q381" i="19"/>
  <c r="Q378" i="19"/>
  <c r="Q833" i="19"/>
  <c r="Q953" i="19"/>
  <c r="Q846" i="19"/>
  <c r="R783" i="19"/>
  <c r="Q748" i="19"/>
  <c r="R709" i="19"/>
  <c r="Q700" i="19"/>
  <c r="R651" i="19"/>
  <c r="R620" i="19"/>
  <c r="Q620" i="19"/>
  <c r="R545" i="19"/>
  <c r="Q542" i="19"/>
  <c r="Q539" i="19"/>
  <c r="Q418" i="19"/>
  <c r="Q412" i="19"/>
  <c r="Q1218" i="19"/>
  <c r="Q1192" i="19"/>
  <c r="Q1180" i="19"/>
  <c r="R1177" i="19"/>
  <c r="R1167" i="19"/>
  <c r="Q1155" i="19"/>
  <c r="R1134" i="19"/>
  <c r="R1037" i="19"/>
  <c r="R998" i="19"/>
  <c r="Q950" i="19"/>
  <c r="Q911" i="19"/>
  <c r="R873" i="19"/>
  <c r="R869" i="19"/>
  <c r="Q854" i="19"/>
  <c r="R842" i="19"/>
  <c r="Q826" i="19"/>
  <c r="Q820" i="19"/>
  <c r="R805" i="19"/>
  <c r="Q783" i="19"/>
  <c r="Q715" i="19"/>
  <c r="Q681" i="19"/>
  <c r="R678" i="19"/>
  <c r="Q583" i="19"/>
  <c r="Q574" i="19"/>
  <c r="Q545" i="19"/>
  <c r="Q453" i="19"/>
  <c r="R446" i="19"/>
  <c r="Q434" i="19"/>
  <c r="R431" i="19"/>
  <c r="Q394" i="19"/>
  <c r="Q941" i="19"/>
  <c r="Q666" i="19"/>
  <c r="Q658" i="19"/>
  <c r="Q601" i="19"/>
  <c r="R496" i="19"/>
  <c r="Q435" i="19"/>
  <c r="Q391" i="19"/>
  <c r="Q720" i="19"/>
  <c r="R705" i="19"/>
  <c r="R649" i="19"/>
  <c r="R646" i="19"/>
  <c r="Q642" i="19"/>
  <c r="R588" i="19"/>
  <c r="Q568" i="19"/>
  <c r="Q553" i="19"/>
  <c r="Q526" i="19"/>
  <c r="R511" i="19"/>
  <c r="Q470" i="19"/>
  <c r="R451" i="19"/>
  <c r="Q409" i="19"/>
  <c r="Q793" i="19"/>
  <c r="Q790" i="19"/>
  <c r="R782" i="19"/>
  <c r="Q745" i="19"/>
  <c r="Q687" i="19"/>
  <c r="R681" i="19"/>
  <c r="Q646" i="19"/>
  <c r="R619" i="19"/>
  <c r="Q589" i="19"/>
  <c r="Q582" i="19"/>
  <c r="Q581" i="19"/>
  <c r="Q569" i="19"/>
  <c r="R508" i="19"/>
  <c r="Q455" i="19"/>
  <c r="Q419" i="19"/>
  <c r="Q417" i="19"/>
  <c r="R384" i="19"/>
  <c r="Q777" i="19"/>
  <c r="Q670" i="19"/>
  <c r="Q643" i="19"/>
  <c r="Q630" i="19"/>
  <c r="Q627" i="19"/>
  <c r="Q604" i="19"/>
  <c r="Q564" i="19"/>
  <c r="Q544" i="19"/>
  <c r="Q437" i="19"/>
  <c r="R420" i="19"/>
  <c r="R417" i="19"/>
  <c r="R396" i="19"/>
  <c r="R387" i="19"/>
  <c r="R1212" i="19"/>
  <c r="R1235" i="19"/>
  <c r="Q1235" i="19"/>
  <c r="Q1141" i="19"/>
  <c r="R1141" i="19"/>
  <c r="R1115" i="19"/>
  <c r="Q1115" i="19"/>
  <c r="V1145" i="19"/>
  <c r="W1145" i="19" s="1"/>
  <c r="X1145" i="19" s="1"/>
  <c r="Y1145" i="19" s="1"/>
  <c r="Q1223" i="19"/>
  <c r="V1229" i="19"/>
  <c r="W1229" i="19" s="1"/>
  <c r="X1229" i="19" s="1"/>
  <c r="Y1229" i="19" s="1"/>
  <c r="R1181" i="19"/>
  <c r="R1166" i="19"/>
  <c r="Q1153" i="19"/>
  <c r="V1115" i="19"/>
  <c r="W1115" i="19" s="1"/>
  <c r="X1115" i="19" s="1"/>
  <c r="Y1115" i="19" s="1"/>
  <c r="Q1103" i="19"/>
  <c r="Q1096" i="19"/>
  <c r="R1198" i="19"/>
  <c r="Q1173" i="19"/>
  <c r="V1156" i="19"/>
  <c r="W1156" i="19" s="1"/>
  <c r="X1156" i="19" s="1"/>
  <c r="Y1156" i="19" s="1"/>
  <c r="R1130" i="19"/>
  <c r="R1099" i="19"/>
  <c r="R1187" i="19"/>
  <c r="V1047" i="19"/>
  <c r="W1047" i="19" s="1"/>
  <c r="X1047" i="19" s="1"/>
  <c r="Y1047" i="19" s="1"/>
  <c r="R1194" i="19"/>
  <c r="V1075" i="19"/>
  <c r="W1075" i="19" s="1"/>
  <c r="X1075" i="19" s="1"/>
  <c r="Y1075" i="19" s="1"/>
  <c r="Q1069" i="19"/>
  <c r="V1043" i="19"/>
  <c r="W1043" i="19" s="1"/>
  <c r="X1043" i="19" s="1"/>
  <c r="Y1043" i="19" s="1"/>
  <c r="Q1174" i="19"/>
  <c r="Q1161" i="19"/>
  <c r="V1138" i="19"/>
  <c r="W1138" i="19" s="1"/>
  <c r="X1138" i="19" s="1"/>
  <c r="Y1138" i="19" s="1"/>
  <c r="Q1131" i="19"/>
  <c r="V1100" i="19"/>
  <c r="W1100" i="19" s="1"/>
  <c r="X1100" i="19" s="1"/>
  <c r="Y1100" i="19" s="1"/>
  <c r="V1091" i="19"/>
  <c r="W1091" i="19" s="1"/>
  <c r="X1091" i="19" s="1"/>
  <c r="Y1091" i="19" s="1"/>
  <c r="V985" i="19"/>
  <c r="W985" i="19" s="1"/>
  <c r="X985" i="19" s="1"/>
  <c r="Y985" i="19" s="1"/>
  <c r="V875" i="19"/>
  <c r="W875" i="19" s="1"/>
  <c r="X875" i="19" s="1"/>
  <c r="Y875" i="19" s="1"/>
  <c r="Q1205" i="19"/>
  <c r="Q1196" i="19"/>
  <c r="Q1194" i="19"/>
  <c r="R1168" i="19"/>
  <c r="V1161" i="19"/>
  <c r="W1161" i="19" s="1"/>
  <c r="X1161" i="19" s="1"/>
  <c r="Y1161" i="19" s="1"/>
  <c r="Q1154" i="19"/>
  <c r="Q1123" i="19"/>
  <c r="V1039" i="19"/>
  <c r="W1039" i="19" s="1"/>
  <c r="X1039" i="19" s="1"/>
  <c r="Y1039" i="19" s="1"/>
  <c r="R1231" i="19"/>
  <c r="R1213" i="19"/>
  <c r="Q1160" i="19"/>
  <c r="R1111" i="19"/>
  <c r="V1095" i="19"/>
  <c r="W1095" i="19" s="1"/>
  <c r="X1095" i="19" s="1"/>
  <c r="Y1095" i="19" s="1"/>
  <c r="V1055" i="19"/>
  <c r="W1055" i="19" s="1"/>
  <c r="X1055" i="19" s="1"/>
  <c r="Y1055" i="19" s="1"/>
  <c r="R1241" i="19"/>
  <c r="R1218" i="19"/>
  <c r="V1195" i="19"/>
  <c r="W1195" i="19" s="1"/>
  <c r="X1195" i="19" s="1"/>
  <c r="Y1195" i="19" s="1"/>
  <c r="Q1193" i="19"/>
  <c r="V1238" i="19"/>
  <c r="W1238" i="19" s="1"/>
  <c r="X1238" i="19" s="1"/>
  <c r="Y1238" i="19" s="1"/>
  <c r="R1224" i="19"/>
  <c r="Q1209" i="19"/>
  <c r="R1203" i="19"/>
  <c r="V1190" i="19"/>
  <c r="W1190" i="19" s="1"/>
  <c r="X1190" i="19" s="1"/>
  <c r="Y1190" i="19" s="1"/>
  <c r="Q1164" i="19"/>
  <c r="R1158" i="19"/>
  <c r="R1154" i="19"/>
  <c r="Q1150" i="19"/>
  <c r="V1142" i="19"/>
  <c r="W1142" i="19" s="1"/>
  <c r="X1142" i="19" s="1"/>
  <c r="Y1142" i="19" s="1"/>
  <c r="Q1108" i="19"/>
  <c r="R1094" i="19"/>
  <c r="R1022" i="19"/>
  <c r="Q1231" i="19"/>
  <c r="V1219" i="19"/>
  <c r="W1219" i="19" s="1"/>
  <c r="X1219" i="19" s="1"/>
  <c r="Y1219" i="19" s="1"/>
  <c r="V1206" i="19"/>
  <c r="W1206" i="19" s="1"/>
  <c r="X1206" i="19" s="1"/>
  <c r="Y1206" i="19" s="1"/>
  <c r="R1192" i="19"/>
  <c r="V1178" i="19"/>
  <c r="W1178" i="19" s="1"/>
  <c r="X1178" i="19" s="1"/>
  <c r="Y1178" i="19" s="1"/>
  <c r="V1166" i="19"/>
  <c r="W1166" i="19" s="1"/>
  <c r="X1166" i="19" s="1"/>
  <c r="Y1166" i="19" s="1"/>
  <c r="R1152" i="19"/>
  <c r="R1151" i="19"/>
  <c r="Q1126" i="19"/>
  <c r="Q1008" i="19"/>
  <c r="R1008" i="19"/>
  <c r="V1005" i="19"/>
  <c r="W1005" i="19" s="1"/>
  <c r="X1005" i="19" s="1"/>
  <c r="Y1005" i="19" s="1"/>
  <c r="V947" i="19"/>
  <c r="W947" i="19" s="1"/>
  <c r="X947" i="19" s="1"/>
  <c r="Y947" i="19" s="1"/>
  <c r="R1225" i="19"/>
  <c r="Q1181" i="19"/>
  <c r="V1093" i="19"/>
  <c r="W1093" i="19" s="1"/>
  <c r="X1093" i="19" s="1"/>
  <c r="Y1093" i="19" s="1"/>
  <c r="R1082" i="19"/>
  <c r="R1069" i="19"/>
  <c r="R1058" i="19"/>
  <c r="Q1057" i="19"/>
  <c r="V1045" i="19"/>
  <c r="W1045" i="19" s="1"/>
  <c r="X1045" i="19" s="1"/>
  <c r="Y1045" i="19" s="1"/>
  <c r="V1037" i="19"/>
  <c r="W1037" i="19" s="1"/>
  <c r="X1037" i="19" s="1"/>
  <c r="Y1037" i="19" s="1"/>
  <c r="Q1023" i="19"/>
  <c r="Q1009" i="19"/>
  <c r="R1009" i="19"/>
  <c r="V876" i="19"/>
  <c r="W876" i="19" s="1"/>
  <c r="X876" i="19" s="1"/>
  <c r="Y876" i="19" s="1"/>
  <c r="R1084" i="19"/>
  <c r="R1019" i="19"/>
  <c r="V929" i="19"/>
  <c r="W929" i="19" s="1"/>
  <c r="X929" i="19" s="1"/>
  <c r="Y929" i="19" s="1"/>
  <c r="R1074" i="19"/>
  <c r="V1053" i="19"/>
  <c r="W1053" i="19" s="1"/>
  <c r="X1053" i="19" s="1"/>
  <c r="Y1053" i="19" s="1"/>
  <c r="V1025" i="19"/>
  <c r="W1025" i="19" s="1"/>
  <c r="X1025" i="19" s="1"/>
  <c r="Y1025" i="19" s="1"/>
  <c r="V942" i="19"/>
  <c r="W942" i="19" s="1"/>
  <c r="X942" i="19" s="1"/>
  <c r="Y942" i="19" s="1"/>
  <c r="R920" i="19"/>
  <c r="Q920" i="19"/>
  <c r="V833" i="19"/>
  <c r="W833" i="19" s="1"/>
  <c r="X833" i="19" s="1"/>
  <c r="Y833" i="19" s="1"/>
  <c r="Q1091" i="19"/>
  <c r="Q1079" i="19"/>
  <c r="Q1067" i="19"/>
  <c r="R1038" i="19"/>
  <c r="Q1086" i="19"/>
  <c r="Q1055" i="19"/>
  <c r="V948" i="19"/>
  <c r="W948" i="19" s="1"/>
  <c r="X948" i="19" s="1"/>
  <c r="Y948" i="19" s="1"/>
  <c r="R1175" i="19"/>
  <c r="Q1171" i="19"/>
  <c r="Q1137" i="19"/>
  <c r="V1117" i="19"/>
  <c r="W1117" i="19" s="1"/>
  <c r="X1117" i="19" s="1"/>
  <c r="Y1117" i="19" s="1"/>
  <c r="Q1112" i="19"/>
  <c r="Q1109" i="19"/>
  <c r="R1064" i="19"/>
  <c r="V1001" i="19"/>
  <c r="W1001" i="19" s="1"/>
  <c r="X1001" i="19" s="1"/>
  <c r="Y1001" i="19" s="1"/>
  <c r="Q987" i="19"/>
  <c r="Q948" i="19"/>
  <c r="R948" i="19"/>
  <c r="Q1120" i="19"/>
  <c r="Q1078" i="19"/>
  <c r="Q1072" i="19"/>
  <c r="Q1070" i="19"/>
  <c r="Q1014" i="19"/>
  <c r="R1014" i="19"/>
  <c r="V996" i="19"/>
  <c r="W996" i="19" s="1"/>
  <c r="X996" i="19" s="1"/>
  <c r="Y996" i="19" s="1"/>
  <c r="V974" i="19"/>
  <c r="W974" i="19" s="1"/>
  <c r="X974" i="19" s="1"/>
  <c r="Y974" i="19" s="1"/>
  <c r="V958" i="19"/>
  <c r="W958" i="19" s="1"/>
  <c r="X958" i="19" s="1"/>
  <c r="Y958" i="19" s="1"/>
  <c r="Q1099" i="19"/>
  <c r="V857" i="19"/>
  <c r="W857" i="19" s="1"/>
  <c r="X857" i="19" s="1"/>
  <c r="Y857" i="19" s="1"/>
  <c r="V1034" i="19"/>
  <c r="W1034" i="19" s="1"/>
  <c r="X1034" i="19" s="1"/>
  <c r="Y1034" i="19" s="1"/>
  <c r="R1028" i="19"/>
  <c r="Q1012" i="19"/>
  <c r="V931" i="19"/>
  <c r="W931" i="19" s="1"/>
  <c r="X931" i="19" s="1"/>
  <c r="Y931" i="19" s="1"/>
  <c r="R1023" i="19"/>
  <c r="V902" i="19"/>
  <c r="W902" i="19" s="1"/>
  <c r="X902" i="19" s="1"/>
  <c r="Y902" i="19" s="1"/>
  <c r="V804" i="19"/>
  <c r="W804" i="19" s="1"/>
  <c r="X804" i="19" s="1"/>
  <c r="Y804" i="19" s="1"/>
  <c r="Q1028" i="19"/>
  <c r="R1010" i="19"/>
  <c r="Q1003" i="19"/>
  <c r="Q997" i="19"/>
  <c r="Q994" i="19"/>
  <c r="R959" i="19"/>
  <c r="R923" i="19"/>
  <c r="Q887" i="19"/>
  <c r="Q847" i="19"/>
  <c r="R847" i="19"/>
  <c r="R836" i="19"/>
  <c r="Q836" i="19"/>
  <c r="V754" i="19"/>
  <c r="W754" i="19" s="1"/>
  <c r="X754" i="19" s="1"/>
  <c r="Y754" i="19" s="1"/>
  <c r="V826" i="19"/>
  <c r="W826" i="19" s="1"/>
  <c r="X826" i="19" s="1"/>
  <c r="Y826" i="19" s="1"/>
  <c r="Q818" i="19"/>
  <c r="R818" i="19"/>
  <c r="V694" i="19"/>
  <c r="W694" i="19" s="1"/>
  <c r="X694" i="19" s="1"/>
  <c r="Y694" i="19" s="1"/>
  <c r="Q1054" i="19"/>
  <c r="Q1031" i="19"/>
  <c r="V981" i="19"/>
  <c r="W981" i="19" s="1"/>
  <c r="X981" i="19" s="1"/>
  <c r="Y981" i="19" s="1"/>
  <c r="Q980" i="19"/>
  <c r="R974" i="19"/>
  <c r="Q944" i="19"/>
  <c r="Q935" i="19"/>
  <c r="V914" i="19"/>
  <c r="W914" i="19" s="1"/>
  <c r="X914" i="19" s="1"/>
  <c r="Y914" i="19" s="1"/>
  <c r="V886" i="19"/>
  <c r="W886" i="19" s="1"/>
  <c r="X886" i="19" s="1"/>
  <c r="Y886" i="19" s="1"/>
  <c r="V877" i="19"/>
  <c r="W877" i="19" s="1"/>
  <c r="X877" i="19" s="1"/>
  <c r="Y877" i="19" s="1"/>
  <c r="V813" i="19"/>
  <c r="W813" i="19" s="1"/>
  <c r="X813" i="19" s="1"/>
  <c r="Y813" i="19" s="1"/>
  <c r="Q795" i="19"/>
  <c r="R996" i="19"/>
  <c r="Q965" i="19"/>
  <c r="R953" i="19"/>
  <c r="Q888" i="19"/>
  <c r="R1061" i="19"/>
  <c r="Q1059" i="19"/>
  <c r="Q1056" i="19"/>
  <c r="Q1043" i="19"/>
  <c r="R1042" i="19"/>
  <c r="V1011" i="19"/>
  <c r="W1011" i="19" s="1"/>
  <c r="X1011" i="19" s="1"/>
  <c r="Y1011" i="19" s="1"/>
  <c r="Q974" i="19"/>
  <c r="Q936" i="19"/>
  <c r="V882" i="19"/>
  <c r="W882" i="19" s="1"/>
  <c r="X882" i="19" s="1"/>
  <c r="Y882" i="19" s="1"/>
  <c r="Q831" i="19"/>
  <c r="R831" i="19"/>
  <c r="Q1019" i="19"/>
  <c r="V967" i="19"/>
  <c r="W967" i="19" s="1"/>
  <c r="X967" i="19" s="1"/>
  <c r="Y967" i="19" s="1"/>
  <c r="Q954" i="19"/>
  <c r="V915" i="19"/>
  <c r="W915" i="19" s="1"/>
  <c r="X915" i="19" s="1"/>
  <c r="Y915" i="19" s="1"/>
  <c r="V895" i="19"/>
  <c r="W895" i="19" s="1"/>
  <c r="X895" i="19" s="1"/>
  <c r="Y895" i="19" s="1"/>
  <c r="Q796" i="19"/>
  <c r="Q1025" i="19"/>
  <c r="Q1018" i="19"/>
  <c r="V1002" i="19"/>
  <c r="W1002" i="19" s="1"/>
  <c r="X1002" i="19" s="1"/>
  <c r="Y1002" i="19" s="1"/>
  <c r="R987" i="19"/>
  <c r="V977" i="19"/>
  <c r="W977" i="19" s="1"/>
  <c r="X977" i="19" s="1"/>
  <c r="Y977" i="19" s="1"/>
  <c r="Q963" i="19"/>
  <c r="R950" i="19"/>
  <c r="Q939" i="19"/>
  <c r="V922" i="19"/>
  <c r="W922" i="19" s="1"/>
  <c r="X922" i="19" s="1"/>
  <c r="Y922" i="19" s="1"/>
  <c r="V890" i="19"/>
  <c r="W890" i="19" s="1"/>
  <c r="X890" i="19" s="1"/>
  <c r="Y890" i="19" s="1"/>
  <c r="Q878" i="19"/>
  <c r="Q772" i="19"/>
  <c r="R772" i="19"/>
  <c r="Q993" i="19"/>
  <c r="R979" i="19"/>
  <c r="R961" i="19"/>
  <c r="V900" i="19"/>
  <c r="W900" i="19" s="1"/>
  <c r="X900" i="19" s="1"/>
  <c r="Y900" i="19" s="1"/>
  <c r="R890" i="19"/>
  <c r="Q890" i="19"/>
  <c r="V873" i="19"/>
  <c r="W873" i="19" s="1"/>
  <c r="X873" i="19" s="1"/>
  <c r="Y873" i="19" s="1"/>
  <c r="V851" i="19"/>
  <c r="W851" i="19" s="1"/>
  <c r="X851" i="19" s="1"/>
  <c r="Y851" i="19" s="1"/>
  <c r="V753" i="19"/>
  <c r="W753" i="19" s="1"/>
  <c r="X753" i="19" s="1"/>
  <c r="Y753" i="19" s="1"/>
  <c r="Q1011" i="19"/>
  <c r="Q959" i="19"/>
  <c r="Q923" i="19"/>
  <c r="Q919" i="19"/>
  <c r="R895" i="19"/>
  <c r="V892" i="19"/>
  <c r="W892" i="19" s="1"/>
  <c r="X892" i="19" s="1"/>
  <c r="Y892" i="19" s="1"/>
  <c r="Q860" i="19"/>
  <c r="Q851" i="19"/>
  <c r="V832" i="19"/>
  <c r="W832" i="19" s="1"/>
  <c r="X832" i="19" s="1"/>
  <c r="Y832" i="19" s="1"/>
  <c r="V840" i="19"/>
  <c r="W840" i="19" s="1"/>
  <c r="X840" i="19" s="1"/>
  <c r="Y840" i="19" s="1"/>
  <c r="V825" i="19"/>
  <c r="W825" i="19" s="1"/>
  <c r="X825" i="19" s="1"/>
  <c r="Y825" i="19" s="1"/>
  <c r="Q736" i="19"/>
  <c r="R736" i="19"/>
  <c r="Q960" i="19"/>
  <c r="R924" i="19"/>
  <c r="R891" i="19"/>
  <c r="Q885" i="19"/>
  <c r="R879" i="19"/>
  <c r="R827" i="19"/>
  <c r="V791" i="19"/>
  <c r="W791" i="19" s="1"/>
  <c r="X791" i="19" s="1"/>
  <c r="Y791" i="19" s="1"/>
  <c r="V842" i="19"/>
  <c r="W842" i="19" s="1"/>
  <c r="X842" i="19" s="1"/>
  <c r="Y842" i="19" s="1"/>
  <c r="Q821" i="19"/>
  <c r="Q775" i="19"/>
  <c r="R775" i="19"/>
  <c r="V759" i="19"/>
  <c r="W759" i="19" s="1"/>
  <c r="X759" i="19" s="1"/>
  <c r="Y759" i="19" s="1"/>
  <c r="Q868" i="19"/>
  <c r="R851" i="19"/>
  <c r="V788" i="19"/>
  <c r="W788" i="19" s="1"/>
  <c r="X788" i="19" s="1"/>
  <c r="Y788" i="19" s="1"/>
  <c r="Q759" i="19"/>
  <c r="Q810" i="19"/>
  <c r="R810" i="19"/>
  <c r="V776" i="19"/>
  <c r="W776" i="19" s="1"/>
  <c r="X776" i="19" s="1"/>
  <c r="Y776" i="19" s="1"/>
  <c r="R758" i="19"/>
  <c r="R718" i="19"/>
  <c r="Q857" i="19"/>
  <c r="R796" i="19"/>
  <c r="R776" i="19"/>
  <c r="Q765" i="19"/>
  <c r="Q914" i="19"/>
  <c r="R911" i="19"/>
  <c r="R894" i="19"/>
  <c r="Q863" i="19"/>
  <c r="V808" i="19"/>
  <c r="W808" i="19" s="1"/>
  <c r="X808" i="19" s="1"/>
  <c r="Y808" i="19" s="1"/>
  <c r="Q805" i="19"/>
  <c r="V768" i="19"/>
  <c r="W768" i="19" s="1"/>
  <c r="X768" i="19" s="1"/>
  <c r="Y768" i="19" s="1"/>
  <c r="V740" i="19"/>
  <c r="W740" i="19" s="1"/>
  <c r="X740" i="19" s="1"/>
  <c r="Y740" i="19" s="1"/>
  <c r="V623" i="19"/>
  <c r="W623" i="19" s="1"/>
  <c r="X623" i="19" s="1"/>
  <c r="Y623" i="19" s="1"/>
  <c r="Q910" i="19"/>
  <c r="Q894" i="19"/>
  <c r="Q883" i="19"/>
  <c r="Q869" i="19"/>
  <c r="V836" i="19"/>
  <c r="W836" i="19" s="1"/>
  <c r="X836" i="19" s="1"/>
  <c r="Y836" i="19" s="1"/>
  <c r="Q799" i="19"/>
  <c r="R797" i="19"/>
  <c r="V719" i="19"/>
  <c r="W719" i="19" s="1"/>
  <c r="X719" i="19" s="1"/>
  <c r="Y719" i="19" s="1"/>
  <c r="V968" i="19"/>
  <c r="W968" i="19" s="1"/>
  <c r="X968" i="19" s="1"/>
  <c r="Y968" i="19" s="1"/>
  <c r="Q956" i="19"/>
  <c r="Q947" i="19"/>
  <c r="Q933" i="19"/>
  <c r="Q909" i="19"/>
  <c r="Q866" i="19"/>
  <c r="R854" i="19"/>
  <c r="R853" i="19"/>
  <c r="R837" i="19"/>
  <c r="V770" i="19"/>
  <c r="W770" i="19" s="1"/>
  <c r="X770" i="19" s="1"/>
  <c r="Y770" i="19" s="1"/>
  <c r="R852" i="19"/>
  <c r="R838" i="19"/>
  <c r="V827" i="19"/>
  <c r="W827" i="19" s="1"/>
  <c r="X827" i="19" s="1"/>
  <c r="Y827" i="19" s="1"/>
  <c r="Q776" i="19"/>
  <c r="Q727" i="19"/>
  <c r="R727" i="19"/>
  <c r="Q616" i="19"/>
  <c r="Q735" i="19"/>
  <c r="Q718" i="19"/>
  <c r="R518" i="19"/>
  <c r="Q518" i="19"/>
  <c r="R676" i="19"/>
  <c r="Q676" i="19"/>
  <c r="V732" i="19"/>
  <c r="W732" i="19" s="1"/>
  <c r="X732" i="19" s="1"/>
  <c r="Y732" i="19" s="1"/>
  <c r="Q719" i="19"/>
  <c r="V677" i="19"/>
  <c r="W677" i="19" s="1"/>
  <c r="X677" i="19" s="1"/>
  <c r="Y677" i="19" s="1"/>
  <c r="Q780" i="19"/>
  <c r="R757" i="19"/>
  <c r="Q756" i="19"/>
  <c r="R663" i="19"/>
  <c r="V636" i="19"/>
  <c r="W636" i="19" s="1"/>
  <c r="X636" i="19" s="1"/>
  <c r="Y636" i="19" s="1"/>
  <c r="Q825" i="19"/>
  <c r="Q773" i="19"/>
  <c r="Q755" i="19"/>
  <c r="V726" i="19"/>
  <c r="W726" i="19" s="1"/>
  <c r="X726" i="19" s="1"/>
  <c r="Y726" i="19" s="1"/>
  <c r="Q699" i="19"/>
  <c r="R699" i="19"/>
  <c r="R697" i="19"/>
  <c r="R664" i="19"/>
  <c r="Q660" i="19"/>
  <c r="V621" i="19"/>
  <c r="W621" i="19" s="1"/>
  <c r="X621" i="19" s="1"/>
  <c r="Y621" i="19" s="1"/>
  <c r="Q834" i="19"/>
  <c r="Q807" i="19"/>
  <c r="R749" i="19"/>
  <c r="R745" i="19"/>
  <c r="V633" i="19"/>
  <c r="W633" i="19" s="1"/>
  <c r="X633" i="19" s="1"/>
  <c r="Y633" i="19" s="1"/>
  <c r="V685" i="19"/>
  <c r="W685" i="19" s="1"/>
  <c r="X685" i="19" s="1"/>
  <c r="Y685" i="19" s="1"/>
  <c r="Q577" i="19"/>
  <c r="R577" i="19"/>
  <c r="Q723" i="19"/>
  <c r="R708" i="19"/>
  <c r="R702" i="19"/>
  <c r="Q673" i="19"/>
  <c r="Q624" i="19"/>
  <c r="R613" i="19"/>
  <c r="R605" i="19"/>
  <c r="R594" i="19"/>
  <c r="Q594" i="19"/>
  <c r="R593" i="19"/>
  <c r="Q593" i="19"/>
  <c r="R536" i="19"/>
  <c r="Q536" i="19"/>
  <c r="R731" i="19"/>
  <c r="R724" i="19"/>
  <c r="R654" i="19"/>
  <c r="R652" i="19"/>
  <c r="V617" i="19"/>
  <c r="W617" i="19" s="1"/>
  <c r="X617" i="19" s="1"/>
  <c r="Y617" i="19" s="1"/>
  <c r="V395" i="19"/>
  <c r="W395" i="19" s="1"/>
  <c r="X395" i="19" s="1"/>
  <c r="Y395" i="19" s="1"/>
  <c r="Q679" i="19"/>
  <c r="V474" i="19"/>
  <c r="W474" i="19" s="1"/>
  <c r="X474" i="19" s="1"/>
  <c r="Y474" i="19" s="1"/>
  <c r="Q677" i="19"/>
  <c r="R675" i="19"/>
  <c r="Q637" i="19"/>
  <c r="Q724" i="19"/>
  <c r="R690" i="19"/>
  <c r="R684" i="19"/>
  <c r="V663" i="19"/>
  <c r="W663" i="19" s="1"/>
  <c r="X663" i="19" s="1"/>
  <c r="Y663" i="19" s="1"/>
  <c r="V644" i="19"/>
  <c r="W644" i="19" s="1"/>
  <c r="X644" i="19" s="1"/>
  <c r="Y644" i="19" s="1"/>
  <c r="R628" i="19"/>
  <c r="Q625" i="19"/>
  <c r="R624" i="19"/>
  <c r="Q610" i="19"/>
  <c r="R550" i="19"/>
  <c r="Q550" i="19"/>
  <c r="V448" i="19"/>
  <c r="W448" i="19" s="1"/>
  <c r="X448" i="19" s="1"/>
  <c r="Y448" i="19" s="1"/>
  <c r="Q729" i="19"/>
  <c r="R723" i="19"/>
  <c r="Q689" i="19"/>
  <c r="Q684" i="19"/>
  <c r="R630" i="19"/>
  <c r="R717" i="19"/>
  <c r="R696" i="19"/>
  <c r="R682" i="19"/>
  <c r="Q672" i="19"/>
  <c r="Q667" i="19"/>
  <c r="R659" i="19"/>
  <c r="R647" i="19"/>
  <c r="R639" i="19"/>
  <c r="V605" i="19"/>
  <c r="W605" i="19" s="1"/>
  <c r="X605" i="19" s="1"/>
  <c r="Y605" i="19" s="1"/>
  <c r="R604" i="19"/>
  <c r="R636" i="19"/>
  <c r="Q631" i="19"/>
  <c r="R627" i="19"/>
  <c r="R610" i="19"/>
  <c r="Q562" i="19"/>
  <c r="R554" i="19"/>
  <c r="Q551" i="19"/>
  <c r="R543" i="19"/>
  <c r="R542" i="19"/>
  <c r="R482" i="19"/>
  <c r="R571" i="19"/>
  <c r="V569" i="19"/>
  <c r="W569" i="19" s="1"/>
  <c r="X569" i="19" s="1"/>
  <c r="Y569" i="19" s="1"/>
  <c r="R539" i="19"/>
  <c r="Q524" i="19"/>
  <c r="V523" i="19"/>
  <c r="W523" i="19" s="1"/>
  <c r="X523" i="19" s="1"/>
  <c r="Y523" i="19" s="1"/>
  <c r="V511" i="19"/>
  <c r="W511" i="19" s="1"/>
  <c r="X511" i="19" s="1"/>
  <c r="Y511" i="19" s="1"/>
  <c r="V475" i="19"/>
  <c r="W475" i="19" s="1"/>
  <c r="X475" i="19" s="1"/>
  <c r="Y475" i="19" s="1"/>
  <c r="V584" i="19"/>
  <c r="W584" i="19" s="1"/>
  <c r="X584" i="19" s="1"/>
  <c r="Y584" i="19" s="1"/>
  <c r="R569" i="19"/>
  <c r="Q566" i="19"/>
  <c r="V556" i="19"/>
  <c r="W556" i="19" s="1"/>
  <c r="X556" i="19" s="1"/>
  <c r="Y556" i="19" s="1"/>
  <c r="R537" i="19"/>
  <c r="Q483" i="19"/>
  <c r="R603" i="19"/>
  <c r="R592" i="19"/>
  <c r="R587" i="19"/>
  <c r="R575" i="19"/>
  <c r="R564" i="19"/>
  <c r="V547" i="19"/>
  <c r="W547" i="19" s="1"/>
  <c r="X547" i="19" s="1"/>
  <c r="Y547" i="19" s="1"/>
  <c r="V532" i="19"/>
  <c r="W532" i="19" s="1"/>
  <c r="X532" i="19" s="1"/>
  <c r="Y532" i="19" s="1"/>
  <c r="Q491" i="19"/>
  <c r="Q375" i="19"/>
  <c r="Q579" i="19"/>
  <c r="Q538" i="19"/>
  <c r="R524" i="19"/>
  <c r="R517" i="19"/>
  <c r="R516" i="19"/>
  <c r="Q503" i="19"/>
  <c r="V445" i="19"/>
  <c r="W445" i="19" s="1"/>
  <c r="X445" i="19" s="1"/>
  <c r="Y445" i="19" s="1"/>
  <c r="R522" i="19"/>
  <c r="R512" i="19"/>
  <c r="V503" i="19"/>
  <c r="W503" i="19" s="1"/>
  <c r="X503" i="19" s="1"/>
  <c r="Y503" i="19" s="1"/>
  <c r="V435" i="19"/>
  <c r="W435" i="19" s="1"/>
  <c r="X435" i="19" s="1"/>
  <c r="Y435" i="19" s="1"/>
  <c r="R430" i="19"/>
  <c r="Q519" i="19"/>
  <c r="R486" i="19"/>
  <c r="V471" i="19"/>
  <c r="W471" i="19" s="1"/>
  <c r="X471" i="19" s="1"/>
  <c r="Y471" i="19" s="1"/>
  <c r="V428" i="19"/>
  <c r="W428" i="19" s="1"/>
  <c r="X428" i="19" s="1"/>
  <c r="Y428" i="19" s="1"/>
  <c r="Q585" i="19"/>
  <c r="R582" i="19"/>
  <c r="Q570" i="19"/>
  <c r="Q532" i="19"/>
  <c r="Q512" i="19"/>
  <c r="Q505" i="19"/>
  <c r="Q497" i="19"/>
  <c r="R583" i="19"/>
  <c r="Q575" i="19"/>
  <c r="R568" i="19"/>
  <c r="Q541" i="19"/>
  <c r="Q400" i="19"/>
  <c r="R618" i="19"/>
  <c r="R590" i="19"/>
  <c r="R565" i="19"/>
  <c r="R553" i="19"/>
  <c r="R547" i="19"/>
  <c r="Q540" i="19"/>
  <c r="V490" i="19"/>
  <c r="W490" i="19" s="1"/>
  <c r="X490" i="19" s="1"/>
  <c r="Y490" i="19" s="1"/>
  <c r="V481" i="19"/>
  <c r="W481" i="19" s="1"/>
  <c r="X481" i="19" s="1"/>
  <c r="Y481" i="19" s="1"/>
  <c r="Q464" i="19"/>
  <c r="Q428" i="19"/>
  <c r="Q481" i="19"/>
  <c r="R477" i="19"/>
  <c r="R470" i="19"/>
  <c r="V465" i="19"/>
  <c r="W465" i="19" s="1"/>
  <c r="X465" i="19" s="1"/>
  <c r="Y465" i="19" s="1"/>
  <c r="V450" i="19"/>
  <c r="W450" i="19" s="1"/>
  <c r="X450" i="19" s="1"/>
  <c r="Y450" i="19" s="1"/>
  <c r="V419" i="19"/>
  <c r="W419" i="19" s="1"/>
  <c r="X419" i="19" s="1"/>
  <c r="Y419" i="19" s="1"/>
  <c r="R412" i="19"/>
  <c r="Q376" i="19"/>
  <c r="R460" i="19"/>
  <c r="R400" i="19"/>
  <c r="Q382" i="19"/>
  <c r="Q463" i="19"/>
  <c r="V446" i="19"/>
  <c r="W446" i="19" s="1"/>
  <c r="X446" i="19" s="1"/>
  <c r="Y446" i="19" s="1"/>
  <c r="V438" i="19"/>
  <c r="W438" i="19" s="1"/>
  <c r="X438" i="19" s="1"/>
  <c r="Y438" i="19" s="1"/>
  <c r="Q414" i="19"/>
  <c r="R397" i="19"/>
  <c r="R375" i="19"/>
  <c r="Q498" i="19"/>
  <c r="V472" i="19"/>
  <c r="W472" i="19" s="1"/>
  <c r="X472" i="19" s="1"/>
  <c r="Y472" i="19" s="1"/>
  <c r="V436" i="19"/>
  <c r="W436" i="19" s="1"/>
  <c r="X436" i="19" s="1"/>
  <c r="Y436" i="19" s="1"/>
  <c r="R488" i="19"/>
  <c r="Q448" i="19"/>
  <c r="Q443" i="19"/>
  <c r="R442" i="19"/>
  <c r="Q415" i="19"/>
  <c r="Q402" i="19"/>
  <c r="R393" i="19"/>
  <c r="Q442" i="19"/>
  <c r="Q438" i="19"/>
  <c r="R408" i="19"/>
  <c r="Q379" i="19"/>
  <c r="Q471" i="19"/>
  <c r="R435" i="19"/>
  <c r="R428" i="19"/>
  <c r="V1159" i="19"/>
  <c r="W1159" i="19" s="1"/>
  <c r="X1159" i="19" s="1"/>
  <c r="Y1159" i="19" s="1"/>
  <c r="V1137" i="19"/>
  <c r="W1137" i="19" s="1"/>
  <c r="X1137" i="19" s="1"/>
  <c r="Y1137" i="19" s="1"/>
  <c r="V425" i="19"/>
  <c r="W425" i="19" s="1"/>
  <c r="X425" i="19" s="1"/>
  <c r="Y425" i="19" s="1"/>
  <c r="V1235" i="19"/>
  <c r="W1235" i="19" s="1"/>
  <c r="X1235" i="19" s="1"/>
  <c r="Y1235" i="19" s="1"/>
  <c r="Q1188" i="19"/>
  <c r="R1188" i="19"/>
  <c r="V928" i="19"/>
  <c r="W928" i="19" s="1"/>
  <c r="X928" i="19" s="1"/>
  <c r="Y928" i="19" s="1"/>
  <c r="V1225" i="19"/>
  <c r="W1225" i="19" s="1"/>
  <c r="X1225" i="19" s="1"/>
  <c r="Y1225" i="19" s="1"/>
  <c r="V1211" i="19"/>
  <c r="W1211" i="19" s="1"/>
  <c r="X1211" i="19" s="1"/>
  <c r="Y1211" i="19" s="1"/>
  <c r="R1201" i="19"/>
  <c r="Q1201" i="19"/>
  <c r="R1088" i="19"/>
  <c r="Q1088" i="19"/>
  <c r="V930" i="19"/>
  <c r="W930" i="19" s="1"/>
  <c r="X930" i="19" s="1"/>
  <c r="Y930" i="19" s="1"/>
  <c r="V1216" i="19"/>
  <c r="W1216" i="19" s="1"/>
  <c r="X1216" i="19" s="1"/>
  <c r="Y1216" i="19" s="1"/>
  <c r="R1211" i="19"/>
  <c r="Q1211" i="19"/>
  <c r="V1086" i="19"/>
  <c r="W1086" i="19" s="1"/>
  <c r="X1086" i="19" s="1"/>
  <c r="Y1086" i="19" s="1"/>
  <c r="Q881" i="19"/>
  <c r="R881" i="19"/>
  <c r="Q1216" i="19"/>
  <c r="R1216" i="19"/>
  <c r="V1176" i="19"/>
  <c r="W1176" i="19" s="1"/>
  <c r="X1176" i="19" s="1"/>
  <c r="Y1176" i="19" s="1"/>
  <c r="Q1228" i="19"/>
  <c r="R1228" i="19"/>
  <c r="V1121" i="19"/>
  <c r="W1121" i="19" s="1"/>
  <c r="X1121" i="19" s="1"/>
  <c r="Y1121" i="19" s="1"/>
  <c r="V993" i="19"/>
  <c r="W993" i="19" s="1"/>
  <c r="X993" i="19" s="1"/>
  <c r="Y993" i="19" s="1"/>
  <c r="Q1238" i="19"/>
  <c r="R1238" i="19"/>
  <c r="V1213" i="19"/>
  <c r="W1213" i="19" s="1"/>
  <c r="X1213" i="19" s="1"/>
  <c r="Y1213" i="19" s="1"/>
  <c r="V1122" i="19"/>
  <c r="W1122" i="19" s="1"/>
  <c r="X1122" i="19" s="1"/>
  <c r="Y1122" i="19" s="1"/>
  <c r="Q1122" i="19"/>
  <c r="R1122" i="19"/>
  <c r="Q1176" i="19"/>
  <c r="R1176" i="19"/>
  <c r="V1215" i="19"/>
  <c r="W1215" i="19" s="1"/>
  <c r="X1215" i="19" s="1"/>
  <c r="Y1215" i="19" s="1"/>
  <c r="V1148" i="19"/>
  <c r="W1148" i="19" s="1"/>
  <c r="X1148" i="19" s="1"/>
  <c r="Y1148" i="19" s="1"/>
  <c r="R1148" i="19"/>
  <c r="Q1148" i="19"/>
  <c r="Q1133" i="19"/>
  <c r="R1133" i="19"/>
  <c r="V1132" i="19"/>
  <c r="W1132" i="19" s="1"/>
  <c r="X1132" i="19" s="1"/>
  <c r="Y1132" i="19" s="1"/>
  <c r="V1172" i="19"/>
  <c r="W1172" i="19" s="1"/>
  <c r="X1172" i="19" s="1"/>
  <c r="Y1172" i="19" s="1"/>
  <c r="V965" i="19"/>
  <c r="W965" i="19" s="1"/>
  <c r="X965" i="19" s="1"/>
  <c r="Y965" i="19" s="1"/>
  <c r="Q882" i="19"/>
  <c r="R882" i="19"/>
  <c r="V903" i="19"/>
  <c r="W903" i="19" s="1"/>
  <c r="X903" i="19" s="1"/>
  <c r="Y903" i="19" s="1"/>
  <c r="V1199" i="19"/>
  <c r="W1199" i="19" s="1"/>
  <c r="X1199" i="19" s="1"/>
  <c r="Y1199" i="19" s="1"/>
  <c r="Q1106" i="19"/>
  <c r="R1106" i="19"/>
  <c r="Q1199" i="19"/>
  <c r="R1199" i="19"/>
  <c r="V1198" i="19"/>
  <c r="W1198" i="19" s="1"/>
  <c r="X1198" i="19" s="1"/>
  <c r="Y1198" i="19" s="1"/>
  <c r="V778" i="19"/>
  <c r="W778" i="19" s="1"/>
  <c r="X778" i="19" s="1"/>
  <c r="Y778" i="19" s="1"/>
  <c r="V1187" i="19"/>
  <c r="W1187" i="19" s="1"/>
  <c r="X1187" i="19" s="1"/>
  <c r="Y1187" i="19" s="1"/>
  <c r="V1170" i="19"/>
  <c r="W1170" i="19" s="1"/>
  <c r="X1170" i="19" s="1"/>
  <c r="Y1170" i="19" s="1"/>
  <c r="R1128" i="19"/>
  <c r="V1109" i="19"/>
  <c r="W1109" i="19" s="1"/>
  <c r="X1109" i="19" s="1"/>
  <c r="Y1109" i="19" s="1"/>
  <c r="V1059" i="19"/>
  <c r="W1059" i="19" s="1"/>
  <c r="X1059" i="19" s="1"/>
  <c r="Y1059" i="19" s="1"/>
  <c r="Q1075" i="19"/>
  <c r="R1075" i="19"/>
  <c r="Q1102" i="19"/>
  <c r="R1102" i="19"/>
  <c r="V908" i="19"/>
  <c r="W908" i="19" s="1"/>
  <c r="X908" i="19" s="1"/>
  <c r="Y908" i="19" s="1"/>
  <c r="Q1226" i="19"/>
  <c r="R1226" i="19"/>
  <c r="Q1197" i="19"/>
  <c r="V1188" i="19"/>
  <c r="W1188" i="19" s="1"/>
  <c r="X1188" i="19" s="1"/>
  <c r="Y1188" i="19" s="1"/>
  <c r="Q1186" i="19"/>
  <c r="R1164" i="19"/>
  <c r="V1139" i="19"/>
  <c r="W1139" i="19" s="1"/>
  <c r="X1139" i="19" s="1"/>
  <c r="Y1139" i="19" s="1"/>
  <c r="V1133" i="19"/>
  <c r="W1133" i="19" s="1"/>
  <c r="X1133" i="19" s="1"/>
  <c r="Y1133" i="19" s="1"/>
  <c r="R1117" i="19"/>
  <c r="V1116" i="19"/>
  <c r="W1116" i="19" s="1"/>
  <c r="X1116" i="19" s="1"/>
  <c r="Y1116" i="19" s="1"/>
  <c r="Q1062" i="19"/>
  <c r="R1062" i="19"/>
  <c r="Q1060" i="19"/>
  <c r="R1060" i="19"/>
  <c r="Q1004" i="19"/>
  <c r="R1004" i="19"/>
  <c r="Q1001" i="19"/>
  <c r="R1001" i="19"/>
  <c r="V980" i="19"/>
  <c r="W980" i="19" s="1"/>
  <c r="X980" i="19" s="1"/>
  <c r="Y980" i="19" s="1"/>
  <c r="V1227" i="19"/>
  <c r="W1227" i="19" s="1"/>
  <c r="X1227" i="19" s="1"/>
  <c r="Y1227" i="19" s="1"/>
  <c r="Q1215" i="19"/>
  <c r="R1215" i="19"/>
  <c r="V1173" i="19"/>
  <c r="W1173" i="19" s="1"/>
  <c r="X1173" i="19" s="1"/>
  <c r="Y1173" i="19" s="1"/>
  <c r="V1114" i="19"/>
  <c r="W1114" i="19" s="1"/>
  <c r="X1114" i="19" s="1"/>
  <c r="Y1114" i="19" s="1"/>
  <c r="V1049" i="19"/>
  <c r="W1049" i="19" s="1"/>
  <c r="X1049" i="19" s="1"/>
  <c r="Y1049" i="19" s="1"/>
  <c r="V1044" i="19"/>
  <c r="W1044" i="19" s="1"/>
  <c r="X1044" i="19" s="1"/>
  <c r="Y1044" i="19" s="1"/>
  <c r="Q930" i="19"/>
  <c r="R930" i="19"/>
  <c r="Q908" i="19"/>
  <c r="R908" i="19"/>
  <c r="V860" i="19"/>
  <c r="W860" i="19" s="1"/>
  <c r="X860" i="19" s="1"/>
  <c r="Y860" i="19" s="1"/>
  <c r="V803" i="19"/>
  <c r="W803" i="19" s="1"/>
  <c r="X803" i="19" s="1"/>
  <c r="Y803" i="19" s="1"/>
  <c r="V427" i="19"/>
  <c r="W427" i="19" s="1"/>
  <c r="X427" i="19" s="1"/>
  <c r="Y427" i="19" s="1"/>
  <c r="Q1240" i="19"/>
  <c r="R1240" i="19"/>
  <c r="R1227" i="19"/>
  <c r="Q1227" i="19"/>
  <c r="V1224" i="19"/>
  <c r="W1224" i="19" s="1"/>
  <c r="X1224" i="19" s="1"/>
  <c r="Y1224" i="19" s="1"/>
  <c r="Q1190" i="19"/>
  <c r="R1190" i="19"/>
  <c r="Q1178" i="19"/>
  <c r="R1178" i="19"/>
  <c r="V1073" i="19"/>
  <c r="W1073" i="19" s="1"/>
  <c r="X1073" i="19" s="1"/>
  <c r="Y1073" i="19" s="1"/>
  <c r="Q999" i="19"/>
  <c r="R999" i="19"/>
  <c r="R1237" i="19"/>
  <c r="Q1237" i="19"/>
  <c r="V1214" i="19"/>
  <c r="W1214" i="19" s="1"/>
  <c r="X1214" i="19" s="1"/>
  <c r="Y1214" i="19" s="1"/>
  <c r="V1212" i="19"/>
  <c r="W1212" i="19" s="1"/>
  <c r="X1212" i="19" s="1"/>
  <c r="Y1212" i="19" s="1"/>
  <c r="Q1204" i="19"/>
  <c r="V1160" i="19"/>
  <c r="W1160" i="19" s="1"/>
  <c r="X1160" i="19" s="1"/>
  <c r="Y1160" i="19" s="1"/>
  <c r="V1147" i="19"/>
  <c r="W1147" i="19" s="1"/>
  <c r="X1147" i="19" s="1"/>
  <c r="Y1147" i="19" s="1"/>
  <c r="V1103" i="19"/>
  <c r="W1103" i="19" s="1"/>
  <c r="X1103" i="19" s="1"/>
  <c r="Y1103" i="19" s="1"/>
  <c r="V1048" i="19"/>
  <c r="W1048" i="19" s="1"/>
  <c r="X1048" i="19" s="1"/>
  <c r="Y1048" i="19" s="1"/>
  <c r="V1020" i="19"/>
  <c r="W1020" i="19" s="1"/>
  <c r="X1020" i="19" s="1"/>
  <c r="Y1020" i="19" s="1"/>
  <c r="Q1243" i="19"/>
  <c r="Q1214" i="19"/>
  <c r="R1214" i="19"/>
  <c r="Q1212" i="19"/>
  <c r="V1171" i="19"/>
  <c r="W1171" i="19" s="1"/>
  <c r="X1171" i="19" s="1"/>
  <c r="Y1171" i="19" s="1"/>
  <c r="Q1162" i="19"/>
  <c r="R1162" i="19"/>
  <c r="V1130" i="19"/>
  <c r="W1130" i="19" s="1"/>
  <c r="X1130" i="19" s="1"/>
  <c r="Y1130" i="19" s="1"/>
  <c r="V1110" i="19"/>
  <c r="W1110" i="19" s="1"/>
  <c r="X1110" i="19" s="1"/>
  <c r="Y1110" i="19" s="1"/>
  <c r="Q1048" i="19"/>
  <c r="R1048" i="19"/>
  <c r="V988" i="19"/>
  <c r="W988" i="19" s="1"/>
  <c r="X988" i="19" s="1"/>
  <c r="Y988" i="19" s="1"/>
  <c r="V1239" i="19"/>
  <c r="W1239" i="19" s="1"/>
  <c r="X1239" i="19" s="1"/>
  <c r="Y1239" i="19" s="1"/>
  <c r="V1236" i="19"/>
  <c r="W1236" i="19" s="1"/>
  <c r="X1236" i="19" s="1"/>
  <c r="Y1236" i="19" s="1"/>
  <c r="Q1234" i="19"/>
  <c r="Q1229" i="19"/>
  <c r="Q1217" i="19"/>
  <c r="R1217" i="19"/>
  <c r="V1189" i="19"/>
  <c r="W1189" i="19" s="1"/>
  <c r="X1189" i="19" s="1"/>
  <c r="Y1189" i="19" s="1"/>
  <c r="Q1179" i="19"/>
  <c r="V1149" i="19"/>
  <c r="W1149" i="19" s="1"/>
  <c r="X1149" i="19" s="1"/>
  <c r="Y1149" i="19" s="1"/>
  <c r="V1136" i="19"/>
  <c r="W1136" i="19" s="1"/>
  <c r="X1136" i="19" s="1"/>
  <c r="Y1136" i="19" s="1"/>
  <c r="V1129" i="19"/>
  <c r="W1129" i="19" s="1"/>
  <c r="X1129" i="19" s="1"/>
  <c r="Y1129" i="19" s="1"/>
  <c r="V1123" i="19"/>
  <c r="W1123" i="19" s="1"/>
  <c r="X1123" i="19" s="1"/>
  <c r="Y1123" i="19" s="1"/>
  <c r="Q1107" i="19"/>
  <c r="V1082" i="19"/>
  <c r="W1082" i="19" s="1"/>
  <c r="X1082" i="19" s="1"/>
  <c r="Y1082" i="19" s="1"/>
  <c r="Q918" i="19"/>
  <c r="R918" i="19"/>
  <c r="R1236" i="19"/>
  <c r="Q1236" i="19"/>
  <c r="Q1200" i="19"/>
  <c r="R1200" i="19"/>
  <c r="Q1191" i="19"/>
  <c r="Q1189" i="19"/>
  <c r="R1189" i="19"/>
  <c r="Q1071" i="19"/>
  <c r="R1071" i="19"/>
  <c r="V1060" i="19"/>
  <c r="W1060" i="19" s="1"/>
  <c r="X1060" i="19" s="1"/>
  <c r="Y1060" i="19" s="1"/>
  <c r="V1031" i="19"/>
  <c r="W1031" i="19" s="1"/>
  <c r="X1031" i="19" s="1"/>
  <c r="Y1031" i="19" s="1"/>
  <c r="V880" i="19"/>
  <c r="W880" i="19" s="1"/>
  <c r="X880" i="19" s="1"/>
  <c r="Y880" i="19" s="1"/>
  <c r="V1151" i="19"/>
  <c r="W1151" i="19" s="1"/>
  <c r="X1151" i="19" s="1"/>
  <c r="Y1151" i="19" s="1"/>
  <c r="V1131" i="19"/>
  <c r="W1131" i="19" s="1"/>
  <c r="X1131" i="19" s="1"/>
  <c r="Y1131" i="19" s="1"/>
  <c r="V1088" i="19"/>
  <c r="W1088" i="19" s="1"/>
  <c r="X1088" i="19" s="1"/>
  <c r="Y1088" i="19" s="1"/>
  <c r="Q1049" i="19"/>
  <c r="R1049" i="19"/>
  <c r="V1042" i="19"/>
  <c r="W1042" i="19" s="1"/>
  <c r="X1042" i="19" s="1"/>
  <c r="Y1042" i="19" s="1"/>
  <c r="Q1035" i="19"/>
  <c r="R1035" i="19"/>
  <c r="V1009" i="19"/>
  <c r="W1009" i="19" s="1"/>
  <c r="X1009" i="19" s="1"/>
  <c r="Y1009" i="19" s="1"/>
  <c r="Q958" i="19"/>
  <c r="R958" i="19"/>
  <c r="Q905" i="19"/>
  <c r="R905" i="19"/>
  <c r="V888" i="19"/>
  <c r="W888" i="19" s="1"/>
  <c r="X888" i="19" s="1"/>
  <c r="Y888" i="19" s="1"/>
  <c r="V881" i="19"/>
  <c r="W881" i="19" s="1"/>
  <c r="X881" i="19" s="1"/>
  <c r="Y881" i="19" s="1"/>
  <c r="V1064" i="19"/>
  <c r="W1064" i="19" s="1"/>
  <c r="X1064" i="19" s="1"/>
  <c r="Y1064" i="19" s="1"/>
  <c r="Q1044" i="19"/>
  <c r="R1044" i="19"/>
  <c r="V1023" i="19"/>
  <c r="W1023" i="19" s="1"/>
  <c r="X1023" i="19" s="1"/>
  <c r="Y1023" i="19" s="1"/>
  <c r="V991" i="19"/>
  <c r="W991" i="19" s="1"/>
  <c r="X991" i="19" s="1"/>
  <c r="Y991" i="19" s="1"/>
  <c r="V962" i="19"/>
  <c r="W962" i="19" s="1"/>
  <c r="X962" i="19" s="1"/>
  <c r="Y962" i="19" s="1"/>
  <c r="Q886" i="19"/>
  <c r="R886" i="19"/>
  <c r="Q870" i="19"/>
  <c r="R870" i="19"/>
  <c r="Q823" i="19"/>
  <c r="R823" i="19"/>
  <c r="V665" i="19"/>
  <c r="W665" i="19" s="1"/>
  <c r="X665" i="19" s="1"/>
  <c r="Y665" i="19" s="1"/>
  <c r="Q1241" i="19"/>
  <c r="Q1239" i="19"/>
  <c r="R1239" i="19"/>
  <c r="Q1203" i="19"/>
  <c r="R1137" i="19"/>
  <c r="V1134" i="19"/>
  <c r="W1134" i="19" s="1"/>
  <c r="X1134" i="19" s="1"/>
  <c r="Y1134" i="19" s="1"/>
  <c r="Q1132" i="19"/>
  <c r="Q1051" i="19"/>
  <c r="R1051" i="19"/>
  <c r="Q1007" i="19"/>
  <c r="R1006" i="19"/>
  <c r="Q991" i="19"/>
  <c r="R991" i="19"/>
  <c r="Q983" i="19"/>
  <c r="Q971" i="19"/>
  <c r="Q952" i="19"/>
  <c r="R952" i="19"/>
  <c r="R944" i="19"/>
  <c r="Q901" i="19"/>
  <c r="R901" i="19"/>
  <c r="V766" i="19"/>
  <c r="W766" i="19" s="1"/>
  <c r="X766" i="19" s="1"/>
  <c r="Y766" i="19" s="1"/>
  <c r="Q744" i="19"/>
  <c r="R744" i="19"/>
  <c r="V1143" i="19"/>
  <c r="W1143" i="19" s="1"/>
  <c r="X1143" i="19" s="1"/>
  <c r="Y1143" i="19" s="1"/>
  <c r="V1107" i="19"/>
  <c r="W1107" i="19" s="1"/>
  <c r="X1107" i="19" s="1"/>
  <c r="Y1107" i="19" s="1"/>
  <c r="V1099" i="19"/>
  <c r="W1099" i="19" s="1"/>
  <c r="X1099" i="19" s="1"/>
  <c r="Y1099" i="19" s="1"/>
  <c r="Q1058" i="19"/>
  <c r="Q1000" i="19"/>
  <c r="Q992" i="19"/>
  <c r="R992" i="19"/>
  <c r="V971" i="19"/>
  <c r="W971" i="19" s="1"/>
  <c r="X971" i="19" s="1"/>
  <c r="Y971" i="19" s="1"/>
  <c r="V926" i="19"/>
  <c r="W926" i="19" s="1"/>
  <c r="X926" i="19" s="1"/>
  <c r="Y926" i="19" s="1"/>
  <c r="R698" i="19"/>
  <c r="Q698" i="19"/>
  <c r="V697" i="19"/>
  <c r="W697" i="19" s="1"/>
  <c r="X697" i="19" s="1"/>
  <c r="Y697" i="19" s="1"/>
  <c r="V1029" i="19"/>
  <c r="W1029" i="19" s="1"/>
  <c r="X1029" i="19" s="1"/>
  <c r="Y1029" i="19" s="1"/>
  <c r="V1007" i="19"/>
  <c r="W1007" i="19" s="1"/>
  <c r="X1007" i="19" s="1"/>
  <c r="Y1007" i="19" s="1"/>
  <c r="V1006" i="19"/>
  <c r="W1006" i="19" s="1"/>
  <c r="X1006" i="19" s="1"/>
  <c r="Y1006" i="19" s="1"/>
  <c r="V983" i="19"/>
  <c r="W983" i="19" s="1"/>
  <c r="X983" i="19" s="1"/>
  <c r="Y983" i="19" s="1"/>
  <c r="V944" i="19"/>
  <c r="W944" i="19" s="1"/>
  <c r="X944" i="19" s="1"/>
  <c r="Y944" i="19" s="1"/>
  <c r="Q926" i="19"/>
  <c r="R926" i="19"/>
  <c r="Q747" i="19"/>
  <c r="R747" i="19"/>
  <c r="Q1152" i="19"/>
  <c r="Q1129" i="19"/>
  <c r="R1129" i="19"/>
  <c r="R1114" i="19"/>
  <c r="Q1114" i="19"/>
  <c r="Q1098" i="19"/>
  <c r="R1098" i="19"/>
  <c r="Q1073" i="19"/>
  <c r="R1073" i="19"/>
  <c r="V1057" i="19"/>
  <c r="W1057" i="19" s="1"/>
  <c r="X1057" i="19" s="1"/>
  <c r="Y1057" i="19" s="1"/>
  <c r="V1046" i="19"/>
  <c r="W1046" i="19" s="1"/>
  <c r="X1046" i="19" s="1"/>
  <c r="Y1046" i="19" s="1"/>
  <c r="V982" i="19"/>
  <c r="W982" i="19" s="1"/>
  <c r="X982" i="19" s="1"/>
  <c r="Y982" i="19" s="1"/>
  <c r="V904" i="19"/>
  <c r="W904" i="19" s="1"/>
  <c r="X904" i="19" s="1"/>
  <c r="Y904" i="19" s="1"/>
  <c r="V1084" i="19"/>
  <c r="W1084" i="19" s="1"/>
  <c r="X1084" i="19" s="1"/>
  <c r="Y1084" i="19" s="1"/>
  <c r="V1061" i="19"/>
  <c r="W1061" i="19" s="1"/>
  <c r="X1061" i="19" s="1"/>
  <c r="Y1061" i="19" s="1"/>
  <c r="Q1046" i="19"/>
  <c r="R1046" i="19"/>
  <c r="Q937" i="19"/>
  <c r="R937" i="19"/>
  <c r="V933" i="19"/>
  <c r="W933" i="19" s="1"/>
  <c r="X933" i="19" s="1"/>
  <c r="Y933" i="19" s="1"/>
  <c r="V918" i="19"/>
  <c r="W918" i="19" s="1"/>
  <c r="X918" i="19" s="1"/>
  <c r="Y918" i="19" s="1"/>
  <c r="Q906" i="19"/>
  <c r="R906" i="19"/>
  <c r="Q904" i="19"/>
  <c r="R904" i="19"/>
  <c r="Q876" i="19"/>
  <c r="R876" i="19"/>
  <c r="V374" i="19"/>
  <c r="W374" i="19" s="1"/>
  <c r="X374" i="19" s="1"/>
  <c r="Y374" i="19" s="1"/>
  <c r="Q374" i="19"/>
  <c r="R374" i="19"/>
  <c r="Q1143" i="19"/>
  <c r="R1143" i="19"/>
  <c r="Q1140" i="19"/>
  <c r="V1083" i="19"/>
  <c r="W1083" i="19" s="1"/>
  <c r="X1083" i="19" s="1"/>
  <c r="Y1083" i="19" s="1"/>
  <c r="V1074" i="19"/>
  <c r="W1074" i="19" s="1"/>
  <c r="X1074" i="19" s="1"/>
  <c r="Y1074" i="19" s="1"/>
  <c r="Q990" i="19"/>
  <c r="R990" i="19"/>
  <c r="V987" i="19"/>
  <c r="W987" i="19" s="1"/>
  <c r="X987" i="19" s="1"/>
  <c r="Y987" i="19" s="1"/>
  <c r="Q982" i="19"/>
  <c r="R982" i="19"/>
  <c r="V976" i="19"/>
  <c r="W976" i="19" s="1"/>
  <c r="X976" i="19" s="1"/>
  <c r="Y976" i="19" s="1"/>
  <c r="V973" i="19"/>
  <c r="W973" i="19" s="1"/>
  <c r="X973" i="19" s="1"/>
  <c r="Y973" i="19" s="1"/>
  <c r="V964" i="19"/>
  <c r="W964" i="19" s="1"/>
  <c r="X964" i="19" s="1"/>
  <c r="Y964" i="19" s="1"/>
  <c r="V959" i="19"/>
  <c r="W959" i="19" s="1"/>
  <c r="X959" i="19" s="1"/>
  <c r="Y959" i="19" s="1"/>
  <c r="Q928" i="19"/>
  <c r="R928" i="19"/>
  <c r="V924" i="19"/>
  <c r="W924" i="19" s="1"/>
  <c r="X924" i="19" s="1"/>
  <c r="Y924" i="19" s="1"/>
  <c r="V884" i="19"/>
  <c r="W884" i="19" s="1"/>
  <c r="X884" i="19" s="1"/>
  <c r="Y884" i="19" s="1"/>
  <c r="V878" i="19"/>
  <c r="W878" i="19" s="1"/>
  <c r="X878" i="19" s="1"/>
  <c r="Y878" i="19" s="1"/>
  <c r="V821" i="19"/>
  <c r="W821" i="19" s="1"/>
  <c r="X821" i="19" s="1"/>
  <c r="Y821" i="19" s="1"/>
  <c r="Q803" i="19"/>
  <c r="R803" i="19"/>
  <c r="R786" i="19"/>
  <c r="Q786" i="19"/>
  <c r="R1243" i="19"/>
  <c r="R1242" i="19"/>
  <c r="Q1222" i="19"/>
  <c r="Q1135" i="19"/>
  <c r="Q1125" i="19"/>
  <c r="V1113" i="19"/>
  <c r="W1113" i="19" s="1"/>
  <c r="X1113" i="19" s="1"/>
  <c r="Y1113" i="19" s="1"/>
  <c r="Q1083" i="19"/>
  <c r="R1083" i="19"/>
  <c r="R1056" i="19"/>
  <c r="V1008" i="19"/>
  <c r="W1008" i="19" s="1"/>
  <c r="X1008" i="19" s="1"/>
  <c r="Y1008" i="19" s="1"/>
  <c r="Q976" i="19"/>
  <c r="R976" i="19"/>
  <c r="Q973" i="19"/>
  <c r="R973" i="19"/>
  <c r="Q970" i="19"/>
  <c r="R970" i="19"/>
  <c r="Q964" i="19"/>
  <c r="R964" i="19"/>
  <c r="R949" i="19"/>
  <c r="V910" i="19"/>
  <c r="W910" i="19" s="1"/>
  <c r="X910" i="19" s="1"/>
  <c r="Y910" i="19" s="1"/>
  <c r="V883" i="19"/>
  <c r="W883" i="19" s="1"/>
  <c r="X883" i="19" s="1"/>
  <c r="Y883" i="19" s="1"/>
  <c r="V868" i="19"/>
  <c r="W868" i="19" s="1"/>
  <c r="X868" i="19" s="1"/>
  <c r="Y868" i="19" s="1"/>
  <c r="V846" i="19"/>
  <c r="W846" i="19" s="1"/>
  <c r="X846" i="19" s="1"/>
  <c r="Y846" i="19" s="1"/>
  <c r="V835" i="19"/>
  <c r="W835" i="19" s="1"/>
  <c r="X835" i="19" s="1"/>
  <c r="Y835" i="19" s="1"/>
  <c r="R1230" i="19"/>
  <c r="Q1104" i="19"/>
  <c r="Q1005" i="19"/>
  <c r="R1005" i="19"/>
  <c r="R995" i="19"/>
  <c r="Q967" i="19"/>
  <c r="R967" i="19"/>
  <c r="V845" i="19"/>
  <c r="W845" i="19" s="1"/>
  <c r="X845" i="19" s="1"/>
  <c r="Y845" i="19" s="1"/>
  <c r="Q835" i="19"/>
  <c r="R835" i="19"/>
  <c r="R703" i="19"/>
  <c r="Q703" i="19"/>
  <c r="Q1232" i="19"/>
  <c r="R1155" i="19"/>
  <c r="Q1145" i="19"/>
  <c r="R1144" i="19"/>
  <c r="R1112" i="19"/>
  <c r="Q1101" i="19"/>
  <c r="R1101" i="19"/>
  <c r="Q1089" i="19"/>
  <c r="R1089" i="19"/>
  <c r="V1056" i="19"/>
  <c r="W1056" i="19" s="1"/>
  <c r="X1056" i="19" s="1"/>
  <c r="Y1056" i="19" s="1"/>
  <c r="Q1050" i="19"/>
  <c r="R1050" i="19"/>
  <c r="V1000" i="19"/>
  <c r="W1000" i="19" s="1"/>
  <c r="X1000" i="19" s="1"/>
  <c r="Y1000" i="19" s="1"/>
  <c r="Q989" i="19"/>
  <c r="V949" i="19"/>
  <c r="W949" i="19" s="1"/>
  <c r="X949" i="19" s="1"/>
  <c r="Y949" i="19" s="1"/>
  <c r="V934" i="19"/>
  <c r="W934" i="19" s="1"/>
  <c r="X934" i="19" s="1"/>
  <c r="Y934" i="19" s="1"/>
  <c r="Q932" i="19"/>
  <c r="R932" i="19"/>
  <c r="V871" i="19"/>
  <c r="W871" i="19" s="1"/>
  <c r="X871" i="19" s="1"/>
  <c r="Y871" i="19" s="1"/>
  <c r="V849" i="19"/>
  <c r="W849" i="19" s="1"/>
  <c r="X849" i="19" s="1"/>
  <c r="Y849" i="19" s="1"/>
  <c r="Q824" i="19"/>
  <c r="R824" i="19"/>
  <c r="V1179" i="19"/>
  <c r="W1179" i="19" s="1"/>
  <c r="X1179" i="19" s="1"/>
  <c r="Y1179" i="19" s="1"/>
  <c r="R1165" i="19"/>
  <c r="Q1128" i="19"/>
  <c r="Q1119" i="19"/>
  <c r="R1119" i="19"/>
  <c r="Q1117" i="19"/>
  <c r="Q1063" i="19"/>
  <c r="R1063" i="19"/>
  <c r="V1058" i="19"/>
  <c r="W1058" i="19" s="1"/>
  <c r="X1058" i="19" s="1"/>
  <c r="Y1058" i="19" s="1"/>
  <c r="Q1047" i="19"/>
  <c r="R1047" i="19"/>
  <c r="V1036" i="19"/>
  <c r="W1036" i="19" s="1"/>
  <c r="X1036" i="19" s="1"/>
  <c r="Y1036" i="19" s="1"/>
  <c r="Q1034" i="19"/>
  <c r="R1034" i="19"/>
  <c r="V1032" i="19"/>
  <c r="W1032" i="19" s="1"/>
  <c r="X1032" i="19" s="1"/>
  <c r="Y1032" i="19" s="1"/>
  <c r="Q1002" i="19"/>
  <c r="R1002" i="19"/>
  <c r="R1000" i="19"/>
  <c r="V986" i="19"/>
  <c r="W986" i="19" s="1"/>
  <c r="X986" i="19" s="1"/>
  <c r="Y986" i="19" s="1"/>
  <c r="R956" i="19"/>
  <c r="V940" i="19"/>
  <c r="W940" i="19" s="1"/>
  <c r="X940" i="19" s="1"/>
  <c r="Y940" i="19" s="1"/>
  <c r="Q931" i="19"/>
  <c r="R931" i="19"/>
  <c r="Q850" i="19"/>
  <c r="R850" i="19"/>
  <c r="R849" i="19"/>
  <c r="Q849" i="19"/>
  <c r="V764" i="19"/>
  <c r="W764" i="19" s="1"/>
  <c r="X764" i="19" s="1"/>
  <c r="Y764" i="19" s="1"/>
  <c r="R1191" i="19"/>
  <c r="Q1113" i="19"/>
  <c r="R1113" i="19"/>
  <c r="Q1105" i="19"/>
  <c r="R1105" i="19"/>
  <c r="V1098" i="19"/>
  <c r="W1098" i="19" s="1"/>
  <c r="X1098" i="19" s="1"/>
  <c r="Y1098" i="19" s="1"/>
  <c r="V1071" i="19"/>
  <c r="W1071" i="19" s="1"/>
  <c r="X1071" i="19" s="1"/>
  <c r="Y1071" i="19" s="1"/>
  <c r="V1062" i="19"/>
  <c r="W1062" i="19" s="1"/>
  <c r="X1062" i="19" s="1"/>
  <c r="Y1062" i="19" s="1"/>
  <c r="Q1036" i="19"/>
  <c r="R1036" i="19"/>
  <c r="Q1032" i="19"/>
  <c r="R986" i="19"/>
  <c r="Q940" i="19"/>
  <c r="R940" i="19"/>
  <c r="R921" i="19"/>
  <c r="Q921" i="19"/>
  <c r="Q902" i="19"/>
  <c r="R902" i="19"/>
  <c r="Q899" i="19"/>
  <c r="R899" i="19"/>
  <c r="Q874" i="19"/>
  <c r="R874" i="19"/>
  <c r="Q767" i="19"/>
  <c r="R767" i="19"/>
  <c r="Q764" i="19"/>
  <c r="R764" i="19"/>
  <c r="Q1041" i="19"/>
  <c r="Q1029" i="19"/>
  <c r="Q1020" i="19"/>
  <c r="Q1013" i="19"/>
  <c r="Q988" i="19"/>
  <c r="R988" i="19"/>
  <c r="V927" i="19"/>
  <c r="W927" i="19" s="1"/>
  <c r="X927" i="19" s="1"/>
  <c r="Y927" i="19" s="1"/>
  <c r="V920" i="19"/>
  <c r="W920" i="19" s="1"/>
  <c r="X920" i="19" s="1"/>
  <c r="Y920" i="19" s="1"/>
  <c r="Q917" i="19"/>
  <c r="V913" i="19"/>
  <c r="W913" i="19" s="1"/>
  <c r="X913" i="19" s="1"/>
  <c r="Y913" i="19" s="1"/>
  <c r="R903" i="19"/>
  <c r="Q903" i="19"/>
  <c r="V889" i="19"/>
  <c r="W889" i="19" s="1"/>
  <c r="X889" i="19" s="1"/>
  <c r="Y889" i="19" s="1"/>
  <c r="Q880" i="19"/>
  <c r="R880" i="19"/>
  <c r="V865" i="19"/>
  <c r="W865" i="19" s="1"/>
  <c r="X865" i="19" s="1"/>
  <c r="Y865" i="19" s="1"/>
  <c r="Q859" i="19"/>
  <c r="R859" i="19"/>
  <c r="Q845" i="19"/>
  <c r="R845" i="19"/>
  <c r="V819" i="19"/>
  <c r="W819" i="19" s="1"/>
  <c r="X819" i="19" s="1"/>
  <c r="Y819" i="19" s="1"/>
  <c r="R806" i="19"/>
  <c r="Q806" i="19"/>
  <c r="V734" i="19"/>
  <c r="W734" i="19" s="1"/>
  <c r="X734" i="19" s="1"/>
  <c r="Y734" i="19" s="1"/>
  <c r="R722" i="19"/>
  <c r="Q722" i="19"/>
  <c r="V598" i="19"/>
  <c r="W598" i="19" s="1"/>
  <c r="X598" i="19" s="1"/>
  <c r="Y598" i="19" s="1"/>
  <c r="Q1080" i="19"/>
  <c r="R989" i="19"/>
  <c r="Q968" i="19"/>
  <c r="R968" i="19"/>
  <c r="R927" i="19"/>
  <c r="Q925" i="19"/>
  <c r="R925" i="19"/>
  <c r="Q913" i="19"/>
  <c r="V907" i="19"/>
  <c r="W907" i="19" s="1"/>
  <c r="X907" i="19" s="1"/>
  <c r="Y907" i="19" s="1"/>
  <c r="Q889" i="19"/>
  <c r="R889" i="19"/>
  <c r="Q877" i="19"/>
  <c r="R877" i="19"/>
  <c r="R875" i="19"/>
  <c r="Q875" i="19"/>
  <c r="Q865" i="19"/>
  <c r="R865" i="19"/>
  <c r="V841" i="19"/>
  <c r="W841" i="19" s="1"/>
  <c r="X841" i="19" s="1"/>
  <c r="Y841" i="19" s="1"/>
  <c r="Q817" i="19"/>
  <c r="R817" i="19"/>
  <c r="V810" i="19"/>
  <c r="W810" i="19" s="1"/>
  <c r="X810" i="19" s="1"/>
  <c r="Y810" i="19" s="1"/>
  <c r="R734" i="19"/>
  <c r="Q734" i="19"/>
  <c r="Q598" i="19"/>
  <c r="R598" i="19"/>
  <c r="Q1068" i="19"/>
  <c r="Q1021" i="19"/>
  <c r="Q984" i="19"/>
  <c r="V966" i="19"/>
  <c r="W966" i="19" s="1"/>
  <c r="X966" i="19" s="1"/>
  <c r="Y966" i="19" s="1"/>
  <c r="V963" i="19"/>
  <c r="W963" i="19" s="1"/>
  <c r="X963" i="19" s="1"/>
  <c r="Y963" i="19" s="1"/>
  <c r="R957" i="19"/>
  <c r="Q957" i="19"/>
  <c r="R919" i="19"/>
  <c r="R832" i="19"/>
  <c r="Q832" i="19"/>
  <c r="V831" i="19"/>
  <c r="W831" i="19" s="1"/>
  <c r="X831" i="19" s="1"/>
  <c r="Y831" i="19" s="1"/>
  <c r="Q1134" i="19"/>
  <c r="Q1095" i="19"/>
  <c r="Q1092" i="19"/>
  <c r="Q1026" i="19"/>
  <c r="Q1017" i="19"/>
  <c r="Q978" i="19"/>
  <c r="Q942" i="19"/>
  <c r="V919" i="19"/>
  <c r="W919" i="19" s="1"/>
  <c r="X919" i="19" s="1"/>
  <c r="Y919" i="19" s="1"/>
  <c r="Q900" i="19"/>
  <c r="R900" i="19"/>
  <c r="V837" i="19"/>
  <c r="W837" i="19" s="1"/>
  <c r="X837" i="19" s="1"/>
  <c r="Y837" i="19" s="1"/>
  <c r="V784" i="19"/>
  <c r="W784" i="19" s="1"/>
  <c r="X784" i="19" s="1"/>
  <c r="Y784" i="19" s="1"/>
  <c r="R1078" i="19"/>
  <c r="Q1077" i="19"/>
  <c r="Q1065" i="19"/>
  <c r="Q1053" i="19"/>
  <c r="Q1027" i="19"/>
  <c r="R997" i="19"/>
  <c r="Q995" i="19"/>
  <c r="Q985" i="19"/>
  <c r="Q961" i="19"/>
  <c r="V943" i="19"/>
  <c r="W943" i="19" s="1"/>
  <c r="X943" i="19" s="1"/>
  <c r="Y943" i="19" s="1"/>
  <c r="V911" i="19"/>
  <c r="W911" i="19" s="1"/>
  <c r="X911" i="19" s="1"/>
  <c r="Y911" i="19" s="1"/>
  <c r="Q800" i="19"/>
  <c r="R800" i="19"/>
  <c r="R737" i="19"/>
  <c r="Q737" i="19"/>
  <c r="Q1116" i="19"/>
  <c r="R1052" i="19"/>
  <c r="Q1037" i="19"/>
  <c r="V1035" i="19"/>
  <c r="W1035" i="19" s="1"/>
  <c r="X1035" i="19" s="1"/>
  <c r="Y1035" i="19" s="1"/>
  <c r="Q998" i="19"/>
  <c r="V979" i="19"/>
  <c r="W979" i="19" s="1"/>
  <c r="X979" i="19" s="1"/>
  <c r="Y979" i="19" s="1"/>
  <c r="Q972" i="19"/>
  <c r="R972" i="19"/>
  <c r="V952" i="19"/>
  <c r="W952" i="19" s="1"/>
  <c r="X952" i="19" s="1"/>
  <c r="Y952" i="19" s="1"/>
  <c r="V870" i="19"/>
  <c r="W870" i="19" s="1"/>
  <c r="X870" i="19" s="1"/>
  <c r="Y870" i="19" s="1"/>
  <c r="V786" i="19"/>
  <c r="W786" i="19" s="1"/>
  <c r="X786" i="19" s="1"/>
  <c r="Y786" i="19" s="1"/>
  <c r="V744" i="19"/>
  <c r="W744" i="19" s="1"/>
  <c r="X744" i="19" s="1"/>
  <c r="Y744" i="19" s="1"/>
  <c r="V847" i="19"/>
  <c r="W847" i="19" s="1"/>
  <c r="X847" i="19" s="1"/>
  <c r="Y847" i="19" s="1"/>
  <c r="V742" i="19"/>
  <c r="W742" i="19" s="1"/>
  <c r="X742" i="19" s="1"/>
  <c r="Y742" i="19" s="1"/>
  <c r="Q862" i="19"/>
  <c r="V834" i="19"/>
  <c r="W834" i="19" s="1"/>
  <c r="X834" i="19" s="1"/>
  <c r="Y834" i="19" s="1"/>
  <c r="V822" i="19"/>
  <c r="W822" i="19" s="1"/>
  <c r="X822" i="19" s="1"/>
  <c r="Y822" i="19" s="1"/>
  <c r="R809" i="19"/>
  <c r="Q809" i="19"/>
  <c r="V782" i="19"/>
  <c r="W782" i="19" s="1"/>
  <c r="X782" i="19" s="1"/>
  <c r="Y782" i="19" s="1"/>
  <c r="Q753" i="19"/>
  <c r="R753" i="19"/>
  <c r="Q746" i="19"/>
  <c r="R746" i="19"/>
  <c r="R742" i="19"/>
  <c r="Q742" i="19"/>
  <c r="V714" i="19"/>
  <c r="W714" i="19" s="1"/>
  <c r="X714" i="19" s="1"/>
  <c r="Y714" i="19" s="1"/>
  <c r="V707" i="19"/>
  <c r="W707" i="19" s="1"/>
  <c r="X707" i="19" s="1"/>
  <c r="Y707" i="19" s="1"/>
  <c r="V953" i="19"/>
  <c r="W953" i="19" s="1"/>
  <c r="X953" i="19" s="1"/>
  <c r="Y953" i="19" s="1"/>
  <c r="Q916" i="19"/>
  <c r="R916" i="19"/>
  <c r="V844" i="19"/>
  <c r="W844" i="19" s="1"/>
  <c r="X844" i="19" s="1"/>
  <c r="Y844" i="19" s="1"/>
  <c r="V829" i="19"/>
  <c r="W829" i="19" s="1"/>
  <c r="X829" i="19" s="1"/>
  <c r="Y829" i="19" s="1"/>
  <c r="V816" i="19"/>
  <c r="W816" i="19" s="1"/>
  <c r="X816" i="19" s="1"/>
  <c r="Y816" i="19" s="1"/>
  <c r="V795" i="19"/>
  <c r="W795" i="19" s="1"/>
  <c r="X795" i="19" s="1"/>
  <c r="Y795" i="19" s="1"/>
  <c r="V775" i="19"/>
  <c r="W775" i="19" s="1"/>
  <c r="X775" i="19" s="1"/>
  <c r="Y775" i="19" s="1"/>
  <c r="V731" i="19"/>
  <c r="W731" i="19" s="1"/>
  <c r="X731" i="19" s="1"/>
  <c r="Y731" i="19" s="1"/>
  <c r="R707" i="19"/>
  <c r="Q707" i="19"/>
  <c r="Q1146" i="19"/>
  <c r="Q1110" i="19"/>
  <c r="Q1074" i="19"/>
  <c r="Q1038" i="19"/>
  <c r="Q892" i="19"/>
  <c r="R892" i="19"/>
  <c r="R863" i="19"/>
  <c r="Q844" i="19"/>
  <c r="R844" i="19"/>
  <c r="V820" i="19"/>
  <c r="W820" i="19" s="1"/>
  <c r="X820" i="19" s="1"/>
  <c r="Y820" i="19" s="1"/>
  <c r="Q816" i="19"/>
  <c r="R807" i="19"/>
  <c r="V798" i="19"/>
  <c r="W798" i="19" s="1"/>
  <c r="X798" i="19" s="1"/>
  <c r="Y798" i="19" s="1"/>
  <c r="Q788" i="19"/>
  <c r="R788" i="19"/>
  <c r="R686" i="19"/>
  <c r="Q686" i="19"/>
  <c r="Q895" i="19"/>
  <c r="Q761" i="19"/>
  <c r="R761" i="19"/>
  <c r="Q751" i="19"/>
  <c r="V691" i="19"/>
  <c r="W691" i="19" s="1"/>
  <c r="X691" i="19" s="1"/>
  <c r="Y691" i="19" s="1"/>
  <c r="Q955" i="19"/>
  <c r="R917" i="19"/>
  <c r="V901" i="19"/>
  <c r="W901" i="19" s="1"/>
  <c r="X901" i="19" s="1"/>
  <c r="Y901" i="19" s="1"/>
  <c r="Q898" i="19"/>
  <c r="Q893" i="19"/>
  <c r="R864" i="19"/>
  <c r="Q864" i="19"/>
  <c r="V830" i="19"/>
  <c r="W830" i="19" s="1"/>
  <c r="X830" i="19" s="1"/>
  <c r="Y830" i="19" s="1"/>
  <c r="V811" i="19"/>
  <c r="W811" i="19" s="1"/>
  <c r="X811" i="19" s="1"/>
  <c r="Y811" i="19" s="1"/>
  <c r="Q691" i="19"/>
  <c r="R691" i="19"/>
  <c r="Q996" i="19"/>
  <c r="R947" i="19"/>
  <c r="Q946" i="19"/>
  <c r="Q934" i="19"/>
  <c r="Q922" i="19"/>
  <c r="Q896" i="19"/>
  <c r="R839" i="19"/>
  <c r="R815" i="19"/>
  <c r="Q797" i="19"/>
  <c r="V767" i="19"/>
  <c r="W767" i="19" s="1"/>
  <c r="X767" i="19" s="1"/>
  <c r="Y767" i="19" s="1"/>
  <c r="Q762" i="19"/>
  <c r="R762" i="19"/>
  <c r="V703" i="19"/>
  <c r="W703" i="19" s="1"/>
  <c r="X703" i="19" s="1"/>
  <c r="Y703" i="19" s="1"/>
  <c r="V702" i="19"/>
  <c r="W702" i="19" s="1"/>
  <c r="X702" i="19" s="1"/>
  <c r="Y702" i="19" s="1"/>
  <c r="R695" i="19"/>
  <c r="Q695" i="19"/>
  <c r="R683" i="19"/>
  <c r="Q683" i="19"/>
  <c r="V678" i="19"/>
  <c r="W678" i="19" s="1"/>
  <c r="X678" i="19" s="1"/>
  <c r="Y678" i="19" s="1"/>
  <c r="V812" i="19"/>
  <c r="W812" i="19" s="1"/>
  <c r="X812" i="19" s="1"/>
  <c r="Y812" i="19" s="1"/>
  <c r="Q801" i="19"/>
  <c r="R801" i="19"/>
  <c r="Q741" i="19"/>
  <c r="R741" i="19"/>
  <c r="V684" i="19"/>
  <c r="W684" i="19" s="1"/>
  <c r="X684" i="19" s="1"/>
  <c r="Y684" i="19" s="1"/>
  <c r="V666" i="19"/>
  <c r="W666" i="19" s="1"/>
  <c r="X666" i="19" s="1"/>
  <c r="Y666" i="19" s="1"/>
  <c r="R665" i="19"/>
  <c r="Q665" i="19"/>
  <c r="Q763" i="19"/>
  <c r="R763" i="19"/>
  <c r="V730" i="19"/>
  <c r="W730" i="19" s="1"/>
  <c r="X730" i="19" s="1"/>
  <c r="Y730" i="19" s="1"/>
  <c r="V660" i="19"/>
  <c r="W660" i="19" s="1"/>
  <c r="X660" i="19" s="1"/>
  <c r="Y660" i="19" s="1"/>
  <c r="Q804" i="19"/>
  <c r="R804" i="19"/>
  <c r="Q789" i="19"/>
  <c r="R789" i="19"/>
  <c r="Q752" i="19"/>
  <c r="R752" i="19"/>
  <c r="Q750" i="19"/>
  <c r="R750" i="19"/>
  <c r="Q730" i="19"/>
  <c r="R730" i="19"/>
  <c r="R710" i="19"/>
  <c r="Q710" i="19"/>
  <c r="V676" i="19"/>
  <c r="W676" i="19" s="1"/>
  <c r="X676" i="19" s="1"/>
  <c r="Y676" i="19" s="1"/>
  <c r="V654" i="19"/>
  <c r="W654" i="19" s="1"/>
  <c r="X654" i="19" s="1"/>
  <c r="Y654" i="19" s="1"/>
  <c r="Q841" i="19"/>
  <c r="Q787" i="19"/>
  <c r="R787" i="19"/>
  <c r="V765" i="19"/>
  <c r="W765" i="19" s="1"/>
  <c r="X765" i="19" s="1"/>
  <c r="Y765" i="19" s="1"/>
  <c r="V743" i="19"/>
  <c r="W743" i="19" s="1"/>
  <c r="X743" i="19" s="1"/>
  <c r="Y743" i="19" s="1"/>
  <c r="V725" i="19"/>
  <c r="W725" i="19" s="1"/>
  <c r="X725" i="19" s="1"/>
  <c r="Y725" i="19" s="1"/>
  <c r="V709" i="19"/>
  <c r="W709" i="19" s="1"/>
  <c r="X709" i="19" s="1"/>
  <c r="Y709" i="19" s="1"/>
  <c r="Q827" i="19"/>
  <c r="R826" i="19"/>
  <c r="R814" i="19"/>
  <c r="R785" i="19"/>
  <c r="V783" i="19"/>
  <c r="W783" i="19" s="1"/>
  <c r="X783" i="19" s="1"/>
  <c r="Y783" i="19" s="1"/>
  <c r="R765" i="19"/>
  <c r="R754" i="19"/>
  <c r="R743" i="19"/>
  <c r="R725" i="19"/>
  <c r="Q725" i="19"/>
  <c r="Q712" i="19"/>
  <c r="R712" i="19"/>
  <c r="V659" i="19"/>
  <c r="W659" i="19" s="1"/>
  <c r="X659" i="19" s="1"/>
  <c r="Y659" i="19" s="1"/>
  <c r="V638" i="19"/>
  <c r="W638" i="19" s="1"/>
  <c r="X638" i="19" s="1"/>
  <c r="Y638" i="19" s="1"/>
  <c r="Q617" i="19"/>
  <c r="R617" i="19"/>
  <c r="Q614" i="19"/>
  <c r="R614" i="19"/>
  <c r="Q856" i="19"/>
  <c r="Q853" i="19"/>
  <c r="V815" i="19"/>
  <c r="W815" i="19" s="1"/>
  <c r="X815" i="19" s="1"/>
  <c r="Y815" i="19" s="1"/>
  <c r="Q802" i="19"/>
  <c r="R802" i="19"/>
  <c r="V762" i="19"/>
  <c r="W762" i="19" s="1"/>
  <c r="X762" i="19" s="1"/>
  <c r="Y762" i="19" s="1"/>
  <c r="Q760" i="19"/>
  <c r="V728" i="19"/>
  <c r="W728" i="19" s="1"/>
  <c r="X728" i="19" s="1"/>
  <c r="Y728" i="19" s="1"/>
  <c r="V672" i="19"/>
  <c r="W672" i="19" s="1"/>
  <c r="X672" i="19" s="1"/>
  <c r="Y672" i="19" s="1"/>
  <c r="V609" i="19"/>
  <c r="W609" i="19" s="1"/>
  <c r="X609" i="19" s="1"/>
  <c r="Y609" i="19" s="1"/>
  <c r="R580" i="19"/>
  <c r="Q580" i="19"/>
  <c r="V577" i="19"/>
  <c r="W577" i="19" s="1"/>
  <c r="X577" i="19" s="1"/>
  <c r="Y577" i="19" s="1"/>
  <c r="V721" i="19"/>
  <c r="W721" i="19" s="1"/>
  <c r="X721" i="19" s="1"/>
  <c r="Y721" i="19" s="1"/>
  <c r="V715" i="19"/>
  <c r="W715" i="19" s="1"/>
  <c r="X715" i="19" s="1"/>
  <c r="Y715" i="19" s="1"/>
  <c r="V662" i="19"/>
  <c r="W662" i="19" s="1"/>
  <c r="X662" i="19" s="1"/>
  <c r="Y662" i="19" s="1"/>
  <c r="V649" i="19"/>
  <c r="W649" i="19" s="1"/>
  <c r="X649" i="19" s="1"/>
  <c r="Y649" i="19" s="1"/>
  <c r="V600" i="19"/>
  <c r="W600" i="19" s="1"/>
  <c r="X600" i="19" s="1"/>
  <c r="Y600" i="19" s="1"/>
  <c r="R790" i="19"/>
  <c r="V779" i="19"/>
  <c r="W779" i="19" s="1"/>
  <c r="X779" i="19" s="1"/>
  <c r="Y779" i="19" s="1"/>
  <c r="V773" i="19"/>
  <c r="W773" i="19" s="1"/>
  <c r="X773" i="19" s="1"/>
  <c r="Y773" i="19" s="1"/>
  <c r="R769" i="19"/>
  <c r="Q769" i="19"/>
  <c r="R756" i="19"/>
  <c r="R751" i="19"/>
  <c r="R748" i="19"/>
  <c r="R739" i="19"/>
  <c r="Q739" i="19"/>
  <c r="V724" i="19"/>
  <c r="W724" i="19" s="1"/>
  <c r="X724" i="19" s="1"/>
  <c r="Y724" i="19" s="1"/>
  <c r="R671" i="19"/>
  <c r="Q671" i="19"/>
  <c r="Q623" i="19"/>
  <c r="R623" i="19"/>
  <c r="V612" i="19"/>
  <c r="W612" i="19" s="1"/>
  <c r="X612" i="19" s="1"/>
  <c r="Y612" i="19" s="1"/>
  <c r="R589" i="19"/>
  <c r="Q548" i="19"/>
  <c r="R548" i="19"/>
  <c r="R528" i="19"/>
  <c r="Q528" i="19"/>
  <c r="Q781" i="19"/>
  <c r="Q770" i="19"/>
  <c r="R668" i="19"/>
  <c r="Q668" i="19"/>
  <c r="Q612" i="19"/>
  <c r="R612" i="19"/>
  <c r="Q979" i="19"/>
  <c r="Q943" i="19"/>
  <c r="Q907" i="19"/>
  <c r="Q871" i="19"/>
  <c r="Q791" i="19"/>
  <c r="Q749" i="19"/>
  <c r="V727" i="19"/>
  <c r="W727" i="19" s="1"/>
  <c r="X727" i="19" s="1"/>
  <c r="Y727" i="19" s="1"/>
  <c r="R706" i="19"/>
  <c r="Q706" i="19"/>
  <c r="R704" i="19"/>
  <c r="Q704" i="19"/>
  <c r="Q694" i="19"/>
  <c r="R694" i="19"/>
  <c r="R653" i="19"/>
  <c r="Q653" i="19"/>
  <c r="R759" i="19"/>
  <c r="R635" i="19"/>
  <c r="Q635" i="19"/>
  <c r="V567" i="19"/>
  <c r="W567" i="19" s="1"/>
  <c r="X567" i="19" s="1"/>
  <c r="Y567" i="19" s="1"/>
  <c r="R755" i="19"/>
  <c r="Q754" i="19"/>
  <c r="V752" i="19"/>
  <c r="W752" i="19" s="1"/>
  <c r="X752" i="19" s="1"/>
  <c r="Y752" i="19" s="1"/>
  <c r="V712" i="19"/>
  <c r="W712" i="19" s="1"/>
  <c r="X712" i="19" s="1"/>
  <c r="Y712" i="19" s="1"/>
  <c r="V708" i="19"/>
  <c r="W708" i="19" s="1"/>
  <c r="X708" i="19" s="1"/>
  <c r="Y708" i="19" s="1"/>
  <c r="Q606" i="19"/>
  <c r="R606" i="19"/>
  <c r="R656" i="19"/>
  <c r="Q656" i="19"/>
  <c r="R641" i="19"/>
  <c r="Q641" i="19"/>
  <c r="V632" i="19"/>
  <c r="W632" i="19" s="1"/>
  <c r="X632" i="19" s="1"/>
  <c r="Y632" i="19" s="1"/>
  <c r="V624" i="19"/>
  <c r="W624" i="19" s="1"/>
  <c r="X624" i="19" s="1"/>
  <c r="Y624" i="19" s="1"/>
  <c r="Q688" i="19"/>
  <c r="V673" i="19"/>
  <c r="W673" i="19" s="1"/>
  <c r="X673" i="19" s="1"/>
  <c r="Y673" i="19" s="1"/>
  <c r="R632" i="19"/>
  <c r="Q632" i="19"/>
  <c r="Q621" i="19"/>
  <c r="V615" i="19"/>
  <c r="W615" i="19" s="1"/>
  <c r="X615" i="19" s="1"/>
  <c r="Y615" i="19" s="1"/>
  <c r="V573" i="19"/>
  <c r="W573" i="19" s="1"/>
  <c r="X573" i="19" s="1"/>
  <c r="Y573" i="19" s="1"/>
  <c r="R692" i="19"/>
  <c r="Q692" i="19"/>
  <c r="V661" i="19"/>
  <c r="W661" i="19" s="1"/>
  <c r="X661" i="19" s="1"/>
  <c r="Y661" i="19" s="1"/>
  <c r="V618" i="19"/>
  <c r="W618" i="19" s="1"/>
  <c r="X618" i="19" s="1"/>
  <c r="Y618" i="19" s="1"/>
  <c r="Q615" i="19"/>
  <c r="R615" i="19"/>
  <c r="V587" i="19"/>
  <c r="W587" i="19" s="1"/>
  <c r="X587" i="19" s="1"/>
  <c r="Y587" i="19" s="1"/>
  <c r="V574" i="19"/>
  <c r="W574" i="19" s="1"/>
  <c r="X574" i="19" s="1"/>
  <c r="Y574" i="19" s="1"/>
  <c r="R520" i="19"/>
  <c r="Q520" i="19"/>
  <c r="R728" i="19"/>
  <c r="Q728" i="19"/>
  <c r="R700" i="19"/>
  <c r="V670" i="19"/>
  <c r="W670" i="19" s="1"/>
  <c r="X670" i="19" s="1"/>
  <c r="Y670" i="19" s="1"/>
  <c r="Q664" i="19"/>
  <c r="V630" i="19"/>
  <c r="W630" i="19" s="1"/>
  <c r="X630" i="19" s="1"/>
  <c r="Y630" i="19" s="1"/>
  <c r="V586" i="19"/>
  <c r="W586" i="19" s="1"/>
  <c r="X586" i="19" s="1"/>
  <c r="Y586" i="19" s="1"/>
  <c r="Q561" i="19"/>
  <c r="R561" i="19"/>
  <c r="R667" i="19"/>
  <c r="V607" i="19"/>
  <c r="W607" i="19" s="1"/>
  <c r="X607" i="19" s="1"/>
  <c r="Y607" i="19" s="1"/>
  <c r="Q586" i="19"/>
  <c r="R586" i="19"/>
  <c r="V682" i="19"/>
  <c r="W682" i="19" s="1"/>
  <c r="X682" i="19" s="1"/>
  <c r="Y682" i="19" s="1"/>
  <c r="R674" i="19"/>
  <c r="Q674" i="19"/>
  <c r="V658" i="19"/>
  <c r="W658" i="19" s="1"/>
  <c r="X658" i="19" s="1"/>
  <c r="Y658" i="19" s="1"/>
  <c r="Q655" i="19"/>
  <c r="R655" i="19"/>
  <c r="V646" i="19"/>
  <c r="W646" i="19" s="1"/>
  <c r="X646" i="19" s="1"/>
  <c r="Y646" i="19" s="1"/>
  <c r="V582" i="19"/>
  <c r="W582" i="19" s="1"/>
  <c r="X582" i="19" s="1"/>
  <c r="Y582" i="19" s="1"/>
  <c r="V580" i="19"/>
  <c r="W580" i="19" s="1"/>
  <c r="X580" i="19" s="1"/>
  <c r="Y580" i="19" s="1"/>
  <c r="V597" i="19"/>
  <c r="W597" i="19" s="1"/>
  <c r="X597" i="19" s="1"/>
  <c r="Y597" i="19" s="1"/>
  <c r="V566" i="19"/>
  <c r="W566" i="19" s="1"/>
  <c r="X566" i="19" s="1"/>
  <c r="Y566" i="19" s="1"/>
  <c r="V544" i="19"/>
  <c r="W544" i="19" s="1"/>
  <c r="X544" i="19" s="1"/>
  <c r="Y544" i="19" s="1"/>
  <c r="V543" i="19"/>
  <c r="W543" i="19" s="1"/>
  <c r="X543" i="19" s="1"/>
  <c r="Y543" i="19" s="1"/>
  <c r="V525" i="19"/>
  <c r="W525" i="19" s="1"/>
  <c r="X525" i="19" s="1"/>
  <c r="Y525" i="19" s="1"/>
  <c r="V488" i="19"/>
  <c r="W488" i="19" s="1"/>
  <c r="X488" i="19" s="1"/>
  <c r="Y488" i="19" s="1"/>
  <c r="Q597" i="19"/>
  <c r="R597" i="19"/>
  <c r="Q525" i="19"/>
  <c r="R525" i="19"/>
  <c r="V643" i="19"/>
  <c r="W643" i="19" s="1"/>
  <c r="X643" i="19" s="1"/>
  <c r="Y643" i="19" s="1"/>
  <c r="V631" i="19"/>
  <c r="W631" i="19" s="1"/>
  <c r="X631" i="19" s="1"/>
  <c r="Y631" i="19" s="1"/>
  <c r="R534" i="19"/>
  <c r="Q534" i="19"/>
  <c r="R670" i="19"/>
  <c r="R662" i="19"/>
  <c r="Q662" i="19"/>
  <c r="R631" i="19"/>
  <c r="V592" i="19"/>
  <c r="W592" i="19" s="1"/>
  <c r="X592" i="19" s="1"/>
  <c r="Y592" i="19" s="1"/>
  <c r="V550" i="19"/>
  <c r="W550" i="19" s="1"/>
  <c r="X550" i="19" s="1"/>
  <c r="Y550" i="19" s="1"/>
  <c r="V634" i="19"/>
  <c r="W634" i="19" s="1"/>
  <c r="X634" i="19" s="1"/>
  <c r="Y634" i="19" s="1"/>
  <c r="V594" i="19"/>
  <c r="W594" i="19" s="1"/>
  <c r="X594" i="19" s="1"/>
  <c r="Y594" i="19" s="1"/>
  <c r="Q565" i="19"/>
  <c r="V564" i="19"/>
  <c r="W564" i="19" s="1"/>
  <c r="X564" i="19" s="1"/>
  <c r="Y564" i="19" s="1"/>
  <c r="V559" i="19"/>
  <c r="W559" i="19" s="1"/>
  <c r="X559" i="19" s="1"/>
  <c r="Y559" i="19" s="1"/>
  <c r="V558" i="19"/>
  <c r="W558" i="19" s="1"/>
  <c r="X558" i="19" s="1"/>
  <c r="Y558" i="19" s="1"/>
  <c r="R531" i="19"/>
  <c r="Q531" i="19"/>
  <c r="V640" i="19"/>
  <c r="W640" i="19" s="1"/>
  <c r="X640" i="19" s="1"/>
  <c r="Y640" i="19" s="1"/>
  <c r="V637" i="19"/>
  <c r="W637" i="19" s="1"/>
  <c r="X637" i="19" s="1"/>
  <c r="Y637" i="19" s="1"/>
  <c r="R634" i="19"/>
  <c r="R629" i="19"/>
  <c r="Q629" i="19"/>
  <c r="R626" i="19"/>
  <c r="Q626" i="19"/>
  <c r="R578" i="19"/>
  <c r="Q578" i="19"/>
  <c r="V563" i="19"/>
  <c r="W563" i="19" s="1"/>
  <c r="X563" i="19" s="1"/>
  <c r="Y563" i="19" s="1"/>
  <c r="Q559" i="19"/>
  <c r="R559" i="19"/>
  <c r="R563" i="19"/>
  <c r="Q563" i="19"/>
  <c r="R556" i="19"/>
  <c r="Q556" i="19"/>
  <c r="V537" i="19"/>
  <c r="W537" i="19" s="1"/>
  <c r="X537" i="19" s="1"/>
  <c r="Y537" i="19" s="1"/>
  <c r="V536" i="19"/>
  <c r="W536" i="19" s="1"/>
  <c r="X536" i="19" s="1"/>
  <c r="Y536" i="19" s="1"/>
  <c r="Q494" i="19"/>
  <c r="R494" i="19"/>
  <c r="R650" i="19"/>
  <c r="Q650" i="19"/>
  <c r="V570" i="19"/>
  <c r="W570" i="19" s="1"/>
  <c r="X570" i="19" s="1"/>
  <c r="Y570" i="19" s="1"/>
  <c r="V541" i="19"/>
  <c r="W541" i="19" s="1"/>
  <c r="X541" i="19" s="1"/>
  <c r="Y541" i="19" s="1"/>
  <c r="Q560" i="19"/>
  <c r="R716" i="19"/>
  <c r="Q716" i="19"/>
  <c r="R680" i="19"/>
  <c r="Q680" i="19"/>
  <c r="R644" i="19"/>
  <c r="Q644" i="19"/>
  <c r="Q595" i="19"/>
  <c r="R595" i="19"/>
  <c r="V568" i="19"/>
  <c r="W568" i="19" s="1"/>
  <c r="X568" i="19" s="1"/>
  <c r="Y568" i="19" s="1"/>
  <c r="Q557" i="19"/>
  <c r="R557" i="19"/>
  <c r="Q549" i="19"/>
  <c r="V565" i="19"/>
  <c r="W565" i="19" s="1"/>
  <c r="X565" i="19" s="1"/>
  <c r="Y565" i="19" s="1"/>
  <c r="V562" i="19"/>
  <c r="W562" i="19" s="1"/>
  <c r="X562" i="19" s="1"/>
  <c r="Y562" i="19" s="1"/>
  <c r="R638" i="19"/>
  <c r="Q638" i="19"/>
  <c r="Q572" i="19"/>
  <c r="R572" i="19"/>
  <c r="V534" i="19"/>
  <c r="W534" i="19" s="1"/>
  <c r="X534" i="19" s="1"/>
  <c r="Y534" i="19" s="1"/>
  <c r="R484" i="19"/>
  <c r="Q484" i="19"/>
  <c r="R584" i="19"/>
  <c r="R581" i="19"/>
  <c r="R562" i="19"/>
  <c r="R551" i="19"/>
  <c r="R540" i="19"/>
  <c r="V501" i="19"/>
  <c r="W501" i="19" s="1"/>
  <c r="X501" i="19" s="1"/>
  <c r="Y501" i="19" s="1"/>
  <c r="Q461" i="19"/>
  <c r="R461" i="19"/>
  <c r="Q440" i="19"/>
  <c r="R440" i="19"/>
  <c r="R549" i="19"/>
  <c r="V540" i="19"/>
  <c r="W540" i="19" s="1"/>
  <c r="X540" i="19" s="1"/>
  <c r="Y540" i="19" s="1"/>
  <c r="V522" i="19"/>
  <c r="W522" i="19" s="1"/>
  <c r="X522" i="19" s="1"/>
  <c r="Y522" i="19" s="1"/>
  <c r="R487" i="19"/>
  <c r="Q487" i="19"/>
  <c r="Q558" i="19"/>
  <c r="R558" i="19"/>
  <c r="Q555" i="19"/>
  <c r="R555" i="19"/>
  <c r="V516" i="19"/>
  <c r="W516" i="19" s="1"/>
  <c r="X516" i="19" s="1"/>
  <c r="Y516" i="19" s="1"/>
  <c r="Q502" i="19"/>
  <c r="R502" i="19"/>
  <c r="V489" i="19"/>
  <c r="W489" i="19" s="1"/>
  <c r="X489" i="19" s="1"/>
  <c r="Y489" i="19" s="1"/>
  <c r="R599" i="19"/>
  <c r="Q489" i="19"/>
  <c r="R489" i="19"/>
  <c r="Q567" i="19"/>
  <c r="R500" i="19"/>
  <c r="Q500" i="19"/>
  <c r="V458" i="19"/>
  <c r="W458" i="19" s="1"/>
  <c r="X458" i="19" s="1"/>
  <c r="Y458" i="19" s="1"/>
  <c r="V521" i="19"/>
  <c r="W521" i="19" s="1"/>
  <c r="X521" i="19" s="1"/>
  <c r="Y521" i="19" s="1"/>
  <c r="Q507" i="19"/>
  <c r="R507" i="19"/>
  <c r="Q458" i="19"/>
  <c r="R458" i="19"/>
  <c r="Q521" i="19"/>
  <c r="R521" i="19"/>
  <c r="V509" i="19"/>
  <c r="W509" i="19" s="1"/>
  <c r="X509" i="19" s="1"/>
  <c r="Y509" i="19" s="1"/>
  <c r="Q515" i="19"/>
  <c r="R515" i="19"/>
  <c r="V497" i="19"/>
  <c r="W497" i="19" s="1"/>
  <c r="X497" i="19" s="1"/>
  <c r="Y497" i="19" s="1"/>
  <c r="Q465" i="19"/>
  <c r="R465" i="19"/>
  <c r="R533" i="19"/>
  <c r="Q533" i="19"/>
  <c r="V426" i="19"/>
  <c r="W426" i="19" s="1"/>
  <c r="X426" i="19" s="1"/>
  <c r="Y426" i="19" s="1"/>
  <c r="Q473" i="19"/>
  <c r="R469" i="19"/>
  <c r="Q469" i="19"/>
  <c r="V456" i="19"/>
  <c r="W456" i="19" s="1"/>
  <c r="X456" i="19" s="1"/>
  <c r="Y456" i="19" s="1"/>
  <c r="V418" i="19"/>
  <c r="W418" i="19" s="1"/>
  <c r="X418" i="19" s="1"/>
  <c r="Y418" i="19" s="1"/>
  <c r="V495" i="19"/>
  <c r="W495" i="19" s="1"/>
  <c r="X495" i="19" s="1"/>
  <c r="Y495" i="19" s="1"/>
  <c r="Q467" i="19"/>
  <c r="R467" i="19"/>
  <c r="V506" i="19"/>
  <c r="W506" i="19" s="1"/>
  <c r="X506" i="19" s="1"/>
  <c r="Y506" i="19" s="1"/>
  <c r="V498" i="19"/>
  <c r="W498" i="19" s="1"/>
  <c r="X498" i="19" s="1"/>
  <c r="Y498" i="19" s="1"/>
  <c r="Q495" i="19"/>
  <c r="R495" i="19"/>
  <c r="R523" i="19"/>
  <c r="Q523" i="19"/>
  <c r="V514" i="19"/>
  <c r="W514" i="19" s="1"/>
  <c r="X514" i="19" s="1"/>
  <c r="Y514" i="19" s="1"/>
  <c r="Q454" i="19"/>
  <c r="R454" i="19"/>
  <c r="V443" i="19"/>
  <c r="W443" i="19" s="1"/>
  <c r="X443" i="19" s="1"/>
  <c r="Y443" i="19" s="1"/>
  <c r="R546" i="19"/>
  <c r="Q527" i="19"/>
  <c r="Q514" i="19"/>
  <c r="R514" i="19"/>
  <c r="Q504" i="19"/>
  <c r="R504" i="19"/>
  <c r="Q485" i="19"/>
  <c r="Q493" i="19"/>
  <c r="R493" i="19"/>
  <c r="R490" i="19"/>
  <c r="R480" i="19"/>
  <c r="Q478" i="19"/>
  <c r="R478" i="19"/>
  <c r="Q444" i="19"/>
  <c r="R444" i="19"/>
  <c r="Q510" i="19"/>
  <c r="V504" i="19"/>
  <c r="W504" i="19" s="1"/>
  <c r="X504" i="19" s="1"/>
  <c r="Y504" i="19" s="1"/>
  <c r="V494" i="19"/>
  <c r="W494" i="19" s="1"/>
  <c r="X494" i="19" s="1"/>
  <c r="Y494" i="19" s="1"/>
  <c r="V482" i="19"/>
  <c r="W482" i="19" s="1"/>
  <c r="X482" i="19" s="1"/>
  <c r="Y482" i="19" s="1"/>
  <c r="Q468" i="19"/>
  <c r="R453" i="19"/>
  <c r="Q427" i="19"/>
  <c r="R427" i="19"/>
  <c r="V378" i="19"/>
  <c r="W378" i="19" s="1"/>
  <c r="X378" i="19" s="1"/>
  <c r="Y378" i="19" s="1"/>
  <c r="Q479" i="19"/>
  <c r="Q474" i="19"/>
  <c r="R474" i="19"/>
  <c r="Q501" i="19"/>
  <c r="Q466" i="19"/>
  <c r="V400" i="19"/>
  <c r="W400" i="19" s="1"/>
  <c r="X400" i="19" s="1"/>
  <c r="Y400" i="19" s="1"/>
  <c r="V398" i="19"/>
  <c r="W398" i="19" s="1"/>
  <c r="X398" i="19" s="1"/>
  <c r="Y398" i="19" s="1"/>
  <c r="V387" i="19"/>
  <c r="W387" i="19" s="1"/>
  <c r="X387" i="19" s="1"/>
  <c r="Y387" i="19" s="1"/>
  <c r="V519" i="19"/>
  <c r="W519" i="19" s="1"/>
  <c r="X519" i="19" s="1"/>
  <c r="Y519" i="19" s="1"/>
  <c r="Q513" i="19"/>
  <c r="Q511" i="19"/>
  <c r="Q492" i="19"/>
  <c r="Q486" i="19"/>
  <c r="R483" i="19"/>
  <c r="Q450" i="19"/>
  <c r="R450" i="19"/>
  <c r="V480" i="19"/>
  <c r="W480" i="19" s="1"/>
  <c r="X480" i="19" s="1"/>
  <c r="Y480" i="19" s="1"/>
  <c r="Q477" i="19"/>
  <c r="V432" i="19"/>
  <c r="W432" i="19" s="1"/>
  <c r="X432" i="19" s="1"/>
  <c r="Y432" i="19" s="1"/>
  <c r="Q480" i="19"/>
  <c r="V444" i="19"/>
  <c r="W444" i="19" s="1"/>
  <c r="X444" i="19" s="1"/>
  <c r="Y444" i="19" s="1"/>
  <c r="V440" i="19"/>
  <c r="W440" i="19" s="1"/>
  <c r="X440" i="19" s="1"/>
  <c r="Y440" i="19" s="1"/>
  <c r="Q462" i="19"/>
  <c r="Q445" i="19"/>
  <c r="R445" i="19"/>
  <c r="V434" i="19"/>
  <c r="W434" i="19" s="1"/>
  <c r="X434" i="19" s="1"/>
  <c r="Y434" i="19" s="1"/>
  <c r="Q398" i="19"/>
  <c r="R398" i="19"/>
  <c r="R472" i="19"/>
  <c r="V439" i="19"/>
  <c r="W439" i="19" s="1"/>
  <c r="X439" i="19" s="1"/>
  <c r="Y439" i="19" s="1"/>
  <c r="Q516" i="19"/>
  <c r="R463" i="19"/>
  <c r="Q522" i="19"/>
  <c r="V429" i="19"/>
  <c r="W429" i="19" s="1"/>
  <c r="X429" i="19" s="1"/>
  <c r="Y429" i="19" s="1"/>
  <c r="Q441" i="19"/>
  <c r="R441" i="19"/>
  <c r="Q425" i="19"/>
  <c r="R425" i="19"/>
  <c r="V406" i="19"/>
  <c r="W406" i="19" s="1"/>
  <c r="X406" i="19" s="1"/>
  <c r="Y406" i="19" s="1"/>
  <c r="V391" i="19"/>
  <c r="W391" i="19" s="1"/>
  <c r="X391" i="19" s="1"/>
  <c r="Y391" i="19" s="1"/>
  <c r="Q421" i="19"/>
  <c r="R421" i="19"/>
  <c r="Q459" i="19"/>
  <c r="R459" i="19"/>
  <c r="Q449" i="19"/>
  <c r="R449" i="19"/>
  <c r="V415" i="19"/>
  <c r="W415" i="19" s="1"/>
  <c r="X415" i="19" s="1"/>
  <c r="Y415" i="19" s="1"/>
  <c r="Q410" i="19"/>
  <c r="R410" i="19"/>
  <c r="Q432" i="19"/>
  <c r="R432" i="19"/>
  <c r="Q426" i="19"/>
  <c r="R426" i="19"/>
  <c r="Q406" i="19"/>
  <c r="R406" i="19"/>
  <c r="V390" i="19"/>
  <c r="W390" i="19" s="1"/>
  <c r="X390" i="19" s="1"/>
  <c r="Y390" i="19" s="1"/>
  <c r="Q386" i="19"/>
  <c r="R386" i="19"/>
  <c r="V389" i="19"/>
  <c r="W389" i="19" s="1"/>
  <c r="X389" i="19" s="1"/>
  <c r="Y389" i="19" s="1"/>
  <c r="Q389" i="19"/>
  <c r="R389" i="19"/>
  <c r="V422" i="19"/>
  <c r="W422" i="19" s="1"/>
  <c r="X422" i="19" s="1"/>
  <c r="Y422" i="19" s="1"/>
  <c r="V376" i="19"/>
  <c r="W376" i="19" s="1"/>
  <c r="X376" i="19" s="1"/>
  <c r="Y376" i="19" s="1"/>
  <c r="R422" i="19"/>
  <c r="Q422" i="19"/>
  <c r="V416" i="19"/>
  <c r="W416" i="19" s="1"/>
  <c r="X416" i="19" s="1"/>
  <c r="Y416" i="19" s="1"/>
  <c r="V408" i="19"/>
  <c r="W408" i="19" s="1"/>
  <c r="X408" i="19" s="1"/>
  <c r="Y408" i="19" s="1"/>
  <c r="R403" i="19"/>
  <c r="Q413" i="19"/>
  <c r="R413" i="19"/>
  <c r="V411" i="19"/>
  <c r="W411" i="19" s="1"/>
  <c r="X411" i="19" s="1"/>
  <c r="Y411" i="19" s="1"/>
  <c r="Q377" i="19"/>
  <c r="R377" i="19"/>
  <c r="V407" i="19"/>
  <c r="W407" i="19" s="1"/>
  <c r="X407" i="19" s="1"/>
  <c r="Y407" i="19" s="1"/>
  <c r="Q429" i="19"/>
  <c r="Q407" i="19"/>
  <c r="R407" i="19"/>
  <c r="V399" i="19"/>
  <c r="W399" i="19" s="1"/>
  <c r="X399" i="19" s="1"/>
  <c r="Y399" i="19" s="1"/>
  <c r="R394" i="19"/>
  <c r="V396" i="19"/>
  <c r="W396" i="19" s="1"/>
  <c r="X396" i="19" s="1"/>
  <c r="Y396" i="19" s="1"/>
  <c r="R388" i="19"/>
  <c r="V375" i="19"/>
  <c r="W375" i="19" s="1"/>
  <c r="X375" i="19" s="1"/>
  <c r="Y375" i="19" s="1"/>
  <c r="V410" i="19"/>
  <c r="W410" i="19" s="1"/>
  <c r="X410" i="19" s="1"/>
  <c r="Y410" i="19" s="1"/>
  <c r="Q385" i="19"/>
  <c r="R385" i="19"/>
  <c r="Q401" i="19"/>
  <c r="R401" i="19"/>
  <c r="Q392" i="19"/>
  <c r="R392" i="19"/>
  <c r="V386" i="19"/>
  <c r="W386" i="19" s="1"/>
  <c r="X386" i="19" s="1"/>
  <c r="Y386" i="19" s="1"/>
  <c r="Q380" i="19"/>
  <c r="R380" i="19"/>
  <c r="Q416" i="19"/>
  <c r="R416" i="19"/>
  <c r="Q383" i="19"/>
  <c r="R383" i="19"/>
  <c r="Q404" i="19"/>
  <c r="R404" i="19"/>
  <c r="Q395" i="19"/>
  <c r="R395" i="19"/>
  <c r="P5" i="23"/>
  <c r="P4" i="23"/>
  <c r="J2" i="19"/>
  <c r="J3" i="19"/>
  <c r="J4" i="19"/>
  <c r="J5" i="19"/>
  <c r="J6" i="19"/>
  <c r="J7" i="19"/>
  <c r="J8" i="19"/>
  <c r="J9" i="19"/>
  <c r="J10" i="19"/>
  <c r="J11" i="19"/>
  <c r="J12" i="19"/>
  <c r="J13" i="19"/>
  <c r="J14" i="19"/>
  <c r="J15" i="19"/>
  <c r="J16" i="19"/>
  <c r="J17" i="19"/>
  <c r="J18" i="19"/>
  <c r="J19" i="19"/>
  <c r="J20" i="19"/>
  <c r="J21" i="19"/>
  <c r="J22" i="19"/>
  <c r="J23" i="19"/>
  <c r="J24" i="19"/>
  <c r="J25" i="19"/>
  <c r="J26" i="19"/>
  <c r="J27" i="19"/>
  <c r="J28" i="19"/>
  <c r="J29" i="19"/>
  <c r="J30" i="19"/>
  <c r="J31" i="19"/>
  <c r="J32" i="19"/>
  <c r="J33" i="19"/>
  <c r="J34" i="19"/>
  <c r="J35" i="19"/>
  <c r="J36" i="19"/>
  <c r="J37" i="19"/>
  <c r="J38" i="19"/>
  <c r="J39" i="19"/>
  <c r="J40" i="19"/>
  <c r="J41" i="19"/>
  <c r="J42" i="19"/>
  <c r="J43" i="19"/>
  <c r="J44" i="19"/>
  <c r="J45" i="19"/>
  <c r="J46" i="19"/>
  <c r="J47" i="19"/>
  <c r="J48" i="19"/>
  <c r="J49" i="19"/>
  <c r="J50" i="19"/>
  <c r="J51" i="19"/>
  <c r="J52" i="19"/>
  <c r="J53" i="19"/>
  <c r="J54" i="19"/>
  <c r="J55" i="19"/>
  <c r="J56" i="19"/>
  <c r="J57" i="19"/>
  <c r="J58" i="19"/>
  <c r="J59" i="19"/>
  <c r="J60" i="19"/>
  <c r="J61" i="19"/>
  <c r="J62" i="19"/>
  <c r="J63" i="19"/>
  <c r="J64" i="19"/>
  <c r="J65" i="19"/>
  <c r="J66" i="19"/>
  <c r="J67" i="19"/>
  <c r="J68" i="19"/>
  <c r="J69" i="19"/>
  <c r="J70" i="19"/>
  <c r="J71" i="19"/>
  <c r="J72" i="19"/>
  <c r="J73" i="19"/>
  <c r="J74" i="19"/>
  <c r="J75" i="19"/>
  <c r="J76" i="19"/>
  <c r="J77" i="19"/>
  <c r="J78" i="19"/>
  <c r="J79" i="19"/>
  <c r="J80" i="19"/>
  <c r="J81" i="19"/>
  <c r="J82" i="19"/>
  <c r="J83" i="19"/>
  <c r="J84" i="19"/>
  <c r="J85" i="19"/>
  <c r="J86" i="19"/>
  <c r="J87" i="19"/>
  <c r="J88" i="19"/>
  <c r="J89" i="19"/>
  <c r="J90" i="19"/>
  <c r="J91" i="19"/>
  <c r="J92" i="19"/>
  <c r="J93" i="19"/>
  <c r="J94" i="19"/>
  <c r="J95" i="19"/>
  <c r="J96" i="19"/>
  <c r="J97" i="19"/>
  <c r="J98" i="19"/>
  <c r="J99" i="19"/>
  <c r="J100" i="19"/>
  <c r="J101" i="19"/>
  <c r="J102" i="19"/>
  <c r="J103" i="19"/>
  <c r="J104" i="19"/>
  <c r="J105" i="19"/>
  <c r="J106" i="19"/>
  <c r="J107" i="19"/>
  <c r="J108" i="19"/>
  <c r="J109" i="19"/>
  <c r="J110" i="19"/>
  <c r="J111" i="19"/>
  <c r="J112" i="19"/>
  <c r="J113" i="19"/>
  <c r="J114" i="19"/>
  <c r="J115" i="19"/>
  <c r="J116" i="19"/>
  <c r="J117" i="19"/>
  <c r="J118" i="19"/>
  <c r="J119" i="19"/>
  <c r="J120" i="19"/>
  <c r="J121" i="19"/>
  <c r="J122" i="19"/>
  <c r="J123" i="19"/>
  <c r="J124" i="19"/>
  <c r="J125" i="19"/>
  <c r="J126" i="19"/>
  <c r="J127" i="19"/>
  <c r="J128" i="19"/>
  <c r="J129" i="19"/>
  <c r="J130" i="19"/>
  <c r="J131" i="19"/>
  <c r="J132" i="19"/>
  <c r="J133" i="19"/>
  <c r="J134" i="19"/>
  <c r="J135" i="19"/>
  <c r="J136" i="19"/>
  <c r="J137" i="19"/>
  <c r="J138" i="19"/>
  <c r="J139" i="19"/>
  <c r="J140" i="19"/>
  <c r="J141" i="19"/>
  <c r="J142" i="19"/>
  <c r="J143" i="19"/>
  <c r="J144" i="19"/>
  <c r="J145" i="19"/>
  <c r="J146" i="19"/>
  <c r="J147" i="19"/>
  <c r="J148" i="19"/>
  <c r="J149" i="19"/>
  <c r="J150" i="19"/>
  <c r="J151" i="19"/>
  <c r="J152" i="19"/>
  <c r="J153" i="19"/>
  <c r="J154" i="19"/>
  <c r="J155" i="19"/>
  <c r="J156" i="19"/>
  <c r="J157" i="19"/>
  <c r="J158" i="19"/>
  <c r="J159" i="19"/>
  <c r="J160" i="19"/>
  <c r="J161" i="19"/>
  <c r="J162" i="19"/>
  <c r="J163" i="19"/>
  <c r="J164" i="19"/>
  <c r="J165" i="19"/>
  <c r="J166" i="19"/>
  <c r="J167" i="19"/>
  <c r="J168" i="19"/>
  <c r="J169" i="19"/>
  <c r="J170" i="19"/>
  <c r="J171" i="19"/>
  <c r="J172" i="19"/>
  <c r="J173" i="19"/>
  <c r="J174" i="19"/>
  <c r="J175" i="19"/>
  <c r="J176" i="19"/>
  <c r="J177" i="19"/>
  <c r="J178" i="19"/>
  <c r="J179" i="19"/>
  <c r="J180" i="19"/>
  <c r="J181" i="19"/>
  <c r="J182" i="19"/>
  <c r="J183" i="19"/>
  <c r="J184" i="19"/>
  <c r="J185" i="19"/>
  <c r="J186" i="19"/>
  <c r="J187" i="19"/>
  <c r="J188" i="19"/>
  <c r="J189" i="19"/>
  <c r="J190" i="19"/>
  <c r="J191" i="19"/>
  <c r="J192" i="19"/>
  <c r="J193" i="19"/>
  <c r="J194" i="19"/>
  <c r="J195" i="19"/>
  <c r="J196" i="19"/>
  <c r="J197" i="19"/>
  <c r="J198" i="19"/>
  <c r="J199" i="19"/>
  <c r="J200" i="19"/>
  <c r="J201" i="19"/>
  <c r="J202" i="19"/>
  <c r="J203" i="19"/>
  <c r="J204" i="19"/>
  <c r="J205" i="19"/>
  <c r="J206" i="19"/>
  <c r="J207" i="19"/>
  <c r="J208" i="19"/>
  <c r="J209" i="19"/>
  <c r="J210" i="19"/>
  <c r="J211" i="19"/>
  <c r="J212" i="19"/>
  <c r="J213" i="19"/>
  <c r="J214" i="19"/>
  <c r="J215" i="19"/>
  <c r="J216" i="19"/>
  <c r="J217" i="19"/>
  <c r="J218" i="19"/>
  <c r="J219" i="19"/>
  <c r="J220" i="19"/>
  <c r="J221" i="19"/>
  <c r="J222" i="19"/>
  <c r="J223" i="19"/>
  <c r="J224" i="19"/>
  <c r="J225" i="19"/>
  <c r="J226" i="19"/>
  <c r="J227" i="19"/>
  <c r="J228" i="19"/>
  <c r="J229" i="19"/>
  <c r="J230" i="19"/>
  <c r="J231" i="19"/>
  <c r="J232" i="19"/>
  <c r="J233" i="19"/>
  <c r="J234" i="19"/>
  <c r="J235" i="19"/>
  <c r="J236" i="19"/>
  <c r="J237" i="19"/>
  <c r="J238" i="19"/>
  <c r="J239" i="19"/>
  <c r="J240" i="19"/>
  <c r="J241" i="19"/>
  <c r="J242" i="19"/>
  <c r="J243" i="19"/>
  <c r="J244" i="19"/>
  <c r="J245" i="19"/>
  <c r="J246" i="19"/>
  <c r="J247" i="19"/>
  <c r="J248" i="19"/>
  <c r="J249" i="19"/>
  <c r="J250" i="19"/>
  <c r="J251" i="19"/>
  <c r="J252" i="19"/>
  <c r="J253" i="19"/>
  <c r="J254" i="19"/>
  <c r="J255" i="19"/>
  <c r="J256" i="19"/>
  <c r="J257" i="19"/>
  <c r="J258" i="19"/>
  <c r="J259" i="19"/>
  <c r="J260" i="19"/>
  <c r="J261" i="19"/>
  <c r="J262" i="19"/>
  <c r="J263" i="19"/>
  <c r="J264" i="19"/>
  <c r="J265" i="19"/>
  <c r="J266" i="19"/>
  <c r="J267" i="19"/>
  <c r="J268" i="19"/>
  <c r="J269" i="19"/>
  <c r="J270" i="19"/>
  <c r="J271" i="19"/>
  <c r="J272" i="19"/>
  <c r="J273" i="19"/>
  <c r="J274" i="19"/>
  <c r="J275" i="19"/>
  <c r="J276" i="19"/>
  <c r="J277" i="19"/>
  <c r="J278" i="19"/>
  <c r="J279" i="19"/>
  <c r="J280" i="19"/>
  <c r="J281" i="19"/>
  <c r="J282" i="19"/>
  <c r="J283" i="19"/>
  <c r="J284" i="19"/>
  <c r="J285" i="19"/>
  <c r="J286" i="19"/>
  <c r="J287" i="19"/>
  <c r="J288" i="19"/>
  <c r="J289" i="19"/>
  <c r="J290" i="19"/>
  <c r="J291" i="19"/>
  <c r="J292" i="19"/>
  <c r="J293" i="19"/>
  <c r="J294" i="19"/>
  <c r="J295" i="19"/>
  <c r="J296" i="19"/>
  <c r="J297" i="19"/>
  <c r="J298" i="19"/>
  <c r="J299" i="19"/>
  <c r="J300" i="19"/>
  <c r="J301" i="19"/>
  <c r="J302" i="19"/>
  <c r="J303" i="19"/>
  <c r="J304" i="19"/>
  <c r="J305" i="19"/>
  <c r="J306" i="19"/>
  <c r="J307" i="19"/>
  <c r="J308" i="19"/>
  <c r="J309" i="19"/>
  <c r="J310" i="19"/>
  <c r="J311" i="19"/>
  <c r="J312" i="19"/>
  <c r="J313" i="19"/>
  <c r="J314" i="19"/>
  <c r="J315" i="19"/>
  <c r="J316" i="19"/>
  <c r="J317" i="19"/>
  <c r="J318" i="19"/>
  <c r="J319" i="19"/>
  <c r="J320" i="19"/>
  <c r="J321" i="19"/>
  <c r="J322" i="19"/>
  <c r="J323" i="19"/>
  <c r="J324" i="19"/>
  <c r="J325" i="19"/>
  <c r="J326" i="19"/>
  <c r="J327" i="19"/>
  <c r="J328" i="19"/>
  <c r="J329" i="19"/>
  <c r="J330" i="19"/>
  <c r="J331" i="19"/>
  <c r="J332" i="19"/>
  <c r="J333" i="19"/>
  <c r="J334" i="19"/>
  <c r="J335" i="19"/>
  <c r="J336" i="19"/>
  <c r="J337" i="19"/>
  <c r="J338" i="19"/>
  <c r="J339" i="19"/>
  <c r="J340" i="19"/>
  <c r="J341" i="19"/>
  <c r="J342" i="19"/>
  <c r="J343" i="19"/>
  <c r="J344" i="19"/>
  <c r="J345" i="19"/>
  <c r="J346" i="19"/>
  <c r="J347" i="19"/>
  <c r="J348" i="19"/>
  <c r="J349" i="19"/>
  <c r="J350" i="19"/>
  <c r="J351" i="19"/>
  <c r="J352" i="19"/>
  <c r="J353" i="19"/>
  <c r="J354" i="19"/>
  <c r="J355" i="19"/>
  <c r="J356" i="19"/>
  <c r="J357" i="19"/>
  <c r="J358" i="19"/>
  <c r="J359" i="19"/>
  <c r="J360" i="19"/>
  <c r="J361" i="19"/>
  <c r="J362" i="19"/>
  <c r="J363" i="19"/>
  <c r="J364" i="19"/>
  <c r="J365" i="19"/>
  <c r="J366" i="19"/>
  <c r="J367" i="19"/>
  <c r="J368" i="19"/>
  <c r="J369" i="19"/>
  <c r="J370" i="19"/>
  <c r="J371" i="19"/>
  <c r="J372" i="19"/>
  <c r="J373" i="19"/>
  <c r="D3" i="19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0" i="19"/>
  <c r="D211" i="19"/>
  <c r="D212" i="19"/>
  <c r="D213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2" i="19"/>
  <c r="D253" i="19"/>
  <c r="D254" i="19"/>
  <c r="D255" i="19"/>
  <c r="D256" i="19"/>
  <c r="D257" i="19"/>
  <c r="D258" i="19"/>
  <c r="D259" i="19"/>
  <c r="D260" i="19"/>
  <c r="D261" i="19"/>
  <c r="D262" i="19"/>
  <c r="D263" i="19"/>
  <c r="D264" i="19"/>
  <c r="D265" i="19"/>
  <c r="D266" i="19"/>
  <c r="D267" i="19"/>
  <c r="D268" i="19"/>
  <c r="D269" i="19"/>
  <c r="D270" i="19"/>
  <c r="D271" i="19"/>
  <c r="D272" i="19"/>
  <c r="D273" i="19"/>
  <c r="D274" i="19"/>
  <c r="D275" i="19"/>
  <c r="D276" i="19"/>
  <c r="D277" i="19"/>
  <c r="D278" i="19"/>
  <c r="D279" i="19"/>
  <c r="D280" i="19"/>
  <c r="D281" i="19"/>
  <c r="D282" i="19"/>
  <c r="D283" i="19"/>
  <c r="D284" i="19"/>
  <c r="D285" i="19"/>
  <c r="D286" i="19"/>
  <c r="D287" i="19"/>
  <c r="D288" i="19"/>
  <c r="D289" i="19"/>
  <c r="D290" i="19"/>
  <c r="D291" i="19"/>
  <c r="D292" i="19"/>
  <c r="D293" i="19"/>
  <c r="D294" i="19"/>
  <c r="D295" i="19"/>
  <c r="D296" i="19"/>
  <c r="D297" i="19"/>
  <c r="D298" i="19"/>
  <c r="D299" i="19"/>
  <c r="D300" i="19"/>
  <c r="D301" i="19"/>
  <c r="D302" i="19"/>
  <c r="D303" i="19"/>
  <c r="D304" i="19"/>
  <c r="D305" i="19"/>
  <c r="D306" i="19"/>
  <c r="D307" i="19"/>
  <c r="D308" i="19"/>
  <c r="D309" i="19"/>
  <c r="D310" i="19"/>
  <c r="D311" i="19"/>
  <c r="D312" i="19"/>
  <c r="D313" i="19"/>
  <c r="D314" i="19"/>
  <c r="D315" i="19"/>
  <c r="D316" i="19"/>
  <c r="D317" i="19"/>
  <c r="D318" i="19"/>
  <c r="D319" i="19"/>
  <c r="D320" i="19"/>
  <c r="D321" i="19"/>
  <c r="D322" i="19"/>
  <c r="D323" i="19"/>
  <c r="D324" i="19"/>
  <c r="D325" i="19"/>
  <c r="D326" i="19"/>
  <c r="D327" i="19"/>
  <c r="D328" i="19"/>
  <c r="D329" i="19"/>
  <c r="D330" i="19"/>
  <c r="D331" i="19"/>
  <c r="D332" i="19"/>
  <c r="D333" i="19"/>
  <c r="D334" i="19"/>
  <c r="D335" i="19"/>
  <c r="D336" i="19"/>
  <c r="D337" i="19"/>
  <c r="D338" i="19"/>
  <c r="D339" i="19"/>
  <c r="D340" i="19"/>
  <c r="D341" i="19"/>
  <c r="D342" i="19"/>
  <c r="D343" i="19"/>
  <c r="D344" i="19"/>
  <c r="D345" i="19"/>
  <c r="D346" i="19"/>
  <c r="D347" i="19"/>
  <c r="D348" i="19"/>
  <c r="D349" i="19"/>
  <c r="D350" i="19"/>
  <c r="D351" i="19"/>
  <c r="D352" i="19"/>
  <c r="D353" i="19"/>
  <c r="D354" i="19"/>
  <c r="D355" i="19"/>
  <c r="D356" i="19"/>
  <c r="D357" i="19"/>
  <c r="D358" i="19"/>
  <c r="D359" i="19"/>
  <c r="D360" i="19"/>
  <c r="D361" i="19"/>
  <c r="D362" i="19"/>
  <c r="D363" i="19"/>
  <c r="D364" i="19"/>
  <c r="D365" i="19"/>
  <c r="D366" i="19"/>
  <c r="D367" i="19"/>
  <c r="D368" i="19"/>
  <c r="D369" i="19"/>
  <c r="D370" i="19"/>
  <c r="D371" i="19"/>
  <c r="D372" i="19"/>
  <c r="D373" i="19"/>
  <c r="D374" i="19"/>
  <c r="D375" i="19"/>
  <c r="D376" i="19"/>
  <c r="D377" i="19"/>
  <c r="D378" i="19"/>
  <c r="D379" i="19"/>
  <c r="D380" i="19"/>
  <c r="D381" i="19"/>
  <c r="D382" i="19"/>
  <c r="D383" i="19"/>
  <c r="D384" i="19"/>
  <c r="D385" i="19"/>
  <c r="D386" i="19"/>
  <c r="D387" i="19"/>
  <c r="D388" i="19"/>
  <c r="D389" i="19"/>
  <c r="D390" i="19"/>
  <c r="D391" i="19"/>
  <c r="D392" i="19"/>
  <c r="D393" i="19"/>
  <c r="D394" i="19"/>
  <c r="D395" i="19"/>
  <c r="D396" i="19"/>
  <c r="D397" i="19"/>
  <c r="D398" i="19"/>
  <c r="D399" i="19"/>
  <c r="D400" i="19"/>
  <c r="D401" i="19"/>
  <c r="D402" i="19"/>
  <c r="D403" i="19"/>
  <c r="D404" i="19"/>
  <c r="D405" i="19"/>
  <c r="D406" i="19"/>
  <c r="D407" i="19"/>
  <c r="D408" i="19"/>
  <c r="D409" i="19"/>
  <c r="D410" i="19"/>
  <c r="D411" i="19"/>
  <c r="D412" i="19"/>
  <c r="D413" i="19"/>
  <c r="D414" i="19"/>
  <c r="D415" i="19"/>
  <c r="D416" i="19"/>
  <c r="AB178" i="19"/>
  <c r="AB179" i="19"/>
  <c r="AB180" i="19"/>
  <c r="AB181" i="19"/>
  <c r="AB182" i="19"/>
  <c r="AB183" i="19"/>
  <c r="AB184" i="19"/>
  <c r="AB185" i="19"/>
  <c r="AB186" i="19"/>
  <c r="AB187" i="19"/>
  <c r="AB188" i="19"/>
  <c r="AB189" i="19"/>
  <c r="AB190" i="19"/>
  <c r="AB191" i="19"/>
  <c r="AB192" i="19"/>
  <c r="AB193" i="19"/>
  <c r="AB194" i="19"/>
  <c r="AB195" i="19"/>
  <c r="AB196" i="19"/>
  <c r="AB197" i="19"/>
  <c r="AB198" i="19"/>
  <c r="AB199" i="19"/>
  <c r="AB200" i="19"/>
  <c r="AB201" i="19"/>
  <c r="AB202" i="19"/>
  <c r="AB203" i="19"/>
  <c r="AB204" i="19"/>
  <c r="AB205" i="19"/>
  <c r="AB206" i="19"/>
  <c r="AB207" i="19"/>
  <c r="AB208" i="19"/>
  <c r="AB209" i="19"/>
  <c r="AB210" i="19"/>
  <c r="AB211" i="19"/>
  <c r="AB212" i="19"/>
  <c r="AB213" i="19"/>
  <c r="AB214" i="19"/>
  <c r="AB215" i="19"/>
  <c r="AB216" i="19"/>
  <c r="AB217" i="19"/>
  <c r="AB218" i="19"/>
  <c r="AB219" i="19"/>
  <c r="AB220" i="19"/>
  <c r="AB221" i="19"/>
  <c r="AB222" i="19"/>
  <c r="AB223" i="19"/>
  <c r="AB224" i="19"/>
  <c r="AB225" i="19"/>
  <c r="AB226" i="19"/>
  <c r="AB227" i="19"/>
  <c r="AB228" i="19"/>
  <c r="AB229" i="19"/>
  <c r="AB230" i="19"/>
  <c r="AB231" i="19"/>
  <c r="AB232" i="19"/>
  <c r="AB233" i="19"/>
  <c r="AB234" i="19"/>
  <c r="AB235" i="19"/>
  <c r="AB236" i="19"/>
  <c r="AB237" i="19"/>
  <c r="AB238" i="19"/>
  <c r="AB239" i="19"/>
  <c r="AB240" i="19"/>
  <c r="AB241" i="19"/>
  <c r="AB242" i="19"/>
  <c r="AB243" i="19"/>
  <c r="AB244" i="19"/>
  <c r="AB245" i="19"/>
  <c r="AB246" i="19"/>
  <c r="AB247" i="19"/>
  <c r="AB248" i="19"/>
  <c r="AB249" i="19"/>
  <c r="AB250" i="19"/>
  <c r="AB251" i="19"/>
  <c r="AB252" i="19"/>
  <c r="AB253" i="19"/>
  <c r="AB254" i="19"/>
  <c r="AB255" i="19"/>
  <c r="AB256" i="19"/>
  <c r="AB257" i="19"/>
  <c r="AB258" i="19"/>
  <c r="AB259" i="19"/>
  <c r="AB260" i="19"/>
  <c r="AB261" i="19"/>
  <c r="AB262" i="19"/>
  <c r="AB263" i="19"/>
  <c r="AB264" i="19"/>
  <c r="AB265" i="19"/>
  <c r="AB266" i="19"/>
  <c r="AB267" i="19"/>
  <c r="AB268" i="19"/>
  <c r="AB269" i="19"/>
  <c r="AB270" i="19"/>
  <c r="AB271" i="19"/>
  <c r="AB272" i="19"/>
  <c r="AB273" i="19"/>
  <c r="AB274" i="19"/>
  <c r="AB275" i="19"/>
  <c r="AB276" i="19"/>
  <c r="AB277" i="19"/>
  <c r="AB278" i="19"/>
  <c r="AB279" i="19"/>
  <c r="AB280" i="19"/>
  <c r="AB281" i="19"/>
  <c r="AB282" i="19"/>
  <c r="AB283" i="19"/>
  <c r="AB284" i="19"/>
  <c r="AB285" i="19"/>
  <c r="AB286" i="19"/>
  <c r="AB287" i="19"/>
  <c r="AB288" i="19"/>
  <c r="AB289" i="19"/>
  <c r="AB290" i="19"/>
  <c r="AB291" i="19"/>
  <c r="AB292" i="19"/>
  <c r="AB293" i="19"/>
  <c r="AB294" i="19"/>
  <c r="AB295" i="19"/>
  <c r="AB296" i="19"/>
  <c r="AB297" i="19"/>
  <c r="AB298" i="19"/>
  <c r="AB299" i="19"/>
  <c r="AB300" i="19"/>
  <c r="AB301" i="19"/>
  <c r="AB302" i="19"/>
  <c r="AB303" i="19"/>
  <c r="AB304" i="19"/>
  <c r="AB305" i="19"/>
  <c r="AB306" i="19"/>
  <c r="AB307" i="19"/>
  <c r="AB308" i="19"/>
  <c r="AB309" i="19"/>
  <c r="AB310" i="19"/>
  <c r="AB311" i="19"/>
  <c r="AB312" i="19"/>
  <c r="AB313" i="19"/>
  <c r="AB314" i="19"/>
  <c r="AB315" i="19"/>
  <c r="AB316" i="19"/>
  <c r="AB317" i="19"/>
  <c r="AB318" i="19"/>
  <c r="AB319" i="19"/>
  <c r="AB320" i="19"/>
  <c r="AB321" i="19"/>
  <c r="AB322" i="19"/>
  <c r="AB323" i="19"/>
  <c r="AB324" i="19"/>
  <c r="AB325" i="19"/>
  <c r="AB326" i="19"/>
  <c r="AB327" i="19"/>
  <c r="AB328" i="19"/>
  <c r="AB329" i="19"/>
  <c r="AB330" i="19"/>
  <c r="AB331" i="19"/>
  <c r="AB332" i="19"/>
  <c r="AB333" i="19"/>
  <c r="AB334" i="19"/>
  <c r="AB335" i="19"/>
  <c r="AB336" i="19"/>
  <c r="AB337" i="19"/>
  <c r="AB338" i="19"/>
  <c r="AB339" i="19"/>
  <c r="AB340" i="19"/>
  <c r="AB341" i="19"/>
  <c r="AB342" i="19"/>
  <c r="AB343" i="19"/>
  <c r="AB344" i="19"/>
  <c r="AB345" i="19"/>
  <c r="AB346" i="19"/>
  <c r="AB347" i="19"/>
  <c r="AB348" i="19"/>
  <c r="AB349" i="19"/>
  <c r="AB350" i="19"/>
  <c r="AB351" i="19"/>
  <c r="AB352" i="19"/>
  <c r="AB353" i="19"/>
  <c r="AB354" i="19"/>
  <c r="AB355" i="19"/>
  <c r="AB356" i="19"/>
  <c r="AB357" i="19"/>
  <c r="AB358" i="19"/>
  <c r="AB359" i="19"/>
  <c r="AB360" i="19"/>
  <c r="AB361" i="19"/>
  <c r="AB362" i="19"/>
  <c r="AB363" i="19"/>
  <c r="AB364" i="19"/>
  <c r="AB365" i="19"/>
  <c r="AB366" i="19"/>
  <c r="AB367" i="19"/>
  <c r="AB368" i="19"/>
  <c r="AB369" i="19"/>
  <c r="AB370" i="19"/>
  <c r="AB371" i="19"/>
  <c r="AB372" i="19"/>
  <c r="AB373" i="19"/>
  <c r="V178" i="19"/>
  <c r="W178" i="19" s="1"/>
  <c r="X178" i="19" s="1"/>
  <c r="Y178" i="19" s="1"/>
  <c r="V179" i="19"/>
  <c r="W179" i="19" s="1"/>
  <c r="X179" i="19" s="1"/>
  <c r="Y179" i="19" s="1"/>
  <c r="V180" i="19"/>
  <c r="W180" i="19" s="1"/>
  <c r="X180" i="19" s="1"/>
  <c r="Y180" i="19" s="1"/>
  <c r="V182" i="19"/>
  <c r="W182" i="19" s="1"/>
  <c r="X182" i="19" s="1"/>
  <c r="Y182" i="19" s="1"/>
  <c r="V183" i="19"/>
  <c r="W183" i="19" s="1"/>
  <c r="X183" i="19" s="1"/>
  <c r="Y183" i="19" s="1"/>
  <c r="V184" i="19"/>
  <c r="W184" i="19" s="1"/>
  <c r="X184" i="19" s="1"/>
  <c r="Y184" i="19" s="1"/>
  <c r="V185" i="19"/>
  <c r="W185" i="19" s="1"/>
  <c r="X185" i="19" s="1"/>
  <c r="Y185" i="19" s="1"/>
  <c r="V186" i="19"/>
  <c r="W186" i="19" s="1"/>
  <c r="X186" i="19" s="1"/>
  <c r="Y186" i="19" s="1"/>
  <c r="V187" i="19"/>
  <c r="W187" i="19" s="1"/>
  <c r="X187" i="19" s="1"/>
  <c r="Y187" i="19" s="1"/>
  <c r="V188" i="19"/>
  <c r="W188" i="19" s="1"/>
  <c r="X188" i="19" s="1"/>
  <c r="Y188" i="19" s="1"/>
  <c r="V190" i="19"/>
  <c r="W190" i="19" s="1"/>
  <c r="X190" i="19" s="1"/>
  <c r="Y190" i="19" s="1"/>
  <c r="V191" i="19"/>
  <c r="W191" i="19" s="1"/>
  <c r="X191" i="19" s="1"/>
  <c r="Y191" i="19" s="1"/>
  <c r="V192" i="19"/>
  <c r="W192" i="19" s="1"/>
  <c r="X192" i="19" s="1"/>
  <c r="Y192" i="19" s="1"/>
  <c r="V193" i="19"/>
  <c r="W193" i="19" s="1"/>
  <c r="X193" i="19" s="1"/>
  <c r="Y193" i="19" s="1"/>
  <c r="V194" i="19"/>
  <c r="W194" i="19" s="1"/>
  <c r="X194" i="19" s="1"/>
  <c r="Y194" i="19" s="1"/>
  <c r="V196" i="19"/>
  <c r="W196" i="19" s="1"/>
  <c r="X196" i="19" s="1"/>
  <c r="Y196" i="19" s="1"/>
  <c r="V197" i="19"/>
  <c r="W197" i="19" s="1"/>
  <c r="X197" i="19" s="1"/>
  <c r="Y197" i="19" s="1"/>
  <c r="V198" i="19"/>
  <c r="W198" i="19" s="1"/>
  <c r="X198" i="19" s="1"/>
  <c r="Y198" i="19" s="1"/>
  <c r="V200" i="19"/>
  <c r="W200" i="19" s="1"/>
  <c r="X200" i="19" s="1"/>
  <c r="Y200" i="19" s="1"/>
  <c r="V201" i="19"/>
  <c r="W201" i="19" s="1"/>
  <c r="X201" i="19" s="1"/>
  <c r="Y201" i="19" s="1"/>
  <c r="V202" i="19"/>
  <c r="W202" i="19" s="1"/>
  <c r="X202" i="19" s="1"/>
  <c r="Y202" i="19" s="1"/>
  <c r="V204" i="19"/>
  <c r="W204" i="19" s="1"/>
  <c r="X204" i="19" s="1"/>
  <c r="Y204" i="19" s="1"/>
  <c r="V205" i="19"/>
  <c r="W205" i="19" s="1"/>
  <c r="X205" i="19" s="1"/>
  <c r="Y205" i="19" s="1"/>
  <c r="V206" i="19"/>
  <c r="W206" i="19" s="1"/>
  <c r="X206" i="19" s="1"/>
  <c r="Y206" i="19" s="1"/>
  <c r="V207" i="19"/>
  <c r="W207" i="19" s="1"/>
  <c r="X207" i="19" s="1"/>
  <c r="Y207" i="19" s="1"/>
  <c r="V208" i="19"/>
  <c r="W208" i="19" s="1"/>
  <c r="X208" i="19" s="1"/>
  <c r="Y208" i="19" s="1"/>
  <c r="V209" i="19"/>
  <c r="W209" i="19" s="1"/>
  <c r="X209" i="19" s="1"/>
  <c r="Y209" i="19" s="1"/>
  <c r="V210" i="19"/>
  <c r="W210" i="19" s="1"/>
  <c r="X210" i="19" s="1"/>
  <c r="Y210" i="19" s="1"/>
  <c r="V211" i="19"/>
  <c r="W211" i="19" s="1"/>
  <c r="X211" i="19" s="1"/>
  <c r="Y211" i="19" s="1"/>
  <c r="V212" i="19"/>
  <c r="W212" i="19" s="1"/>
  <c r="X212" i="19" s="1"/>
  <c r="Y212" i="19" s="1"/>
  <c r="V213" i="19"/>
  <c r="W213" i="19" s="1"/>
  <c r="X213" i="19" s="1"/>
  <c r="Y213" i="19" s="1"/>
  <c r="V214" i="19"/>
  <c r="W214" i="19" s="1"/>
  <c r="X214" i="19" s="1"/>
  <c r="Y214" i="19" s="1"/>
  <c r="V215" i="19"/>
  <c r="W215" i="19" s="1"/>
  <c r="X215" i="19" s="1"/>
  <c r="Y215" i="19" s="1"/>
  <c r="V216" i="19"/>
  <c r="W216" i="19" s="1"/>
  <c r="X216" i="19" s="1"/>
  <c r="Y216" i="19" s="1"/>
  <c r="V218" i="19"/>
  <c r="W218" i="19" s="1"/>
  <c r="X218" i="19" s="1"/>
  <c r="Y218" i="19" s="1"/>
  <c r="V219" i="19"/>
  <c r="W219" i="19" s="1"/>
  <c r="X219" i="19" s="1"/>
  <c r="Y219" i="19" s="1"/>
  <c r="V220" i="19"/>
  <c r="W220" i="19" s="1"/>
  <c r="X220" i="19" s="1"/>
  <c r="Y220" i="19" s="1"/>
  <c r="V222" i="19"/>
  <c r="W222" i="19" s="1"/>
  <c r="X222" i="19" s="1"/>
  <c r="Y222" i="19" s="1"/>
  <c r="V223" i="19"/>
  <c r="W223" i="19" s="1"/>
  <c r="X223" i="19" s="1"/>
  <c r="Y223" i="19" s="1"/>
  <c r="V224" i="19"/>
  <c r="W224" i="19" s="1"/>
  <c r="X224" i="19" s="1"/>
  <c r="Y224" i="19" s="1"/>
  <c r="V226" i="19"/>
  <c r="W226" i="19" s="1"/>
  <c r="X226" i="19" s="1"/>
  <c r="Y226" i="19" s="1"/>
  <c r="V228" i="19"/>
  <c r="W228" i="19" s="1"/>
  <c r="X228" i="19" s="1"/>
  <c r="Y228" i="19" s="1"/>
  <c r="V230" i="19"/>
  <c r="W230" i="19" s="1"/>
  <c r="X230" i="19" s="1"/>
  <c r="Y230" i="19" s="1"/>
  <c r="V234" i="19"/>
  <c r="W234" i="19" s="1"/>
  <c r="X234" i="19" s="1"/>
  <c r="Y234" i="19" s="1"/>
  <c r="V236" i="19"/>
  <c r="W236" i="19" s="1"/>
  <c r="X236" i="19" s="1"/>
  <c r="Y236" i="19" s="1"/>
  <c r="V237" i="19"/>
  <c r="W237" i="19" s="1"/>
  <c r="X237" i="19" s="1"/>
  <c r="Y237" i="19" s="1"/>
  <c r="V238" i="19"/>
  <c r="W238" i="19" s="1"/>
  <c r="X238" i="19" s="1"/>
  <c r="Y238" i="19" s="1"/>
  <c r="V240" i="19"/>
  <c r="W240" i="19" s="1"/>
  <c r="X240" i="19" s="1"/>
  <c r="Y240" i="19" s="1"/>
  <c r="V241" i="19"/>
  <c r="W241" i="19" s="1"/>
  <c r="X241" i="19" s="1"/>
  <c r="Y241" i="19" s="1"/>
  <c r="V242" i="19"/>
  <c r="W242" i="19" s="1"/>
  <c r="X242" i="19" s="1"/>
  <c r="Y242" i="19" s="1"/>
  <c r="V244" i="19"/>
  <c r="W244" i="19" s="1"/>
  <c r="X244" i="19" s="1"/>
  <c r="Y244" i="19" s="1"/>
  <c r="V245" i="19"/>
  <c r="W245" i="19" s="1"/>
  <c r="X245" i="19" s="1"/>
  <c r="Y245" i="19" s="1"/>
  <c r="V246" i="19"/>
  <c r="W246" i="19" s="1"/>
  <c r="X246" i="19" s="1"/>
  <c r="Y246" i="19" s="1"/>
  <c r="V248" i="19"/>
  <c r="W248" i="19" s="1"/>
  <c r="X248" i="19" s="1"/>
  <c r="Y248" i="19" s="1"/>
  <c r="V249" i="19"/>
  <c r="W249" i="19" s="1"/>
  <c r="X249" i="19" s="1"/>
  <c r="Y249" i="19" s="1"/>
  <c r="V250" i="19"/>
  <c r="W250" i="19" s="1"/>
  <c r="X250" i="19" s="1"/>
  <c r="Y250" i="19" s="1"/>
  <c r="V252" i="19"/>
  <c r="W252" i="19" s="1"/>
  <c r="X252" i="19" s="1"/>
  <c r="Y252" i="19" s="1"/>
  <c r="V253" i="19"/>
  <c r="W253" i="19" s="1"/>
  <c r="X253" i="19" s="1"/>
  <c r="Y253" i="19" s="1"/>
  <c r="V257" i="19"/>
  <c r="W257" i="19" s="1"/>
  <c r="X257" i="19" s="1"/>
  <c r="Y257" i="19" s="1"/>
  <c r="V259" i="19"/>
  <c r="W259" i="19" s="1"/>
  <c r="X259" i="19" s="1"/>
  <c r="Y259" i="19" s="1"/>
  <c r="V261" i="19"/>
  <c r="W261" i="19" s="1"/>
  <c r="X261" i="19" s="1"/>
  <c r="Y261" i="19" s="1"/>
  <c r="V262" i="19"/>
  <c r="W262" i="19" s="1"/>
  <c r="X262" i="19" s="1"/>
  <c r="Y262" i="19" s="1"/>
  <c r="V263" i="19"/>
  <c r="W263" i="19" s="1"/>
  <c r="X263" i="19" s="1"/>
  <c r="Y263" i="19" s="1"/>
  <c r="V265" i="19"/>
  <c r="W265" i="19" s="1"/>
  <c r="X265" i="19" s="1"/>
  <c r="Y265" i="19" s="1"/>
  <c r="V266" i="19"/>
  <c r="W266" i="19" s="1"/>
  <c r="X266" i="19" s="1"/>
  <c r="Y266" i="19" s="1"/>
  <c r="V267" i="19"/>
  <c r="W267" i="19" s="1"/>
  <c r="X267" i="19" s="1"/>
  <c r="Y267" i="19" s="1"/>
  <c r="V269" i="19"/>
  <c r="W269" i="19" s="1"/>
  <c r="X269" i="19" s="1"/>
  <c r="Y269" i="19" s="1"/>
  <c r="V270" i="19"/>
  <c r="W270" i="19" s="1"/>
  <c r="X270" i="19" s="1"/>
  <c r="Y270" i="19" s="1"/>
  <c r="V271" i="19"/>
  <c r="W271" i="19" s="1"/>
  <c r="X271" i="19" s="1"/>
  <c r="Y271" i="19" s="1"/>
  <c r="V273" i="19"/>
  <c r="W273" i="19" s="1"/>
  <c r="X273" i="19" s="1"/>
  <c r="Y273" i="19" s="1"/>
  <c r="V274" i="19"/>
  <c r="W274" i="19" s="1"/>
  <c r="X274" i="19" s="1"/>
  <c r="Y274" i="19" s="1"/>
  <c r="V275" i="19"/>
  <c r="W275" i="19" s="1"/>
  <c r="X275" i="19" s="1"/>
  <c r="Y275" i="19" s="1"/>
  <c r="V277" i="19"/>
  <c r="W277" i="19" s="1"/>
  <c r="X277" i="19" s="1"/>
  <c r="Y277" i="19" s="1"/>
  <c r="V278" i="19"/>
  <c r="W278" i="19" s="1"/>
  <c r="X278" i="19" s="1"/>
  <c r="Y278" i="19" s="1"/>
  <c r="V279" i="19"/>
  <c r="W279" i="19" s="1"/>
  <c r="X279" i="19" s="1"/>
  <c r="Y279" i="19" s="1"/>
  <c r="V281" i="19"/>
  <c r="W281" i="19" s="1"/>
  <c r="X281" i="19" s="1"/>
  <c r="Y281" i="19" s="1"/>
  <c r="V282" i="19"/>
  <c r="W282" i="19" s="1"/>
  <c r="X282" i="19" s="1"/>
  <c r="Y282" i="19" s="1"/>
  <c r="V283" i="19"/>
  <c r="W283" i="19" s="1"/>
  <c r="X283" i="19" s="1"/>
  <c r="Y283" i="19" s="1"/>
  <c r="V285" i="19"/>
  <c r="W285" i="19" s="1"/>
  <c r="X285" i="19" s="1"/>
  <c r="Y285" i="19" s="1"/>
  <c r="V286" i="19"/>
  <c r="W286" i="19" s="1"/>
  <c r="X286" i="19" s="1"/>
  <c r="Y286" i="19" s="1"/>
  <c r="V287" i="19"/>
  <c r="W287" i="19" s="1"/>
  <c r="X287" i="19" s="1"/>
  <c r="Y287" i="19" s="1"/>
  <c r="V289" i="19"/>
  <c r="W289" i="19" s="1"/>
  <c r="X289" i="19" s="1"/>
  <c r="Y289" i="19" s="1"/>
  <c r="V290" i="19"/>
  <c r="W290" i="19" s="1"/>
  <c r="X290" i="19" s="1"/>
  <c r="Y290" i="19" s="1"/>
  <c r="V291" i="19"/>
  <c r="W291" i="19" s="1"/>
  <c r="X291" i="19" s="1"/>
  <c r="Y291" i="19" s="1"/>
  <c r="V293" i="19"/>
  <c r="W293" i="19" s="1"/>
  <c r="X293" i="19" s="1"/>
  <c r="Y293" i="19" s="1"/>
  <c r="V294" i="19"/>
  <c r="W294" i="19" s="1"/>
  <c r="X294" i="19" s="1"/>
  <c r="Y294" i="19" s="1"/>
  <c r="V295" i="19"/>
  <c r="W295" i="19" s="1"/>
  <c r="X295" i="19" s="1"/>
  <c r="Y295" i="19" s="1"/>
  <c r="V297" i="19"/>
  <c r="W297" i="19" s="1"/>
  <c r="X297" i="19" s="1"/>
  <c r="Y297" i="19" s="1"/>
  <c r="V299" i="19"/>
  <c r="W299" i="19" s="1"/>
  <c r="X299" i="19" s="1"/>
  <c r="Y299" i="19" s="1"/>
  <c r="V300" i="19"/>
  <c r="W300" i="19" s="1"/>
  <c r="X300" i="19" s="1"/>
  <c r="Y300" i="19" s="1"/>
  <c r="V301" i="19"/>
  <c r="W301" i="19" s="1"/>
  <c r="X301" i="19" s="1"/>
  <c r="Y301" i="19" s="1"/>
  <c r="V302" i="19"/>
  <c r="W302" i="19" s="1"/>
  <c r="X302" i="19" s="1"/>
  <c r="Y302" i="19" s="1"/>
  <c r="V303" i="19"/>
  <c r="W303" i="19" s="1"/>
  <c r="X303" i="19" s="1"/>
  <c r="Y303" i="19" s="1"/>
  <c r="V305" i="19"/>
  <c r="W305" i="19" s="1"/>
  <c r="X305" i="19" s="1"/>
  <c r="Y305" i="19" s="1"/>
  <c r="V306" i="19"/>
  <c r="W306" i="19" s="1"/>
  <c r="X306" i="19" s="1"/>
  <c r="Y306" i="19" s="1"/>
  <c r="V307" i="19"/>
  <c r="W307" i="19" s="1"/>
  <c r="X307" i="19" s="1"/>
  <c r="Y307" i="19" s="1"/>
  <c r="V309" i="19"/>
  <c r="W309" i="19" s="1"/>
  <c r="X309" i="19" s="1"/>
  <c r="Y309" i="19" s="1"/>
  <c r="V310" i="19"/>
  <c r="W310" i="19" s="1"/>
  <c r="X310" i="19" s="1"/>
  <c r="Y310" i="19" s="1"/>
  <c r="V312" i="19"/>
  <c r="W312" i="19" s="1"/>
  <c r="X312" i="19" s="1"/>
  <c r="Y312" i="19" s="1"/>
  <c r="V314" i="19"/>
  <c r="W314" i="19" s="1"/>
  <c r="X314" i="19" s="1"/>
  <c r="Y314" i="19" s="1"/>
  <c r="V316" i="19"/>
  <c r="W316" i="19" s="1"/>
  <c r="X316" i="19" s="1"/>
  <c r="Y316" i="19" s="1"/>
  <c r="V318" i="19"/>
  <c r="W318" i="19" s="1"/>
  <c r="X318" i="19" s="1"/>
  <c r="Y318" i="19" s="1"/>
  <c r="V319" i="19"/>
  <c r="W319" i="19" s="1"/>
  <c r="X319" i="19" s="1"/>
  <c r="Y319" i="19" s="1"/>
  <c r="V320" i="19"/>
  <c r="W320" i="19" s="1"/>
  <c r="X320" i="19" s="1"/>
  <c r="Y320" i="19" s="1"/>
  <c r="V321" i="19"/>
  <c r="W321" i="19" s="1"/>
  <c r="X321" i="19" s="1"/>
  <c r="Y321" i="19" s="1"/>
  <c r="V322" i="19"/>
  <c r="W322" i="19" s="1"/>
  <c r="X322" i="19" s="1"/>
  <c r="Y322" i="19" s="1"/>
  <c r="V324" i="19"/>
  <c r="W324" i="19" s="1"/>
  <c r="X324" i="19" s="1"/>
  <c r="Y324" i="19" s="1"/>
  <c r="V326" i="19"/>
  <c r="W326" i="19" s="1"/>
  <c r="X326" i="19" s="1"/>
  <c r="Y326" i="19" s="1"/>
  <c r="V327" i="19"/>
  <c r="W327" i="19" s="1"/>
  <c r="X327" i="19" s="1"/>
  <c r="Y327" i="19" s="1"/>
  <c r="V328" i="19"/>
  <c r="W328" i="19" s="1"/>
  <c r="X328" i="19" s="1"/>
  <c r="Y328" i="19" s="1"/>
  <c r="V329" i="19"/>
  <c r="W329" i="19" s="1"/>
  <c r="X329" i="19" s="1"/>
  <c r="Y329" i="19" s="1"/>
  <c r="V330" i="19"/>
  <c r="W330" i="19" s="1"/>
  <c r="X330" i="19" s="1"/>
  <c r="Y330" i="19" s="1"/>
  <c r="V332" i="19"/>
  <c r="W332" i="19" s="1"/>
  <c r="X332" i="19" s="1"/>
  <c r="Y332" i="19" s="1"/>
  <c r="V333" i="19"/>
  <c r="W333" i="19" s="1"/>
  <c r="X333" i="19" s="1"/>
  <c r="Y333" i="19" s="1"/>
  <c r="V334" i="19"/>
  <c r="W334" i="19" s="1"/>
  <c r="X334" i="19" s="1"/>
  <c r="Y334" i="19" s="1"/>
  <c r="V335" i="19"/>
  <c r="W335" i="19" s="1"/>
  <c r="X335" i="19" s="1"/>
  <c r="Y335" i="19" s="1"/>
  <c r="V336" i="19"/>
  <c r="W336" i="19" s="1"/>
  <c r="X336" i="19" s="1"/>
  <c r="Y336" i="19" s="1"/>
  <c r="V338" i="19"/>
  <c r="W338" i="19" s="1"/>
  <c r="X338" i="19" s="1"/>
  <c r="Y338" i="19" s="1"/>
  <c r="V339" i="19"/>
  <c r="W339" i="19" s="1"/>
  <c r="X339" i="19" s="1"/>
  <c r="Y339" i="19" s="1"/>
  <c r="V340" i="19"/>
  <c r="W340" i="19" s="1"/>
  <c r="X340" i="19" s="1"/>
  <c r="Y340" i="19" s="1"/>
  <c r="V343" i="19"/>
  <c r="W343" i="19" s="1"/>
  <c r="X343" i="19" s="1"/>
  <c r="Y343" i="19" s="1"/>
  <c r="V344" i="19"/>
  <c r="W344" i="19" s="1"/>
  <c r="X344" i="19" s="1"/>
  <c r="Y344" i="19" s="1"/>
  <c r="V345" i="19"/>
  <c r="W345" i="19" s="1"/>
  <c r="X345" i="19" s="1"/>
  <c r="Y345" i="19" s="1"/>
  <c r="V347" i="19"/>
  <c r="W347" i="19" s="1"/>
  <c r="X347" i="19" s="1"/>
  <c r="Y347" i="19" s="1"/>
  <c r="V348" i="19"/>
  <c r="W348" i="19" s="1"/>
  <c r="X348" i="19" s="1"/>
  <c r="Y348" i="19" s="1"/>
  <c r="V352" i="19"/>
  <c r="W352" i="19" s="1"/>
  <c r="X352" i="19" s="1"/>
  <c r="Y352" i="19" s="1"/>
  <c r="V353" i="19"/>
  <c r="W353" i="19" s="1"/>
  <c r="X353" i="19" s="1"/>
  <c r="Y353" i="19" s="1"/>
  <c r="V355" i="19"/>
  <c r="W355" i="19" s="1"/>
  <c r="X355" i="19" s="1"/>
  <c r="Y355" i="19" s="1"/>
  <c r="V356" i="19"/>
  <c r="W356" i="19" s="1"/>
  <c r="X356" i="19" s="1"/>
  <c r="Y356" i="19" s="1"/>
  <c r="V358" i="19"/>
  <c r="W358" i="19" s="1"/>
  <c r="X358" i="19" s="1"/>
  <c r="Y358" i="19" s="1"/>
  <c r="V359" i="19"/>
  <c r="W359" i="19" s="1"/>
  <c r="X359" i="19" s="1"/>
  <c r="Y359" i="19" s="1"/>
  <c r="V360" i="19"/>
  <c r="W360" i="19" s="1"/>
  <c r="X360" i="19" s="1"/>
  <c r="Y360" i="19" s="1"/>
  <c r="V363" i="19"/>
  <c r="W363" i="19" s="1"/>
  <c r="X363" i="19" s="1"/>
  <c r="Y363" i="19" s="1"/>
  <c r="V364" i="19"/>
  <c r="W364" i="19" s="1"/>
  <c r="X364" i="19" s="1"/>
  <c r="Y364" i="19" s="1"/>
  <c r="V367" i="19"/>
  <c r="W367" i="19" s="1"/>
  <c r="X367" i="19" s="1"/>
  <c r="Y367" i="19" s="1"/>
  <c r="V368" i="19"/>
  <c r="W368" i="19" s="1"/>
  <c r="X368" i="19" s="1"/>
  <c r="Y368" i="19" s="1"/>
  <c r="V369" i="19"/>
  <c r="W369" i="19" s="1"/>
  <c r="X369" i="19" s="1"/>
  <c r="Y369" i="19" s="1"/>
  <c r="V370" i="19"/>
  <c r="W370" i="19" s="1"/>
  <c r="X370" i="19" s="1"/>
  <c r="Y370" i="19" s="1"/>
  <c r="V371" i="19"/>
  <c r="W371" i="19" s="1"/>
  <c r="X371" i="19" s="1"/>
  <c r="Y371" i="19" s="1"/>
  <c r="V372" i="19"/>
  <c r="W372" i="19" s="1"/>
  <c r="X372" i="19" s="1"/>
  <c r="Y372" i="19" s="1"/>
  <c r="V373" i="19"/>
  <c r="W373" i="19" s="1"/>
  <c r="X373" i="19" s="1"/>
  <c r="Y373" i="19" s="1"/>
  <c r="M32" i="19" l="1"/>
  <c r="M591" i="19"/>
  <c r="M515" i="19"/>
  <c r="M286" i="19"/>
  <c r="M1340" i="19"/>
  <c r="M939" i="19"/>
  <c r="M562" i="19"/>
  <c r="M945" i="19"/>
  <c r="M729" i="19"/>
  <c r="M798" i="19"/>
  <c r="M510" i="19"/>
  <c r="M567" i="19"/>
  <c r="M247" i="19"/>
  <c r="M1267" i="19"/>
  <c r="M1138" i="19"/>
  <c r="M294" i="19"/>
  <c r="M301" i="19"/>
  <c r="M712" i="19"/>
  <c r="M1034" i="19"/>
  <c r="M887" i="19"/>
  <c r="M604" i="19"/>
  <c r="M569" i="19"/>
  <c r="M211" i="19"/>
  <c r="M606" i="19"/>
  <c r="M501" i="19"/>
  <c r="M180" i="19"/>
  <c r="M314" i="19"/>
  <c r="M19" i="19"/>
  <c r="M11" i="19"/>
  <c r="M187" i="19"/>
  <c r="M452" i="19"/>
  <c r="M889" i="19"/>
  <c r="M1103" i="19"/>
  <c r="M1236" i="19"/>
  <c r="M1284" i="19"/>
  <c r="M861" i="19"/>
  <c r="M246" i="19"/>
  <c r="M17" i="19"/>
  <c r="M313" i="19"/>
  <c r="M269" i="19"/>
  <c r="M158" i="19"/>
  <c r="M1154" i="19"/>
  <c r="M815" i="19"/>
  <c r="M691" i="19"/>
  <c r="M399" i="19"/>
  <c r="M40" i="19"/>
  <c r="M1147" i="19"/>
  <c r="M1029" i="19"/>
  <c r="M642" i="19"/>
  <c r="M753" i="19"/>
  <c r="M595" i="19"/>
  <c r="M307" i="19"/>
  <c r="M52" i="19"/>
  <c r="M680" i="19"/>
  <c r="M686" i="19"/>
  <c r="M812" i="19"/>
  <c r="M224" i="19"/>
  <c r="M312" i="19"/>
  <c r="M973" i="19"/>
  <c r="M1170" i="19"/>
  <c r="M759" i="19"/>
  <c r="M617" i="19"/>
  <c r="M441" i="19"/>
  <c r="M95" i="19"/>
  <c r="M1145" i="19"/>
  <c r="M594" i="19"/>
  <c r="M374" i="19"/>
  <c r="M1076" i="19"/>
  <c r="M1283" i="19"/>
  <c r="M379" i="19"/>
  <c r="M1265" i="19"/>
  <c r="M1084" i="19"/>
  <c r="M557" i="19"/>
  <c r="M363" i="19"/>
  <c r="M553" i="19"/>
  <c r="M1371" i="19"/>
  <c r="M1374" i="19"/>
  <c r="M1047" i="19"/>
  <c r="M447" i="19"/>
  <c r="M1348" i="19"/>
  <c r="M1246" i="19"/>
  <c r="M921" i="19"/>
  <c r="M518" i="19"/>
  <c r="M877" i="19"/>
  <c r="M535" i="19"/>
  <c r="M1007" i="19"/>
  <c r="M863" i="19"/>
  <c r="M358" i="19"/>
  <c r="M256" i="19"/>
  <c r="M611" i="19"/>
  <c r="M534" i="19"/>
  <c r="M259" i="19"/>
  <c r="M79" i="19"/>
  <c r="M236" i="19"/>
  <c r="M167" i="19"/>
  <c r="M280" i="19"/>
  <c r="M540" i="19"/>
  <c r="M775" i="19"/>
  <c r="M918" i="19"/>
  <c r="M1119" i="19"/>
  <c r="M1252" i="19"/>
  <c r="M185" i="19"/>
  <c r="M373" i="19"/>
  <c r="M612" i="19"/>
  <c r="M773" i="19"/>
  <c r="M1105" i="19"/>
  <c r="M1365" i="19"/>
  <c r="M24" i="19"/>
  <c r="M492" i="19"/>
  <c r="M649" i="19"/>
  <c r="M995" i="19"/>
  <c r="M1184" i="19"/>
  <c r="M968" i="19"/>
  <c r="M608" i="19"/>
  <c r="M367" i="19"/>
  <c r="M1383" i="19"/>
  <c r="M1071" i="19"/>
  <c r="M956" i="19"/>
  <c r="M849" i="19"/>
  <c r="M622" i="19"/>
  <c r="M467" i="19"/>
  <c r="M231" i="19"/>
  <c r="M297" i="19"/>
  <c r="M130" i="19"/>
  <c r="M1135" i="19"/>
  <c r="M969" i="19"/>
  <c r="M681" i="19"/>
  <c r="M360" i="19"/>
  <c r="M1020" i="19"/>
  <c r="M915" i="19"/>
  <c r="M401" i="19"/>
  <c r="M96" i="19"/>
  <c r="M728" i="19"/>
  <c r="M574" i="19"/>
  <c r="M268" i="19"/>
  <c r="M664" i="19"/>
  <c r="M559" i="19"/>
  <c r="M426" i="19"/>
  <c r="M156" i="19"/>
  <c r="M265" i="19"/>
  <c r="M1211" i="19"/>
  <c r="M1251" i="19"/>
  <c r="M976" i="19"/>
  <c r="M330" i="19"/>
  <c r="M1346" i="19"/>
  <c r="M1277" i="19"/>
  <c r="M1367" i="19"/>
  <c r="M1342" i="19"/>
  <c r="M1237" i="19"/>
  <c r="M885" i="19"/>
  <c r="M743" i="19"/>
  <c r="M986" i="19"/>
  <c r="M860" i="19"/>
  <c r="M216" i="19"/>
  <c r="M539" i="19"/>
  <c r="M45" i="19"/>
  <c r="M57" i="19"/>
  <c r="M137" i="19"/>
  <c r="M1323" i="19"/>
  <c r="M20" i="19"/>
  <c r="M249" i="19"/>
  <c r="M1157" i="19"/>
  <c r="M318" i="19"/>
  <c r="M436" i="19"/>
  <c r="M1087" i="19"/>
  <c r="M163" i="19"/>
  <c r="M449" i="19"/>
  <c r="M201" i="19"/>
  <c r="M462" i="19"/>
  <c r="M227" i="19"/>
  <c r="M1200" i="19"/>
  <c r="M1275" i="19"/>
  <c r="M1215" i="19"/>
  <c r="M1056" i="19"/>
  <c r="M873" i="19"/>
  <c r="M1308" i="19"/>
  <c r="M1364" i="19"/>
  <c r="M1379" i="19"/>
  <c r="M1310" i="19"/>
  <c r="M1205" i="19"/>
  <c r="M1356" i="19"/>
  <c r="M1015" i="19"/>
  <c r="M1339" i="19"/>
  <c r="M1231" i="19"/>
  <c r="M802" i="19"/>
  <c r="M58" i="19"/>
  <c r="M738" i="19"/>
  <c r="M400" i="19"/>
  <c r="M971" i="19"/>
  <c r="M839" i="19"/>
  <c r="M120" i="19"/>
  <c r="M28" i="19"/>
  <c r="M431" i="19"/>
  <c r="M348" i="19"/>
  <c r="M36" i="19"/>
  <c r="M413" i="19"/>
  <c r="M218" i="19"/>
  <c r="M128" i="19"/>
  <c r="M288" i="19"/>
  <c r="M317" i="19"/>
  <c r="M538" i="19"/>
  <c r="M756" i="19"/>
  <c r="M1060" i="19"/>
  <c r="M1300" i="19"/>
  <c r="M198" i="19"/>
  <c r="M432" i="19"/>
  <c r="M902" i="19"/>
  <c r="M1227" i="19"/>
  <c r="M795" i="19"/>
  <c r="M688" i="19"/>
  <c r="M421" i="19"/>
  <c r="M85" i="19"/>
  <c r="M892" i="19"/>
  <c r="M670" i="19"/>
  <c r="M68" i="19"/>
  <c r="M319" i="19"/>
  <c r="M273" i="19"/>
  <c r="M1306" i="19"/>
  <c r="M833" i="19"/>
  <c r="M703" i="19"/>
  <c r="M412" i="19"/>
  <c r="M146" i="19"/>
  <c r="M42" i="19"/>
  <c r="M1159" i="19"/>
  <c r="M1036" i="19"/>
  <c r="M933" i="19"/>
  <c r="M800" i="19"/>
  <c r="M646" i="19"/>
  <c r="M914" i="19"/>
  <c r="M755" i="19"/>
  <c r="M597" i="19"/>
  <c r="M469" i="19"/>
  <c r="M309" i="19"/>
  <c r="M717" i="19"/>
  <c r="M475" i="19"/>
  <c r="M320" i="19"/>
  <c r="M65" i="19"/>
  <c r="M808" i="19"/>
  <c r="M1179" i="19"/>
  <c r="M121" i="19"/>
  <c r="M797" i="19"/>
  <c r="M225" i="19"/>
  <c r="M1074" i="19"/>
  <c r="M1217" i="19"/>
  <c r="M757" i="19"/>
  <c r="M99" i="19"/>
  <c r="M1222" i="19"/>
  <c r="M784" i="19"/>
  <c r="M178" i="19"/>
  <c r="M1243" i="19"/>
  <c r="M934" i="19"/>
  <c r="M323" i="19"/>
  <c r="M1096" i="19"/>
  <c r="M673" i="19"/>
  <c r="M47" i="19"/>
  <c r="M587" i="19"/>
  <c r="M388" i="19"/>
  <c r="M49" i="19"/>
  <c r="M1130" i="19"/>
  <c r="M828" i="19"/>
  <c r="M488" i="19"/>
  <c r="M253" i="19"/>
  <c r="M1112" i="19"/>
  <c r="M823" i="19"/>
  <c r="M931" i="19"/>
  <c r="M1203" i="19"/>
  <c r="M160" i="19"/>
  <c r="M1005" i="19"/>
  <c r="M1146" i="19"/>
  <c r="M1329" i="19"/>
  <c r="M641" i="19"/>
  <c r="M517" i="19"/>
  <c r="M997" i="19"/>
  <c r="M1328" i="19"/>
  <c r="M522" i="19"/>
  <c r="M895" i="19"/>
  <c r="M1155" i="19"/>
  <c r="M1230" i="19"/>
  <c r="M428" i="19"/>
  <c r="M1212" i="19"/>
  <c r="M979" i="19"/>
  <c r="M1381" i="19"/>
  <c r="M1312" i="19"/>
  <c r="M1204" i="19"/>
  <c r="M1090" i="19"/>
  <c r="M629" i="19"/>
  <c r="M999" i="19"/>
  <c r="M985" i="19"/>
  <c r="M129" i="19"/>
  <c r="M184" i="19"/>
  <c r="M1010" i="19"/>
  <c r="M911" i="19"/>
  <c r="M803" i="19"/>
  <c r="M460" i="19"/>
  <c r="M43" i="19"/>
  <c r="M766" i="19"/>
  <c r="M647" i="19"/>
  <c r="M750" i="19"/>
  <c r="M316" i="19"/>
  <c r="M451" i="19"/>
  <c r="M12" i="19"/>
  <c r="M3" i="19"/>
  <c r="M305" i="19"/>
  <c r="M203" i="19"/>
  <c r="M161" i="19"/>
  <c r="M77" i="19"/>
  <c r="M687" i="19"/>
  <c r="M1167" i="19"/>
  <c r="M9" i="19"/>
  <c r="M862" i="19"/>
  <c r="M1033" i="19"/>
  <c r="M1293" i="19"/>
  <c r="M1009" i="19"/>
  <c r="M1380" i="19"/>
  <c r="M912" i="19"/>
  <c r="M1209" i="19"/>
  <c r="M169" i="19"/>
  <c r="M720" i="19"/>
  <c r="M906" i="19"/>
  <c r="M1194" i="19"/>
  <c r="M1305" i="19"/>
  <c r="M967" i="19"/>
  <c r="M943" i="19"/>
  <c r="M1360" i="19"/>
  <c r="M1285" i="19"/>
  <c r="M1186" i="19"/>
  <c r="M1018" i="19"/>
  <c r="M390" i="19"/>
  <c r="M963" i="19"/>
  <c r="M780" i="19"/>
  <c r="M955" i="19"/>
  <c r="M1091" i="19"/>
  <c r="M1001" i="19"/>
  <c r="M878" i="19"/>
  <c r="M791" i="19"/>
  <c r="M258" i="19"/>
  <c r="M731" i="19"/>
  <c r="M607" i="19"/>
  <c r="M600" i="19"/>
  <c r="M678" i="19"/>
  <c r="M276" i="19"/>
  <c r="M351" i="19"/>
  <c r="M282" i="19"/>
  <c r="M407" i="19"/>
  <c r="M293" i="19"/>
  <c r="M136" i="19"/>
  <c r="M155" i="19"/>
  <c r="M44" i="19"/>
  <c r="M119" i="19"/>
  <c r="M708" i="19"/>
  <c r="M848" i="19"/>
  <c r="M1226" i="19"/>
  <c r="M1274" i="19"/>
  <c r="M1384" i="19"/>
  <c r="M494" i="19"/>
  <c r="M701" i="19"/>
  <c r="M126" i="19"/>
  <c r="M568" i="19"/>
  <c r="M1102" i="19"/>
  <c r="M343" i="19"/>
  <c r="M1332" i="19"/>
  <c r="M1218" i="19"/>
  <c r="M1059" i="19"/>
  <c r="M508" i="19"/>
  <c r="M48" i="19"/>
  <c r="M1344" i="19"/>
  <c r="M1185" i="19"/>
  <c r="M547" i="19"/>
  <c r="M88" i="19"/>
  <c r="M644" i="19"/>
  <c r="M1131" i="19"/>
  <c r="M1370" i="19"/>
  <c r="M789" i="19"/>
  <c r="M1008" i="19"/>
  <c r="M1257" i="19"/>
  <c r="M1377" i="19"/>
  <c r="M1319" i="19"/>
  <c r="M864" i="19"/>
  <c r="M1148" i="19"/>
  <c r="M51" i="19"/>
  <c r="M619" i="19"/>
  <c r="M843" i="19"/>
  <c r="M1169" i="19"/>
  <c r="M1244" i="19"/>
  <c r="M922" i="19"/>
  <c r="M871" i="19"/>
  <c r="M1357" i="19"/>
  <c r="M1276" i="19"/>
  <c r="M1183" i="19"/>
  <c r="M993" i="19"/>
  <c r="M349" i="19"/>
  <c r="M880" i="19"/>
  <c r="M765" i="19"/>
  <c r="M930" i="19"/>
  <c r="M1082" i="19"/>
  <c r="M992" i="19"/>
  <c r="M875" i="19"/>
  <c r="M785" i="19"/>
  <c r="M213" i="19"/>
  <c r="M713" i="19"/>
  <c r="M602" i="19"/>
  <c r="M575" i="19"/>
  <c r="M628" i="19"/>
  <c r="M234" i="19"/>
  <c r="M327" i="19"/>
  <c r="M192" i="19"/>
  <c r="M404" i="19"/>
  <c r="M281" i="19"/>
  <c r="M186" i="19"/>
  <c r="M152" i="19"/>
  <c r="M135" i="19"/>
  <c r="M735" i="19"/>
  <c r="M854" i="19"/>
  <c r="M513" i="19"/>
  <c r="M1048" i="19"/>
  <c r="M1296" i="19"/>
  <c r="M133" i="19"/>
  <c r="M402" i="19"/>
  <c r="M579" i="19"/>
  <c r="M842" i="19"/>
  <c r="M1085" i="19"/>
  <c r="M1266" i="19"/>
  <c r="M1081" i="19"/>
  <c r="M867" i="19"/>
  <c r="M692" i="19"/>
  <c r="M425" i="19"/>
  <c r="M148" i="19"/>
  <c r="M1286" i="19"/>
  <c r="M1124" i="19"/>
  <c r="M1002" i="19"/>
  <c r="M898" i="19"/>
  <c r="M537" i="19"/>
  <c r="M339" i="19"/>
  <c r="M372" i="19"/>
  <c r="M277" i="19"/>
  <c r="M205" i="19"/>
  <c r="M1320" i="19"/>
  <c r="M1199" i="19"/>
  <c r="M1038" i="19"/>
  <c r="M857" i="19"/>
  <c r="M721" i="19"/>
  <c r="M493" i="19"/>
  <c r="M162" i="19"/>
  <c r="M46" i="19"/>
  <c r="M1337" i="19"/>
  <c r="M1173" i="19"/>
  <c r="M1050" i="19"/>
  <c r="M947" i="19"/>
  <c r="M840" i="19"/>
  <c r="M679" i="19"/>
  <c r="M531" i="19"/>
  <c r="M344" i="19"/>
  <c r="M54" i="19"/>
  <c r="M772" i="19"/>
  <c r="M624" i="19"/>
  <c r="M483" i="19"/>
  <c r="M315" i="19"/>
  <c r="M170" i="19"/>
  <c r="M35" i="19"/>
  <c r="M635" i="19"/>
  <c r="M498" i="19"/>
  <c r="M346" i="19"/>
  <c r="M228" i="19"/>
  <c r="M69" i="19"/>
  <c r="M56" i="19"/>
  <c r="M113" i="19"/>
  <c r="M164" i="19"/>
  <c r="M139" i="19"/>
  <c r="M221" i="19"/>
  <c r="M287" i="19"/>
  <c r="M371" i="19"/>
  <c r="M18" i="19"/>
  <c r="M370" i="19"/>
  <c r="M159" i="19"/>
  <c r="M418" i="19"/>
  <c r="M609" i="19"/>
  <c r="M391" i="19"/>
  <c r="M653" i="19"/>
  <c r="M285" i="19"/>
  <c r="M636" i="19"/>
  <c r="M481" i="19"/>
  <c r="M157" i="19"/>
  <c r="M693" i="19"/>
  <c r="M541" i="19"/>
  <c r="M455" i="19"/>
  <c r="M760" i="19"/>
  <c r="M827" i="19"/>
  <c r="M884" i="19"/>
  <c r="M953" i="19"/>
  <c r="M1016" i="19"/>
  <c r="M1079" i="19"/>
  <c r="M495" i="19"/>
  <c r="M991" i="19"/>
  <c r="M702" i="19"/>
  <c r="M1021" i="19"/>
  <c r="M844" i="19"/>
  <c r="M252" i="19"/>
  <c r="M504" i="19"/>
  <c r="M946" i="19"/>
  <c r="M1144" i="19"/>
  <c r="M1213" i="19"/>
  <c r="M1279" i="19"/>
  <c r="M1336" i="19"/>
  <c r="M117" i="19"/>
  <c r="M882" i="19"/>
  <c r="M71" i="19"/>
  <c r="M131" i="19"/>
  <c r="M191" i="19"/>
  <c r="M197" i="19"/>
  <c r="M254" i="19"/>
  <c r="M341" i="19"/>
  <c r="M416" i="19"/>
  <c r="M334" i="19"/>
  <c r="M151" i="19"/>
  <c r="M429" i="19"/>
  <c r="M645" i="19"/>
  <c r="M473" i="19"/>
  <c r="M725" i="19"/>
  <c r="M456" i="19"/>
  <c r="M270" i="19"/>
  <c r="M663" i="19"/>
  <c r="M468" i="19"/>
  <c r="M511" i="19"/>
  <c r="M405" i="19"/>
  <c r="M744" i="19"/>
  <c r="M830" i="19"/>
  <c r="M899" i="19"/>
  <c r="M977" i="19"/>
  <c r="M1037" i="19"/>
  <c r="M90" i="19"/>
  <c r="M724" i="19"/>
  <c r="M474" i="19"/>
  <c r="M888" i="19"/>
  <c r="M585" i="19"/>
  <c r="M174" i="19"/>
  <c r="M490" i="19"/>
  <c r="M957" i="19"/>
  <c r="M1165" i="19"/>
  <c r="M1225" i="19"/>
  <c r="M1303" i="19"/>
  <c r="M1351" i="19"/>
  <c r="M603" i="19"/>
  <c r="M1098" i="19"/>
  <c r="M1176" i="19"/>
  <c r="M1172" i="19"/>
  <c r="M984" i="19"/>
  <c r="M1385" i="19"/>
  <c r="M1114" i="19"/>
  <c r="M572" i="19"/>
  <c r="M1260" i="19"/>
  <c r="M699" i="19"/>
  <c r="M1281" i="19"/>
  <c r="M781" i="19"/>
  <c r="M1253" i="19"/>
  <c r="M801" i="19"/>
  <c r="M232" i="19"/>
  <c r="M1221" i="19"/>
  <c r="M817" i="19"/>
  <c r="M1301" i="19"/>
  <c r="M970" i="19"/>
  <c r="M1334" i="19"/>
  <c r="M942" i="19"/>
  <c r="M1311" i="19"/>
  <c r="M769" i="19"/>
  <c r="M792" i="19"/>
  <c r="M74" i="19"/>
  <c r="M134" i="19"/>
  <c r="M6" i="19"/>
  <c r="M200" i="19"/>
  <c r="M257" i="19"/>
  <c r="M350" i="19"/>
  <c r="M419" i="19"/>
  <c r="M345" i="19"/>
  <c r="M189" i="19"/>
  <c r="M440" i="19"/>
  <c r="M656" i="19"/>
  <c r="M484" i="19"/>
  <c r="M736" i="19"/>
  <c r="M503" i="19"/>
  <c r="M279" i="19"/>
  <c r="M739" i="19"/>
  <c r="M526" i="19"/>
  <c r="M516" i="19"/>
  <c r="M427" i="19"/>
  <c r="M776" i="19"/>
  <c r="M836" i="19"/>
  <c r="M905" i="19"/>
  <c r="M980" i="19"/>
  <c r="M1049" i="19"/>
  <c r="M144" i="19"/>
  <c r="M847" i="19"/>
  <c r="M610" i="19"/>
  <c r="M913" i="19"/>
  <c r="M707" i="19"/>
  <c r="M235" i="19"/>
  <c r="M532" i="19"/>
  <c r="M982" i="19"/>
  <c r="M1171" i="19"/>
  <c r="M1228" i="19"/>
  <c r="M1309" i="19"/>
  <c r="M1354" i="19"/>
  <c r="M666" i="19"/>
  <c r="M382" i="19"/>
  <c r="M1187" i="19"/>
  <c r="M1197" i="19"/>
  <c r="M1044" i="19"/>
  <c r="M414" i="19"/>
  <c r="M1122" i="19"/>
  <c r="M588" i="19"/>
  <c r="M1307" i="19"/>
  <c r="M742" i="19"/>
  <c r="M1317" i="19"/>
  <c r="M829" i="19"/>
  <c r="M1278" i="19"/>
  <c r="M831" i="19"/>
  <c r="M626" i="19"/>
  <c r="M1232" i="19"/>
  <c r="M865" i="19"/>
  <c r="M1326" i="19"/>
  <c r="M978" i="19"/>
  <c r="M1359" i="19"/>
  <c r="M987" i="19"/>
  <c r="M1322" i="19"/>
  <c r="M886" i="19"/>
  <c r="M2" i="19"/>
  <c r="M80" i="19"/>
  <c r="M149" i="19"/>
  <c r="M37" i="19"/>
  <c r="M206" i="19"/>
  <c r="M272" i="19"/>
  <c r="M359" i="19"/>
  <c r="M30" i="19"/>
  <c r="M406" i="19"/>
  <c r="M31" i="19"/>
  <c r="M465" i="19"/>
  <c r="M15" i="19"/>
  <c r="M545" i="19"/>
  <c r="M761" i="19"/>
  <c r="M564" i="19"/>
  <c r="M403" i="19"/>
  <c r="M774" i="19"/>
  <c r="M650" i="19"/>
  <c r="M637" i="19"/>
  <c r="M551" i="19"/>
  <c r="M782" i="19"/>
  <c r="M845" i="19"/>
  <c r="M926" i="19"/>
  <c r="M989" i="19"/>
  <c r="M1058" i="19"/>
  <c r="M207" i="19"/>
  <c r="M919" i="19"/>
  <c r="M662" i="19"/>
  <c r="M996" i="19"/>
  <c r="M855" i="19"/>
  <c r="M466" i="19"/>
  <c r="M59" i="19"/>
  <c r="M125" i="19"/>
  <c r="M176" i="19"/>
  <c r="M172" i="19"/>
  <c r="M242" i="19"/>
  <c r="M329" i="19"/>
  <c r="M410" i="19"/>
  <c r="M244" i="19"/>
  <c r="M103" i="19"/>
  <c r="M378" i="19"/>
  <c r="M584" i="19"/>
  <c r="M448" i="19"/>
  <c r="M689" i="19"/>
  <c r="M420" i="19"/>
  <c r="M145" i="19"/>
  <c r="M625" i="19"/>
  <c r="M408" i="19"/>
  <c r="M331" i="19"/>
  <c r="M292" i="19"/>
  <c r="M705" i="19"/>
  <c r="M821" i="19"/>
  <c r="M881" i="19"/>
  <c r="M962" i="19"/>
  <c r="M1025" i="19"/>
  <c r="M1094" i="19"/>
  <c r="M648" i="19"/>
  <c r="M243" i="19"/>
  <c r="M841" i="19"/>
  <c r="M507" i="19"/>
  <c r="M106" i="19"/>
  <c r="M446" i="19"/>
  <c r="M910" i="19"/>
  <c r="M1141" i="19"/>
  <c r="M1216" i="19"/>
  <c r="M1294" i="19"/>
  <c r="M1345" i="19"/>
  <c r="M434" i="19"/>
  <c r="M1062" i="19"/>
  <c r="M1140" i="19"/>
  <c r="M1120" i="19"/>
  <c r="M876" i="19"/>
  <c r="M1338" i="19"/>
  <c r="M1014" i="19"/>
  <c r="M459" i="19"/>
  <c r="M1188" i="19"/>
  <c r="M613" i="19"/>
  <c r="M1220" i="19"/>
  <c r="M546" i="19"/>
  <c r="M1181" i="19"/>
  <c r="M651" i="19"/>
  <c r="M1382" i="19"/>
  <c r="M1149" i="19"/>
  <c r="M616" i="19"/>
  <c r="M1254" i="19"/>
  <c r="M870" i="19"/>
  <c r="M1287" i="19"/>
  <c r="M834" i="19"/>
  <c r="M1250" i="19"/>
  <c r="M737" i="19"/>
  <c r="M1247" i="19"/>
  <c r="M485" i="19"/>
  <c r="M764" i="19"/>
  <c r="M916" i="19"/>
  <c r="M1115" i="19"/>
  <c r="M1290" i="19"/>
  <c r="M1101" i="19"/>
  <c r="M22" i="19"/>
  <c r="M632" i="19"/>
  <c r="M1316" i="19"/>
  <c r="M1195" i="19"/>
  <c r="M787" i="19"/>
  <c r="M659" i="19"/>
  <c r="M385" i="19"/>
  <c r="M13" i="19"/>
  <c r="M1073" i="19"/>
  <c r="M859" i="19"/>
  <c r="M233" i="19"/>
  <c r="M4" i="19"/>
  <c r="M299" i="19"/>
  <c r="M260" i="19"/>
  <c r="M154" i="19"/>
  <c r="M1282" i="19"/>
  <c r="M1142" i="19"/>
  <c r="M983" i="19"/>
  <c r="M804" i="19"/>
  <c r="M683" i="19"/>
  <c r="M362" i="19"/>
  <c r="M142" i="19"/>
  <c r="M38" i="19"/>
  <c r="M1261" i="19"/>
  <c r="M1128" i="19"/>
  <c r="M1027" i="19"/>
  <c r="M924" i="19"/>
  <c r="M715" i="19"/>
  <c r="M633" i="19"/>
  <c r="M444" i="19"/>
  <c r="M199" i="19"/>
  <c r="M893" i="19"/>
  <c r="M593" i="19"/>
  <c r="M430" i="19"/>
  <c r="M284" i="19"/>
  <c r="M132" i="19"/>
  <c r="M685" i="19"/>
  <c r="M561" i="19"/>
  <c r="M435" i="19"/>
  <c r="M290" i="19"/>
  <c r="M171" i="19"/>
  <c r="M50" i="19"/>
  <c r="M576" i="19"/>
  <c r="M338" i="19"/>
  <c r="M10" i="19"/>
  <c r="M1051" i="19"/>
  <c r="M818" i="19"/>
  <c r="M424" i="19"/>
  <c r="M110" i="19"/>
  <c r="M858" i="19"/>
  <c r="M586" i="19"/>
  <c r="M181" i="19"/>
  <c r="M959" i="19"/>
  <c r="M177" i="19"/>
  <c r="M1095" i="19"/>
  <c r="M450" i="19"/>
  <c r="M1162" i="19"/>
  <c r="M1189" i="19"/>
  <c r="M592" i="19"/>
  <c r="M1391" i="19"/>
  <c r="M903" i="19"/>
  <c r="M82" i="19"/>
  <c r="M1153" i="19"/>
  <c r="M91" i="19"/>
  <c r="M1229" i="19"/>
  <c r="M302" i="19"/>
  <c r="M565" i="19"/>
  <c r="M1335" i="19"/>
  <c r="M194" i="19"/>
  <c r="M375" i="19"/>
  <c r="M788" i="19"/>
  <c r="M1123" i="19"/>
  <c r="M1369" i="19"/>
  <c r="M70" i="19"/>
  <c r="M499" i="19"/>
  <c r="M1378" i="19"/>
  <c r="M966" i="19"/>
  <c r="M552" i="19"/>
  <c r="M1208" i="19"/>
  <c r="M837" i="19"/>
  <c r="M212" i="19"/>
  <c r="M291" i="19"/>
  <c r="M75" i="19"/>
  <c r="M1268" i="19"/>
  <c r="M1121" i="19"/>
  <c r="M958" i="19"/>
  <c r="M675" i="19"/>
  <c r="M26" i="19"/>
  <c r="M1107" i="19"/>
  <c r="M711" i="19"/>
  <c r="M397" i="19"/>
  <c r="M94" i="19"/>
  <c r="M570" i="19"/>
  <c r="M266" i="19"/>
  <c r="M115" i="19"/>
  <c r="M417" i="19"/>
  <c r="M263" i="19"/>
  <c r="M819" i="19"/>
  <c r="M1239" i="19"/>
  <c r="M222" i="19"/>
  <c r="M901" i="19"/>
  <c r="M361" i="19"/>
  <c r="M1163" i="19"/>
  <c r="M1207" i="19"/>
  <c r="M754" i="19"/>
  <c r="M147" i="19"/>
  <c r="M1235" i="19"/>
  <c r="M894" i="19"/>
  <c r="M226" i="19"/>
  <c r="M1088" i="19"/>
  <c r="M631" i="19"/>
  <c r="M851" i="19"/>
  <c r="M582" i="19"/>
  <c r="M369" i="19"/>
  <c r="M60" i="19"/>
  <c r="M310" i="19"/>
  <c r="M583" i="19"/>
  <c r="M809" i="19"/>
  <c r="M937" i="19"/>
  <c r="M1258" i="19"/>
  <c r="M1347" i="19"/>
  <c r="M196" i="19"/>
  <c r="M377" i="19"/>
  <c r="M655" i="19"/>
  <c r="M805" i="19"/>
  <c r="M1125" i="19"/>
  <c r="M1386" i="19"/>
  <c r="M72" i="19"/>
  <c r="M271" i="19"/>
  <c r="M506" i="19"/>
  <c r="M672" i="19"/>
  <c r="M1024" i="19"/>
  <c r="M1355" i="19"/>
  <c r="M1156" i="19"/>
  <c r="M964" i="19"/>
  <c r="M771" i="19"/>
  <c r="M550" i="19"/>
  <c r="M278" i="19"/>
  <c r="M1358" i="19"/>
  <c r="M1206" i="19"/>
  <c r="M1046" i="19"/>
  <c r="M952" i="19"/>
  <c r="M814" i="19"/>
  <c r="M614" i="19"/>
  <c r="M453" i="19"/>
  <c r="M210" i="19"/>
  <c r="M289" i="19"/>
  <c r="M240" i="19"/>
  <c r="M34" i="19"/>
  <c r="M1256" i="19"/>
  <c r="M1109" i="19"/>
  <c r="M949" i="19"/>
  <c r="M778" i="19"/>
  <c r="M654" i="19"/>
  <c r="M354" i="19"/>
  <c r="M118" i="19"/>
  <c r="M1389" i="19"/>
  <c r="M1223" i="19"/>
  <c r="M1100" i="19"/>
  <c r="M1011" i="19"/>
  <c r="M709" i="19"/>
  <c r="M555" i="19"/>
  <c r="M86" i="19"/>
  <c r="M868" i="19"/>
  <c r="M676" i="19"/>
  <c r="M558" i="19"/>
  <c r="M355" i="19"/>
  <c r="M264" i="19"/>
  <c r="M660" i="19"/>
  <c r="M525" i="19"/>
  <c r="M415" i="19"/>
  <c r="M261" i="19"/>
  <c r="M140" i="19"/>
  <c r="M7" i="19"/>
  <c r="M87" i="19"/>
  <c r="M605" i="19"/>
  <c r="M1040" i="19"/>
  <c r="M1198" i="19"/>
  <c r="M204" i="19"/>
  <c r="M669" i="19"/>
  <c r="M1270" i="19"/>
  <c r="M101" i="19"/>
  <c r="M304" i="19"/>
  <c r="M520" i="19"/>
  <c r="M1032" i="19"/>
  <c r="M1318" i="19"/>
  <c r="M740" i="19"/>
  <c r="M509" i="19"/>
  <c r="M208" i="19"/>
  <c r="M590" i="19"/>
  <c r="M283" i="19"/>
  <c r="M219" i="19"/>
  <c r="M14" i="19"/>
  <c r="M1086" i="19"/>
  <c r="M100" i="19"/>
  <c r="M1375" i="19"/>
  <c r="M990" i="19"/>
  <c r="M879" i="19"/>
  <c r="M356" i="19"/>
  <c r="M66" i="19"/>
  <c r="M822" i="19"/>
  <c r="M554" i="19"/>
  <c r="M332" i="19"/>
  <c r="M127" i="19"/>
  <c r="M41" i="19"/>
  <c r="M816" i="19"/>
  <c r="M470" i="19"/>
  <c r="M190" i="19"/>
  <c r="M806" i="19"/>
  <c r="M566" i="19"/>
  <c r="M267" i="19"/>
  <c r="M1314" i="19"/>
  <c r="M1031" i="19"/>
  <c r="M783" i="19"/>
  <c r="M411" i="19"/>
  <c r="M850" i="19"/>
  <c r="M542" i="19"/>
  <c r="M102" i="19"/>
  <c r="M998" i="19"/>
  <c r="M1390" i="19"/>
  <c r="M874" i="19"/>
  <c r="M1255" i="19"/>
  <c r="M274" i="19"/>
  <c r="M951" i="19"/>
  <c r="M1190" i="19"/>
  <c r="M615" i="19"/>
  <c r="M25" i="19"/>
  <c r="M1168" i="19"/>
  <c r="M718" i="19"/>
  <c r="M1030" i="19"/>
  <c r="M598" i="19"/>
  <c r="M838" i="19"/>
  <c r="M347" i="19"/>
  <c r="M1271" i="19"/>
  <c r="M786" i="19"/>
  <c r="M166" i="19"/>
  <c r="M1026" i="19"/>
  <c r="M519" i="19"/>
  <c r="M179" i="19"/>
  <c r="M1302" i="19"/>
  <c r="M1004" i="19"/>
  <c r="M763" i="19"/>
  <c r="M392" i="19"/>
  <c r="M78" i="19"/>
  <c r="M813" i="19"/>
  <c r="M29" i="19"/>
  <c r="M890" i="19"/>
  <c r="M580" i="19"/>
  <c r="M1118" i="19"/>
  <c r="M544" i="19"/>
  <c r="M1126" i="19"/>
  <c r="M751" i="19"/>
  <c r="M461" i="19"/>
  <c r="M543" i="19"/>
  <c r="M306" i="19"/>
  <c r="M1241" i="19"/>
  <c r="M722" i="19"/>
  <c r="M458" i="19"/>
  <c r="M141" i="19"/>
  <c r="M1233" i="19"/>
  <c r="M698" i="19"/>
  <c r="M365" i="19"/>
  <c r="M376" i="19"/>
  <c r="M1080" i="19"/>
  <c r="M909" i="19"/>
  <c r="M479" i="19"/>
  <c r="M1182" i="19"/>
  <c r="M723" i="19"/>
  <c r="M1291" i="19"/>
  <c r="M1068" i="19"/>
  <c r="M514" i="19"/>
  <c r="M1110" i="19"/>
  <c r="M505" i="19"/>
  <c r="M1372" i="19"/>
  <c r="M1070" i="19"/>
  <c r="M665" i="19"/>
  <c r="M1352" i="19"/>
  <c r="M965" i="19"/>
  <c r="M439" i="19"/>
  <c r="M732" i="19"/>
  <c r="M398" i="19"/>
  <c r="M27" i="19"/>
  <c r="M714" i="19"/>
  <c r="M105" i="19"/>
  <c r="M917" i="19"/>
  <c r="M682" i="19"/>
  <c r="M255" i="19"/>
  <c r="M734" i="19"/>
  <c r="M422" i="19"/>
  <c r="M1116" i="19"/>
  <c r="M230" i="19"/>
  <c r="M961" i="19"/>
  <c r="M487" i="19"/>
  <c r="M1350" i="19"/>
  <c r="M1065" i="19"/>
  <c r="M1330" i="19"/>
  <c r="M920" i="19"/>
  <c r="M340" i="19"/>
  <c r="M491" i="19"/>
  <c r="M251" i="19"/>
  <c r="M1193" i="19"/>
  <c r="M928" i="19"/>
  <c r="M960" i="19"/>
  <c r="M1152" i="19"/>
  <c r="M907" i="19"/>
  <c r="M658" i="19"/>
  <c r="M696" i="19"/>
  <c r="M578" i="19"/>
  <c r="M437" i="19"/>
  <c r="M193" i="19"/>
  <c r="AE416" i="19"/>
  <c r="E416" i="19"/>
  <c r="E356" i="19"/>
  <c r="AE356" i="19"/>
  <c r="AE284" i="19"/>
  <c r="E284" i="19"/>
  <c r="AE224" i="19"/>
  <c r="E224" i="19"/>
  <c r="AE164" i="19"/>
  <c r="E164" i="19"/>
  <c r="AE80" i="19"/>
  <c r="E80" i="19"/>
  <c r="AE403" i="19"/>
  <c r="E403" i="19"/>
  <c r="E367" i="19"/>
  <c r="AE367" i="19"/>
  <c r="AE331" i="19"/>
  <c r="E331" i="19"/>
  <c r="AE295" i="19"/>
  <c r="E295" i="19"/>
  <c r="AE247" i="19"/>
  <c r="E247" i="19"/>
  <c r="AE211" i="19"/>
  <c r="E211" i="19"/>
  <c r="AE163" i="19"/>
  <c r="E163" i="19"/>
  <c r="E115" i="19"/>
  <c r="AE115" i="19"/>
  <c r="AE55" i="19"/>
  <c r="E55" i="19"/>
  <c r="E404" i="19"/>
  <c r="AE404" i="19"/>
  <c r="AE344" i="19"/>
  <c r="E344" i="19"/>
  <c r="AE296" i="19"/>
  <c r="E296" i="19"/>
  <c r="AE248" i="19"/>
  <c r="E248" i="19"/>
  <c r="AE188" i="19"/>
  <c r="E188" i="19"/>
  <c r="AE104" i="19"/>
  <c r="E104" i="19"/>
  <c r="AE379" i="19"/>
  <c r="E379" i="19"/>
  <c r="AE343" i="19"/>
  <c r="E343" i="19"/>
  <c r="AE307" i="19"/>
  <c r="E307" i="19"/>
  <c r="AE259" i="19"/>
  <c r="E259" i="19"/>
  <c r="AE223" i="19"/>
  <c r="E223" i="19"/>
  <c r="AE175" i="19"/>
  <c r="E175" i="19"/>
  <c r="AE151" i="19"/>
  <c r="E151" i="19"/>
  <c r="AE103" i="19"/>
  <c r="E103" i="19"/>
  <c r="AE67" i="19"/>
  <c r="E67" i="19"/>
  <c r="AE7" i="19"/>
  <c r="E7" i="19"/>
  <c r="AE392" i="19"/>
  <c r="E392" i="19"/>
  <c r="AE368" i="19"/>
  <c r="E368" i="19"/>
  <c r="AE332" i="19"/>
  <c r="E332" i="19"/>
  <c r="AE308" i="19"/>
  <c r="E308" i="19"/>
  <c r="AE272" i="19"/>
  <c r="E272" i="19"/>
  <c r="AE236" i="19"/>
  <c r="E236" i="19"/>
  <c r="AE212" i="19"/>
  <c r="E212" i="19"/>
  <c r="AE176" i="19"/>
  <c r="E176" i="19"/>
  <c r="E152" i="19"/>
  <c r="AE152" i="19"/>
  <c r="AE140" i="19"/>
  <c r="E140" i="19"/>
  <c r="AE116" i="19"/>
  <c r="E116" i="19"/>
  <c r="AE92" i="19"/>
  <c r="E92" i="19"/>
  <c r="AE68" i="19"/>
  <c r="E68" i="19"/>
  <c r="AE44" i="19"/>
  <c r="E44" i="19"/>
  <c r="AE32" i="19"/>
  <c r="E32" i="19"/>
  <c r="E20" i="19"/>
  <c r="AE20" i="19"/>
  <c r="AE8" i="19"/>
  <c r="E8" i="19"/>
  <c r="E415" i="19"/>
  <c r="AE415" i="19"/>
  <c r="E283" i="19"/>
  <c r="AE283" i="19"/>
  <c r="AE199" i="19"/>
  <c r="E199" i="19"/>
  <c r="E127" i="19"/>
  <c r="AE127" i="19"/>
  <c r="AE79" i="19"/>
  <c r="E79" i="19"/>
  <c r="AE43" i="19"/>
  <c r="E43" i="19"/>
  <c r="AE19" i="19"/>
  <c r="E19" i="19"/>
  <c r="AE380" i="19"/>
  <c r="E380" i="19"/>
  <c r="AE320" i="19"/>
  <c r="E320" i="19"/>
  <c r="AE260" i="19"/>
  <c r="E260" i="19"/>
  <c r="AE200" i="19"/>
  <c r="E200" i="19"/>
  <c r="AE128" i="19"/>
  <c r="E128" i="19"/>
  <c r="AE56" i="19"/>
  <c r="E56" i="19"/>
  <c r="AE391" i="19"/>
  <c r="E391" i="19"/>
  <c r="AE355" i="19"/>
  <c r="E355" i="19"/>
  <c r="AE319" i="19"/>
  <c r="E319" i="19"/>
  <c r="E271" i="19"/>
  <c r="AE271" i="19"/>
  <c r="AE235" i="19"/>
  <c r="E235" i="19"/>
  <c r="AE187" i="19"/>
  <c r="E187" i="19"/>
  <c r="AE139" i="19"/>
  <c r="E139" i="19"/>
  <c r="E91" i="19"/>
  <c r="AE91" i="19"/>
  <c r="AE31" i="19"/>
  <c r="E31" i="19"/>
  <c r="AE387" i="19"/>
  <c r="E387" i="19"/>
  <c r="AE351" i="19"/>
  <c r="E351" i="19"/>
  <c r="AE303" i="19"/>
  <c r="E303" i="19"/>
  <c r="AE255" i="19"/>
  <c r="E255" i="19"/>
  <c r="AE219" i="19"/>
  <c r="E219" i="19"/>
  <c r="AE183" i="19"/>
  <c r="E183" i="19"/>
  <c r="AE159" i="19"/>
  <c r="E159" i="19"/>
  <c r="AE111" i="19"/>
  <c r="E111" i="19"/>
  <c r="AE63" i="19"/>
  <c r="E63" i="19"/>
  <c r="AE3" i="19"/>
  <c r="E3" i="19"/>
  <c r="AE366" i="19"/>
  <c r="E366" i="19"/>
  <c r="AE294" i="19"/>
  <c r="E294" i="19"/>
  <c r="AE234" i="19"/>
  <c r="E234" i="19"/>
  <c r="AE186" i="19"/>
  <c r="E186" i="19"/>
  <c r="AE150" i="19"/>
  <c r="E150" i="19"/>
  <c r="AE66" i="19"/>
  <c r="E66" i="19"/>
  <c r="AE18" i="19"/>
  <c r="E18" i="19"/>
  <c r="AE413" i="19"/>
  <c r="E413" i="19"/>
  <c r="AE365" i="19"/>
  <c r="E365" i="19"/>
  <c r="AE317" i="19"/>
  <c r="E317" i="19"/>
  <c r="AE269" i="19"/>
  <c r="E269" i="19"/>
  <c r="AE245" i="19"/>
  <c r="E245" i="19"/>
  <c r="AE197" i="19"/>
  <c r="E197" i="19"/>
  <c r="AE149" i="19"/>
  <c r="E149" i="19"/>
  <c r="AE101" i="19"/>
  <c r="E101" i="19"/>
  <c r="AE65" i="19"/>
  <c r="E65" i="19"/>
  <c r="AE17" i="19"/>
  <c r="E17" i="19"/>
  <c r="AE375" i="19"/>
  <c r="E375" i="19"/>
  <c r="AE315" i="19"/>
  <c r="E315" i="19"/>
  <c r="AE279" i="19"/>
  <c r="E279" i="19"/>
  <c r="AE231" i="19"/>
  <c r="E231" i="19"/>
  <c r="AE171" i="19"/>
  <c r="E171" i="19"/>
  <c r="AE135" i="19"/>
  <c r="E135" i="19"/>
  <c r="AE75" i="19"/>
  <c r="E75" i="19"/>
  <c r="AE27" i="19"/>
  <c r="E27" i="19"/>
  <c r="AE402" i="19"/>
  <c r="E402" i="19"/>
  <c r="AE342" i="19"/>
  <c r="E342" i="19"/>
  <c r="E282" i="19"/>
  <c r="AE282" i="19"/>
  <c r="AE246" i="19"/>
  <c r="E246" i="19"/>
  <c r="AE198" i="19"/>
  <c r="E198" i="19"/>
  <c r="AE138" i="19"/>
  <c r="E138" i="19"/>
  <c r="AE54" i="19"/>
  <c r="E54" i="19"/>
  <c r="AE6" i="19"/>
  <c r="E6" i="19"/>
  <c r="AE389" i="19"/>
  <c r="E389" i="19"/>
  <c r="AE341" i="19"/>
  <c r="E341" i="19"/>
  <c r="AE293" i="19"/>
  <c r="E293" i="19"/>
  <c r="AE257" i="19"/>
  <c r="E257" i="19"/>
  <c r="AE209" i="19"/>
  <c r="E209" i="19"/>
  <c r="AE161" i="19"/>
  <c r="E161" i="19"/>
  <c r="AE113" i="19"/>
  <c r="E113" i="19"/>
  <c r="AE77" i="19"/>
  <c r="E77" i="19"/>
  <c r="AE29" i="19"/>
  <c r="E29" i="19"/>
  <c r="AE414" i="19"/>
  <c r="E414" i="19"/>
  <c r="AE378" i="19"/>
  <c r="E378" i="19"/>
  <c r="AE318" i="19"/>
  <c r="E318" i="19"/>
  <c r="AE270" i="19"/>
  <c r="E270" i="19"/>
  <c r="AE222" i="19"/>
  <c r="E222" i="19"/>
  <c r="AE162" i="19"/>
  <c r="E162" i="19"/>
  <c r="AE114" i="19"/>
  <c r="E114" i="19"/>
  <c r="AE90" i="19"/>
  <c r="E90" i="19"/>
  <c r="E42" i="19"/>
  <c r="AE42" i="19"/>
  <c r="AE377" i="19"/>
  <c r="E377" i="19"/>
  <c r="AE329" i="19"/>
  <c r="E329" i="19"/>
  <c r="AE281" i="19"/>
  <c r="E281" i="19"/>
  <c r="AE221" i="19"/>
  <c r="E221" i="19"/>
  <c r="AE173" i="19"/>
  <c r="E173" i="19"/>
  <c r="AE125" i="19"/>
  <c r="E125" i="19"/>
  <c r="AE53" i="19"/>
  <c r="E53" i="19"/>
  <c r="AE411" i="19"/>
  <c r="E411" i="19"/>
  <c r="AE339" i="19"/>
  <c r="E339" i="19"/>
  <c r="AE291" i="19"/>
  <c r="E291" i="19"/>
  <c r="AE243" i="19"/>
  <c r="E243" i="19"/>
  <c r="AE195" i="19"/>
  <c r="E195" i="19"/>
  <c r="AE147" i="19"/>
  <c r="E147" i="19"/>
  <c r="AE99" i="19"/>
  <c r="E99" i="19"/>
  <c r="AE51" i="19"/>
  <c r="E51" i="19"/>
  <c r="AE15" i="19"/>
  <c r="E15" i="19"/>
  <c r="AE390" i="19"/>
  <c r="E390" i="19"/>
  <c r="AE354" i="19"/>
  <c r="E354" i="19"/>
  <c r="AE330" i="19"/>
  <c r="E330" i="19"/>
  <c r="AE306" i="19"/>
  <c r="E306" i="19"/>
  <c r="AE258" i="19"/>
  <c r="E258" i="19"/>
  <c r="AE210" i="19"/>
  <c r="E210" i="19"/>
  <c r="AE174" i="19"/>
  <c r="E174" i="19"/>
  <c r="E126" i="19"/>
  <c r="AE126" i="19"/>
  <c r="AE102" i="19"/>
  <c r="E102" i="19"/>
  <c r="AE78" i="19"/>
  <c r="E78" i="19"/>
  <c r="AE30" i="19"/>
  <c r="E30" i="19"/>
  <c r="AE401" i="19"/>
  <c r="E401" i="19"/>
  <c r="AE353" i="19"/>
  <c r="E353" i="19"/>
  <c r="AE305" i="19"/>
  <c r="E305" i="19"/>
  <c r="AE233" i="19"/>
  <c r="E233" i="19"/>
  <c r="AE185" i="19"/>
  <c r="E185" i="19"/>
  <c r="AE137" i="19"/>
  <c r="E137" i="19"/>
  <c r="AE89" i="19"/>
  <c r="E89" i="19"/>
  <c r="AE41" i="19"/>
  <c r="E41" i="19"/>
  <c r="AE5" i="19"/>
  <c r="E5" i="19"/>
  <c r="AE399" i="19"/>
  <c r="E399" i="19"/>
  <c r="AE363" i="19"/>
  <c r="E363" i="19"/>
  <c r="AE327" i="19"/>
  <c r="E327" i="19"/>
  <c r="AE267" i="19"/>
  <c r="E267" i="19"/>
  <c r="AE207" i="19"/>
  <c r="E207" i="19"/>
  <c r="AE123" i="19"/>
  <c r="E123" i="19"/>
  <c r="AE87" i="19"/>
  <c r="E87" i="19"/>
  <c r="AE39" i="19"/>
  <c r="E39" i="19"/>
  <c r="AE408" i="19"/>
  <c r="E408" i="19"/>
  <c r="AE396" i="19"/>
  <c r="E396" i="19"/>
  <c r="AE384" i="19"/>
  <c r="E384" i="19"/>
  <c r="AE372" i="19"/>
  <c r="E372" i="19"/>
  <c r="AE360" i="19"/>
  <c r="E360" i="19"/>
  <c r="AE348" i="19"/>
  <c r="E348" i="19"/>
  <c r="AE336" i="19"/>
  <c r="E336" i="19"/>
  <c r="AE324" i="19"/>
  <c r="E324" i="19"/>
  <c r="AE312" i="19"/>
  <c r="E312" i="19"/>
  <c r="AE300" i="19"/>
  <c r="E300" i="19"/>
  <c r="AE288" i="19"/>
  <c r="E288" i="19"/>
  <c r="AE276" i="19"/>
  <c r="E276" i="19"/>
  <c r="AE264" i="19"/>
  <c r="E264" i="19"/>
  <c r="AE252" i="19"/>
  <c r="E252" i="19"/>
  <c r="AE240" i="19"/>
  <c r="E240" i="19"/>
  <c r="AE228" i="19"/>
  <c r="E228" i="19"/>
  <c r="AE216" i="19"/>
  <c r="E216" i="19"/>
  <c r="AE204" i="19"/>
  <c r="E204" i="19"/>
  <c r="AE192" i="19"/>
  <c r="E192" i="19"/>
  <c r="AE180" i="19"/>
  <c r="E180" i="19"/>
  <c r="E168" i="19"/>
  <c r="AE168" i="19"/>
  <c r="AE156" i="19"/>
  <c r="E156" i="19"/>
  <c r="AE144" i="19"/>
  <c r="E144" i="19"/>
  <c r="AE132" i="19"/>
  <c r="E132" i="19"/>
  <c r="E120" i="19"/>
  <c r="AE120" i="19"/>
  <c r="AE108" i="19"/>
  <c r="E108" i="19"/>
  <c r="AE96" i="19"/>
  <c r="E96" i="19"/>
  <c r="AE84" i="19"/>
  <c r="E84" i="19"/>
  <c r="AE72" i="19"/>
  <c r="E72" i="19"/>
  <c r="AE60" i="19"/>
  <c r="E60" i="19"/>
  <c r="AE48" i="19"/>
  <c r="E48" i="19"/>
  <c r="AE36" i="19"/>
  <c r="E36" i="19"/>
  <c r="AE24" i="19"/>
  <c r="E24" i="19"/>
  <c r="AE12" i="19"/>
  <c r="E12" i="19"/>
  <c r="AE407" i="19"/>
  <c r="E407" i="19"/>
  <c r="AE395" i="19"/>
  <c r="E395" i="19"/>
  <c r="AE383" i="19"/>
  <c r="E383" i="19"/>
  <c r="AE371" i="19"/>
  <c r="E371" i="19"/>
  <c r="AE359" i="19"/>
  <c r="E359" i="19"/>
  <c r="AE347" i="19"/>
  <c r="E347" i="19"/>
  <c r="AE335" i="19"/>
  <c r="E335" i="19"/>
  <c r="AE323" i="19"/>
  <c r="E323" i="19"/>
  <c r="AE311" i="19"/>
  <c r="E311" i="19"/>
  <c r="AE299" i="19"/>
  <c r="E299" i="19"/>
  <c r="AE287" i="19"/>
  <c r="E287" i="19"/>
  <c r="AE275" i="19"/>
  <c r="E275" i="19"/>
  <c r="AE263" i="19"/>
  <c r="E263" i="19"/>
  <c r="AE251" i="19"/>
  <c r="E251" i="19"/>
  <c r="AE239" i="19"/>
  <c r="E239" i="19"/>
  <c r="AE227" i="19"/>
  <c r="E227" i="19"/>
  <c r="AE215" i="19"/>
  <c r="E215" i="19"/>
  <c r="AE203" i="19"/>
  <c r="E203" i="19"/>
  <c r="AE191" i="19"/>
  <c r="E191" i="19"/>
  <c r="AE179" i="19"/>
  <c r="E179" i="19"/>
  <c r="AE167" i="19"/>
  <c r="E167" i="19"/>
  <c r="AE155" i="19"/>
  <c r="E155" i="19"/>
  <c r="AE143" i="19"/>
  <c r="E143" i="19"/>
  <c r="AE131" i="19"/>
  <c r="E131" i="19"/>
  <c r="AE119" i="19"/>
  <c r="E119" i="19"/>
  <c r="AE107" i="19"/>
  <c r="E107" i="19"/>
  <c r="AE95" i="19"/>
  <c r="E95" i="19"/>
  <c r="AE83" i="19"/>
  <c r="E83" i="19"/>
  <c r="AE71" i="19"/>
  <c r="E71" i="19"/>
  <c r="AE59" i="19"/>
  <c r="E59" i="19"/>
  <c r="AE47" i="19"/>
  <c r="E47" i="19"/>
  <c r="AE35" i="19"/>
  <c r="E35" i="19"/>
  <c r="AE23" i="19"/>
  <c r="E23" i="19"/>
  <c r="AE11" i="19"/>
  <c r="E11" i="19"/>
  <c r="AE406" i="19"/>
  <c r="E406" i="19"/>
  <c r="AE394" i="19"/>
  <c r="E394" i="19"/>
  <c r="AE382" i="19"/>
  <c r="E382" i="19"/>
  <c r="AE370" i="19"/>
  <c r="E370" i="19"/>
  <c r="AE358" i="19"/>
  <c r="E358" i="19"/>
  <c r="AE346" i="19"/>
  <c r="E346" i="19"/>
  <c r="AE334" i="19"/>
  <c r="E334" i="19"/>
  <c r="AE322" i="19"/>
  <c r="E322" i="19"/>
  <c r="AE310" i="19"/>
  <c r="E310" i="19"/>
  <c r="AE298" i="19"/>
  <c r="E298" i="19"/>
  <c r="AE286" i="19"/>
  <c r="E286" i="19"/>
  <c r="E274" i="19"/>
  <c r="AE274" i="19"/>
  <c r="E262" i="19"/>
  <c r="AE262" i="19"/>
  <c r="AE250" i="19"/>
  <c r="E250" i="19"/>
  <c r="AE238" i="19"/>
  <c r="E238" i="19"/>
  <c r="AE226" i="19"/>
  <c r="E226" i="19"/>
  <c r="AE214" i="19"/>
  <c r="E214" i="19"/>
  <c r="AE202" i="19"/>
  <c r="E202" i="19"/>
  <c r="AE190" i="19"/>
  <c r="E190" i="19"/>
  <c r="E178" i="19"/>
  <c r="AE178" i="19"/>
  <c r="AE166" i="19"/>
  <c r="E166" i="19"/>
  <c r="E154" i="19"/>
  <c r="AE154" i="19"/>
  <c r="AE142" i="19"/>
  <c r="E142" i="19"/>
  <c r="AE130" i="19"/>
  <c r="E130" i="19"/>
  <c r="E118" i="19"/>
  <c r="AE118" i="19"/>
  <c r="AE106" i="19"/>
  <c r="E106" i="19"/>
  <c r="AE94" i="19"/>
  <c r="E94" i="19"/>
  <c r="AE82" i="19"/>
  <c r="E82" i="19"/>
  <c r="AE70" i="19"/>
  <c r="E70" i="19"/>
  <c r="AE58" i="19"/>
  <c r="E58" i="19"/>
  <c r="AE46" i="19"/>
  <c r="E46" i="19"/>
  <c r="E34" i="19"/>
  <c r="AE34" i="19"/>
  <c r="AE22" i="19"/>
  <c r="E22" i="19"/>
  <c r="AE10" i="19"/>
  <c r="E10" i="19"/>
  <c r="E405" i="19"/>
  <c r="AE405" i="19"/>
  <c r="AE393" i="19"/>
  <c r="E393" i="19"/>
  <c r="AE381" i="19"/>
  <c r="E381" i="19"/>
  <c r="AE369" i="19"/>
  <c r="E369" i="19"/>
  <c r="AE357" i="19"/>
  <c r="E357" i="19"/>
  <c r="AE345" i="19"/>
  <c r="E345" i="19"/>
  <c r="AE333" i="19"/>
  <c r="E333" i="19"/>
  <c r="AE321" i="19"/>
  <c r="E321" i="19"/>
  <c r="AE309" i="19"/>
  <c r="E309" i="19"/>
  <c r="AE297" i="19"/>
  <c r="E297" i="19"/>
  <c r="AE285" i="19"/>
  <c r="E285" i="19"/>
  <c r="AE273" i="19"/>
  <c r="E273" i="19"/>
  <c r="AE261" i="19"/>
  <c r="E261" i="19"/>
  <c r="AE249" i="19"/>
  <c r="E249" i="19"/>
  <c r="AE237" i="19"/>
  <c r="E237" i="19"/>
  <c r="AE225" i="19"/>
  <c r="E225" i="19"/>
  <c r="AE213" i="19"/>
  <c r="E213" i="19"/>
  <c r="AE201" i="19"/>
  <c r="E201" i="19"/>
  <c r="AE189" i="19"/>
  <c r="E189" i="19"/>
  <c r="AE177" i="19"/>
  <c r="E177" i="19"/>
  <c r="AE165" i="19"/>
  <c r="E165" i="19"/>
  <c r="AE153" i="19"/>
  <c r="E153" i="19"/>
  <c r="AE141" i="19"/>
  <c r="E141" i="19"/>
  <c r="AE129" i="19"/>
  <c r="E129" i="19"/>
  <c r="AE117" i="19"/>
  <c r="E117" i="19"/>
  <c r="AE105" i="19"/>
  <c r="E105" i="19"/>
  <c r="AE93" i="19"/>
  <c r="E93" i="19"/>
  <c r="AE81" i="19"/>
  <c r="E81" i="19"/>
  <c r="AE69" i="19"/>
  <c r="E69" i="19"/>
  <c r="AE57" i="19"/>
  <c r="E57" i="19"/>
  <c r="AE45" i="19"/>
  <c r="E45" i="19"/>
  <c r="E33" i="19"/>
  <c r="AE33" i="19"/>
  <c r="AE21" i="19"/>
  <c r="E21" i="19"/>
  <c r="AE9" i="19"/>
  <c r="E9" i="19"/>
  <c r="AE412" i="19"/>
  <c r="E412" i="19"/>
  <c r="AE400" i="19"/>
  <c r="E400" i="19"/>
  <c r="AE388" i="19"/>
  <c r="E388" i="19"/>
  <c r="AE376" i="19"/>
  <c r="E376" i="19"/>
  <c r="AE364" i="19"/>
  <c r="E364" i="19"/>
  <c r="AE352" i="19"/>
  <c r="E352" i="19"/>
  <c r="AE340" i="19"/>
  <c r="E340" i="19"/>
  <c r="AE328" i="19"/>
  <c r="E328" i="19"/>
  <c r="AE316" i="19"/>
  <c r="E316" i="19"/>
  <c r="AE304" i="19"/>
  <c r="E304" i="19"/>
  <c r="AE292" i="19"/>
  <c r="E292" i="19"/>
  <c r="AE280" i="19"/>
  <c r="E280" i="19"/>
  <c r="AE268" i="19"/>
  <c r="E268" i="19"/>
  <c r="AE256" i="19"/>
  <c r="E256" i="19"/>
  <c r="AE244" i="19"/>
  <c r="E244" i="19"/>
  <c r="E232" i="19"/>
  <c r="AE232" i="19"/>
  <c r="AE220" i="19"/>
  <c r="E220" i="19"/>
  <c r="AE208" i="19"/>
  <c r="E208" i="19"/>
  <c r="AE196" i="19"/>
  <c r="E196" i="19"/>
  <c r="AE184" i="19"/>
  <c r="E184" i="19"/>
  <c r="AE172" i="19"/>
  <c r="E172" i="19"/>
  <c r="AE160" i="19"/>
  <c r="E160" i="19"/>
  <c r="AE148" i="19"/>
  <c r="E148" i="19"/>
  <c r="AE136" i="19"/>
  <c r="E136" i="19"/>
  <c r="AE124" i="19"/>
  <c r="E124" i="19"/>
  <c r="AE112" i="19"/>
  <c r="E112" i="19"/>
  <c r="AE100" i="19"/>
  <c r="E100" i="19"/>
  <c r="AE88" i="19"/>
  <c r="E88" i="19"/>
  <c r="AE76" i="19"/>
  <c r="E76" i="19"/>
  <c r="AE64" i="19"/>
  <c r="E64" i="19"/>
  <c r="AE52" i="19"/>
  <c r="E52" i="19"/>
  <c r="AE40" i="19"/>
  <c r="E40" i="19"/>
  <c r="AE28" i="19"/>
  <c r="E28" i="19"/>
  <c r="AE16" i="19"/>
  <c r="E16" i="19"/>
  <c r="AE4" i="19"/>
  <c r="E4" i="19"/>
  <c r="AE374" i="19"/>
  <c r="E374" i="19"/>
  <c r="AE242" i="19"/>
  <c r="E242" i="19"/>
  <c r="AE122" i="19"/>
  <c r="E122" i="19"/>
  <c r="AE38" i="19"/>
  <c r="E38" i="19"/>
  <c r="AE410" i="19"/>
  <c r="E410" i="19"/>
  <c r="AE398" i="19"/>
  <c r="E398" i="19"/>
  <c r="AE386" i="19"/>
  <c r="E386" i="19"/>
  <c r="AE362" i="19"/>
  <c r="E362" i="19"/>
  <c r="AE350" i="19"/>
  <c r="E350" i="19"/>
  <c r="AE338" i="19"/>
  <c r="E338" i="19"/>
  <c r="AE326" i="19"/>
  <c r="E326" i="19"/>
  <c r="AE314" i="19"/>
  <c r="E314" i="19"/>
  <c r="AE302" i="19"/>
  <c r="E302" i="19"/>
  <c r="AE290" i="19"/>
  <c r="E290" i="19"/>
  <c r="AE278" i="19"/>
  <c r="E278" i="19"/>
  <c r="AE266" i="19"/>
  <c r="E266" i="19"/>
  <c r="AE254" i="19"/>
  <c r="E254" i="19"/>
  <c r="AE230" i="19"/>
  <c r="E230" i="19"/>
  <c r="AE218" i="19"/>
  <c r="E218" i="19"/>
  <c r="AE206" i="19"/>
  <c r="E206" i="19"/>
  <c r="AE194" i="19"/>
  <c r="E194" i="19"/>
  <c r="AE182" i="19"/>
  <c r="E182" i="19"/>
  <c r="AE170" i="19"/>
  <c r="E170" i="19"/>
  <c r="AE158" i="19"/>
  <c r="E158" i="19"/>
  <c r="AE146" i="19"/>
  <c r="E146" i="19"/>
  <c r="AE134" i="19"/>
  <c r="E134" i="19"/>
  <c r="AE110" i="19"/>
  <c r="E110" i="19"/>
  <c r="AE98" i="19"/>
  <c r="E98" i="19"/>
  <c r="AE86" i="19"/>
  <c r="E86" i="19"/>
  <c r="AE74" i="19"/>
  <c r="E74" i="19"/>
  <c r="AE62" i="19"/>
  <c r="E62" i="19"/>
  <c r="AE50" i="19"/>
  <c r="E50" i="19"/>
  <c r="AE26" i="19"/>
  <c r="E26" i="19"/>
  <c r="AE14" i="19"/>
  <c r="E14" i="19"/>
  <c r="AE2" i="19"/>
  <c r="E2" i="19"/>
  <c r="AE409" i="19"/>
  <c r="E409" i="19"/>
  <c r="AE397" i="19"/>
  <c r="E397" i="19"/>
  <c r="AE385" i="19"/>
  <c r="E385" i="19"/>
  <c r="AE373" i="19"/>
  <c r="E373" i="19"/>
  <c r="AE361" i="19"/>
  <c r="E361" i="19"/>
  <c r="AE349" i="19"/>
  <c r="E349" i="19"/>
  <c r="AE337" i="19"/>
  <c r="E337" i="19"/>
  <c r="E325" i="19"/>
  <c r="AE325" i="19"/>
  <c r="AE313" i="19"/>
  <c r="E313" i="19"/>
  <c r="AE301" i="19"/>
  <c r="E301" i="19"/>
  <c r="AE289" i="19"/>
  <c r="E289" i="19"/>
  <c r="AE277" i="19"/>
  <c r="E277" i="19"/>
  <c r="E265" i="19"/>
  <c r="AE265" i="19"/>
  <c r="AE253" i="19"/>
  <c r="E253" i="19"/>
  <c r="AE241" i="19"/>
  <c r="E241" i="19"/>
  <c r="AE229" i="19"/>
  <c r="E229" i="19"/>
  <c r="AE217" i="19"/>
  <c r="E217" i="19"/>
  <c r="AE205" i="19"/>
  <c r="E205" i="19"/>
  <c r="AE193" i="19"/>
  <c r="E193" i="19"/>
  <c r="AE181" i="19"/>
  <c r="E181" i="19"/>
  <c r="AE169" i="19"/>
  <c r="E169" i="19"/>
  <c r="AE157" i="19"/>
  <c r="E157" i="19"/>
  <c r="AE145" i="19"/>
  <c r="E145" i="19"/>
  <c r="AE133" i="19"/>
  <c r="E133" i="19"/>
  <c r="E121" i="19"/>
  <c r="AE121" i="19"/>
  <c r="AE109" i="19"/>
  <c r="E109" i="19"/>
  <c r="AE97" i="19"/>
  <c r="E97" i="19"/>
  <c r="AE85" i="19"/>
  <c r="E85" i="19"/>
  <c r="AE73" i="19"/>
  <c r="E73" i="19"/>
  <c r="AE61" i="19"/>
  <c r="E61" i="19"/>
  <c r="AE49" i="19"/>
  <c r="E49" i="19"/>
  <c r="AE37" i="19"/>
  <c r="E37" i="19"/>
  <c r="AE25" i="19"/>
  <c r="E25" i="19"/>
  <c r="AE13" i="19"/>
  <c r="E13" i="19"/>
  <c r="Q366" i="19"/>
  <c r="Q354" i="19"/>
  <c r="Q330" i="19"/>
  <c r="Q318" i="19"/>
  <c r="Q306" i="19"/>
  <c r="Q294" i="19"/>
  <c r="Q270" i="19"/>
  <c r="Q258" i="19"/>
  <c r="Q210" i="19"/>
  <c r="Q198" i="19"/>
  <c r="Q186" i="19"/>
  <c r="Q341" i="19"/>
  <c r="Q329" i="19"/>
  <c r="Q317" i="19"/>
  <c r="Q305" i="19"/>
  <c r="Q281" i="19"/>
  <c r="Q233" i="19"/>
  <c r="Q221" i="19"/>
  <c r="Q197" i="19"/>
  <c r="Q185" i="19"/>
  <c r="Q364" i="19"/>
  <c r="Q304" i="19"/>
  <c r="Q256" i="19"/>
  <c r="Q244" i="19"/>
  <c r="Q254" i="19"/>
  <c r="Q242" i="19"/>
  <c r="R250" i="19"/>
  <c r="Q274" i="19"/>
  <c r="Q271" i="19"/>
  <c r="R308" i="19"/>
  <c r="R286" i="19"/>
  <c r="R241" i="19"/>
  <c r="R311" i="19"/>
  <c r="R220" i="19"/>
  <c r="R301" i="19"/>
  <c r="R232" i="19"/>
  <c r="R332" i="19"/>
  <c r="R238" i="19"/>
  <c r="R235" i="19"/>
  <c r="R338" i="19"/>
  <c r="R312" i="19"/>
  <c r="R227" i="19"/>
  <c r="R327" i="19"/>
  <c r="R230" i="19"/>
  <c r="R325" i="19"/>
  <c r="Q313" i="19"/>
  <c r="R297" i="19"/>
  <c r="R283" i="19"/>
  <c r="R255" i="19"/>
  <c r="Q249" i="19"/>
  <c r="Q333" i="19"/>
  <c r="R263" i="19"/>
  <c r="Q224" i="19"/>
  <c r="R299" i="19"/>
  <c r="Q285" i="19"/>
  <c r="Q230" i="19"/>
  <c r="Q220" i="19"/>
  <c r="Q283" i="19"/>
  <c r="Q299" i="19"/>
  <c r="Q216" i="19"/>
  <c r="Q200" i="19"/>
  <c r="R342" i="19"/>
  <c r="Q253" i="19"/>
  <c r="Q250" i="19"/>
  <c r="R370" i="19"/>
  <c r="R254" i="19"/>
  <c r="R233" i="19"/>
  <c r="R365" i="19"/>
  <c r="R362" i="19"/>
  <c r="Q343" i="19"/>
  <c r="R316" i="19"/>
  <c r="Q290" i="19"/>
  <c r="R273" i="19"/>
  <c r="R270" i="19"/>
  <c r="R234" i="19"/>
  <c r="R231" i="19"/>
  <c r="R317" i="19"/>
  <c r="R228" i="19"/>
  <c r="R214" i="19"/>
  <c r="R307" i="19"/>
  <c r="R257" i="19"/>
  <c r="R188" i="19"/>
  <c r="Q234" i="19"/>
  <c r="R204" i="19"/>
  <c r="Q369" i="19"/>
  <c r="R323" i="19"/>
  <c r="Q257" i="19"/>
  <c r="R218" i="19"/>
  <c r="R372" i="19"/>
  <c r="R366" i="19"/>
  <c r="R346" i="19"/>
  <c r="R326" i="19"/>
  <c r="Q204" i="19"/>
  <c r="R249" i="19"/>
  <c r="R229" i="19"/>
  <c r="R226" i="19"/>
  <c r="Q218" i="19"/>
  <c r="Q182" i="19"/>
  <c r="R350" i="19"/>
  <c r="R265" i="19"/>
  <c r="R246" i="19"/>
  <c r="R293" i="19"/>
  <c r="R190" i="19"/>
  <c r="Q309" i="19"/>
  <c r="R358" i="19"/>
  <c r="R354" i="19"/>
  <c r="R351" i="19"/>
  <c r="Q344" i="19"/>
  <c r="R294" i="19"/>
  <c r="R237" i="19"/>
  <c r="R210" i="19"/>
  <c r="Q190" i="19"/>
  <c r="Q332" i="19"/>
  <c r="Q232" i="19"/>
  <c r="Q319" i="19"/>
  <c r="Q291" i="19"/>
  <c r="Q295" i="19"/>
  <c r="Q178" i="19"/>
  <c r="Q352" i="19"/>
  <c r="Q356" i="19"/>
  <c r="Q277" i="19"/>
  <c r="Q267" i="19"/>
  <c r="Q328" i="19"/>
  <c r="Q212" i="19"/>
  <c r="Q370" i="19"/>
  <c r="R356" i="19"/>
  <c r="Q342" i="19"/>
  <c r="R224" i="19"/>
  <c r="Q327" i="19"/>
  <c r="R324" i="19"/>
  <c r="R285" i="19"/>
  <c r="R253" i="19"/>
  <c r="R216" i="19"/>
  <c r="R186" i="19"/>
  <c r="R245" i="19"/>
  <c r="R208" i="19"/>
  <c r="R279" i="19"/>
  <c r="R261" i="19"/>
  <c r="R364" i="19"/>
  <c r="R357" i="19"/>
  <c r="R361" i="19"/>
  <c r="R353" i="19"/>
  <c r="R349" i="19"/>
  <c r="Q326" i="19"/>
  <c r="Q261" i="19"/>
  <c r="Q208" i="19"/>
  <c r="R194" i="19"/>
  <c r="Q325" i="19"/>
  <c r="Q246" i="19"/>
  <c r="Q241" i="19"/>
  <c r="Q237" i="19"/>
  <c r="Q235" i="19"/>
  <c r="R198" i="19"/>
  <c r="Q202" i="19"/>
  <c r="Q194" i="19"/>
  <c r="R184" i="19"/>
  <c r="Q214" i="19"/>
  <c r="R330" i="19"/>
  <c r="Q311" i="19"/>
  <c r="Q297" i="19"/>
  <c r="Q293" i="19"/>
  <c r="Q188" i="19"/>
  <c r="Q184" i="19"/>
  <c r="Q323" i="19"/>
  <c r="Q301" i="19"/>
  <c r="Q262" i="19"/>
  <c r="Q287" i="19"/>
  <c r="R287" i="19"/>
  <c r="Q273" i="19"/>
  <c r="Q279" i="19"/>
  <c r="Q372" i="19"/>
  <c r="Q368" i="19"/>
  <c r="R363" i="19"/>
  <c r="Q363" i="19"/>
  <c r="Q314" i="19"/>
  <c r="R314" i="19"/>
  <c r="Q298" i="19"/>
  <c r="R298" i="19"/>
  <c r="Q362" i="19"/>
  <c r="V217" i="19"/>
  <c r="W217" i="19" s="1"/>
  <c r="X217" i="19" s="1"/>
  <c r="Y217" i="19" s="1"/>
  <c r="R355" i="19"/>
  <c r="Q338" i="19"/>
  <c r="R320" i="19"/>
  <c r="R305" i="19"/>
  <c r="V272" i="19"/>
  <c r="W272" i="19" s="1"/>
  <c r="X272" i="19" s="1"/>
  <c r="Y272" i="19" s="1"/>
  <c r="Q289" i="19"/>
  <c r="R271" i="19"/>
  <c r="Q358" i="19"/>
  <c r="Q355" i="19"/>
  <c r="Q350" i="19"/>
  <c r="Q322" i="19"/>
  <c r="Q263" i="19"/>
  <c r="Q320" i="19"/>
  <c r="R282" i="19"/>
  <c r="R274" i="19"/>
  <c r="V221" i="19"/>
  <c r="W221" i="19" s="1"/>
  <c r="X221" i="19" s="1"/>
  <c r="Y221" i="19" s="1"/>
  <c r="R336" i="19"/>
  <c r="Q336" i="19"/>
  <c r="Q331" i="19"/>
  <c r="Q324" i="19"/>
  <c r="R313" i="19"/>
  <c r="R281" i="19"/>
  <c r="R275" i="19"/>
  <c r="Q275" i="19"/>
  <c r="Q269" i="19"/>
  <c r="Q245" i="19"/>
  <c r="Q192" i="19"/>
  <c r="Q265" i="19"/>
  <c r="Q247" i="19"/>
  <c r="Q239" i="19"/>
  <c r="Q222" i="19"/>
  <c r="V181" i="19"/>
  <c r="W181" i="19" s="1"/>
  <c r="X181" i="19" s="1"/>
  <c r="Y181" i="19" s="1"/>
  <c r="Q255" i="19"/>
  <c r="Q228" i="19"/>
  <c r="V195" i="19"/>
  <c r="W195" i="19" s="1"/>
  <c r="X195" i="19" s="1"/>
  <c r="Y195" i="19" s="1"/>
  <c r="R345" i="19"/>
  <c r="R329" i="19"/>
  <c r="R318" i="19"/>
  <c r="Q316" i="19"/>
  <c r="R291" i="19"/>
  <c r="R262" i="19"/>
  <c r="Q251" i="19"/>
  <c r="Q243" i="19"/>
  <c r="V199" i="19"/>
  <c r="W199" i="19" s="1"/>
  <c r="X199" i="19" s="1"/>
  <c r="Y199" i="19" s="1"/>
  <c r="R343" i="19"/>
  <c r="R331" i="19"/>
  <c r="R309" i="19"/>
  <c r="R269" i="19"/>
  <c r="V189" i="19"/>
  <c r="W189" i="19" s="1"/>
  <c r="X189" i="19" s="1"/>
  <c r="Y189" i="19" s="1"/>
  <c r="Q180" i="19"/>
  <c r="Q346" i="19"/>
  <c r="R341" i="19"/>
  <c r="Q307" i="19"/>
  <c r="Q303" i="19"/>
  <c r="R289" i="19"/>
  <c r="Q238" i="19"/>
  <c r="Q206" i="19"/>
  <c r="V203" i="19"/>
  <c r="W203" i="19" s="1"/>
  <c r="X203" i="19" s="1"/>
  <c r="Y203" i="19" s="1"/>
  <c r="Q196" i="19"/>
  <c r="Q226" i="19"/>
  <c r="R212" i="19"/>
  <c r="R206" i="19"/>
  <c r="R196" i="19"/>
  <c r="R202" i="19"/>
  <c r="R192" i="19"/>
  <c r="R180" i="19"/>
  <c r="R178" i="19"/>
  <c r="R222" i="19"/>
  <c r="R182" i="19"/>
  <c r="R200" i="19"/>
  <c r="V365" i="19"/>
  <c r="W365" i="19" s="1"/>
  <c r="X365" i="19" s="1"/>
  <c r="Y365" i="19" s="1"/>
  <c r="V366" i="19"/>
  <c r="W366" i="19" s="1"/>
  <c r="X366" i="19" s="1"/>
  <c r="Y366" i="19" s="1"/>
  <c r="R371" i="19"/>
  <c r="Q371" i="19"/>
  <c r="Q360" i="19"/>
  <c r="R360" i="19"/>
  <c r="V341" i="19"/>
  <c r="W341" i="19" s="1"/>
  <c r="X341" i="19" s="1"/>
  <c r="Y341" i="19" s="1"/>
  <c r="R334" i="19"/>
  <c r="Q334" i="19"/>
  <c r="R347" i="19"/>
  <c r="Q347" i="19"/>
  <c r="V351" i="19"/>
  <c r="W351" i="19" s="1"/>
  <c r="X351" i="19" s="1"/>
  <c r="Y351" i="19" s="1"/>
  <c r="R367" i="19"/>
  <c r="Q367" i="19"/>
  <c r="Q345" i="19"/>
  <c r="R359" i="19"/>
  <c r="Q359" i="19"/>
  <c r="R339" i="19"/>
  <c r="Q339" i="19"/>
  <c r="Q348" i="19"/>
  <c r="R348" i="19"/>
  <c r="R344" i="19"/>
  <c r="Q373" i="19"/>
  <c r="R369" i="19"/>
  <c r="R368" i="19"/>
  <c r="V357" i="19"/>
  <c r="W357" i="19" s="1"/>
  <c r="X357" i="19" s="1"/>
  <c r="Y357" i="19" s="1"/>
  <c r="R352" i="19"/>
  <c r="Q349" i="19"/>
  <c r="Q340" i="19"/>
  <c r="Q335" i="19"/>
  <c r="R321" i="19"/>
  <c r="Q321" i="19"/>
  <c r="R337" i="19"/>
  <c r="Q337" i="19"/>
  <c r="V362" i="19"/>
  <c r="W362" i="19" s="1"/>
  <c r="X362" i="19" s="1"/>
  <c r="Y362" i="19" s="1"/>
  <c r="V361" i="19"/>
  <c r="W361" i="19" s="1"/>
  <c r="X361" i="19" s="1"/>
  <c r="Y361" i="19" s="1"/>
  <c r="Q353" i="19"/>
  <c r="V331" i="19"/>
  <c r="W331" i="19" s="1"/>
  <c r="X331" i="19" s="1"/>
  <c r="Y331" i="19" s="1"/>
  <c r="V325" i="19"/>
  <c r="W325" i="19" s="1"/>
  <c r="X325" i="19" s="1"/>
  <c r="Y325" i="19" s="1"/>
  <c r="Q365" i="19"/>
  <c r="Q357" i="19"/>
  <c r="V349" i="19"/>
  <c r="W349" i="19" s="1"/>
  <c r="X349" i="19" s="1"/>
  <c r="Y349" i="19" s="1"/>
  <c r="V317" i="19"/>
  <c r="W317" i="19" s="1"/>
  <c r="X317" i="19" s="1"/>
  <c r="Y317" i="19" s="1"/>
  <c r="V354" i="19"/>
  <c r="W354" i="19" s="1"/>
  <c r="X354" i="19" s="1"/>
  <c r="Y354" i="19" s="1"/>
  <c r="Q351" i="19"/>
  <c r="R373" i="19"/>
  <c r="Q361" i="19"/>
  <c r="R340" i="19"/>
  <c r="R335" i="19"/>
  <c r="V323" i="19"/>
  <c r="W323" i="19" s="1"/>
  <c r="X323" i="19" s="1"/>
  <c r="Y323" i="19" s="1"/>
  <c r="R322" i="19"/>
  <c r="V313" i="19"/>
  <c r="W313" i="19" s="1"/>
  <c r="X313" i="19" s="1"/>
  <c r="Y313" i="19" s="1"/>
  <c r="V304" i="19"/>
  <c r="W304" i="19" s="1"/>
  <c r="X304" i="19" s="1"/>
  <c r="Y304" i="19" s="1"/>
  <c r="V350" i="19"/>
  <c r="W350" i="19" s="1"/>
  <c r="X350" i="19" s="1"/>
  <c r="Y350" i="19" s="1"/>
  <c r="V346" i="19"/>
  <c r="W346" i="19" s="1"/>
  <c r="X346" i="19" s="1"/>
  <c r="Y346" i="19" s="1"/>
  <c r="V342" i="19"/>
  <c r="W342" i="19" s="1"/>
  <c r="X342" i="19" s="1"/>
  <c r="Y342" i="19" s="1"/>
  <c r="R328" i="19"/>
  <c r="R319" i="19"/>
  <c r="V315" i="19"/>
  <c r="W315" i="19" s="1"/>
  <c r="X315" i="19" s="1"/>
  <c r="Y315" i="19" s="1"/>
  <c r="Q286" i="19"/>
  <c r="Q264" i="19"/>
  <c r="R264" i="19"/>
  <c r="Q315" i="19"/>
  <c r="R315" i="19"/>
  <c r="Q310" i="19"/>
  <c r="R310" i="19"/>
  <c r="V337" i="19"/>
  <c r="W337" i="19" s="1"/>
  <c r="X337" i="19" s="1"/>
  <c r="Y337" i="19" s="1"/>
  <c r="Q302" i="19"/>
  <c r="Q189" i="19"/>
  <c r="R189" i="19"/>
  <c r="R333" i="19"/>
  <c r="Q288" i="19"/>
  <c r="R288" i="19"/>
  <c r="Q278" i="19"/>
  <c r="R278" i="19"/>
  <c r="R306" i="19"/>
  <c r="R303" i="19"/>
  <c r="R302" i="19"/>
  <c r="R295" i="19"/>
  <c r="Q252" i="19"/>
  <c r="R252" i="19"/>
  <c r="V311" i="19"/>
  <c r="W311" i="19" s="1"/>
  <c r="X311" i="19" s="1"/>
  <c r="Y311" i="19" s="1"/>
  <c r="Q308" i="19"/>
  <c r="V284" i="19"/>
  <c r="W284" i="19" s="1"/>
  <c r="X284" i="19" s="1"/>
  <c r="Y284" i="19" s="1"/>
  <c r="Q284" i="19"/>
  <c r="R284" i="19"/>
  <c r="V276" i="19"/>
  <c r="W276" i="19" s="1"/>
  <c r="X276" i="19" s="1"/>
  <c r="Y276" i="19" s="1"/>
  <c r="Q276" i="19"/>
  <c r="R276" i="19"/>
  <c r="Q266" i="19"/>
  <c r="R266" i="19"/>
  <c r="Q300" i="19"/>
  <c r="R300" i="19"/>
  <c r="V288" i="19"/>
  <c r="W288" i="19" s="1"/>
  <c r="X288" i="19" s="1"/>
  <c r="Y288" i="19" s="1"/>
  <c r="Q282" i="19"/>
  <c r="Q272" i="19"/>
  <c r="R272" i="19"/>
  <c r="V308" i="19"/>
  <c r="W308" i="19" s="1"/>
  <c r="X308" i="19" s="1"/>
  <c r="Y308" i="19" s="1"/>
  <c r="R304" i="19"/>
  <c r="V298" i="19"/>
  <c r="W298" i="19" s="1"/>
  <c r="X298" i="19" s="1"/>
  <c r="Y298" i="19" s="1"/>
  <c r="V232" i="19"/>
  <c r="W232" i="19" s="1"/>
  <c r="X232" i="19" s="1"/>
  <c r="Y232" i="19" s="1"/>
  <c r="Q312" i="19"/>
  <c r="V296" i="19"/>
  <c r="W296" i="19" s="1"/>
  <c r="X296" i="19" s="1"/>
  <c r="Y296" i="19" s="1"/>
  <c r="V292" i="19"/>
  <c r="W292" i="19" s="1"/>
  <c r="X292" i="19" s="1"/>
  <c r="Y292" i="19" s="1"/>
  <c r="V268" i="19"/>
  <c r="W268" i="19" s="1"/>
  <c r="X268" i="19" s="1"/>
  <c r="Y268" i="19" s="1"/>
  <c r="R242" i="19"/>
  <c r="Q296" i="19"/>
  <c r="R296" i="19"/>
  <c r="Q292" i="19"/>
  <c r="R292" i="19"/>
  <c r="R290" i="19"/>
  <c r="V280" i="19"/>
  <c r="W280" i="19" s="1"/>
  <c r="X280" i="19" s="1"/>
  <c r="Y280" i="19" s="1"/>
  <c r="Q280" i="19"/>
  <c r="R280" i="19"/>
  <c r="R277" i="19"/>
  <c r="Q259" i="19"/>
  <c r="R259" i="19"/>
  <c r="R267" i="19"/>
  <c r="V264" i="19"/>
  <c r="W264" i="19" s="1"/>
  <c r="X264" i="19" s="1"/>
  <c r="Y264" i="19" s="1"/>
  <c r="R258" i="19"/>
  <c r="Q248" i="19"/>
  <c r="R248" i="19"/>
  <c r="Q240" i="19"/>
  <c r="R240" i="19"/>
  <c r="V235" i="19"/>
  <c r="W235" i="19" s="1"/>
  <c r="X235" i="19" s="1"/>
  <c r="Y235" i="19" s="1"/>
  <c r="V227" i="19"/>
  <c r="W227" i="19" s="1"/>
  <c r="X227" i="19" s="1"/>
  <c r="Y227" i="19" s="1"/>
  <c r="Q209" i="19"/>
  <c r="R209" i="19"/>
  <c r="V255" i="19"/>
  <c r="W255" i="19" s="1"/>
  <c r="X255" i="19" s="1"/>
  <c r="Y255" i="19" s="1"/>
  <c r="R244" i="19"/>
  <c r="V251" i="19"/>
  <c r="W251" i="19" s="1"/>
  <c r="X251" i="19" s="1"/>
  <c r="Y251" i="19" s="1"/>
  <c r="V231" i="19"/>
  <c r="W231" i="19" s="1"/>
  <c r="X231" i="19" s="1"/>
  <c r="Y231" i="19" s="1"/>
  <c r="V254" i="19"/>
  <c r="W254" i="19" s="1"/>
  <c r="X254" i="19" s="1"/>
  <c r="Y254" i="19" s="1"/>
  <c r="R251" i="19"/>
  <c r="V247" i="19"/>
  <c r="W247" i="19" s="1"/>
  <c r="X247" i="19" s="1"/>
  <c r="Y247" i="19" s="1"/>
  <c r="V239" i="19"/>
  <c r="W239" i="19" s="1"/>
  <c r="X239" i="19" s="1"/>
  <c r="Y239" i="19" s="1"/>
  <c r="Q268" i="19"/>
  <c r="R268" i="19"/>
  <c r="R247" i="19"/>
  <c r="V243" i="19"/>
  <c r="W243" i="19" s="1"/>
  <c r="X243" i="19" s="1"/>
  <c r="Y243" i="19" s="1"/>
  <c r="R239" i="19"/>
  <c r="R243" i="19"/>
  <c r="V229" i="19"/>
  <c r="W229" i="19" s="1"/>
  <c r="X229" i="19" s="1"/>
  <c r="Y229" i="19" s="1"/>
  <c r="V258" i="19"/>
  <c r="W258" i="19" s="1"/>
  <c r="X258" i="19" s="1"/>
  <c r="Y258" i="19" s="1"/>
  <c r="V256" i="19"/>
  <c r="W256" i="19" s="1"/>
  <c r="X256" i="19" s="1"/>
  <c r="Y256" i="19" s="1"/>
  <c r="V233" i="19"/>
  <c r="W233" i="19" s="1"/>
  <c r="X233" i="19" s="1"/>
  <c r="Y233" i="19" s="1"/>
  <c r="V225" i="19"/>
  <c r="W225" i="19" s="1"/>
  <c r="X225" i="19" s="1"/>
  <c r="Y225" i="19" s="1"/>
  <c r="Q223" i="19"/>
  <c r="R223" i="19"/>
  <c r="Q201" i="19"/>
  <c r="R201" i="19"/>
  <c r="V260" i="19"/>
  <c r="W260" i="19" s="1"/>
  <c r="X260" i="19" s="1"/>
  <c r="Y260" i="19" s="1"/>
  <c r="R256" i="19"/>
  <c r="Q260" i="19"/>
  <c r="R260" i="19"/>
  <c r="Q236" i="19"/>
  <c r="R236" i="19"/>
  <c r="Q219" i="19"/>
  <c r="R219" i="19"/>
  <c r="Q211" i="19"/>
  <c r="R211" i="19"/>
  <c r="Q205" i="19"/>
  <c r="R205" i="19"/>
  <c r="R197" i="19"/>
  <c r="Q187" i="19"/>
  <c r="R187" i="19"/>
  <c r="Q179" i="19"/>
  <c r="R179" i="19"/>
  <c r="Q215" i="19"/>
  <c r="R215" i="19"/>
  <c r="Q183" i="19"/>
  <c r="R183" i="19"/>
  <c r="Q181" i="19"/>
  <c r="Q203" i="19"/>
  <c r="R203" i="19"/>
  <c r="Q195" i="19"/>
  <c r="R195" i="19"/>
  <c r="R221" i="19"/>
  <c r="Q193" i="19"/>
  <c r="R193" i="19"/>
  <c r="Q217" i="19"/>
  <c r="R217" i="19"/>
  <c r="Q213" i="19"/>
  <c r="R213" i="19"/>
  <c r="Q207" i="19"/>
  <c r="R207" i="19"/>
  <c r="Q199" i="19"/>
  <c r="R199" i="19"/>
  <c r="Q191" i="19"/>
  <c r="R191" i="19"/>
  <c r="Q225" i="19"/>
  <c r="R225" i="19"/>
  <c r="Q231" i="19"/>
  <c r="Q229" i="19"/>
  <c r="Q227" i="19"/>
  <c r="R185" i="19"/>
  <c r="R181" i="19"/>
  <c r="AB176" i="19"/>
  <c r="F1289" i="19" l="1"/>
  <c r="F1128" i="19"/>
  <c r="AF803" i="19"/>
  <c r="F884" i="19"/>
  <c r="AF1223" i="19"/>
  <c r="F1023" i="19"/>
  <c r="F1010" i="19"/>
  <c r="AF660" i="19"/>
  <c r="AF95" i="19"/>
  <c r="AF1314" i="19"/>
  <c r="F48" i="19"/>
  <c r="AF3" i="19"/>
  <c r="F1309" i="19"/>
  <c r="F1346" i="19"/>
  <c r="F263" i="19"/>
  <c r="F890" i="19"/>
  <c r="F533" i="19"/>
  <c r="F1076" i="19"/>
  <c r="AF415" i="19"/>
  <c r="AF767" i="19"/>
  <c r="AF647" i="19"/>
  <c r="AF652" i="19"/>
  <c r="AF368" i="19"/>
  <c r="AF766" i="19"/>
  <c r="AF233" i="19"/>
  <c r="AF1151" i="19"/>
  <c r="AF1105" i="19"/>
  <c r="AF20" i="19"/>
  <c r="AF949" i="19"/>
  <c r="AF889" i="19"/>
  <c r="AF956" i="19"/>
  <c r="AF19" i="19"/>
  <c r="AF827" i="19"/>
  <c r="AF1220" i="19"/>
  <c r="F894" i="19"/>
  <c r="F759" i="19"/>
  <c r="F178" i="19"/>
  <c r="F425" i="19"/>
  <c r="F1058" i="19"/>
  <c r="F159" i="19"/>
  <c r="F906" i="19"/>
  <c r="F1381" i="19"/>
  <c r="F667" i="19"/>
  <c r="AF117" i="19"/>
  <c r="AF396" i="19"/>
  <c r="AF993" i="19"/>
  <c r="AF1049" i="19"/>
  <c r="AF850" i="19"/>
  <c r="AF874" i="19"/>
  <c r="AF945" i="19"/>
  <c r="AF1284" i="19"/>
  <c r="AF195" i="19"/>
  <c r="AF805" i="19"/>
  <c r="AF462" i="19"/>
  <c r="AF847" i="19"/>
  <c r="AF635" i="19"/>
  <c r="AF116" i="19"/>
  <c r="AF624" i="19"/>
  <c r="AF1214" i="19"/>
  <c r="AF302" i="19"/>
  <c r="F22" i="19"/>
  <c r="F1265" i="19"/>
  <c r="F716" i="19"/>
  <c r="F703" i="19"/>
  <c r="F1191" i="19"/>
  <c r="F138" i="19"/>
  <c r="F638" i="19"/>
  <c r="AF1387" i="19"/>
  <c r="AF188" i="19"/>
  <c r="AF814" i="19"/>
  <c r="AF530" i="19"/>
  <c r="AF589" i="19"/>
  <c r="AF114" i="19"/>
  <c r="AF509" i="19"/>
  <c r="AF824" i="19"/>
  <c r="AF1391" i="19"/>
  <c r="AF762" i="19"/>
  <c r="AF685" i="19"/>
  <c r="AF1126" i="19"/>
  <c r="AF506" i="19"/>
  <c r="AF84" i="19"/>
  <c r="F604" i="19"/>
  <c r="F1024" i="19"/>
  <c r="F463" i="19"/>
  <c r="F581" i="19"/>
  <c r="F692" i="19"/>
  <c r="F196" i="19"/>
  <c r="AF670" i="19"/>
  <c r="AF600" i="19"/>
  <c r="AF1079" i="19"/>
  <c r="AF1096" i="19"/>
  <c r="AF122" i="19"/>
  <c r="AF206" i="19"/>
  <c r="AF988" i="19"/>
  <c r="AF365" i="19"/>
  <c r="AF1197" i="19"/>
  <c r="AF1013" i="19"/>
  <c r="AF1000" i="19"/>
  <c r="AF457" i="19"/>
  <c r="AF504" i="19"/>
  <c r="AF1041" i="19"/>
  <c r="AF51" i="19"/>
  <c r="AF25" i="19"/>
  <c r="AF1010" i="19"/>
  <c r="F368" i="19"/>
  <c r="F732" i="19"/>
  <c r="F608" i="19"/>
  <c r="F596" i="19"/>
  <c r="F47" i="19"/>
  <c r="F449" i="19"/>
  <c r="F1072" i="19"/>
  <c r="F511" i="19"/>
  <c r="F1320" i="19"/>
  <c r="F1037" i="19"/>
  <c r="F120" i="19"/>
  <c r="F1182" i="19"/>
  <c r="F1310" i="19"/>
  <c r="F1327" i="19"/>
  <c r="AF1021" i="19"/>
  <c r="AF240" i="19"/>
  <c r="AF289" i="19"/>
  <c r="AF1208" i="19"/>
  <c r="AF419" i="19"/>
  <c r="AF1342" i="19"/>
  <c r="AF244" i="19"/>
  <c r="AF433" i="19"/>
  <c r="AF737" i="19"/>
  <c r="AF890" i="19"/>
  <c r="AF1042" i="19"/>
  <c r="AF582" i="19"/>
  <c r="AF1006" i="19"/>
  <c r="AF714" i="19"/>
  <c r="AF982" i="19"/>
  <c r="F280" i="19"/>
  <c r="F1084" i="19"/>
  <c r="F31" i="19"/>
  <c r="F426" i="19"/>
  <c r="AF54" i="19"/>
  <c r="F1318" i="19"/>
  <c r="F1087" i="19"/>
  <c r="F770" i="19"/>
  <c r="F668" i="19"/>
  <c r="F152" i="19"/>
  <c r="F195" i="19"/>
  <c r="F1331" i="19"/>
  <c r="F21" i="19"/>
  <c r="F879" i="19"/>
  <c r="F674" i="19"/>
  <c r="F1175" i="19"/>
  <c r="F740" i="19"/>
  <c r="F262" i="19"/>
  <c r="F433" i="19"/>
  <c r="F1069" i="19"/>
  <c r="F1101" i="19"/>
  <c r="F351" i="19"/>
  <c r="F406" i="19"/>
  <c r="AF148" i="19"/>
  <c r="AF443" i="19"/>
  <c r="AF895" i="19"/>
  <c r="AF825" i="19"/>
  <c r="AF224" i="19"/>
  <c r="AF1203" i="19"/>
  <c r="AF1140" i="19"/>
  <c r="AF1390" i="19"/>
  <c r="AF711" i="19"/>
  <c r="AF602" i="19"/>
  <c r="AF1028" i="19"/>
  <c r="AF1188" i="19"/>
  <c r="AF857" i="19"/>
  <c r="AF111" i="19"/>
  <c r="AF65" i="19"/>
  <c r="AF315" i="19"/>
  <c r="AF1389" i="19"/>
  <c r="AF367" i="19"/>
  <c r="AF697" i="19"/>
  <c r="AF1099" i="19"/>
  <c r="AF887" i="19"/>
  <c r="AF344" i="19"/>
  <c r="AF77" i="19"/>
  <c r="AF1171" i="19"/>
  <c r="AF817" i="19"/>
  <c r="AF734" i="19"/>
  <c r="AF252" i="19"/>
  <c r="AF1211" i="19"/>
  <c r="AF907" i="19"/>
  <c r="AF842" i="19"/>
  <c r="AF869" i="19"/>
  <c r="AF1191" i="19"/>
  <c r="AF282" i="19"/>
  <c r="AF638" i="19"/>
  <c r="AF447" i="19"/>
  <c r="AF451" i="19"/>
  <c r="AF1270" i="19"/>
  <c r="AF283" i="19"/>
  <c r="AF325" i="19"/>
  <c r="AF352" i="19"/>
  <c r="AF1378" i="19"/>
  <c r="AF80" i="19"/>
  <c r="AF389" i="19"/>
  <c r="AF1258" i="19"/>
  <c r="AF129" i="19"/>
  <c r="AF17" i="19"/>
  <c r="AF691" i="19"/>
  <c r="AF455" i="19"/>
  <c r="AF1146" i="19"/>
  <c r="F1385" i="19"/>
  <c r="F773" i="19"/>
  <c r="F13" i="19"/>
  <c r="F209" i="19"/>
  <c r="F919" i="19"/>
  <c r="F501" i="19"/>
  <c r="F135" i="19"/>
  <c r="F1146" i="19"/>
  <c r="F624" i="19"/>
  <c r="F454" i="19"/>
  <c r="F815" i="19"/>
  <c r="F1081" i="19"/>
  <c r="AF173" i="19"/>
  <c r="AF239" i="19"/>
  <c r="AF779" i="19"/>
  <c r="F96" i="19"/>
  <c r="F966" i="19"/>
  <c r="F602" i="19"/>
  <c r="F935" i="19"/>
  <c r="F1193" i="19"/>
  <c r="F825" i="19"/>
  <c r="F1059" i="19"/>
  <c r="F1357" i="19"/>
  <c r="F9" i="19"/>
  <c r="F630" i="19"/>
  <c r="F821" i="19"/>
  <c r="F1096" i="19"/>
  <c r="F437" i="19"/>
  <c r="F863" i="19"/>
  <c r="F1256" i="19"/>
  <c r="F184" i="19"/>
  <c r="F658" i="19"/>
  <c r="F509" i="19"/>
  <c r="F434" i="19"/>
  <c r="F412" i="19"/>
  <c r="F706" i="19"/>
  <c r="F787" i="19"/>
  <c r="F254" i="19"/>
  <c r="F489" i="19"/>
  <c r="F880" i="19"/>
  <c r="F171" i="19"/>
  <c r="F60" i="19"/>
  <c r="F422" i="19"/>
  <c r="F1021" i="19"/>
  <c r="F577" i="19"/>
  <c r="F1033" i="19"/>
  <c r="F807" i="19"/>
  <c r="F951" i="19"/>
  <c r="F276" i="19"/>
  <c r="F14" i="19"/>
  <c r="F1314" i="19"/>
  <c r="F75" i="19"/>
  <c r="AF467" i="19"/>
  <c r="AF412" i="19"/>
  <c r="AF1184" i="19"/>
  <c r="AF479" i="19"/>
  <c r="AF987" i="19"/>
  <c r="AF744" i="19"/>
  <c r="AF431" i="19"/>
  <c r="AF1093" i="19"/>
  <c r="AF577" i="19"/>
  <c r="AF8" i="19"/>
  <c r="AF445" i="19"/>
  <c r="AF1345" i="19"/>
  <c r="AF1069" i="19"/>
  <c r="AF898" i="19"/>
  <c r="AF141" i="19"/>
  <c r="AF1232" i="19"/>
  <c r="AF151" i="19"/>
  <c r="AF35" i="19"/>
  <c r="AF696" i="19"/>
  <c r="AF155" i="19"/>
  <c r="AF170" i="19"/>
  <c r="AF695" i="19"/>
  <c r="AF812" i="19"/>
  <c r="AF461" i="19"/>
  <c r="AF107" i="19"/>
  <c r="AF742" i="19"/>
  <c r="AF442" i="19"/>
  <c r="AF798" i="19"/>
  <c r="AF1317" i="19"/>
  <c r="AF604" i="19"/>
  <c r="AF1134" i="19"/>
  <c r="AF1373" i="19"/>
  <c r="AF994" i="19"/>
  <c r="AF1165" i="19"/>
  <c r="AF1245" i="19"/>
  <c r="AF728" i="19"/>
  <c r="AF223" i="19"/>
  <c r="AF811" i="19"/>
  <c r="AF1385" i="19"/>
  <c r="AF854" i="19"/>
  <c r="AF879" i="19"/>
  <c r="AF743" i="19"/>
  <c r="AF200" i="19"/>
  <c r="AF664" i="19"/>
  <c r="AF1192" i="19"/>
  <c r="AF371" i="19"/>
  <c r="AF503" i="19"/>
  <c r="AF193" i="19"/>
  <c r="AF478" i="19"/>
  <c r="AF765" i="19"/>
  <c r="AF36" i="19"/>
  <c r="AF473" i="19"/>
  <c r="AF1164" i="19"/>
  <c r="AF1344" i="19"/>
  <c r="AF1012" i="19"/>
  <c r="AF243" i="19"/>
  <c r="AF1217" i="19"/>
  <c r="AF61" i="19"/>
  <c r="AF38" i="19"/>
  <c r="AF277" i="19"/>
  <c r="AF877" i="19"/>
  <c r="AF423" i="19"/>
  <c r="AF1213" i="19"/>
  <c r="AF626" i="19"/>
  <c r="AF349" i="19"/>
  <c r="AF792" i="19"/>
  <c r="AF44" i="19"/>
  <c r="AF543" i="19"/>
  <c r="AF529" i="19"/>
  <c r="AF1174" i="19"/>
  <c r="AF104" i="19"/>
  <c r="AF337" i="19"/>
  <c r="AF1015" i="19"/>
  <c r="AF849" i="19"/>
  <c r="AF819" i="19"/>
  <c r="AF161" i="19"/>
  <c r="AF1166" i="19"/>
  <c r="AF102" i="19"/>
  <c r="AF735" i="19"/>
  <c r="AF150" i="19"/>
  <c r="AF310" i="19"/>
  <c r="AF544" i="19"/>
  <c r="AF1127" i="19"/>
  <c r="AF646" i="19"/>
  <c r="AF1268" i="19"/>
  <c r="AF496" i="19"/>
  <c r="AF807" i="19"/>
  <c r="AF438" i="19"/>
  <c r="AF1240" i="19"/>
  <c r="AF23" i="19"/>
  <c r="AF427" i="19"/>
  <c r="AF1250" i="19"/>
  <c r="AF656" i="19"/>
  <c r="F781" i="19"/>
  <c r="F321" i="19"/>
  <c r="F537" i="19"/>
  <c r="F754" i="19"/>
  <c r="F92" i="19"/>
  <c r="F993" i="19"/>
  <c r="F1078" i="19"/>
  <c r="F3" i="19"/>
  <c r="F827" i="19"/>
  <c r="F640" i="19"/>
  <c r="F572" i="19"/>
  <c r="F1328" i="19"/>
  <c r="F1163" i="19"/>
  <c r="F804" i="19"/>
  <c r="F808" i="19"/>
  <c r="F551" i="19"/>
  <c r="F586" i="19"/>
  <c r="F350" i="19"/>
  <c r="F1209" i="19"/>
  <c r="F746" i="19"/>
  <c r="F529" i="19"/>
  <c r="F772" i="19"/>
  <c r="F260" i="19"/>
  <c r="F1085" i="19"/>
  <c r="F622" i="19"/>
  <c r="F540" i="19"/>
  <c r="F878" i="19"/>
  <c r="AF1180" i="19"/>
  <c r="AF1224" i="19"/>
  <c r="AF400" i="19"/>
  <c r="AF406" i="19"/>
  <c r="AF517" i="19"/>
  <c r="F976" i="19"/>
  <c r="F1281" i="19"/>
  <c r="F552" i="19"/>
  <c r="F895" i="19"/>
  <c r="F1007" i="19"/>
  <c r="F749" i="19"/>
  <c r="AF480" i="19"/>
  <c r="AF348" i="19"/>
  <c r="AF552" i="19"/>
  <c r="AF72" i="19"/>
  <c r="AF168" i="19"/>
  <c r="AF1312" i="19"/>
  <c r="AF1348" i="19"/>
  <c r="AF323" i="19"/>
  <c r="AF1233" i="19"/>
  <c r="AF465" i="19"/>
  <c r="AF390" i="19"/>
  <c r="AF366" i="19"/>
  <c r="AF1347" i="19"/>
  <c r="AF538" i="19"/>
  <c r="AF231" i="19"/>
  <c r="AF312" i="19"/>
  <c r="AF1229" i="19"/>
  <c r="AF284" i="19"/>
  <c r="AF448" i="19"/>
  <c r="F213" i="19"/>
  <c r="F390" i="19"/>
  <c r="F752" i="19"/>
  <c r="F343" i="19"/>
  <c r="F958" i="19"/>
  <c r="F397" i="19"/>
  <c r="F955" i="19"/>
  <c r="F672" i="19"/>
  <c r="F268" i="19"/>
  <c r="F215" i="19"/>
  <c r="F1361" i="19"/>
  <c r="F435" i="19"/>
  <c r="AF399" i="19"/>
  <c r="AF491" i="19"/>
  <c r="AF998" i="19"/>
  <c r="AF572" i="19"/>
  <c r="AF769" i="19"/>
  <c r="AF1070" i="19"/>
  <c r="AF1376" i="19"/>
  <c r="AF1118" i="19"/>
  <c r="AF356" i="19"/>
  <c r="AF1123" i="19"/>
  <c r="AF522" i="19"/>
  <c r="AF82" i="19"/>
  <c r="AF607" i="19"/>
  <c r="AF900" i="19"/>
  <c r="AF1349" i="19"/>
  <c r="AF1386" i="19"/>
  <c r="AF318" i="19"/>
  <c r="AF996" i="19"/>
  <c r="AF1280" i="19"/>
  <c r="AF1144" i="19"/>
  <c r="AF331" i="19"/>
  <c r="AF248" i="19"/>
  <c r="AF474" i="19"/>
  <c r="F1226" i="19"/>
  <c r="F128" i="19"/>
  <c r="F1120" i="19"/>
  <c r="F1335" i="19"/>
  <c r="F1198" i="19"/>
  <c r="AF260" i="19"/>
  <c r="AF97" i="19"/>
  <c r="AF395" i="19"/>
  <c r="AF280" i="19"/>
  <c r="AF69" i="19"/>
  <c r="AF755" i="19"/>
  <c r="AF880" i="19"/>
  <c r="AF806" i="19"/>
  <c r="AF968" i="19"/>
  <c r="AF1372" i="19"/>
  <c r="AF952" i="19"/>
  <c r="AF1008" i="19"/>
  <c r="AF105" i="19"/>
  <c r="AF354" i="19"/>
  <c r="AF776" i="19"/>
  <c r="AF1254" i="19"/>
  <c r="AF1063" i="19"/>
  <c r="F1338" i="19"/>
  <c r="F322" i="19"/>
  <c r="F539" i="19"/>
  <c r="F1075" i="19"/>
  <c r="F619" i="19"/>
  <c r="F1144" i="19"/>
  <c r="F1145" i="19"/>
  <c r="AF912" i="19"/>
  <c r="AF832" i="19"/>
  <c r="AF1155" i="19"/>
  <c r="AF1057" i="19"/>
  <c r="AF641" i="19"/>
  <c r="AF1304" i="19"/>
  <c r="AF265" i="19"/>
  <c r="AF186" i="19"/>
  <c r="AF171" i="19"/>
  <c r="AF1147" i="19"/>
  <c r="AF841" i="19"/>
  <c r="AF316" i="19"/>
  <c r="AF179" i="19"/>
  <c r="AF946" i="19"/>
  <c r="AF686" i="19"/>
  <c r="F307" i="19"/>
  <c r="F16" i="19"/>
  <c r="F858" i="19"/>
  <c r="F838" i="19"/>
  <c r="F1088" i="19"/>
  <c r="F145" i="19"/>
  <c r="F1093" i="19"/>
  <c r="F398" i="19"/>
  <c r="AF970" i="19"/>
  <c r="AF1216" i="19"/>
  <c r="AF531" i="19"/>
  <c r="AF307" i="19"/>
  <c r="AF449" i="19"/>
  <c r="AF1160" i="19"/>
  <c r="AF262" i="19"/>
  <c r="AF1297" i="19"/>
  <c r="AF490" i="19"/>
  <c r="AF822" i="19"/>
  <c r="AF132" i="19"/>
  <c r="AF897" i="19"/>
  <c r="AF941" i="19"/>
  <c r="AF684" i="19"/>
  <c r="AF475" i="19"/>
  <c r="AF385" i="19"/>
  <c r="AF513" i="19"/>
  <c r="F1204" i="19"/>
  <c r="F1061" i="19"/>
  <c r="F605" i="19"/>
  <c r="F1330" i="19"/>
  <c r="F1027" i="19"/>
  <c r="F1003" i="19"/>
  <c r="F431" i="19"/>
  <c r="F360" i="19"/>
  <c r="F309" i="19"/>
  <c r="F104" i="19"/>
  <c r="F562" i="19"/>
  <c r="F849" i="19"/>
  <c r="F78" i="19"/>
  <c r="AF402" i="19"/>
  <c r="AF1283" i="19"/>
  <c r="AF1384" i="19"/>
  <c r="AF866" i="19"/>
  <c r="AF1296" i="19"/>
  <c r="AF690" i="19"/>
  <c r="AF511" i="19"/>
  <c r="AF1238" i="19"/>
  <c r="AF715" i="19"/>
  <c r="AF31" i="19"/>
  <c r="AF1128" i="19"/>
  <c r="AF962" i="19"/>
  <c r="AF1100" i="19"/>
  <c r="AF681" i="19"/>
  <c r="AF341" i="19"/>
  <c r="AF261" i="19"/>
  <c r="F1388" i="19"/>
  <c r="F970" i="19"/>
  <c r="F102" i="19"/>
  <c r="F240" i="19"/>
  <c r="F1267" i="19"/>
  <c r="AF1262" i="19"/>
  <c r="F839" i="19"/>
  <c r="F1337" i="19"/>
  <c r="F1203" i="19"/>
  <c r="F52" i="19"/>
  <c r="F968" i="19"/>
  <c r="F1225" i="19"/>
  <c r="F464" i="19"/>
  <c r="F352" i="19"/>
  <c r="F275" i="19"/>
  <c r="F1126" i="19"/>
  <c r="F859" i="19"/>
  <c r="F1038" i="19"/>
  <c r="F998" i="19"/>
  <c r="F1166" i="19"/>
  <c r="F410" i="19"/>
  <c r="F1183" i="19"/>
  <c r="F1170" i="19"/>
  <c r="AF418" i="19"/>
  <c r="AF920" i="19"/>
  <c r="AF266" i="19"/>
  <c r="AF1351" i="19"/>
  <c r="AF112" i="19"/>
  <c r="AF1357" i="19"/>
  <c r="AF526" i="19"/>
  <c r="AF343" i="19"/>
  <c r="AF202" i="19"/>
  <c r="AF911" i="19"/>
  <c r="AF264" i="19"/>
  <c r="AF1050" i="19"/>
  <c r="AF288" i="19"/>
  <c r="AF1379" i="19"/>
  <c r="AF1168" i="19"/>
  <c r="AF1337" i="19"/>
  <c r="AF872" i="19"/>
  <c r="AF100" i="19"/>
  <c r="AF71" i="19"/>
  <c r="AF1066" i="19"/>
  <c r="AF217" i="19"/>
  <c r="AF34" i="19"/>
  <c r="AF481" i="19"/>
  <c r="AF909" i="19"/>
  <c r="AF617" i="19"/>
  <c r="AF1072" i="19"/>
  <c r="AF829" i="19"/>
  <c r="AF1175" i="19"/>
  <c r="AF333" i="19"/>
  <c r="AF1302" i="19"/>
  <c r="AF539" i="19"/>
  <c r="AF853" i="19"/>
  <c r="AF1272" i="19"/>
  <c r="AF59" i="19"/>
  <c r="AF350" i="19"/>
  <c r="AF1108" i="19"/>
  <c r="AF549" i="19"/>
  <c r="AF1104" i="19"/>
  <c r="AF358" i="19"/>
  <c r="AF501" i="19"/>
  <c r="AF70" i="19"/>
  <c r="AF990" i="19"/>
  <c r="AF810" i="19"/>
  <c r="AF370" i="19"/>
  <c r="AF921" i="19"/>
  <c r="F1214" i="19"/>
  <c r="F371" i="19"/>
  <c r="F1207" i="19"/>
  <c r="F1005" i="19"/>
  <c r="F1155" i="19"/>
  <c r="F902" i="19"/>
  <c r="F1136" i="19"/>
  <c r="F1332" i="19"/>
  <c r="F1355" i="19"/>
  <c r="F1016" i="19"/>
  <c r="F745" i="19"/>
  <c r="F472" i="19"/>
  <c r="F165" i="19"/>
  <c r="F1364" i="19"/>
  <c r="AF384" i="19"/>
  <c r="AF1255" i="19"/>
  <c r="F1348" i="19"/>
  <c r="F427" i="19"/>
  <c r="F333" i="19"/>
  <c r="F739" i="19"/>
  <c r="F1049" i="19"/>
  <c r="F172" i="19"/>
  <c r="F90" i="19"/>
  <c r="F905" i="19"/>
  <c r="F134" i="19"/>
  <c r="F892" i="19"/>
  <c r="F1282" i="19"/>
  <c r="F664" i="19"/>
  <c r="F122" i="19"/>
  <c r="F267" i="19"/>
  <c r="F1112" i="19"/>
  <c r="F1369" i="19"/>
  <c r="F392" i="19"/>
  <c r="F666" i="19"/>
  <c r="F591" i="19"/>
  <c r="F127" i="19"/>
  <c r="F121" i="19"/>
  <c r="F24" i="19"/>
  <c r="F150" i="19"/>
  <c r="F1257" i="19"/>
  <c r="F211" i="19"/>
  <c r="F659" i="19"/>
  <c r="F338" i="19"/>
  <c r="F232" i="19"/>
  <c r="F579" i="19"/>
  <c r="F860" i="19"/>
  <c r="F721" i="19"/>
  <c r="F546" i="19"/>
  <c r="F1200" i="19"/>
  <c r="F763" i="19"/>
  <c r="F1382" i="19"/>
  <c r="F36" i="19"/>
  <c r="F112" i="19"/>
  <c r="F862" i="19"/>
  <c r="AF736" i="19"/>
  <c r="AF93" i="19"/>
  <c r="AF960" i="19"/>
  <c r="AF1307" i="19"/>
  <c r="AF1075" i="19"/>
  <c r="AF862" i="19"/>
  <c r="AF309" i="19"/>
  <c r="AF559" i="19"/>
  <c r="AF976" i="19"/>
  <c r="AF254" i="19"/>
  <c r="AF756" i="19"/>
  <c r="AF650" i="19"/>
  <c r="AF935" i="19"/>
  <c r="AF1052" i="19"/>
  <c r="AF1114" i="19"/>
  <c r="AF1061" i="19"/>
  <c r="AF1218" i="19"/>
  <c r="AF1310" i="19"/>
  <c r="AF435" i="19"/>
  <c r="AF612" i="19"/>
  <c r="AF281" i="19"/>
  <c r="AF618" i="19"/>
  <c r="AF1074" i="19"/>
  <c r="AF502" i="19"/>
  <c r="AF1137" i="19"/>
  <c r="AF536" i="19"/>
  <c r="AF424" i="19"/>
  <c r="AF883" i="19"/>
  <c r="AF1143" i="19"/>
  <c r="AF802" i="19"/>
  <c r="AF989" i="19"/>
  <c r="AF1101" i="19"/>
  <c r="AF540" i="19"/>
  <c r="AF79" i="19"/>
  <c r="AF321" i="19"/>
  <c r="AF808" i="19"/>
  <c r="AF1163" i="19"/>
  <c r="AF562" i="19"/>
  <c r="AF687" i="19"/>
  <c r="AF563" i="19"/>
  <c r="AF1292" i="19"/>
  <c r="AF56" i="19"/>
  <c r="AF520" i="19"/>
  <c r="AF555" i="19"/>
  <c r="AF1062" i="19"/>
  <c r="AF120" i="19"/>
  <c r="AF1368" i="19"/>
  <c r="AF190" i="19"/>
  <c r="AF597" i="19"/>
  <c r="AF596" i="19"/>
  <c r="AF329" i="19"/>
  <c r="AF1246" i="19"/>
  <c r="AF444" i="19"/>
  <c r="AF1098" i="19"/>
  <c r="AF870" i="19"/>
  <c r="AF338" i="19"/>
  <c r="AF322" i="19"/>
  <c r="AF1037" i="19"/>
  <c r="AF516" i="19"/>
  <c r="AF871" i="19"/>
  <c r="AF299" i="19"/>
  <c r="AF554" i="19"/>
  <c r="AF591" i="19"/>
  <c r="AF1350" i="19"/>
  <c r="AF1322" i="19"/>
  <c r="AF1045" i="19"/>
  <c r="AF1189" i="19"/>
  <c r="AF296" i="19"/>
  <c r="AF839" i="19"/>
  <c r="AF1023" i="19"/>
  <c r="AF298" i="19"/>
  <c r="AF512" i="19"/>
  <c r="AF1068" i="19"/>
  <c r="AF1339" i="19"/>
  <c r="AF1353" i="19"/>
  <c r="AF1130" i="19"/>
  <c r="AF391" i="19"/>
  <c r="AF625" i="19"/>
  <c r="AF30" i="19"/>
  <c r="AF722" i="19"/>
  <c r="AF611" i="19"/>
  <c r="AF863" i="19"/>
  <c r="AF208" i="19"/>
  <c r="AF510" i="19"/>
  <c r="AF944" i="19"/>
  <c r="AF172" i="19"/>
  <c r="AF519" i="19"/>
  <c r="AF1025" i="19"/>
  <c r="AF881" i="19"/>
  <c r="AF1161" i="19"/>
  <c r="AF139" i="19"/>
  <c r="AF300" i="19"/>
  <c r="AF53" i="19"/>
  <c r="F601" i="19"/>
  <c r="F713" i="19"/>
  <c r="F302" i="19"/>
  <c r="F1025" i="19"/>
  <c r="F510" i="19"/>
  <c r="F144" i="19"/>
  <c r="F558" i="19"/>
  <c r="F199" i="19"/>
  <c r="F618" i="19"/>
  <c r="F430" i="19"/>
  <c r="F934" i="19"/>
  <c r="F287" i="19"/>
  <c r="F832" i="19"/>
  <c r="F1297" i="19"/>
  <c r="F1034" i="19"/>
  <c r="F342" i="19"/>
  <c r="F377" i="19"/>
  <c r="F778" i="19"/>
  <c r="F475" i="19"/>
  <c r="F515" i="19"/>
  <c r="F349" i="19"/>
  <c r="F996" i="19"/>
  <c r="F875" i="19"/>
  <c r="F1277" i="19"/>
  <c r="F910" i="19"/>
  <c r="F1141" i="19"/>
  <c r="F35" i="19"/>
  <c r="AF403" i="19"/>
  <c r="AF689" i="19"/>
  <c r="AF972" i="19"/>
  <c r="AF197" i="19"/>
  <c r="AF1207" i="19"/>
  <c r="AF157" i="19"/>
  <c r="F1102" i="19"/>
  <c r="F1218" i="19"/>
  <c r="F810" i="19"/>
  <c r="F253" i="19"/>
  <c r="F1048" i="19"/>
  <c r="F1308" i="19"/>
  <c r="F269" i="19"/>
  <c r="F699" i="19"/>
  <c r="F203" i="19"/>
  <c r="F697" i="19"/>
  <c r="F1249" i="19"/>
  <c r="F870" i="19"/>
  <c r="F1157" i="19"/>
  <c r="F44" i="19"/>
  <c r="F251" i="19"/>
  <c r="F270" i="19"/>
  <c r="F728" i="19"/>
  <c r="F246" i="19"/>
  <c r="F508" i="19"/>
  <c r="AF1090" i="19"/>
  <c r="AF314" i="19"/>
  <c r="AF533" i="19"/>
  <c r="AF566" i="19"/>
  <c r="AF1365" i="19"/>
  <c r="AF297" i="19"/>
  <c r="AF1139" i="19"/>
  <c r="AF969" i="19"/>
  <c r="AF256" i="19"/>
  <c r="AF1178" i="19"/>
  <c r="AF201" i="19"/>
  <c r="AF659" i="19"/>
  <c r="AF1252" i="19"/>
  <c r="AF500" i="19"/>
  <c r="AF763" i="19"/>
  <c r="AF977" i="19"/>
  <c r="AF716" i="19"/>
  <c r="AF211" i="19"/>
  <c r="AF748" i="19"/>
  <c r="AF623" i="19"/>
  <c r="AF1256" i="19"/>
  <c r="AF484" i="19"/>
  <c r="AF405" i="19"/>
  <c r="AF757" i="19"/>
  <c r="AF905" i="19"/>
  <c r="AF780" i="19"/>
  <c r="AF1325" i="19"/>
  <c r="AF1048" i="19"/>
  <c r="AF184" i="19"/>
  <c r="AF24" i="19"/>
  <c r="AF795" i="19"/>
  <c r="AF657" i="19"/>
  <c r="AF345" i="19"/>
  <c r="AF1162" i="19"/>
  <c r="AF1316" i="19"/>
  <c r="AF678" i="19"/>
  <c r="AF1001" i="19"/>
  <c r="AF1111" i="19"/>
  <c r="AF1047" i="19"/>
  <c r="AF551" i="19"/>
  <c r="AF466" i="19"/>
  <c r="F631" i="19"/>
  <c r="F443" i="19"/>
  <c r="F689" i="19"/>
  <c r="F1008" i="19"/>
  <c r="F355" i="19"/>
  <c r="F314" i="19"/>
  <c r="F361" i="19"/>
  <c r="F274" i="19"/>
  <c r="F794" i="19"/>
  <c r="F598" i="19"/>
  <c r="F750" i="19"/>
  <c r="F1354" i="19"/>
  <c r="F1158" i="19"/>
  <c r="F724" i="19"/>
  <c r="F346" i="19"/>
  <c r="AF1019" i="19"/>
  <c r="AF361" i="19"/>
  <c r="AF882" i="19"/>
  <c r="AF1243" i="19"/>
  <c r="AF1370" i="19"/>
  <c r="AF27" i="19"/>
  <c r="F1211" i="19"/>
  <c r="F1260" i="19"/>
  <c r="F800" i="19"/>
  <c r="F1074" i="19"/>
  <c r="F962" i="19"/>
  <c r="F220" i="19"/>
  <c r="F1202" i="19"/>
  <c r="F726" i="19"/>
  <c r="F125" i="19"/>
  <c r="F856" i="19"/>
  <c r="F813" i="19"/>
  <c r="F1137" i="19"/>
  <c r="F439" i="19"/>
  <c r="F468" i="19"/>
  <c r="F367" i="19"/>
  <c r="F710" i="19"/>
  <c r="F841" i="19"/>
  <c r="F848" i="19"/>
  <c r="F1261" i="19"/>
  <c r="F266" i="19"/>
  <c r="F680" i="19"/>
  <c r="F1012" i="19"/>
  <c r="F132" i="19"/>
  <c r="F861" i="19"/>
  <c r="F94" i="19"/>
  <c r="F503" i="19"/>
  <c r="F70" i="19"/>
  <c r="F923" i="19"/>
  <c r="F84" i="19"/>
  <c r="F185" i="19"/>
  <c r="AF1358" i="19"/>
  <c r="AF274" i="19"/>
  <c r="F567" i="19"/>
  <c r="AF1276" i="19"/>
  <c r="AF1354" i="19"/>
  <c r="AF666" i="19"/>
  <c r="AF317" i="19"/>
  <c r="AF1039" i="19"/>
  <c r="AF58" i="19"/>
  <c r="AF574" i="19"/>
  <c r="AF1173" i="19"/>
  <c r="AF460" i="19"/>
  <c r="AF1320" i="19"/>
  <c r="AF394" i="19"/>
  <c r="AF1265" i="19"/>
  <c r="AF753" i="19"/>
  <c r="AF152" i="19"/>
  <c r="AF40" i="19"/>
  <c r="AF1299" i="19"/>
  <c r="AF1082" i="19"/>
  <c r="AF429" i="19"/>
  <c r="AF295" i="19"/>
  <c r="AF1083" i="19"/>
  <c r="AF534" i="19"/>
  <c r="AF1080" i="19"/>
  <c r="AF899" i="19"/>
  <c r="AF237" i="19"/>
  <c r="AF89" i="19"/>
  <c r="AF1289" i="19"/>
  <c r="AF1206" i="19"/>
  <c r="AF785" i="19"/>
  <c r="AF974" i="19"/>
  <c r="AF1089" i="19"/>
  <c r="AF67" i="19"/>
  <c r="AF359" i="19"/>
  <c r="AF745" i="19"/>
  <c r="AF858" i="19"/>
  <c r="AF335" i="19"/>
  <c r="AF291" i="19"/>
  <c r="AF1112" i="19"/>
  <c r="AF340" i="19"/>
  <c r="AF106" i="19"/>
  <c r="AF726" i="19"/>
  <c r="AF590" i="19"/>
  <c r="AF1056" i="19"/>
  <c r="AF1231" i="19"/>
  <c r="AF997" i="19"/>
  <c r="AF1247" i="19"/>
  <c r="AF495" i="19"/>
  <c r="AF1145" i="19"/>
  <c r="AF844" i="19"/>
  <c r="AF508" i="19"/>
  <c r="AF672" i="19"/>
  <c r="AF1305" i="19"/>
  <c r="AF1333" i="19"/>
  <c r="AF586" i="19"/>
  <c r="AF1152" i="19"/>
  <c r="AF723" i="19"/>
  <c r="AF981" i="19"/>
  <c r="AF840" i="19"/>
  <c r="AF178" i="19"/>
  <c r="AF278" i="19"/>
  <c r="AF980" i="19"/>
  <c r="AF928" i="19"/>
  <c r="AF494" i="19"/>
  <c r="AF527" i="19"/>
  <c r="AF32" i="19"/>
  <c r="AF251" i="19"/>
  <c r="AF740" i="19"/>
  <c r="AF932" i="19"/>
  <c r="AF160" i="19"/>
  <c r="F186" i="19"/>
  <c r="F408" i="19"/>
  <c r="F201" i="19"/>
  <c r="F1122" i="19"/>
  <c r="F663" i="19"/>
  <c r="F1345" i="19"/>
  <c r="F1378" i="19"/>
  <c r="F76" i="19"/>
  <c r="F114" i="19"/>
  <c r="F1001" i="19"/>
  <c r="F1080" i="19"/>
  <c r="F335" i="19"/>
  <c r="F181" i="19"/>
  <c r="F983" i="19"/>
  <c r="F1073" i="19"/>
  <c r="F896" i="19"/>
  <c r="F1115" i="19"/>
  <c r="F1324" i="19"/>
  <c r="F520" i="19"/>
  <c r="F119" i="19"/>
  <c r="F573" i="19"/>
  <c r="F1029" i="19"/>
  <c r="F981" i="19"/>
  <c r="AF1084" i="19"/>
  <c r="AF1017" i="19"/>
  <c r="AF1026" i="19"/>
  <c r="AF81" i="19"/>
  <c r="AF764" i="19"/>
  <c r="AF917" i="19"/>
  <c r="F844" i="19"/>
  <c r="F903" i="19"/>
  <c r="F556" i="19"/>
  <c r="F18" i="19"/>
  <c r="F382" i="19"/>
  <c r="F541" i="19"/>
  <c r="F1336" i="19"/>
  <c r="F1017" i="19"/>
  <c r="F990" i="19"/>
  <c r="F1219" i="19"/>
  <c r="F626" i="19"/>
  <c r="F411" i="19"/>
  <c r="F1042" i="19"/>
  <c r="F1168" i="19"/>
  <c r="F850" i="19"/>
  <c r="F378" i="19"/>
  <c r="F303" i="19"/>
  <c r="F634" i="19"/>
  <c r="F245" i="19"/>
  <c r="F722" i="19"/>
  <c r="F372" i="19"/>
  <c r="F105" i="19"/>
  <c r="F323" i="19"/>
  <c r="AF961" i="19"/>
  <c r="AF1138" i="19"/>
  <c r="AF219" i="19"/>
  <c r="AF137" i="19"/>
  <c r="AF1176" i="19"/>
  <c r="AF214" i="19"/>
  <c r="AF392" i="19"/>
  <c r="AF1119" i="19"/>
  <c r="AF336" i="19"/>
  <c r="AF525" i="19"/>
  <c r="AF1141" i="19"/>
  <c r="AF1011" i="19"/>
  <c r="AF1196" i="19"/>
  <c r="AF1058" i="19"/>
  <c r="AF876" i="19"/>
  <c r="AF894" i="19"/>
  <c r="AF21" i="19"/>
  <c r="AF709" i="19"/>
  <c r="AF422" i="19"/>
  <c r="AF553" i="19"/>
  <c r="AF306" i="19"/>
  <c r="AF653" i="19"/>
  <c r="AF984" i="19"/>
  <c r="AF47" i="19"/>
  <c r="AF75" i="19"/>
  <c r="AF463" i="19"/>
  <c r="AF1222" i="19"/>
  <c r="AF1321" i="19"/>
  <c r="AF820" i="19"/>
  <c r="AF1087" i="19"/>
  <c r="AF821" i="19"/>
  <c r="AF1014" i="19"/>
  <c r="AF859" i="19"/>
  <c r="AF29" i="19"/>
  <c r="AF145" i="19"/>
  <c r="AF351" i="19"/>
  <c r="AF362" i="19"/>
  <c r="AF951" i="19"/>
  <c r="AF1202" i="19"/>
  <c r="AF270" i="19"/>
  <c r="AF393" i="19"/>
  <c r="AF439" i="19"/>
  <c r="AF629" i="19"/>
  <c r="AF1239" i="19"/>
  <c r="AF276" i="19"/>
  <c r="F27" i="19"/>
  <c r="F163" i="19"/>
  <c r="F639" i="19"/>
  <c r="F769" i="19"/>
  <c r="F760" i="19"/>
  <c r="F438" i="19"/>
  <c r="F1243" i="19"/>
  <c r="F197" i="19"/>
  <c r="F1092" i="19"/>
  <c r="F888" i="19"/>
  <c r="F1148" i="19"/>
  <c r="F1129" i="19"/>
  <c r="F1132" i="19"/>
  <c r="F830" i="19"/>
  <c r="F538" i="19"/>
  <c r="F364" i="19"/>
  <c r="F374" i="19"/>
  <c r="F1221" i="19"/>
  <c r="F789" i="19"/>
  <c r="AF493" i="19"/>
  <c r="AF1332" i="19"/>
  <c r="AF1142" i="19"/>
  <c r="AF1172" i="19"/>
  <c r="AF408" i="19"/>
  <c r="F223" i="19"/>
  <c r="F284" i="19"/>
  <c r="F298" i="19"/>
  <c r="F189" i="19"/>
  <c r="F685" i="19"/>
  <c r="F1138" i="19"/>
  <c r="F1223" i="19"/>
  <c r="F1285" i="19"/>
  <c r="F820" i="19"/>
  <c r="F1325" i="19"/>
  <c r="F681" i="19"/>
  <c r="F126" i="19"/>
  <c r="F559" i="19"/>
  <c r="F334" i="19"/>
  <c r="F1232" i="19"/>
  <c r="F535" i="19"/>
  <c r="F460" i="19"/>
  <c r="F402" i="19"/>
  <c r="F824" i="19"/>
  <c r="F391" i="19"/>
  <c r="F473" i="19"/>
  <c r="AF230" i="19"/>
  <c r="AF524" i="19"/>
  <c r="AF661" i="19"/>
  <c r="AF126" i="19"/>
  <c r="AF1375" i="19"/>
  <c r="AF1309" i="19"/>
  <c r="AF789" i="19"/>
  <c r="AF76" i="19"/>
  <c r="AF1356" i="19"/>
  <c r="AF253" i="19"/>
  <c r="AF33" i="19"/>
  <c r="AF636" i="19"/>
  <c r="AF875" i="19"/>
  <c r="AF123" i="19"/>
  <c r="AF1183" i="19"/>
  <c r="AF702" i="19"/>
  <c r="AF68" i="19"/>
  <c r="AF532" i="19"/>
  <c r="AF1097" i="19"/>
  <c r="AF550" i="19"/>
  <c r="AF801" i="19"/>
  <c r="AF90" i="19"/>
  <c r="AF1132" i="19"/>
  <c r="AF1110" i="19"/>
  <c r="AF1279" i="19"/>
  <c r="AF1341" i="19"/>
  <c r="AF52" i="19"/>
  <c r="AF45" i="19"/>
  <c r="AF492" i="19"/>
  <c r="AF954" i="19"/>
  <c r="AF189" i="19"/>
  <c r="AF937" i="19"/>
  <c r="AF627" i="19"/>
  <c r="AF153" i="19"/>
  <c r="AF353" i="19"/>
  <c r="AF22" i="19"/>
  <c r="AF799" i="19"/>
  <c r="AF83" i="19"/>
  <c r="AF668" i="19"/>
  <c r="AF671" i="19"/>
  <c r="AF1328" i="19"/>
  <c r="AF1298" i="19"/>
  <c r="AF939" i="19"/>
  <c r="AF1209" i="19"/>
  <c r="AF187" i="19"/>
  <c r="AF751" i="19"/>
  <c r="AF198" i="19"/>
  <c r="AF1187" i="19"/>
  <c r="AF603" i="19"/>
  <c r="F453" i="19"/>
  <c r="F1185" i="19"/>
  <c r="F648" i="19"/>
  <c r="F589" i="19"/>
  <c r="F345" i="19"/>
  <c r="F498" i="19"/>
  <c r="F776" i="19"/>
  <c r="F113" i="19"/>
  <c r="F814" i="19"/>
  <c r="F627" i="19"/>
  <c r="F235" i="19"/>
  <c r="F1340" i="19"/>
  <c r="F1222" i="19"/>
  <c r="F845" i="19"/>
  <c r="F1070" i="19"/>
  <c r="F329" i="19"/>
  <c r="F86" i="19"/>
  <c r="F798" i="19"/>
  <c r="F527" i="19"/>
  <c r="F1011" i="19"/>
  <c r="AF1287" i="19"/>
  <c r="AF719" i="19"/>
  <c r="AF564" i="19"/>
  <c r="AF1361" i="19"/>
  <c r="AF397" i="19"/>
  <c r="F1188" i="19"/>
  <c r="F1149" i="19"/>
  <c r="F455" i="19"/>
  <c r="F354" i="19"/>
  <c r="F696" i="19"/>
  <c r="F690" i="19"/>
  <c r="F1105" i="19"/>
  <c r="F519" i="19"/>
  <c r="F932" i="19"/>
  <c r="F922" i="19"/>
  <c r="F1181" i="19"/>
  <c r="F15" i="19"/>
  <c r="F278" i="19"/>
  <c r="F766" i="19"/>
  <c r="F167" i="19"/>
  <c r="F141" i="19"/>
  <c r="F347" i="19"/>
  <c r="F617" i="19"/>
  <c r="F80" i="19"/>
  <c r="F188" i="19"/>
  <c r="F58" i="19"/>
  <c r="F866" i="19"/>
  <c r="F148" i="19"/>
  <c r="AF180" i="19"/>
  <c r="AF730" i="19"/>
  <c r="AF1185" i="19"/>
  <c r="AF584" i="19"/>
  <c r="AF472" i="19"/>
  <c r="AF398" i="19"/>
  <c r="AF561" i="19"/>
  <c r="AF1318" i="19"/>
  <c r="AF454" i="19"/>
  <c r="AF1388" i="19"/>
  <c r="AF587" i="19"/>
  <c r="AF146" i="19"/>
  <c r="AF683" i="19"/>
  <c r="AF800" i="19"/>
  <c r="AF948" i="19"/>
  <c r="AF430" i="19"/>
  <c r="AF363" i="19"/>
  <c r="AF388" i="19"/>
  <c r="AF246" i="19"/>
  <c r="AF215" i="19"/>
  <c r="AF632" i="19"/>
  <c r="AF294" i="19"/>
  <c r="AF929" i="19"/>
  <c r="AF680" i="19"/>
  <c r="AF175" i="19"/>
  <c r="AF936" i="19"/>
  <c r="AF420" i="19"/>
  <c r="AF1003" i="19"/>
  <c r="AF204" i="19"/>
  <c r="AF1228" i="19"/>
  <c r="AF676" i="19"/>
  <c r="AF459" i="19"/>
  <c r="AF605" i="19"/>
  <c r="AF458" i="19"/>
  <c r="AF113" i="19"/>
  <c r="AF675" i="19"/>
  <c r="AF703" i="19"/>
  <c r="AF357" i="19"/>
  <c r="AF1179" i="19"/>
  <c r="AF434" i="19"/>
  <c r="AF885" i="19"/>
  <c r="AF546" i="19"/>
  <c r="AF118" i="19"/>
  <c r="F768" i="19"/>
  <c r="F156" i="19"/>
  <c r="F130" i="19"/>
  <c r="F373" i="19"/>
  <c r="F580" i="19"/>
  <c r="F319" i="19"/>
  <c r="F417" i="19"/>
  <c r="F357" i="19"/>
  <c r="F1250" i="19"/>
  <c r="F1139" i="19"/>
  <c r="AF556" i="19"/>
  <c r="AF738" i="19"/>
  <c r="AF1029" i="19"/>
  <c r="AF903" i="19"/>
  <c r="F1151" i="19"/>
  <c r="F1231" i="19"/>
  <c r="F612" i="19"/>
  <c r="F1347" i="19"/>
  <c r="F249" i="19"/>
  <c r="F379" i="19"/>
  <c r="F187" i="19"/>
  <c r="F806" i="19"/>
  <c r="F936" i="19"/>
  <c r="F59" i="19"/>
  <c r="F91" i="19"/>
  <c r="F656" i="19"/>
  <c r="F1245" i="19"/>
  <c r="F665" i="19"/>
  <c r="F720" i="19"/>
  <c r="AF967" i="19"/>
  <c r="AF576" i="19"/>
  <c r="AF1181" i="19"/>
  <c r="AF1195" i="19"/>
  <c r="AF1005" i="19"/>
  <c r="AF292" i="19"/>
  <c r="AF1159" i="19"/>
  <c r="AF1103" i="19"/>
  <c r="AF845" i="19"/>
  <c r="AF547" i="19"/>
  <c r="AF1274" i="19"/>
  <c r="AF1030" i="19"/>
  <c r="AF94" i="19"/>
  <c r="AF127" i="19"/>
  <c r="AF916" i="19"/>
  <c r="AF1201" i="19"/>
  <c r="AF594" i="19"/>
  <c r="AF498" i="19"/>
  <c r="AF142" i="19"/>
  <c r="AF1016" i="19"/>
  <c r="AF991" i="19"/>
  <c r="AF1331" i="19"/>
  <c r="AF221" i="19"/>
  <c r="AF159" i="19"/>
  <c r="AF1067" i="19"/>
  <c r="AF1053" i="19"/>
  <c r="AF468" i="19"/>
  <c r="AF1227" i="19"/>
  <c r="AF1267" i="19"/>
  <c r="AF1092" i="19"/>
  <c r="AF758" i="19"/>
  <c r="AF225" i="19"/>
  <c r="AF1170" i="19"/>
  <c r="AF1095" i="19"/>
  <c r="AF786" i="19"/>
  <c r="AF1221" i="19"/>
  <c r="AF913" i="19"/>
  <c r="AF545" i="19"/>
  <c r="AF286" i="19"/>
  <c r="AF891" i="19"/>
  <c r="AF313" i="19"/>
  <c r="AF1336" i="19"/>
  <c r="AF791" i="19"/>
  <c r="AF1036" i="19"/>
  <c r="AF1382" i="19"/>
  <c r="AF613" i="19"/>
  <c r="AF1291" i="19"/>
  <c r="AF815" i="19"/>
  <c r="AF272" i="19"/>
  <c r="F995" i="19"/>
  <c r="F118" i="19"/>
  <c r="F1054" i="19"/>
  <c r="F193" i="19"/>
  <c r="F4" i="19"/>
  <c r="F882" i="19"/>
  <c r="F1296" i="19"/>
  <c r="F356" i="19"/>
  <c r="F947" i="19"/>
  <c r="F702" i="19"/>
  <c r="F1356" i="19"/>
  <c r="F480" i="19"/>
  <c r="AF364" i="19"/>
  <c r="AF1193" i="19"/>
  <c r="AF999" i="19"/>
  <c r="F748" i="19"/>
  <c r="F1127" i="19"/>
  <c r="F1004" i="19"/>
  <c r="F1258" i="19"/>
  <c r="F488" i="19"/>
  <c r="F893" i="19"/>
  <c r="F339" i="19"/>
  <c r="F261" i="19"/>
  <c r="F927" i="19"/>
  <c r="F1192" i="19"/>
  <c r="F885" i="19"/>
  <c r="F980" i="19"/>
  <c r="F963" i="19"/>
  <c r="F1206" i="19"/>
  <c r="F823" i="19"/>
  <c r="F1334" i="19"/>
  <c r="F1300" i="19"/>
  <c r="F518" i="19"/>
  <c r="F1339" i="19"/>
  <c r="F396" i="19"/>
  <c r="F393" i="19"/>
  <c r="F736" i="19"/>
  <c r="F633" i="19"/>
  <c r="F865" i="19"/>
  <c r="F828" i="19"/>
  <c r="F514" i="19"/>
  <c r="F316" i="19"/>
  <c r="F595" i="19"/>
  <c r="F660" i="19"/>
  <c r="F548" i="19"/>
  <c r="AF257" i="19"/>
  <c r="AF489" i="19"/>
  <c r="AF1282" i="19"/>
  <c r="AF888" i="19"/>
  <c r="AF1374" i="19"/>
  <c r="AF1182" i="19"/>
  <c r="AF598" i="19"/>
  <c r="AF37" i="19"/>
  <c r="AF379" i="19"/>
  <c r="AF727" i="19"/>
  <c r="AF250" i="19"/>
  <c r="AF242" i="19"/>
  <c r="AF731" i="19"/>
  <c r="AF848" i="19"/>
  <c r="AF1363" i="19"/>
  <c r="AF226" i="19"/>
  <c r="AF922" i="19"/>
  <c r="AF1094" i="19"/>
  <c r="AF342" i="19"/>
  <c r="AF101" i="19"/>
  <c r="AF1383" i="19"/>
  <c r="AF1081" i="19"/>
  <c r="AF933" i="19"/>
  <c r="AF332" i="19"/>
  <c r="AF220" i="19"/>
  <c r="AF930" i="19"/>
  <c r="AF578" i="19"/>
  <c r="AF797" i="19"/>
  <c r="AF957" i="19"/>
  <c r="AF324" i="19"/>
  <c r="AF778" i="19"/>
  <c r="AF1034" i="19"/>
  <c r="AF924" i="19"/>
  <c r="AF177" i="19"/>
  <c r="AF347" i="19"/>
  <c r="AF1148" i="19"/>
  <c r="AF643" i="19"/>
  <c r="AF376" i="19"/>
  <c r="AF194" i="19"/>
  <c r="AF1273" i="19"/>
  <c r="AF1194" i="19"/>
  <c r="AF381" i="19"/>
  <c r="AF452" i="19"/>
  <c r="AF185" i="19"/>
  <c r="AF963" i="19"/>
  <c r="AF1186" i="19"/>
  <c r="AF63" i="19"/>
  <c r="AF823" i="19"/>
  <c r="AF868" i="19"/>
  <c r="AF1199" i="19"/>
  <c r="AF700" i="19"/>
  <c r="AF1248" i="19"/>
  <c r="AF1120" i="19"/>
  <c r="AF620" i="19"/>
  <c r="AF238" i="19"/>
  <c r="AF182" i="19"/>
  <c r="AF486" i="19"/>
  <c r="AF682" i="19"/>
  <c r="AF62" i="19"/>
  <c r="AF227" i="19"/>
  <c r="AF128" i="19"/>
  <c r="AF918" i="19"/>
  <c r="AF886" i="19"/>
  <c r="AF599" i="19"/>
  <c r="AF1121" i="19"/>
  <c r="AF692" i="19"/>
  <c r="AF229" i="19"/>
  <c r="AF99" i="19"/>
  <c r="AF409" i="19"/>
  <c r="AF873" i="19"/>
  <c r="AF581" i="19"/>
  <c r="AF642" i="19"/>
  <c r="F385" i="19"/>
  <c r="F46" i="19"/>
  <c r="F1241" i="19"/>
  <c r="F868" i="19"/>
  <c r="F1270" i="19"/>
  <c r="F53" i="19"/>
  <c r="F369" i="19"/>
  <c r="F1134" i="19"/>
  <c r="F684" i="19"/>
  <c r="F108" i="19"/>
  <c r="F1238" i="19"/>
  <c r="F62" i="19"/>
  <c r="F100" i="19"/>
  <c r="F1108" i="19"/>
  <c r="F386" i="19"/>
  <c r="F169" i="19"/>
  <c r="F1215" i="19"/>
  <c r="F256" i="19"/>
  <c r="F1216" i="19"/>
  <c r="AF176" i="19"/>
  <c r="AF1212" i="19"/>
  <c r="F708" i="19"/>
  <c r="F492" i="19"/>
  <c r="F899" i="19"/>
  <c r="F1268" i="19"/>
  <c r="F210" i="19"/>
  <c r="F676" i="19"/>
  <c r="F496" i="19"/>
  <c r="F420" i="19"/>
  <c r="F436" i="19"/>
  <c r="F991" i="19"/>
  <c r="F471" i="19"/>
  <c r="F675" i="19"/>
  <c r="F1180" i="19"/>
  <c r="F1234" i="19"/>
  <c r="F928" i="19"/>
  <c r="F779" i="19"/>
  <c r="F1062" i="19"/>
  <c r="F974" i="19"/>
  <c r="F234" i="19"/>
  <c r="F1190" i="19"/>
  <c r="F409" i="19"/>
  <c r="F1066" i="19"/>
  <c r="F886" i="19"/>
  <c r="F964" i="19"/>
  <c r="F1195" i="19"/>
  <c r="F111" i="19"/>
  <c r="F652" i="19"/>
  <c r="F550" i="19"/>
  <c r="F1311" i="19"/>
  <c r="F363" i="19"/>
  <c r="F242" i="19"/>
  <c r="F1235" i="19"/>
  <c r="F207" i="19"/>
  <c r="F239" i="19"/>
  <c r="F833" i="19"/>
  <c r="F881" i="19"/>
  <c r="F230" i="19"/>
  <c r="AF228" i="19"/>
  <c r="AF569" i="19"/>
  <c r="AF861" i="19"/>
  <c r="AF386" i="19"/>
  <c r="AF135" i="19"/>
  <c r="AF1086" i="19"/>
  <c r="AF914" i="19"/>
  <c r="AF166" i="19"/>
  <c r="AF1244" i="19"/>
  <c r="AF163" i="19"/>
  <c r="AF326" i="19"/>
  <c r="AF1131" i="19"/>
  <c r="AF1259" i="19"/>
  <c r="AF1338" i="19"/>
  <c r="AF471" i="19"/>
  <c r="AF648" i="19"/>
  <c r="AF305" i="19"/>
  <c r="AF411" i="19"/>
  <c r="AF713" i="19"/>
  <c r="AF470" i="19"/>
  <c r="AF816" i="19"/>
  <c r="AF1329" i="19"/>
  <c r="AF18" i="19"/>
  <c r="AF616" i="19"/>
  <c r="AF1190" i="19"/>
  <c r="AF441" i="19"/>
  <c r="AF746" i="19"/>
  <c r="AF1251" i="19"/>
  <c r="AF741" i="19"/>
  <c r="AF140" i="19"/>
  <c r="AF28" i="19"/>
  <c r="AF1018" i="19"/>
  <c r="AF634" i="19"/>
  <c r="AF290" i="19"/>
  <c r="AF573" i="19"/>
  <c r="AF813" i="19"/>
  <c r="AF108" i="19"/>
  <c r="AF521" i="19"/>
  <c r="AF1109" i="19"/>
  <c r="AF1294" i="19"/>
  <c r="AF662" i="19"/>
  <c r="AF1326" i="19"/>
  <c r="AF119" i="19"/>
  <c r="AF131" i="19"/>
  <c r="AF1004" i="19"/>
  <c r="AF499" i="19"/>
  <c r="AF232" i="19"/>
  <c r="AF699" i="19"/>
  <c r="AF953" i="19"/>
  <c r="AF1043" i="19"/>
  <c r="AF1022" i="19"/>
  <c r="AF851" i="19"/>
  <c r="AF165" i="19"/>
  <c r="AF308" i="19"/>
  <c r="AF41" i="19"/>
  <c r="AF585" i="19"/>
  <c r="AF138" i="19"/>
  <c r="AF1264" i="19"/>
  <c r="AF925" i="19"/>
  <c r="AF781" i="19"/>
  <c r="AF1263" i="19"/>
  <c r="AF1343" i="19"/>
  <c r="AF712" i="19"/>
  <c r="AF733" i="19"/>
  <c r="AF761" i="19"/>
  <c r="AF787" i="19"/>
  <c r="AF673" i="19"/>
  <c r="AF867" i="19"/>
  <c r="AF852" i="19"/>
  <c r="AF1044" i="19"/>
  <c r="AF1032" i="19"/>
  <c r="AF234" i="19"/>
  <c r="AF718" i="19"/>
  <c r="AF794" i="19"/>
  <c r="AF515" i="19"/>
  <c r="AF1088" i="19"/>
  <c r="AF1369" i="19"/>
  <c r="AF328" i="19"/>
  <c r="AF334" i="19"/>
  <c r="AF771" i="19"/>
  <c r="AF558" i="19"/>
  <c r="AF725" i="19"/>
  <c r="AF4" i="19"/>
  <c r="AF537" i="19"/>
  <c r="AF1257" i="19"/>
  <c r="AF1278" i="19"/>
  <c r="AF773" i="19"/>
  <c r="AF701" i="19"/>
  <c r="AF216" i="19"/>
  <c r="AF1158" i="19"/>
  <c r="AF1060" i="19"/>
  <c r="AF804" i="19"/>
  <c r="AF1324" i="19"/>
  <c r="AF541" i="19"/>
  <c r="AF293" i="19"/>
  <c r="AF775" i="19"/>
  <c r="AF1288" i="19"/>
  <c r="F205" i="19"/>
  <c r="F1143" i="19"/>
  <c r="F914" i="19"/>
  <c r="F137" i="19"/>
  <c r="F1100" i="19"/>
  <c r="F669" i="19"/>
  <c r="F953" i="19"/>
  <c r="F477" i="19"/>
  <c r="F149" i="19"/>
  <c r="F1391" i="19"/>
  <c r="B6" i="23" s="1"/>
  <c r="F1386" i="19"/>
  <c r="F977" i="19"/>
  <c r="F45" i="19"/>
  <c r="F757" i="19"/>
  <c r="F8" i="19"/>
  <c r="F747" i="19"/>
  <c r="F1255" i="19"/>
  <c r="F370" i="19"/>
  <c r="F1177" i="19"/>
  <c r="F29" i="19"/>
  <c r="F801" i="19"/>
  <c r="F404" i="19"/>
  <c r="F620" i="19"/>
  <c r="F1367" i="19"/>
  <c r="F1307" i="19"/>
  <c r="AF752" i="19"/>
  <c r="AF809" i="19"/>
  <c r="AF535" i="19"/>
  <c r="AF1210" i="19"/>
  <c r="AF417" i="19"/>
  <c r="AF1020" i="19"/>
  <c r="AF834" i="19"/>
  <c r="AF55" i="19"/>
  <c r="AF693" i="19"/>
  <c r="AF645" i="19"/>
  <c r="AF1215" i="19"/>
  <c r="AF915" i="19"/>
  <c r="AF156" i="19"/>
  <c r="AF330" i="19"/>
  <c r="AF747" i="19"/>
  <c r="AF592" i="19"/>
  <c r="AF619" i="19"/>
  <c r="AF1364" i="19"/>
  <c r="AF311" i="19"/>
  <c r="AF818" i="19"/>
  <c r="AF1260" i="19"/>
  <c r="AF1153" i="19"/>
  <c r="AF1286" i="19"/>
  <c r="AF247" i="19"/>
  <c r="AF327" i="19"/>
  <c r="AF1253" i="19"/>
  <c r="AF267" i="19"/>
  <c r="AF667" i="19"/>
  <c r="AF57" i="19"/>
  <c r="AF893" i="19"/>
  <c r="AF1038" i="19"/>
  <c r="AF410" i="19"/>
  <c r="AF1371" i="19"/>
  <c r="AF207" i="19"/>
  <c r="AF1078" i="19"/>
  <c r="AF955" i="19"/>
  <c r="AF258" i="19"/>
  <c r="AF568" i="19"/>
  <c r="AF43" i="19"/>
  <c r="AF380" i="19"/>
  <c r="AF788" i="19"/>
  <c r="AF469" i="19"/>
  <c r="AF255" i="19"/>
  <c r="AF622" i="19"/>
  <c r="AF1237" i="19"/>
  <c r="AF754" i="19"/>
  <c r="AF13" i="19"/>
  <c r="AF688" i="19"/>
  <c r="AF1219" i="19"/>
  <c r="AF1204" i="19"/>
  <c r="AF15" i="19"/>
  <c r="AF421" i="19"/>
  <c r="AF64" i="19"/>
  <c r="AF580" i="19"/>
  <c r="AF595" i="19"/>
  <c r="AF162" i="19"/>
  <c r="AF836" i="19"/>
  <c r="AF1077" i="19"/>
  <c r="AF959" i="19"/>
  <c r="AF1295" i="19"/>
  <c r="AF768" i="19"/>
  <c r="AF48" i="19"/>
  <c r="AF710" i="19"/>
  <c r="AF86" i="19"/>
  <c r="AF1177" i="19"/>
  <c r="AF985" i="19"/>
  <c r="AF78" i="19"/>
  <c r="AF66" i="19"/>
  <c r="AF835" i="19"/>
  <c r="AF708" i="19"/>
  <c r="AF428" i="19"/>
  <c r="AF705" i="19"/>
  <c r="AF830" i="19"/>
  <c r="AF1367" i="19"/>
  <c r="AF783" i="19"/>
  <c r="AF110" i="19"/>
  <c r="AF943" i="19"/>
  <c r="AF222" i="19"/>
  <c r="AF514" i="19"/>
  <c r="AF721" i="19"/>
  <c r="AF631" i="19"/>
  <c r="AF717" i="19"/>
  <c r="AF1381" i="19"/>
  <c r="AF1009" i="19"/>
  <c r="AF259" i="19"/>
  <c r="AF1281" i="19"/>
  <c r="AF927" i="19"/>
  <c r="AF1027" i="19"/>
  <c r="AF855" i="19"/>
  <c r="AF724" i="19"/>
  <c r="AF1133" i="19"/>
  <c r="AF169" i="19"/>
  <c r="AF1091" i="19"/>
  <c r="AF136" i="19"/>
  <c r="AF425" i="19"/>
  <c r="AF440" i="19"/>
  <c r="AF414" i="19"/>
  <c r="AF1269" i="19"/>
  <c r="AF983" i="19"/>
  <c r="AF846" i="19"/>
  <c r="AF98" i="19"/>
  <c r="AF1024" i="19"/>
  <c r="AF374" i="19"/>
  <c r="AF1277" i="19"/>
  <c r="AF565" i="19"/>
  <c r="AF339" i="19"/>
  <c r="AF1169" i="19"/>
  <c r="AF1327" i="19"/>
  <c r="AF205" i="19"/>
  <c r="AF694" i="19"/>
  <c r="AF437" i="19"/>
  <c r="AF464" i="19"/>
  <c r="AF1040" i="19"/>
  <c r="AF729" i="19"/>
  <c r="AF383" i="19"/>
  <c r="AF191" i="19"/>
  <c r="AF121" i="19"/>
  <c r="AF1290" i="19"/>
  <c r="AF518" i="19"/>
  <c r="AF16" i="19"/>
  <c r="AF583" i="19"/>
  <c r="AF1340" i="19"/>
  <c r="AF923" i="19"/>
  <c r="AF1266" i="19"/>
  <c r="AF60" i="19"/>
  <c r="AF50" i="19"/>
  <c r="AF287" i="19"/>
  <c r="AF1117" i="19"/>
  <c r="AF401" i="19"/>
  <c r="AF1352" i="19"/>
  <c r="AF770" i="19"/>
  <c r="AF10" i="19"/>
  <c r="AF124" i="19"/>
  <c r="AF91" i="19"/>
  <c r="AF360" i="19"/>
  <c r="AF1113" i="19"/>
  <c r="AF1234" i="19"/>
  <c r="AF158" i="19"/>
  <c r="AF640" i="19"/>
  <c r="AF908" i="19"/>
  <c r="AF878" i="19"/>
  <c r="AF143" i="19"/>
  <c r="AF1129" i="19"/>
  <c r="AF588" i="19"/>
  <c r="AF268" i="19"/>
  <c r="AF432" i="19"/>
  <c r="AF1007" i="19"/>
  <c r="AF241" i="19"/>
  <c r="AF1335" i="19"/>
  <c r="AF760" i="19"/>
  <c r="AF865" i="19"/>
  <c r="AF245" i="19"/>
  <c r="AF144" i="19"/>
  <c r="AF1065" i="19"/>
  <c r="AF750" i="19"/>
  <c r="AF1157" i="19"/>
  <c r="AF940" i="19"/>
  <c r="AF1261" i="19"/>
  <c r="AF416" i="19"/>
  <c r="AF275" i="19"/>
  <c r="AF49" i="19"/>
  <c r="AF1241" i="19"/>
  <c r="AF369" i="19"/>
  <c r="AF413" i="19"/>
  <c r="AF896" i="19"/>
  <c r="AF971" i="19"/>
  <c r="AF74" i="19"/>
  <c r="AF610" i="19"/>
  <c r="AF1076" i="19"/>
  <c r="AF658" i="19"/>
  <c r="AF1360" i="19"/>
  <c r="AF304" i="19"/>
  <c r="AF1311" i="19"/>
  <c r="AF1236" i="19"/>
  <c r="AF485" i="19"/>
  <c r="AF1293" i="19"/>
  <c r="AF732" i="19"/>
  <c r="AF73" i="19"/>
  <c r="AF1046" i="19"/>
  <c r="AF446" i="19"/>
  <c r="AF615" i="19"/>
  <c r="AF477" i="19"/>
  <c r="AF271" i="19"/>
  <c r="AF482" i="19"/>
  <c r="AF87" i="19"/>
  <c r="AF92" i="19"/>
  <c r="AF910" i="19"/>
  <c r="AF826" i="19"/>
  <c r="AF575" i="19"/>
  <c r="AF476" i="19"/>
  <c r="AF263" i="19"/>
  <c r="AF942" i="19"/>
  <c r="AF218" i="19"/>
  <c r="AF1366" i="19"/>
  <c r="AF450" i="19"/>
  <c r="AF1054" i="19"/>
  <c r="AF777" i="19"/>
  <c r="F952" i="19"/>
  <c r="F136" i="19"/>
  <c r="F168" i="19"/>
  <c r="F311" i="19"/>
  <c r="F984" i="19"/>
  <c r="AF1226" i="19"/>
  <c r="AF884" i="19"/>
  <c r="AF864" i="19"/>
  <c r="AF1359" i="19"/>
  <c r="AF978" i="19"/>
  <c r="AF487" i="19"/>
  <c r="AF453" i="19"/>
  <c r="AF1355" i="19"/>
  <c r="AF507" i="19"/>
  <c r="AF1071" i="19"/>
  <c r="AF979" i="19"/>
  <c r="AF837" i="19"/>
  <c r="AF557" i="19"/>
  <c r="AF838" i="19"/>
  <c r="F1271" i="19"/>
  <c r="F1294" i="19"/>
  <c r="F479" i="19"/>
  <c r="F921" i="19"/>
  <c r="F413" i="19"/>
  <c r="F524" i="19"/>
  <c r="F418" i="19"/>
  <c r="F705" i="19"/>
  <c r="AF986" i="19"/>
  <c r="AF1306" i="19"/>
  <c r="AF828" i="19"/>
  <c r="AF614" i="19"/>
  <c r="AF115" i="19"/>
  <c r="AF212" i="19"/>
  <c r="AF782" i="19"/>
  <c r="AF567" i="19"/>
  <c r="AF196" i="19"/>
  <c r="AF784" i="19"/>
  <c r="AF1200" i="19"/>
  <c r="AF1230" i="19"/>
  <c r="AF1055" i="19"/>
  <c r="AF39" i="19"/>
  <c r="AF630" i="19"/>
  <c r="F937" i="19"/>
  <c r="F1179" i="19"/>
  <c r="F1293" i="19"/>
  <c r="F904" i="19"/>
  <c r="F582" i="19"/>
  <c r="F783" i="19"/>
  <c r="F782" i="19"/>
  <c r="F366" i="19"/>
  <c r="F465" i="19"/>
  <c r="AF46" i="19"/>
  <c r="AF609" i="19"/>
  <c r="AF303" i="19"/>
  <c r="AF1116" i="19"/>
  <c r="AF523" i="19"/>
  <c r="AF992" i="19"/>
  <c r="AF579" i="19"/>
  <c r="AF601" i="19"/>
  <c r="AF1249" i="19"/>
  <c r="AF319" i="19"/>
  <c r="AF906" i="19"/>
  <c r="AF633" i="19"/>
  <c r="AF679" i="19"/>
  <c r="AF320" i="19"/>
  <c r="AF950" i="19"/>
  <c r="F403" i="19"/>
  <c r="F1333" i="19"/>
  <c r="F857" i="19"/>
  <c r="F829" i="19"/>
  <c r="F23" i="19"/>
  <c r="F1047" i="19"/>
  <c r="F1326" i="19"/>
  <c r="F742" i="19"/>
  <c r="AF1235" i="19"/>
  <c r="AF85" i="19"/>
  <c r="AF772" i="19"/>
  <c r="AF1156" i="19"/>
  <c r="AF1059" i="19"/>
  <c r="AF793" i="19"/>
  <c r="AF655" i="19"/>
  <c r="AF649" i="19"/>
  <c r="AF1107" i="19"/>
  <c r="AF375" i="19"/>
  <c r="AF663" i="19"/>
  <c r="AF1330" i="19"/>
  <c r="AF11" i="19"/>
  <c r="AF9" i="19"/>
  <c r="AF26" i="19"/>
  <c r="AF593" i="19"/>
  <c r="AF560" i="19"/>
  <c r="F700" i="19"/>
  <c r="F288" i="19"/>
  <c r="F212" i="19"/>
  <c r="F939" i="19"/>
  <c r="F10" i="19"/>
  <c r="AF382" i="19"/>
  <c r="F183" i="19"/>
  <c r="F1019" i="19"/>
  <c r="F719" i="19"/>
  <c r="F891" i="19"/>
  <c r="F1224" i="19"/>
  <c r="F289" i="19"/>
  <c r="F1026" i="19"/>
  <c r="AF404" i="19"/>
  <c r="AF1002" i="19"/>
  <c r="AF426" i="19"/>
  <c r="AF269" i="19"/>
  <c r="AF147" i="19"/>
  <c r="AF759" i="19"/>
  <c r="AF488" i="19"/>
  <c r="AF926" i="19"/>
  <c r="AF677" i="19"/>
  <c r="AF483" i="19"/>
  <c r="AF199" i="19"/>
  <c r="AF1313" i="19"/>
  <c r="AF235" i="19"/>
  <c r="AF210" i="19"/>
  <c r="AF749" i="19"/>
  <c r="F988" i="19"/>
  <c r="F1253" i="19"/>
  <c r="F143" i="19"/>
  <c r="F734" i="19"/>
  <c r="F1210" i="19"/>
  <c r="AF183" i="19"/>
  <c r="AF1167" i="19"/>
  <c r="F41" i="19"/>
  <c r="F693" i="19"/>
  <c r="F1164" i="19"/>
  <c r="F1283" i="19"/>
  <c r="F110" i="19"/>
  <c r="F63" i="19"/>
  <c r="F265" i="19"/>
  <c r="F1113" i="19"/>
  <c r="F495" i="19"/>
  <c r="F628" i="19"/>
  <c r="AF973" i="19"/>
  <c r="AF1362" i="19"/>
  <c r="AF497" i="19"/>
  <c r="AF167" i="19"/>
  <c r="AF96" i="19"/>
  <c r="AF902" i="19"/>
  <c r="AF665" i="19"/>
  <c r="AF407" i="19"/>
  <c r="AF892" i="19"/>
  <c r="AF995" i="19"/>
  <c r="AF739" i="19"/>
  <c r="AF1225" i="19"/>
  <c r="AF542" i="19"/>
  <c r="AF1303" i="19"/>
  <c r="AF1150" i="19"/>
  <c r="AF1300" i="19"/>
  <c r="AF1242" i="19"/>
  <c r="AF1271" i="19"/>
  <c r="AF651" i="19"/>
  <c r="AF1198" i="19"/>
  <c r="AF938" i="19"/>
  <c r="AF1315" i="19"/>
  <c r="AF654" i="19"/>
  <c r="AF1115" i="19"/>
  <c r="F957" i="19"/>
  <c r="F1056" i="19"/>
  <c r="F158" i="19"/>
  <c r="F1372" i="19"/>
  <c r="F1014" i="19"/>
  <c r="F614" i="19"/>
  <c r="F1160" i="19"/>
  <c r="AF7" i="19"/>
  <c r="AF456" i="19"/>
  <c r="AF571" i="19"/>
  <c r="F1248" i="19"/>
  <c r="F915" i="19"/>
  <c r="F1246" i="19"/>
  <c r="F942" i="19"/>
  <c r="F358" i="19"/>
  <c r="F650" i="19"/>
  <c r="F1117" i="19"/>
  <c r="F1045" i="19"/>
  <c r="F1201" i="19"/>
  <c r="F216" i="19"/>
  <c r="F295" i="19"/>
  <c r="F646" i="19"/>
  <c r="F826" i="19"/>
  <c r="F1252" i="19"/>
  <c r="F1341" i="19"/>
  <c r="F1053" i="19"/>
  <c r="F557" i="19"/>
  <c r="F1040" i="19"/>
  <c r="F662" i="19"/>
  <c r="F17" i="19"/>
  <c r="F1099" i="19"/>
  <c r="F597" i="19"/>
  <c r="F39" i="19"/>
  <c r="F1098" i="19"/>
  <c r="F755" i="19"/>
  <c r="F38" i="19"/>
  <c r="F1121" i="19"/>
  <c r="F715" i="19"/>
  <c r="F182" i="19"/>
  <c r="F200" i="19"/>
  <c r="F521" i="19"/>
  <c r="F286" i="19"/>
  <c r="F600" i="19"/>
  <c r="F986" i="19"/>
  <c r="F175" i="19"/>
  <c r="F603" i="19"/>
  <c r="F19" i="19"/>
  <c r="F407" i="19"/>
  <c r="F34" i="19"/>
  <c r="F474" i="19"/>
  <c r="F775" i="19"/>
  <c r="F1107" i="19"/>
  <c r="F811" i="19"/>
  <c r="F252" i="19"/>
  <c r="F1286" i="19"/>
  <c r="F969" i="19"/>
  <c r="F588" i="19"/>
  <c r="F1376" i="19"/>
  <c r="F68" i="19"/>
  <c r="F37" i="19"/>
  <c r="F301" i="19"/>
  <c r="F613" i="19"/>
  <c r="F877" i="19"/>
  <c r="F1321" i="19"/>
  <c r="F336" i="19"/>
  <c r="F359" i="19"/>
  <c r="F883" i="19"/>
  <c r="F909" i="19"/>
  <c r="F1358" i="19"/>
  <c r="F72" i="19"/>
  <c r="F525" i="19"/>
  <c r="F54" i="19"/>
  <c r="F264" i="19"/>
  <c r="F1212" i="19"/>
  <c r="F1103" i="19"/>
  <c r="F1030" i="19"/>
  <c r="F1173" i="19"/>
  <c r="F854" i="19"/>
  <c r="F1266" i="19"/>
  <c r="F504" i="19"/>
  <c r="F784" i="19"/>
  <c r="F291" i="19"/>
  <c r="F846" i="19"/>
  <c r="F457" i="19"/>
  <c r="F170" i="19"/>
  <c r="F941" i="19"/>
  <c r="F594" i="19"/>
  <c r="F1284" i="19"/>
  <c r="F1161" i="19"/>
  <c r="F332" i="19"/>
  <c r="F851" i="19"/>
  <c r="F933" i="19"/>
  <c r="F717" i="19"/>
  <c r="F797" i="19"/>
  <c r="F233" i="19"/>
  <c r="F1251" i="19"/>
  <c r="F1118" i="19"/>
  <c r="F1360" i="19"/>
  <c r="F1067" i="19"/>
  <c r="F916" i="19"/>
  <c r="F900" i="19"/>
  <c r="F632" i="19"/>
  <c r="F140" i="19"/>
  <c r="F835" i="19"/>
  <c r="F327" i="19"/>
  <c r="F28" i="19"/>
  <c r="F115" i="19"/>
  <c r="F446" i="19"/>
  <c r="F1239" i="19"/>
  <c r="F1106" i="19"/>
  <c r="F160" i="19"/>
  <c r="F481" i="19"/>
  <c r="F873" i="19"/>
  <c r="F452" i="19"/>
  <c r="F583" i="19"/>
  <c r="F1172" i="19"/>
  <c r="F818" i="19"/>
  <c r="F907" i="19"/>
  <c r="F743" i="19"/>
  <c r="F459" i="19"/>
  <c r="F1227" i="19"/>
  <c r="F493" i="19"/>
  <c r="F979" i="19"/>
  <c r="F725" i="19"/>
  <c r="F1319" i="19"/>
  <c r="F458" i="19"/>
  <c r="F765" i="19"/>
  <c r="F954" i="19"/>
  <c r="F609" i="19"/>
  <c r="F1156" i="19"/>
  <c r="F913" i="19"/>
  <c r="F711" i="19"/>
  <c r="F494" i="19"/>
  <c r="F1091" i="19"/>
  <c r="F1273" i="19"/>
  <c r="F1116" i="19"/>
  <c r="F2" i="19"/>
  <c r="F585" i="19"/>
  <c r="F687" i="19"/>
  <c r="F1165" i="19"/>
  <c r="F1329" i="19"/>
  <c r="F1041" i="19"/>
  <c r="F490" i="19"/>
  <c r="F1028" i="19"/>
  <c r="F643" i="19"/>
  <c r="F1374" i="19"/>
  <c r="F1063" i="19"/>
  <c r="F575" i="19"/>
  <c r="F12" i="19"/>
  <c r="F1086" i="19"/>
  <c r="F738" i="19"/>
  <c r="F11" i="19"/>
  <c r="F1109" i="19"/>
  <c r="F698" i="19"/>
  <c r="F155" i="19"/>
  <c r="F214" i="19"/>
  <c r="F534" i="19"/>
  <c r="F299" i="19"/>
  <c r="F718" i="19"/>
  <c r="F1022" i="19"/>
  <c r="F218" i="19"/>
  <c r="F616" i="19"/>
  <c r="F33" i="19"/>
  <c r="F447" i="19"/>
  <c r="F77" i="19"/>
  <c r="F487" i="19"/>
  <c r="F788" i="19"/>
  <c r="F1095" i="19"/>
  <c r="F791" i="19"/>
  <c r="F226" i="19"/>
  <c r="F1274" i="19"/>
  <c r="F956" i="19"/>
  <c r="F568" i="19"/>
  <c r="F1368" i="19"/>
  <c r="F55" i="19"/>
  <c r="F49" i="19"/>
  <c r="F313" i="19"/>
  <c r="F625" i="19"/>
  <c r="F889" i="19"/>
  <c r="F570" i="19"/>
  <c r="F451" i="19"/>
  <c r="F1043" i="19"/>
  <c r="F497" i="19"/>
  <c r="F222" i="19"/>
  <c r="F1060" i="19"/>
  <c r="F1090" i="19"/>
  <c r="F1018" i="19"/>
  <c r="F615" i="19"/>
  <c r="F74" i="19"/>
  <c r="F635" i="19"/>
  <c r="F1020" i="19"/>
  <c r="F1317" i="19"/>
  <c r="F924" i="19"/>
  <c r="F466" i="19"/>
  <c r="F1304" i="19"/>
  <c r="F1015" i="19"/>
  <c r="F441" i="19"/>
  <c r="F1315" i="19"/>
  <c r="F975" i="19"/>
  <c r="F555" i="19"/>
  <c r="F1050" i="19"/>
  <c r="F677" i="19"/>
  <c r="F1097" i="19"/>
  <c r="F636" i="19"/>
  <c r="F83" i="19"/>
  <c r="F228" i="19"/>
  <c r="F547" i="19"/>
  <c r="F312" i="19"/>
  <c r="F731" i="19"/>
  <c r="F1371" i="19"/>
  <c r="F315" i="19"/>
  <c r="F629" i="19"/>
  <c r="F162" i="19"/>
  <c r="F486" i="19"/>
  <c r="F177" i="19"/>
  <c r="F500" i="19"/>
  <c r="F1323" i="19"/>
  <c r="F1083" i="19"/>
  <c r="F654" i="19"/>
  <c r="F202" i="19"/>
  <c r="F1262" i="19"/>
  <c r="F943" i="19"/>
  <c r="F544" i="19"/>
  <c r="F1363" i="19"/>
  <c r="F42" i="19"/>
  <c r="F61" i="19"/>
  <c r="F325" i="19"/>
  <c r="F637" i="19"/>
  <c r="F901" i="19"/>
  <c r="F174" i="19"/>
  <c r="F194" i="19"/>
  <c r="F95" i="19"/>
  <c r="F1174" i="19"/>
  <c r="F476" i="19"/>
  <c r="F774" i="19"/>
  <c r="F400" i="19"/>
  <c r="F949" i="19"/>
  <c r="F1279" i="19"/>
  <c r="F1278" i="19"/>
  <c r="F987" i="19"/>
  <c r="F959" i="19"/>
  <c r="F1375" i="19"/>
  <c r="F691" i="19"/>
  <c r="F456" i="19"/>
  <c r="F380" i="19"/>
  <c r="F204" i="19"/>
  <c r="F566" i="19"/>
  <c r="F1275" i="19"/>
  <c r="F569" i="19"/>
  <c r="F874" i="19"/>
  <c r="F320" i="19"/>
  <c r="F1366" i="19"/>
  <c r="F673" i="19"/>
  <c r="F1237" i="19"/>
  <c r="F971" i="19"/>
  <c r="F1272" i="19"/>
  <c r="F51" i="19"/>
  <c r="F1189" i="19"/>
  <c r="F869" i="19"/>
  <c r="F1208" i="19"/>
  <c r="F1171" i="19"/>
  <c r="F283" i="19"/>
  <c r="F415" i="19"/>
  <c r="F946" i="19"/>
  <c r="F1351" i="19"/>
  <c r="F87" i="19"/>
  <c r="F470" i="19"/>
  <c r="F89" i="19"/>
  <c r="F219" i="19"/>
  <c r="F644" i="19"/>
  <c r="F545" i="19"/>
  <c r="F1130" i="19"/>
  <c r="F238" i="19"/>
  <c r="F133" i="19"/>
  <c r="F1152" i="19"/>
  <c r="F98" i="19"/>
  <c r="F543" i="19"/>
  <c r="F1187" i="19"/>
  <c r="F1383" i="19"/>
  <c r="F686" i="19"/>
  <c r="F855" i="19"/>
  <c r="F837" i="19"/>
  <c r="F1159" i="19"/>
  <c r="F1254" i="19"/>
  <c r="F305" i="19"/>
  <c r="F101" i="19"/>
  <c r="F483" i="19"/>
  <c r="F799" i="19"/>
  <c r="F657" i="19"/>
  <c r="F1389" i="19"/>
  <c r="F173" i="19"/>
  <c r="F469" i="19"/>
  <c r="F1153" i="19"/>
  <c r="F912" i="19"/>
  <c r="F384" i="19"/>
  <c r="F1306" i="19"/>
  <c r="F467" i="19"/>
  <c r="F802" i="19"/>
  <c r="F1184" i="19"/>
  <c r="F308" i="19"/>
  <c r="F1147" i="19"/>
  <c r="F236" i="19"/>
  <c r="F834" i="19"/>
  <c r="F1217" i="19"/>
  <c r="F920" i="19"/>
  <c r="F281" i="19"/>
  <c r="F730" i="19"/>
  <c r="F522" i="19"/>
  <c r="F836" i="19"/>
  <c r="F812" i="19"/>
  <c r="F317" i="19"/>
  <c r="F918" i="19"/>
  <c r="F502" i="19"/>
  <c r="F729" i="19"/>
  <c r="F250" i="19"/>
  <c r="F1370" i="19"/>
  <c r="F793" i="19"/>
  <c r="F1068" i="19"/>
  <c r="F221" i="19"/>
  <c r="F1114" i="19"/>
  <c r="F116" i="19"/>
  <c r="F1230" i="19"/>
  <c r="F429" i="19"/>
  <c r="F131" i="19"/>
  <c r="F683" i="19"/>
  <c r="F712" i="19"/>
  <c r="F1377" i="19"/>
  <c r="F516" i="19"/>
  <c r="F843" i="19"/>
  <c r="F1176" i="19"/>
  <c r="F428" i="19"/>
  <c r="F965" i="19"/>
  <c r="F1036" i="19"/>
  <c r="F1213" i="19"/>
  <c r="F491" i="19"/>
  <c r="F785" i="19"/>
  <c r="F1162" i="19"/>
  <c r="F741" i="19"/>
  <c r="F761" i="19"/>
  <c r="F1135" i="19"/>
  <c r="F164" i="19"/>
  <c r="F816" i="19"/>
  <c r="F1205" i="19"/>
  <c r="F255" i="19"/>
  <c r="F244" i="19"/>
  <c r="F926" i="19"/>
  <c r="F330" i="19"/>
  <c r="F876" i="19"/>
  <c r="F1352" i="19"/>
  <c r="F1094" i="19"/>
  <c r="F224" i="19"/>
  <c r="F147" i="19"/>
  <c r="F805" i="19"/>
  <c r="F310" i="19"/>
  <c r="F124" i="19"/>
  <c r="F401" i="19"/>
  <c r="F764" i="19"/>
  <c r="F450" i="19"/>
  <c r="F1295" i="19"/>
  <c r="F154" i="19"/>
  <c r="F1032" i="19"/>
  <c r="F69" i="19"/>
  <c r="F1057" i="19"/>
  <c r="F925" i="19"/>
  <c r="F1344" i="19"/>
  <c r="F584" i="19"/>
  <c r="F992" i="19"/>
  <c r="F1305" i="19"/>
  <c r="F911" i="19"/>
  <c r="F444" i="19"/>
  <c r="F1292" i="19"/>
  <c r="F1002" i="19"/>
  <c r="F423" i="19"/>
  <c r="F1303" i="19"/>
  <c r="F961" i="19"/>
  <c r="F531" i="19"/>
  <c r="F1302" i="19"/>
  <c r="F1013" i="19"/>
  <c r="F530" i="19"/>
  <c r="F985" i="19"/>
  <c r="F571" i="19"/>
  <c r="F243" i="19"/>
  <c r="F560" i="19"/>
  <c r="F326" i="19"/>
  <c r="F744" i="19"/>
  <c r="F328" i="19"/>
  <c r="F642" i="19"/>
  <c r="F176" i="19"/>
  <c r="F499" i="19"/>
  <c r="F191" i="19"/>
  <c r="F513" i="19"/>
  <c r="F1299" i="19"/>
  <c r="F1071" i="19"/>
  <c r="F611" i="19"/>
  <c r="F179" i="19"/>
  <c r="F1178" i="19"/>
  <c r="F930" i="19"/>
  <c r="F387" i="19"/>
  <c r="F73" i="19"/>
  <c r="F337" i="19"/>
  <c r="F649" i="19"/>
  <c r="F1350" i="19"/>
  <c r="F1240" i="19"/>
  <c r="F1236" i="19"/>
  <c r="F997" i="19"/>
  <c r="F1233" i="19"/>
  <c r="F375" i="19"/>
  <c r="F484" i="19"/>
  <c r="F271" i="19"/>
  <c r="F694" i="19"/>
  <c r="F1009" i="19"/>
  <c r="F445" i="19"/>
  <c r="F227" i="19"/>
  <c r="F606" i="19"/>
  <c r="F1312" i="19"/>
  <c r="F192" i="19"/>
  <c r="F867" i="19"/>
  <c r="F1313" i="19"/>
  <c r="F704" i="19"/>
  <c r="F786" i="19"/>
  <c r="F944" i="19"/>
  <c r="F1349" i="19"/>
  <c r="F1186" i="19"/>
  <c r="F714" i="19"/>
  <c r="F887" i="19"/>
  <c r="F166" i="19"/>
  <c r="F852" i="19"/>
  <c r="F348" i="19"/>
  <c r="F432" i="19"/>
  <c r="F304" i="19"/>
  <c r="F931" i="19"/>
  <c r="F751" i="19"/>
  <c r="F157" i="19"/>
  <c r="F99" i="19"/>
  <c r="F123" i="19"/>
  <c r="F542" i="19"/>
  <c r="F1199" i="19"/>
  <c r="F1125" i="19"/>
  <c r="F819" i="19"/>
  <c r="F1242" i="19"/>
  <c r="F416" i="19"/>
  <c r="F117" i="19"/>
  <c r="F247" i="19"/>
  <c r="F670" i="19"/>
  <c r="F1353" i="19"/>
  <c r="F217" i="19"/>
  <c r="F1365" i="19"/>
  <c r="F1247" i="19"/>
  <c r="F1089" i="19"/>
  <c r="F237" i="19"/>
  <c r="F306" i="19"/>
  <c r="F43" i="19"/>
  <c r="F561" i="19"/>
  <c r="F290" i="19"/>
  <c r="F478" i="19"/>
  <c r="F229" i="19"/>
  <c r="F1006" i="19"/>
  <c r="F151" i="19"/>
  <c r="F735" i="19"/>
  <c r="F56" i="19"/>
  <c r="F1044" i="19"/>
  <c r="F340" i="19"/>
  <c r="F294" i="19"/>
  <c r="F389" i="19"/>
  <c r="F1264" i="19"/>
  <c r="F1276" i="19"/>
  <c r="F940" i="19"/>
  <c r="F1031" i="19"/>
  <c r="F671" i="19"/>
  <c r="F1259" i="19"/>
  <c r="F1359" i="19"/>
  <c r="F536" i="19"/>
  <c r="F898" i="19"/>
  <c r="F1269" i="19"/>
  <c r="F897" i="19"/>
  <c r="F424" i="19"/>
  <c r="F1280" i="19"/>
  <c r="F989" i="19"/>
  <c r="F399" i="19"/>
  <c r="F1291" i="19"/>
  <c r="F948" i="19"/>
  <c r="F507" i="19"/>
  <c r="F1290" i="19"/>
  <c r="F1000" i="19"/>
  <c r="F506" i="19"/>
  <c r="F1380" i="19"/>
  <c r="F972" i="19"/>
  <c r="F549" i="19"/>
  <c r="F1387" i="19"/>
  <c r="F257" i="19"/>
  <c r="F678" i="19"/>
  <c r="F30" i="19"/>
  <c r="F365" i="19"/>
  <c r="F758" i="19"/>
  <c r="F341" i="19"/>
  <c r="F655" i="19"/>
  <c r="F190" i="19"/>
  <c r="F512" i="19"/>
  <c r="F206" i="19"/>
  <c r="F526" i="19"/>
  <c r="F1287" i="19"/>
  <c r="F1035" i="19"/>
  <c r="F593" i="19"/>
  <c r="F106" i="19"/>
  <c r="F1154" i="19"/>
  <c r="F917" i="19"/>
  <c r="F344" i="19"/>
  <c r="F1390" i="19"/>
  <c r="F1373" i="19"/>
  <c r="F85" i="19"/>
  <c r="F421" i="19"/>
  <c r="F661" i="19"/>
  <c r="F293" i="19"/>
  <c r="F842" i="19"/>
  <c r="F1343" i="19"/>
  <c r="F1244" i="19"/>
  <c r="F440" i="19"/>
  <c r="F528" i="19"/>
  <c r="F771" i="19"/>
  <c r="F248" i="19"/>
  <c r="F1142" i="19"/>
  <c r="F97" i="19"/>
  <c r="F292" i="19"/>
  <c r="F647" i="19"/>
  <c r="F727" i="19"/>
  <c r="F353" i="19"/>
  <c r="F973" i="19"/>
  <c r="F285" i="19"/>
  <c r="F419" i="19"/>
  <c r="F1263" i="19"/>
  <c r="F296" i="19"/>
  <c r="F709" i="19"/>
  <c r="F994" i="19"/>
  <c r="F1196" i="19"/>
  <c r="F259" i="19"/>
  <c r="F1229" i="19"/>
  <c r="F324" i="19"/>
  <c r="F103" i="19"/>
  <c r="F523" i="19"/>
  <c r="F273" i="19"/>
  <c r="F733" i="19"/>
  <c r="F1288" i="19"/>
  <c r="F93" i="19"/>
  <c r="F621" i="19"/>
  <c r="F1133" i="19"/>
  <c r="F146" i="19"/>
  <c r="F6" i="19"/>
  <c r="F610" i="19"/>
  <c r="F383" i="19"/>
  <c r="F67" i="19"/>
  <c r="F88" i="19"/>
  <c r="F864" i="19"/>
  <c r="F161" i="19"/>
  <c r="F20" i="19"/>
  <c r="F1322" i="19"/>
  <c r="F50" i="19"/>
  <c r="F688" i="19"/>
  <c r="F1052" i="19"/>
  <c r="F1194" i="19"/>
  <c r="F208" i="19"/>
  <c r="F272" i="19"/>
  <c r="F723" i="19"/>
  <c r="F982" i="19"/>
  <c r="F277" i="19"/>
  <c r="F71" i="19"/>
  <c r="F945" i="19"/>
  <c r="F405" i="19"/>
  <c r="F65" i="19"/>
  <c r="F737" i="19"/>
  <c r="F576" i="19"/>
  <c r="F448" i="19"/>
  <c r="F1298" i="19"/>
  <c r="F978" i="19"/>
  <c r="F701" i="19"/>
  <c r="F1110" i="19"/>
  <c r="F574" i="19"/>
  <c r="F762" i="19"/>
  <c r="F651" i="19"/>
  <c r="F505" i="19"/>
  <c r="F1342" i="19"/>
  <c r="F682" i="19"/>
  <c r="F795" i="19"/>
  <c r="F57" i="19"/>
  <c r="F587" i="19"/>
  <c r="F1131" i="19"/>
  <c r="F517" i="19"/>
  <c r="F300" i="19"/>
  <c r="F66" i="19"/>
  <c r="F777" i="19"/>
  <c r="F938" i="19"/>
  <c r="F381" i="19"/>
  <c r="F1119" i="19"/>
  <c r="F198" i="19"/>
  <c r="F817" i="19"/>
  <c r="F792" i="19"/>
  <c r="F1077" i="19"/>
  <c r="F40" i="19"/>
  <c r="F282" i="19"/>
  <c r="F442" i="19"/>
  <c r="F950" i="19"/>
  <c r="F394" i="19"/>
  <c r="F847" i="19"/>
  <c r="F7" i="19"/>
  <c r="F1384" i="19"/>
  <c r="F853" i="19"/>
  <c r="F1150" i="19"/>
  <c r="F1065" i="19"/>
  <c r="F1123" i="19"/>
  <c r="F64" i="19"/>
  <c r="F482" i="19"/>
  <c r="F831" i="19"/>
  <c r="F82" i="19"/>
  <c r="F645" i="19"/>
  <c r="F1111" i="19"/>
  <c r="F756" i="19"/>
  <c r="F297" i="19"/>
  <c r="F107" i="19"/>
  <c r="F623" i="19"/>
  <c r="F641" i="19"/>
  <c r="F1169" i="19"/>
  <c r="F796" i="19"/>
  <c r="F279" i="19"/>
  <c r="F81" i="19"/>
  <c r="F1064" i="19"/>
  <c r="F231" i="19"/>
  <c r="F258" i="19"/>
  <c r="F590" i="19"/>
  <c r="F461" i="19"/>
  <c r="F1082" i="19"/>
  <c r="F241" i="19"/>
  <c r="F929" i="19"/>
  <c r="F5" i="19"/>
  <c r="F26" i="19"/>
  <c r="F180" i="19"/>
  <c r="F318" i="19"/>
  <c r="F1124" i="19"/>
  <c r="F1379" i="19"/>
  <c r="F414" i="19"/>
  <c r="F653" i="19"/>
  <c r="F578" i="19"/>
  <c r="F153" i="19"/>
  <c r="F109" i="19"/>
  <c r="F767" i="19"/>
  <c r="F1079" i="19"/>
  <c r="F803" i="19"/>
  <c r="F871" i="19"/>
  <c r="F362" i="19"/>
  <c r="F532" i="19"/>
  <c r="F908" i="19"/>
  <c r="F142" i="19"/>
  <c r="F32" i="19"/>
  <c r="F395" i="19"/>
  <c r="F1046" i="19"/>
  <c r="F553" i="19"/>
  <c r="F607" i="19"/>
  <c r="F1228" i="19"/>
  <c r="F780" i="19"/>
  <c r="F1051" i="19"/>
  <c r="F1301" i="19"/>
  <c r="F809" i="19"/>
  <c r="F707" i="19"/>
  <c r="F1167" i="19"/>
  <c r="F79" i="19"/>
  <c r="F872" i="19"/>
  <c r="F1140" i="19"/>
  <c r="F1220" i="19"/>
  <c r="F563" i="19"/>
  <c r="F999" i="19"/>
  <c r="F1039" i="19"/>
  <c r="F822" i="19"/>
  <c r="AF1073" i="19"/>
  <c r="AF103" i="19"/>
  <c r="AF1125" i="19"/>
  <c r="AF833" i="19"/>
  <c r="AF1102" i="19"/>
  <c r="AF774" i="19"/>
  <c r="AF674" i="19"/>
  <c r="AF947" i="19"/>
  <c r="AF1064" i="19"/>
  <c r="AF1380" i="19"/>
  <c r="AF134" i="19"/>
  <c r="AF965" i="19"/>
  <c r="AF1122" i="19"/>
  <c r="AF203" i="19"/>
  <c r="AF378" i="19"/>
  <c r="AF125" i="19"/>
  <c r="AF901" i="19"/>
  <c r="AF1051" i="19"/>
  <c r="AF528" i="19"/>
  <c r="AF1149" i="19"/>
  <c r="AF548" i="19"/>
  <c r="AF436" i="19"/>
  <c r="AF934" i="19"/>
  <c r="AF856" i="19"/>
  <c r="AF301" i="19"/>
  <c r="AF1035" i="19"/>
  <c r="AF505" i="19"/>
  <c r="AF14" i="19"/>
  <c r="AF1106" i="19"/>
  <c r="AF249" i="19"/>
  <c r="AF2" i="19"/>
  <c r="AF285" i="19"/>
  <c r="AF669" i="19"/>
  <c r="AF644" i="19"/>
  <c r="AF377" i="19"/>
  <c r="AF174" i="19"/>
  <c r="AF372" i="19"/>
  <c r="AF279" i="19"/>
  <c r="AF1154" i="19"/>
  <c r="AF1323" i="19"/>
  <c r="AF1377" i="19"/>
  <c r="AF860" i="19"/>
  <c r="AF355" i="19"/>
  <c r="AF88" i="19"/>
  <c r="AF606" i="19"/>
  <c r="AF12" i="19"/>
  <c r="AF790" i="19"/>
  <c r="AF831" i="19"/>
  <c r="AF707" i="19"/>
  <c r="AF164" i="19"/>
  <c r="AF628" i="19"/>
  <c r="AF904" i="19"/>
  <c r="AF843" i="19"/>
  <c r="AF1275" i="19"/>
  <c r="AF133" i="19"/>
  <c r="AF42" i="19"/>
  <c r="AF387" i="19"/>
  <c r="AF919" i="19"/>
  <c r="AF796" i="19"/>
  <c r="AF1346" i="19"/>
  <c r="AF130" i="19"/>
  <c r="AF964" i="19"/>
  <c r="AF1308" i="19"/>
  <c r="AF637" i="19"/>
  <c r="AF621" i="19"/>
  <c r="AF1319" i="19"/>
  <c r="AF192" i="19"/>
  <c r="AF704" i="19"/>
  <c r="AF1135" i="19"/>
  <c r="AF1334" i="19"/>
  <c r="AF570" i="19"/>
  <c r="AF273" i="19"/>
  <c r="AF1085" i="19"/>
  <c r="AF149" i="19"/>
  <c r="AF958" i="19"/>
  <c r="AF1031" i="19"/>
  <c r="AF1124" i="19"/>
  <c r="AF346" i="19"/>
  <c r="AF209" i="19"/>
  <c r="AF966" i="19"/>
  <c r="AF1205" i="19"/>
  <c r="AF181" i="19"/>
  <c r="AF6" i="19"/>
  <c r="AF154" i="19"/>
  <c r="AF213" i="19"/>
  <c r="AF608" i="19"/>
  <c r="AF931" i="19"/>
  <c r="AF720" i="19"/>
  <c r="AF1285" i="19"/>
  <c r="AF975" i="19"/>
  <c r="AF109" i="19"/>
  <c r="AF5" i="19"/>
  <c r="AF639" i="19"/>
  <c r="AF1033" i="19"/>
  <c r="F25" i="19"/>
  <c r="F840" i="19"/>
  <c r="F679" i="19"/>
  <c r="F554" i="19"/>
  <c r="F1316" i="19"/>
  <c r="F1104" i="19"/>
  <c r="F753" i="19"/>
  <c r="F790" i="19"/>
  <c r="F564" i="19"/>
  <c r="F599" i="19"/>
  <c r="F331" i="19"/>
  <c r="F1197" i="19"/>
  <c r="F695" i="19"/>
  <c r="F565" i="19"/>
  <c r="F388" i="19"/>
  <c r="F485" i="19"/>
  <c r="F462" i="19"/>
  <c r="F139" i="19"/>
  <c r="F1055" i="19"/>
  <c r="F1362" i="19"/>
  <c r="F225" i="19"/>
  <c r="F592" i="19"/>
  <c r="F129" i="19"/>
  <c r="F960" i="19"/>
  <c r="F376" i="19"/>
  <c r="F967" i="19"/>
  <c r="AF698" i="19"/>
  <c r="AF1136" i="19"/>
  <c r="AF373" i="19"/>
  <c r="AF1301" i="19"/>
  <c r="AF236" i="19"/>
  <c r="AF706" i="19"/>
  <c r="R176" i="19"/>
  <c r="Q176" i="19"/>
  <c r="V176" i="19"/>
  <c r="W176" i="19" s="1"/>
  <c r="X176" i="19" s="1"/>
  <c r="Y176" i="19" s="1"/>
  <c r="R73" i="19"/>
  <c r="R147" i="19"/>
  <c r="R150" i="19"/>
  <c r="R32" i="19"/>
  <c r="R152" i="19"/>
  <c r="R51" i="19"/>
  <c r="R151" i="19"/>
  <c r="R48" i="19"/>
  <c r="R17" i="19"/>
  <c r="R100" i="19"/>
  <c r="R63" i="19"/>
  <c r="R87" i="19"/>
  <c r="R145" i="19"/>
  <c r="R79" i="19"/>
  <c r="R114" i="19"/>
  <c r="R154" i="19"/>
  <c r="R134" i="19"/>
  <c r="R45" i="19"/>
  <c r="R84" i="19"/>
  <c r="R128" i="19"/>
  <c r="R14" i="19"/>
  <c r="R88" i="19"/>
  <c r="R23" i="19"/>
  <c r="R172" i="19"/>
  <c r="R20" i="19"/>
  <c r="R38" i="19"/>
  <c r="R106" i="19"/>
  <c r="R11" i="19"/>
  <c r="R167" i="19"/>
  <c r="R155" i="19"/>
  <c r="R10" i="19"/>
  <c r="R139" i="19"/>
  <c r="R59" i="19"/>
  <c r="R37" i="19"/>
  <c r="R64" i="19"/>
  <c r="R103" i="19"/>
  <c r="R97" i="19"/>
  <c r="R91" i="19"/>
  <c r="R80" i="19"/>
  <c r="R19" i="19"/>
  <c r="R137" i="19"/>
  <c r="R46" i="19"/>
  <c r="R158" i="19"/>
  <c r="R124" i="19"/>
  <c r="R144" i="19"/>
  <c r="R99" i="19"/>
  <c r="R109" i="19"/>
  <c r="R29" i="19"/>
  <c r="R120" i="19"/>
  <c r="R125" i="19"/>
  <c r="R26" i="19"/>
  <c r="R96" i="19"/>
  <c r="R72" i="19"/>
  <c r="R140" i="19"/>
  <c r="R149" i="19"/>
  <c r="R81" i="19"/>
  <c r="R39" i="19"/>
  <c r="R35" i="19"/>
  <c r="R168" i="19"/>
  <c r="R163" i="19"/>
  <c r="R90" i="19"/>
  <c r="R93" i="19"/>
  <c r="R69" i="19"/>
  <c r="R166" i="19"/>
  <c r="R160" i="19"/>
  <c r="R67" i="19"/>
  <c r="R95" i="19"/>
  <c r="R86" i="19"/>
  <c r="R141" i="19"/>
  <c r="R33" i="19"/>
  <c r="R165" i="19"/>
  <c r="R76" i="19"/>
  <c r="R61" i="19"/>
  <c r="R108" i="19"/>
  <c r="R113" i="19"/>
  <c r="R118" i="19"/>
  <c r="R107" i="19"/>
  <c r="R8" i="19"/>
  <c r="R2" i="19"/>
  <c r="R36" i="19"/>
  <c r="R122" i="19"/>
  <c r="R74" i="19"/>
  <c r="R92" i="19"/>
  <c r="R30" i="19"/>
  <c r="R157" i="19"/>
  <c r="R133" i="19"/>
  <c r="R116" i="19"/>
  <c r="R98" i="19"/>
  <c r="R89" i="19"/>
  <c r="R62" i="19"/>
  <c r="R111" i="19"/>
  <c r="R102" i="19"/>
  <c r="R58" i="19"/>
  <c r="R170" i="19"/>
  <c r="R131" i="19"/>
  <c r="R110" i="19"/>
  <c r="R101" i="19"/>
  <c r="R65" i="19"/>
  <c r="R5" i="19"/>
  <c r="R119" i="19"/>
  <c r="R105" i="19"/>
  <c r="R42" i="19"/>
  <c r="R173" i="19"/>
  <c r="R142" i="19"/>
  <c r="R104" i="19"/>
  <c r="R75" i="19"/>
  <c r="R71" i="19"/>
  <c r="R57" i="19"/>
  <c r="R27" i="19"/>
  <c r="R24" i="19"/>
  <c r="R21" i="19"/>
  <c r="R18" i="19"/>
  <c r="R15" i="19"/>
  <c r="R12" i="19"/>
  <c r="R9" i="19"/>
  <c r="R6" i="19"/>
  <c r="R3" i="19"/>
  <c r="R117" i="19"/>
  <c r="R66" i="19"/>
  <c r="R171" i="19"/>
  <c r="R130" i="19"/>
  <c r="R136" i="19"/>
  <c r="R60" i="19"/>
  <c r="R53" i="19"/>
  <c r="R127" i="19"/>
  <c r="R138" i="19"/>
  <c r="R85" i="19"/>
  <c r="R40" i="19"/>
  <c r="R146" i="19"/>
  <c r="R44" i="19"/>
  <c r="R41" i="19"/>
  <c r="R169" i="19"/>
  <c r="R94" i="19"/>
  <c r="R50" i="19"/>
  <c r="R43" i="19"/>
  <c r="R175" i="19"/>
  <c r="R153" i="19"/>
  <c r="R49" i="19"/>
  <c r="R25" i="19"/>
  <c r="R159" i="19"/>
  <c r="R156" i="19"/>
  <c r="R56" i="19"/>
  <c r="R177" i="19"/>
  <c r="R121" i="19"/>
  <c r="R164" i="19"/>
  <c r="R161" i="19"/>
  <c r="R115" i="19"/>
  <c r="R112" i="19"/>
  <c r="R83" i="19"/>
  <c r="R55" i="19"/>
  <c r="R143" i="19"/>
  <c r="R52" i="19"/>
  <c r="R174" i="19"/>
  <c r="R162" i="19"/>
  <c r="R148" i="19"/>
  <c r="R68" i="19"/>
  <c r="R28" i="19"/>
  <c r="R22" i="19"/>
  <c r="R77" i="19"/>
  <c r="R47" i="19"/>
  <c r="R16" i="19"/>
  <c r="R13" i="19"/>
  <c r="R78" i="19"/>
  <c r="R34" i="19"/>
  <c r="R7" i="19"/>
  <c r="R31" i="19"/>
  <c r="R4" i="19"/>
  <c r="R82" i="19"/>
  <c r="R70" i="19"/>
  <c r="R135" i="19"/>
  <c r="R132" i="19"/>
  <c r="R129" i="19"/>
  <c r="R126" i="19"/>
  <c r="R123" i="19"/>
  <c r="R54" i="19"/>
  <c r="AD257" i="19" l="1"/>
  <c r="AC257" i="19" s="1"/>
  <c r="AD281" i="19"/>
  <c r="AC281" i="19" s="1"/>
  <c r="AD296" i="19"/>
  <c r="AC296" i="19" s="1"/>
  <c r="AD3" i="19"/>
  <c r="AC3" i="19" s="1"/>
  <c r="AD98" i="19"/>
  <c r="AC98" i="19" s="1"/>
  <c r="AD251" i="19"/>
  <c r="AC251" i="19" s="1"/>
  <c r="AD266" i="19"/>
  <c r="AC266" i="19" s="1"/>
  <c r="AD125" i="19"/>
  <c r="AC125" i="19" s="1"/>
  <c r="AD198" i="19"/>
  <c r="AC198" i="19" s="1"/>
  <c r="AD173" i="19"/>
  <c r="AC173" i="19" s="1"/>
  <c r="AD290" i="19"/>
  <c r="AC290" i="19" s="1"/>
  <c r="AG1330" i="19"/>
  <c r="AG550" i="19"/>
  <c r="AG755" i="19"/>
  <c r="AG1078" i="19"/>
  <c r="AG150" i="19"/>
  <c r="AD150" i="19" s="1"/>
  <c r="AC150" i="19" s="1"/>
  <c r="AG929" i="19"/>
  <c r="AG357" i="19"/>
  <c r="AG1204" i="19"/>
  <c r="AG134" i="19"/>
  <c r="AD134" i="19" s="1"/>
  <c r="AC134" i="19" s="1"/>
  <c r="AG278" i="19"/>
  <c r="AD278" i="19" s="1"/>
  <c r="AC278" i="19" s="1"/>
  <c r="AG422" i="19"/>
  <c r="AG566" i="19"/>
  <c r="AG710" i="19"/>
  <c r="AG854" i="19"/>
  <c r="AG139" i="19"/>
  <c r="AD139" i="19" s="1"/>
  <c r="AC139" i="19" s="1"/>
  <c r="AG296" i="19"/>
  <c r="AG453" i="19"/>
  <c r="AG610" i="19"/>
  <c r="AG767" i="19"/>
  <c r="AG924" i="19"/>
  <c r="AG1071" i="19"/>
  <c r="AG1215" i="19"/>
  <c r="AG1359" i="19"/>
  <c r="AG64" i="19"/>
  <c r="AD64" i="19" s="1"/>
  <c r="AC64" i="19" s="1"/>
  <c r="AG221" i="19"/>
  <c r="AD221" i="19" s="1"/>
  <c r="AC221" i="19" s="1"/>
  <c r="AG378" i="19"/>
  <c r="AG535" i="19"/>
  <c r="AG692" i="19"/>
  <c r="AG849" i="19"/>
  <c r="AG1002" i="19"/>
  <c r="AG69" i="19"/>
  <c r="AD69" i="19" s="1"/>
  <c r="AC69" i="19" s="1"/>
  <c r="AG258" i="19"/>
  <c r="AD258" i="19" s="1"/>
  <c r="AC258" i="19" s="1"/>
  <c r="AG447" i="19"/>
  <c r="AG634" i="19"/>
  <c r="AG824" i="19"/>
  <c r="AG1007" i="19"/>
  <c r="AG1168" i="19"/>
  <c r="AG1325" i="19"/>
  <c r="AG40" i="19"/>
  <c r="AD40" i="19" s="1"/>
  <c r="AC40" i="19" s="1"/>
  <c r="AG227" i="19"/>
  <c r="AD227" i="19" s="1"/>
  <c r="AC227" i="19" s="1"/>
  <c r="AG416" i="19"/>
  <c r="AG605" i="19"/>
  <c r="AG792" i="19"/>
  <c r="AG980" i="19"/>
  <c r="AG42" i="19"/>
  <c r="AD42" i="19" s="1"/>
  <c r="AC42" i="19" s="1"/>
  <c r="AG229" i="19"/>
  <c r="AD229" i="19" s="1"/>
  <c r="AC229" i="19" s="1"/>
  <c r="AG419" i="19"/>
  <c r="AG607" i="19"/>
  <c r="AG796" i="19"/>
  <c r="AG982" i="19"/>
  <c r="AG1145" i="19"/>
  <c r="AG1302" i="19"/>
  <c r="AG30" i="19"/>
  <c r="AD30" i="19" s="1"/>
  <c r="AC30" i="19" s="1"/>
  <c r="AG281" i="19"/>
  <c r="AG533" i="19"/>
  <c r="AG785" i="19"/>
  <c r="AG1029" i="19"/>
  <c r="AG1221" i="19"/>
  <c r="AG220" i="19"/>
  <c r="AD220" i="19" s="1"/>
  <c r="AC220" i="19" s="1"/>
  <c r="AG472" i="19"/>
  <c r="AG723" i="19"/>
  <c r="AG972" i="19"/>
  <c r="AG1175" i="19"/>
  <c r="AG1363" i="19"/>
  <c r="AG159" i="19"/>
  <c r="AD159" i="19" s="1"/>
  <c r="AC159" i="19" s="1"/>
  <c r="AG409" i="19"/>
  <c r="AG660" i="19"/>
  <c r="AG912" i="19"/>
  <c r="AG1129" i="19"/>
  <c r="AG1318" i="19"/>
  <c r="AG99" i="19"/>
  <c r="AD99" i="19" s="1"/>
  <c r="AC99" i="19" s="1"/>
  <c r="AG351" i="19"/>
  <c r="AG603" i="19"/>
  <c r="AG853" i="19"/>
  <c r="AG1086" i="19"/>
  <c r="AG1291" i="19"/>
  <c r="AG61" i="19"/>
  <c r="AD61" i="19" s="1"/>
  <c r="AC61" i="19" s="1"/>
  <c r="AG313" i="19"/>
  <c r="AG564" i="19"/>
  <c r="AG815" i="19"/>
  <c r="AG183" i="19"/>
  <c r="AD183" i="19" s="1"/>
  <c r="AC183" i="19" s="1"/>
  <c r="AG433" i="19"/>
  <c r="AG684" i="19"/>
  <c r="AG935" i="19"/>
  <c r="AG1147" i="19"/>
  <c r="AG1334" i="19"/>
  <c r="AG121" i="19"/>
  <c r="AD121" i="19" s="1"/>
  <c r="AC121" i="19" s="1"/>
  <c r="AG372" i="19"/>
  <c r="AG624" i="19"/>
  <c r="AG876" i="19"/>
  <c r="AG1100" i="19"/>
  <c r="AG1290" i="19"/>
  <c r="AG153" i="19"/>
  <c r="AD153" i="19" s="1"/>
  <c r="AC153" i="19" s="1"/>
  <c r="AG756" i="19"/>
  <c r="AG1213" i="19"/>
  <c r="AG280" i="19"/>
  <c r="AD280" i="19" s="1"/>
  <c r="AC280" i="19" s="1"/>
  <c r="AG1001" i="19"/>
  <c r="AG255" i="19"/>
  <c r="AD255" i="19" s="1"/>
  <c r="AC255" i="19" s="1"/>
  <c r="AG860" i="19"/>
  <c r="AG1278" i="19"/>
  <c r="AG360" i="19"/>
  <c r="AG944" i="19"/>
  <c r="AG1342" i="19"/>
  <c r="AG568" i="19"/>
  <c r="AG1091" i="19"/>
  <c r="AG67" i="19"/>
  <c r="AD67" i="19" s="1"/>
  <c r="AC67" i="19" s="1"/>
  <c r="AG673" i="19"/>
  <c r="AG1156" i="19"/>
  <c r="AG173" i="19"/>
  <c r="AG778" i="19"/>
  <c r="AG1219" i="19"/>
  <c r="AG279" i="19"/>
  <c r="AD279" i="19" s="1"/>
  <c r="AC279" i="19" s="1"/>
  <c r="AG879" i="19"/>
  <c r="AG1292" i="19"/>
  <c r="AG236" i="19"/>
  <c r="AD236" i="19" s="1"/>
  <c r="AC236" i="19" s="1"/>
  <c r="AG881" i="19"/>
  <c r="AG1326" i="19"/>
  <c r="AG444" i="19"/>
  <c r="AG1329" i="19"/>
  <c r="AG503" i="19"/>
  <c r="AG1170" i="19"/>
  <c r="AG1110" i="19"/>
  <c r="AG594" i="19"/>
  <c r="AG2" i="19"/>
  <c r="AG146" i="19"/>
  <c r="AD146" i="19" s="1"/>
  <c r="AC146" i="19" s="1"/>
  <c r="AG290" i="19"/>
  <c r="AG434" i="19"/>
  <c r="AG578" i="19"/>
  <c r="AG722" i="19"/>
  <c r="AG866" i="19"/>
  <c r="AG152" i="19"/>
  <c r="AD152" i="19" s="1"/>
  <c r="AC152" i="19" s="1"/>
  <c r="AG309" i="19"/>
  <c r="AG466" i="19"/>
  <c r="AG623" i="19"/>
  <c r="AG780" i="19"/>
  <c r="AG937" i="19"/>
  <c r="AG1083" i="19"/>
  <c r="AG1227" i="19"/>
  <c r="AG1371" i="19"/>
  <c r="AG77" i="19"/>
  <c r="AD77" i="19" s="1"/>
  <c r="AC77" i="19" s="1"/>
  <c r="AG234" i="19"/>
  <c r="AD234" i="19" s="1"/>
  <c r="AC234" i="19" s="1"/>
  <c r="AG391" i="19"/>
  <c r="AG548" i="19"/>
  <c r="AG705" i="19"/>
  <c r="AG862" i="19"/>
  <c r="AG1014" i="19"/>
  <c r="AG84" i="19"/>
  <c r="AD84" i="19" s="1"/>
  <c r="AC84" i="19" s="1"/>
  <c r="AG274" i="19"/>
  <c r="AD274" i="19" s="1"/>
  <c r="AC274" i="19" s="1"/>
  <c r="AG462" i="19"/>
  <c r="AG651" i="19"/>
  <c r="AG839" i="19"/>
  <c r="AG1021" i="19"/>
  <c r="AG1181" i="19"/>
  <c r="AG1338" i="19"/>
  <c r="AG55" i="19"/>
  <c r="AD55" i="19" s="1"/>
  <c r="AC55" i="19" s="1"/>
  <c r="AG243" i="19"/>
  <c r="AD243" i="19" s="1"/>
  <c r="AC243" i="19" s="1"/>
  <c r="AG432" i="19"/>
  <c r="AG620" i="19"/>
  <c r="AG809" i="19"/>
  <c r="AG994" i="19"/>
  <c r="AG57" i="19"/>
  <c r="AD57" i="19" s="1"/>
  <c r="AC57" i="19" s="1"/>
  <c r="AG246" i="19"/>
  <c r="AD246" i="19" s="1"/>
  <c r="AC246" i="19" s="1"/>
  <c r="AG435" i="19"/>
  <c r="AG622" i="19"/>
  <c r="AG812" i="19"/>
  <c r="AG996" i="19"/>
  <c r="AG1158" i="19"/>
  <c r="AG1315" i="19"/>
  <c r="AG49" i="19"/>
  <c r="AD49" i="19" s="1"/>
  <c r="AC49" i="19" s="1"/>
  <c r="AG301" i="19"/>
  <c r="AG552" i="19"/>
  <c r="AG803" i="19"/>
  <c r="AG1046" i="19"/>
  <c r="AG1237" i="19"/>
  <c r="AG239" i="19"/>
  <c r="AD239" i="19" s="1"/>
  <c r="AC239" i="19" s="1"/>
  <c r="AG490" i="19"/>
  <c r="AG742" i="19"/>
  <c r="AG991" i="19"/>
  <c r="AG1190" i="19"/>
  <c r="AG1379" i="19"/>
  <c r="AG177" i="19"/>
  <c r="AD177" i="19" s="1"/>
  <c r="AC177" i="19" s="1"/>
  <c r="AG429" i="19"/>
  <c r="AG681" i="19"/>
  <c r="AG932" i="19"/>
  <c r="AG1146" i="19"/>
  <c r="AG1333" i="19"/>
  <c r="AG123" i="19"/>
  <c r="AD123" i="19" s="1"/>
  <c r="AC123" i="19" s="1"/>
  <c r="AG373" i="19"/>
  <c r="AG625" i="19"/>
  <c r="AG877" i="19"/>
  <c r="AG1101" i="19"/>
  <c r="AG1306" i="19"/>
  <c r="AG81" i="19"/>
  <c r="AD81" i="19" s="1"/>
  <c r="AC81" i="19" s="1"/>
  <c r="AG332" i="19"/>
  <c r="AG583" i="19"/>
  <c r="AG202" i="19"/>
  <c r="AD202" i="19" s="1"/>
  <c r="AC202" i="19" s="1"/>
  <c r="AG454" i="19"/>
  <c r="AG706" i="19"/>
  <c r="AG957" i="19"/>
  <c r="AG1162" i="19"/>
  <c r="AG1350" i="19"/>
  <c r="AG141" i="19"/>
  <c r="AD141" i="19" s="1"/>
  <c r="AC141" i="19" s="1"/>
  <c r="AG393" i="19"/>
  <c r="AG644" i="19"/>
  <c r="AG895" i="19"/>
  <c r="AG1116" i="19"/>
  <c r="AG1305" i="19"/>
  <c r="AG209" i="19"/>
  <c r="AD209" i="19" s="1"/>
  <c r="AC209" i="19" s="1"/>
  <c r="AG802" i="19"/>
  <c r="AG1244" i="19"/>
  <c r="AG334" i="19"/>
  <c r="AG1041" i="19"/>
  <c r="AG315" i="19"/>
  <c r="AG899" i="19"/>
  <c r="AG1308" i="19"/>
  <c r="AG420" i="19"/>
  <c r="AG984" i="19"/>
  <c r="AG1373" i="19"/>
  <c r="AG19" i="19"/>
  <c r="AD19" i="19" s="1"/>
  <c r="AC19" i="19" s="1"/>
  <c r="AG615" i="19"/>
  <c r="AG1123" i="19"/>
  <c r="AG125" i="19"/>
  <c r="AG720" i="19"/>
  <c r="AG1187" i="19"/>
  <c r="AG232" i="19"/>
  <c r="AD232" i="19" s="1"/>
  <c r="AC232" i="19" s="1"/>
  <c r="AG822" i="19"/>
  <c r="AG1252" i="19"/>
  <c r="AG333" i="19"/>
  <c r="AG920" i="19"/>
  <c r="AG1322" i="19"/>
  <c r="AG294" i="19"/>
  <c r="AD294" i="19" s="1"/>
  <c r="AC294" i="19" s="1"/>
  <c r="AG923" i="19"/>
  <c r="AG1388" i="19"/>
  <c r="AG251" i="19"/>
  <c r="AG1202" i="19"/>
  <c r="AG298" i="19"/>
  <c r="AG1043" i="19"/>
  <c r="AG970" i="19"/>
  <c r="AG397" i="19"/>
  <c r="AG845" i="19"/>
  <c r="AG26" i="19"/>
  <c r="AD26" i="19" s="1"/>
  <c r="AC26" i="19" s="1"/>
  <c r="AG170" i="19"/>
  <c r="AD170" i="19" s="1"/>
  <c r="AC170" i="19" s="1"/>
  <c r="AG314" i="19"/>
  <c r="AG458" i="19"/>
  <c r="AG602" i="19"/>
  <c r="AG746" i="19"/>
  <c r="AG890" i="19"/>
  <c r="AG21" i="19"/>
  <c r="AD21" i="19" s="1"/>
  <c r="AC21" i="19" s="1"/>
  <c r="AG178" i="19"/>
  <c r="AD178" i="19" s="1"/>
  <c r="AC178" i="19" s="1"/>
  <c r="AG335" i="19"/>
  <c r="AG492" i="19"/>
  <c r="AG649" i="19"/>
  <c r="AG807" i="19"/>
  <c r="AG963" i="19"/>
  <c r="AG1107" i="19"/>
  <c r="AG1251" i="19"/>
  <c r="AG103" i="19"/>
  <c r="AD103" i="19" s="1"/>
  <c r="AC103" i="19" s="1"/>
  <c r="AG260" i="19"/>
  <c r="AD260" i="19" s="1"/>
  <c r="AC260" i="19" s="1"/>
  <c r="AG417" i="19"/>
  <c r="AG574" i="19"/>
  <c r="AG731" i="19"/>
  <c r="AG888" i="19"/>
  <c r="AG1038" i="19"/>
  <c r="AG117" i="19"/>
  <c r="AD117" i="19" s="1"/>
  <c r="AC117" i="19" s="1"/>
  <c r="AG305" i="19"/>
  <c r="AG493" i="19"/>
  <c r="AG682" i="19"/>
  <c r="AG870" i="19"/>
  <c r="AG1050" i="19"/>
  <c r="AG1207" i="19"/>
  <c r="AG1364" i="19"/>
  <c r="AG85" i="19"/>
  <c r="AD85" i="19" s="1"/>
  <c r="AC85" i="19" s="1"/>
  <c r="AG275" i="19"/>
  <c r="AD275" i="19" s="1"/>
  <c r="AC275" i="19" s="1"/>
  <c r="AG463" i="19"/>
  <c r="AG652" i="19"/>
  <c r="AG840" i="19"/>
  <c r="AG1022" i="19"/>
  <c r="AG89" i="19"/>
  <c r="AD89" i="19" s="1"/>
  <c r="AC89" i="19" s="1"/>
  <c r="AG277" i="19"/>
  <c r="AD277" i="19" s="1"/>
  <c r="AC277" i="19" s="1"/>
  <c r="AG465" i="19"/>
  <c r="AG655" i="19"/>
  <c r="AG843" i="19"/>
  <c r="AG1025" i="19"/>
  <c r="AG1184" i="19"/>
  <c r="AG1341" i="19"/>
  <c r="AG93" i="19"/>
  <c r="AD93" i="19" s="1"/>
  <c r="AC93" i="19" s="1"/>
  <c r="AG344" i="19"/>
  <c r="AG595" i="19"/>
  <c r="AG847" i="19"/>
  <c r="AG1080" i="19"/>
  <c r="AG1268" i="19"/>
  <c r="AG31" i="19"/>
  <c r="AD31" i="19" s="1"/>
  <c r="AC31" i="19" s="1"/>
  <c r="AG282" i="19"/>
  <c r="AD282" i="19" s="1"/>
  <c r="AC282" i="19" s="1"/>
  <c r="AG534" i="19"/>
  <c r="AG786" i="19"/>
  <c r="AG1030" i="19"/>
  <c r="AG1222" i="19"/>
  <c r="AG222" i="19"/>
  <c r="AD222" i="19" s="1"/>
  <c r="AC222" i="19" s="1"/>
  <c r="AG473" i="19"/>
  <c r="AG724" i="19"/>
  <c r="AG973" i="19"/>
  <c r="AG1176" i="19"/>
  <c r="AG1365" i="19"/>
  <c r="AG162" i="19"/>
  <c r="AD162" i="19" s="1"/>
  <c r="AC162" i="19" s="1"/>
  <c r="AG413" i="19"/>
  <c r="AG665" i="19"/>
  <c r="AG917" i="19"/>
  <c r="AG1134" i="19"/>
  <c r="AG1337" i="19"/>
  <c r="AG124" i="19"/>
  <c r="AD124" i="19" s="1"/>
  <c r="AC124" i="19" s="1"/>
  <c r="AG376" i="19"/>
  <c r="AG628" i="19"/>
  <c r="AG245" i="19"/>
  <c r="AD245" i="19" s="1"/>
  <c r="AC245" i="19" s="1"/>
  <c r="AG497" i="19"/>
  <c r="AG748" i="19"/>
  <c r="AG995" i="19"/>
  <c r="AG1193" i="19"/>
  <c r="AG1382" i="19"/>
  <c r="AG185" i="19"/>
  <c r="AD185" i="19" s="1"/>
  <c r="AC185" i="19" s="1"/>
  <c r="AG436" i="19"/>
  <c r="AG687" i="19"/>
  <c r="AG939" i="19"/>
  <c r="AG1148" i="19"/>
  <c r="AG1336" i="19"/>
  <c r="AG300" i="19"/>
  <c r="AG897" i="19"/>
  <c r="AG1307" i="19"/>
  <c r="AG439" i="19"/>
  <c r="AG1136" i="19"/>
  <c r="AG406" i="19"/>
  <c r="AG983" i="19"/>
  <c r="AG1372" i="19"/>
  <c r="AG508" i="19"/>
  <c r="AG1058" i="19"/>
  <c r="AG961" i="19"/>
  <c r="AG111" i="19"/>
  <c r="AD111" i="19" s="1"/>
  <c r="AC111" i="19" s="1"/>
  <c r="AG719" i="19"/>
  <c r="AG1186" i="19"/>
  <c r="AG216" i="19"/>
  <c r="AD216" i="19" s="1"/>
  <c r="AC216" i="19" s="1"/>
  <c r="AG821" i="19"/>
  <c r="AG1250" i="19"/>
  <c r="AG319" i="19"/>
  <c r="AG908" i="19"/>
  <c r="AG1314" i="19"/>
  <c r="AG425" i="19"/>
  <c r="AG1000" i="19"/>
  <c r="AG1386" i="19"/>
  <c r="AG382" i="19"/>
  <c r="AG1003" i="19"/>
  <c r="AG1140" i="19"/>
  <c r="AG1389" i="19"/>
  <c r="AG927" i="19"/>
  <c r="AG1296" i="19"/>
  <c r="AG694" i="19"/>
  <c r="AG608" i="19"/>
  <c r="AG1358" i="19"/>
  <c r="AG1283" i="19"/>
  <c r="AG38" i="19"/>
  <c r="AD38" i="19" s="1"/>
  <c r="AC38" i="19" s="1"/>
  <c r="AG182" i="19"/>
  <c r="AD182" i="19" s="1"/>
  <c r="AC182" i="19" s="1"/>
  <c r="AG326" i="19"/>
  <c r="AG470" i="19"/>
  <c r="AG614" i="19"/>
  <c r="AG758" i="19"/>
  <c r="AG902" i="19"/>
  <c r="AG34" i="19"/>
  <c r="AD34" i="19" s="1"/>
  <c r="AC34" i="19" s="1"/>
  <c r="AG191" i="19"/>
  <c r="AD191" i="19" s="1"/>
  <c r="AC191" i="19" s="1"/>
  <c r="AG348" i="19"/>
  <c r="AG505" i="19"/>
  <c r="AG663" i="19"/>
  <c r="AG820" i="19"/>
  <c r="AG975" i="19"/>
  <c r="AG1119" i="19"/>
  <c r="AG1263" i="19"/>
  <c r="AG116" i="19"/>
  <c r="AD116" i="19" s="1"/>
  <c r="AC116" i="19" s="1"/>
  <c r="AG273" i="19"/>
  <c r="AD273" i="19" s="1"/>
  <c r="AC273" i="19" s="1"/>
  <c r="AG430" i="19"/>
  <c r="AG587" i="19"/>
  <c r="AG744" i="19"/>
  <c r="AG901" i="19"/>
  <c r="AG132" i="19"/>
  <c r="AD132" i="19" s="1"/>
  <c r="AC132" i="19" s="1"/>
  <c r="AG320" i="19"/>
  <c r="AG510" i="19"/>
  <c r="AG697" i="19"/>
  <c r="AG886" i="19"/>
  <c r="AG1063" i="19"/>
  <c r="AG1220" i="19"/>
  <c r="AG1377" i="19"/>
  <c r="AG102" i="19"/>
  <c r="AD102" i="19" s="1"/>
  <c r="AC102" i="19" s="1"/>
  <c r="AG291" i="19"/>
  <c r="AD291" i="19" s="1"/>
  <c r="AC291" i="19" s="1"/>
  <c r="AG478" i="19"/>
  <c r="AG668" i="19"/>
  <c r="AG856" i="19"/>
  <c r="AG1037" i="19"/>
  <c r="AG105" i="19"/>
  <c r="AD105" i="19" s="1"/>
  <c r="AC105" i="19" s="1"/>
  <c r="AG293" i="19"/>
  <c r="AD293" i="19" s="1"/>
  <c r="AC293" i="19" s="1"/>
  <c r="AG481" i="19"/>
  <c r="AG670" i="19"/>
  <c r="AG858" i="19"/>
  <c r="AG1040" i="19"/>
  <c r="AG1197" i="19"/>
  <c r="AG1354" i="19"/>
  <c r="AG112" i="19"/>
  <c r="AD112" i="19" s="1"/>
  <c r="AC112" i="19" s="1"/>
  <c r="AG364" i="19"/>
  <c r="AG616" i="19"/>
  <c r="AG867" i="19"/>
  <c r="AG1096" i="19"/>
  <c r="AG52" i="19"/>
  <c r="AD52" i="19" s="1"/>
  <c r="AC52" i="19" s="1"/>
  <c r="AG303" i="19"/>
  <c r="AG553" i="19"/>
  <c r="AG804" i="19"/>
  <c r="AG1048" i="19"/>
  <c r="AG1238" i="19"/>
  <c r="AG240" i="19"/>
  <c r="AD240" i="19" s="1"/>
  <c r="AC240" i="19" s="1"/>
  <c r="AG491" i="19"/>
  <c r="AG743" i="19"/>
  <c r="AG992" i="19"/>
  <c r="AG1192" i="19"/>
  <c r="AG1381" i="19"/>
  <c r="AG186" i="19"/>
  <c r="AD186" i="19" s="1"/>
  <c r="AC186" i="19" s="1"/>
  <c r="AG437" i="19"/>
  <c r="AG688" i="19"/>
  <c r="AG940" i="19"/>
  <c r="AG1149" i="19"/>
  <c r="AG1353" i="19"/>
  <c r="AG144" i="19"/>
  <c r="AD144" i="19" s="1"/>
  <c r="AC144" i="19" s="1"/>
  <c r="AG395" i="19"/>
  <c r="AG646" i="19"/>
  <c r="AG15" i="19"/>
  <c r="AD15" i="19" s="1"/>
  <c r="AC15" i="19" s="1"/>
  <c r="AG265" i="19"/>
  <c r="AD265" i="19" s="1"/>
  <c r="AC265" i="19" s="1"/>
  <c r="AG516" i="19"/>
  <c r="AG768" i="19"/>
  <c r="AG1015" i="19"/>
  <c r="AG1209" i="19"/>
  <c r="AG203" i="19"/>
  <c r="AD203" i="19" s="1"/>
  <c r="AC203" i="19" s="1"/>
  <c r="AG455" i="19"/>
  <c r="AG707" i="19"/>
  <c r="AG958" i="19"/>
  <c r="AG1163" i="19"/>
  <c r="AG1352" i="19"/>
  <c r="AG358" i="19"/>
  <c r="AG942" i="19"/>
  <c r="AG1339" i="19"/>
  <c r="AG486" i="19"/>
  <c r="AG1230" i="19"/>
  <c r="AG461" i="19"/>
  <c r="AG1019" i="19"/>
  <c r="AG567" i="19"/>
  <c r="AG1090" i="19"/>
  <c r="AG1104" i="19"/>
  <c r="AG171" i="19"/>
  <c r="AD171" i="19" s="1"/>
  <c r="AC171" i="19" s="1"/>
  <c r="AG774" i="19"/>
  <c r="AG1217" i="19"/>
  <c r="AG272" i="19"/>
  <c r="AD272" i="19" s="1"/>
  <c r="AC272" i="19" s="1"/>
  <c r="AG864" i="19"/>
  <c r="AG1281" i="19"/>
  <c r="AG379" i="19"/>
  <c r="AG947" i="19"/>
  <c r="AG1345" i="19"/>
  <c r="AG485" i="19"/>
  <c r="AG1039" i="19"/>
  <c r="AG783" i="19"/>
  <c r="AG441" i="19"/>
  <c r="AG1042" i="19"/>
  <c r="AG654" i="19"/>
  <c r="AG1265" i="19"/>
  <c r="AG753" i="19"/>
  <c r="AG1172" i="19"/>
  <c r="AG488" i="19"/>
  <c r="AG402" i="19"/>
  <c r="AG1327" i="19"/>
  <c r="AG1232" i="19"/>
  <c r="AG218" i="19"/>
  <c r="AD218" i="19" s="1"/>
  <c r="AC218" i="19" s="1"/>
  <c r="AG410" i="19"/>
  <c r="AG650" i="19"/>
  <c r="AG842" i="19"/>
  <c r="AG73" i="19"/>
  <c r="AD73" i="19" s="1"/>
  <c r="AC73" i="19" s="1"/>
  <c r="AG283" i="19"/>
  <c r="AD283" i="19" s="1"/>
  <c r="AC283" i="19" s="1"/>
  <c r="AG545" i="19"/>
  <c r="AG754" i="19"/>
  <c r="AG1011" i="19"/>
  <c r="AG1203" i="19"/>
  <c r="AG208" i="19"/>
  <c r="AD208" i="19" s="1"/>
  <c r="AC208" i="19" s="1"/>
  <c r="AG469" i="19"/>
  <c r="AG679" i="19"/>
  <c r="AG941" i="19"/>
  <c r="AG54" i="19"/>
  <c r="AD54" i="19" s="1"/>
  <c r="AC54" i="19" s="1"/>
  <c r="AG368" i="19"/>
  <c r="AG619" i="19"/>
  <c r="AG933" i="19"/>
  <c r="AG1154" i="19"/>
  <c r="AG212" i="19"/>
  <c r="AD212" i="19" s="1"/>
  <c r="AC212" i="19" s="1"/>
  <c r="AG526" i="19"/>
  <c r="AG777" i="19"/>
  <c r="AG214" i="19"/>
  <c r="AD214" i="19" s="1"/>
  <c r="AC214" i="19" s="1"/>
  <c r="AG528" i="19"/>
  <c r="AG779" i="19"/>
  <c r="AG1079" i="19"/>
  <c r="AG1289" i="19"/>
  <c r="AG175" i="19"/>
  <c r="AD175" i="19" s="1"/>
  <c r="AC175" i="19" s="1"/>
  <c r="AG512" i="19"/>
  <c r="AG930" i="19"/>
  <c r="AG1205" i="19"/>
  <c r="AG114" i="19"/>
  <c r="AD114" i="19" s="1"/>
  <c r="AC114" i="19" s="1"/>
  <c r="AG451" i="19"/>
  <c r="AG868" i="19"/>
  <c r="AG1160" i="19"/>
  <c r="AG53" i="19"/>
  <c r="AD53" i="19" s="1"/>
  <c r="AC53" i="19" s="1"/>
  <c r="AG390" i="19"/>
  <c r="AG805" i="19"/>
  <c r="AG1113" i="19"/>
  <c r="AG331" i="19"/>
  <c r="AG751" i="19"/>
  <c r="AG1070" i="19"/>
  <c r="AG292" i="19"/>
  <c r="AD292" i="19" s="1"/>
  <c r="AC292" i="19" s="1"/>
  <c r="AG709" i="19"/>
  <c r="AG160" i="19"/>
  <c r="AD160" i="19" s="1"/>
  <c r="AC160" i="19" s="1"/>
  <c r="AG580" i="19"/>
  <c r="AG913" i="19"/>
  <c r="AG1256" i="19"/>
  <c r="AG97" i="19"/>
  <c r="AD97" i="19" s="1"/>
  <c r="AC97" i="19" s="1"/>
  <c r="AG517" i="19"/>
  <c r="AG852" i="19"/>
  <c r="AG1211" i="19"/>
  <c r="AG107" i="19"/>
  <c r="AD107" i="19" s="1"/>
  <c r="AC107" i="19" s="1"/>
  <c r="AG1056" i="19"/>
  <c r="AG235" i="19"/>
  <c r="AD235" i="19" s="1"/>
  <c r="AC235" i="19" s="1"/>
  <c r="AG4" i="19"/>
  <c r="AD4" i="19" s="1"/>
  <c r="AC4" i="19" s="1"/>
  <c r="AG816" i="19"/>
  <c r="AG109" i="19"/>
  <c r="AD109" i="19" s="1"/>
  <c r="AC109" i="19" s="1"/>
  <c r="AG900" i="19"/>
  <c r="AG1293" i="19"/>
  <c r="AG523" i="19"/>
  <c r="AG1310" i="19"/>
  <c r="AG629" i="19"/>
  <c r="AG1375" i="19"/>
  <c r="AG735" i="19"/>
  <c r="AG28" i="19"/>
  <c r="AD28" i="19" s="1"/>
  <c r="AC28" i="19" s="1"/>
  <c r="AG835" i="19"/>
  <c r="AG798" i="19"/>
  <c r="AG1266" i="19"/>
  <c r="AG44" i="19"/>
  <c r="AD44" i="19" s="1"/>
  <c r="AC44" i="19" s="1"/>
  <c r="AG695" i="19"/>
  <c r="AG1235" i="19"/>
  <c r="AG925" i="19"/>
  <c r="AG388" i="19"/>
  <c r="AG431" i="19"/>
  <c r="AG14" i="19"/>
  <c r="AD14" i="19" s="1"/>
  <c r="AC14" i="19" s="1"/>
  <c r="AG230" i="19"/>
  <c r="AD230" i="19" s="1"/>
  <c r="AC230" i="19" s="1"/>
  <c r="AG446" i="19"/>
  <c r="AG662" i="19"/>
  <c r="AG878" i="19"/>
  <c r="AG87" i="19"/>
  <c r="AD87" i="19" s="1"/>
  <c r="AC87" i="19" s="1"/>
  <c r="AG322" i="19"/>
  <c r="AG558" i="19"/>
  <c r="AG793" i="19"/>
  <c r="AG1023" i="19"/>
  <c r="AG1239" i="19"/>
  <c r="AG11" i="19"/>
  <c r="AD11" i="19" s="1"/>
  <c r="AC11" i="19" s="1"/>
  <c r="AG247" i="19"/>
  <c r="AD247" i="19" s="1"/>
  <c r="AC247" i="19" s="1"/>
  <c r="AG483" i="19"/>
  <c r="AG718" i="19"/>
  <c r="AG954" i="19"/>
  <c r="AG101" i="19"/>
  <c r="AD101" i="19" s="1"/>
  <c r="AC101" i="19" s="1"/>
  <c r="AG383" i="19"/>
  <c r="AG667" i="19"/>
  <c r="AG948" i="19"/>
  <c r="AG1194" i="19"/>
  <c r="AG259" i="19"/>
  <c r="AD259" i="19" s="1"/>
  <c r="AC259" i="19" s="1"/>
  <c r="AG541" i="19"/>
  <c r="AG825" i="19"/>
  <c r="AG262" i="19"/>
  <c r="AD262" i="19" s="1"/>
  <c r="AC262" i="19" s="1"/>
  <c r="AG544" i="19"/>
  <c r="AG827" i="19"/>
  <c r="AG1092" i="19"/>
  <c r="AG1328" i="19"/>
  <c r="AG198" i="19"/>
  <c r="AG575" i="19"/>
  <c r="AG952" i="19"/>
  <c r="AG1253" i="19"/>
  <c r="AG137" i="19"/>
  <c r="AD137" i="19" s="1"/>
  <c r="AC137" i="19" s="1"/>
  <c r="AG514" i="19"/>
  <c r="AG892" i="19"/>
  <c r="AG1206" i="19"/>
  <c r="AG76" i="19"/>
  <c r="AD76" i="19" s="1"/>
  <c r="AC76" i="19" s="1"/>
  <c r="AG452" i="19"/>
  <c r="AG829" i="19"/>
  <c r="AG1161" i="19"/>
  <c r="AG17" i="19"/>
  <c r="AD17" i="19" s="1"/>
  <c r="AC17" i="19" s="1"/>
  <c r="AG394" i="19"/>
  <c r="AG772" i="19"/>
  <c r="AG1117" i="19"/>
  <c r="AG355" i="19"/>
  <c r="AG732" i="19"/>
  <c r="AG223" i="19"/>
  <c r="AD223" i="19" s="1"/>
  <c r="AC223" i="19" s="1"/>
  <c r="AG599" i="19"/>
  <c r="AG974" i="19"/>
  <c r="AG1271" i="19"/>
  <c r="AG161" i="19"/>
  <c r="AD161" i="19" s="1"/>
  <c r="AC161" i="19" s="1"/>
  <c r="AG538" i="19"/>
  <c r="AG916" i="19"/>
  <c r="AG1226" i="19"/>
  <c r="AG253" i="19"/>
  <c r="AD253" i="19" s="1"/>
  <c r="AC253" i="19" s="1"/>
  <c r="AG1087" i="19"/>
  <c r="AG381" i="19"/>
  <c r="AG63" i="19"/>
  <c r="AD63" i="19" s="1"/>
  <c r="AC63" i="19" s="1"/>
  <c r="AG943" i="19"/>
  <c r="AG169" i="19"/>
  <c r="AD169" i="19" s="1"/>
  <c r="AC169" i="19" s="1"/>
  <c r="AG1020" i="19"/>
  <c r="AG1356" i="19"/>
  <c r="AG672" i="19"/>
  <c r="AG1343" i="19"/>
  <c r="AG775" i="19"/>
  <c r="AG865" i="19"/>
  <c r="AG82" i="19"/>
  <c r="AD82" i="19" s="1"/>
  <c r="AC82" i="19" s="1"/>
  <c r="AG960" i="19"/>
  <c r="AG43" i="19"/>
  <c r="AD43" i="19" s="1"/>
  <c r="AC43" i="19" s="1"/>
  <c r="AG962" i="19"/>
  <c r="AG1139" i="19"/>
  <c r="AG1077" i="19"/>
  <c r="AG502" i="19"/>
  <c r="AG801" i="19"/>
  <c r="AG547" i="19"/>
  <c r="AG506" i="19"/>
  <c r="AG1299" i="19"/>
  <c r="AG993" i="19"/>
  <c r="AG50" i="19"/>
  <c r="AD50" i="19" s="1"/>
  <c r="AC50" i="19" s="1"/>
  <c r="AG242" i="19"/>
  <c r="AD242" i="19" s="1"/>
  <c r="AC242" i="19" s="1"/>
  <c r="AG482" i="19"/>
  <c r="AG674" i="19"/>
  <c r="AG914" i="19"/>
  <c r="AG100" i="19"/>
  <c r="AD100" i="19" s="1"/>
  <c r="AC100" i="19" s="1"/>
  <c r="AG361" i="19"/>
  <c r="AG571" i="19"/>
  <c r="AG833" i="19"/>
  <c r="AG1035" i="19"/>
  <c r="AG1275" i="19"/>
  <c r="AG24" i="19"/>
  <c r="AD24" i="19" s="1"/>
  <c r="AC24" i="19" s="1"/>
  <c r="AG286" i="19"/>
  <c r="AD286" i="19" s="1"/>
  <c r="AC286" i="19" s="1"/>
  <c r="AG496" i="19"/>
  <c r="AG757" i="19"/>
  <c r="AG966" i="19"/>
  <c r="AG148" i="19"/>
  <c r="AD148" i="19" s="1"/>
  <c r="AC148" i="19" s="1"/>
  <c r="AG399" i="19"/>
  <c r="AG713" i="19"/>
  <c r="AG964" i="19"/>
  <c r="AG1233" i="19"/>
  <c r="AG306" i="19"/>
  <c r="AG557" i="19"/>
  <c r="AG871" i="19"/>
  <c r="AG308" i="19"/>
  <c r="AG560" i="19"/>
  <c r="AG874" i="19"/>
  <c r="AG1105" i="19"/>
  <c r="AG1367" i="19"/>
  <c r="AG219" i="19"/>
  <c r="AD219" i="19" s="1"/>
  <c r="AC219" i="19" s="1"/>
  <c r="AG637" i="19"/>
  <c r="AG971" i="19"/>
  <c r="AG1300" i="19"/>
  <c r="AG157" i="19"/>
  <c r="AD157" i="19" s="1"/>
  <c r="AC157" i="19" s="1"/>
  <c r="AG577" i="19"/>
  <c r="AG910" i="19"/>
  <c r="AG1254" i="19"/>
  <c r="AG95" i="19"/>
  <c r="AD95" i="19" s="1"/>
  <c r="AC95" i="19" s="1"/>
  <c r="AG515" i="19"/>
  <c r="AG850" i="19"/>
  <c r="AG1208" i="19"/>
  <c r="AG36" i="19"/>
  <c r="AD36" i="19" s="1"/>
  <c r="AC36" i="19" s="1"/>
  <c r="AG457" i="19"/>
  <c r="AG790" i="19"/>
  <c r="AG1164" i="19"/>
  <c r="AG418" i="19"/>
  <c r="AG752" i="19"/>
  <c r="AG285" i="19"/>
  <c r="AD285" i="19" s="1"/>
  <c r="AC285" i="19" s="1"/>
  <c r="AG621" i="19"/>
  <c r="AG1032" i="19"/>
  <c r="AG1288" i="19"/>
  <c r="AG224" i="19"/>
  <c r="AD224" i="19" s="1"/>
  <c r="AC224" i="19" s="1"/>
  <c r="AG562" i="19"/>
  <c r="AG976" i="19"/>
  <c r="AG1242" i="19"/>
  <c r="AG405" i="19"/>
  <c r="AG1120" i="19"/>
  <c r="AG531" i="19"/>
  <c r="AG108" i="19"/>
  <c r="AD108" i="19" s="1"/>
  <c r="AC108" i="19" s="1"/>
  <c r="AG1057" i="19"/>
  <c r="AG213" i="19"/>
  <c r="AD213" i="19" s="1"/>
  <c r="AC213" i="19" s="1"/>
  <c r="AG1122" i="19"/>
  <c r="AG838" i="19"/>
  <c r="AG819" i="19"/>
  <c r="AG1374" i="19"/>
  <c r="AG907" i="19"/>
  <c r="AG25" i="19"/>
  <c r="AD25" i="19" s="1"/>
  <c r="AC25" i="19" s="1"/>
  <c r="AG988" i="19"/>
  <c r="AG128" i="19"/>
  <c r="AD128" i="19" s="1"/>
  <c r="AC128" i="19" s="1"/>
  <c r="AG1072" i="19"/>
  <c r="AG88" i="19"/>
  <c r="AD88" i="19" s="1"/>
  <c r="AC88" i="19" s="1"/>
  <c r="AG1074" i="19"/>
  <c r="AG1005" i="19"/>
  <c r="AG549" i="19"/>
  <c r="AG297" i="19"/>
  <c r="AG193" i="19"/>
  <c r="AD193" i="19" s="1"/>
  <c r="AC193" i="19" s="1"/>
  <c r="AG342" i="19"/>
  <c r="AG266" i="19"/>
  <c r="AG698" i="19"/>
  <c r="AG938" i="19"/>
  <c r="AG126" i="19"/>
  <c r="AD126" i="19" s="1"/>
  <c r="AC126" i="19" s="1"/>
  <c r="AG597" i="19"/>
  <c r="AG1059" i="19"/>
  <c r="AG51" i="19"/>
  <c r="AD51" i="19" s="1"/>
  <c r="AC51" i="19" s="1"/>
  <c r="AG312" i="19"/>
  <c r="AG522" i="19"/>
  <c r="AG784" i="19"/>
  <c r="AG179" i="19"/>
  <c r="AD179" i="19" s="1"/>
  <c r="AC179" i="19" s="1"/>
  <c r="AG745" i="19"/>
  <c r="AG1259" i="19"/>
  <c r="AG23" i="19"/>
  <c r="AD23" i="19" s="1"/>
  <c r="AC23" i="19" s="1"/>
  <c r="AG337" i="19"/>
  <c r="AG589" i="19"/>
  <c r="AG27" i="19"/>
  <c r="AD27" i="19" s="1"/>
  <c r="AC27" i="19" s="1"/>
  <c r="AG62" i="19"/>
  <c r="AD62" i="19" s="1"/>
  <c r="AC62" i="19" s="1"/>
  <c r="AG254" i="19"/>
  <c r="AD254" i="19" s="1"/>
  <c r="AC254" i="19" s="1"/>
  <c r="AG494" i="19"/>
  <c r="AG686" i="19"/>
  <c r="AG926" i="19"/>
  <c r="AG113" i="19"/>
  <c r="AD113" i="19" s="1"/>
  <c r="AC113" i="19" s="1"/>
  <c r="AG375" i="19"/>
  <c r="AG584" i="19"/>
  <c r="AG846" i="19"/>
  <c r="AG1047" i="19"/>
  <c r="AG1287" i="19"/>
  <c r="AG37" i="19"/>
  <c r="AD37" i="19" s="1"/>
  <c r="AC37" i="19" s="1"/>
  <c r="AG299" i="19"/>
  <c r="AG509" i="19"/>
  <c r="AG771" i="19"/>
  <c r="AG978" i="19"/>
  <c r="AG163" i="19"/>
  <c r="AD163" i="19" s="1"/>
  <c r="AC163" i="19" s="1"/>
  <c r="AG415" i="19"/>
  <c r="AG729" i="19"/>
  <c r="AG979" i="19"/>
  <c r="AG1246" i="19"/>
  <c r="AG7" i="19"/>
  <c r="AD7" i="19" s="1"/>
  <c r="AC7" i="19" s="1"/>
  <c r="AG321" i="19"/>
  <c r="AG573" i="19"/>
  <c r="AG887" i="19"/>
  <c r="AG10" i="19"/>
  <c r="AD10" i="19" s="1"/>
  <c r="AC10" i="19" s="1"/>
  <c r="AG324" i="19"/>
  <c r="AG576" i="19"/>
  <c r="AG891" i="19"/>
  <c r="AG1118" i="19"/>
  <c r="AG1380" i="19"/>
  <c r="AG238" i="19"/>
  <c r="AD238" i="19" s="1"/>
  <c r="AC238" i="19" s="1"/>
  <c r="AG658" i="19"/>
  <c r="AG989" i="19"/>
  <c r="AG1316" i="19"/>
  <c r="AG176" i="19"/>
  <c r="AD176" i="19" s="1"/>
  <c r="AC176" i="19" s="1"/>
  <c r="AG596" i="19"/>
  <c r="AG931" i="19"/>
  <c r="AG1269" i="19"/>
  <c r="AG115" i="19"/>
  <c r="AD115" i="19" s="1"/>
  <c r="AC115" i="19" s="1"/>
  <c r="AG536" i="19"/>
  <c r="AG869" i="19"/>
  <c r="AG1224" i="19"/>
  <c r="AG59" i="19"/>
  <c r="AD59" i="19" s="1"/>
  <c r="AC59" i="19" s="1"/>
  <c r="AG476" i="19"/>
  <c r="AG814" i="19"/>
  <c r="AG1180" i="19"/>
  <c r="AG18" i="19"/>
  <c r="AD18" i="19" s="1"/>
  <c r="AC18" i="19" s="1"/>
  <c r="AG438" i="19"/>
  <c r="AG773" i="19"/>
  <c r="AG307" i="19"/>
  <c r="AG643" i="19"/>
  <c r="AG1052" i="19"/>
  <c r="AG1304" i="19"/>
  <c r="AG248" i="19"/>
  <c r="AD248" i="19" s="1"/>
  <c r="AC248" i="19" s="1"/>
  <c r="AG581" i="19"/>
  <c r="AG997" i="19"/>
  <c r="AG1257" i="19"/>
  <c r="AG460" i="19"/>
  <c r="AG1150" i="19"/>
  <c r="AG586" i="19"/>
  <c r="AG154" i="19"/>
  <c r="AD154" i="19" s="1"/>
  <c r="AC154" i="19" s="1"/>
  <c r="AG1088" i="19"/>
  <c r="AG256" i="19"/>
  <c r="AD256" i="19" s="1"/>
  <c r="AC256" i="19" s="1"/>
  <c r="AG1152" i="19"/>
  <c r="AG1200" i="19"/>
  <c r="AG863" i="19"/>
  <c r="AG946" i="19"/>
  <c r="AG68" i="19"/>
  <c r="AD68" i="19" s="1"/>
  <c r="AC68" i="19" s="1"/>
  <c r="AG1028" i="19"/>
  <c r="AG174" i="19"/>
  <c r="AD174" i="19" s="1"/>
  <c r="AC174" i="19" s="1"/>
  <c r="AG1103" i="19"/>
  <c r="AG131" i="19"/>
  <c r="AD131" i="19" s="1"/>
  <c r="AC131" i="19" s="1"/>
  <c r="AG1106" i="19"/>
  <c r="AG844" i="19"/>
  <c r="AG343" i="19"/>
  <c r="AG92" i="19"/>
  <c r="AD92" i="19" s="1"/>
  <c r="AC92" i="19" s="1"/>
  <c r="AG145" i="19"/>
  <c r="AD145" i="19" s="1"/>
  <c r="AC145" i="19" s="1"/>
  <c r="AG74" i="19"/>
  <c r="AD74" i="19" s="1"/>
  <c r="AC74" i="19" s="1"/>
  <c r="AG859" i="19"/>
  <c r="AG990" i="19"/>
  <c r="AG86" i="19"/>
  <c r="AD86" i="19" s="1"/>
  <c r="AC86" i="19" s="1"/>
  <c r="AG386" i="19"/>
  <c r="AG794" i="19"/>
  <c r="AG204" i="19"/>
  <c r="AD204" i="19" s="1"/>
  <c r="AC204" i="19" s="1"/>
  <c r="AG532" i="19"/>
  <c r="AG951" i="19"/>
  <c r="AG1335" i="19"/>
  <c r="AG325" i="19"/>
  <c r="AG653" i="19"/>
  <c r="AG525" i="19"/>
  <c r="AG918" i="19"/>
  <c r="AG1351" i="19"/>
  <c r="AG384" i="19"/>
  <c r="AG904" i="19"/>
  <c r="AG167" i="19"/>
  <c r="AD167" i="19" s="1"/>
  <c r="AC167" i="19" s="1"/>
  <c r="AG639" i="19"/>
  <c r="AG1010" i="19"/>
  <c r="AG449" i="19"/>
  <c r="AG1064" i="19"/>
  <c r="AG12" i="19"/>
  <c r="AD12" i="19" s="1"/>
  <c r="AC12" i="19" s="1"/>
  <c r="AG641" i="19"/>
  <c r="AG1112" i="19"/>
  <c r="AG201" i="19"/>
  <c r="AD201" i="19" s="1"/>
  <c r="AC201" i="19" s="1"/>
  <c r="AG704" i="19"/>
  <c r="AG1255" i="19"/>
  <c r="AG268" i="19"/>
  <c r="AD268" i="19" s="1"/>
  <c r="AC268" i="19" s="1"/>
  <c r="AG896" i="19"/>
  <c r="AG1321" i="19"/>
  <c r="AG480" i="19"/>
  <c r="AG96" i="19"/>
  <c r="AD96" i="19" s="1"/>
  <c r="AC96" i="19" s="1"/>
  <c r="AG725" i="19"/>
  <c r="AG1177" i="19"/>
  <c r="AG287" i="19"/>
  <c r="AD287" i="19" s="1"/>
  <c r="AC287" i="19" s="1"/>
  <c r="AG789" i="19"/>
  <c r="AG1320" i="19"/>
  <c r="AG857" i="19"/>
  <c r="AG737" i="19"/>
  <c r="AG657" i="19"/>
  <c r="AG464" i="19"/>
  <c r="AG632" i="19"/>
  <c r="AG945" i="19"/>
  <c r="AG468" i="19"/>
  <c r="AG276" i="19"/>
  <c r="AD276" i="19" s="1"/>
  <c r="AC276" i="19" s="1"/>
  <c r="AG1282" i="19"/>
  <c r="AG1165" i="19"/>
  <c r="AG633" i="19"/>
  <c r="AG45" i="19"/>
  <c r="AD45" i="19" s="1"/>
  <c r="AC45" i="19" s="1"/>
  <c r="AG106" i="19"/>
  <c r="AD106" i="19" s="1"/>
  <c r="AC106" i="19" s="1"/>
  <c r="AG1234" i="19"/>
  <c r="AG593" i="19"/>
  <c r="AG1210" i="19"/>
  <c r="AG3" i="19"/>
  <c r="AG626" i="19"/>
  <c r="AG561" i="19"/>
  <c r="AG164" i="19"/>
  <c r="AD164" i="19" s="1"/>
  <c r="AC164" i="19" s="1"/>
  <c r="AG906" i="19"/>
  <c r="AG1331" i="19"/>
  <c r="AG1049" i="19"/>
  <c r="AG795" i="19"/>
  <c r="AG601" i="19"/>
  <c r="AG1245" i="19"/>
  <c r="AG1062" i="19"/>
  <c r="AG1267" i="19"/>
  <c r="AG427" i="19"/>
  <c r="AG600" i="19"/>
  <c r="AG180" i="19"/>
  <c r="AD180" i="19" s="1"/>
  <c r="AC180" i="19" s="1"/>
  <c r="AG921" i="19"/>
  <c r="AG389" i="19"/>
  <c r="AG1212" i="19"/>
  <c r="AG664" i="19"/>
  <c r="AG1216" i="19"/>
  <c r="AG739" i="19"/>
  <c r="AG168" i="19"/>
  <c r="AD168" i="19" s="1"/>
  <c r="AC168" i="19" s="1"/>
  <c r="AG1285" i="19"/>
  <c r="AG889" i="19"/>
  <c r="AG1228" i="19"/>
  <c r="AG609" i="19"/>
  <c r="AG1125" i="19"/>
  <c r="AG898" i="19"/>
  <c r="AG353" i="19"/>
  <c r="AG136" i="19"/>
  <c r="AD136" i="19" s="1"/>
  <c r="AC136" i="19" s="1"/>
  <c r="AG428" i="19"/>
  <c r="AG269" i="19"/>
  <c r="AD269" i="19" s="1"/>
  <c r="AC269" i="19" s="1"/>
  <c r="AG565" i="19"/>
  <c r="AG1173" i="19"/>
  <c r="AG98" i="19"/>
  <c r="AG398" i="19"/>
  <c r="AG806" i="19"/>
  <c r="AG217" i="19"/>
  <c r="AD217" i="19" s="1"/>
  <c r="AC217" i="19" s="1"/>
  <c r="AG636" i="19"/>
  <c r="AG987" i="19"/>
  <c r="AG1347" i="19"/>
  <c r="AG339" i="19"/>
  <c r="AG666" i="19"/>
  <c r="AG6" i="19"/>
  <c r="AD6" i="19" s="1"/>
  <c r="AC6" i="19" s="1"/>
  <c r="AG540" i="19"/>
  <c r="AG1036" i="19"/>
  <c r="AG1390" i="19"/>
  <c r="AG400" i="19"/>
  <c r="AG919" i="19"/>
  <c r="AG184" i="19"/>
  <c r="AD184" i="19" s="1"/>
  <c r="AC184" i="19" s="1"/>
  <c r="AG685" i="19"/>
  <c r="AG1053" i="19"/>
  <c r="AG471" i="19"/>
  <c r="AG1111" i="19"/>
  <c r="AG75" i="19"/>
  <c r="AD75" i="19" s="1"/>
  <c r="AC75" i="19" s="1"/>
  <c r="AG659" i="19"/>
  <c r="AG1127" i="19"/>
  <c r="AG264" i="19"/>
  <c r="AD264" i="19" s="1"/>
  <c r="AC264" i="19" s="1"/>
  <c r="AG766" i="19"/>
  <c r="AG1270" i="19"/>
  <c r="AG288" i="19"/>
  <c r="AD288" i="19" s="1"/>
  <c r="AC288" i="19" s="1"/>
  <c r="AG959" i="19"/>
  <c r="AG1369" i="19"/>
  <c r="AG501" i="19"/>
  <c r="AG119" i="19"/>
  <c r="AD119" i="19" s="1"/>
  <c r="AC119" i="19" s="1"/>
  <c r="AG788" i="19"/>
  <c r="AG1225" i="19"/>
  <c r="AG310" i="19"/>
  <c r="AG813" i="19"/>
  <c r="AG1368" i="19"/>
  <c r="AG981" i="19"/>
  <c r="AG837" i="19"/>
  <c r="AG712" i="19"/>
  <c r="AG612" i="19"/>
  <c r="AG1166" i="19"/>
  <c r="AG985" i="19"/>
  <c r="AG524" i="19"/>
  <c r="AG424" i="19"/>
  <c r="AG1376" i="19"/>
  <c r="AG1198" i="19"/>
  <c r="AG693" i="19"/>
  <c r="AG1138" i="19"/>
  <c r="AG1044" i="19"/>
  <c r="AG1109" i="19"/>
  <c r="AG396" i="19"/>
  <c r="AG110" i="19"/>
  <c r="AD110" i="19" s="1"/>
  <c r="AC110" i="19" s="1"/>
  <c r="AG518" i="19"/>
  <c r="AG818" i="19"/>
  <c r="AG231" i="19"/>
  <c r="AD231" i="19" s="1"/>
  <c r="AC231" i="19" s="1"/>
  <c r="AG676" i="19"/>
  <c r="AG999" i="19"/>
  <c r="AG1383" i="19"/>
  <c r="AG352" i="19"/>
  <c r="AG797" i="19"/>
  <c r="AG22" i="19"/>
  <c r="AD22" i="19" s="1"/>
  <c r="AC22" i="19" s="1"/>
  <c r="AG556" i="19"/>
  <c r="AG1076" i="19"/>
  <c r="AG448" i="19"/>
  <c r="AG934" i="19"/>
  <c r="AG199" i="19"/>
  <c r="AD199" i="19" s="1"/>
  <c r="AC199" i="19" s="1"/>
  <c r="AG701" i="19"/>
  <c r="AG1066" i="19"/>
  <c r="AG489" i="19"/>
  <c r="AG1126" i="19"/>
  <c r="AG94" i="19"/>
  <c r="AD94" i="19" s="1"/>
  <c r="AC94" i="19" s="1"/>
  <c r="AG680" i="19"/>
  <c r="AG1144" i="19"/>
  <c r="AG284" i="19"/>
  <c r="AD284" i="19" s="1"/>
  <c r="AC284" i="19" s="1"/>
  <c r="AG787" i="19"/>
  <c r="AG1286" i="19"/>
  <c r="AG311" i="19"/>
  <c r="AG977" i="19"/>
  <c r="AG1385" i="19"/>
  <c r="AG521" i="19"/>
  <c r="AG140" i="19"/>
  <c r="AD140" i="19" s="1"/>
  <c r="AC140" i="19" s="1"/>
  <c r="AG811" i="19"/>
  <c r="AG1241" i="19"/>
  <c r="AG330" i="19"/>
  <c r="AG832" i="19"/>
  <c r="AG1384" i="19"/>
  <c r="AG1018" i="19"/>
  <c r="AG880" i="19"/>
  <c r="AG759" i="19"/>
  <c r="AG671" i="19"/>
  <c r="AG1261" i="19"/>
  <c r="AG1024" i="19"/>
  <c r="AG569" i="19"/>
  <c r="AG484" i="19"/>
  <c r="AG1229" i="19"/>
  <c r="AG738" i="19"/>
  <c r="AG1004" i="19"/>
  <c r="AG883" i="19"/>
  <c r="AG969" i="19"/>
  <c r="AG190" i="19"/>
  <c r="AD190" i="19" s="1"/>
  <c r="AC190" i="19" s="1"/>
  <c r="AG194" i="19"/>
  <c r="AD194" i="19" s="1"/>
  <c r="AC194" i="19" s="1"/>
  <c r="AG554" i="19"/>
  <c r="AG270" i="19"/>
  <c r="AD270" i="19" s="1"/>
  <c r="AC270" i="19" s="1"/>
  <c r="AG715" i="19"/>
  <c r="AG90" i="19"/>
  <c r="AD90" i="19" s="1"/>
  <c r="AC90" i="19" s="1"/>
  <c r="AG443" i="19"/>
  <c r="AG836" i="19"/>
  <c r="AG211" i="19"/>
  <c r="AD211" i="19" s="1"/>
  <c r="AC211" i="19" s="1"/>
  <c r="AG1115" i="19"/>
  <c r="AG133" i="19"/>
  <c r="AD133" i="19" s="1"/>
  <c r="AC133" i="19" s="1"/>
  <c r="AG1008" i="19"/>
  <c r="AG371" i="19"/>
  <c r="AG749" i="19"/>
  <c r="AG135" i="19"/>
  <c r="AD135" i="19" s="1"/>
  <c r="AC135" i="19" s="1"/>
  <c r="AG721" i="19"/>
  <c r="AG327" i="19"/>
  <c r="AG828" i="19"/>
  <c r="AG1317" i="19"/>
  <c r="AG1013" i="19"/>
  <c r="AG539" i="19"/>
  <c r="AG1034" i="19"/>
  <c r="AG166" i="19"/>
  <c r="AD166" i="19" s="1"/>
  <c r="AC166" i="19" s="1"/>
  <c r="AG669" i="19"/>
  <c r="AG873" i="19"/>
  <c r="AG475" i="19"/>
  <c r="AG1054" i="19"/>
  <c r="AG1324" i="19"/>
  <c r="AG1183" i="19"/>
  <c r="AG817" i="19"/>
  <c r="AG215" i="19"/>
  <c r="AD215" i="19" s="1"/>
  <c r="AC215" i="19" s="1"/>
  <c r="AG1248" i="19"/>
  <c r="AG1061" i="19"/>
  <c r="AG630" i="19"/>
  <c r="AG1199" i="19"/>
  <c r="AG1231" i="19"/>
  <c r="AG442" i="19"/>
  <c r="AG295" i="19"/>
  <c r="AD295" i="19" s="1"/>
  <c r="AC295" i="19" s="1"/>
  <c r="AG1201" i="19"/>
  <c r="AG206" i="19"/>
  <c r="AD206" i="19" s="1"/>
  <c r="AC206" i="19" s="1"/>
  <c r="AG590" i="19"/>
  <c r="AG401" i="19"/>
  <c r="AG728" i="19"/>
  <c r="AG456" i="19"/>
  <c r="AG875" i="19"/>
  <c r="AG226" i="19"/>
  <c r="AD226" i="19" s="1"/>
  <c r="AC226" i="19" s="1"/>
  <c r="AG1128" i="19"/>
  <c r="AG683" i="19"/>
  <c r="AG1051" i="19"/>
  <c r="AG387" i="19"/>
  <c r="AG764" i="19"/>
  <c r="AG156" i="19"/>
  <c r="AD156" i="19" s="1"/>
  <c r="AC156" i="19" s="1"/>
  <c r="AG1189" i="19"/>
  <c r="AG345" i="19"/>
  <c r="AG848" i="19"/>
  <c r="AG1332" i="19"/>
  <c r="AG367" i="19"/>
  <c r="AG1031" i="19"/>
  <c r="AG563" i="19"/>
  <c r="AG187" i="19"/>
  <c r="AD187" i="19" s="1"/>
  <c r="AC187" i="19" s="1"/>
  <c r="AG690" i="19"/>
  <c r="AG392" i="19"/>
  <c r="AG894" i="19"/>
  <c r="AG499" i="19"/>
  <c r="AG1069" i="19"/>
  <c r="AG48" i="19"/>
  <c r="AD48" i="19" s="1"/>
  <c r="AC48" i="19" s="1"/>
  <c r="AG861" i="19"/>
  <c r="AG271" i="19"/>
  <c r="AD271" i="19" s="1"/>
  <c r="AC271" i="19" s="1"/>
  <c r="AG1280" i="19"/>
  <c r="AG1093" i="19"/>
  <c r="AG675" i="19"/>
  <c r="AG585" i="19"/>
  <c r="AG1387" i="19"/>
  <c r="AG1264" i="19"/>
  <c r="AG91" i="19"/>
  <c r="AD91" i="19" s="1"/>
  <c r="AC91" i="19" s="1"/>
  <c r="AG1075" i="19"/>
  <c r="AG302" i="19"/>
  <c r="AG741" i="19"/>
  <c r="AG142" i="19"/>
  <c r="AD142" i="19" s="1"/>
  <c r="AC142" i="19" s="1"/>
  <c r="AG241" i="19"/>
  <c r="AD241" i="19" s="1"/>
  <c r="AC241" i="19" s="1"/>
  <c r="AG1141" i="19"/>
  <c r="AG699" i="19"/>
  <c r="AG403" i="19"/>
  <c r="AG763" i="19"/>
  <c r="AG366" i="19"/>
  <c r="AG1348" i="19"/>
  <c r="AG555" i="19"/>
  <c r="AG80" i="19"/>
  <c r="AD80" i="19" s="1"/>
  <c r="AC80" i="19" s="1"/>
  <c r="AG207" i="19"/>
  <c r="AD207" i="19" s="1"/>
  <c r="AC207" i="19" s="1"/>
  <c r="AG411" i="19"/>
  <c r="AG1085" i="19"/>
  <c r="AG29" i="19"/>
  <c r="AD29" i="19" s="1"/>
  <c r="AC29" i="19" s="1"/>
  <c r="AG1185" i="19"/>
  <c r="AG1124" i="19"/>
  <c r="AG631" i="19"/>
  <c r="AG147" i="19"/>
  <c r="AD147" i="19" s="1"/>
  <c r="AC147" i="19" s="1"/>
  <c r="AG884" i="19"/>
  <c r="AG338" i="19"/>
  <c r="AG872" i="19"/>
  <c r="AG928" i="19"/>
  <c r="AG1272" i="19"/>
  <c r="AG72" i="19"/>
  <c r="AD72" i="19" s="1"/>
  <c r="AC72" i="19" s="1"/>
  <c r="AG1249" i="19"/>
  <c r="AG1346" i="19"/>
  <c r="AG1067" i="19"/>
  <c r="AG143" i="19"/>
  <c r="AD143" i="19" s="1"/>
  <c r="AC143" i="19" s="1"/>
  <c r="AG645" i="19"/>
  <c r="AG474" i="19"/>
  <c r="AG1084" i="19"/>
  <c r="AG35" i="19"/>
  <c r="AD35" i="19" s="1"/>
  <c r="AC35" i="19" s="1"/>
  <c r="AG551" i="19"/>
  <c r="AG359" i="19"/>
  <c r="AG1340" i="19"/>
  <c r="AG363" i="19"/>
  <c r="AG1094" i="19"/>
  <c r="AG677" i="19"/>
  <c r="AG340" i="19"/>
  <c r="AG1045" i="19"/>
  <c r="AG1006" i="19"/>
  <c r="AG734" i="19"/>
  <c r="AG336" i="19"/>
  <c r="AG730" i="19"/>
  <c r="AG1262" i="19"/>
  <c r="AG708" i="19"/>
  <c r="AG726" i="19"/>
  <c r="AG1313" i="19"/>
  <c r="AG479" i="19"/>
  <c r="AG855" i="19"/>
  <c r="AG953" i="19"/>
  <c r="AG618" i="19"/>
  <c r="AG79" i="19"/>
  <c r="AD79" i="19" s="1"/>
  <c r="AC79" i="19" s="1"/>
  <c r="AG1157" i="19"/>
  <c r="AG350" i="19"/>
  <c r="AG47" i="19"/>
  <c r="AD47" i="19" s="1"/>
  <c r="AC47" i="19" s="1"/>
  <c r="AG440" i="19"/>
  <c r="AG885" i="19"/>
  <c r="AG1191" i="19"/>
  <c r="AG613" i="19"/>
  <c r="AG808" i="19"/>
  <c r="AG197" i="19"/>
  <c r="AD197" i="19" s="1"/>
  <c r="AC197" i="19" s="1"/>
  <c r="AG120" i="19"/>
  <c r="AD120" i="19" s="1"/>
  <c r="AC120" i="19" s="1"/>
  <c r="AG936" i="19"/>
  <c r="AG385" i="19"/>
  <c r="AG1362" i="19"/>
  <c r="AG408" i="19"/>
  <c r="AG13" i="19"/>
  <c r="AD13" i="19" s="1"/>
  <c r="AC13" i="19" s="1"/>
  <c r="AG598" i="19"/>
  <c r="AG1082" i="19"/>
  <c r="AG205" i="19"/>
  <c r="AD205" i="19" s="1"/>
  <c r="AC205" i="19" s="1"/>
  <c r="AG250" i="19"/>
  <c r="AD250" i="19" s="1"/>
  <c r="AC250" i="19" s="1"/>
  <c r="AG537" i="19"/>
  <c r="AG1099" i="19"/>
  <c r="AG58" i="19"/>
  <c r="AD58" i="19" s="1"/>
  <c r="AC58" i="19" s="1"/>
  <c r="AG1178" i="19"/>
  <c r="AG507" i="19"/>
  <c r="AG5" i="19"/>
  <c r="AD5" i="19" s="1"/>
  <c r="AC5" i="19" s="1"/>
  <c r="AG1247" i="19"/>
  <c r="AG421" i="19"/>
  <c r="AG318" i="19"/>
  <c r="AG736" i="19"/>
  <c r="AG46" i="19"/>
  <c r="AD46" i="19" s="1"/>
  <c r="AC46" i="19" s="1"/>
  <c r="AG1297" i="19"/>
  <c r="AG445" i="19"/>
  <c r="AG1108" i="19"/>
  <c r="AG362" i="19"/>
  <c r="AG60" i="19"/>
  <c r="AD60" i="19" s="1"/>
  <c r="AC60" i="19" s="1"/>
  <c r="AG1311" i="19"/>
  <c r="AG627" i="19"/>
  <c r="AG1298" i="19"/>
  <c r="AG747" i="19"/>
  <c r="AG513" i="19"/>
  <c r="AG1276" i="19"/>
  <c r="AG407" i="19"/>
  <c r="AG1378" i="19"/>
  <c r="AG1081" i="19"/>
  <c r="AG32" i="19"/>
  <c r="AD32" i="19" s="1"/>
  <c r="AC32" i="19" s="1"/>
  <c r="AG1098" i="19"/>
  <c r="AG727" i="19"/>
  <c r="AG1258" i="19"/>
  <c r="AG56" i="19"/>
  <c r="AD56" i="19" s="1"/>
  <c r="AC56" i="19" s="1"/>
  <c r="AG559" i="19"/>
  <c r="AG1114" i="19"/>
  <c r="AG750" i="19"/>
  <c r="AG656" i="19"/>
  <c r="AG188" i="19"/>
  <c r="AD188" i="19" s="1"/>
  <c r="AC188" i="19" s="1"/>
  <c r="AG65" i="19"/>
  <c r="AD65" i="19" s="1"/>
  <c r="AC65" i="19" s="1"/>
  <c r="AG1279" i="19"/>
  <c r="AG467" i="19"/>
  <c r="AG377" i="19"/>
  <c r="AG1344" i="19"/>
  <c r="AG781" i="19"/>
  <c r="AG1391" i="19"/>
  <c r="AG1361" i="19"/>
  <c r="AG967" i="19"/>
  <c r="AG122" i="19"/>
  <c r="AD122" i="19" s="1"/>
  <c r="AC122" i="19" s="1"/>
  <c r="AG530" i="19"/>
  <c r="AG830" i="19"/>
  <c r="AG244" i="19"/>
  <c r="AD244" i="19" s="1"/>
  <c r="AC244" i="19" s="1"/>
  <c r="AG689" i="19"/>
  <c r="AG1095" i="19"/>
  <c r="AG365" i="19"/>
  <c r="AG810" i="19"/>
  <c r="AG39" i="19"/>
  <c r="AD39" i="19" s="1"/>
  <c r="AC39" i="19" s="1"/>
  <c r="AG572" i="19"/>
  <c r="AG1089" i="19"/>
  <c r="AG70" i="19"/>
  <c r="AD70" i="19" s="1"/>
  <c r="AC70" i="19" s="1"/>
  <c r="AG495" i="19"/>
  <c r="AG949" i="19"/>
  <c r="AG341" i="19"/>
  <c r="AG717" i="19"/>
  <c r="AG1132" i="19"/>
  <c r="AG9" i="19"/>
  <c r="AD9" i="19" s="1"/>
  <c r="AC9" i="19" s="1"/>
  <c r="AG678" i="19"/>
  <c r="AG1142" i="19"/>
  <c r="AG200" i="19"/>
  <c r="AD200" i="19" s="1"/>
  <c r="AC200" i="19" s="1"/>
  <c r="AG703" i="19"/>
  <c r="AG1284" i="19"/>
  <c r="AG304" i="19"/>
  <c r="AG893" i="19"/>
  <c r="AG1303" i="19"/>
  <c r="AG500" i="19"/>
  <c r="AG998" i="19"/>
  <c r="AG41" i="19"/>
  <c r="AD41" i="19" s="1"/>
  <c r="AC41" i="19" s="1"/>
  <c r="AG543" i="19"/>
  <c r="AG329" i="19"/>
  <c r="AG831" i="19"/>
  <c r="AG1319" i="19"/>
  <c r="AG349" i="19"/>
  <c r="AG1016" i="19"/>
  <c r="AG1243" i="19"/>
  <c r="AG1182" i="19"/>
  <c r="AG922" i="19"/>
  <c r="AG1121" i="19"/>
  <c r="AG716" i="19"/>
  <c r="AG1357" i="19"/>
  <c r="AG1060" i="19"/>
  <c r="AG986" i="19"/>
  <c r="AG527" i="19"/>
  <c r="AG233" i="19"/>
  <c r="AD233" i="19" s="1"/>
  <c r="AC233" i="19" s="1"/>
  <c r="AG1260" i="19"/>
  <c r="AG1137" i="19"/>
  <c r="AG841" i="19"/>
  <c r="AG1295" i="19"/>
  <c r="AG800" i="19"/>
  <c r="AG1143" i="19"/>
  <c r="AG635" i="19"/>
  <c r="AG346" i="19"/>
  <c r="AG1370" i="19"/>
  <c r="AG1155" i="19"/>
  <c r="AG761" i="19"/>
  <c r="AG1223" i="19"/>
  <c r="AG237" i="19"/>
  <c r="AD237" i="19" s="1"/>
  <c r="AC237" i="19" s="1"/>
  <c r="AG1167" i="19"/>
  <c r="AG776" i="19"/>
  <c r="AG261" i="19"/>
  <c r="AD261" i="19" s="1"/>
  <c r="AC261" i="19" s="1"/>
  <c r="AG955" i="19"/>
  <c r="AG582" i="19"/>
  <c r="AG1068" i="19"/>
  <c r="AG504" i="19"/>
  <c r="AG317" i="19"/>
  <c r="AG189" i="19"/>
  <c r="AD189" i="19" s="1"/>
  <c r="AC189" i="19" s="1"/>
  <c r="AG638" i="19"/>
  <c r="AG155" i="19"/>
  <c r="AD155" i="19" s="1"/>
  <c r="AC155" i="19" s="1"/>
  <c r="AG791" i="19"/>
  <c r="AG450" i="19"/>
  <c r="AG826" i="19"/>
  <c r="AG579" i="19"/>
  <c r="AG83" i="19"/>
  <c r="AD83" i="19" s="1"/>
  <c r="AC83" i="19" s="1"/>
  <c r="AG1218" i="19"/>
  <c r="AG1026" i="19"/>
  <c r="AG498" i="19"/>
  <c r="AG1065" i="19"/>
  <c r="AG33" i="19"/>
  <c r="AD33" i="19" s="1"/>
  <c r="AC33" i="19" s="1"/>
  <c r="AG130" i="19"/>
  <c r="AD130" i="19" s="1"/>
  <c r="AC130" i="19" s="1"/>
  <c r="AG487" i="19"/>
  <c r="AG770" i="19"/>
  <c r="AG181" i="19"/>
  <c r="AD181" i="19" s="1"/>
  <c r="AC181" i="19" s="1"/>
  <c r="AG354" i="19"/>
  <c r="AG909" i="19"/>
  <c r="AG225" i="19"/>
  <c r="AD225" i="19" s="1"/>
  <c r="AC225" i="19" s="1"/>
  <c r="AG1195" i="19"/>
  <c r="AG546" i="19"/>
  <c r="AG158" i="19"/>
  <c r="AD158" i="19" s="1"/>
  <c r="AC158" i="19" s="1"/>
  <c r="AG542" i="19"/>
  <c r="AG950" i="19"/>
  <c r="AG257" i="19"/>
  <c r="AG702" i="19"/>
  <c r="AG1131" i="19"/>
  <c r="AG404" i="19"/>
  <c r="AG823" i="19"/>
  <c r="AG196" i="19"/>
  <c r="AD196" i="19" s="1"/>
  <c r="AC196" i="19" s="1"/>
  <c r="AG588" i="19"/>
  <c r="AG1102" i="19"/>
  <c r="AG118" i="19"/>
  <c r="AD118" i="19" s="1"/>
  <c r="AC118" i="19" s="1"/>
  <c r="AG511" i="19"/>
  <c r="AG965" i="19"/>
  <c r="AG356" i="19"/>
  <c r="AG733" i="19"/>
  <c r="AG1171" i="19"/>
  <c r="AG71" i="19"/>
  <c r="AD71" i="19" s="1"/>
  <c r="AC71" i="19" s="1"/>
  <c r="AG700" i="19"/>
  <c r="AG1159" i="19"/>
  <c r="AG263" i="19"/>
  <c r="AD263" i="19" s="1"/>
  <c r="AC263" i="19" s="1"/>
  <c r="AG765" i="19"/>
  <c r="AG1301" i="19"/>
  <c r="AG328" i="19"/>
  <c r="AG956" i="19"/>
  <c r="AG1349" i="19"/>
  <c r="AG520" i="19"/>
  <c r="AG1017" i="19"/>
  <c r="AG104" i="19"/>
  <c r="AD104" i="19" s="1"/>
  <c r="AC104" i="19" s="1"/>
  <c r="AG606" i="19"/>
  <c r="AG347" i="19"/>
  <c r="AG851" i="19"/>
  <c r="AG1366" i="19"/>
  <c r="AG412" i="19"/>
  <c r="AG1033" i="19"/>
  <c r="AG1277" i="19"/>
  <c r="AG1073" i="19"/>
  <c r="AG1151" i="19"/>
  <c r="AG760" i="19"/>
  <c r="AG66" i="19"/>
  <c r="AD66" i="19" s="1"/>
  <c r="AC66" i="19" s="1"/>
  <c r="AG1153" i="19"/>
  <c r="AG1027" i="19"/>
  <c r="AG570" i="19"/>
  <c r="AG380" i="19"/>
  <c r="AG1355" i="19"/>
  <c r="AG1169" i="19"/>
  <c r="AG647" i="19"/>
  <c r="AG882" i="19"/>
  <c r="AG192" i="19"/>
  <c r="AD192" i="19" s="1"/>
  <c r="AC192" i="19" s="1"/>
  <c r="AG604" i="19"/>
  <c r="AG1174" i="19"/>
  <c r="AG370" i="19"/>
  <c r="AG529" i="19"/>
  <c r="AG129" i="19"/>
  <c r="AD129" i="19" s="1"/>
  <c r="AC129" i="19" s="1"/>
  <c r="AG149" i="19"/>
  <c r="AD149" i="19" s="1"/>
  <c r="AC149" i="19" s="1"/>
  <c r="AG740" i="19"/>
  <c r="AG1055" i="19"/>
  <c r="AG1214" i="19"/>
  <c r="AG414" i="19"/>
  <c r="AG915" i="19"/>
  <c r="AG1236" i="19"/>
  <c r="AG1196" i="19"/>
  <c r="AG16" i="19"/>
  <c r="AD16" i="19" s="1"/>
  <c r="AC16" i="19" s="1"/>
  <c r="AG210" i="19"/>
  <c r="AD210" i="19" s="1"/>
  <c r="AC210" i="19" s="1"/>
  <c r="AG20" i="19"/>
  <c r="AD20" i="19" s="1"/>
  <c r="AC20" i="19" s="1"/>
  <c r="AG1294" i="19"/>
  <c r="AG8" i="19"/>
  <c r="AD8" i="19" s="1"/>
  <c r="AC8" i="19" s="1"/>
  <c r="AG1179" i="19"/>
  <c r="AG289" i="19"/>
  <c r="AD289" i="19" s="1"/>
  <c r="AC289" i="19" s="1"/>
  <c r="AG714" i="19"/>
  <c r="AG323" i="19"/>
  <c r="AG1012" i="19"/>
  <c r="AG228" i="19"/>
  <c r="AD228" i="19" s="1"/>
  <c r="AC228" i="19" s="1"/>
  <c r="AG1133" i="19"/>
  <c r="AG172" i="19"/>
  <c r="AD172" i="19" s="1"/>
  <c r="AC172" i="19" s="1"/>
  <c r="AG252" i="19"/>
  <c r="AD252" i="19" s="1"/>
  <c r="AC252" i="19" s="1"/>
  <c r="AG165" i="19"/>
  <c r="AD165" i="19" s="1"/>
  <c r="AC165" i="19" s="1"/>
  <c r="AG151" i="19"/>
  <c r="AD151" i="19" s="1"/>
  <c r="AC151" i="19" s="1"/>
  <c r="AG249" i="19"/>
  <c r="AD249" i="19" s="1"/>
  <c r="AC249" i="19" s="1"/>
  <c r="AG611" i="19"/>
  <c r="AG799" i="19"/>
  <c r="AG423" i="19"/>
  <c r="AG1130" i="19"/>
  <c r="AG711" i="19"/>
  <c r="AG519" i="19"/>
  <c r="AG592" i="19"/>
  <c r="AG834" i="19"/>
  <c r="AG316" i="19"/>
  <c r="AG195" i="19"/>
  <c r="AD195" i="19" s="1"/>
  <c r="AC195" i="19" s="1"/>
  <c r="AG426" i="19"/>
  <c r="AG78" i="19"/>
  <c r="AD78" i="19" s="1"/>
  <c r="AC78" i="19" s="1"/>
  <c r="AG911" i="19"/>
  <c r="AG968" i="19"/>
  <c r="AG1274" i="19"/>
  <c r="AG1309" i="19"/>
  <c r="AG640" i="19"/>
  <c r="AG661" i="19"/>
  <c r="AG127" i="19"/>
  <c r="AD127" i="19" s="1"/>
  <c r="AC127" i="19" s="1"/>
  <c r="AG1188" i="19"/>
  <c r="AG477" i="19"/>
  <c r="AG617" i="19"/>
  <c r="AG267" i="19"/>
  <c r="AD267" i="19" s="1"/>
  <c r="AC267" i="19" s="1"/>
  <c r="AG1135" i="19"/>
  <c r="AG903" i="19"/>
  <c r="AG1097" i="19"/>
  <c r="AG769" i="19"/>
  <c r="AG591" i="19"/>
  <c r="AG1312" i="19"/>
  <c r="AG138" i="19"/>
  <c r="AD138" i="19" s="1"/>
  <c r="AC138" i="19" s="1"/>
  <c r="AG1273" i="19"/>
  <c r="AG648" i="19"/>
  <c r="AG374" i="19"/>
  <c r="AG369" i="19"/>
  <c r="AG642" i="19"/>
  <c r="AG696" i="19"/>
  <c r="AG782" i="19"/>
  <c r="AG762" i="19"/>
  <c r="AG1240" i="19"/>
  <c r="AG691" i="19"/>
  <c r="AG1360" i="19"/>
  <c r="AG1323" i="19"/>
  <c r="AG459" i="19"/>
  <c r="AG905" i="19"/>
  <c r="AG1009" i="19"/>
  <c r="Q102" i="19"/>
  <c r="Q101" i="19"/>
  <c r="B5" i="23" l="1"/>
  <c r="C5" i="23" s="1"/>
  <c r="Q2" i="19"/>
  <c r="Q3" i="19"/>
  <c r="Q4" i="19"/>
  <c r="Q5" i="19"/>
  <c r="Q6" i="19"/>
  <c r="Q7" i="19"/>
  <c r="Q8" i="19"/>
  <c r="Q9" i="19"/>
  <c r="Q10" i="19"/>
  <c r="Q11" i="19"/>
  <c r="Q12" i="19"/>
  <c r="Q13" i="19"/>
  <c r="Q14" i="19"/>
  <c r="Q15" i="19"/>
  <c r="Q16" i="19"/>
  <c r="Q17" i="19"/>
  <c r="Q18" i="19"/>
  <c r="Q19" i="19"/>
  <c r="Q20" i="19"/>
  <c r="Q21" i="19"/>
  <c r="Q22" i="19"/>
  <c r="Q23" i="19"/>
  <c r="Q24" i="19"/>
  <c r="Q25" i="19"/>
  <c r="Q26" i="19"/>
  <c r="Q27" i="19"/>
  <c r="Q28" i="19"/>
  <c r="Q29" i="19"/>
  <c r="Q30" i="19"/>
  <c r="Q31" i="19"/>
  <c r="Q32" i="19"/>
  <c r="Q33" i="19"/>
  <c r="Q34" i="19"/>
  <c r="Q35" i="19"/>
  <c r="Q36" i="19"/>
  <c r="Q37" i="19"/>
  <c r="Q38" i="19"/>
  <c r="Q39" i="19"/>
  <c r="Q40" i="19"/>
  <c r="Q41" i="19"/>
  <c r="Q42" i="19"/>
  <c r="Q43" i="19"/>
  <c r="Q44" i="19"/>
  <c r="Q45" i="19"/>
  <c r="Q46" i="19"/>
  <c r="Q47" i="19"/>
  <c r="Q48" i="19"/>
  <c r="Q49" i="19"/>
  <c r="Q50" i="19"/>
  <c r="Q51" i="19"/>
  <c r="Q52" i="19"/>
  <c r="Q53" i="19"/>
  <c r="Q54" i="19"/>
  <c r="Q55" i="19"/>
  <c r="Q56" i="19"/>
  <c r="Q57" i="19"/>
  <c r="Q58" i="19"/>
  <c r="Q59" i="19"/>
  <c r="Q60" i="19"/>
  <c r="Q61" i="19"/>
  <c r="Q62" i="19"/>
  <c r="Q63" i="19"/>
  <c r="Q64" i="19"/>
  <c r="Q65" i="19"/>
  <c r="Q66" i="19"/>
  <c r="Q67" i="19"/>
  <c r="Q68" i="19"/>
  <c r="Q69" i="19"/>
  <c r="Q70" i="19"/>
  <c r="Q71" i="19"/>
  <c r="Q72" i="19"/>
  <c r="Q73" i="19"/>
  <c r="Q74" i="19"/>
  <c r="Q75" i="19"/>
  <c r="Q76" i="19"/>
  <c r="Q77" i="19"/>
  <c r="Q78" i="19"/>
  <c r="Q79" i="19"/>
  <c r="Q80" i="19"/>
  <c r="Q81" i="19"/>
  <c r="Q82" i="19"/>
  <c r="Q83" i="19"/>
  <c r="Q84" i="19"/>
  <c r="Q85" i="19"/>
  <c r="Q86" i="19"/>
  <c r="Q87" i="19"/>
  <c r="Q88" i="19"/>
  <c r="Q89" i="19"/>
  <c r="Q90" i="19"/>
  <c r="Q91" i="19"/>
  <c r="Q92" i="19"/>
  <c r="Q93" i="19"/>
  <c r="Q94" i="19"/>
  <c r="Q95" i="19"/>
  <c r="Q96" i="19"/>
  <c r="Q97" i="19"/>
  <c r="Q98" i="19"/>
  <c r="Q99" i="19"/>
  <c r="Q100" i="19"/>
  <c r="Q103" i="19"/>
  <c r="Q104" i="19"/>
  <c r="Q105" i="19"/>
  <c r="Q106" i="19"/>
  <c r="Q107" i="19"/>
  <c r="Q108" i="19"/>
  <c r="Q109" i="19"/>
  <c r="Q110" i="19"/>
  <c r="Q111" i="19"/>
  <c r="Q112" i="19"/>
  <c r="Q113" i="19"/>
  <c r="Q114" i="19"/>
  <c r="Q115" i="19"/>
  <c r="Q116" i="19"/>
  <c r="Q117" i="19"/>
  <c r="Q118" i="19"/>
  <c r="Q119" i="19"/>
  <c r="Q120" i="19"/>
  <c r="Q121" i="19"/>
  <c r="Q122" i="19"/>
  <c r="Q123" i="19"/>
  <c r="Q124" i="19"/>
  <c r="Q125" i="19"/>
  <c r="Q126" i="19"/>
  <c r="Q127" i="19"/>
  <c r="Q128" i="19"/>
  <c r="Q129" i="19"/>
  <c r="Q130" i="19"/>
  <c r="Q131" i="19"/>
  <c r="Q132" i="19"/>
  <c r="Q133" i="19"/>
  <c r="Q134" i="19"/>
  <c r="Q135" i="19"/>
  <c r="Q136" i="19"/>
  <c r="Q137" i="19"/>
  <c r="Q138" i="19"/>
  <c r="Q139" i="19"/>
  <c r="Q140" i="19"/>
  <c r="Q141" i="19"/>
  <c r="Q142" i="19"/>
  <c r="Q143" i="19"/>
  <c r="Q144" i="19"/>
  <c r="Q145" i="19"/>
  <c r="Q146" i="19"/>
  <c r="Q147" i="19"/>
  <c r="Q148" i="19"/>
  <c r="Q149" i="19"/>
  <c r="Q150" i="19"/>
  <c r="Q151" i="19"/>
  <c r="Q152" i="19"/>
  <c r="Q153" i="19"/>
  <c r="Q154" i="19"/>
  <c r="Q155" i="19"/>
  <c r="Q156" i="19"/>
  <c r="Q157" i="19"/>
  <c r="Q158" i="19"/>
  <c r="Q159" i="19"/>
  <c r="Q160" i="19"/>
  <c r="Q161" i="19"/>
  <c r="Q162" i="19"/>
  <c r="Q163" i="19"/>
  <c r="Q164" i="19"/>
  <c r="Q165" i="19"/>
  <c r="Q166" i="19"/>
  <c r="Q167" i="19"/>
  <c r="Q168" i="19"/>
  <c r="Q169" i="19"/>
  <c r="Q170" i="19"/>
  <c r="Q171" i="19"/>
  <c r="Q172" i="19"/>
  <c r="Q173" i="19"/>
  <c r="Q174" i="19"/>
  <c r="Q175" i="19"/>
  <c r="Q177" i="19"/>
  <c r="P48" i="19" l="1"/>
  <c r="P743" i="19"/>
  <c r="P189" i="19"/>
  <c r="P224" i="19"/>
  <c r="P882" i="19"/>
  <c r="P316" i="19"/>
  <c r="P433" i="19"/>
  <c r="P587" i="19"/>
  <c r="P54" i="19"/>
  <c r="P63" i="19"/>
  <c r="P82" i="19"/>
  <c r="P713" i="19"/>
  <c r="P788" i="19"/>
  <c r="P903" i="19"/>
  <c r="P1254" i="19"/>
  <c r="P1280" i="19"/>
  <c r="P1304" i="19"/>
  <c r="P1330" i="19"/>
  <c r="P1361" i="19"/>
  <c r="P128" i="19"/>
  <c r="P154" i="19"/>
  <c r="P266" i="19"/>
  <c r="P358" i="19"/>
  <c r="P455" i="19"/>
  <c r="P614" i="19"/>
  <c r="P622" i="19"/>
  <c r="P644" i="19"/>
  <c r="P677" i="19"/>
  <c r="P956" i="19"/>
  <c r="P1178" i="19"/>
  <c r="P1273" i="19"/>
  <c r="P162" i="19"/>
  <c r="P182" i="19"/>
  <c r="P272" i="19"/>
  <c r="P289" i="19"/>
  <c r="P589" i="19"/>
  <c r="P746" i="19"/>
  <c r="P994" i="19"/>
  <c r="P1004" i="19"/>
  <c r="P1152" i="19"/>
  <c r="P1180" i="19"/>
  <c r="P1311" i="19"/>
  <c r="P39" i="19"/>
  <c r="P211" i="19"/>
  <c r="P464" i="19"/>
  <c r="P526" i="19"/>
  <c r="P553" i="19"/>
  <c r="P730" i="19"/>
  <c r="P895" i="19"/>
  <c r="P1082" i="19"/>
  <c r="P1174" i="19"/>
  <c r="P1210" i="19"/>
  <c r="P1216" i="19"/>
  <c r="P1319" i="19"/>
  <c r="P1327" i="19"/>
  <c r="P137" i="19"/>
  <c r="P321" i="19"/>
  <c r="P515" i="19"/>
  <c r="P146" i="19"/>
  <c r="P176" i="19"/>
  <c r="P235" i="19"/>
  <c r="P251" i="19"/>
  <c r="P319" i="19"/>
  <c r="P323" i="19"/>
  <c r="P503" i="19"/>
  <c r="P572" i="19"/>
  <c r="P28" i="19"/>
  <c r="P112" i="19"/>
  <c r="P119" i="19"/>
  <c r="P144" i="19"/>
  <c r="P187" i="19"/>
  <c r="P310" i="19"/>
  <c r="P452" i="19"/>
  <c r="P779" i="19"/>
  <c r="P922" i="19"/>
  <c r="P933" i="19"/>
  <c r="P1042" i="19"/>
  <c r="P1050" i="19"/>
  <c r="P1113" i="19"/>
  <c r="P1119" i="19"/>
  <c r="P1200" i="19"/>
  <c r="P1228" i="19"/>
  <c r="P1256" i="19"/>
  <c r="P1262" i="19"/>
  <c r="P1266" i="19"/>
  <c r="P1282" i="19"/>
  <c r="P1288" i="19"/>
  <c r="P1292" i="19"/>
  <c r="P10" i="19"/>
  <c r="P536" i="19"/>
  <c r="P599" i="19"/>
  <c r="P810" i="19"/>
  <c r="P843" i="19"/>
  <c r="P850" i="19"/>
  <c r="P974" i="19"/>
  <c r="P1147" i="19"/>
  <c r="P1218" i="19"/>
  <c r="P1235" i="19"/>
  <c r="P1339" i="19"/>
  <c r="P1341" i="19"/>
  <c r="P40" i="19"/>
  <c r="P106" i="19"/>
  <c r="P136" i="19"/>
  <c r="P197" i="19"/>
  <c r="P229" i="19"/>
  <c r="P238" i="19"/>
  <c r="P248" i="19"/>
  <c r="P364" i="19"/>
  <c r="P655" i="19"/>
  <c r="P763" i="19"/>
  <c r="P826" i="19"/>
  <c r="P832" i="19"/>
  <c r="P877" i="19"/>
  <c r="P879" i="19"/>
  <c r="P912" i="19"/>
  <c r="P1057" i="19"/>
  <c r="P1066" i="19"/>
  <c r="P1190" i="19"/>
  <c r="P1275" i="19"/>
  <c r="P1373" i="19"/>
  <c r="P153" i="19"/>
  <c r="P166" i="19"/>
  <c r="P824" i="19"/>
  <c r="P866" i="19"/>
  <c r="P908" i="19"/>
  <c r="P944" i="19"/>
  <c r="P1128" i="19"/>
  <c r="P1223" i="19"/>
  <c r="P1331" i="19"/>
  <c r="P1333" i="19"/>
  <c r="P1356" i="19"/>
  <c r="P1365" i="19"/>
  <c r="P97" i="19"/>
  <c r="P578" i="19"/>
  <c r="P780" i="19"/>
  <c r="P1051" i="19"/>
  <c r="P1095" i="19"/>
  <c r="P1224" i="19"/>
  <c r="P1353" i="19"/>
  <c r="P1355" i="19"/>
  <c r="P324" i="19"/>
  <c r="P437" i="19"/>
  <c r="P581" i="19"/>
  <c r="P695" i="19"/>
  <c r="P727" i="19"/>
  <c r="P757" i="19"/>
  <c r="P813" i="19"/>
  <c r="P831" i="19"/>
  <c r="P852" i="19"/>
  <c r="P949" i="19"/>
  <c r="P960" i="19"/>
  <c r="P987" i="19"/>
  <c r="P1045" i="19"/>
  <c r="P1116" i="19"/>
  <c r="P1161" i="19"/>
  <c r="P1211" i="19"/>
  <c r="P93" i="19"/>
  <c r="P151" i="19"/>
  <c r="P428" i="19"/>
  <c r="P924" i="19"/>
  <c r="P1248" i="19"/>
  <c r="P1298" i="19"/>
  <c r="P81" i="19"/>
  <c r="P179" i="19"/>
  <c r="P421" i="19"/>
  <c r="P479" i="19"/>
  <c r="P545" i="19"/>
  <c r="P721" i="19"/>
  <c r="P816" i="19"/>
  <c r="P834" i="19"/>
  <c r="P865" i="19"/>
  <c r="P943" i="19"/>
  <c r="P1146" i="19"/>
  <c r="P1173" i="19"/>
  <c r="P1287" i="19"/>
  <c r="P1334" i="19"/>
  <c r="P1363" i="19"/>
  <c r="P177" i="19"/>
  <c r="P227" i="19"/>
  <c r="P265" i="19"/>
  <c r="P340" i="19"/>
  <c r="P550" i="19"/>
  <c r="P653" i="19"/>
  <c r="P1048" i="19"/>
  <c r="P1087" i="19"/>
  <c r="P1110" i="19"/>
  <c r="P1187" i="19"/>
  <c r="P1193" i="19"/>
  <c r="P1237" i="19"/>
  <c r="P1332" i="19"/>
  <c r="P1376" i="19"/>
  <c r="P70" i="19"/>
  <c r="P102" i="19"/>
  <c r="P196" i="19"/>
  <c r="P376" i="19"/>
  <c r="P439" i="19"/>
  <c r="P506" i="19"/>
  <c r="P632" i="19"/>
  <c r="P742" i="19"/>
  <c r="P921" i="19"/>
  <c r="P958" i="19"/>
  <c r="P971" i="19"/>
  <c r="P978" i="19"/>
  <c r="P989" i="19"/>
  <c r="P1003" i="19"/>
  <c r="P1026" i="19"/>
  <c r="P1047" i="19"/>
  <c r="P1060" i="19"/>
  <c r="P1079" i="19"/>
  <c r="P1086" i="19"/>
  <c r="P1088" i="19"/>
  <c r="P1093" i="19"/>
  <c r="P1197" i="19"/>
  <c r="P1213" i="19"/>
  <c r="P1222" i="19"/>
  <c r="P1263" i="19"/>
  <c r="P1277" i="19"/>
  <c r="P1295" i="19"/>
  <c r="P1360" i="19"/>
  <c r="P1362" i="19"/>
  <c r="P1369" i="19"/>
  <c r="P1371" i="19"/>
  <c r="P295" i="19"/>
  <c r="P985" i="19"/>
  <c r="P1031" i="19"/>
  <c r="P1127" i="19"/>
  <c r="P1293" i="19"/>
  <c r="P838" i="19"/>
  <c r="P876" i="19"/>
  <c r="P981" i="19"/>
  <c r="P1056" i="19"/>
  <c r="P1123" i="19"/>
  <c r="P1246" i="19"/>
  <c r="P1137" i="19"/>
  <c r="P1225" i="19"/>
  <c r="P863" i="19"/>
  <c r="P1039" i="19"/>
  <c r="P1189" i="19"/>
  <c r="P1037" i="19"/>
  <c r="P430" i="19"/>
  <c r="P1077" i="19"/>
  <c r="P1163" i="19"/>
  <c r="P351" i="19"/>
  <c r="P718" i="19"/>
  <c r="P917" i="19"/>
  <c r="P1015" i="19"/>
  <c r="P1054" i="19"/>
  <c r="P1098" i="19"/>
  <c r="P1114" i="19"/>
  <c r="P1148" i="19"/>
  <c r="P1177" i="19"/>
  <c r="P1380" i="19"/>
  <c r="P1389" i="19"/>
  <c r="P43" i="19"/>
  <c r="P141" i="19"/>
  <c r="P172" i="19"/>
  <c r="P236" i="19"/>
  <c r="P293" i="19"/>
  <c r="P313" i="19"/>
  <c r="P392" i="19"/>
  <c r="P547" i="19"/>
  <c r="P562" i="19"/>
  <c r="P691" i="19"/>
  <c r="P716" i="19"/>
  <c r="P795" i="19"/>
  <c r="P870" i="19"/>
  <c r="P872" i="19"/>
  <c r="P874" i="19"/>
  <c r="P885" i="19"/>
  <c r="P887" i="19"/>
  <c r="P936" i="19"/>
  <c r="P1020" i="19"/>
  <c r="P1052" i="19"/>
  <c r="P1175" i="19"/>
  <c r="P1250" i="19"/>
  <c r="P1307" i="19"/>
  <c r="P1345" i="19"/>
  <c r="P283" i="19"/>
  <c r="P308" i="19"/>
  <c r="P367" i="19"/>
  <c r="P957" i="19"/>
  <c r="P100" i="19"/>
  <c r="P194" i="19"/>
  <c r="P315" i="19"/>
  <c r="P586" i="19"/>
  <c r="P688" i="19"/>
  <c r="P776" i="19"/>
  <c r="P799" i="19"/>
  <c r="P1125" i="19"/>
  <c r="P1132" i="19"/>
  <c r="P1159" i="19"/>
  <c r="P1179" i="19"/>
  <c r="P1241" i="19"/>
  <c r="P1300" i="19"/>
  <c r="P1338" i="19"/>
  <c r="P1289" i="19"/>
  <c r="P1318" i="19"/>
  <c r="P33" i="19"/>
  <c r="P1296" i="19"/>
  <c r="P970" i="19"/>
  <c r="P1205" i="19"/>
  <c r="P906" i="19"/>
  <c r="P69" i="19"/>
  <c r="P232" i="19"/>
  <c r="P306" i="19"/>
  <c r="P370" i="19"/>
  <c r="P388" i="19"/>
  <c r="P419" i="19"/>
  <c r="P443" i="19"/>
  <c r="P497" i="19"/>
  <c r="P530" i="19"/>
  <c r="P689" i="19"/>
  <c r="P694" i="19"/>
  <c r="P805" i="19"/>
  <c r="P830" i="19"/>
  <c r="P851" i="19"/>
  <c r="P932" i="19"/>
  <c r="P948" i="19"/>
  <c r="P959" i="19"/>
  <c r="P968" i="19"/>
  <c r="P1011" i="19"/>
  <c r="P1030" i="19"/>
  <c r="P1059" i="19"/>
  <c r="P1133" i="19"/>
  <c r="P1153" i="19"/>
  <c r="P1191" i="19"/>
  <c r="P1203" i="19"/>
  <c r="P1242" i="19"/>
  <c r="P1368" i="19"/>
  <c r="P1374" i="19"/>
  <c r="P185" i="19"/>
  <c r="P902" i="19"/>
  <c r="P575" i="19"/>
  <c r="P844" i="19"/>
  <c r="P993" i="19"/>
  <c r="P1269" i="19"/>
  <c r="P122" i="19"/>
  <c r="P230" i="19"/>
  <c r="P1140" i="19"/>
  <c r="P1312" i="19"/>
  <c r="P9" i="19"/>
  <c r="P49" i="19"/>
  <c r="P682" i="19"/>
  <c r="P904" i="19"/>
  <c r="P1122" i="19"/>
  <c r="P1149" i="19"/>
  <c r="P1344" i="19"/>
  <c r="P1346" i="19"/>
  <c r="P7" i="19"/>
  <c r="P649" i="19"/>
  <c r="P1217" i="19"/>
  <c r="P117" i="19"/>
  <c r="P490" i="19"/>
  <c r="P798" i="19"/>
  <c r="P890" i="19"/>
  <c r="P1267" i="19"/>
  <c r="P221" i="19"/>
  <c r="P417" i="19"/>
  <c r="P886" i="19"/>
  <c r="P1255" i="19"/>
  <c r="P1314" i="19"/>
  <c r="P1386" i="19"/>
  <c r="P697" i="19"/>
  <c r="P789" i="19"/>
  <c r="P1167" i="19"/>
  <c r="P1253" i="19"/>
  <c r="P22" i="19"/>
  <c r="P152" i="19"/>
  <c r="P205" i="19"/>
  <c r="P1310" i="19"/>
  <c r="P200" i="19"/>
  <c r="P1083" i="19"/>
  <c r="P1251" i="19"/>
  <c r="P1283" i="19"/>
  <c r="P1301" i="19"/>
  <c r="P1308" i="19"/>
  <c r="P821" i="19"/>
  <c r="P913" i="19"/>
  <c r="P1348" i="19"/>
  <c r="P142" i="19"/>
  <c r="P980" i="19"/>
  <c r="P1281" i="19"/>
  <c r="P120" i="19"/>
  <c r="P791" i="19"/>
  <c r="P888" i="19"/>
  <c r="P930" i="19"/>
  <c r="P935" i="19"/>
  <c r="P1035" i="19"/>
  <c r="P1388" i="19"/>
  <c r="P348" i="19"/>
  <c r="P1142" i="19"/>
  <c r="P1381" i="19"/>
  <c r="P493" i="19"/>
  <c r="P1104" i="19"/>
  <c r="P1226" i="19"/>
  <c r="P647" i="19"/>
  <c r="P328" i="19"/>
  <c r="P434" i="19"/>
  <c r="P675" i="19"/>
  <c r="P1257" i="19"/>
  <c r="P918" i="19"/>
  <c r="P260" i="19"/>
  <c r="P1252" i="19"/>
  <c r="P1170" i="19"/>
  <c r="P867" i="19"/>
  <c r="P423" i="19"/>
  <c r="P73" i="19"/>
  <c r="P170" i="19"/>
  <c r="P767" i="19"/>
  <c r="P390" i="19"/>
  <c r="P638" i="19"/>
  <c r="P1107" i="19"/>
  <c r="P606" i="19"/>
  <c r="P1154" i="19"/>
  <c r="P778" i="19"/>
  <c r="P115" i="19"/>
  <c r="P1085" i="19"/>
  <c r="P714" i="19"/>
  <c r="P101" i="19"/>
  <c r="P1013" i="19"/>
  <c r="P453" i="19"/>
  <c r="P584" i="19"/>
  <c r="P1029" i="19"/>
  <c r="P344" i="19"/>
  <c r="P1286" i="19"/>
  <c r="P759" i="19"/>
  <c r="P478" i="19"/>
  <c r="P1238" i="19"/>
  <c r="P977" i="19"/>
  <c r="P583" i="19"/>
  <c r="P279" i="19"/>
  <c r="P1033" i="19"/>
  <c r="P786" i="19"/>
  <c r="P432" i="19"/>
  <c r="P13" i="19"/>
  <c r="P611" i="19"/>
  <c r="P175" i="19"/>
  <c r="P1270" i="19"/>
  <c r="P1036" i="19"/>
  <c r="P683" i="19"/>
  <c r="P570" i="19"/>
  <c r="P366" i="19"/>
  <c r="P209" i="19"/>
  <c r="P440" i="19"/>
  <c r="P30" i="19"/>
  <c r="P407" i="19"/>
  <c r="P109" i="19"/>
  <c r="P203" i="19"/>
  <c r="P736" i="19"/>
  <c r="P828" i="19"/>
  <c r="P1379" i="19"/>
  <c r="P104" i="19"/>
  <c r="P363" i="19"/>
  <c r="P1160" i="19"/>
  <c r="P777" i="19"/>
  <c r="P239" i="19"/>
  <c r="P1022" i="19"/>
  <c r="P790" i="19"/>
  <c r="P408" i="19"/>
  <c r="P6" i="19"/>
  <c r="P1244" i="19"/>
  <c r="P753" i="19"/>
  <c r="P215" i="19"/>
  <c r="P1336" i="19"/>
  <c r="P559" i="19"/>
  <c r="P1322" i="19"/>
  <c r="P645" i="19"/>
  <c r="P1002" i="19"/>
  <c r="P658" i="19"/>
  <c r="P995" i="19"/>
  <c r="P1041" i="19"/>
  <c r="P262" i="19"/>
  <c r="P274" i="19"/>
  <c r="P1204" i="19"/>
  <c r="P680" i="19"/>
  <c r="P336" i="19"/>
  <c r="P1158" i="19"/>
  <c r="P804" i="19"/>
  <c r="P556" i="19"/>
  <c r="P210" i="19"/>
  <c r="P1297" i="19"/>
  <c r="P966" i="19"/>
  <c r="P715" i="19"/>
  <c r="P381" i="19"/>
  <c r="P1385" i="19"/>
  <c r="P1028" i="19"/>
  <c r="P797" i="19"/>
  <c r="P509" i="19"/>
  <c r="P103" i="19"/>
  <c r="P807" i="19"/>
  <c r="P669" i="19"/>
  <c r="P297" i="19"/>
  <c r="P332" i="19"/>
  <c r="P1265" i="19"/>
  <c r="P1076" i="19"/>
  <c r="P782" i="19"/>
  <c r="P835" i="19"/>
  <c r="P326" i="19"/>
  <c r="P580" i="19"/>
  <c r="P168" i="19"/>
  <c r="P1017" i="19"/>
  <c r="P769" i="19"/>
  <c r="P400" i="19"/>
  <c r="P1232" i="19"/>
  <c r="P738" i="19"/>
  <c r="P192" i="19"/>
  <c r="P967" i="19"/>
  <c r="P486" i="19"/>
  <c r="P598" i="19"/>
  <c r="P899" i="19"/>
  <c r="P582" i="19"/>
  <c r="P963" i="19"/>
  <c r="P246" i="19"/>
  <c r="P898" i="19"/>
  <c r="P217" i="19"/>
  <c r="P869" i="19"/>
  <c r="P670" i="19"/>
  <c r="P331" i="19"/>
  <c r="P1156" i="19"/>
  <c r="P761" i="19"/>
  <c r="P539" i="19"/>
  <c r="P183" i="19"/>
  <c r="P1284" i="19"/>
  <c r="P955" i="19"/>
  <c r="P660" i="19"/>
  <c r="P369" i="19"/>
  <c r="P1021" i="19"/>
  <c r="P765" i="19"/>
  <c r="P504" i="19"/>
  <c r="P86" i="19"/>
  <c r="P1206" i="19"/>
  <c r="P819" i="19"/>
  <c r="P386" i="19"/>
  <c r="P749" i="19"/>
  <c r="P702" i="19"/>
  <c r="P127" i="19"/>
  <c r="P1274" i="19"/>
  <c r="P528" i="19"/>
  <c r="P1078" i="19"/>
  <c r="P707" i="19"/>
  <c r="P157" i="19"/>
  <c r="P1382" i="19"/>
  <c r="P1010" i="19"/>
  <c r="P762" i="19"/>
  <c r="P320" i="19"/>
  <c r="P686" i="19"/>
  <c r="P184" i="19"/>
  <c r="P1239" i="19"/>
  <c r="P1182" i="19"/>
  <c r="P896" i="19"/>
  <c r="P905" i="19"/>
  <c r="P374" i="19"/>
  <c r="P1067" i="19"/>
  <c r="P588" i="19"/>
  <c r="P894" i="19"/>
  <c r="P577" i="19"/>
  <c r="P941" i="19"/>
  <c r="P1347" i="19"/>
  <c r="P199" i="19"/>
  <c r="P880" i="19"/>
  <c r="P65" i="19"/>
  <c r="P640" i="19"/>
  <c r="P208" i="19"/>
  <c r="P534" i="19"/>
  <c r="P161" i="19"/>
  <c r="P1268" i="19"/>
  <c r="P942" i="19"/>
  <c r="P633" i="19"/>
  <c r="P349" i="19"/>
  <c r="P1358" i="19"/>
  <c r="P1014" i="19"/>
  <c r="P748" i="19"/>
  <c r="P311" i="19"/>
  <c r="P79" i="19"/>
  <c r="P1101" i="19"/>
  <c r="P758" i="19"/>
  <c r="P416" i="19"/>
  <c r="P167" i="19"/>
  <c r="P233" i="19"/>
  <c r="P445" i="19"/>
  <c r="P129" i="19"/>
  <c r="P1299" i="19"/>
  <c r="P1291" i="19"/>
  <c r="P923" i="19"/>
  <c r="P412" i="19"/>
  <c r="P1366" i="19"/>
  <c r="P610" i="19"/>
  <c r="P667" i="19"/>
  <c r="P1018" i="19"/>
  <c r="P365" i="19"/>
  <c r="P1313" i="19"/>
  <c r="P878" i="19"/>
  <c r="P256" i="19"/>
  <c r="P1350" i="19"/>
  <c r="P288" i="19"/>
  <c r="P552" i="19"/>
  <c r="P267" i="19"/>
  <c r="P1155" i="19"/>
  <c r="P1049" i="19"/>
  <c r="P269" i="19"/>
  <c r="P335" i="19"/>
  <c r="P1294" i="19"/>
  <c r="P643" i="19"/>
  <c r="P1272" i="19"/>
  <c r="P951" i="19"/>
  <c r="P1169" i="19"/>
  <c r="P708" i="19"/>
  <c r="P347" i="19"/>
  <c r="P1192" i="19"/>
  <c r="P342" i="19"/>
  <c r="P1233" i="19"/>
  <c r="P291" i="19"/>
  <c r="P1278" i="19"/>
  <c r="P634" i="19"/>
  <c r="P387" i="19"/>
  <c r="P438" i="19"/>
  <c r="P558" i="19"/>
  <c r="P646" i="19"/>
  <c r="P496" i="19"/>
  <c r="P299" i="19"/>
  <c r="P155" i="19"/>
  <c r="P1208" i="19"/>
  <c r="P953" i="19"/>
  <c r="P837" i="19"/>
  <c r="P737" i="19"/>
  <c r="P23" i="19"/>
  <c r="P871" i="19"/>
  <c r="P642" i="19"/>
  <c r="P457" i="19"/>
  <c r="P292" i="19"/>
  <c r="P2" i="19"/>
  <c r="P800" i="19"/>
  <c r="P549" i="19"/>
  <c r="P223" i="19"/>
  <c r="P32" i="19"/>
  <c r="P138" i="19"/>
  <c r="P1285" i="19"/>
  <c r="P875" i="19"/>
  <c r="P621" i="19"/>
  <c r="P462" i="19"/>
  <c r="P92" i="19"/>
  <c r="P595" i="19"/>
  <c r="P322" i="19"/>
  <c r="P74" i="19"/>
  <c r="P745" i="19"/>
  <c r="P240" i="19"/>
  <c r="P726" i="19"/>
  <c r="P511" i="19"/>
  <c r="P244" i="19"/>
  <c r="P1136" i="19"/>
  <c r="P383" i="19"/>
  <c r="P64" i="19"/>
  <c r="P34" i="19"/>
  <c r="P1000" i="19"/>
  <c r="P333" i="19"/>
  <c r="P523" i="19"/>
  <c r="P925" i="19"/>
  <c r="P247" i="19"/>
  <c r="P1209" i="19"/>
  <c r="P755" i="19"/>
  <c r="P156" i="19"/>
  <c r="P71" i="19"/>
  <c r="P1207" i="19"/>
  <c r="P489" i="19"/>
  <c r="P1151" i="19"/>
  <c r="P1185" i="19"/>
  <c r="P51" i="19"/>
  <c r="P569" i="19"/>
  <c r="P1236" i="19"/>
  <c r="P1005" i="19"/>
  <c r="P131" i="19"/>
  <c r="P952" i="19"/>
  <c r="P1302" i="19"/>
  <c r="P397" i="19"/>
  <c r="P864" i="19"/>
  <c r="P483" i="19"/>
  <c r="P1102" i="19"/>
  <c r="P668" i="19"/>
  <c r="P111" i="19"/>
  <c r="P1139" i="19"/>
  <c r="P751" i="19"/>
  <c r="P173" i="19"/>
  <c r="P741" i="19"/>
  <c r="P212" i="19"/>
  <c r="P218" i="19"/>
  <c r="P1349" i="19"/>
  <c r="P1168" i="19"/>
  <c r="P1012" i="19"/>
  <c r="P825" i="19"/>
  <c r="P625" i="19"/>
  <c r="P447" i="19"/>
  <c r="P368" i="19"/>
  <c r="P123" i="19"/>
  <c r="P1323" i="19"/>
  <c r="P1070" i="19"/>
  <c r="P546" i="19"/>
  <c r="P125" i="19"/>
  <c r="P1221" i="19"/>
  <c r="P822" i="19"/>
  <c r="P601" i="19"/>
  <c r="P405" i="19"/>
  <c r="P273" i="19"/>
  <c r="P739" i="19"/>
  <c r="P492" i="19"/>
  <c r="P193" i="19"/>
  <c r="P98" i="19"/>
  <c r="P796" i="19"/>
  <c r="P557" i="19"/>
  <c r="P456" i="19"/>
  <c r="P1073" i="19"/>
  <c r="P499" i="19"/>
  <c r="P312" i="19"/>
  <c r="P720" i="19"/>
  <c r="P68" i="19"/>
  <c r="P709" i="19"/>
  <c r="P134" i="19"/>
  <c r="P916" i="19"/>
  <c r="P1081" i="19"/>
  <c r="P973" i="19"/>
  <c r="P290" i="19"/>
  <c r="P500" i="19"/>
  <c r="P124" i="19"/>
  <c r="P1276" i="19"/>
  <c r="P1195" i="19"/>
  <c r="P706" i="19"/>
  <c r="P88" i="19"/>
  <c r="P16" i="19"/>
  <c r="P1130" i="19"/>
  <c r="P484" i="19"/>
  <c r="P775" i="19"/>
  <c r="P940" i="19"/>
  <c r="P823" i="19"/>
  <c r="P36" i="19"/>
  <c r="P1006" i="19"/>
  <c r="P827" i="19"/>
  <c r="P1229" i="19"/>
  <c r="P334" i="19"/>
  <c r="P1165" i="19"/>
  <c r="P857" i="19"/>
  <c r="P1071" i="19"/>
  <c r="P590" i="19"/>
  <c r="P84" i="19"/>
  <c r="P1115" i="19"/>
  <c r="P602" i="19"/>
  <c r="P171" i="19"/>
  <c r="P1097" i="19"/>
  <c r="P719" i="19"/>
  <c r="P190" i="19"/>
  <c r="P1121" i="19"/>
  <c r="P160" i="19"/>
  <c r="P1343" i="19"/>
  <c r="P1164" i="19"/>
  <c r="P988" i="19"/>
  <c r="P817" i="19"/>
  <c r="P717" i="19"/>
  <c r="P359" i="19"/>
  <c r="P237" i="19"/>
  <c r="P121" i="19"/>
  <c r="P783" i="19"/>
  <c r="P542" i="19"/>
  <c r="P282" i="19"/>
  <c r="P1096" i="19"/>
  <c r="P576" i="19"/>
  <c r="P389" i="19"/>
  <c r="P264" i="19"/>
  <c r="P732" i="19"/>
  <c r="P475" i="19"/>
  <c r="P180" i="19"/>
  <c r="P46" i="19"/>
  <c r="P1126" i="19"/>
  <c r="P785" i="19"/>
  <c r="P543" i="19"/>
  <c r="P446" i="19"/>
  <c r="P961" i="19"/>
  <c r="P480" i="19"/>
  <c r="P302" i="19"/>
  <c r="P919" i="19"/>
  <c r="P687" i="19"/>
  <c r="P62" i="19"/>
  <c r="P692" i="19"/>
  <c r="P411" i="19"/>
  <c r="P132" i="19"/>
  <c r="P1245" i="19"/>
  <c r="P1201" i="19"/>
  <c r="P605" i="19"/>
  <c r="P1199" i="19"/>
  <c r="P1043" i="19"/>
  <c r="P803" i="19"/>
  <c r="P1215" i="19"/>
  <c r="P1240" i="19"/>
  <c r="P1196" i="19"/>
  <c r="P495" i="19"/>
  <c r="P1008" i="19"/>
  <c r="P915" i="19"/>
  <c r="P836" i="19"/>
  <c r="P1372" i="19"/>
  <c r="P1134" i="19"/>
  <c r="P287" i="19"/>
  <c r="P1046" i="19"/>
  <c r="P679" i="19"/>
  <c r="P181" i="19"/>
  <c r="P1258" i="19"/>
  <c r="P842" i="19"/>
  <c r="P346" i="19"/>
  <c r="P1375" i="19"/>
  <c r="P243" i="19"/>
  <c r="P512" i="19"/>
  <c r="P1194" i="19"/>
  <c r="P808" i="19"/>
  <c r="P59" i="19"/>
  <c r="P914" i="19"/>
  <c r="P231" i="19"/>
  <c r="P469" i="19"/>
  <c r="P1321" i="19"/>
  <c r="P636" i="19"/>
  <c r="P352" i="19"/>
  <c r="P1084" i="19"/>
  <c r="P676" i="19"/>
  <c r="P505" i="19"/>
  <c r="P384" i="19"/>
  <c r="P502" i="19"/>
  <c r="P307" i="19"/>
  <c r="P261" i="19"/>
  <c r="P8" i="19"/>
  <c r="P42" i="19"/>
  <c r="P1055" i="19"/>
  <c r="P627" i="19"/>
  <c r="P429" i="19"/>
  <c r="P403" i="19"/>
  <c r="P910" i="19"/>
  <c r="P422" i="19"/>
  <c r="P31" i="19"/>
  <c r="P382" i="19"/>
  <c r="P548" i="19"/>
  <c r="P593" i="19"/>
  <c r="P657" i="19"/>
  <c r="P617" i="19"/>
  <c r="P11" i="19"/>
  <c r="P441" i="19"/>
  <c r="P472" i="19"/>
  <c r="P897" i="19"/>
  <c r="P1120" i="19"/>
  <c r="P1044" i="19"/>
  <c r="P20" i="19"/>
  <c r="P982" i="19"/>
  <c r="P991" i="19"/>
  <c r="P1074" i="19"/>
  <c r="P424" i="19"/>
  <c r="P345" i="19"/>
  <c r="P1259" i="19"/>
  <c r="P858" i="19"/>
  <c r="P277" i="19"/>
  <c r="P901" i="19"/>
  <c r="P750" i="19"/>
  <c r="P1118" i="19"/>
  <c r="P214" i="19"/>
  <c r="P861" i="19"/>
  <c r="P663" i="19"/>
  <c r="P133" i="19"/>
  <c r="P700" i="19"/>
  <c r="P158" i="19"/>
  <c r="P1329" i="19"/>
  <c r="P729" i="19"/>
  <c r="P75" i="19"/>
  <c r="P926" i="19"/>
  <c r="P415" i="19"/>
  <c r="P1145" i="19"/>
  <c r="P712" i="19"/>
  <c r="P47" i="19"/>
  <c r="P508" i="19"/>
  <c r="P350" i="19"/>
  <c r="P883" i="19"/>
  <c r="P427" i="19"/>
  <c r="P339" i="19"/>
  <c r="P1080" i="19"/>
  <c r="P671" i="19"/>
  <c r="P498" i="19"/>
  <c r="P343" i="19"/>
  <c r="P818" i="19"/>
  <c r="P465" i="19"/>
  <c r="P305" i="19"/>
  <c r="P665" i="19"/>
  <c r="P252" i="19"/>
  <c r="P38" i="19"/>
  <c r="P965" i="19"/>
  <c r="P619" i="19"/>
  <c r="P338" i="19"/>
  <c r="P809" i="19"/>
  <c r="P318" i="19"/>
  <c r="P889" i="19"/>
  <c r="P420" i="19"/>
  <c r="P409" i="19"/>
  <c r="P29" i="19"/>
  <c r="P787" i="19"/>
  <c r="P485" i="19"/>
  <c r="P1090" i="19"/>
  <c r="P600" i="19"/>
  <c r="P946" i="19"/>
  <c r="P1391" i="19"/>
  <c r="P393" i="19"/>
  <c r="P77" i="19"/>
  <c r="P140" i="19"/>
  <c r="P188" i="19"/>
  <c r="P854" i="19"/>
  <c r="P984" i="19"/>
  <c r="P24" i="19"/>
  <c r="P1092" i="19"/>
  <c r="P938" i="19"/>
  <c r="P164" i="19"/>
  <c r="P760" i="19"/>
  <c r="P651" i="19"/>
  <c r="P1340" i="19"/>
  <c r="P814" i="19"/>
  <c r="P507" i="19"/>
  <c r="P564" i="19"/>
  <c r="P1138" i="19"/>
  <c r="P794" i="19"/>
  <c r="P27" i="19"/>
  <c r="P1264" i="19"/>
  <c r="P846" i="19"/>
  <c r="P304" i="19"/>
  <c r="P1068" i="19"/>
  <c r="P623" i="19"/>
  <c r="P373" i="19"/>
  <c r="P204" i="19"/>
  <c r="P135" i="19"/>
  <c r="P585" i="19"/>
  <c r="P406" i="19"/>
  <c r="P327" i="19"/>
  <c r="P1325" i="19"/>
  <c r="P641" i="19"/>
  <c r="P482" i="19"/>
  <c r="P329" i="19"/>
  <c r="P1094" i="19"/>
  <c r="P461" i="19"/>
  <c r="P280" i="19"/>
  <c r="P1157" i="19"/>
  <c r="P630" i="19"/>
  <c r="P216" i="19"/>
  <c r="P399" i="19"/>
  <c r="P893" i="19"/>
  <c r="P533" i="19"/>
  <c r="P257" i="19"/>
  <c r="P615" i="19"/>
  <c r="P268" i="19"/>
  <c r="P242" i="19"/>
  <c r="P681" i="19"/>
  <c r="P325" i="19"/>
  <c r="P1306" i="19"/>
  <c r="P1234" i="19"/>
  <c r="P639" i="19"/>
  <c r="P725" i="19"/>
  <c r="P219" i="19"/>
  <c r="P1326" i="19"/>
  <c r="P87" i="19"/>
  <c r="P939" i="19"/>
  <c r="P525" i="19"/>
  <c r="P891" i="19"/>
  <c r="P740" i="19"/>
  <c r="P1038" i="19"/>
  <c r="P733" i="19"/>
  <c r="P1352" i="19"/>
  <c r="P1166" i="19"/>
  <c r="P501" i="19"/>
  <c r="P1109" i="19"/>
  <c r="P734" i="19"/>
  <c r="P1184" i="19"/>
  <c r="P571" i="19"/>
  <c r="P815" i="19"/>
  <c r="P271" i="19"/>
  <c r="P1007" i="19"/>
  <c r="P618" i="19"/>
  <c r="P773" i="19"/>
  <c r="P494" i="19"/>
  <c r="P94" i="19"/>
  <c r="P1064" i="19"/>
  <c r="P833" i="19"/>
  <c r="P404" i="19"/>
  <c r="P1188" i="19"/>
  <c r="P148" i="19"/>
  <c r="P1069" i="19"/>
  <c r="P705" i="19"/>
  <c r="P459" i="19"/>
  <c r="P191" i="19"/>
  <c r="P1103" i="19"/>
  <c r="P626" i="19"/>
  <c r="P207" i="19"/>
  <c r="P362" i="19"/>
  <c r="P862" i="19"/>
  <c r="P520" i="19"/>
  <c r="P255" i="19"/>
  <c r="P537" i="19"/>
  <c r="P259" i="19"/>
  <c r="P766" i="19"/>
  <c r="P105" i="19"/>
  <c r="P654" i="19"/>
  <c r="P303" i="19"/>
  <c r="P1129" i="19"/>
  <c r="P1364" i="19"/>
  <c r="P241" i="19"/>
  <c r="P1227" i="19"/>
  <c r="P1303" i="19"/>
  <c r="P149" i="19"/>
  <c r="P673" i="19"/>
  <c r="P969" i="19"/>
  <c r="P1141" i="19"/>
  <c r="P444" i="19"/>
  <c r="P992" i="19"/>
  <c r="P1202" i="19"/>
  <c r="P1019" i="19"/>
  <c r="P436" i="19"/>
  <c r="P275" i="19"/>
  <c r="P659" i="19"/>
  <c r="P454" i="19"/>
  <c r="P130" i="19"/>
  <c r="P703" i="19"/>
  <c r="P96" i="19"/>
  <c r="P845" i="19"/>
  <c r="P451" i="19"/>
  <c r="P57" i="19"/>
  <c r="P147" i="19"/>
  <c r="P44" i="19"/>
  <c r="P770" i="19"/>
  <c r="P458" i="19"/>
  <c r="P470" i="19"/>
  <c r="P17" i="19"/>
  <c r="P72" i="19"/>
  <c r="P612" i="19"/>
  <c r="P95" i="19"/>
  <c r="P1342" i="19"/>
  <c r="P1279" i="19"/>
  <c r="P1357" i="19"/>
  <c r="P954" i="19"/>
  <c r="P341" i="19"/>
  <c r="P764" i="19"/>
  <c r="P355" i="19"/>
  <c r="P1249" i="19"/>
  <c r="P1124" i="19"/>
  <c r="P1100" i="19"/>
  <c r="P1219" i="19"/>
  <c r="P1150" i="19"/>
  <c r="P186" i="19"/>
  <c r="P83" i="19"/>
  <c r="P1063" i="19"/>
  <c r="P907" i="19"/>
  <c r="P1230" i="19"/>
  <c r="P300" i="19"/>
  <c r="P449" i="19"/>
  <c r="P1062" i="19"/>
  <c r="P394" i="19"/>
  <c r="P848" i="19"/>
  <c r="P701" i="19"/>
  <c r="P76" i="19"/>
  <c r="P1378" i="19"/>
  <c r="P986" i="19"/>
  <c r="P781" i="19"/>
  <c r="P263" i="19"/>
  <c r="P114" i="19"/>
  <c r="P648" i="19"/>
  <c r="P270" i="19"/>
  <c r="P442" i="19"/>
  <c r="P15" i="19"/>
  <c r="P656" i="19"/>
  <c r="P108" i="19"/>
  <c r="P26" i="19"/>
  <c r="P768" i="19"/>
  <c r="P330" i="19"/>
  <c r="P466" i="19"/>
  <c r="P60" i="19"/>
  <c r="P540" i="19"/>
  <c r="P14" i="19"/>
  <c r="P859" i="19"/>
  <c r="P690" i="19"/>
  <c r="P380" i="19"/>
  <c r="P1135" i="19"/>
  <c r="P4" i="19"/>
  <c r="P674" i="19"/>
  <c r="P41" i="19"/>
  <c r="P99" i="19"/>
  <c r="P1111" i="19"/>
  <c r="P1065" i="19"/>
  <c r="P1034" i="19"/>
  <c r="P771" i="19"/>
  <c r="P1212" i="19"/>
  <c r="P1309" i="19"/>
  <c r="P45" i="19"/>
  <c r="P962" i="19"/>
  <c r="P90" i="19"/>
  <c r="P1053" i="19"/>
  <c r="P372" i="19"/>
  <c r="P892" i="19"/>
  <c r="P662" i="19"/>
  <c r="P563" i="19"/>
  <c r="P425" i="19"/>
  <c r="P53" i="19"/>
  <c r="P37" i="19"/>
  <c r="P1186" i="19"/>
  <c r="P972" i="19"/>
  <c r="P89" i="19"/>
  <c r="P222" i="19"/>
  <c r="P371" i="19"/>
  <c r="P607" i="19"/>
  <c r="P61" i="19"/>
  <c r="P253" i="19"/>
  <c r="P448" i="19"/>
  <c r="P839" i="19"/>
  <c r="P56" i="19"/>
  <c r="P471" i="19"/>
  <c r="P802" i="19"/>
  <c r="P849" i="19"/>
  <c r="P395" i="19"/>
  <c r="P159" i="19"/>
  <c r="P678" i="19"/>
  <c r="P544" i="19"/>
  <c r="P1316" i="19"/>
  <c r="P855" i="19"/>
  <c r="P1337" i="19"/>
  <c r="P568" i="19"/>
  <c r="P1091" i="19"/>
  <c r="P1162" i="19"/>
  <c r="P945" i="19"/>
  <c r="P55" i="19"/>
  <c r="P698" i="19"/>
  <c r="P1198" i="19"/>
  <c r="P1171" i="19"/>
  <c r="P635" i="19"/>
  <c r="P58" i="19"/>
  <c r="P25" i="19"/>
  <c r="P1106" i="19"/>
  <c r="P998" i="19"/>
  <c r="P672" i="19"/>
  <c r="P999" i="19"/>
  <c r="P752" i="19"/>
  <c r="P1144" i="19"/>
  <c r="P628" i="19"/>
  <c r="P35" i="19"/>
  <c r="P997" i="19"/>
  <c r="P276" i="19"/>
  <c r="P594" i="19"/>
  <c r="P1099" i="19"/>
  <c r="P12" i="19"/>
  <c r="P1176" i="19"/>
  <c r="P947" i="19"/>
  <c r="P396" i="19"/>
  <c r="P67" i="19"/>
  <c r="P1214" i="19"/>
  <c r="P220" i="19"/>
  <c r="P356" i="19"/>
  <c r="P521" i="19"/>
  <c r="P52" i="19"/>
  <c r="P1183" i="19"/>
  <c r="P249" i="19"/>
  <c r="P435" i="19"/>
  <c r="P50" i="19"/>
  <c r="P450" i="19"/>
  <c r="P699" i="19"/>
  <c r="P856" i="19"/>
  <c r="P487" i="19"/>
  <c r="P603" i="19"/>
  <c r="P731" i="19"/>
  <c r="P1390" i="19"/>
  <c r="P1383" i="19"/>
  <c r="P604" i="19"/>
  <c r="P793" i="19"/>
  <c r="P840" i="19"/>
  <c r="P554" i="19"/>
  <c r="P527" i="19"/>
  <c r="P613" i="19"/>
  <c r="P1231" i="19"/>
  <c r="P1032" i="19"/>
  <c r="P801" i="19"/>
  <c r="P1354" i="19"/>
  <c r="P410" i="19"/>
  <c r="P296" i="19"/>
  <c r="P567" i="19"/>
  <c r="P401" i="19"/>
  <c r="P337" i="19"/>
  <c r="P784" i="19"/>
  <c r="P811" i="19"/>
  <c r="P920" i="19"/>
  <c r="P80" i="19"/>
  <c r="P198" i="19"/>
  <c r="P513" i="19"/>
  <c r="P1172" i="19"/>
  <c r="P664" i="19"/>
  <c r="P596" i="19"/>
  <c r="P1328" i="19"/>
  <c r="P772" i="19"/>
  <c r="P637" i="19"/>
  <c r="P560" i="19"/>
  <c r="P476" i="19"/>
  <c r="P597" i="19"/>
  <c r="P928" i="19"/>
  <c r="P298" i="19"/>
  <c r="P573" i="19"/>
  <c r="P258" i="19"/>
  <c r="P468" i="19"/>
  <c r="P860" i="19"/>
  <c r="P868" i="19"/>
  <c r="P931" i="19"/>
  <c r="P1075" i="19"/>
  <c r="P19" i="19"/>
  <c r="P812" i="19"/>
  <c r="P491" i="19"/>
  <c r="P254" i="19"/>
  <c r="P1220" i="19"/>
  <c r="P728" i="19"/>
  <c r="P1384" i="19"/>
  <c r="P1335" i="19"/>
  <c r="P143" i="19"/>
  <c r="P281" i="19"/>
  <c r="P756" i="19"/>
  <c r="P391" i="19"/>
  <c r="P847" i="19"/>
  <c r="P309" i="19"/>
  <c r="P754" i="19"/>
  <c r="P360" i="19"/>
  <c r="P774" i="19"/>
  <c r="P873" i="19"/>
  <c r="P78" i="19"/>
  <c r="P165" i="19"/>
  <c r="P426" i="19"/>
  <c r="P481" i="19"/>
  <c r="P1181" i="19"/>
  <c r="P704" i="19"/>
  <c r="P934" i="19"/>
  <c r="P1377" i="19"/>
  <c r="P608" i="19"/>
  <c r="P245" i="19"/>
  <c r="P285" i="19"/>
  <c r="P685" i="19"/>
  <c r="P354" i="19"/>
  <c r="P820" i="19"/>
  <c r="P110" i="19"/>
  <c r="P398" i="19"/>
  <c r="P1016" i="19"/>
  <c r="P294" i="19"/>
  <c r="P91" i="19"/>
  <c r="P418" i="19"/>
  <c r="P518" i="19"/>
  <c r="P722" i="19"/>
  <c r="P652" i="19"/>
  <c r="P250" i="19"/>
  <c r="P1320" i="19"/>
  <c r="P361" i="19"/>
  <c r="P278" i="19"/>
  <c r="P1024" i="19"/>
  <c r="P710" i="19"/>
  <c r="P66" i="19"/>
  <c r="P116" i="19"/>
  <c r="P620" i="19"/>
  <c r="P1108" i="19"/>
  <c r="P1261" i="19"/>
  <c r="P353" i="19"/>
  <c r="P996" i="19"/>
  <c r="P792" i="19"/>
  <c r="P514" i="19"/>
  <c r="P431" i="19"/>
  <c r="P1315" i="19"/>
  <c r="P979" i="19"/>
  <c r="P85" i="19"/>
  <c r="P477" i="19"/>
  <c r="P964" i="19"/>
  <c r="P524" i="19"/>
  <c r="P1351" i="19"/>
  <c r="P206" i="19"/>
  <c r="P21" i="19"/>
  <c r="P616" i="19"/>
  <c r="P1009" i="19"/>
  <c r="P1112" i="19"/>
  <c r="P909" i="19"/>
  <c r="P202" i="19"/>
  <c r="P650" i="19"/>
  <c r="P565" i="19"/>
  <c r="P226" i="19"/>
  <c r="P286" i="19"/>
  <c r="P213" i="19"/>
  <c r="P1131" i="19"/>
  <c r="P1271" i="19"/>
  <c r="P1370" i="19"/>
  <c r="P3" i="19"/>
  <c r="P1058" i="19"/>
  <c r="P881" i="19"/>
  <c r="P929" i="19"/>
  <c r="P379" i="19"/>
  <c r="P1025" i="19"/>
  <c r="P225" i="19"/>
  <c r="P1105" i="19"/>
  <c r="P228" i="19"/>
  <c r="P301" i="19"/>
  <c r="P1243" i="19"/>
  <c r="P1305" i="19"/>
  <c r="P561" i="19"/>
  <c r="P178" i="19"/>
  <c r="P460" i="19"/>
  <c r="P735" i="19"/>
  <c r="P950" i="19"/>
  <c r="P378" i="19"/>
  <c r="P624" i="19"/>
  <c r="P473" i="19"/>
  <c r="P927" i="19"/>
  <c r="P684" i="19"/>
  <c r="P853" i="19"/>
  <c r="P1324" i="19"/>
  <c r="P841" i="19"/>
  <c r="P145" i="19"/>
  <c r="P375" i="19"/>
  <c r="P517" i="19"/>
  <c r="P519" i="19"/>
  <c r="P107" i="19"/>
  <c r="P163" i="19"/>
  <c r="P201" i="19"/>
  <c r="P747" i="19"/>
  <c r="P711" i="19"/>
  <c r="P1072" i="19"/>
  <c r="P1117" i="19"/>
  <c r="P693" i="19"/>
  <c r="P696" i="19"/>
  <c r="P522" i="19"/>
  <c r="P402" i="19"/>
  <c r="P566" i="19"/>
  <c r="P529" i="19"/>
  <c r="P317" i="19"/>
  <c r="P1260" i="19"/>
  <c r="P1027" i="19"/>
  <c r="P474" i="19"/>
  <c r="P357" i="19"/>
  <c r="P531" i="19"/>
  <c r="P234" i="19"/>
  <c r="P574" i="19"/>
  <c r="P414" i="19"/>
  <c r="P1359" i="19"/>
  <c r="P1001" i="19"/>
  <c r="P884" i="19"/>
  <c r="P1247" i="19"/>
  <c r="P541" i="19"/>
  <c r="P592" i="19"/>
  <c r="P413" i="19"/>
  <c r="P139" i="19"/>
  <c r="P535" i="19"/>
  <c r="P609" i="19"/>
  <c r="P1040" i="19"/>
  <c r="P113" i="19"/>
  <c r="P1367" i="19"/>
  <c r="P174" i="19"/>
  <c r="P829" i="19"/>
  <c r="P5" i="19"/>
  <c r="P1023" i="19"/>
  <c r="P744" i="19"/>
  <c r="P510" i="19"/>
  <c r="P126" i="19"/>
  <c r="P150" i="19"/>
  <c r="P591" i="19"/>
  <c r="P666" i="19"/>
  <c r="P724" i="19"/>
  <c r="P631" i="19"/>
  <c r="P975" i="19"/>
  <c r="P1317" i="19"/>
  <c r="P555" i="19"/>
  <c r="P488" i="19"/>
  <c r="P18" i="19"/>
  <c r="P118" i="19"/>
  <c r="P629" i="19"/>
  <c r="P377" i="19"/>
  <c r="P551" i="19"/>
  <c r="P990" i="19"/>
  <c r="P661" i="19"/>
  <c r="P516" i="19"/>
  <c r="P1387" i="19"/>
  <c r="P1089" i="19"/>
  <c r="P579" i="19"/>
  <c r="P937" i="19"/>
  <c r="P976" i="19"/>
  <c r="P1290" i="19"/>
  <c r="P385" i="19"/>
  <c r="P1143" i="19"/>
  <c r="P314" i="19"/>
  <c r="P284" i="19"/>
  <c r="P806" i="19"/>
  <c r="P463" i="19"/>
  <c r="P723" i="19"/>
  <c r="P467" i="19"/>
  <c r="P169" i="19"/>
  <c r="P538" i="19"/>
  <c r="P983" i="19"/>
  <c r="P900" i="19"/>
  <c r="P911" i="19"/>
  <c r="P532" i="19"/>
  <c r="P1061" i="19"/>
  <c r="P195" i="19"/>
  <c r="H3" i="23"/>
  <c r="H5" i="23" s="1"/>
  <c r="G3" i="23"/>
  <c r="H4" i="23"/>
  <c r="G4" i="23"/>
  <c r="G5" i="23" l="1"/>
  <c r="S1358" i="19"/>
  <c r="S1350" i="19"/>
  <c r="S1354" i="19"/>
  <c r="S1366" i="19"/>
  <c r="S1362" i="19"/>
  <c r="S1383" i="19"/>
  <c r="S1351" i="19"/>
  <c r="S1365" i="19"/>
  <c r="S1371" i="19"/>
  <c r="S1385" i="19"/>
  <c r="S1379" i="19"/>
  <c r="S1355" i="19"/>
  <c r="S1387" i="19"/>
  <c r="S1374" i="19"/>
  <c r="S1353" i="19"/>
  <c r="S1391" i="19"/>
  <c r="S1359" i="19"/>
  <c r="S1389" i="19"/>
  <c r="S1361" i="19"/>
  <c r="S1386" i="19"/>
  <c r="S1369" i="19"/>
  <c r="S1373" i="19"/>
  <c r="S1349" i="19"/>
  <c r="S1367" i="19"/>
  <c r="S1378" i="19"/>
  <c r="S1370" i="19"/>
  <c r="S1382" i="19"/>
  <c r="S1352" i="19"/>
  <c r="S1357" i="19"/>
  <c r="S1377" i="19"/>
  <c r="S1381" i="19"/>
  <c r="S1363" i="19"/>
  <c r="S1390" i="19"/>
  <c r="S1375" i="19"/>
  <c r="S1368" i="19"/>
  <c r="S1364" i="19"/>
  <c r="S1360" i="19"/>
  <c r="S1384" i="19"/>
  <c r="S1380" i="19"/>
  <c r="S1372" i="19"/>
  <c r="S1388" i="19"/>
  <c r="S1356" i="19"/>
  <c r="S1376" i="19"/>
  <c r="S1297" i="19"/>
  <c r="S1299" i="19"/>
  <c r="S1302" i="19"/>
  <c r="S1248" i="19"/>
  <c r="S1304" i="19"/>
  <c r="S1323" i="19"/>
  <c r="S1301" i="19"/>
  <c r="S1314" i="19"/>
  <c r="S1245" i="19"/>
  <c r="S1341" i="19"/>
  <c r="S1275" i="19"/>
  <c r="S1289" i="19"/>
  <c r="S1325" i="19"/>
  <c r="S1331" i="19"/>
  <c r="S1343" i="19"/>
  <c r="S1270" i="19"/>
  <c r="S1283" i="19"/>
  <c r="S1293" i="19"/>
  <c r="S1333" i="19"/>
  <c r="S1264" i="19"/>
  <c r="S1311" i="19"/>
  <c r="S1340" i="19"/>
  <c r="S1335" i="19"/>
  <c r="S1269" i="19"/>
  <c r="S1332" i="19"/>
  <c r="S1336" i="19"/>
  <c r="S1313" i="19"/>
  <c r="S1322" i="19"/>
  <c r="S1347" i="19"/>
  <c r="S1277" i="19"/>
  <c r="S1305" i="19"/>
  <c r="S1244" i="19"/>
  <c r="S1345" i="19"/>
  <c r="S1285" i="19"/>
  <c r="S1278" i="19"/>
  <c r="S1263" i="19"/>
  <c r="S1280" i="19"/>
  <c r="S1307" i="19"/>
  <c r="S1296" i="19"/>
  <c r="S1255" i="19"/>
  <c r="S1250" i="19"/>
  <c r="S1267" i="19"/>
  <c r="S1253" i="19"/>
  <c r="S1287" i="19"/>
  <c r="S1337" i="19"/>
  <c r="S1268" i="19"/>
  <c r="S1259" i="19"/>
  <c r="S1262" i="19"/>
  <c r="S1282" i="19"/>
  <c r="S1344" i="19"/>
  <c r="S1326" i="19"/>
  <c r="S1328" i="19"/>
  <c r="S1247" i="19"/>
  <c r="S1329" i="19"/>
  <c r="S1276" i="19"/>
  <c r="S1310" i="19"/>
  <c r="S1338" i="19"/>
  <c r="S1249" i="19"/>
  <c r="S1327" i="19"/>
  <c r="S1286" i="19"/>
  <c r="S1265" i="19"/>
  <c r="S1317" i="19"/>
  <c r="S1274" i="19"/>
  <c r="S1260" i="19"/>
  <c r="S1330" i="19"/>
  <c r="S1281" i="19"/>
  <c r="S1339" i="19"/>
  <c r="S1290" i="19"/>
  <c r="S1271" i="19"/>
  <c r="S1292" i="19"/>
  <c r="S1273" i="19"/>
  <c r="S1348" i="19"/>
  <c r="S1246" i="19"/>
  <c r="S1346" i="19"/>
  <c r="S1298" i="19"/>
  <c r="S1257" i="19"/>
  <c r="S1306" i="19"/>
  <c r="S1295" i="19"/>
  <c r="S1303" i="19"/>
  <c r="S1258" i="19"/>
  <c r="S1309" i="19"/>
  <c r="S1300" i="19"/>
  <c r="S1316" i="19"/>
  <c r="S1272" i="19"/>
  <c r="S1312" i="19"/>
  <c r="S1291" i="19"/>
  <c r="S1251" i="19"/>
  <c r="S1288" i="19"/>
  <c r="S1318" i="19"/>
  <c r="S1256" i="19"/>
  <c r="S1308" i="19"/>
  <c r="S1324" i="19"/>
  <c r="S1254" i="19"/>
  <c r="S1315" i="19"/>
  <c r="S1342" i="19"/>
  <c r="S1252" i="19"/>
  <c r="S1321" i="19"/>
  <c r="S1261" i="19"/>
  <c r="S1334" i="19"/>
  <c r="S1319" i="19"/>
  <c r="S1294" i="19"/>
  <c r="S1320" i="19"/>
  <c r="S1284" i="19"/>
  <c r="S1266" i="19"/>
  <c r="S1279" i="19"/>
  <c r="C22" i="23"/>
  <c r="T1351" i="19" l="1"/>
  <c r="U1351" i="19" s="1"/>
  <c r="T1350" i="19"/>
  <c r="U1350" i="19" s="1"/>
  <c r="T1369" i="19"/>
  <c r="U1369" i="19" s="1"/>
  <c r="T1371" i="19"/>
  <c r="U1371" i="19" s="1"/>
  <c r="T1365" i="19"/>
  <c r="U1365" i="19" s="1"/>
  <c r="T1362" i="19"/>
  <c r="U1362" i="19" s="1"/>
  <c r="T1379" i="19"/>
  <c r="U1379" i="19" s="1"/>
  <c r="T1383" i="19"/>
  <c r="U1383" i="19" s="1"/>
  <c r="T1385" i="19"/>
  <c r="U1385" i="19" s="1"/>
  <c r="T1378" i="19"/>
  <c r="U1378" i="19" s="1"/>
  <c r="T1382" i="19"/>
  <c r="U1382" i="19" s="1"/>
  <c r="T1391" i="19"/>
  <c r="U1391" i="19" s="1"/>
  <c r="T1390" i="19"/>
  <c r="U1390" i="19" s="1"/>
  <c r="T1374" i="19"/>
  <c r="U1374" i="19" s="1"/>
  <c r="T1353" i="19"/>
  <c r="U1353" i="19" s="1"/>
  <c r="T1359" i="19"/>
  <c r="U1359" i="19" s="1"/>
  <c r="T1389" i="19"/>
  <c r="U1389" i="19" s="1"/>
  <c r="T1361" i="19"/>
  <c r="U1361" i="19" s="1"/>
  <c r="T1386" i="19"/>
  <c r="U1386" i="19" s="1"/>
  <c r="T1366" i="19"/>
  <c r="U1366" i="19" s="1"/>
  <c r="T1355" i="19"/>
  <c r="U1355" i="19" s="1"/>
  <c r="T1387" i="19"/>
  <c r="U1387" i="19" s="1"/>
  <c r="T1354" i="19"/>
  <c r="U1354" i="19" s="1"/>
  <c r="T1373" i="19"/>
  <c r="U1373" i="19" s="1"/>
  <c r="T1349" i="19"/>
  <c r="U1349" i="19" s="1"/>
  <c r="T1367" i="19"/>
  <c r="U1367" i="19" s="1"/>
  <c r="T1352" i="19"/>
  <c r="U1352" i="19" s="1"/>
  <c r="T1370" i="19"/>
  <c r="U1370" i="19" s="1"/>
  <c r="T1375" i="19"/>
  <c r="U1375" i="19" s="1"/>
  <c r="T1358" i="19"/>
  <c r="U1358" i="19" s="1"/>
  <c r="T1357" i="19"/>
  <c r="U1357" i="19" s="1"/>
  <c r="T1377" i="19"/>
  <c r="U1377" i="19" s="1"/>
  <c r="T1381" i="19"/>
  <c r="U1381" i="19" s="1"/>
  <c r="T1363" i="19"/>
  <c r="U1363" i="19" s="1"/>
  <c r="T1380" i="19"/>
  <c r="U1380" i="19" s="1"/>
  <c r="T1356" i="19"/>
  <c r="U1356" i="19" s="1"/>
  <c r="T1368" i="19"/>
  <c r="U1368" i="19" s="1"/>
  <c r="T1372" i="19"/>
  <c r="U1372" i="19" s="1"/>
  <c r="T1364" i="19"/>
  <c r="U1364" i="19" s="1"/>
  <c r="T1360" i="19"/>
  <c r="U1360" i="19" s="1"/>
  <c r="T1388" i="19"/>
  <c r="U1388" i="19" s="1"/>
  <c r="T1376" i="19"/>
  <c r="U1376" i="19" s="1"/>
  <c r="T1384" i="19"/>
  <c r="U1384" i="19" s="1"/>
  <c r="T1245" i="19"/>
  <c r="U1245" i="19" s="1"/>
  <c r="T1335" i="19"/>
  <c r="U1335" i="19" s="1"/>
  <c r="T1341" i="19"/>
  <c r="U1341" i="19" s="1"/>
  <c r="T1286" i="19"/>
  <c r="U1286" i="19" s="1"/>
  <c r="T1292" i="19"/>
  <c r="U1292" i="19" s="1"/>
  <c r="T1304" i="19"/>
  <c r="U1304" i="19" s="1"/>
  <c r="T1270" i="19"/>
  <c r="U1270" i="19" s="1"/>
  <c r="T1293" i="19"/>
  <c r="U1293" i="19" s="1"/>
  <c r="T1301" i="19"/>
  <c r="U1301" i="19" s="1"/>
  <c r="T1327" i="19"/>
  <c r="U1327" i="19" s="1"/>
  <c r="T1333" i="19"/>
  <c r="U1333" i="19" s="1"/>
  <c r="T1287" i="19"/>
  <c r="U1287" i="19" s="1"/>
  <c r="T1264" i="19"/>
  <c r="U1264" i="19" s="1"/>
  <c r="T1281" i="19"/>
  <c r="U1281" i="19" s="1"/>
  <c r="T1275" i="19"/>
  <c r="U1275" i="19" s="1"/>
  <c r="T1332" i="19"/>
  <c r="U1332" i="19" s="1"/>
  <c r="T1336" i="19"/>
  <c r="U1336" i="19" s="1"/>
  <c r="T1302" i="19"/>
  <c r="U1302" i="19" s="1"/>
  <c r="T1325" i="19"/>
  <c r="U1325" i="19" s="1"/>
  <c r="T1330" i="19"/>
  <c r="U1330" i="19" s="1"/>
  <c r="T1299" i="19"/>
  <c r="U1299" i="19" s="1"/>
  <c r="T1314" i="19"/>
  <c r="U1314" i="19" s="1"/>
  <c r="T1280" i="19"/>
  <c r="U1280" i="19" s="1"/>
  <c r="T1328" i="19"/>
  <c r="U1328" i="19" s="1"/>
  <c r="T1277" i="19"/>
  <c r="U1277" i="19" s="1"/>
  <c r="T1282" i="19"/>
  <c r="U1282" i="19" s="1"/>
  <c r="T1276" i="19"/>
  <c r="U1276" i="19" s="1"/>
  <c r="T1313" i="19"/>
  <c r="U1313" i="19" s="1"/>
  <c r="T1290" i="19"/>
  <c r="U1290" i="19" s="1"/>
  <c r="T1348" i="19"/>
  <c r="U1348" i="19" s="1"/>
  <c r="T1326" i="19"/>
  <c r="U1326" i="19" s="1"/>
  <c r="T1268" i="19"/>
  <c r="U1268" i="19" s="1"/>
  <c r="T1262" i="19"/>
  <c r="U1262" i="19" s="1"/>
  <c r="T1305" i="19"/>
  <c r="U1305" i="19" s="1"/>
  <c r="T1244" i="19"/>
  <c r="U1244" i="19" s="1"/>
  <c r="T1274" i="19"/>
  <c r="U1274" i="19" s="1"/>
  <c r="T1273" i="19"/>
  <c r="U1273" i="19" s="1"/>
  <c r="T1250" i="19"/>
  <c r="U1250" i="19" s="1"/>
  <c r="T1337" i="19"/>
  <c r="U1337" i="19" s="1"/>
  <c r="T1323" i="19"/>
  <c r="U1323" i="19" s="1"/>
  <c r="T1347" i="19"/>
  <c r="U1347" i="19" s="1"/>
  <c r="T1296" i="19"/>
  <c r="U1296" i="19" s="1"/>
  <c r="T1339" i="19"/>
  <c r="U1339" i="19" s="1"/>
  <c r="T1255" i="19"/>
  <c r="U1255" i="19" s="1"/>
  <c r="T1267" i="19"/>
  <c r="U1267" i="19" s="1"/>
  <c r="T1253" i="19"/>
  <c r="U1253" i="19" s="1"/>
  <c r="T1269" i="19"/>
  <c r="U1269" i="19" s="1"/>
  <c r="T1345" i="19"/>
  <c r="U1345" i="19" s="1"/>
  <c r="T1285" i="19"/>
  <c r="U1285" i="19" s="1"/>
  <c r="T1317" i="19"/>
  <c r="U1317" i="19" s="1"/>
  <c r="T1278" i="19"/>
  <c r="U1278" i="19" s="1"/>
  <c r="T1331" i="19"/>
  <c r="U1331" i="19" s="1"/>
  <c r="T1259" i="19"/>
  <c r="U1259" i="19" s="1"/>
  <c r="T1283" i="19"/>
  <c r="U1283" i="19" s="1"/>
  <c r="T1263" i="19"/>
  <c r="U1263" i="19" s="1"/>
  <c r="T1344" i="19"/>
  <c r="U1344" i="19" s="1"/>
  <c r="T1297" i="19"/>
  <c r="U1297" i="19" s="1"/>
  <c r="T1343" i="19"/>
  <c r="U1343" i="19" s="1"/>
  <c r="T1310" i="19"/>
  <c r="U1310" i="19" s="1"/>
  <c r="T1265" i="19"/>
  <c r="U1265" i="19" s="1"/>
  <c r="T1311" i="19"/>
  <c r="U1311" i="19" s="1"/>
  <c r="T1271" i="19"/>
  <c r="U1271" i="19" s="1"/>
  <c r="T1340" i="19"/>
  <c r="U1340" i="19" s="1"/>
  <c r="T1329" i="19"/>
  <c r="U1329" i="19" s="1"/>
  <c r="T1249" i="19"/>
  <c r="U1249" i="19" s="1"/>
  <c r="T1338" i="19"/>
  <c r="U1338" i="19" s="1"/>
  <c r="T1307" i="19"/>
  <c r="U1307" i="19" s="1"/>
  <c r="T1260" i="19"/>
  <c r="U1260" i="19" s="1"/>
  <c r="T1322" i="19"/>
  <c r="U1322" i="19" s="1"/>
  <c r="T1248" i="19"/>
  <c r="U1248" i="19" s="1"/>
  <c r="T1306" i="19"/>
  <c r="U1306" i="19" s="1"/>
  <c r="T1312" i="19"/>
  <c r="U1312" i="19" s="1"/>
  <c r="T1257" i="19"/>
  <c r="U1257" i="19" s="1"/>
  <c r="T1247" i="19"/>
  <c r="U1247" i="19" s="1"/>
  <c r="T1346" i="19"/>
  <c r="U1346" i="19" s="1"/>
  <c r="T1298" i="19"/>
  <c r="U1298" i="19" s="1"/>
  <c r="T1289" i="19"/>
  <c r="U1289" i="19" s="1"/>
  <c r="T1291" i="19"/>
  <c r="U1291" i="19" s="1"/>
  <c r="T1295" i="19"/>
  <c r="U1295" i="19" s="1"/>
  <c r="T1303" i="19"/>
  <c r="U1303" i="19" s="1"/>
  <c r="T1318" i="19"/>
  <c r="U1318" i="19" s="1"/>
  <c r="T1254" i="19"/>
  <c r="U1254" i="19" s="1"/>
  <c r="T1246" i="19"/>
  <c r="U1246" i="19" s="1"/>
  <c r="T1300" i="19"/>
  <c r="U1300" i="19" s="1"/>
  <c r="T1316" i="19"/>
  <c r="U1316" i="19" s="1"/>
  <c r="T1272" i="19"/>
  <c r="U1272" i="19" s="1"/>
  <c r="T1256" i="19"/>
  <c r="U1256" i="19" s="1"/>
  <c r="T1308" i="19"/>
  <c r="U1308" i="19" s="1"/>
  <c r="T1258" i="19"/>
  <c r="U1258" i="19" s="1"/>
  <c r="T1319" i="19"/>
  <c r="U1319" i="19" s="1"/>
  <c r="T1251" i="19"/>
  <c r="U1251" i="19" s="1"/>
  <c r="T1288" i="19"/>
  <c r="U1288" i="19" s="1"/>
  <c r="T1321" i="19"/>
  <c r="U1321" i="19" s="1"/>
  <c r="T1324" i="19"/>
  <c r="U1324" i="19" s="1"/>
  <c r="T1266" i="19"/>
  <c r="U1266" i="19" s="1"/>
  <c r="T1315" i="19"/>
  <c r="U1315" i="19" s="1"/>
  <c r="T1342" i="19"/>
  <c r="U1342" i="19" s="1"/>
  <c r="T1252" i="19"/>
  <c r="U1252" i="19" s="1"/>
  <c r="T1334" i="19"/>
  <c r="U1334" i="19" s="1"/>
  <c r="T1294" i="19"/>
  <c r="U1294" i="19" s="1"/>
  <c r="T1320" i="19"/>
  <c r="U1320" i="19" s="1"/>
  <c r="T1279" i="19"/>
  <c r="U1279" i="19" s="1"/>
  <c r="T1261" i="19"/>
  <c r="U1261" i="19" s="1"/>
  <c r="T1309" i="19"/>
  <c r="U1309" i="19" s="1"/>
  <c r="T1284" i="19"/>
  <c r="U1284" i="19" s="1"/>
  <c r="S442" i="19"/>
  <c r="S446" i="19"/>
  <c r="S484" i="19"/>
  <c r="S523" i="19"/>
  <c r="S555" i="19"/>
  <c r="S557" i="19"/>
  <c r="S599" i="19"/>
  <c r="S651" i="19"/>
  <c r="S692" i="19"/>
  <c r="S717" i="19"/>
  <c r="S755" i="19"/>
  <c r="S793" i="19"/>
  <c r="S820" i="19"/>
  <c r="S841" i="19"/>
  <c r="S889" i="19"/>
  <c r="S894" i="19"/>
  <c r="S949" i="19"/>
  <c r="S1038" i="19"/>
  <c r="S1041" i="19"/>
  <c r="S1066" i="19"/>
  <c r="S1078" i="19"/>
  <c r="S1080" i="19"/>
  <c r="S1096" i="19"/>
  <c r="S1119" i="19"/>
  <c r="S1155" i="19"/>
  <c r="S1220" i="19"/>
  <c r="S420" i="19"/>
  <c r="S463" i="19"/>
  <c r="S493" i="19"/>
  <c r="S509" i="19"/>
  <c r="S529" i="19"/>
  <c r="S645" i="19"/>
  <c r="S657" i="19"/>
  <c r="S670" i="19"/>
  <c r="S729" i="19"/>
  <c r="S777" i="19"/>
  <c r="S913" i="19"/>
  <c r="S996" i="19"/>
  <c r="S1011" i="19"/>
  <c r="S1021" i="19"/>
  <c r="S1056" i="19"/>
  <c r="S1115" i="19"/>
  <c r="S393" i="19"/>
  <c r="S414" i="19"/>
  <c r="S466" i="19"/>
  <c r="S469" i="19"/>
  <c r="S481" i="19"/>
  <c r="S490" i="19"/>
  <c r="S496" i="19"/>
  <c r="S499" i="19"/>
  <c r="S547" i="19"/>
  <c r="S585" i="19"/>
  <c r="S605" i="19"/>
  <c r="S611" i="19"/>
  <c r="S758" i="19"/>
  <c r="S760" i="19"/>
  <c r="S800" i="19"/>
  <c r="S813" i="19"/>
  <c r="S836" i="19"/>
  <c r="S842" i="19"/>
  <c r="S922" i="19"/>
  <c r="S938" i="19"/>
  <c r="S984" i="19"/>
  <c r="S1014" i="19"/>
  <c r="S1024" i="19"/>
  <c r="S1054" i="19"/>
  <c r="S1182" i="19"/>
  <c r="S1204" i="19"/>
  <c r="S377" i="19"/>
  <c r="S452" i="19"/>
  <c r="S455" i="19"/>
  <c r="S461" i="19"/>
  <c r="S472" i="19"/>
  <c r="S475" i="19"/>
  <c r="S552" i="19"/>
  <c r="S578" i="19"/>
  <c r="S791" i="19"/>
  <c r="S860" i="19"/>
  <c r="S914" i="19"/>
  <c r="S954" i="19"/>
  <c r="S1018" i="19"/>
  <c r="S1043" i="19"/>
  <c r="S1069" i="19"/>
  <c r="S1091" i="19"/>
  <c r="S1117" i="19"/>
  <c r="S382" i="19"/>
  <c r="S436" i="19"/>
  <c r="S518" i="19"/>
  <c r="S553" i="19"/>
  <c r="S560" i="19"/>
  <c r="S596" i="19"/>
  <c r="S671" i="19"/>
  <c r="S677" i="19"/>
  <c r="S699" i="19"/>
  <c r="S704" i="19"/>
  <c r="S711" i="19"/>
  <c r="S807" i="19"/>
  <c r="S857" i="19"/>
  <c r="S869" i="19"/>
  <c r="S885" i="19"/>
  <c r="S892" i="19"/>
  <c r="S907" i="19"/>
  <c r="S942" i="19"/>
  <c r="S950" i="19"/>
  <c r="S977" i="19"/>
  <c r="S1051" i="19"/>
  <c r="S1081" i="19"/>
  <c r="S402" i="19"/>
  <c r="S602" i="19"/>
  <c r="S647" i="19"/>
  <c r="S652" i="19"/>
  <c r="S693" i="19"/>
  <c r="S713" i="19"/>
  <c r="S731" i="19"/>
  <c r="S782" i="19"/>
  <c r="S827" i="19"/>
  <c r="S852" i="19"/>
  <c r="S861" i="19"/>
  <c r="S384" i="19"/>
  <c r="S431" i="19"/>
  <c r="S478" i="19"/>
  <c r="S538" i="19"/>
  <c r="S756" i="19"/>
  <c r="S768" i="19"/>
  <c r="S804" i="19"/>
  <c r="S818" i="19"/>
  <c r="S910" i="19"/>
  <c r="S915" i="19"/>
  <c r="S939" i="19"/>
  <c r="S997" i="19"/>
  <c r="S1008" i="19"/>
  <c r="S1039" i="19"/>
  <c r="S1072" i="19"/>
  <c r="S1077" i="19"/>
  <c r="S1125" i="19"/>
  <c r="S1164" i="19"/>
  <c r="S1166" i="19"/>
  <c r="S1192" i="19"/>
  <c r="S1197" i="19"/>
  <c r="S1202" i="19"/>
  <c r="S379" i="19"/>
  <c r="S464" i="19"/>
  <c r="S487" i="19"/>
  <c r="S502" i="19"/>
  <c r="S548" i="19"/>
  <c r="S621" i="19"/>
  <c r="S663" i="19"/>
  <c r="S687" i="19"/>
  <c r="S705" i="19"/>
  <c r="S716" i="19"/>
  <c r="S723" i="19"/>
  <c r="S732" i="19"/>
  <c r="S759" i="19"/>
  <c r="S776" i="19"/>
  <c r="S780" i="19"/>
  <c r="S830" i="19"/>
  <c r="S866" i="19"/>
  <c r="S897" i="19"/>
  <c r="S968" i="19"/>
  <c r="S985" i="19"/>
  <c r="S995" i="19"/>
  <c r="S1019" i="19"/>
  <c r="S1095" i="19"/>
  <c r="S1101" i="19"/>
  <c r="S1138" i="19"/>
  <c r="S1200" i="19"/>
  <c r="S460" i="19"/>
  <c r="S494" i="19"/>
  <c r="S608" i="19"/>
  <c r="S639" i="19"/>
  <c r="S641" i="19"/>
  <c r="S718" i="19"/>
  <c r="S771" i="19"/>
  <c r="S792" i="19"/>
  <c r="S840" i="19"/>
  <c r="S957" i="19"/>
  <c r="S974" i="19"/>
  <c r="S1079" i="19"/>
  <c r="S1092" i="19"/>
  <c r="S1112" i="19"/>
  <c r="S1118" i="19"/>
  <c r="S1178" i="19"/>
  <c r="S1183" i="19"/>
  <c r="S1231" i="19"/>
  <c r="S381" i="19"/>
  <c r="S412" i="19"/>
  <c r="S417" i="19"/>
  <c r="S435" i="19"/>
  <c r="S476" i="19"/>
  <c r="S623" i="19"/>
  <c r="S688" i="19"/>
  <c r="S698" i="19"/>
  <c r="S817" i="19"/>
  <c r="S828" i="19"/>
  <c r="S833" i="19"/>
  <c r="S941" i="19"/>
  <c r="S946" i="19"/>
  <c r="S1017" i="19"/>
  <c r="S1105" i="19"/>
  <c r="S1157" i="19"/>
  <c r="S1161" i="19"/>
  <c r="S664" i="19"/>
  <c r="S757" i="19"/>
  <c r="S1075" i="19"/>
  <c r="S1127" i="19"/>
  <c r="S428" i="19"/>
  <c r="S1233" i="19"/>
  <c r="S448" i="19"/>
  <c r="S546" i="19"/>
  <c r="S614" i="19"/>
  <c r="S769" i="19"/>
  <c r="S1053" i="19"/>
  <c r="S1219" i="19"/>
  <c r="S628" i="19"/>
  <c r="S1028" i="19"/>
  <c r="S1165" i="19"/>
  <c r="S843" i="19"/>
  <c r="S994" i="19"/>
  <c r="S1027" i="19"/>
  <c r="S1195" i="19"/>
  <c r="S1208" i="19"/>
  <c r="S554" i="19"/>
  <c r="S1012" i="19"/>
  <c r="S1022" i="19"/>
  <c r="S1145" i="19"/>
  <c r="S517" i="19"/>
  <c r="S653" i="19"/>
  <c r="S710" i="19"/>
  <c r="S1065" i="19"/>
  <c r="S1136" i="19"/>
  <c r="S1143" i="19"/>
  <c r="S1205" i="19"/>
  <c r="S740" i="19"/>
  <c r="S951" i="19"/>
  <c r="S1167" i="19"/>
  <c r="S1232" i="19"/>
  <c r="S479" i="19"/>
  <c r="S508" i="19"/>
  <c r="S633" i="19"/>
  <c r="S1106" i="19"/>
  <c r="S1193" i="19"/>
  <c r="S1209" i="19"/>
  <c r="S1241" i="19"/>
  <c r="S636" i="19"/>
  <c r="S675" i="19"/>
  <c r="S805" i="19"/>
  <c r="S1158" i="19"/>
  <c r="S1194" i="19"/>
  <c r="S1221" i="19"/>
  <c r="S1223" i="19"/>
  <c r="S451" i="19"/>
  <c r="S527" i="19"/>
  <c r="S825" i="19"/>
  <c r="S1055" i="19"/>
  <c r="S1156" i="19"/>
  <c r="S858" i="19"/>
  <c r="S1210" i="19"/>
  <c r="S1230" i="19"/>
  <c r="S1168" i="19"/>
  <c r="S871" i="19"/>
  <c r="S1100" i="19"/>
  <c r="S1146" i="19"/>
  <c r="S945" i="19"/>
  <c r="S604" i="19"/>
  <c r="S1047" i="19"/>
  <c r="S533" i="19"/>
  <c r="S1067" i="19"/>
  <c r="S886" i="19"/>
  <c r="S832" i="19"/>
  <c r="S839" i="19"/>
  <c r="S424" i="19"/>
  <c r="S932" i="19"/>
  <c r="S1050" i="19"/>
  <c r="S746" i="19"/>
  <c r="S899" i="19"/>
  <c r="S1037" i="19"/>
  <c r="S1238" i="19"/>
  <c r="S809" i="19"/>
  <c r="S715" i="19"/>
  <c r="S701" i="19"/>
  <c r="S607" i="19"/>
  <c r="S515" i="19"/>
  <c r="S410" i="19"/>
  <c r="S863" i="19"/>
  <c r="S1083" i="19"/>
  <c r="S867" i="19"/>
  <c r="S847" i="19"/>
  <c r="S931" i="19"/>
  <c r="S962" i="19"/>
  <c r="S1031" i="19"/>
  <c r="S1150" i="19"/>
  <c r="S1139" i="19"/>
  <c r="S669" i="19"/>
  <c r="S846" i="19"/>
  <c r="S1034" i="19"/>
  <c r="S849" i="19"/>
  <c r="S967" i="19"/>
  <c r="S882" i="19"/>
  <c r="S744" i="19"/>
  <c r="S753" i="19"/>
  <c r="S799" i="19"/>
  <c r="S737" i="19"/>
  <c r="S573" i="19"/>
  <c r="S650" i="19"/>
  <c r="S593" i="19"/>
  <c r="S530" i="19"/>
  <c r="S497" i="19"/>
  <c r="S432" i="19"/>
  <c r="S462" i="19"/>
  <c r="S453" i="19"/>
  <c r="S405" i="19"/>
  <c r="S923" i="19"/>
  <c r="S644" i="19"/>
  <c r="S667" i="19"/>
  <c r="S890" i="19"/>
  <c r="S512" i="19"/>
  <c r="S674" i="19"/>
  <c r="S741" i="19"/>
  <c r="S1198" i="19"/>
  <c r="S1131" i="19"/>
  <c r="S948" i="19"/>
  <c r="S1013" i="19"/>
  <c r="S875" i="19"/>
  <c r="S1162" i="19"/>
  <c r="S862" i="19"/>
  <c r="S1004" i="19"/>
  <c r="S720" i="19"/>
  <c r="S577" i="19"/>
  <c r="S627" i="19"/>
  <c r="S495" i="19"/>
  <c r="S528" i="19"/>
  <c r="S457" i="19"/>
  <c r="S883" i="19"/>
  <c r="S1228" i="19"/>
  <c r="S739" i="19"/>
  <c r="S1142" i="19"/>
  <c r="S947" i="19"/>
  <c r="S591" i="19"/>
  <c r="S750" i="19"/>
  <c r="S1235" i="19"/>
  <c r="S1180" i="19"/>
  <c r="S1102" i="19"/>
  <c r="S960" i="19"/>
  <c r="S911" i="19"/>
  <c r="S823" i="19"/>
  <c r="S981" i="19"/>
  <c r="S691" i="19"/>
  <c r="S690" i="19"/>
  <c r="S620" i="19"/>
  <c r="S745" i="19"/>
  <c r="S689" i="19"/>
  <c r="S590" i="19"/>
  <c r="S549" i="19"/>
  <c r="S458" i="19"/>
  <c r="S423" i="19"/>
  <c r="S445" i="19"/>
  <c r="S1098" i="19"/>
  <c r="S694" i="19"/>
  <c r="S1040" i="19"/>
  <c r="S722" i="19"/>
  <c r="S531" i="19"/>
  <c r="S1109" i="19"/>
  <c r="S933" i="19"/>
  <c r="S1229" i="19"/>
  <c r="S987" i="19"/>
  <c r="S1001" i="19"/>
  <c r="S1154" i="19"/>
  <c r="S784" i="19"/>
  <c r="S879" i="19"/>
  <c r="S587" i="19"/>
  <c r="S589" i="19"/>
  <c r="S683" i="19"/>
  <c r="S510" i="19"/>
  <c r="S409" i="19"/>
  <c r="S397" i="19"/>
  <c r="S413" i="19"/>
  <c r="S1222" i="19"/>
  <c r="S1242" i="19"/>
  <c r="S681" i="19"/>
  <c r="S749" i="19"/>
  <c r="S1152" i="19"/>
  <c r="S733" i="19"/>
  <c r="S437" i="19"/>
  <c r="S658" i="19"/>
  <c r="S1110" i="19"/>
  <c r="S761" i="19"/>
  <c r="S727" i="19"/>
  <c r="S1111" i="19"/>
  <c r="S1175" i="19"/>
  <c r="S1029" i="19"/>
  <c r="S1088" i="19"/>
  <c r="S1042" i="19"/>
  <c r="S1090" i="19"/>
  <c r="S983" i="19"/>
  <c r="S980" i="19"/>
  <c r="S1003" i="19"/>
  <c r="S884" i="19"/>
  <c r="S594" i="19"/>
  <c r="S619" i="19"/>
  <c r="S580" i="19"/>
  <c r="S492" i="19"/>
  <c r="S430" i="19"/>
  <c r="S406" i="19"/>
  <c r="S1135" i="19"/>
  <c r="S441" i="19"/>
  <c r="S936" i="19"/>
  <c r="S1076" i="19"/>
  <c r="S695" i="19"/>
  <c r="S859" i="19"/>
  <c r="S1218" i="19"/>
  <c r="S1086" i="19"/>
  <c r="S1211" i="19"/>
  <c r="S1163" i="19"/>
  <c r="S1184" i="19"/>
  <c r="S1226" i="19"/>
  <c r="S921" i="19"/>
  <c r="S1190" i="19"/>
  <c r="S905" i="19"/>
  <c r="S659" i="19"/>
  <c r="S850" i="19"/>
  <c r="S1035" i="19"/>
  <c r="S498" i="19"/>
  <c r="S1134" i="19"/>
  <c r="S935" i="19"/>
  <c r="S1026" i="19"/>
  <c r="S1099" i="19"/>
  <c r="S682" i="19"/>
  <c r="S851" i="19"/>
  <c r="S1201" i="19"/>
  <c r="S503" i="19"/>
  <c r="S1172" i="19"/>
  <c r="S1082" i="19"/>
  <c r="S929" i="19"/>
  <c r="S1070" i="19"/>
  <c r="S1177" i="19"/>
  <c r="S1061" i="19"/>
  <c r="S876" i="19"/>
  <c r="S943" i="19"/>
  <c r="S992" i="19"/>
  <c r="S806" i="19"/>
  <c r="S808" i="19"/>
  <c r="S979" i="19"/>
  <c r="S854" i="19"/>
  <c r="S1023" i="19"/>
  <c r="S1093" i="19"/>
  <c r="S1206" i="19"/>
  <c r="S870" i="19"/>
  <c r="S978" i="19"/>
  <c r="S511" i="19"/>
  <c r="S556" i="19"/>
  <c r="S1015" i="19"/>
  <c r="S844" i="19"/>
  <c r="S459" i="19"/>
  <c r="S1141" i="19"/>
  <c r="S1148" i="19"/>
  <c r="S1044" i="19"/>
  <c r="S1089" i="19"/>
  <c r="S1071" i="19"/>
  <c r="S824" i="19"/>
  <c r="S566" i="19"/>
  <c r="S790" i="19"/>
  <c r="S814" i="19"/>
  <c r="S748" i="19"/>
  <c r="S754" i="19"/>
  <c r="S794" i="19"/>
  <c r="S617" i="19"/>
  <c r="S500" i="19"/>
  <c r="S532" i="19"/>
  <c r="S470" i="19"/>
  <c r="S473" i="19"/>
  <c r="S388" i="19"/>
  <c r="S1005" i="19"/>
  <c r="S1203" i="19"/>
  <c r="S811" i="19"/>
  <c r="S959" i="19"/>
  <c r="S526" i="19"/>
  <c r="S575" i="19"/>
  <c r="S789" i="19"/>
  <c r="S952" i="19"/>
  <c r="S1002" i="19"/>
  <c r="S934" i="19"/>
  <c r="S900" i="19"/>
  <c r="S1057" i="19"/>
  <c r="S770" i="19"/>
  <c r="S993" i="19"/>
  <c r="S1187" i="19"/>
  <c r="S1007" i="19"/>
  <c r="S1174" i="19"/>
  <c r="S912" i="19"/>
  <c r="S1033" i="19"/>
  <c r="S868" i="19"/>
  <c r="S666" i="19"/>
  <c r="S1045" i="19"/>
  <c r="S1025" i="19"/>
  <c r="S774" i="19"/>
  <c r="S787" i="19"/>
  <c r="S738" i="19"/>
  <c r="S610" i="19"/>
  <c r="S788" i="19"/>
  <c r="S624" i="19"/>
  <c r="S539" i="19"/>
  <c r="S465" i="19"/>
  <c r="S685" i="19"/>
  <c r="S797" i="19"/>
  <c r="S584" i="19"/>
  <c r="S400" i="19"/>
  <c r="S386" i="19"/>
  <c r="S958" i="19"/>
  <c r="S1240" i="19"/>
  <c r="S1191" i="19"/>
  <c r="S781" i="19"/>
  <c r="S826" i="19"/>
  <c r="S706" i="19"/>
  <c r="S571" i="19"/>
  <c r="S550" i="19"/>
  <c r="S391" i="19"/>
  <c r="S392" i="19"/>
  <c r="S404" i="19"/>
  <c r="S902" i="19"/>
  <c r="S874" i="19"/>
  <c r="S735" i="19"/>
  <c r="S736" i="19"/>
  <c r="S419" i="19"/>
  <c r="S454" i="19"/>
  <c r="S389" i="19"/>
  <c r="S906" i="19"/>
  <c r="S877" i="19"/>
  <c r="S449" i="19"/>
  <c r="S489" i="19"/>
  <c r="S990" i="19"/>
  <c r="S660" i="19"/>
  <c r="S668" i="19"/>
  <c r="S535" i="19"/>
  <c r="S438" i="19"/>
  <c r="S1186" i="19"/>
  <c r="S679" i="19"/>
  <c r="S864" i="19"/>
  <c r="S569" i="19"/>
  <c r="S635" i="19"/>
  <c r="S522" i="19"/>
  <c r="S545" i="19"/>
  <c r="S444" i="19"/>
  <c r="S376" i="19"/>
  <c r="S1046" i="19"/>
  <c r="S785" i="19"/>
  <c r="S719" i="19"/>
  <c r="S588" i="19"/>
  <c r="S450" i="19"/>
  <c r="S520" i="19"/>
  <c r="S1108" i="19"/>
  <c r="S697" i="19"/>
  <c r="S925" i="19"/>
  <c r="S1063" i="19"/>
  <c r="S696" i="19"/>
  <c r="S561" i="19"/>
  <c r="S505" i="19"/>
  <c r="S895" i="19"/>
  <c r="S888" i="19"/>
  <c r="S541" i="19"/>
  <c r="S467" i="19"/>
  <c r="S421" i="19"/>
  <c r="S873" i="19"/>
  <c r="S1052" i="19"/>
  <c r="S970" i="19"/>
  <c r="S519" i="19"/>
  <c r="S396" i="19"/>
  <c r="S425" i="19"/>
  <c r="S564" i="19"/>
  <c r="S375" i="19"/>
  <c r="S848" i="19"/>
  <c r="S1149" i="19"/>
  <c r="S1114" i="19"/>
  <c r="S999" i="19"/>
  <c r="S646" i="19"/>
  <c r="S728" i="19"/>
  <c r="S767" i="19"/>
  <c r="S1217" i="19"/>
  <c r="S407" i="19"/>
  <c r="S708" i="19"/>
  <c r="S1237" i="19"/>
  <c r="S581" i="19"/>
  <c r="S513" i="19"/>
  <c r="S411" i="19"/>
  <c r="S634" i="19"/>
  <c r="S940" i="19"/>
  <c r="S982" i="19"/>
  <c r="S1169" i="19"/>
  <c r="S1122" i="19"/>
  <c r="S582" i="19"/>
  <c r="S640" i="19"/>
  <c r="S837" i="19"/>
  <c r="S1126" i="19"/>
  <c r="S551" i="19"/>
  <c r="S742" i="19"/>
  <c r="S821" i="19"/>
  <c r="S648" i="19"/>
  <c r="S626" i="19"/>
  <c r="S986" i="19"/>
  <c r="S629" i="19"/>
  <c r="S1176" i="19"/>
  <c r="S399" i="19"/>
  <c r="S443" i="19"/>
  <c r="S574" i="19"/>
  <c r="S1236" i="19"/>
  <c r="S775" i="19"/>
  <c r="S893" i="19"/>
  <c r="S887" i="19"/>
  <c r="S583" i="19"/>
  <c r="S1225" i="19"/>
  <c r="S991" i="19"/>
  <c r="S917" i="19"/>
  <c r="S408" i="19"/>
  <c r="S816" i="19"/>
  <c r="S953" i="19"/>
  <c r="S1179" i="19"/>
  <c r="S926" i="19"/>
  <c r="S378" i="19"/>
  <c r="S730" i="19"/>
  <c r="S919" i="19"/>
  <c r="S1103" i="19"/>
  <c r="S447" i="19"/>
  <c r="S1062" i="19"/>
  <c r="S542" i="19"/>
  <c r="S631" i="19"/>
  <c r="S422" i="19"/>
  <c r="S390" i="19"/>
  <c r="S801" i="19"/>
  <c r="S592" i="19"/>
  <c r="S572" i="19"/>
  <c r="S872" i="19"/>
  <c r="S374" i="19"/>
  <c r="S1196" i="19"/>
  <c r="S1068" i="19"/>
  <c r="S955" i="19"/>
  <c r="S1059" i="19"/>
  <c r="S835" i="19"/>
  <c r="S1185" i="19"/>
  <c r="S468" i="19"/>
  <c r="S576" i="19"/>
  <c r="S662" i="19"/>
  <c r="S969" i="19"/>
  <c r="S616" i="19"/>
  <c r="S642" i="19"/>
  <c r="S632" i="19"/>
  <c r="S398" i="19"/>
  <c r="S601" i="19"/>
  <c r="S975" i="19"/>
  <c r="S878" i="19"/>
  <c r="S965" i="19"/>
  <c r="S944" i="19"/>
  <c r="S516" i="19"/>
  <c r="S1048" i="19"/>
  <c r="S747" i="19"/>
  <c r="S831" i="19"/>
  <c r="S918" i="19"/>
  <c r="S474" i="19"/>
  <c r="S795" i="19"/>
  <c r="S961" i="19"/>
  <c r="S524" i="19"/>
  <c r="S485" i="19"/>
  <c r="S1129" i="19"/>
  <c r="S896" i="19"/>
  <c r="S1006" i="19"/>
  <c r="S401" i="19"/>
  <c r="S491" i="19"/>
  <c r="S712" i="19"/>
  <c r="S786" i="19"/>
  <c r="S622" i="19"/>
  <c r="S765" i="19"/>
  <c r="S751" i="19"/>
  <c r="S1133" i="19"/>
  <c r="S1243" i="19"/>
  <c r="S703" i="19"/>
  <c r="S1121" i="19"/>
  <c r="S570" i="19"/>
  <c r="S1120" i="19"/>
  <c r="S1137" i="19"/>
  <c r="S1147" i="19"/>
  <c r="S486" i="19"/>
  <c r="S598" i="19"/>
  <c r="S385" i="19"/>
  <c r="S380" i="19"/>
  <c r="S700" i="19"/>
  <c r="S579" i="19"/>
  <c r="S665" i="19"/>
  <c r="S1097" i="19"/>
  <c r="S1171" i="19"/>
  <c r="S721" i="19"/>
  <c r="S966" i="19"/>
  <c r="S672" i="19"/>
  <c r="S673" i="19"/>
  <c r="S649" i="19"/>
  <c r="S1113" i="19"/>
  <c r="S1151" i="19"/>
  <c r="S855" i="19"/>
  <c r="S819" i="19"/>
  <c r="S1160" i="19"/>
  <c r="S1213" i="19"/>
  <c r="S1094" i="19"/>
  <c r="S779" i="19"/>
  <c r="S595" i="19"/>
  <c r="S1170" i="19"/>
  <c r="S630" i="19"/>
  <c r="S773" i="19"/>
  <c r="S734" i="19"/>
  <c r="S971" i="19"/>
  <c r="S558" i="19"/>
  <c r="S714" i="19"/>
  <c r="S418" i="19"/>
  <c r="S655" i="19"/>
  <c r="S1064" i="19"/>
  <c r="S536" i="19"/>
  <c r="S909" i="19"/>
  <c r="S1132" i="19"/>
  <c r="S1153" i="19"/>
  <c r="S638" i="19"/>
  <c r="S618" i="19"/>
  <c r="S514" i="19"/>
  <c r="S901" i="19"/>
  <c r="S1058" i="19"/>
  <c r="S562" i="19"/>
  <c r="S537" i="19"/>
  <c r="S764" i="19"/>
  <c r="S654" i="19"/>
  <c r="S563" i="19"/>
  <c r="S1214" i="19"/>
  <c r="S920" i="19"/>
  <c r="S763" i="19"/>
  <c r="S856" i="19"/>
  <c r="S881" i="19"/>
  <c r="S504" i="19"/>
  <c r="S637" i="19"/>
  <c r="S684" i="19"/>
  <c r="S567" i="19"/>
  <c r="S1181" i="19"/>
  <c r="S815" i="19"/>
  <c r="S1159" i="19"/>
  <c r="S1130" i="19"/>
  <c r="S783" i="19"/>
  <c r="S1085" i="19"/>
  <c r="S1212" i="19"/>
  <c r="S439" i="19"/>
  <c r="S822" i="19"/>
  <c r="S752" i="19"/>
  <c r="S540" i="19"/>
  <c r="S433" i="19"/>
  <c r="S812" i="19"/>
  <c r="S1032" i="19"/>
  <c r="S1009" i="19"/>
  <c r="S525" i="19"/>
  <c r="S834" i="19"/>
  <c r="S1216" i="19"/>
  <c r="S1239" i="19"/>
  <c r="S643" i="19"/>
  <c r="S724" i="19"/>
  <c r="S963" i="19"/>
  <c r="S1227" i="19"/>
  <c r="S387" i="19"/>
  <c r="S803" i="19"/>
  <c r="S726" i="19"/>
  <c r="S810" i="19"/>
  <c r="S772" i="19"/>
  <c r="S521" i="19"/>
  <c r="S559" i="19"/>
  <c r="S656" i="19"/>
  <c r="S972" i="19"/>
  <c r="S924" i="19"/>
  <c r="S1140" i="19"/>
  <c r="S743" i="19"/>
  <c r="S829" i="19"/>
  <c r="S976" i="19"/>
  <c r="S908" i="19"/>
  <c r="S709" i="19"/>
  <c r="S625" i="19"/>
  <c r="S434" i="19"/>
  <c r="S853" i="19"/>
  <c r="S1010" i="19"/>
  <c r="S1073" i="19"/>
  <c r="S1074" i="19"/>
  <c r="S501" i="19"/>
  <c r="S1207" i="19"/>
  <c r="S383" i="19"/>
  <c r="S1104" i="19"/>
  <c r="S603" i="19"/>
  <c r="S600" i="19"/>
  <c r="S680" i="19"/>
  <c r="S903" i="19"/>
  <c r="S1036" i="19"/>
  <c r="S778" i="19"/>
  <c r="S1060" i="19"/>
  <c r="S597" i="19"/>
  <c r="S702" i="19"/>
  <c r="S1224" i="19"/>
  <c r="S415" i="19"/>
  <c r="S891" i="19"/>
  <c r="S1000" i="19"/>
  <c r="S1084" i="19"/>
  <c r="S416" i="19"/>
  <c r="S483" i="19"/>
  <c r="S678" i="19"/>
  <c r="S1020" i="19"/>
  <c r="S707" i="19"/>
  <c r="S544" i="19"/>
  <c r="S1199" i="19"/>
  <c r="S838" i="19"/>
  <c r="S606" i="19"/>
  <c r="S565" i="19"/>
  <c r="S394" i="19"/>
  <c r="S429" i="19"/>
  <c r="S507" i="19"/>
  <c r="S613" i="19"/>
  <c r="S845" i="19"/>
  <c r="S440" i="19"/>
  <c r="S798" i="19"/>
  <c r="S865" i="19"/>
  <c r="S609" i="19"/>
  <c r="S989" i="19"/>
  <c r="S403" i="19"/>
  <c r="S615" i="19"/>
  <c r="S586" i="19"/>
  <c r="S762" i="19"/>
  <c r="S928" i="19"/>
  <c r="S534" i="19"/>
  <c r="S395" i="19"/>
  <c r="S1189" i="19"/>
  <c r="S1030" i="19"/>
  <c r="S802" i="19"/>
  <c r="S1188" i="19"/>
  <c r="S488" i="19"/>
  <c r="S1087" i="19"/>
  <c r="S880" i="19"/>
  <c r="S937" i="19"/>
  <c r="S661" i="19"/>
  <c r="S796" i="19"/>
  <c r="S686" i="19"/>
  <c r="S1124" i="19"/>
  <c r="S477" i="19"/>
  <c r="S543" i="19"/>
  <c r="S427" i="19"/>
  <c r="S1215" i="19"/>
  <c r="S1107" i="19"/>
  <c r="S956" i="19"/>
  <c r="S964" i="19"/>
  <c r="S916" i="19"/>
  <c r="S506" i="19"/>
  <c r="S480" i="19"/>
  <c r="S456" i="19"/>
  <c r="S1173" i="19"/>
  <c r="S930" i="19"/>
  <c r="S904" i="19"/>
  <c r="S568" i="19"/>
  <c r="S426" i="19"/>
  <c r="S676" i="19"/>
  <c r="S1234" i="19"/>
  <c r="S1116" i="19"/>
  <c r="S898" i="19"/>
  <c r="S1049" i="19"/>
  <c r="S482" i="19"/>
  <c r="S998" i="19"/>
  <c r="S988" i="19"/>
  <c r="S612" i="19"/>
  <c r="S927" i="19"/>
  <c r="S973" i="19"/>
  <c r="S471" i="19"/>
  <c r="S1016" i="19"/>
  <c r="S1128" i="19"/>
  <c r="S1123" i="19"/>
  <c r="S725" i="19"/>
  <c r="S1144" i="19"/>
  <c r="S766" i="19"/>
  <c r="S20" i="19"/>
  <c r="S168" i="19"/>
  <c r="S95" i="19"/>
  <c r="S318" i="19"/>
  <c r="S32" i="19"/>
  <c r="S331" i="19"/>
  <c r="S174" i="19"/>
  <c r="S117" i="19"/>
  <c r="S124" i="19"/>
  <c r="S373" i="19"/>
  <c r="S143" i="19"/>
  <c r="S170" i="19"/>
  <c r="S9" i="19"/>
  <c r="S135" i="19"/>
  <c r="S312" i="19"/>
  <c r="S48" i="19"/>
  <c r="S68" i="19"/>
  <c r="S153" i="19"/>
  <c r="S26" i="19"/>
  <c r="S50" i="19"/>
  <c r="S182" i="19"/>
  <c r="S359" i="19"/>
  <c r="S254" i="19"/>
  <c r="S24" i="19"/>
  <c r="S350" i="19"/>
  <c r="S330" i="19"/>
  <c r="S323" i="19"/>
  <c r="S43" i="19"/>
  <c r="S119" i="19"/>
  <c r="S126" i="19"/>
  <c r="S75" i="19"/>
  <c r="S158" i="19"/>
  <c r="S27" i="19"/>
  <c r="S13" i="19"/>
  <c r="S305" i="19"/>
  <c r="S219" i="19"/>
  <c r="S371" i="19"/>
  <c r="S225" i="19"/>
  <c r="S287" i="19"/>
  <c r="S244" i="19"/>
  <c r="S280" i="19"/>
  <c r="S208" i="19"/>
  <c r="S205" i="19"/>
  <c r="S198" i="19"/>
  <c r="S214" i="19"/>
  <c r="S340" i="19"/>
  <c r="S335" i="19"/>
  <c r="S146" i="19"/>
  <c r="S339" i="19"/>
  <c r="S268" i="19"/>
  <c r="S344" i="19"/>
  <c r="S216" i="19"/>
  <c r="S106" i="19"/>
  <c r="S85" i="19"/>
  <c r="S186" i="19"/>
  <c r="S315" i="19"/>
  <c r="S258" i="19"/>
  <c r="S2" i="19"/>
  <c r="S30" i="19"/>
  <c r="S274" i="19"/>
  <c r="S102" i="19"/>
  <c r="S37" i="19"/>
  <c r="S137" i="19"/>
  <c r="S90" i="19"/>
  <c r="S39" i="19"/>
  <c r="S73" i="19"/>
  <c r="S91" i="19"/>
  <c r="S156" i="19"/>
  <c r="S363" i="19"/>
  <c r="S302" i="19"/>
  <c r="S185" i="19"/>
  <c r="S288" i="19"/>
  <c r="S365" i="19"/>
  <c r="S358" i="19"/>
  <c r="S321" i="19"/>
  <c r="S354" i="19"/>
  <c r="S336" i="19"/>
  <c r="S178" i="19"/>
  <c r="S215" i="19"/>
  <c r="S285" i="19"/>
  <c r="S194" i="19"/>
  <c r="S210" i="19"/>
  <c r="S286" i="19"/>
  <c r="S262" i="19"/>
  <c r="S28" i="19"/>
  <c r="S55" i="19"/>
  <c r="S240" i="19"/>
  <c r="S320" i="19"/>
  <c r="S297" i="19"/>
  <c r="S88" i="19"/>
  <c r="S243" i="19"/>
  <c r="S217" i="19"/>
  <c r="S122" i="19"/>
  <c r="S49" i="19"/>
  <c r="S181" i="19"/>
  <c r="S204" i="19"/>
  <c r="S222" i="19"/>
  <c r="S172" i="19"/>
  <c r="S127" i="19"/>
  <c r="S41" i="19"/>
  <c r="S98" i="19"/>
  <c r="S108" i="19"/>
  <c r="S72" i="19"/>
  <c r="S70" i="19"/>
  <c r="S165" i="19"/>
  <c r="S319" i="19"/>
  <c r="S241" i="19"/>
  <c r="S342" i="19"/>
  <c r="S333" i="19"/>
  <c r="S300" i="19"/>
  <c r="S298" i="19"/>
  <c r="S235" i="19"/>
  <c r="S259" i="19"/>
  <c r="S283" i="19"/>
  <c r="S303" i="19"/>
  <c r="S227" i="19"/>
  <c r="S290" i="19"/>
  <c r="S200" i="19"/>
  <c r="S253" i="19"/>
  <c r="S190" i="19"/>
  <c r="S278" i="19"/>
  <c r="S206" i="19"/>
  <c r="S257" i="19"/>
  <c r="S221" i="19"/>
  <c r="S184" i="19"/>
  <c r="S368" i="19"/>
  <c r="S338" i="19"/>
  <c r="S265" i="19"/>
  <c r="S281" i="19"/>
  <c r="S141" i="19"/>
  <c r="S123" i="19"/>
  <c r="S327" i="19"/>
  <c r="S263" i="19"/>
  <c r="S361" i="19"/>
  <c r="S273" i="19"/>
  <c r="S199" i="19"/>
  <c r="S115" i="19"/>
  <c r="S157" i="19"/>
  <c r="S114" i="19"/>
  <c r="S328" i="19"/>
  <c r="S260" i="19"/>
  <c r="S201" i="19"/>
  <c r="S301" i="19"/>
  <c r="S249" i="19"/>
  <c r="S125" i="19"/>
  <c r="S369" i="19"/>
  <c r="S294" i="19"/>
  <c r="S357" i="19"/>
  <c r="S197" i="19"/>
  <c r="S220" i="19"/>
  <c r="S289" i="19"/>
  <c r="S177" i="19"/>
  <c r="S6" i="19"/>
  <c r="S142" i="19"/>
  <c r="S175" i="19"/>
  <c r="S82" i="19"/>
  <c r="S79" i="19"/>
  <c r="S132" i="19"/>
  <c r="S162" i="19"/>
  <c r="S83" i="19"/>
  <c r="S36" i="19"/>
  <c r="S34" i="19"/>
  <c r="S104" i="19"/>
  <c r="S176" i="19"/>
  <c r="S282" i="19"/>
  <c r="S367" i="19"/>
  <c r="S247" i="19"/>
  <c r="S292" i="19"/>
  <c r="S291" i="19"/>
  <c r="S307" i="19"/>
  <c r="S229" i="19"/>
  <c r="S196" i="19"/>
  <c r="S192" i="19"/>
  <c r="S245" i="19"/>
  <c r="S269" i="19"/>
  <c r="S233" i="19"/>
  <c r="S295" i="19"/>
  <c r="S195" i="19"/>
  <c r="S218" i="19"/>
  <c r="S113" i="19"/>
  <c r="S118" i="19"/>
  <c r="S267" i="19"/>
  <c r="S226" i="19"/>
  <c r="S53" i="19"/>
  <c r="S284" i="19"/>
  <c r="S317" i="19"/>
  <c r="S271" i="19"/>
  <c r="S101" i="19"/>
  <c r="S71" i="19"/>
  <c r="S264" i="19"/>
  <c r="S239" i="19"/>
  <c r="S105" i="19"/>
  <c r="S173" i="19"/>
  <c r="S164" i="19"/>
  <c r="S25" i="19"/>
  <c r="S22" i="19"/>
  <c r="S94" i="19"/>
  <c r="S78" i="19"/>
  <c r="S144" i="19"/>
  <c r="S52" i="19"/>
  <c r="S131" i="19"/>
  <c r="S306" i="19"/>
  <c r="S334" i="19"/>
  <c r="S266" i="19"/>
  <c r="S189" i="19"/>
  <c r="S351" i="19"/>
  <c r="S279" i="19"/>
  <c r="S304" i="19"/>
  <c r="S223" i="19"/>
  <c r="S349" i="19"/>
  <c r="S370" i="19"/>
  <c r="S212" i="19"/>
  <c r="S224" i="19"/>
  <c r="S213" i="19"/>
  <c r="S203" i="19"/>
  <c r="S360" i="19"/>
  <c r="S187" i="19"/>
  <c r="S193" i="19"/>
  <c r="S275" i="19"/>
  <c r="S324" i="19"/>
  <c r="S46" i="19"/>
  <c r="S345" i="19"/>
  <c r="S251" i="19"/>
  <c r="S261" i="19"/>
  <c r="S256" i="19"/>
  <c r="S191" i="19"/>
  <c r="S33" i="19"/>
  <c r="S63" i="19"/>
  <c r="S180" i="19"/>
  <c r="S322" i="19"/>
  <c r="S230" i="19"/>
  <c r="S202" i="19"/>
  <c r="S77" i="19"/>
  <c r="S134" i="19"/>
  <c r="S99" i="19"/>
  <c r="S47" i="19"/>
  <c r="S133" i="19"/>
  <c r="S163" i="19"/>
  <c r="S151" i="19"/>
  <c r="S326" i="19"/>
  <c r="S296" i="19"/>
  <c r="S237" i="19"/>
  <c r="S314" i="19"/>
  <c r="S228" i="19"/>
  <c r="S255" i="19"/>
  <c r="S341" i="19"/>
  <c r="S347" i="19"/>
  <c r="S236" i="19"/>
  <c r="S276" i="19"/>
  <c r="S211" i="19"/>
  <c r="S272" i="19"/>
  <c r="S356" i="19"/>
  <c r="S130" i="19"/>
  <c r="S97" i="19"/>
  <c r="S129" i="19"/>
  <c r="S252" i="19"/>
  <c r="S207" i="19"/>
  <c r="S337" i="19"/>
  <c r="S248" i="19"/>
  <c r="S238" i="19"/>
  <c r="S325" i="19"/>
  <c r="S234" i="19"/>
  <c r="S250" i="19"/>
  <c r="S188" i="19"/>
  <c r="S364" i="19"/>
  <c r="S309" i="19"/>
  <c r="S231" i="19"/>
  <c r="S270" i="19"/>
  <c r="S209" i="19"/>
  <c r="S372" i="19"/>
  <c r="S179" i="19"/>
  <c r="S332" i="19"/>
  <c r="S14" i="19"/>
  <c r="S128" i="19"/>
  <c r="S103" i="19"/>
  <c r="S84" i="19"/>
  <c r="S155" i="19"/>
  <c r="S86" i="19"/>
  <c r="S159" i="19"/>
  <c r="S140" i="19"/>
  <c r="S62" i="19"/>
  <c r="S93" i="19"/>
  <c r="S242" i="19"/>
  <c r="S308" i="19"/>
  <c r="S329" i="19"/>
  <c r="S346" i="19"/>
  <c r="S353" i="19"/>
  <c r="S232" i="19"/>
  <c r="S355" i="19"/>
  <c r="S366" i="19"/>
  <c r="S313" i="19"/>
  <c r="S246" i="19"/>
  <c r="S299" i="19"/>
  <c r="S362" i="19"/>
  <c r="S343" i="19"/>
  <c r="S311" i="19"/>
  <c r="S316" i="19"/>
  <c r="S183" i="19"/>
  <c r="S352" i="19"/>
  <c r="S277" i="19"/>
  <c r="S348" i="19"/>
  <c r="S310" i="19"/>
  <c r="S293" i="19"/>
  <c r="S23" i="19"/>
  <c r="S160" i="19"/>
  <c r="S100" i="19"/>
  <c r="S147" i="19"/>
  <c r="S80" i="19"/>
  <c r="S109" i="19"/>
  <c r="S74" i="19"/>
  <c r="S56" i="19"/>
  <c r="S16" i="19"/>
  <c r="S18" i="19"/>
  <c r="S65" i="19"/>
  <c r="S44" i="19"/>
  <c r="S57" i="19"/>
  <c r="S121" i="19"/>
  <c r="S59" i="19"/>
  <c r="S51" i="19"/>
  <c r="S5" i="19"/>
  <c r="S107" i="19"/>
  <c r="S149" i="19"/>
  <c r="S10" i="19"/>
  <c r="S69" i="19"/>
  <c r="S60" i="19"/>
  <c r="S171" i="19"/>
  <c r="S40" i="19"/>
  <c r="S29" i="19"/>
  <c r="S67" i="19"/>
  <c r="S96" i="19"/>
  <c r="S92" i="19"/>
  <c r="S19" i="19"/>
  <c r="S61" i="19"/>
  <c r="S150" i="19"/>
  <c r="S76" i="19"/>
  <c r="S152" i="19"/>
  <c r="S145" i="19"/>
  <c r="S17" i="19"/>
  <c r="S11" i="19"/>
  <c r="S3" i="19"/>
  <c r="S110" i="19"/>
  <c r="S154" i="19"/>
  <c r="S139" i="19"/>
  <c r="S89" i="19"/>
  <c r="S58" i="19"/>
  <c r="S15" i="19"/>
  <c r="S12" i="19"/>
  <c r="S112" i="19"/>
  <c r="S4" i="19"/>
  <c r="S148" i="19"/>
  <c r="S81" i="19"/>
  <c r="S138" i="19"/>
  <c r="S54" i="19"/>
  <c r="S42" i="19"/>
  <c r="S87" i="19"/>
  <c r="S166" i="19"/>
  <c r="S161" i="19"/>
  <c r="S7" i="19"/>
  <c r="S120" i="19"/>
  <c r="S111" i="19"/>
  <c r="S45" i="19"/>
  <c r="S64" i="19"/>
  <c r="S21" i="19"/>
  <c r="S38" i="19"/>
  <c r="S169" i="19"/>
  <c r="S116" i="19"/>
  <c r="S35" i="19"/>
  <c r="S167" i="19"/>
  <c r="S66" i="19"/>
  <c r="S136" i="19"/>
  <c r="S31" i="19"/>
  <c r="S8" i="19"/>
  <c r="B22" i="23"/>
  <c r="D22" i="23" s="1"/>
  <c r="E22" i="23"/>
  <c r="T381" i="19" l="1"/>
  <c r="U381" i="19" s="1"/>
  <c r="T412" i="19"/>
  <c r="U412" i="19" s="1"/>
  <c r="T417" i="19"/>
  <c r="U417" i="19" s="1"/>
  <c r="T441" i="19"/>
  <c r="U441" i="19" s="1"/>
  <c r="T476" i="19"/>
  <c r="U476" i="19" s="1"/>
  <c r="T623" i="19"/>
  <c r="U623" i="19" s="1"/>
  <c r="T688" i="19"/>
  <c r="U688" i="19" s="1"/>
  <c r="T817" i="19"/>
  <c r="U817" i="19" s="1"/>
  <c r="T828" i="19"/>
  <c r="U828" i="19" s="1"/>
  <c r="T1017" i="19"/>
  <c r="U1017" i="19" s="1"/>
  <c r="T1023" i="19"/>
  <c r="U1023" i="19" s="1"/>
  <c r="T1105" i="19"/>
  <c r="U1105" i="19" s="1"/>
  <c r="T1161" i="19"/>
  <c r="U1161" i="19" s="1"/>
  <c r="T442" i="19"/>
  <c r="U442" i="19" s="1"/>
  <c r="T446" i="19"/>
  <c r="U446" i="19" s="1"/>
  <c r="T459" i="19"/>
  <c r="U459" i="19" s="1"/>
  <c r="T484" i="19"/>
  <c r="U484" i="19" s="1"/>
  <c r="T523" i="19"/>
  <c r="U523" i="19" s="1"/>
  <c r="T555" i="19"/>
  <c r="U555" i="19" s="1"/>
  <c r="T651" i="19"/>
  <c r="U651" i="19" s="1"/>
  <c r="T692" i="19"/>
  <c r="U692" i="19" s="1"/>
  <c r="T717" i="19"/>
  <c r="U717" i="19" s="1"/>
  <c r="T750" i="19"/>
  <c r="U750" i="19" s="1"/>
  <c r="T755" i="19"/>
  <c r="U755" i="19" s="1"/>
  <c r="T793" i="19"/>
  <c r="U793" i="19" s="1"/>
  <c r="T841" i="19"/>
  <c r="U841" i="19" s="1"/>
  <c r="T894" i="19"/>
  <c r="U894" i="19" s="1"/>
  <c r="T899" i="19"/>
  <c r="U899" i="19" s="1"/>
  <c r="T949" i="19"/>
  <c r="U949" i="19" s="1"/>
  <c r="T1038" i="19"/>
  <c r="U1038" i="19" s="1"/>
  <c r="T1066" i="19"/>
  <c r="U1066" i="19" s="1"/>
  <c r="T1078" i="19"/>
  <c r="U1078" i="19" s="1"/>
  <c r="T1080" i="19"/>
  <c r="U1080" i="19" s="1"/>
  <c r="T1096" i="19"/>
  <c r="U1096" i="19" s="1"/>
  <c r="T1119" i="19"/>
  <c r="U1119" i="19" s="1"/>
  <c r="T1134" i="19"/>
  <c r="U1134" i="19" s="1"/>
  <c r="T1155" i="19"/>
  <c r="U1155" i="19" s="1"/>
  <c r="T420" i="19"/>
  <c r="U420" i="19" s="1"/>
  <c r="T463" i="19"/>
  <c r="U463" i="19" s="1"/>
  <c r="T493" i="19"/>
  <c r="U493" i="19" s="1"/>
  <c r="T503" i="19"/>
  <c r="U503" i="19" s="1"/>
  <c r="T509" i="19"/>
  <c r="U509" i="19" s="1"/>
  <c r="T529" i="19"/>
  <c r="U529" i="19" s="1"/>
  <c r="T531" i="19"/>
  <c r="U531" i="19" s="1"/>
  <c r="T645" i="19"/>
  <c r="U645" i="19" s="1"/>
  <c r="T657" i="19"/>
  <c r="U657" i="19" s="1"/>
  <c r="T670" i="19"/>
  <c r="U670" i="19" s="1"/>
  <c r="T727" i="19"/>
  <c r="U727" i="19" s="1"/>
  <c r="T777" i="19"/>
  <c r="U777" i="19" s="1"/>
  <c r="T844" i="19"/>
  <c r="U844" i="19" s="1"/>
  <c r="T947" i="19"/>
  <c r="U947" i="19" s="1"/>
  <c r="T1011" i="19"/>
  <c r="U1011" i="19" s="1"/>
  <c r="T1021" i="19"/>
  <c r="U1021" i="19" s="1"/>
  <c r="T1050" i="19"/>
  <c r="U1050" i="19" s="1"/>
  <c r="T1056" i="19"/>
  <c r="U1056" i="19" s="1"/>
  <c r="T1093" i="19"/>
  <c r="U1093" i="19" s="1"/>
  <c r="T1115" i="19"/>
  <c r="U1115" i="19" s="1"/>
  <c r="T1191" i="19"/>
  <c r="U1191" i="19" s="1"/>
  <c r="T393" i="19"/>
  <c r="U393" i="19" s="1"/>
  <c r="T414" i="19"/>
  <c r="U414" i="19" s="1"/>
  <c r="T466" i="19"/>
  <c r="U466" i="19" s="1"/>
  <c r="T469" i="19"/>
  <c r="U469" i="19" s="1"/>
  <c r="T481" i="19"/>
  <c r="U481" i="19" s="1"/>
  <c r="T490" i="19"/>
  <c r="U490" i="19" s="1"/>
  <c r="T496" i="19"/>
  <c r="U496" i="19" s="1"/>
  <c r="T499" i="19"/>
  <c r="U499" i="19" s="1"/>
  <c r="T547" i="19"/>
  <c r="U547" i="19" s="1"/>
  <c r="T591" i="19"/>
  <c r="U591" i="19" s="1"/>
  <c r="T605" i="19"/>
  <c r="U605" i="19" s="1"/>
  <c r="T611" i="19"/>
  <c r="U611" i="19" s="1"/>
  <c r="T682" i="19"/>
  <c r="U682" i="19" s="1"/>
  <c r="T758" i="19"/>
  <c r="U758" i="19" s="1"/>
  <c r="T770" i="19"/>
  <c r="U770" i="19" s="1"/>
  <c r="T813" i="19"/>
  <c r="U813" i="19" s="1"/>
  <c r="T842" i="19"/>
  <c r="U842" i="19" s="1"/>
  <c r="T984" i="19"/>
  <c r="U984" i="19" s="1"/>
  <c r="T1014" i="19"/>
  <c r="U1014" i="19" s="1"/>
  <c r="T1054" i="19"/>
  <c r="U1054" i="19" s="1"/>
  <c r="T1182" i="19"/>
  <c r="U1182" i="19" s="1"/>
  <c r="T424" i="19"/>
  <c r="U424" i="19" s="1"/>
  <c r="T452" i="19"/>
  <c r="U452" i="19" s="1"/>
  <c r="T455" i="19"/>
  <c r="U455" i="19" s="1"/>
  <c r="T461" i="19"/>
  <c r="U461" i="19" s="1"/>
  <c r="T472" i="19"/>
  <c r="U472" i="19" s="1"/>
  <c r="T475" i="19"/>
  <c r="U475" i="19" s="1"/>
  <c r="T552" i="19"/>
  <c r="U552" i="19" s="1"/>
  <c r="T556" i="19"/>
  <c r="U556" i="19" s="1"/>
  <c r="T578" i="19"/>
  <c r="U578" i="19" s="1"/>
  <c r="T739" i="19"/>
  <c r="U739" i="19" s="1"/>
  <c r="T895" i="19"/>
  <c r="U895" i="19" s="1"/>
  <c r="T954" i="19"/>
  <c r="U954" i="19" s="1"/>
  <c r="T1018" i="19"/>
  <c r="U1018" i="19" s="1"/>
  <c r="T1069" i="19"/>
  <c r="U1069" i="19" s="1"/>
  <c r="T1076" i="19"/>
  <c r="U1076" i="19" s="1"/>
  <c r="T1091" i="19"/>
  <c r="U1091" i="19" s="1"/>
  <c r="T382" i="19"/>
  <c r="U382" i="19" s="1"/>
  <c r="T436" i="19"/>
  <c r="U436" i="19" s="1"/>
  <c r="T518" i="19"/>
  <c r="U518" i="19" s="1"/>
  <c r="T526" i="19"/>
  <c r="U526" i="19" s="1"/>
  <c r="T553" i="19"/>
  <c r="U553" i="19" s="1"/>
  <c r="T596" i="19"/>
  <c r="U596" i="19" s="1"/>
  <c r="T677" i="19"/>
  <c r="U677" i="19" s="1"/>
  <c r="T711" i="19"/>
  <c r="U711" i="19" s="1"/>
  <c r="T807" i="19"/>
  <c r="U807" i="19" s="1"/>
  <c r="T857" i="19"/>
  <c r="U857" i="19" s="1"/>
  <c r="T892" i="19"/>
  <c r="U892" i="19" s="1"/>
  <c r="T402" i="19"/>
  <c r="U402" i="19" s="1"/>
  <c r="T437" i="19"/>
  <c r="U437" i="19" s="1"/>
  <c r="T505" i="19"/>
  <c r="U505" i="19" s="1"/>
  <c r="T602" i="19"/>
  <c r="U602" i="19" s="1"/>
  <c r="T647" i="19"/>
  <c r="U647" i="19" s="1"/>
  <c r="T658" i="19"/>
  <c r="U658" i="19" s="1"/>
  <c r="T693" i="19"/>
  <c r="U693" i="19" s="1"/>
  <c r="T713" i="19"/>
  <c r="U713" i="19" s="1"/>
  <c r="T832" i="19"/>
  <c r="U832" i="19" s="1"/>
  <c r="T852" i="19"/>
  <c r="U852" i="19" s="1"/>
  <c r="T861" i="19"/>
  <c r="U861" i="19" s="1"/>
  <c r="T1022" i="19"/>
  <c r="U1022" i="19" s="1"/>
  <c r="T1028" i="19"/>
  <c r="U1028" i="19" s="1"/>
  <c r="T1035" i="19"/>
  <c r="U1035" i="19" s="1"/>
  <c r="T1065" i="19"/>
  <c r="U1065" i="19" s="1"/>
  <c r="T1106" i="19"/>
  <c r="U1106" i="19" s="1"/>
  <c r="T384" i="19"/>
  <c r="U384" i="19" s="1"/>
  <c r="T450" i="19"/>
  <c r="U450" i="19" s="1"/>
  <c r="T478" i="19"/>
  <c r="U478" i="19" s="1"/>
  <c r="T538" i="19"/>
  <c r="U538" i="19" s="1"/>
  <c r="T733" i="19"/>
  <c r="U733" i="19" s="1"/>
  <c r="T756" i="19"/>
  <c r="U756" i="19" s="1"/>
  <c r="T768" i="19"/>
  <c r="U768" i="19" s="1"/>
  <c r="T804" i="19"/>
  <c r="U804" i="19" s="1"/>
  <c r="T886" i="19"/>
  <c r="U886" i="19" s="1"/>
  <c r="T923" i="19"/>
  <c r="U923" i="19" s="1"/>
  <c r="T945" i="19"/>
  <c r="U945" i="19" s="1"/>
  <c r="T997" i="19"/>
  <c r="U997" i="19" s="1"/>
  <c r="T1008" i="19"/>
  <c r="U1008" i="19" s="1"/>
  <c r="T1026" i="19"/>
  <c r="U1026" i="19" s="1"/>
  <c r="T1067" i="19"/>
  <c r="U1067" i="19" s="1"/>
  <c r="T1125" i="19"/>
  <c r="U1125" i="19" s="1"/>
  <c r="T1152" i="19"/>
  <c r="U1152" i="19" s="1"/>
  <c r="T1164" i="19"/>
  <c r="U1164" i="19" s="1"/>
  <c r="T1186" i="19"/>
  <c r="U1186" i="19" s="1"/>
  <c r="T1192" i="19"/>
  <c r="U1192" i="19" s="1"/>
  <c r="T1197" i="19"/>
  <c r="U1197" i="19" s="1"/>
  <c r="T464" i="19"/>
  <c r="U464" i="19" s="1"/>
  <c r="T487" i="19"/>
  <c r="U487" i="19" s="1"/>
  <c r="T512" i="19"/>
  <c r="U512" i="19" s="1"/>
  <c r="T687" i="19"/>
  <c r="U687" i="19" s="1"/>
  <c r="T705" i="19"/>
  <c r="U705" i="19" s="1"/>
  <c r="T716" i="19"/>
  <c r="U716" i="19" s="1"/>
  <c r="T723" i="19"/>
  <c r="U723" i="19" s="1"/>
  <c r="T759" i="19"/>
  <c r="U759" i="19" s="1"/>
  <c r="T776" i="19"/>
  <c r="U776" i="19" s="1"/>
  <c r="T866" i="19"/>
  <c r="U866" i="19" s="1"/>
  <c r="T897" i="19"/>
  <c r="U897" i="19" s="1"/>
  <c r="T934" i="19"/>
  <c r="U934" i="19" s="1"/>
  <c r="T978" i="19"/>
  <c r="U978" i="19" s="1"/>
  <c r="T985" i="19"/>
  <c r="U985" i="19" s="1"/>
  <c r="T995" i="19"/>
  <c r="U995" i="19" s="1"/>
  <c r="T1019" i="19"/>
  <c r="U1019" i="19" s="1"/>
  <c r="T1095" i="19"/>
  <c r="U1095" i="19" s="1"/>
  <c r="T1200" i="19"/>
  <c r="U1200" i="19" s="1"/>
  <c r="T1219" i="19"/>
  <c r="U1219" i="19" s="1"/>
  <c r="T448" i="19"/>
  <c r="U448" i="19" s="1"/>
  <c r="T479" i="19"/>
  <c r="U479" i="19" s="1"/>
  <c r="T546" i="19"/>
  <c r="U546" i="19" s="1"/>
  <c r="T614" i="19"/>
  <c r="U614" i="19" s="1"/>
  <c r="T636" i="19"/>
  <c r="U636" i="19" s="1"/>
  <c r="T675" i="19"/>
  <c r="U675" i="19" s="1"/>
  <c r="T681" i="19"/>
  <c r="U681" i="19" s="1"/>
  <c r="T858" i="19"/>
  <c r="U858" i="19" s="1"/>
  <c r="T863" i="19"/>
  <c r="U863" i="19" s="1"/>
  <c r="T867" i="19"/>
  <c r="U867" i="19" s="1"/>
  <c r="T871" i="19"/>
  <c r="U871" i="19" s="1"/>
  <c r="T1027" i="19"/>
  <c r="U1027" i="19" s="1"/>
  <c r="T1083" i="19"/>
  <c r="U1083" i="19" s="1"/>
  <c r="T1146" i="19"/>
  <c r="U1146" i="19" s="1"/>
  <c r="T1165" i="19"/>
  <c r="U1165" i="19" s="1"/>
  <c r="T1167" i="19"/>
  <c r="U1167" i="19" s="1"/>
  <c r="T1209" i="19"/>
  <c r="U1209" i="19" s="1"/>
  <c r="T451" i="19"/>
  <c r="U451" i="19" s="1"/>
  <c r="T771" i="19"/>
  <c r="U771" i="19" s="1"/>
  <c r="T1055" i="19"/>
  <c r="U1055" i="19" s="1"/>
  <c r="T1156" i="19"/>
  <c r="U1156" i="19" s="1"/>
  <c r="T1222" i="19"/>
  <c r="U1222" i="19" s="1"/>
  <c r="T667" i="19"/>
  <c r="U667" i="19" s="1"/>
  <c r="T792" i="19"/>
  <c r="U792" i="19" s="1"/>
  <c r="T974" i="19"/>
  <c r="U974" i="19" s="1"/>
  <c r="T1015" i="19"/>
  <c r="U1015" i="19" s="1"/>
  <c r="T1075" i="19"/>
  <c r="U1075" i="19" s="1"/>
  <c r="T1117" i="19"/>
  <c r="U1117" i="19" s="1"/>
  <c r="T1204" i="19"/>
  <c r="U1204" i="19" s="1"/>
  <c r="T1240" i="19"/>
  <c r="U1240" i="19" s="1"/>
  <c r="T679" i="19"/>
  <c r="U679" i="19" s="1"/>
  <c r="T694" i="19"/>
  <c r="U694" i="19" s="1"/>
  <c r="T950" i="19"/>
  <c r="U950" i="19" s="1"/>
  <c r="T1233" i="19"/>
  <c r="U1233" i="19" s="1"/>
  <c r="T805" i="19"/>
  <c r="U805" i="19" s="1"/>
  <c r="T1081" i="19"/>
  <c r="U1081" i="19" s="1"/>
  <c r="T1218" i="19"/>
  <c r="U1218" i="19" s="1"/>
  <c r="T460" i="19"/>
  <c r="U460" i="19" s="1"/>
  <c r="T1053" i="19"/>
  <c r="U1053" i="19" s="1"/>
  <c r="T641" i="19"/>
  <c r="U641" i="19" s="1"/>
  <c r="T1079" i="19"/>
  <c r="U1079" i="19" s="1"/>
  <c r="T1142" i="19"/>
  <c r="U1142" i="19" s="1"/>
  <c r="T1228" i="19"/>
  <c r="U1228" i="19" s="1"/>
  <c r="T533" i="19"/>
  <c r="U533" i="19" s="1"/>
  <c r="T639" i="19"/>
  <c r="U639" i="19" s="1"/>
  <c r="T718" i="19"/>
  <c r="U718" i="19" s="1"/>
  <c r="T1110" i="19"/>
  <c r="U1110" i="19" s="1"/>
  <c r="T1145" i="19"/>
  <c r="U1145" i="19" s="1"/>
  <c r="T653" i="19"/>
  <c r="U653" i="19" s="1"/>
  <c r="T710" i="19"/>
  <c r="U710" i="19" s="1"/>
  <c r="T811" i="19"/>
  <c r="U811" i="19" s="1"/>
  <c r="T508" i="19"/>
  <c r="U508" i="19" s="1"/>
  <c r="T840" i="19"/>
  <c r="U840" i="19" s="1"/>
  <c r="T990" i="19"/>
  <c r="U990" i="19" s="1"/>
  <c r="T1092" i="19"/>
  <c r="U1092" i="19" s="1"/>
  <c r="T1203" i="19"/>
  <c r="U1203" i="19" s="1"/>
  <c r="T1206" i="19"/>
  <c r="U1206" i="19" s="1"/>
  <c r="T959" i="19"/>
  <c r="U959" i="19" s="1"/>
  <c r="T1168" i="19"/>
  <c r="U1168" i="19" s="1"/>
  <c r="T1210" i="19"/>
  <c r="U1210" i="19" s="1"/>
  <c r="T936" i="19"/>
  <c r="U936" i="19" s="1"/>
  <c r="T1158" i="19"/>
  <c r="U1158" i="19" s="1"/>
  <c r="T1194" i="19"/>
  <c r="U1194" i="19" s="1"/>
  <c r="T1183" i="19"/>
  <c r="U1183" i="19" s="1"/>
  <c r="T1230" i="19"/>
  <c r="U1230" i="19" s="1"/>
  <c r="T1242" i="19"/>
  <c r="U1242" i="19" s="1"/>
  <c r="T1051" i="19"/>
  <c r="U1051" i="19" s="1"/>
  <c r="T1099" i="19"/>
  <c r="U1099" i="19" s="1"/>
  <c r="T1241" i="19"/>
  <c r="U1241" i="19" s="1"/>
  <c r="T938" i="19"/>
  <c r="U938" i="19" s="1"/>
  <c r="T941" i="19"/>
  <c r="U941" i="19" s="1"/>
  <c r="T1195" i="19"/>
  <c r="U1195" i="19" s="1"/>
  <c r="T650" i="19"/>
  <c r="U650" i="19" s="1"/>
  <c r="T827" i="19"/>
  <c r="U827" i="19" s="1"/>
  <c r="T1174" i="19"/>
  <c r="U1174" i="19" s="1"/>
  <c r="T912" i="19"/>
  <c r="U912" i="19" s="1"/>
  <c r="T1033" i="19"/>
  <c r="U1033" i="19" s="1"/>
  <c r="T868" i="19"/>
  <c r="U868" i="19" s="1"/>
  <c r="T1201" i="19"/>
  <c r="U1201" i="19" s="1"/>
  <c r="T1045" i="19"/>
  <c r="U1045" i="19" s="1"/>
  <c r="T849" i="19"/>
  <c r="U849" i="19" s="1"/>
  <c r="T1025" i="19"/>
  <c r="U1025" i="19" s="1"/>
  <c r="T952" i="19"/>
  <c r="U952" i="19" s="1"/>
  <c r="T774" i="19"/>
  <c r="U774" i="19" s="1"/>
  <c r="T753" i="19"/>
  <c r="U753" i="19" s="1"/>
  <c r="T787" i="19"/>
  <c r="U787" i="19" s="1"/>
  <c r="T738" i="19"/>
  <c r="U738" i="19" s="1"/>
  <c r="T610" i="19"/>
  <c r="U610" i="19" s="1"/>
  <c r="T741" i="19"/>
  <c r="U741" i="19" s="1"/>
  <c r="T624" i="19"/>
  <c r="U624" i="19" s="1"/>
  <c r="T497" i="19"/>
  <c r="U497" i="19" s="1"/>
  <c r="T432" i="19"/>
  <c r="U432" i="19" s="1"/>
  <c r="T465" i="19"/>
  <c r="U465" i="19" s="1"/>
  <c r="T1077" i="19"/>
  <c r="U1077" i="19" s="1"/>
  <c r="T517" i="19"/>
  <c r="U517" i="19" s="1"/>
  <c r="T913" i="19"/>
  <c r="U913" i="19" s="1"/>
  <c r="T905" i="19"/>
  <c r="U905" i="19" s="1"/>
  <c r="T1178" i="19"/>
  <c r="U1178" i="19" s="1"/>
  <c r="T633" i="19"/>
  <c r="U633" i="19" s="1"/>
  <c r="T696" i="19"/>
  <c r="U696" i="19" s="1"/>
  <c r="T830" i="19"/>
  <c r="U830" i="19" s="1"/>
  <c r="T818" i="19"/>
  <c r="U818" i="19" s="1"/>
  <c r="T405" i="19"/>
  <c r="U405" i="19" s="1"/>
  <c r="T1043" i="19"/>
  <c r="U1043" i="19" s="1"/>
  <c r="T737" i="19"/>
  <c r="U737" i="19" s="1"/>
  <c r="T836" i="19"/>
  <c r="U836" i="19" s="1"/>
  <c r="T851" i="19"/>
  <c r="U851" i="19" s="1"/>
  <c r="T1037" i="19"/>
  <c r="U1037" i="19" s="1"/>
  <c r="T862" i="19"/>
  <c r="U862" i="19" s="1"/>
  <c r="T847" i="19"/>
  <c r="U847" i="19" s="1"/>
  <c r="T1005" i="19"/>
  <c r="U1005" i="19" s="1"/>
  <c r="T932" i="19"/>
  <c r="U932" i="19" s="1"/>
  <c r="T900" i="19"/>
  <c r="U900" i="19" s="1"/>
  <c r="T715" i="19"/>
  <c r="U715" i="19" s="1"/>
  <c r="T720" i="19"/>
  <c r="U720" i="19" s="1"/>
  <c r="T607" i="19"/>
  <c r="U607" i="19" s="1"/>
  <c r="T627" i="19"/>
  <c r="U627" i="19" s="1"/>
  <c r="T498" i="19"/>
  <c r="U498" i="19" s="1"/>
  <c r="T515" i="19"/>
  <c r="U515" i="19" s="1"/>
  <c r="T457" i="19"/>
  <c r="U457" i="19" s="1"/>
  <c r="T946" i="19"/>
  <c r="U946" i="19" s="1"/>
  <c r="T833" i="19"/>
  <c r="U833" i="19" s="1"/>
  <c r="T1118" i="19"/>
  <c r="U1118" i="19" s="1"/>
  <c r="T843" i="19"/>
  <c r="U843" i="19" s="1"/>
  <c r="T814" i="19"/>
  <c r="U814" i="19" s="1"/>
  <c r="T1208" i="19"/>
  <c r="U1208" i="19" s="1"/>
  <c r="T907" i="19"/>
  <c r="U907" i="19" s="1"/>
  <c r="T977" i="19"/>
  <c r="U977" i="19" s="1"/>
  <c r="T699" i="19"/>
  <c r="U699" i="19" s="1"/>
  <c r="T760" i="19"/>
  <c r="U760" i="19" s="1"/>
  <c r="T1235" i="19"/>
  <c r="U1235" i="19" s="1"/>
  <c r="T962" i="19"/>
  <c r="U962" i="19" s="1"/>
  <c r="T1135" i="19"/>
  <c r="U1135" i="19" s="1"/>
  <c r="T1031" i="19"/>
  <c r="U1031" i="19" s="1"/>
  <c r="T1150" i="19"/>
  <c r="U1150" i="19" s="1"/>
  <c r="T1139" i="19"/>
  <c r="U1139" i="19" s="1"/>
  <c r="T669" i="19"/>
  <c r="U669" i="19" s="1"/>
  <c r="T1040" i="19"/>
  <c r="U1040" i="19" s="1"/>
  <c r="T846" i="19"/>
  <c r="U846" i="19" s="1"/>
  <c r="T931" i="19"/>
  <c r="U931" i="19" s="1"/>
  <c r="T1034" i="19"/>
  <c r="U1034" i="19" s="1"/>
  <c r="T958" i="19"/>
  <c r="U958" i="19" s="1"/>
  <c r="T967" i="19"/>
  <c r="U967" i="19" s="1"/>
  <c r="T882" i="19"/>
  <c r="U882" i="19" s="1"/>
  <c r="T744" i="19"/>
  <c r="U744" i="19" s="1"/>
  <c r="T859" i="19"/>
  <c r="U859" i="19" s="1"/>
  <c r="T799" i="19"/>
  <c r="U799" i="19" s="1"/>
  <c r="T745" i="19"/>
  <c r="U745" i="19" s="1"/>
  <c r="T573" i="19"/>
  <c r="U573" i="19" s="1"/>
  <c r="T593" i="19"/>
  <c r="U593" i="19" s="1"/>
  <c r="T511" i="19"/>
  <c r="U511" i="19" s="1"/>
  <c r="T462" i="19"/>
  <c r="U462" i="19" s="1"/>
  <c r="T453" i="19"/>
  <c r="U453" i="19" s="1"/>
  <c r="T386" i="19"/>
  <c r="U386" i="19" s="1"/>
  <c r="T698" i="19"/>
  <c r="U698" i="19" s="1"/>
  <c r="T435" i="19"/>
  <c r="U435" i="19" s="1"/>
  <c r="T889" i="19"/>
  <c r="U889" i="19" s="1"/>
  <c r="T825" i="19"/>
  <c r="U825" i="19" s="1"/>
  <c r="T1112" i="19"/>
  <c r="U1112" i="19" s="1"/>
  <c r="T494" i="19"/>
  <c r="U494" i="19" s="1"/>
  <c r="T788" i="19"/>
  <c r="U788" i="19" s="1"/>
  <c r="T663" i="19"/>
  <c r="U663" i="19" s="1"/>
  <c r="T732" i="19"/>
  <c r="U732" i="19" s="1"/>
  <c r="T869" i="19"/>
  <c r="U869" i="19" s="1"/>
  <c r="T1198" i="19"/>
  <c r="U1198" i="19" s="1"/>
  <c r="T1109" i="19"/>
  <c r="U1109" i="19" s="1"/>
  <c r="T933" i="19"/>
  <c r="U933" i="19" s="1"/>
  <c r="T1131" i="19"/>
  <c r="U1131" i="19" s="1"/>
  <c r="T948" i="19"/>
  <c r="U948" i="19" s="1"/>
  <c r="T1229" i="19"/>
  <c r="U1229" i="19" s="1"/>
  <c r="T987" i="19"/>
  <c r="U987" i="19" s="1"/>
  <c r="T1013" i="19"/>
  <c r="U1013" i="19" s="1"/>
  <c r="T875" i="19"/>
  <c r="U875" i="19" s="1"/>
  <c r="T1162" i="19"/>
  <c r="U1162" i="19" s="1"/>
  <c r="T1154" i="19"/>
  <c r="U1154" i="19" s="1"/>
  <c r="T1002" i="19"/>
  <c r="U1002" i="19" s="1"/>
  <c r="T879" i="19"/>
  <c r="U879" i="19" s="1"/>
  <c r="T577" i="19"/>
  <c r="U577" i="19" s="1"/>
  <c r="T495" i="19"/>
  <c r="U495" i="19" s="1"/>
  <c r="T528" i="19"/>
  <c r="U528" i="19" s="1"/>
  <c r="T413" i="19"/>
  <c r="U413" i="19" s="1"/>
  <c r="T1205" i="19"/>
  <c r="U1205" i="19" s="1"/>
  <c r="T1223" i="19"/>
  <c r="U1223" i="19" s="1"/>
  <c r="T826" i="19"/>
  <c r="U826" i="19" s="1"/>
  <c r="T769" i="19"/>
  <c r="U769" i="19" s="1"/>
  <c r="T428" i="19"/>
  <c r="U428" i="19" s="1"/>
  <c r="T780" i="19"/>
  <c r="U780" i="19" s="1"/>
  <c r="T608" i="19"/>
  <c r="U608" i="19" s="1"/>
  <c r="T731" i="19"/>
  <c r="U731" i="19" s="1"/>
  <c r="T1136" i="19"/>
  <c r="U1136" i="19" s="1"/>
  <c r="T782" i="19"/>
  <c r="U782" i="19" s="1"/>
  <c r="T914" i="19"/>
  <c r="U914" i="19" s="1"/>
  <c r="T729" i="19"/>
  <c r="U729" i="19" s="1"/>
  <c r="T1180" i="19"/>
  <c r="U1180" i="19" s="1"/>
  <c r="T1175" i="19"/>
  <c r="U1175" i="19" s="1"/>
  <c r="T1042" i="19"/>
  <c r="U1042" i="19" s="1"/>
  <c r="T1102" i="19"/>
  <c r="U1102" i="19" s="1"/>
  <c r="T980" i="19"/>
  <c r="U980" i="19" s="1"/>
  <c r="T960" i="19"/>
  <c r="U960" i="19" s="1"/>
  <c r="T911" i="19"/>
  <c r="U911" i="19" s="1"/>
  <c r="T823" i="19"/>
  <c r="U823" i="19" s="1"/>
  <c r="T981" i="19"/>
  <c r="U981" i="19" s="1"/>
  <c r="T691" i="19"/>
  <c r="U691" i="19" s="1"/>
  <c r="T690" i="19"/>
  <c r="U690" i="19" s="1"/>
  <c r="T620" i="19"/>
  <c r="U620" i="19" s="1"/>
  <c r="T689" i="19"/>
  <c r="U689" i="19" s="1"/>
  <c r="T674" i="19"/>
  <c r="U674" i="19" s="1"/>
  <c r="T590" i="19"/>
  <c r="U590" i="19" s="1"/>
  <c r="T549" i="19"/>
  <c r="U549" i="19" s="1"/>
  <c r="T458" i="19"/>
  <c r="U458" i="19" s="1"/>
  <c r="T423" i="19"/>
  <c r="U423" i="19" s="1"/>
  <c r="T445" i="19"/>
  <c r="U445" i="19" s="1"/>
  <c r="T1127" i="19"/>
  <c r="U1127" i="19" s="1"/>
  <c r="T599" i="19"/>
  <c r="U599" i="19" s="1"/>
  <c r="T1193" i="19"/>
  <c r="U1193" i="19" s="1"/>
  <c r="T557" i="19"/>
  <c r="U557" i="19" s="1"/>
  <c r="T957" i="19"/>
  <c r="U957" i="19" s="1"/>
  <c r="T704" i="19"/>
  <c r="U704" i="19" s="1"/>
  <c r="T860" i="19"/>
  <c r="U860" i="19" s="1"/>
  <c r="T1221" i="19"/>
  <c r="U1221" i="19" s="1"/>
  <c r="T1086" i="19"/>
  <c r="U1086" i="19" s="1"/>
  <c r="T1211" i="19"/>
  <c r="U1211" i="19" s="1"/>
  <c r="T1163" i="19"/>
  <c r="U1163" i="19" s="1"/>
  <c r="T1226" i="19"/>
  <c r="U1226" i="19" s="1"/>
  <c r="T1001" i="19"/>
  <c r="U1001" i="19" s="1"/>
  <c r="T1190" i="19"/>
  <c r="U1190" i="19" s="1"/>
  <c r="T784" i="19"/>
  <c r="U784" i="19" s="1"/>
  <c r="T850" i="19"/>
  <c r="U850" i="19" s="1"/>
  <c r="T839" i="19"/>
  <c r="U839" i="19" s="1"/>
  <c r="T660" i="19"/>
  <c r="U660" i="19" s="1"/>
  <c r="T785" i="19"/>
  <c r="U785" i="19" s="1"/>
  <c r="T797" i="19"/>
  <c r="U797" i="19" s="1"/>
  <c r="T587" i="19"/>
  <c r="U587" i="19" s="1"/>
  <c r="T736" i="19"/>
  <c r="U736" i="19" s="1"/>
  <c r="T589" i="19"/>
  <c r="U589" i="19" s="1"/>
  <c r="T683" i="19"/>
  <c r="U683" i="19" s="1"/>
  <c r="T510" i="19"/>
  <c r="U510" i="19" s="1"/>
  <c r="T522" i="19"/>
  <c r="U522" i="19" s="1"/>
  <c r="T419" i="19"/>
  <c r="U419" i="19" s="1"/>
  <c r="T409" i="19"/>
  <c r="U409" i="19" s="1"/>
  <c r="T397" i="19"/>
  <c r="U397" i="19" s="1"/>
  <c r="T820" i="19"/>
  <c r="U820" i="19" s="1"/>
  <c r="T1041" i="19"/>
  <c r="U1041" i="19" s="1"/>
  <c r="T1166" i="19"/>
  <c r="U1166" i="19" s="1"/>
  <c r="T740" i="19"/>
  <c r="U740" i="19" s="1"/>
  <c r="T1101" i="19"/>
  <c r="U1101" i="19" s="1"/>
  <c r="T621" i="19"/>
  <c r="U621" i="19" s="1"/>
  <c r="T406" i="19"/>
  <c r="U406" i="19" s="1"/>
  <c r="T671" i="19"/>
  <c r="U671" i="19" s="1"/>
  <c r="T1100" i="19"/>
  <c r="U1100" i="19" s="1"/>
  <c r="T585" i="19"/>
  <c r="U585" i="19" s="1"/>
  <c r="T1172" i="19"/>
  <c r="U1172" i="19" s="1"/>
  <c r="T1111" i="19"/>
  <c r="U1111" i="19" s="1"/>
  <c r="T1082" i="19"/>
  <c r="U1082" i="19" s="1"/>
  <c r="T1029" i="19"/>
  <c r="U1029" i="19" s="1"/>
  <c r="T1088" i="19"/>
  <c r="U1088" i="19" s="1"/>
  <c r="T1090" i="19"/>
  <c r="U1090" i="19" s="1"/>
  <c r="T983" i="19"/>
  <c r="U983" i="19" s="1"/>
  <c r="T1003" i="19"/>
  <c r="U1003" i="19" s="1"/>
  <c r="T884" i="19"/>
  <c r="U884" i="19" s="1"/>
  <c r="T1098" i="19"/>
  <c r="U1098" i="19" s="1"/>
  <c r="T806" i="19"/>
  <c r="U806" i="19" s="1"/>
  <c r="T808" i="19"/>
  <c r="U808" i="19" s="1"/>
  <c r="T757" i="19"/>
  <c r="U757" i="19" s="1"/>
  <c r="T389" i="19"/>
  <c r="U389" i="19" s="1"/>
  <c r="T635" i="19"/>
  <c r="U635" i="19" s="1"/>
  <c r="T548" i="19"/>
  <c r="U548" i="19" s="1"/>
  <c r="T379" i="19"/>
  <c r="U379" i="19" s="1"/>
  <c r="T1039" i="19"/>
  <c r="U1039" i="19" s="1"/>
  <c r="T652" i="19"/>
  <c r="U652" i="19" s="1"/>
  <c r="T1148" i="19"/>
  <c r="U1148" i="19" s="1"/>
  <c r="T1057" i="19"/>
  <c r="U1057" i="19" s="1"/>
  <c r="T883" i="19"/>
  <c r="U883" i="19" s="1"/>
  <c r="T921" i="19"/>
  <c r="U921" i="19" s="1"/>
  <c r="T935" i="19"/>
  <c r="U935" i="19" s="1"/>
  <c r="T659" i="19"/>
  <c r="U659" i="19" s="1"/>
  <c r="T824" i="19"/>
  <c r="U824" i="19" s="1"/>
  <c r="T1220" i="19"/>
  <c r="U1220" i="19" s="1"/>
  <c r="T1070" i="19"/>
  <c r="U1070" i="19" s="1"/>
  <c r="T628" i="19"/>
  <c r="U628" i="19" s="1"/>
  <c r="T1072" i="19"/>
  <c r="U1072" i="19" s="1"/>
  <c r="T994" i="19"/>
  <c r="U994" i="19" s="1"/>
  <c r="T560" i="19"/>
  <c r="U560" i="19" s="1"/>
  <c r="T1184" i="19"/>
  <c r="U1184" i="19" s="1"/>
  <c r="T929" i="19"/>
  <c r="U929" i="19" s="1"/>
  <c r="T1177" i="19"/>
  <c r="U1177" i="19" s="1"/>
  <c r="T1061" i="19"/>
  <c r="U1061" i="19" s="1"/>
  <c r="T876" i="19"/>
  <c r="U876" i="19" s="1"/>
  <c r="T943" i="19"/>
  <c r="U943" i="19" s="1"/>
  <c r="T992" i="19"/>
  <c r="U992" i="19" s="1"/>
  <c r="T870" i="19"/>
  <c r="U870" i="19" s="1"/>
  <c r="T854" i="19"/>
  <c r="U854" i="19" s="1"/>
  <c r="T874" i="19"/>
  <c r="U874" i="19" s="1"/>
  <c r="T604" i="19"/>
  <c r="U604" i="19" s="1"/>
  <c r="T584" i="19"/>
  <c r="U584" i="19" s="1"/>
  <c r="T467" i="19"/>
  <c r="U467" i="19" s="1"/>
  <c r="T545" i="19"/>
  <c r="U545" i="19" s="1"/>
  <c r="T400" i="19"/>
  <c r="U400" i="19" s="1"/>
  <c r="T1238" i="19"/>
  <c r="U1238" i="19" s="1"/>
  <c r="T1202" i="19"/>
  <c r="U1202" i="19" s="1"/>
  <c r="T1232" i="19"/>
  <c r="U1232" i="19" s="1"/>
  <c r="T979" i="19"/>
  <c r="U979" i="19" s="1"/>
  <c r="T554" i="19"/>
  <c r="U554" i="19" s="1"/>
  <c r="T968" i="19"/>
  <c r="U968" i="19" s="1"/>
  <c r="T502" i="19"/>
  <c r="U502" i="19" s="1"/>
  <c r="T939" i="19"/>
  <c r="U939" i="19" s="1"/>
  <c r="T1071" i="19"/>
  <c r="U1071" i="19" s="1"/>
  <c r="T1138" i="19"/>
  <c r="U1138" i="19" s="1"/>
  <c r="T1231" i="19"/>
  <c r="U1231" i="19" s="1"/>
  <c r="T527" i="19"/>
  <c r="U527" i="19" s="1"/>
  <c r="T664" i="19"/>
  <c r="U664" i="19" s="1"/>
  <c r="T910" i="19"/>
  <c r="U910" i="19" s="1"/>
  <c r="T885" i="19"/>
  <c r="U885" i="19" s="1"/>
  <c r="T431" i="19"/>
  <c r="U431" i="19" s="1"/>
  <c r="T942" i="19"/>
  <c r="U942" i="19" s="1"/>
  <c r="T922" i="19"/>
  <c r="U922" i="19" s="1"/>
  <c r="T888" i="19"/>
  <c r="U888" i="19" s="1"/>
  <c r="T1052" i="19"/>
  <c r="U1052" i="19" s="1"/>
  <c r="T890" i="19"/>
  <c r="U890" i="19" s="1"/>
  <c r="T809" i="19"/>
  <c r="U809" i="19" s="1"/>
  <c r="T746" i="19"/>
  <c r="U746" i="19" s="1"/>
  <c r="T701" i="19"/>
  <c r="U701" i="19" s="1"/>
  <c r="T575" i="19"/>
  <c r="U575" i="19" s="1"/>
  <c r="T489" i="19"/>
  <c r="U489" i="19" s="1"/>
  <c r="T444" i="19"/>
  <c r="U444" i="19" s="1"/>
  <c r="T454" i="19"/>
  <c r="U454" i="19" s="1"/>
  <c r="T410" i="19"/>
  <c r="U410" i="19" s="1"/>
  <c r="T376" i="19"/>
  <c r="U376" i="19" s="1"/>
  <c r="T1004" i="19"/>
  <c r="U1004" i="19" s="1"/>
  <c r="T470" i="19"/>
  <c r="U470" i="19" s="1"/>
  <c r="T388" i="19"/>
  <c r="U388" i="19" s="1"/>
  <c r="T377" i="19"/>
  <c r="U377" i="19" s="1"/>
  <c r="T1141" i="19"/>
  <c r="U1141" i="19" s="1"/>
  <c r="T781" i="19"/>
  <c r="U781" i="19" s="1"/>
  <c r="T566" i="19"/>
  <c r="U566" i="19" s="1"/>
  <c r="T685" i="19"/>
  <c r="U685" i="19" s="1"/>
  <c r="T594" i="19"/>
  <c r="U594" i="19" s="1"/>
  <c r="T748" i="19"/>
  <c r="U748" i="19" s="1"/>
  <c r="T794" i="19"/>
  <c r="U794" i="19" s="1"/>
  <c r="T550" i="19"/>
  <c r="U550" i="19" s="1"/>
  <c r="T392" i="19"/>
  <c r="U392" i="19" s="1"/>
  <c r="T404" i="19"/>
  <c r="U404" i="19" s="1"/>
  <c r="T761" i="19"/>
  <c r="U761" i="19" s="1"/>
  <c r="T644" i="19"/>
  <c r="U644" i="19" s="1"/>
  <c r="T500" i="19"/>
  <c r="U500" i="19" s="1"/>
  <c r="T473" i="19"/>
  <c r="U473" i="19" s="1"/>
  <c r="T666" i="19"/>
  <c r="U666" i="19" s="1"/>
  <c r="T970" i="19"/>
  <c r="U970" i="19" s="1"/>
  <c r="T519" i="19"/>
  <c r="U519" i="19" s="1"/>
  <c r="T580" i="19"/>
  <c r="U580" i="19" s="1"/>
  <c r="T1157" i="19"/>
  <c r="U1157" i="19" s="1"/>
  <c r="T800" i="19"/>
  <c r="U800" i="19" s="1"/>
  <c r="T668" i="19"/>
  <c r="U668" i="19" s="1"/>
  <c r="T706" i="19"/>
  <c r="U706" i="19" s="1"/>
  <c r="T571" i="19"/>
  <c r="U571" i="19" s="1"/>
  <c r="T539" i="19"/>
  <c r="U539" i="19" s="1"/>
  <c r="T438" i="19"/>
  <c r="U438" i="19" s="1"/>
  <c r="T391" i="19"/>
  <c r="U391" i="19" s="1"/>
  <c r="T530" i="19"/>
  <c r="U530" i="19" s="1"/>
  <c r="T791" i="19"/>
  <c r="U791" i="19" s="1"/>
  <c r="T993" i="19"/>
  <c r="U993" i="19" s="1"/>
  <c r="T1089" i="19"/>
  <c r="U1089" i="19" s="1"/>
  <c r="T877" i="19"/>
  <c r="U877" i="19" s="1"/>
  <c r="T569" i="19"/>
  <c r="U569" i="19" s="1"/>
  <c r="T449" i="19"/>
  <c r="U449" i="19" s="1"/>
  <c r="T1024" i="19"/>
  <c r="U1024" i="19" s="1"/>
  <c r="T1007" i="19"/>
  <c r="U1007" i="19" s="1"/>
  <c r="T1046" i="19"/>
  <c r="U1046" i="19" s="1"/>
  <c r="T906" i="19"/>
  <c r="U906" i="19" s="1"/>
  <c r="T1047" i="19"/>
  <c r="U1047" i="19" s="1"/>
  <c r="T754" i="19"/>
  <c r="U754" i="19" s="1"/>
  <c r="T749" i="19"/>
  <c r="U749" i="19" s="1"/>
  <c r="T535" i="19"/>
  <c r="U535" i="19" s="1"/>
  <c r="T1143" i="19"/>
  <c r="U1143" i="19" s="1"/>
  <c r="T951" i="19"/>
  <c r="U951" i="19" s="1"/>
  <c r="T996" i="19"/>
  <c r="U996" i="19" s="1"/>
  <c r="T1187" i="19"/>
  <c r="U1187" i="19" s="1"/>
  <c r="T864" i="19"/>
  <c r="U864" i="19" s="1"/>
  <c r="T619" i="19"/>
  <c r="U619" i="19" s="1"/>
  <c r="T520" i="19"/>
  <c r="U520" i="19" s="1"/>
  <c r="T617" i="19"/>
  <c r="U617" i="19" s="1"/>
  <c r="T1108" i="19"/>
  <c r="U1108" i="19" s="1"/>
  <c r="T789" i="19"/>
  <c r="U789" i="19" s="1"/>
  <c r="T719" i="19"/>
  <c r="U719" i="19" s="1"/>
  <c r="T588" i="19"/>
  <c r="U588" i="19" s="1"/>
  <c r="T430" i="19"/>
  <c r="U430" i="19" s="1"/>
  <c r="T915" i="19"/>
  <c r="U915" i="19" s="1"/>
  <c r="T1044" i="19"/>
  <c r="U1044" i="19" s="1"/>
  <c r="T722" i="19"/>
  <c r="U722" i="19" s="1"/>
  <c r="T492" i="19"/>
  <c r="U492" i="19" s="1"/>
  <c r="T697" i="19"/>
  <c r="U697" i="19" s="1"/>
  <c r="T925" i="19"/>
  <c r="U925" i="19" s="1"/>
  <c r="T873" i="19"/>
  <c r="U873" i="19" s="1"/>
  <c r="T1063" i="19"/>
  <c r="U1063" i="19" s="1"/>
  <c r="T790" i="19"/>
  <c r="U790" i="19" s="1"/>
  <c r="T695" i="19"/>
  <c r="U695" i="19" s="1"/>
  <c r="T561" i="19"/>
  <c r="U561" i="19" s="1"/>
  <c r="T902" i="19"/>
  <c r="U902" i="19" s="1"/>
  <c r="T735" i="19"/>
  <c r="U735" i="19" s="1"/>
  <c r="T541" i="19"/>
  <c r="U541" i="19" s="1"/>
  <c r="T532" i="19"/>
  <c r="U532" i="19" s="1"/>
  <c r="T421" i="19"/>
  <c r="U421" i="19" s="1"/>
  <c r="T1012" i="19"/>
  <c r="U1012" i="19" s="1"/>
  <c r="T626" i="19"/>
  <c r="U626" i="19" s="1"/>
  <c r="T838" i="19"/>
  <c r="U838" i="19" s="1"/>
  <c r="T629" i="19"/>
  <c r="U629" i="19" s="1"/>
  <c r="T1176" i="19"/>
  <c r="U1176" i="19" s="1"/>
  <c r="T565" i="19"/>
  <c r="U565" i="19" s="1"/>
  <c r="T429" i="19"/>
  <c r="U429" i="19" s="1"/>
  <c r="T507" i="19"/>
  <c r="U507" i="19" s="1"/>
  <c r="T613" i="19"/>
  <c r="U613" i="19" s="1"/>
  <c r="T845" i="19"/>
  <c r="U845" i="19" s="1"/>
  <c r="T440" i="19"/>
  <c r="U440" i="19" s="1"/>
  <c r="T775" i="19"/>
  <c r="U775" i="19" s="1"/>
  <c r="T865" i="19"/>
  <c r="U865" i="19" s="1"/>
  <c r="T609" i="19"/>
  <c r="U609" i="19" s="1"/>
  <c r="T989" i="19"/>
  <c r="U989" i="19" s="1"/>
  <c r="T403" i="19"/>
  <c r="U403" i="19" s="1"/>
  <c r="T816" i="19"/>
  <c r="U816" i="19" s="1"/>
  <c r="T586" i="19"/>
  <c r="U586" i="19" s="1"/>
  <c r="T762" i="19"/>
  <c r="U762" i="19" s="1"/>
  <c r="T928" i="19"/>
  <c r="U928" i="19" s="1"/>
  <c r="T1189" i="19"/>
  <c r="U1189" i="19" s="1"/>
  <c r="T1030" i="19"/>
  <c r="U1030" i="19" s="1"/>
  <c r="T802" i="19"/>
  <c r="U802" i="19" s="1"/>
  <c r="T1188" i="19"/>
  <c r="U1188" i="19" s="1"/>
  <c r="T542" i="19"/>
  <c r="U542" i="19" s="1"/>
  <c r="T396" i="19"/>
  <c r="U396" i="19" s="1"/>
  <c r="T564" i="19"/>
  <c r="U564" i="19" s="1"/>
  <c r="T375" i="19"/>
  <c r="U375" i="19" s="1"/>
  <c r="T572" i="19"/>
  <c r="U572" i="19" s="1"/>
  <c r="T872" i="19"/>
  <c r="U872" i="19" s="1"/>
  <c r="T374" i="19"/>
  <c r="U374" i="19" s="1"/>
  <c r="T1196" i="19"/>
  <c r="U1196" i="19" s="1"/>
  <c r="T1059" i="19"/>
  <c r="U1059" i="19" s="1"/>
  <c r="T835" i="19"/>
  <c r="U835" i="19" s="1"/>
  <c r="T1185" i="19"/>
  <c r="U1185" i="19" s="1"/>
  <c r="T708" i="19"/>
  <c r="U708" i="19" s="1"/>
  <c r="T1237" i="19"/>
  <c r="U1237" i="19" s="1"/>
  <c r="T581" i="19"/>
  <c r="U581" i="19" s="1"/>
  <c r="T513" i="19"/>
  <c r="U513" i="19" s="1"/>
  <c r="T411" i="19"/>
  <c r="U411" i="19" s="1"/>
  <c r="T632" i="19"/>
  <c r="U632" i="19" s="1"/>
  <c r="T398" i="19"/>
  <c r="U398" i="19" s="1"/>
  <c r="T582" i="19"/>
  <c r="U582" i="19" s="1"/>
  <c r="T640" i="19"/>
  <c r="U640" i="19" s="1"/>
  <c r="T837" i="19"/>
  <c r="U837" i="19" s="1"/>
  <c r="T1126" i="19"/>
  <c r="U1126" i="19" s="1"/>
  <c r="T965" i="19"/>
  <c r="U965" i="19" s="1"/>
  <c r="T944" i="19"/>
  <c r="U944" i="19" s="1"/>
  <c r="T1207" i="19"/>
  <c r="U1207" i="19" s="1"/>
  <c r="T680" i="19"/>
  <c r="U680" i="19" s="1"/>
  <c r="T986" i="19"/>
  <c r="U986" i="19" s="1"/>
  <c r="T399" i="19"/>
  <c r="U399" i="19" s="1"/>
  <c r="T443" i="19"/>
  <c r="U443" i="19" s="1"/>
  <c r="T574" i="19"/>
  <c r="U574" i="19" s="1"/>
  <c r="T1236" i="19"/>
  <c r="U1236" i="19" s="1"/>
  <c r="T893" i="19"/>
  <c r="U893" i="19" s="1"/>
  <c r="T887" i="19"/>
  <c r="U887" i="19" s="1"/>
  <c r="T583" i="19"/>
  <c r="U583" i="19" s="1"/>
  <c r="T1225" i="19"/>
  <c r="U1225" i="19" s="1"/>
  <c r="T991" i="19"/>
  <c r="U991" i="19" s="1"/>
  <c r="T917" i="19"/>
  <c r="U917" i="19" s="1"/>
  <c r="T408" i="19"/>
  <c r="U408" i="19" s="1"/>
  <c r="T401" i="19"/>
  <c r="U401" i="19" s="1"/>
  <c r="T491" i="19"/>
  <c r="U491" i="19" s="1"/>
  <c r="T953" i="19"/>
  <c r="U953" i="19" s="1"/>
  <c r="T1179" i="19"/>
  <c r="U1179" i="19" s="1"/>
  <c r="T926" i="19"/>
  <c r="U926" i="19" s="1"/>
  <c r="T378" i="19"/>
  <c r="U378" i="19" s="1"/>
  <c r="T751" i="19"/>
  <c r="U751" i="19" s="1"/>
  <c r="T1133" i="19"/>
  <c r="U1133" i="19" s="1"/>
  <c r="T730" i="19"/>
  <c r="U730" i="19" s="1"/>
  <c r="T919" i="19"/>
  <c r="U919" i="19" s="1"/>
  <c r="T1103" i="19"/>
  <c r="U1103" i="19" s="1"/>
  <c r="T447" i="19"/>
  <c r="U447" i="19" s="1"/>
  <c r="T1062" i="19"/>
  <c r="U1062" i="19" s="1"/>
  <c r="T853" i="19"/>
  <c r="U853" i="19" s="1"/>
  <c r="T631" i="19"/>
  <c r="U631" i="19" s="1"/>
  <c r="T422" i="19"/>
  <c r="U422" i="19" s="1"/>
  <c r="T390" i="19"/>
  <c r="U390" i="19" s="1"/>
  <c r="T801" i="19"/>
  <c r="U801" i="19" s="1"/>
  <c r="T380" i="19"/>
  <c r="U380" i="19" s="1"/>
  <c r="T700" i="19"/>
  <c r="U700" i="19" s="1"/>
  <c r="T592" i="19"/>
  <c r="U592" i="19" s="1"/>
  <c r="T579" i="19"/>
  <c r="U579" i="19" s="1"/>
  <c r="T1068" i="19"/>
  <c r="U1068" i="19" s="1"/>
  <c r="T955" i="19"/>
  <c r="U955" i="19" s="1"/>
  <c r="T665" i="19"/>
  <c r="U665" i="19" s="1"/>
  <c r="T468" i="19"/>
  <c r="U468" i="19" s="1"/>
  <c r="T576" i="19"/>
  <c r="U576" i="19" s="1"/>
  <c r="T662" i="19"/>
  <c r="U662" i="19" s="1"/>
  <c r="T969" i="19"/>
  <c r="U969" i="19" s="1"/>
  <c r="T616" i="19"/>
  <c r="U616" i="19" s="1"/>
  <c r="T642" i="19"/>
  <c r="U642" i="19" s="1"/>
  <c r="T1113" i="19"/>
  <c r="U1113" i="19" s="1"/>
  <c r="T1151" i="19"/>
  <c r="U1151" i="19" s="1"/>
  <c r="T601" i="19"/>
  <c r="U601" i="19" s="1"/>
  <c r="T975" i="19"/>
  <c r="U975" i="19" s="1"/>
  <c r="T878" i="19"/>
  <c r="U878" i="19" s="1"/>
  <c r="T819" i="19"/>
  <c r="U819" i="19" s="1"/>
  <c r="T1160" i="19"/>
  <c r="U1160" i="19" s="1"/>
  <c r="T1213" i="19"/>
  <c r="U1213" i="19" s="1"/>
  <c r="T779" i="19"/>
  <c r="U779" i="19" s="1"/>
  <c r="T1048" i="19"/>
  <c r="U1048" i="19" s="1"/>
  <c r="T630" i="19"/>
  <c r="U630" i="19" s="1"/>
  <c r="T747" i="19"/>
  <c r="U747" i="19" s="1"/>
  <c r="T831" i="19"/>
  <c r="U831" i="19" s="1"/>
  <c r="T918" i="19"/>
  <c r="U918" i="19" s="1"/>
  <c r="T474" i="19"/>
  <c r="U474" i="19" s="1"/>
  <c r="T795" i="19"/>
  <c r="U795" i="19" s="1"/>
  <c r="T961" i="19"/>
  <c r="U961" i="19" s="1"/>
  <c r="T524" i="19"/>
  <c r="U524" i="19" s="1"/>
  <c r="T485" i="19"/>
  <c r="U485" i="19" s="1"/>
  <c r="T1129" i="19"/>
  <c r="U1129" i="19" s="1"/>
  <c r="T896" i="19"/>
  <c r="U896" i="19" s="1"/>
  <c r="T1006" i="19"/>
  <c r="U1006" i="19" s="1"/>
  <c r="T536" i="19"/>
  <c r="U536" i="19" s="1"/>
  <c r="T712" i="19"/>
  <c r="U712" i="19" s="1"/>
  <c r="T786" i="19"/>
  <c r="U786" i="19" s="1"/>
  <c r="T622" i="19"/>
  <c r="U622" i="19" s="1"/>
  <c r="T765" i="19"/>
  <c r="U765" i="19" s="1"/>
  <c r="T638" i="19"/>
  <c r="U638" i="19" s="1"/>
  <c r="T618" i="19"/>
  <c r="U618" i="19" s="1"/>
  <c r="T1243" i="19"/>
  <c r="U1243" i="19" s="1"/>
  <c r="T514" i="19"/>
  <c r="U514" i="19" s="1"/>
  <c r="T703" i="19"/>
  <c r="U703" i="19" s="1"/>
  <c r="T1121" i="19"/>
  <c r="U1121" i="19" s="1"/>
  <c r="T570" i="19"/>
  <c r="U570" i="19" s="1"/>
  <c r="T1120" i="19"/>
  <c r="U1120" i="19" s="1"/>
  <c r="T1137" i="19"/>
  <c r="U1137" i="19" s="1"/>
  <c r="T486" i="19"/>
  <c r="U486" i="19" s="1"/>
  <c r="T598" i="19"/>
  <c r="U598" i="19" s="1"/>
  <c r="T385" i="19"/>
  <c r="U385" i="19" s="1"/>
  <c r="T654" i="19"/>
  <c r="U654" i="19" s="1"/>
  <c r="T563" i="19"/>
  <c r="U563" i="19" s="1"/>
  <c r="T1214" i="19"/>
  <c r="U1214" i="19" s="1"/>
  <c r="T920" i="19"/>
  <c r="U920" i="19" s="1"/>
  <c r="T763" i="19"/>
  <c r="U763" i="19" s="1"/>
  <c r="T856" i="19"/>
  <c r="U856" i="19" s="1"/>
  <c r="T881" i="19"/>
  <c r="U881" i="19" s="1"/>
  <c r="T1097" i="19"/>
  <c r="U1097" i="19" s="1"/>
  <c r="T1171" i="19"/>
  <c r="U1171" i="19" s="1"/>
  <c r="T721" i="19"/>
  <c r="U721" i="19" s="1"/>
  <c r="T966" i="19"/>
  <c r="U966" i="19" s="1"/>
  <c r="T672" i="19"/>
  <c r="U672" i="19" s="1"/>
  <c r="T673" i="19"/>
  <c r="U673" i="19" s="1"/>
  <c r="T649" i="19"/>
  <c r="U649" i="19" s="1"/>
  <c r="T567" i="19"/>
  <c r="U567" i="19" s="1"/>
  <c r="T1181" i="19"/>
  <c r="U1181" i="19" s="1"/>
  <c r="T815" i="19"/>
  <c r="U815" i="19" s="1"/>
  <c r="T1159" i="19"/>
  <c r="U1159" i="19" s="1"/>
  <c r="T855" i="19"/>
  <c r="U855" i="19" s="1"/>
  <c r="T783" i="19"/>
  <c r="U783" i="19" s="1"/>
  <c r="T1085" i="19"/>
  <c r="U1085" i="19" s="1"/>
  <c r="T1212" i="19"/>
  <c r="U1212" i="19" s="1"/>
  <c r="T822" i="19"/>
  <c r="U822" i="19" s="1"/>
  <c r="T595" i="19"/>
  <c r="U595" i="19" s="1"/>
  <c r="T1170" i="19"/>
  <c r="U1170" i="19" s="1"/>
  <c r="T540" i="19"/>
  <c r="U540" i="19" s="1"/>
  <c r="T812" i="19"/>
  <c r="U812" i="19" s="1"/>
  <c r="T773" i="19"/>
  <c r="U773" i="19" s="1"/>
  <c r="T734" i="19"/>
  <c r="U734" i="19" s="1"/>
  <c r="T971" i="19"/>
  <c r="U971" i="19" s="1"/>
  <c r="T558" i="19"/>
  <c r="U558" i="19" s="1"/>
  <c r="T714" i="19"/>
  <c r="U714" i="19" s="1"/>
  <c r="T418" i="19"/>
  <c r="U418" i="19" s="1"/>
  <c r="T655" i="19"/>
  <c r="U655" i="19" s="1"/>
  <c r="T1064" i="19"/>
  <c r="U1064" i="19" s="1"/>
  <c r="T803" i="19"/>
  <c r="U803" i="19" s="1"/>
  <c r="T726" i="19"/>
  <c r="U726" i="19" s="1"/>
  <c r="T810" i="19"/>
  <c r="U810" i="19" s="1"/>
  <c r="T772" i="19"/>
  <c r="U772" i="19" s="1"/>
  <c r="T521" i="19"/>
  <c r="U521" i="19" s="1"/>
  <c r="T909" i="19"/>
  <c r="U909" i="19" s="1"/>
  <c r="T1132" i="19"/>
  <c r="U1132" i="19" s="1"/>
  <c r="T1153" i="19"/>
  <c r="U1153" i="19" s="1"/>
  <c r="T743" i="19"/>
  <c r="U743" i="19" s="1"/>
  <c r="T901" i="19"/>
  <c r="U901" i="19" s="1"/>
  <c r="T1058" i="19"/>
  <c r="U1058" i="19" s="1"/>
  <c r="T562" i="19"/>
  <c r="U562" i="19" s="1"/>
  <c r="T537" i="19"/>
  <c r="U537" i="19" s="1"/>
  <c r="T891" i="19"/>
  <c r="U891" i="19" s="1"/>
  <c r="T764" i="19"/>
  <c r="U764" i="19" s="1"/>
  <c r="T383" i="19"/>
  <c r="U383" i="19" s="1"/>
  <c r="T603" i="19"/>
  <c r="U603" i="19" s="1"/>
  <c r="T600" i="19"/>
  <c r="U600" i="19" s="1"/>
  <c r="T1036" i="19"/>
  <c r="U1036" i="19" s="1"/>
  <c r="T778" i="19"/>
  <c r="U778" i="19" s="1"/>
  <c r="T1060" i="19"/>
  <c r="U1060" i="19" s="1"/>
  <c r="T504" i="19"/>
  <c r="U504" i="19" s="1"/>
  <c r="T637" i="19"/>
  <c r="U637" i="19" s="1"/>
  <c r="T684" i="19"/>
  <c r="U684" i="19" s="1"/>
  <c r="T1084" i="19"/>
  <c r="U1084" i="19" s="1"/>
  <c r="T416" i="19"/>
  <c r="U416" i="19" s="1"/>
  <c r="T1130" i="19"/>
  <c r="U1130" i="19" s="1"/>
  <c r="T707" i="19"/>
  <c r="U707" i="19" s="1"/>
  <c r="T544" i="19"/>
  <c r="U544" i="19" s="1"/>
  <c r="T1199" i="19"/>
  <c r="U1199" i="19" s="1"/>
  <c r="T1104" i="19"/>
  <c r="U1104" i="19" s="1"/>
  <c r="T752" i="19"/>
  <c r="U752" i="19" s="1"/>
  <c r="T433" i="19"/>
  <c r="U433" i="19" s="1"/>
  <c r="T439" i="19"/>
  <c r="U439" i="19" s="1"/>
  <c r="T1032" i="19"/>
  <c r="U1032" i="19" s="1"/>
  <c r="T1009" i="19"/>
  <c r="U1009" i="19" s="1"/>
  <c r="T525" i="19"/>
  <c r="U525" i="19" s="1"/>
  <c r="T834" i="19"/>
  <c r="U834" i="19" s="1"/>
  <c r="T1216" i="19"/>
  <c r="U1216" i="19" s="1"/>
  <c r="T1239" i="19"/>
  <c r="U1239" i="19" s="1"/>
  <c r="T643" i="19"/>
  <c r="U643" i="19" s="1"/>
  <c r="T724" i="19"/>
  <c r="U724" i="19" s="1"/>
  <c r="T963" i="19"/>
  <c r="U963" i="19" s="1"/>
  <c r="T1227" i="19"/>
  <c r="U1227" i="19" s="1"/>
  <c r="T387" i="19"/>
  <c r="U387" i="19" s="1"/>
  <c r="T1124" i="19"/>
  <c r="U1124" i="19" s="1"/>
  <c r="T559" i="19"/>
  <c r="U559" i="19" s="1"/>
  <c r="T656" i="19"/>
  <c r="U656" i="19" s="1"/>
  <c r="T972" i="19"/>
  <c r="U972" i="19" s="1"/>
  <c r="T924" i="19"/>
  <c r="U924" i="19" s="1"/>
  <c r="T1140" i="19"/>
  <c r="U1140" i="19" s="1"/>
  <c r="T956" i="19"/>
  <c r="U956" i="19" s="1"/>
  <c r="T829" i="19"/>
  <c r="U829" i="19" s="1"/>
  <c r="T976" i="19"/>
  <c r="U976" i="19" s="1"/>
  <c r="T908" i="19"/>
  <c r="U908" i="19" s="1"/>
  <c r="T709" i="19"/>
  <c r="U709" i="19" s="1"/>
  <c r="T625" i="19"/>
  <c r="U625" i="19" s="1"/>
  <c r="T434" i="19"/>
  <c r="U434" i="19" s="1"/>
  <c r="T1074" i="19"/>
  <c r="U1074" i="19" s="1"/>
  <c r="T903" i="19"/>
  <c r="U903" i="19" s="1"/>
  <c r="T606" i="19"/>
  <c r="U606" i="19" s="1"/>
  <c r="T904" i="19"/>
  <c r="U904" i="19" s="1"/>
  <c r="T425" i="19"/>
  <c r="U425" i="19" s="1"/>
  <c r="T1073" i="19"/>
  <c r="U1073" i="19" s="1"/>
  <c r="T568" i="19"/>
  <c r="U568" i="19" s="1"/>
  <c r="T848" i="19"/>
  <c r="U848" i="19" s="1"/>
  <c r="T1149" i="19"/>
  <c r="U1149" i="19" s="1"/>
  <c r="T1114" i="19"/>
  <c r="U1114" i="19" s="1"/>
  <c r="T999" i="19"/>
  <c r="U999" i="19" s="1"/>
  <c r="T646" i="19"/>
  <c r="U646" i="19" s="1"/>
  <c r="T728" i="19"/>
  <c r="U728" i="19" s="1"/>
  <c r="T767" i="19"/>
  <c r="U767" i="19" s="1"/>
  <c r="T1217" i="19"/>
  <c r="U1217" i="19" s="1"/>
  <c r="T407" i="19"/>
  <c r="U407" i="19" s="1"/>
  <c r="T1116" i="19"/>
  <c r="U1116" i="19" s="1"/>
  <c r="T898" i="19"/>
  <c r="U898" i="19" s="1"/>
  <c r="T1049" i="19"/>
  <c r="U1049" i="19" s="1"/>
  <c r="T482" i="19"/>
  <c r="U482" i="19" s="1"/>
  <c r="T998" i="19"/>
  <c r="U998" i="19" s="1"/>
  <c r="T988" i="19"/>
  <c r="U988" i="19" s="1"/>
  <c r="T634" i="19"/>
  <c r="U634" i="19" s="1"/>
  <c r="T940" i="19"/>
  <c r="U940" i="19" s="1"/>
  <c r="T982" i="19"/>
  <c r="U982" i="19" s="1"/>
  <c r="T1169" i="19"/>
  <c r="U1169" i="19" s="1"/>
  <c r="T1122" i="19"/>
  <c r="U1122" i="19" s="1"/>
  <c r="T471" i="19"/>
  <c r="U471" i="19" s="1"/>
  <c r="T1016" i="19"/>
  <c r="U1016" i="19" s="1"/>
  <c r="T1128" i="19"/>
  <c r="U1128" i="19" s="1"/>
  <c r="T551" i="19"/>
  <c r="U551" i="19" s="1"/>
  <c r="T742" i="19"/>
  <c r="U742" i="19" s="1"/>
  <c r="T821" i="19"/>
  <c r="U821" i="19" s="1"/>
  <c r="T501" i="19"/>
  <c r="U501" i="19" s="1"/>
  <c r="T426" i="19"/>
  <c r="U426" i="19" s="1"/>
  <c r="T676" i="19"/>
  <c r="U676" i="19" s="1"/>
  <c r="T1234" i="19"/>
  <c r="U1234" i="19" s="1"/>
  <c r="T597" i="19"/>
  <c r="U597" i="19" s="1"/>
  <c r="T702" i="19"/>
  <c r="U702" i="19" s="1"/>
  <c r="T1224" i="19"/>
  <c r="U1224" i="19" s="1"/>
  <c r="T415" i="19"/>
  <c r="U415" i="19" s="1"/>
  <c r="T1000" i="19"/>
  <c r="U1000" i="19" s="1"/>
  <c r="T612" i="19"/>
  <c r="U612" i="19" s="1"/>
  <c r="T927" i="19"/>
  <c r="U927" i="19" s="1"/>
  <c r="T973" i="19"/>
  <c r="U973" i="19" s="1"/>
  <c r="T483" i="19"/>
  <c r="U483" i="19" s="1"/>
  <c r="T678" i="19"/>
  <c r="U678" i="19" s="1"/>
  <c r="T1020" i="19"/>
  <c r="U1020" i="19" s="1"/>
  <c r="T766" i="19"/>
  <c r="U766" i="19" s="1"/>
  <c r="T1123" i="19"/>
  <c r="U1123" i="19" s="1"/>
  <c r="T725" i="19"/>
  <c r="U725" i="19" s="1"/>
  <c r="T1144" i="19"/>
  <c r="U1144" i="19" s="1"/>
  <c r="T394" i="19"/>
  <c r="U394" i="19" s="1"/>
  <c r="T488" i="19"/>
  <c r="U488" i="19" s="1"/>
  <c r="T1087" i="19"/>
  <c r="U1087" i="19" s="1"/>
  <c r="T880" i="19"/>
  <c r="U880" i="19" s="1"/>
  <c r="T798" i="19"/>
  <c r="U798" i="19" s="1"/>
  <c r="T648" i="19"/>
  <c r="U648" i="19" s="1"/>
  <c r="T937" i="19"/>
  <c r="U937" i="19" s="1"/>
  <c r="T1010" i="19"/>
  <c r="U1010" i="19" s="1"/>
  <c r="T1147" i="19"/>
  <c r="U1147" i="19" s="1"/>
  <c r="T661" i="19"/>
  <c r="U661" i="19" s="1"/>
  <c r="T796" i="19"/>
  <c r="U796" i="19" s="1"/>
  <c r="T1094" i="19"/>
  <c r="U1094" i="19" s="1"/>
  <c r="T686" i="19"/>
  <c r="U686" i="19" s="1"/>
  <c r="T615" i="19"/>
  <c r="U615" i="19" s="1"/>
  <c r="T477" i="19"/>
  <c r="U477" i="19" s="1"/>
  <c r="T543" i="19"/>
  <c r="U543" i="19" s="1"/>
  <c r="T1215" i="19"/>
  <c r="U1215" i="19" s="1"/>
  <c r="T1107" i="19"/>
  <c r="U1107" i="19" s="1"/>
  <c r="T534" i="19"/>
  <c r="U534" i="19" s="1"/>
  <c r="T516" i="19"/>
  <c r="U516" i="19" s="1"/>
  <c r="T506" i="19"/>
  <c r="U506" i="19" s="1"/>
  <c r="T480" i="19"/>
  <c r="U480" i="19" s="1"/>
  <c r="T456" i="19"/>
  <c r="U456" i="19" s="1"/>
  <c r="T1173" i="19"/>
  <c r="U1173" i="19" s="1"/>
  <c r="T427" i="19"/>
  <c r="U427" i="19" s="1"/>
  <c r="T916" i="19"/>
  <c r="U916" i="19" s="1"/>
  <c r="T395" i="19"/>
  <c r="U395" i="19" s="1"/>
  <c r="T964" i="19"/>
  <c r="U964" i="19" s="1"/>
  <c r="T930" i="19"/>
  <c r="U930" i="19" s="1"/>
  <c r="C29" i="30"/>
  <c r="C12" i="30"/>
  <c r="AB152" i="19" l="1"/>
  <c r="AB118" i="19"/>
  <c r="AB71" i="19"/>
  <c r="AB23" i="19"/>
  <c r="AB39" i="19"/>
  <c r="AB57" i="19"/>
  <c r="AB107" i="19"/>
  <c r="AB87" i="19"/>
  <c r="AB19" i="19"/>
  <c r="AB6" i="19"/>
  <c r="AB138" i="19"/>
  <c r="AB4" i="19"/>
  <c r="AB148" i="19"/>
  <c r="AB53" i="19"/>
  <c r="AB75" i="19"/>
  <c r="AB34" i="19"/>
  <c r="AB165" i="19"/>
  <c r="AB122" i="19"/>
  <c r="AB153" i="19"/>
  <c r="AB168" i="19"/>
  <c r="AB128" i="19"/>
  <c r="AB130" i="19"/>
  <c r="AB115" i="19"/>
  <c r="AB129" i="19"/>
  <c r="AB109" i="19"/>
  <c r="AB175" i="19"/>
  <c r="AB169" i="19"/>
  <c r="AB16" i="19"/>
  <c r="AB160" i="19"/>
  <c r="AB65" i="19"/>
  <c r="AB132" i="19"/>
  <c r="AB91" i="19"/>
  <c r="AB48" i="19"/>
  <c r="AB7" i="19"/>
  <c r="AB174" i="19"/>
  <c r="AB154" i="19"/>
  <c r="AB81" i="19"/>
  <c r="AB155" i="19"/>
  <c r="AB158" i="19"/>
  <c r="AB58" i="19"/>
  <c r="AB77" i="19"/>
  <c r="AB21" i="19"/>
  <c r="AB56" i="19"/>
  <c r="AB28" i="19"/>
  <c r="AB172" i="19"/>
  <c r="AB146" i="19"/>
  <c r="AB105" i="19"/>
  <c r="AB62" i="19"/>
  <c r="AB139" i="19"/>
  <c r="AB40" i="19"/>
  <c r="AB89" i="19"/>
  <c r="AB11" i="19"/>
  <c r="AB162" i="19"/>
  <c r="AB119" i="19"/>
  <c r="AB78" i="19"/>
  <c r="AB35" i="19"/>
  <c r="AB166" i="19"/>
  <c r="AB30" i="19"/>
  <c r="AB86" i="19"/>
  <c r="AB84" i="19"/>
  <c r="AB114" i="19"/>
  <c r="AB64" i="19"/>
  <c r="AB147" i="19"/>
  <c r="AB22" i="19"/>
  <c r="AB45" i="19"/>
  <c r="AB27" i="19"/>
  <c r="AB50" i="19"/>
  <c r="AB10" i="19"/>
  <c r="AB157" i="19"/>
  <c r="AB26" i="19"/>
  <c r="AB70" i="19"/>
  <c r="AB52" i="19"/>
  <c r="AB101" i="19"/>
  <c r="AB25" i="19"/>
  <c r="AB2" i="19"/>
  <c r="AB133" i="19"/>
  <c r="AB92" i="19"/>
  <c r="AB49" i="19"/>
  <c r="AB8" i="19"/>
  <c r="AB167" i="19"/>
  <c r="AB9" i="19"/>
  <c r="AB143" i="19"/>
  <c r="AB15" i="19"/>
  <c r="AB106" i="19"/>
  <c r="AB31" i="19"/>
  <c r="AB73" i="19"/>
  <c r="AB141" i="19"/>
  <c r="AB36" i="19"/>
  <c r="AB131" i="19"/>
  <c r="AB93" i="19"/>
  <c r="AB95" i="19"/>
  <c r="AB54" i="19"/>
  <c r="AB144" i="19"/>
  <c r="AB13" i="19"/>
  <c r="AB44" i="19"/>
  <c r="AB51" i="19"/>
  <c r="AB113" i="19"/>
  <c r="AB18" i="19"/>
  <c r="AB63" i="19"/>
  <c r="AB37" i="19"/>
  <c r="AB12" i="19"/>
  <c r="AB98" i="19"/>
  <c r="AB156" i="19"/>
  <c r="AB76" i="19"/>
  <c r="AB125" i="19"/>
  <c r="AB55" i="19"/>
  <c r="AB32" i="19"/>
  <c r="AB163" i="19"/>
  <c r="AB120" i="19"/>
  <c r="AB79" i="19"/>
  <c r="AB59" i="19"/>
  <c r="AB67" i="19"/>
  <c r="AB103" i="19"/>
  <c r="AB24" i="19"/>
  <c r="AB142" i="19"/>
  <c r="AB140" i="19"/>
  <c r="AB96" i="19"/>
  <c r="AB102" i="19"/>
  <c r="AB126" i="19"/>
  <c r="AB99" i="19"/>
  <c r="AB88" i="19"/>
  <c r="AB137" i="19"/>
  <c r="AB69" i="19"/>
  <c r="AB46" i="19"/>
  <c r="AB3" i="19"/>
  <c r="AB177" i="19"/>
  <c r="AB134" i="19"/>
  <c r="AB117" i="19"/>
  <c r="AB82" i="19"/>
  <c r="AB38" i="19"/>
  <c r="AB110" i="19"/>
  <c r="AB100" i="19"/>
  <c r="AB5" i="19"/>
  <c r="AB149" i="19"/>
  <c r="AB83" i="19"/>
  <c r="AB60" i="19"/>
  <c r="AB150" i="19"/>
  <c r="AB66" i="19"/>
  <c r="AB123" i="19"/>
  <c r="AB116" i="19"/>
  <c r="AB112" i="19"/>
  <c r="AB17" i="19"/>
  <c r="AB161" i="19"/>
  <c r="AB97" i="19"/>
  <c r="AB74" i="19"/>
  <c r="AB33" i="19"/>
  <c r="AB164" i="19"/>
  <c r="AB121" i="19"/>
  <c r="AB80" i="19"/>
  <c r="AB170" i="19"/>
  <c r="AB145" i="19"/>
  <c r="AB68" i="19"/>
  <c r="AB42" i="19"/>
  <c r="AB159" i="19"/>
  <c r="AB43" i="19"/>
  <c r="AB14" i="19"/>
  <c r="AB72" i="19"/>
  <c r="AB124" i="19"/>
  <c r="AB29" i="19"/>
  <c r="AB173" i="19"/>
  <c r="AB111" i="19"/>
  <c r="AB90" i="19"/>
  <c r="AB47" i="19"/>
  <c r="AB135" i="19"/>
  <c r="AB94" i="19"/>
  <c r="AB171" i="19"/>
  <c r="AB85" i="19"/>
  <c r="AB136" i="19"/>
  <c r="AB41" i="19"/>
  <c r="AB127" i="19"/>
  <c r="AB104" i="19"/>
  <c r="AB61" i="19"/>
  <c r="AB20" i="19"/>
  <c r="AB151" i="19"/>
  <c r="AB108" i="19"/>
  <c r="C18" i="23"/>
  <c r="C17" i="23"/>
  <c r="C2" i="46"/>
  <c r="V173" i="19"/>
  <c r="V161" i="19"/>
  <c r="V149" i="19"/>
  <c r="V137" i="19"/>
  <c r="V125" i="19"/>
  <c r="V113" i="19"/>
  <c r="V101" i="19"/>
  <c r="V87" i="19"/>
  <c r="V75" i="19"/>
  <c r="V63" i="19"/>
  <c r="V51" i="19"/>
  <c r="V39" i="19"/>
  <c r="V27" i="19"/>
  <c r="V15" i="19"/>
  <c r="V3" i="19"/>
  <c r="V171" i="19"/>
  <c r="V159" i="19"/>
  <c r="V147" i="19"/>
  <c r="V135" i="19"/>
  <c r="V123" i="19"/>
  <c r="V111" i="19"/>
  <c r="V99" i="19"/>
  <c r="V85" i="19"/>
  <c r="V73" i="19"/>
  <c r="V61" i="19"/>
  <c r="V49" i="19"/>
  <c r="V37" i="19"/>
  <c r="V25" i="19"/>
  <c r="V13" i="19"/>
  <c r="V170" i="19"/>
  <c r="V158" i="19"/>
  <c r="V146" i="19"/>
  <c r="V134" i="19"/>
  <c r="V122" i="19"/>
  <c r="V110" i="19"/>
  <c r="V98" i="19"/>
  <c r="V84" i="19"/>
  <c r="V72" i="19"/>
  <c r="V60" i="19"/>
  <c r="V48" i="19"/>
  <c r="V36" i="19"/>
  <c r="V24" i="19"/>
  <c r="V12" i="19"/>
  <c r="V169" i="19"/>
  <c r="V157" i="19"/>
  <c r="V145" i="19"/>
  <c r="V133" i="19"/>
  <c r="V121" i="19"/>
  <c r="V109" i="19"/>
  <c r="V97" i="19"/>
  <c r="V83" i="19"/>
  <c r="V71" i="19"/>
  <c r="V59" i="19"/>
  <c r="V47" i="19"/>
  <c r="V35" i="19"/>
  <c r="V23" i="19"/>
  <c r="V11" i="19"/>
  <c r="V168" i="19"/>
  <c r="V156" i="19"/>
  <c r="V144" i="19"/>
  <c r="V132" i="19"/>
  <c r="V120" i="19"/>
  <c r="V108" i="19"/>
  <c r="V96" i="19"/>
  <c r="V82" i="19"/>
  <c r="V70" i="19"/>
  <c r="V58" i="19"/>
  <c r="V46" i="19"/>
  <c r="V34" i="19"/>
  <c r="V22" i="19"/>
  <c r="V10" i="19"/>
  <c r="V167" i="19"/>
  <c r="V155" i="19"/>
  <c r="V143" i="19"/>
  <c r="V131" i="19"/>
  <c r="V119" i="19"/>
  <c r="V107" i="19"/>
  <c r="V95" i="19"/>
  <c r="V81" i="19"/>
  <c r="V69" i="19"/>
  <c r="V57" i="19"/>
  <c r="V45" i="19"/>
  <c r="V33" i="19"/>
  <c r="V21" i="19"/>
  <c r="V9" i="19"/>
  <c r="V166" i="19"/>
  <c r="V154" i="19"/>
  <c r="V142" i="19"/>
  <c r="V130" i="19"/>
  <c r="V118" i="19"/>
  <c r="V106" i="19"/>
  <c r="V94" i="19"/>
  <c r="V80" i="19"/>
  <c r="V68" i="19"/>
  <c r="V56" i="19"/>
  <c r="V44" i="19"/>
  <c r="V32" i="19"/>
  <c r="V20" i="19"/>
  <c r="V8" i="19"/>
  <c r="V177" i="19"/>
  <c r="V165" i="19"/>
  <c r="V153" i="19"/>
  <c r="V141" i="19"/>
  <c r="V129" i="19"/>
  <c r="V117" i="19"/>
  <c r="V105" i="19"/>
  <c r="V91" i="19"/>
  <c r="V79" i="19"/>
  <c r="V67" i="19"/>
  <c r="V55" i="19"/>
  <c r="V43" i="19"/>
  <c r="V31" i="19"/>
  <c r="V19" i="19"/>
  <c r="V7" i="19"/>
  <c r="V164" i="19"/>
  <c r="V152" i="19"/>
  <c r="V140" i="19"/>
  <c r="V128" i="19"/>
  <c r="V116" i="19"/>
  <c r="V104" i="19"/>
  <c r="V90" i="19"/>
  <c r="V78" i="19"/>
  <c r="V66" i="19"/>
  <c r="V54" i="19"/>
  <c r="V42" i="19"/>
  <c r="V30" i="19"/>
  <c r="V18" i="19"/>
  <c r="V6" i="19"/>
  <c r="V175" i="19"/>
  <c r="V163" i="19"/>
  <c r="V151" i="19"/>
  <c r="V139" i="19"/>
  <c r="V127" i="19"/>
  <c r="V115" i="19"/>
  <c r="V103" i="19"/>
  <c r="V89" i="19"/>
  <c r="V77" i="19"/>
  <c r="V65" i="19"/>
  <c r="V53" i="19"/>
  <c r="V41" i="19"/>
  <c r="V29" i="19"/>
  <c r="V17" i="19"/>
  <c r="V5" i="19"/>
  <c r="V174" i="19"/>
  <c r="V162" i="19"/>
  <c r="V150" i="19"/>
  <c r="V138" i="19"/>
  <c r="V126" i="19"/>
  <c r="V114" i="19"/>
  <c r="V102" i="19"/>
  <c r="V88" i="19"/>
  <c r="V76" i="19"/>
  <c r="V64" i="19"/>
  <c r="V52" i="19"/>
  <c r="V40" i="19"/>
  <c r="V28" i="19"/>
  <c r="V16" i="19"/>
  <c r="V4" i="19"/>
  <c r="V172" i="19"/>
  <c r="V160" i="19"/>
  <c r="V148" i="19"/>
  <c r="V136" i="19"/>
  <c r="V124" i="19"/>
  <c r="V112" i="19"/>
  <c r="V100" i="19"/>
  <c r="V86" i="19"/>
  <c r="V74" i="19"/>
  <c r="V62" i="19"/>
  <c r="V50" i="19"/>
  <c r="V38" i="19"/>
  <c r="V26" i="19"/>
  <c r="V14" i="19"/>
  <c r="V2" i="19"/>
  <c r="B202" i="46" l="1"/>
  <c r="B206" i="46"/>
  <c r="I22" i="44"/>
  <c r="I23" i="44"/>
  <c r="I24" i="44"/>
  <c r="I25" i="44"/>
  <c r="I26" i="44"/>
  <c r="I27" i="44"/>
  <c r="I28" i="44"/>
  <c r="I29" i="44"/>
  <c r="I30" i="44"/>
  <c r="I31" i="44"/>
  <c r="I32" i="44"/>
  <c r="I33" i="44"/>
  <c r="I34" i="44"/>
  <c r="I35" i="44"/>
  <c r="I36" i="44"/>
  <c r="I37" i="44"/>
  <c r="I38" i="44"/>
  <c r="I39" i="44"/>
  <c r="I40" i="44"/>
  <c r="I41" i="44"/>
  <c r="I42" i="44"/>
  <c r="I43" i="44"/>
  <c r="I44" i="44"/>
  <c r="C37" i="44"/>
  <c r="G37" i="44"/>
  <c r="L37" i="44"/>
  <c r="L22" i="44"/>
  <c r="L23" i="44"/>
  <c r="L24" i="44"/>
  <c r="L25" i="44"/>
  <c r="L26" i="44"/>
  <c r="L27" i="44"/>
  <c r="L28" i="44"/>
  <c r="L29" i="44"/>
  <c r="L30" i="44"/>
  <c r="L31" i="44"/>
  <c r="L32" i="44"/>
  <c r="L33" i="44"/>
  <c r="L34" i="44"/>
  <c r="L35" i="44"/>
  <c r="L36" i="44"/>
  <c r="L38" i="44"/>
  <c r="L39" i="44"/>
  <c r="L40" i="44"/>
  <c r="L41" i="44"/>
  <c r="L42" i="44"/>
  <c r="L43" i="44"/>
  <c r="L44" i="44"/>
  <c r="L45" i="44"/>
  <c r="L21" i="44"/>
  <c r="I21" i="44"/>
  <c r="C43" i="44"/>
  <c r="G43" i="44"/>
  <c r="C44" i="44"/>
  <c r="G44" i="44"/>
  <c r="C42" i="44"/>
  <c r="G42" i="44"/>
  <c r="C41" i="44"/>
  <c r="G41" i="44"/>
  <c r="C39" i="44"/>
  <c r="G39" i="44"/>
  <c r="C40" i="44"/>
  <c r="G40" i="44"/>
  <c r="C35" i="44"/>
  <c r="G35" i="44"/>
  <c r="C33" i="44"/>
  <c r="G33" i="44"/>
  <c r="C30" i="44"/>
  <c r="G30" i="44"/>
  <c r="C31" i="44"/>
  <c r="G31" i="44"/>
  <c r="C32" i="44"/>
  <c r="G32" i="44"/>
  <c r="C29" i="44"/>
  <c r="G29" i="44"/>
  <c r="G22" i="44"/>
  <c r="G23" i="44"/>
  <c r="G24" i="44"/>
  <c r="G25" i="44"/>
  <c r="G26" i="44"/>
  <c r="G27" i="44"/>
  <c r="G28" i="44"/>
  <c r="G34" i="44"/>
  <c r="G36" i="44"/>
  <c r="G38" i="44"/>
  <c r="G21" i="44"/>
  <c r="C26" i="44"/>
  <c r="C27" i="44"/>
  <c r="C28" i="44"/>
  <c r="C34" i="44"/>
  <c r="C36" i="44"/>
  <c r="C38" i="44"/>
  <c r="C22" i="44"/>
  <c r="C23" i="44"/>
  <c r="C24" i="44"/>
  <c r="C25" i="44"/>
  <c r="C21" i="44"/>
  <c r="C45" i="44"/>
  <c r="B3" i="46"/>
  <c r="T176" i="19" l="1"/>
  <c r="U176" i="19" s="1"/>
  <c r="T197" i="19"/>
  <c r="U197" i="19" s="1"/>
  <c r="T201" i="19"/>
  <c r="U201" i="19" s="1"/>
  <c r="T203" i="19"/>
  <c r="U203" i="19" s="1"/>
  <c r="T273" i="19"/>
  <c r="U273" i="19" s="1"/>
  <c r="T278" i="19"/>
  <c r="U278" i="19" s="1"/>
  <c r="T199" i="19"/>
  <c r="U199" i="19" s="1"/>
  <c r="T281" i="19"/>
  <c r="U281" i="19" s="1"/>
  <c r="T293" i="19"/>
  <c r="U293" i="19" s="1"/>
  <c r="T302" i="19"/>
  <c r="U302" i="19" s="1"/>
  <c r="T345" i="19"/>
  <c r="U345" i="19" s="1"/>
  <c r="T181" i="19"/>
  <c r="U181" i="19" s="1"/>
  <c r="T189" i="19"/>
  <c r="U189" i="19" s="1"/>
  <c r="T193" i="19"/>
  <c r="U193" i="19" s="1"/>
  <c r="T195" i="19"/>
  <c r="U195" i="19" s="1"/>
  <c r="T221" i="19"/>
  <c r="U221" i="19" s="1"/>
  <c r="T248" i="19"/>
  <c r="U248" i="19" s="1"/>
  <c r="T256" i="19"/>
  <c r="U256" i="19" s="1"/>
  <c r="T262" i="19"/>
  <c r="U262" i="19" s="1"/>
  <c r="T319" i="19"/>
  <c r="U319" i="19" s="1"/>
  <c r="T335" i="19"/>
  <c r="U335" i="19" s="1"/>
  <c r="T191" i="19"/>
  <c r="U191" i="19" s="1"/>
  <c r="T246" i="19"/>
  <c r="U246" i="19" s="1"/>
  <c r="T310" i="19"/>
  <c r="U310" i="19" s="1"/>
  <c r="T332" i="19"/>
  <c r="U332" i="19" s="1"/>
  <c r="T257" i="19"/>
  <c r="U257" i="19" s="1"/>
  <c r="T286" i="19"/>
  <c r="U286" i="19" s="1"/>
  <c r="T322" i="19"/>
  <c r="U322" i="19" s="1"/>
  <c r="T327" i="19"/>
  <c r="U327" i="19" s="1"/>
  <c r="T187" i="19"/>
  <c r="U187" i="19" s="1"/>
  <c r="T342" i="19"/>
  <c r="U342" i="19" s="1"/>
  <c r="T238" i="19"/>
  <c r="U238" i="19" s="1"/>
  <c r="T240" i="19"/>
  <c r="U240" i="19" s="1"/>
  <c r="T249" i="19"/>
  <c r="U249" i="19" s="1"/>
  <c r="T288" i="19"/>
  <c r="U288" i="19" s="1"/>
  <c r="T297" i="19"/>
  <c r="U297" i="19" s="1"/>
  <c r="T324" i="19"/>
  <c r="U324" i="19" s="1"/>
  <c r="T328" i="19"/>
  <c r="U328" i="19" s="1"/>
  <c r="T242" i="19"/>
  <c r="U242" i="19" s="1"/>
  <c r="T272" i="19"/>
  <c r="U272" i="19" s="1"/>
  <c r="T333" i="19"/>
  <c r="U333" i="19" s="1"/>
  <c r="T183" i="19"/>
  <c r="U183" i="19" s="1"/>
  <c r="T185" i="19"/>
  <c r="U185" i="19" s="1"/>
  <c r="T217" i="19"/>
  <c r="U217" i="19" s="1"/>
  <c r="T261" i="19"/>
  <c r="U261" i="19" s="1"/>
  <c r="T265" i="19"/>
  <c r="U265" i="19" s="1"/>
  <c r="T277" i="19"/>
  <c r="U277" i="19" s="1"/>
  <c r="T284" i="19"/>
  <c r="U284" i="19" s="1"/>
  <c r="T337" i="19"/>
  <c r="U337" i="19" s="1"/>
  <c r="T213" i="19"/>
  <c r="U213" i="19" s="1"/>
  <c r="T253" i="19"/>
  <c r="U253" i="19" s="1"/>
  <c r="T266" i="19"/>
  <c r="U266" i="19" s="1"/>
  <c r="T285" i="19"/>
  <c r="U285" i="19" s="1"/>
  <c r="T250" i="19"/>
  <c r="U250" i="19" s="1"/>
  <c r="T289" i="19"/>
  <c r="U289" i="19" s="1"/>
  <c r="T292" i="19"/>
  <c r="U292" i="19" s="1"/>
  <c r="T301" i="19"/>
  <c r="U301" i="19" s="1"/>
  <c r="T314" i="19"/>
  <c r="U314" i="19" s="1"/>
  <c r="T318" i="19"/>
  <c r="U318" i="19" s="1"/>
  <c r="T330" i="19"/>
  <c r="U330" i="19" s="1"/>
  <c r="T338" i="19"/>
  <c r="U338" i="19" s="1"/>
  <c r="T205" i="19"/>
  <c r="U205" i="19" s="1"/>
  <c r="T207" i="19"/>
  <c r="U207" i="19" s="1"/>
  <c r="T326" i="19"/>
  <c r="U326" i="19" s="1"/>
  <c r="T209" i="19"/>
  <c r="U209" i="19" s="1"/>
  <c r="T211" i="19"/>
  <c r="U211" i="19" s="1"/>
  <c r="T245" i="19"/>
  <c r="U245" i="19" s="1"/>
  <c r="T298" i="19"/>
  <c r="U298" i="19" s="1"/>
  <c r="T359" i="19"/>
  <c r="U359" i="19" s="1"/>
  <c r="T244" i="19"/>
  <c r="U244" i="19" s="1"/>
  <c r="T280" i="19"/>
  <c r="U280" i="19" s="1"/>
  <c r="T300" i="19"/>
  <c r="U300" i="19" s="1"/>
  <c r="T215" i="19"/>
  <c r="U215" i="19" s="1"/>
  <c r="T178" i="19"/>
  <c r="U178" i="19" s="1"/>
  <c r="T204" i="19"/>
  <c r="U204" i="19" s="1"/>
  <c r="T208" i="19"/>
  <c r="U208" i="19" s="1"/>
  <c r="T294" i="19"/>
  <c r="U294" i="19" s="1"/>
  <c r="T339" i="19"/>
  <c r="U339" i="19" s="1"/>
  <c r="T276" i="19"/>
  <c r="U276" i="19" s="1"/>
  <c r="T275" i="19"/>
  <c r="U275" i="19" s="1"/>
  <c r="T305" i="19"/>
  <c r="U305" i="19" s="1"/>
  <c r="T316" i="19"/>
  <c r="U316" i="19" s="1"/>
  <c r="T334" i="19"/>
  <c r="U334" i="19" s="1"/>
  <c r="T270" i="19"/>
  <c r="U270" i="19" s="1"/>
  <c r="T226" i="19"/>
  <c r="U226" i="19" s="1"/>
  <c r="T236" i="19"/>
  <c r="U236" i="19" s="1"/>
  <c r="T212" i="19"/>
  <c r="U212" i="19" s="1"/>
  <c r="T196" i="19"/>
  <c r="U196" i="19" s="1"/>
  <c r="T200" i="19"/>
  <c r="U200" i="19" s="1"/>
  <c r="T320" i="19"/>
  <c r="U320" i="19" s="1"/>
  <c r="T329" i="19"/>
  <c r="U329" i="19" s="1"/>
  <c r="T323" i="19"/>
  <c r="U323" i="19" s="1"/>
  <c r="T357" i="19"/>
  <c r="U357" i="19" s="1"/>
  <c r="T346" i="19"/>
  <c r="U346" i="19" s="1"/>
  <c r="T311" i="19"/>
  <c r="U311" i="19" s="1"/>
  <c r="T231" i="19"/>
  <c r="U231" i="19" s="1"/>
  <c r="T260" i="19"/>
  <c r="U260" i="19" s="1"/>
  <c r="T237" i="19"/>
  <c r="U237" i="19" s="1"/>
  <c r="T184" i="19"/>
  <c r="U184" i="19" s="1"/>
  <c r="T192" i="19"/>
  <c r="U192" i="19" s="1"/>
  <c r="T367" i="19"/>
  <c r="U367" i="19" s="1"/>
  <c r="T343" i="19"/>
  <c r="U343" i="19" s="1"/>
  <c r="T264" i="19"/>
  <c r="U264" i="19" s="1"/>
  <c r="T180" i="19"/>
  <c r="U180" i="19" s="1"/>
  <c r="T188" i="19"/>
  <c r="U188" i="19" s="1"/>
  <c r="T224" i="19"/>
  <c r="U224" i="19" s="1"/>
  <c r="T282" i="19"/>
  <c r="U282" i="19" s="1"/>
  <c r="T254" i="19"/>
  <c r="U254" i="19" s="1"/>
  <c r="T364" i="19"/>
  <c r="U364" i="19" s="1"/>
  <c r="T296" i="19"/>
  <c r="U296" i="19" s="1"/>
  <c r="T309" i="19"/>
  <c r="U309" i="19" s="1"/>
  <c r="T363" i="19"/>
  <c r="U363" i="19" s="1"/>
  <c r="T312" i="19"/>
  <c r="U312" i="19" s="1"/>
  <c r="T229" i="19"/>
  <c r="U229" i="19" s="1"/>
  <c r="T227" i="19"/>
  <c r="U227" i="19" s="1"/>
  <c r="T336" i="19"/>
  <c r="U336" i="19" s="1"/>
  <c r="T349" i="19"/>
  <c r="U349" i="19" s="1"/>
  <c r="T306" i="19"/>
  <c r="U306" i="19" s="1"/>
  <c r="T290" i="19"/>
  <c r="U290" i="19" s="1"/>
  <c r="T186" i="19"/>
  <c r="U186" i="19" s="1"/>
  <c r="T308" i="19"/>
  <c r="U308" i="19" s="1"/>
  <c r="T362" i="19"/>
  <c r="U362" i="19" s="1"/>
  <c r="T347" i="19"/>
  <c r="U347" i="19" s="1"/>
  <c r="T287" i="19"/>
  <c r="U287" i="19" s="1"/>
  <c r="T223" i="19"/>
  <c r="U223" i="19" s="1"/>
  <c r="T230" i="19"/>
  <c r="U230" i="19" s="1"/>
  <c r="T182" i="19"/>
  <c r="U182" i="19" s="1"/>
  <c r="T350" i="19"/>
  <c r="U350" i="19" s="1"/>
  <c r="T353" i="19"/>
  <c r="U353" i="19" s="1"/>
  <c r="T241" i="19"/>
  <c r="U241" i="19" s="1"/>
  <c r="T252" i="19"/>
  <c r="U252" i="19" s="1"/>
  <c r="T271" i="19"/>
  <c r="U271" i="19" s="1"/>
  <c r="T267" i="19"/>
  <c r="U267" i="19" s="1"/>
  <c r="T268" i="19"/>
  <c r="U268" i="19" s="1"/>
  <c r="T321" i="19"/>
  <c r="U321" i="19" s="1"/>
  <c r="T341" i="19"/>
  <c r="U341" i="19" s="1"/>
  <c r="T243" i="19"/>
  <c r="U243" i="19" s="1"/>
  <c r="T369" i="19"/>
  <c r="U369" i="19" s="1"/>
  <c r="T274" i="19"/>
  <c r="U274" i="19" s="1"/>
  <c r="T291" i="19"/>
  <c r="U291" i="19" s="1"/>
  <c r="T283" i="19"/>
  <c r="U283" i="19" s="1"/>
  <c r="T354" i="19"/>
  <c r="U354" i="19" s="1"/>
  <c r="T313" i="19"/>
  <c r="U313" i="19" s="1"/>
  <c r="T239" i="19"/>
  <c r="U239" i="19" s="1"/>
  <c r="T263" i="19"/>
  <c r="U263" i="19" s="1"/>
  <c r="T365" i="19"/>
  <c r="U365" i="19" s="1"/>
  <c r="T325" i="19"/>
  <c r="U325" i="19" s="1"/>
  <c r="T351" i="19"/>
  <c r="U351" i="19" s="1"/>
  <c r="T371" i="19"/>
  <c r="U371" i="19" s="1"/>
  <c r="T361" i="19"/>
  <c r="U361" i="19" s="1"/>
  <c r="T355" i="19"/>
  <c r="U355" i="19" s="1"/>
  <c r="T251" i="19"/>
  <c r="U251" i="19" s="1"/>
  <c r="T331" i="19"/>
  <c r="U331" i="19" s="1"/>
  <c r="T304" i="19"/>
  <c r="U304" i="19" s="1"/>
  <c r="T373" i="19"/>
  <c r="U373" i="19" s="1"/>
  <c r="T232" i="19"/>
  <c r="U232" i="19" s="1"/>
  <c r="T234" i="19"/>
  <c r="U234" i="19" s="1"/>
  <c r="T366" i="19"/>
  <c r="U366" i="19" s="1"/>
  <c r="T317" i="19"/>
  <c r="U317" i="19" s="1"/>
  <c r="T247" i="19"/>
  <c r="U247" i="19" s="1"/>
  <c r="T228" i="19"/>
  <c r="U228" i="19" s="1"/>
  <c r="T235" i="19"/>
  <c r="U235" i="19" s="1"/>
  <c r="T370" i="19"/>
  <c r="U370" i="19" s="1"/>
  <c r="T259" i="19"/>
  <c r="U259" i="19" s="1"/>
  <c r="T225" i="19"/>
  <c r="U225" i="19" s="1"/>
  <c r="T358" i="19"/>
  <c r="U358" i="19" s="1"/>
  <c r="T219" i="19"/>
  <c r="U219" i="19" s="1"/>
  <c r="T315" i="19"/>
  <c r="U315" i="19" s="1"/>
  <c r="T255" i="19"/>
  <c r="U255" i="19" s="1"/>
  <c r="T279" i="19"/>
  <c r="U279" i="19" s="1"/>
  <c r="T194" i="19"/>
  <c r="U194" i="19" s="1"/>
  <c r="T352" i="19"/>
  <c r="U352" i="19" s="1"/>
  <c r="T269" i="19"/>
  <c r="U269" i="19" s="1"/>
  <c r="T303" i="19"/>
  <c r="U303" i="19" s="1"/>
  <c r="T372" i="19"/>
  <c r="U372" i="19" s="1"/>
  <c r="T190" i="19"/>
  <c r="U190" i="19" s="1"/>
  <c r="T307" i="19"/>
  <c r="U307" i="19" s="1"/>
  <c r="T356" i="19"/>
  <c r="U356" i="19" s="1"/>
  <c r="T360" i="19"/>
  <c r="U360" i="19" s="1"/>
  <c r="T206" i="19"/>
  <c r="U206" i="19" s="1"/>
  <c r="T295" i="19"/>
  <c r="U295" i="19" s="1"/>
  <c r="T340" i="19"/>
  <c r="U340" i="19" s="1"/>
  <c r="T202" i="19"/>
  <c r="U202" i="19" s="1"/>
  <c r="T216" i="19"/>
  <c r="U216" i="19" s="1"/>
  <c r="T299" i="19"/>
  <c r="U299" i="19" s="1"/>
  <c r="T179" i="19"/>
  <c r="U179" i="19" s="1"/>
  <c r="T210" i="19"/>
  <c r="U210" i="19" s="1"/>
  <c r="T222" i="19"/>
  <c r="U222" i="19" s="1"/>
  <c r="T368" i="19"/>
  <c r="U368" i="19" s="1"/>
  <c r="T220" i="19"/>
  <c r="U220" i="19" s="1"/>
  <c r="T348" i="19"/>
  <c r="U348" i="19" s="1"/>
  <c r="T214" i="19"/>
  <c r="U214" i="19" s="1"/>
  <c r="T198" i="19"/>
  <c r="U198" i="19" s="1"/>
  <c r="T258" i="19"/>
  <c r="U258" i="19" s="1"/>
  <c r="T218" i="19"/>
  <c r="U218" i="19" s="1"/>
  <c r="T233" i="19"/>
  <c r="U233" i="19" s="1"/>
  <c r="T344" i="19"/>
  <c r="U344" i="19" s="1"/>
  <c r="F22" i="23"/>
  <c r="T4" i="19"/>
  <c r="U4" i="19" s="1"/>
  <c r="T7" i="19"/>
  <c r="U7" i="19" s="1"/>
  <c r="T10" i="19"/>
  <c r="U10" i="19" s="1"/>
  <c r="T13" i="19"/>
  <c r="U13" i="19" s="1"/>
  <c r="T16" i="19"/>
  <c r="U16" i="19" s="1"/>
  <c r="T19" i="19"/>
  <c r="U19" i="19" s="1"/>
  <c r="T22" i="19"/>
  <c r="U22" i="19" s="1"/>
  <c r="T25" i="19"/>
  <c r="U25" i="19" s="1"/>
  <c r="T28" i="19"/>
  <c r="U28" i="19" s="1"/>
  <c r="T31" i="19"/>
  <c r="U31" i="19" s="1"/>
  <c r="T34" i="19"/>
  <c r="U34" i="19" s="1"/>
  <c r="T37" i="19"/>
  <c r="U37" i="19" s="1"/>
  <c r="T40" i="19"/>
  <c r="U40" i="19" s="1"/>
  <c r="T43" i="19"/>
  <c r="U43" i="19" s="1"/>
  <c r="T46" i="19"/>
  <c r="U46" i="19" s="1"/>
  <c r="T49" i="19"/>
  <c r="U49" i="19" s="1"/>
  <c r="T52" i="19"/>
  <c r="U52" i="19" s="1"/>
  <c r="T55" i="19"/>
  <c r="U55" i="19" s="1"/>
  <c r="T58" i="19"/>
  <c r="U58" i="19" s="1"/>
  <c r="T61" i="19"/>
  <c r="U61" i="19" s="1"/>
  <c r="T64" i="19"/>
  <c r="U64" i="19" s="1"/>
  <c r="T67" i="19"/>
  <c r="U67" i="19" s="1"/>
  <c r="T3" i="19"/>
  <c r="U3" i="19" s="1"/>
  <c r="T6" i="19"/>
  <c r="U6" i="19" s="1"/>
  <c r="T9" i="19"/>
  <c r="U9" i="19" s="1"/>
  <c r="T12" i="19"/>
  <c r="U12" i="19" s="1"/>
  <c r="T15" i="19"/>
  <c r="U15" i="19" s="1"/>
  <c r="T18" i="19"/>
  <c r="U18" i="19" s="1"/>
  <c r="T21" i="19"/>
  <c r="U21" i="19" s="1"/>
  <c r="T24" i="19"/>
  <c r="U24" i="19" s="1"/>
  <c r="T27" i="19"/>
  <c r="U27" i="19" s="1"/>
  <c r="T30" i="19"/>
  <c r="U30" i="19" s="1"/>
  <c r="T33" i="19"/>
  <c r="U33" i="19" s="1"/>
  <c r="T36" i="19"/>
  <c r="U36" i="19" s="1"/>
  <c r="T39" i="19"/>
  <c r="U39" i="19" s="1"/>
  <c r="T42" i="19"/>
  <c r="U42" i="19" s="1"/>
  <c r="T45" i="19"/>
  <c r="U45" i="19" s="1"/>
  <c r="T48" i="19"/>
  <c r="U48" i="19" s="1"/>
  <c r="T51" i="19"/>
  <c r="U51" i="19" s="1"/>
  <c r="T54" i="19"/>
  <c r="U54" i="19" s="1"/>
  <c r="T57" i="19"/>
  <c r="U57" i="19" s="1"/>
  <c r="T76" i="19"/>
  <c r="U76" i="19" s="1"/>
  <c r="T71" i="19"/>
  <c r="U71" i="19" s="1"/>
  <c r="T83" i="19"/>
  <c r="U83" i="19" s="1"/>
  <c r="T2" i="19"/>
  <c r="U2" i="19" s="1"/>
  <c r="T11" i="19"/>
  <c r="U11" i="19" s="1"/>
  <c r="T20" i="19"/>
  <c r="U20" i="19" s="1"/>
  <c r="T29" i="19"/>
  <c r="U29" i="19" s="1"/>
  <c r="T38" i="19"/>
  <c r="U38" i="19" s="1"/>
  <c r="T47" i="19"/>
  <c r="U47" i="19" s="1"/>
  <c r="T60" i="19"/>
  <c r="U60" i="19" s="1"/>
  <c r="T62" i="19"/>
  <c r="U62" i="19" s="1"/>
  <c r="T66" i="19"/>
  <c r="U66" i="19" s="1"/>
  <c r="T73" i="19"/>
  <c r="U73" i="19" s="1"/>
  <c r="T85" i="19"/>
  <c r="U85" i="19" s="1"/>
  <c r="T56" i="19"/>
  <c r="U56" i="19" s="1"/>
  <c r="T68" i="19"/>
  <c r="U68" i="19" s="1"/>
  <c r="T80" i="19"/>
  <c r="U80" i="19" s="1"/>
  <c r="T75" i="19"/>
  <c r="U75" i="19" s="1"/>
  <c r="T5" i="19"/>
  <c r="U5" i="19" s="1"/>
  <c r="T14" i="19"/>
  <c r="U14" i="19" s="1"/>
  <c r="T23" i="19"/>
  <c r="U23" i="19" s="1"/>
  <c r="T32" i="19"/>
  <c r="U32" i="19" s="1"/>
  <c r="T41" i="19"/>
  <c r="U41" i="19" s="1"/>
  <c r="T50" i="19"/>
  <c r="U50" i="19" s="1"/>
  <c r="T77" i="19"/>
  <c r="U77" i="19" s="1"/>
  <c r="T44" i="19"/>
  <c r="U44" i="19" s="1"/>
  <c r="T63" i="19"/>
  <c r="U63" i="19" s="1"/>
  <c r="T70" i="19"/>
  <c r="U70" i="19" s="1"/>
  <c r="T79" i="19"/>
  <c r="U79" i="19" s="1"/>
  <c r="T86" i="19"/>
  <c r="U86" i="19" s="1"/>
  <c r="T90" i="19"/>
  <c r="U90" i="19" s="1"/>
  <c r="T92" i="19"/>
  <c r="U92" i="19" s="1"/>
  <c r="T96" i="19"/>
  <c r="U96" i="19" s="1"/>
  <c r="T98" i="19"/>
  <c r="U98" i="19" s="1"/>
  <c r="T102" i="19"/>
  <c r="U102" i="19" s="1"/>
  <c r="T104" i="19"/>
  <c r="U104" i="19" s="1"/>
  <c r="T108" i="19"/>
  <c r="U108" i="19" s="1"/>
  <c r="T141" i="19"/>
  <c r="U141" i="19" s="1"/>
  <c r="T154" i="19"/>
  <c r="U154" i="19" s="1"/>
  <c r="T159" i="19"/>
  <c r="U159" i="19" s="1"/>
  <c r="T172" i="19"/>
  <c r="U172" i="19" s="1"/>
  <c r="T177" i="19"/>
  <c r="U177" i="19" s="1"/>
  <c r="T17" i="19"/>
  <c r="U17" i="19" s="1"/>
  <c r="T110" i="19"/>
  <c r="U110" i="19" s="1"/>
  <c r="T119" i="19"/>
  <c r="U119" i="19" s="1"/>
  <c r="T134" i="19"/>
  <c r="U134" i="19" s="1"/>
  <c r="T136" i="19"/>
  <c r="U136" i="19" s="1"/>
  <c r="T146" i="19"/>
  <c r="U146" i="19" s="1"/>
  <c r="T164" i="19"/>
  <c r="U164" i="19" s="1"/>
  <c r="T53" i="19"/>
  <c r="U53" i="19" s="1"/>
  <c r="T84" i="19"/>
  <c r="U84" i="19" s="1"/>
  <c r="T112" i="19"/>
  <c r="U112" i="19" s="1"/>
  <c r="T82" i="19"/>
  <c r="U82" i="19" s="1"/>
  <c r="T114" i="19"/>
  <c r="U114" i="19" s="1"/>
  <c r="T143" i="19"/>
  <c r="U143" i="19" s="1"/>
  <c r="T161" i="19"/>
  <c r="U161" i="19" s="1"/>
  <c r="T69" i="19"/>
  <c r="U69" i="19" s="1"/>
  <c r="T74" i="19"/>
  <c r="U74" i="19" s="1"/>
  <c r="T94" i="19"/>
  <c r="U94" i="19" s="1"/>
  <c r="T103" i="19"/>
  <c r="U103" i="19" s="1"/>
  <c r="T118" i="19"/>
  <c r="U118" i="19" s="1"/>
  <c r="T145" i="19"/>
  <c r="U145" i="19" s="1"/>
  <c r="T147" i="19"/>
  <c r="U147" i="19" s="1"/>
  <c r="T149" i="19"/>
  <c r="U149" i="19" s="1"/>
  <c r="T153" i="19"/>
  <c r="U153" i="19" s="1"/>
  <c r="T35" i="19"/>
  <c r="U35" i="19" s="1"/>
  <c r="T72" i="19"/>
  <c r="U72" i="19" s="1"/>
  <c r="T163" i="19"/>
  <c r="U163" i="19" s="1"/>
  <c r="T165" i="19"/>
  <c r="U165" i="19" s="1"/>
  <c r="T167" i="19"/>
  <c r="U167" i="19" s="1"/>
  <c r="T171" i="19"/>
  <c r="U171" i="19" s="1"/>
  <c r="T88" i="19"/>
  <c r="U88" i="19" s="1"/>
  <c r="T97" i="19"/>
  <c r="U97" i="19" s="1"/>
  <c r="T106" i="19"/>
  <c r="U106" i="19" s="1"/>
  <c r="T121" i="19"/>
  <c r="U121" i="19" s="1"/>
  <c r="T123" i="19"/>
  <c r="U123" i="19" s="1"/>
  <c r="T125" i="19"/>
  <c r="U125" i="19" s="1"/>
  <c r="T65" i="19"/>
  <c r="U65" i="19" s="1"/>
  <c r="T140" i="19"/>
  <c r="U140" i="19" s="1"/>
  <c r="T144" i="19"/>
  <c r="U144" i="19" s="1"/>
  <c r="T148" i="19"/>
  <c r="U148" i="19" s="1"/>
  <c r="T150" i="19"/>
  <c r="U150" i="19" s="1"/>
  <c r="T8" i="19"/>
  <c r="U8" i="19" s="1"/>
  <c r="T78" i="19"/>
  <c r="U78" i="19" s="1"/>
  <c r="T113" i="19"/>
  <c r="U113" i="19" s="1"/>
  <c r="T115" i="19"/>
  <c r="U115" i="19" s="1"/>
  <c r="T142" i="19"/>
  <c r="U142" i="19" s="1"/>
  <c r="T152" i="19"/>
  <c r="U152" i="19" s="1"/>
  <c r="T156" i="19"/>
  <c r="U156" i="19" s="1"/>
  <c r="T93" i="19"/>
  <c r="U93" i="19" s="1"/>
  <c r="T95" i="19"/>
  <c r="U95" i="19" s="1"/>
  <c r="T111" i="19"/>
  <c r="U111" i="19" s="1"/>
  <c r="T117" i="19"/>
  <c r="U117" i="19" s="1"/>
  <c r="T158" i="19"/>
  <c r="U158" i="19" s="1"/>
  <c r="T162" i="19"/>
  <c r="U162" i="19" s="1"/>
  <c r="T166" i="19"/>
  <c r="U166" i="19" s="1"/>
  <c r="T168" i="19"/>
  <c r="U168" i="19" s="1"/>
  <c r="T133" i="19"/>
  <c r="U133" i="19" s="1"/>
  <c r="T169" i="19"/>
  <c r="U169" i="19" s="1"/>
  <c r="T99" i="19"/>
  <c r="U99" i="19" s="1"/>
  <c r="T155" i="19"/>
  <c r="U155" i="19" s="1"/>
  <c r="T107" i="19"/>
  <c r="U107" i="19" s="1"/>
  <c r="T126" i="19"/>
  <c r="U126" i="19" s="1"/>
  <c r="T128" i="19"/>
  <c r="U128" i="19" s="1"/>
  <c r="T89" i="19"/>
  <c r="U89" i="19" s="1"/>
  <c r="T131" i="19"/>
  <c r="U131" i="19" s="1"/>
  <c r="T139" i="19"/>
  <c r="U139" i="19" s="1"/>
  <c r="T170" i="19"/>
  <c r="U170" i="19" s="1"/>
  <c r="T59" i="19"/>
  <c r="U59" i="19" s="1"/>
  <c r="T101" i="19"/>
  <c r="U101" i="19" s="1"/>
  <c r="T160" i="19"/>
  <c r="U160" i="19" s="1"/>
  <c r="T91" i="19"/>
  <c r="U91" i="19" s="1"/>
  <c r="T151" i="19"/>
  <c r="U151" i="19" s="1"/>
  <c r="T116" i="19"/>
  <c r="U116" i="19" s="1"/>
  <c r="T174" i="19"/>
  <c r="U174" i="19" s="1"/>
  <c r="T105" i="19"/>
  <c r="U105" i="19" s="1"/>
  <c r="T122" i="19"/>
  <c r="U122" i="19" s="1"/>
  <c r="T87" i="19"/>
  <c r="U87" i="19" s="1"/>
  <c r="T81" i="19"/>
  <c r="U81" i="19" s="1"/>
  <c r="T137" i="19"/>
  <c r="U137" i="19" s="1"/>
  <c r="T26" i="19"/>
  <c r="U26" i="19" s="1"/>
  <c r="T175" i="19"/>
  <c r="U175" i="19" s="1"/>
  <c r="T129" i="19"/>
  <c r="U129" i="19" s="1"/>
  <c r="T132" i="19"/>
  <c r="U132" i="19" s="1"/>
  <c r="T135" i="19"/>
  <c r="U135" i="19" s="1"/>
  <c r="T120" i="19"/>
  <c r="U120" i="19" s="1"/>
  <c r="T130" i="19"/>
  <c r="U130" i="19" s="1"/>
  <c r="T100" i="19"/>
  <c r="U100" i="19" s="1"/>
  <c r="T124" i="19"/>
  <c r="U124" i="19" s="1"/>
  <c r="T127" i="19"/>
  <c r="U127" i="19" s="1"/>
  <c r="T157" i="19"/>
  <c r="U157" i="19" s="1"/>
  <c r="T109" i="19"/>
  <c r="U109" i="19" s="1"/>
  <c r="T138" i="19"/>
  <c r="U138" i="19" s="1"/>
  <c r="T173" i="19"/>
  <c r="U173" i="19" s="1"/>
  <c r="B324" i="46"/>
  <c r="B325" i="46"/>
  <c r="B326" i="46"/>
  <c r="B327" i="46"/>
  <c r="B328" i="46"/>
  <c r="B329" i="46"/>
  <c r="B330" i="46"/>
  <c r="B331" i="46"/>
  <c r="B332" i="46"/>
  <c r="B333" i="46"/>
  <c r="B334" i="46"/>
  <c r="B335" i="46"/>
  <c r="B336" i="46"/>
  <c r="B337" i="46"/>
  <c r="B338" i="46"/>
  <c r="B339" i="46"/>
  <c r="B340" i="46"/>
  <c r="B341" i="46"/>
  <c r="B342" i="46"/>
  <c r="B343" i="46"/>
  <c r="B344" i="46"/>
  <c r="B345" i="46"/>
  <c r="B346" i="46"/>
  <c r="B347" i="46"/>
  <c r="B348" i="46"/>
  <c r="B349" i="46"/>
  <c r="B350" i="46"/>
  <c r="B351" i="46"/>
  <c r="B352" i="46"/>
  <c r="B353" i="46"/>
  <c r="B354" i="46"/>
  <c r="B355" i="46"/>
  <c r="B356" i="46"/>
  <c r="B357" i="46"/>
  <c r="B358" i="46"/>
  <c r="B359" i="46"/>
  <c r="B360" i="46"/>
  <c r="B361" i="46"/>
  <c r="B362" i="46"/>
  <c r="B363" i="46"/>
  <c r="B364" i="46"/>
  <c r="B365" i="46"/>
  <c r="B366" i="46"/>
  <c r="B367" i="46"/>
  <c r="B368" i="46"/>
  <c r="B369" i="46"/>
  <c r="B370" i="46"/>
  <c r="B371" i="46"/>
  <c r="B372" i="46"/>
  <c r="B373" i="46"/>
  <c r="B374" i="46"/>
  <c r="B375" i="46"/>
  <c r="B376" i="46"/>
  <c r="B377" i="46"/>
  <c r="B253" i="46"/>
  <c r="B254" i="46"/>
  <c r="B255" i="46"/>
  <c r="B256" i="46"/>
  <c r="B257" i="46"/>
  <c r="B258" i="46"/>
  <c r="B259" i="46"/>
  <c r="B260" i="46"/>
  <c r="B261" i="46"/>
  <c r="B262" i="46"/>
  <c r="B263" i="46"/>
  <c r="B264" i="46"/>
  <c r="B265" i="46"/>
  <c r="B266" i="46"/>
  <c r="B267" i="46"/>
  <c r="B268" i="46"/>
  <c r="B269" i="46"/>
  <c r="B270" i="46"/>
  <c r="B271" i="46"/>
  <c r="B272" i="46"/>
  <c r="B273" i="46"/>
  <c r="B274" i="46"/>
  <c r="B275" i="46"/>
  <c r="B276" i="46"/>
  <c r="B277" i="46"/>
  <c r="B278" i="46"/>
  <c r="B279" i="46"/>
  <c r="B280" i="46"/>
  <c r="B281" i="46"/>
  <c r="B282" i="46"/>
  <c r="B283" i="46"/>
  <c r="B284" i="46"/>
  <c r="B285" i="46"/>
  <c r="B286" i="46"/>
  <c r="B287" i="46"/>
  <c r="B288" i="46"/>
  <c r="B289" i="46"/>
  <c r="B290" i="46"/>
  <c r="B291" i="46"/>
  <c r="B292" i="46"/>
  <c r="B293" i="46"/>
  <c r="B294" i="46"/>
  <c r="B295" i="46"/>
  <c r="B296" i="46"/>
  <c r="B297" i="46"/>
  <c r="B298" i="46"/>
  <c r="B299" i="46"/>
  <c r="B300" i="46"/>
  <c r="B301" i="46"/>
  <c r="B302" i="46"/>
  <c r="B303" i="46"/>
  <c r="B304" i="46"/>
  <c r="B305" i="46"/>
  <c r="B306" i="46"/>
  <c r="B307" i="46"/>
  <c r="B308" i="46"/>
  <c r="B309" i="46"/>
  <c r="B310" i="46"/>
  <c r="B311" i="46"/>
  <c r="B312" i="46"/>
  <c r="B313" i="46"/>
  <c r="B314" i="46"/>
  <c r="B315" i="46"/>
  <c r="B316" i="46"/>
  <c r="B317" i="46"/>
  <c r="B318" i="46"/>
  <c r="B319" i="46"/>
  <c r="B320" i="46"/>
  <c r="B321" i="46"/>
  <c r="B322" i="46"/>
  <c r="B323" i="46"/>
  <c r="B252" i="46"/>
  <c r="B251" i="46"/>
  <c r="B250" i="46"/>
  <c r="B249" i="46"/>
  <c r="B248" i="46"/>
  <c r="B247" i="46"/>
  <c r="B246" i="46"/>
  <c r="B245" i="46"/>
  <c r="B244" i="46"/>
  <c r="B243" i="46"/>
  <c r="B242" i="46"/>
  <c r="B241" i="46"/>
  <c r="B240" i="46"/>
  <c r="B239" i="46"/>
  <c r="B238" i="46"/>
  <c r="B237" i="46"/>
  <c r="B236" i="46"/>
  <c r="B235" i="46"/>
  <c r="B234" i="46"/>
  <c r="B233" i="46"/>
  <c r="B232" i="46"/>
  <c r="B231" i="46"/>
  <c r="B230" i="46"/>
  <c r="B229" i="46"/>
  <c r="B228" i="46"/>
  <c r="B227" i="46"/>
  <c r="B226" i="46"/>
  <c r="B225" i="46"/>
  <c r="B224" i="46"/>
  <c r="B223" i="46"/>
  <c r="B222" i="46"/>
  <c r="B221" i="46"/>
  <c r="B220" i="46"/>
  <c r="B219" i="46"/>
  <c r="B218" i="46"/>
  <c r="B217" i="46"/>
  <c r="B216" i="46"/>
  <c r="B215" i="46"/>
  <c r="B214" i="46"/>
  <c r="B213" i="46"/>
  <c r="B212" i="46"/>
  <c r="B211" i="46"/>
  <c r="B210" i="46"/>
  <c r="B209" i="46"/>
  <c r="B208" i="46"/>
  <c r="B207" i="46"/>
  <c r="B205" i="46"/>
  <c r="B204" i="46"/>
  <c r="B203" i="46"/>
  <c r="B201" i="46"/>
  <c r="B200" i="46"/>
  <c r="B199" i="46"/>
  <c r="B198" i="46"/>
  <c r="B197" i="46"/>
  <c r="B196" i="46"/>
  <c r="B195" i="46"/>
  <c r="B194" i="46"/>
  <c r="B193" i="46"/>
  <c r="B192" i="46"/>
  <c r="B191" i="46"/>
  <c r="B190" i="46"/>
  <c r="B189" i="46"/>
  <c r="B188" i="46"/>
  <c r="B187" i="46"/>
  <c r="B186" i="46"/>
  <c r="B185" i="46"/>
  <c r="B184" i="46"/>
  <c r="B183" i="46"/>
  <c r="B182" i="46"/>
  <c r="B181" i="46"/>
  <c r="B180" i="46"/>
  <c r="B179" i="46"/>
  <c r="B178" i="46"/>
  <c r="B177" i="46"/>
  <c r="B176" i="46"/>
  <c r="B175" i="46"/>
  <c r="B174" i="46"/>
  <c r="B173" i="46"/>
  <c r="B172" i="46"/>
  <c r="B171" i="46"/>
  <c r="B170" i="46"/>
  <c r="B169" i="46"/>
  <c r="B168" i="46"/>
  <c r="B167" i="46"/>
  <c r="B166" i="46"/>
  <c r="B165" i="46"/>
  <c r="B164" i="46"/>
  <c r="B163" i="46"/>
  <c r="B162" i="46"/>
  <c r="B161" i="46"/>
  <c r="B160" i="46"/>
  <c r="B159" i="46"/>
  <c r="B158" i="46"/>
  <c r="B157" i="46"/>
  <c r="B156" i="46"/>
  <c r="B155" i="46"/>
  <c r="B154" i="46"/>
  <c r="B153" i="46"/>
  <c r="B152" i="46"/>
  <c r="B151" i="46"/>
  <c r="B150" i="46"/>
  <c r="B149" i="46"/>
  <c r="B148" i="46"/>
  <c r="B147" i="46"/>
  <c r="B146" i="46"/>
  <c r="B145" i="46"/>
  <c r="B144" i="46"/>
  <c r="B143" i="46"/>
  <c r="B142" i="46"/>
  <c r="B141" i="46"/>
  <c r="B140" i="46"/>
  <c r="B139" i="46"/>
  <c r="B138" i="46"/>
  <c r="B137" i="46"/>
  <c r="B136" i="46"/>
  <c r="B135" i="46"/>
  <c r="B134" i="46"/>
  <c r="B133" i="46"/>
  <c r="B132" i="46"/>
  <c r="B131" i="46"/>
  <c r="B130" i="46"/>
  <c r="B129" i="46"/>
  <c r="B128" i="46"/>
  <c r="B127" i="46"/>
  <c r="B126" i="46"/>
  <c r="B125" i="46"/>
  <c r="B124" i="46"/>
  <c r="B123" i="46"/>
  <c r="B122" i="46"/>
  <c r="B121" i="46"/>
  <c r="B120" i="46"/>
  <c r="B119" i="46"/>
  <c r="B118" i="46"/>
  <c r="B117" i="46"/>
  <c r="B116" i="46"/>
  <c r="B115" i="46"/>
  <c r="B114" i="46"/>
  <c r="B113" i="46"/>
  <c r="B112" i="46"/>
  <c r="B111" i="46"/>
  <c r="B110" i="46"/>
  <c r="B109" i="46"/>
  <c r="B108" i="46"/>
  <c r="B107" i="46"/>
  <c r="B106" i="46"/>
  <c r="B105" i="46"/>
  <c r="B104" i="46"/>
  <c r="B103" i="46"/>
  <c r="B102" i="46"/>
  <c r="B101" i="46"/>
  <c r="B100" i="46"/>
  <c r="B99" i="46"/>
  <c r="B98" i="46"/>
  <c r="B97" i="46"/>
  <c r="B96" i="46"/>
  <c r="B95" i="46"/>
  <c r="B94" i="46"/>
  <c r="B93" i="46"/>
  <c r="B92" i="46"/>
  <c r="B91" i="46"/>
  <c r="B90" i="46"/>
  <c r="B89" i="46"/>
  <c r="B88" i="46"/>
  <c r="B87" i="46"/>
  <c r="B86" i="46"/>
  <c r="B85" i="46"/>
  <c r="B84" i="46"/>
  <c r="B83" i="46"/>
  <c r="B82" i="46"/>
  <c r="B81" i="46"/>
  <c r="B80" i="46"/>
  <c r="B79" i="46"/>
  <c r="B78" i="46"/>
  <c r="B77" i="46"/>
  <c r="B76" i="46"/>
  <c r="B75" i="46"/>
  <c r="B74" i="46"/>
  <c r="B73" i="46"/>
  <c r="B72" i="46"/>
  <c r="B71" i="46"/>
  <c r="B70" i="46"/>
  <c r="B69" i="46"/>
  <c r="B68" i="46"/>
  <c r="B67" i="46"/>
  <c r="B66" i="46"/>
  <c r="B65" i="46"/>
  <c r="B64" i="46"/>
  <c r="B63" i="46"/>
  <c r="B62" i="46"/>
  <c r="B61" i="46"/>
  <c r="B60" i="46"/>
  <c r="B59" i="46"/>
  <c r="B58" i="46"/>
  <c r="B57" i="46"/>
  <c r="B56" i="46"/>
  <c r="B55" i="46"/>
  <c r="B54" i="46"/>
  <c r="B53" i="46"/>
  <c r="B52" i="46"/>
  <c r="B51" i="46"/>
  <c r="B50" i="46"/>
  <c r="B49" i="46"/>
  <c r="B48" i="46"/>
  <c r="B47" i="46"/>
  <c r="B46" i="46"/>
  <c r="B45" i="46"/>
  <c r="B44" i="46"/>
  <c r="B43" i="46"/>
  <c r="B42" i="46"/>
  <c r="B41" i="46"/>
  <c r="B40" i="46"/>
  <c r="B39" i="46"/>
  <c r="B38" i="46"/>
  <c r="B37" i="46"/>
  <c r="B36" i="46"/>
  <c r="B35" i="46"/>
  <c r="B34" i="46"/>
  <c r="B33" i="46"/>
  <c r="B32" i="46"/>
  <c r="B31" i="46"/>
  <c r="B30" i="46"/>
  <c r="B29" i="46"/>
  <c r="B28" i="46"/>
  <c r="B27" i="46"/>
  <c r="B26" i="46"/>
  <c r="B25" i="46"/>
  <c r="B24" i="46"/>
  <c r="B23" i="46"/>
  <c r="B22" i="46"/>
  <c r="B21" i="46"/>
  <c r="B20" i="46"/>
  <c r="B19" i="46"/>
  <c r="B18" i="46"/>
  <c r="B17" i="46"/>
  <c r="B16" i="46"/>
  <c r="B15" i="46"/>
  <c r="B14" i="46"/>
  <c r="B13" i="46"/>
  <c r="B12" i="46"/>
  <c r="B11" i="46"/>
  <c r="B10" i="46"/>
  <c r="B4" i="46"/>
  <c r="B5" i="46"/>
  <c r="B6" i="46"/>
  <c r="B7" i="46"/>
  <c r="B8" i="46"/>
  <c r="B9" i="46"/>
  <c r="B2" i="46"/>
  <c r="C13" i="30" l="1"/>
  <c r="E8" i="30"/>
  <c r="E7" i="30"/>
  <c r="E6" i="30"/>
  <c r="E5" i="30"/>
  <c r="E4" i="30"/>
  <c r="E3" i="30"/>
  <c r="E12" i="30" l="1"/>
  <c r="E13" i="30" s="1"/>
  <c r="C30" i="30"/>
  <c r="C40" i="30"/>
  <c r="C41" i="30" s="1"/>
  <c r="C10" i="44"/>
  <c r="C5" i="44"/>
  <c r="C6" i="44"/>
  <c r="C7" i="44"/>
  <c r="C8" i="44"/>
  <c r="C9" i="44"/>
  <c r="C11" i="44"/>
  <c r="C12" i="44"/>
  <c r="C13" i="44"/>
  <c r="C4" i="44"/>
  <c r="C19" i="44"/>
  <c r="C18" i="44"/>
  <c r="C17" i="44"/>
  <c r="C16" i="44"/>
  <c r="C14" i="44"/>
  <c r="C15" i="44"/>
  <c r="O4" i="23"/>
  <c r="O5" i="23"/>
  <c r="W82" i="19" l="1"/>
  <c r="X82" i="19" s="1"/>
  <c r="W55" i="19"/>
  <c r="X55" i="19" s="1"/>
  <c r="W108" i="19"/>
  <c r="X108" i="19" s="1"/>
  <c r="W130" i="19"/>
  <c r="X130" i="19" s="1"/>
  <c r="W177" i="19"/>
  <c r="X177" i="19" s="1"/>
  <c r="W53" i="19"/>
  <c r="X53" i="19" s="1"/>
  <c r="W48" i="19"/>
  <c r="X48" i="19" s="1"/>
  <c r="W56" i="19"/>
  <c r="X56" i="19" s="1"/>
  <c r="W148" i="19"/>
  <c r="X148" i="19" s="1"/>
  <c r="W165" i="19"/>
  <c r="X165" i="19" s="1"/>
  <c r="W20" i="19"/>
  <c r="X20" i="19" s="1"/>
  <c r="W173" i="19"/>
  <c r="X173" i="19" s="1"/>
  <c r="W88" i="19" l="1"/>
  <c r="W80" i="19"/>
  <c r="X80" i="19" s="1"/>
  <c r="Y80" i="19" s="1"/>
  <c r="W58" i="19"/>
  <c r="X58" i="19" s="1"/>
  <c r="Y58" i="19" s="1"/>
  <c r="W78" i="19"/>
  <c r="X78" i="19" s="1"/>
  <c r="Y78" i="19" s="1"/>
  <c r="W97" i="19"/>
  <c r="X97" i="19" s="1"/>
  <c r="Y97" i="19" s="1"/>
  <c r="W159" i="19"/>
  <c r="X159" i="19" s="1"/>
  <c r="Y159" i="19" s="1"/>
  <c r="W174" i="19"/>
  <c r="W143" i="19"/>
  <c r="W101" i="19"/>
  <c r="X101" i="19" s="1"/>
  <c r="Y101" i="19" s="1"/>
  <c r="W120" i="19"/>
  <c r="X120" i="19" s="1"/>
  <c r="Y120" i="19" s="1"/>
  <c r="W168" i="19"/>
  <c r="X168" i="19" s="1"/>
  <c r="Y168" i="19" s="1"/>
  <c r="W91" i="19"/>
  <c r="X91" i="19" s="1"/>
  <c r="Y91" i="19" s="1"/>
  <c r="W104" i="19"/>
  <c r="W163" i="19"/>
  <c r="W75" i="19"/>
  <c r="W67" i="19"/>
  <c r="W121" i="19"/>
  <c r="X121" i="19" s="1"/>
  <c r="Y121" i="19" s="1"/>
  <c r="W139" i="19"/>
  <c r="W175" i="19"/>
  <c r="W50" i="19"/>
  <c r="X50" i="19" s="1"/>
  <c r="Y50" i="19" s="1"/>
  <c r="W160" i="19"/>
  <c r="X160" i="19" s="1"/>
  <c r="Y160" i="19" s="1"/>
  <c r="W79" i="19"/>
  <c r="X79" i="19" s="1"/>
  <c r="Y79" i="19" s="1"/>
  <c r="W32" i="19"/>
  <c r="W169" i="19"/>
  <c r="W100" i="19"/>
  <c r="W106" i="19"/>
  <c r="W172" i="19"/>
  <c r="X172" i="19" s="1"/>
  <c r="Y172" i="19" s="1"/>
  <c r="W129" i="19"/>
  <c r="X129" i="19" s="1"/>
  <c r="Y129" i="19" s="1"/>
  <c r="W164" i="19"/>
  <c r="W94" i="19"/>
  <c r="W61" i="19"/>
  <c r="W87" i="19"/>
  <c r="W76" i="19"/>
  <c r="W144" i="19"/>
  <c r="W45" i="19"/>
  <c r="X45" i="19" s="1"/>
  <c r="Y45" i="19" s="1"/>
  <c r="W89" i="19"/>
  <c r="X89" i="19" s="1"/>
  <c r="Y89" i="19" s="1"/>
  <c r="W70" i="19"/>
  <c r="X70" i="19" s="1"/>
  <c r="Y70" i="19" s="1"/>
  <c r="W145" i="19"/>
  <c r="W111" i="19"/>
  <c r="W65" i="19"/>
  <c r="W85" i="19"/>
  <c r="X85" i="19" s="1"/>
  <c r="Y85" i="19" s="1"/>
  <c r="W170" i="19"/>
  <c r="W77" i="19"/>
  <c r="W131" i="19"/>
  <c r="X131" i="19" s="1"/>
  <c r="Y131" i="19" s="1"/>
  <c r="W141" i="19"/>
  <c r="W62" i="19"/>
  <c r="W152" i="19"/>
  <c r="W125" i="19"/>
  <c r="X125" i="19" s="1"/>
  <c r="Y125" i="19" s="1"/>
  <c r="W166" i="19"/>
  <c r="X166" i="19" s="1"/>
  <c r="Y166" i="19" s="1"/>
  <c r="W71" i="19"/>
  <c r="X71" i="19" s="1"/>
  <c r="Y71" i="19" s="1"/>
  <c r="W122" i="19"/>
  <c r="W90" i="19"/>
  <c r="X90" i="19" s="1"/>
  <c r="Y90" i="19" s="1"/>
  <c r="W134" i="19"/>
  <c r="W74" i="19"/>
  <c r="W66" i="19"/>
  <c r="X66" i="19" s="1"/>
  <c r="Y66" i="19" s="1"/>
  <c r="W86" i="19"/>
  <c r="X86" i="19" s="1"/>
  <c r="Y86" i="19" s="1"/>
  <c r="W110" i="19"/>
  <c r="W162" i="19"/>
  <c r="X162" i="19" s="1"/>
  <c r="Y162" i="19" s="1"/>
  <c r="W140" i="19"/>
  <c r="X140" i="19" s="1"/>
  <c r="Y140" i="19" s="1"/>
  <c r="W124" i="19"/>
  <c r="X124" i="19" s="1"/>
  <c r="W46" i="19"/>
  <c r="W136" i="19"/>
  <c r="W135" i="19"/>
  <c r="X135" i="19" s="1"/>
  <c r="W161" i="19"/>
  <c r="W81" i="19"/>
  <c r="X81" i="19" s="1"/>
  <c r="Y81" i="19" s="1"/>
  <c r="W47" i="19"/>
  <c r="X47" i="19" s="1"/>
  <c r="Y47" i="19" s="1"/>
  <c r="W112" i="19"/>
  <c r="X112" i="19" s="1"/>
  <c r="Y112" i="19" s="1"/>
  <c r="W119" i="19"/>
  <c r="W171" i="19"/>
  <c r="X171" i="19" s="1"/>
  <c r="Y171" i="19" s="1"/>
  <c r="W155" i="19"/>
  <c r="W96" i="19"/>
  <c r="X96" i="19" s="1"/>
  <c r="Y96" i="19" s="1"/>
  <c r="W147" i="19"/>
  <c r="W157" i="19"/>
  <c r="X157" i="19" s="1"/>
  <c r="Y157" i="19" s="1"/>
  <c r="W72" i="19"/>
  <c r="X72" i="19" s="1"/>
  <c r="Y72" i="19" s="1"/>
  <c r="W102" i="19"/>
  <c r="W84" i="19"/>
  <c r="X84" i="19" s="1"/>
  <c r="Y84" i="19" s="1"/>
  <c r="W54" i="19"/>
  <c r="X54" i="19" s="1"/>
  <c r="Y54" i="19" s="1"/>
  <c r="W107" i="19"/>
  <c r="W68" i="19"/>
  <c r="W158" i="19"/>
  <c r="X158" i="19" s="1"/>
  <c r="Y158" i="19" s="1"/>
  <c r="W127" i="19"/>
  <c r="W114" i="19"/>
  <c r="W142" i="19"/>
  <c r="X142" i="19" s="1"/>
  <c r="Y142" i="19" s="1"/>
  <c r="W95" i="19"/>
  <c r="W149" i="19"/>
  <c r="X149" i="19" s="1"/>
  <c r="W64" i="19"/>
  <c r="W167" i="19"/>
  <c r="X167" i="19" s="1"/>
  <c r="Y167" i="19" s="1"/>
  <c r="W42" i="19"/>
  <c r="W133" i="19"/>
  <c r="X133" i="19" s="1"/>
  <c r="Y133" i="19" s="1"/>
  <c r="W138" i="19"/>
  <c r="X138" i="19" s="1"/>
  <c r="W117" i="19"/>
  <c r="X117" i="19" s="1"/>
  <c r="Y117" i="19" s="1"/>
  <c r="W63" i="19"/>
  <c r="W150" i="19"/>
  <c r="W73" i="19"/>
  <c r="W83" i="19"/>
  <c r="X83" i="19" s="1"/>
  <c r="Y83" i="19" s="1"/>
  <c r="W103" i="19"/>
  <c r="X103" i="19" s="1"/>
  <c r="Y103" i="19" s="1"/>
  <c r="W57" i="19"/>
  <c r="W118" i="19"/>
  <c r="W49" i="19"/>
  <c r="W59" i="19"/>
  <c r="W113" i="19"/>
  <c r="X113" i="19" s="1"/>
  <c r="W105" i="19"/>
  <c r="W123" i="19"/>
  <c r="X123" i="19" s="1"/>
  <c r="Y123" i="19" s="1"/>
  <c r="W154" i="19"/>
  <c r="X154" i="19" s="1"/>
  <c r="Y154" i="19" s="1"/>
  <c r="W132" i="19"/>
  <c r="W146" i="19"/>
  <c r="W151" i="19"/>
  <c r="X151" i="19" s="1"/>
  <c r="Y151" i="19" s="1"/>
  <c r="W116" i="19"/>
  <c r="W60" i="19"/>
  <c r="W128" i="19"/>
  <c r="W16" i="19"/>
  <c r="X16" i="19" s="1"/>
  <c r="Y16" i="19" s="1"/>
  <c r="W153" i="19"/>
  <c r="W44" i="19"/>
  <c r="W98" i="19"/>
  <c r="W126" i="19"/>
  <c r="W156" i="19"/>
  <c r="X156" i="19" s="1"/>
  <c r="Y156" i="19" s="1"/>
  <c r="W51" i="19"/>
  <c r="X51" i="19" s="1"/>
  <c r="Y51" i="19" s="1"/>
  <c r="W69" i="19"/>
  <c r="X69" i="19" s="1"/>
  <c r="Y69" i="19" s="1"/>
  <c r="W115" i="19"/>
  <c r="W40" i="19"/>
  <c r="W99" i="19"/>
  <c r="W109" i="19"/>
  <c r="W52" i="19"/>
  <c r="W137" i="19"/>
  <c r="X137" i="19" s="1"/>
  <c r="Y137" i="19" s="1"/>
  <c r="W34" i="19"/>
  <c r="X34" i="19" s="1"/>
  <c r="Y34" i="19" s="1"/>
  <c r="W24" i="19"/>
  <c r="X24" i="19" s="1"/>
  <c r="Y24" i="19" s="1"/>
  <c r="W5" i="19"/>
  <c r="W31" i="19"/>
  <c r="X31" i="19" s="1"/>
  <c r="Y31" i="19" s="1"/>
  <c r="W15" i="19"/>
  <c r="W4" i="19"/>
  <c r="X4" i="19" s="1"/>
  <c r="Y4" i="19" s="1"/>
  <c r="W33" i="19"/>
  <c r="W3" i="19"/>
  <c r="X3" i="19" s="1"/>
  <c r="Y3" i="19" s="1"/>
  <c r="W13" i="19"/>
  <c r="X13" i="19" s="1"/>
  <c r="Y13" i="19" s="1"/>
  <c r="W17" i="19"/>
  <c r="X17" i="19" s="1"/>
  <c r="Y17" i="19" s="1"/>
  <c r="W11" i="19"/>
  <c r="W28" i="19"/>
  <c r="W12" i="19"/>
  <c r="X12" i="19" s="1"/>
  <c r="Y12" i="19" s="1"/>
  <c r="W41" i="19"/>
  <c r="X41" i="19" s="1"/>
  <c r="Y41" i="19" s="1"/>
  <c r="W25" i="19"/>
  <c r="X25" i="19" s="1"/>
  <c r="Y25" i="19" s="1"/>
  <c r="W27" i="19"/>
  <c r="W19" i="19"/>
  <c r="W2" i="19"/>
  <c r="W14" i="19"/>
  <c r="W36" i="19"/>
  <c r="W10" i="19"/>
  <c r="W21" i="19"/>
  <c r="X21" i="19" s="1"/>
  <c r="Y21" i="19" s="1"/>
  <c r="W39" i="19"/>
  <c r="X39" i="19" s="1"/>
  <c r="Y39" i="19" s="1"/>
  <c r="W43" i="19"/>
  <c r="W26" i="19"/>
  <c r="W18" i="19"/>
  <c r="X18" i="19" s="1"/>
  <c r="Y18" i="19" s="1"/>
  <c r="W38" i="19"/>
  <c r="X38" i="19" s="1"/>
  <c r="Y38" i="19" s="1"/>
  <c r="W29" i="19"/>
  <c r="W22" i="19"/>
  <c r="W37" i="19"/>
  <c r="X37" i="19" s="1"/>
  <c r="Y37" i="19" s="1"/>
  <c r="W30" i="19"/>
  <c r="W23" i="19"/>
  <c r="W7" i="19"/>
  <c r="W9" i="19"/>
  <c r="W35" i="19"/>
  <c r="W8" i="19"/>
  <c r="W6" i="19"/>
  <c r="X6" i="19" s="1"/>
  <c r="Y6" i="19" s="1"/>
  <c r="Y56" i="19"/>
  <c r="Y177" i="19"/>
  <c r="Y173" i="19"/>
  <c r="Y165" i="19"/>
  <c r="Y82" i="19"/>
  <c r="Y48" i="19"/>
  <c r="Y55" i="19"/>
  <c r="Y130" i="19"/>
  <c r="Y108" i="19"/>
  <c r="Y20" i="19"/>
  <c r="Y53" i="19"/>
  <c r="X9" i="19" l="1"/>
  <c r="Y9" i="19" s="1"/>
  <c r="X19" i="19"/>
  <c r="Y19" i="19" s="1"/>
  <c r="X115" i="19"/>
  <c r="Y115" i="19" s="1"/>
  <c r="X8" i="19"/>
  <c r="Y8" i="19" s="1"/>
  <c r="X29" i="19"/>
  <c r="Y29" i="19" s="1"/>
  <c r="X27" i="19"/>
  <c r="Y27" i="19" s="1"/>
  <c r="X5" i="19"/>
  <c r="Y5" i="19" s="1"/>
  <c r="X146" i="19"/>
  <c r="Y146" i="19" s="1"/>
  <c r="X102" i="19"/>
  <c r="Y102" i="19" s="1"/>
  <c r="X122" i="19"/>
  <c r="Y122" i="19" s="1"/>
  <c r="X77" i="19"/>
  <c r="Y77" i="19" s="1"/>
  <c r="X104" i="19"/>
  <c r="Y104" i="19" s="1"/>
  <c r="X22" i="19"/>
  <c r="Y22" i="19" s="1"/>
  <c r="X132" i="19"/>
  <c r="Y132" i="19" s="1"/>
  <c r="X119" i="19"/>
  <c r="Y119" i="19" s="1"/>
  <c r="X110" i="19"/>
  <c r="Y110" i="19" s="1"/>
  <c r="X170" i="19"/>
  <c r="Y170" i="19" s="1"/>
  <c r="X175" i="19"/>
  <c r="Y175" i="19" s="1"/>
  <c r="X145" i="19"/>
  <c r="Y145" i="19" s="1"/>
  <c r="X164" i="19"/>
  <c r="Y164" i="19" s="1"/>
  <c r="X7" i="19"/>
  <c r="Y7" i="19" s="1"/>
  <c r="X114" i="19"/>
  <c r="Y114" i="19" s="1"/>
  <c r="X139" i="19"/>
  <c r="Y139" i="19" s="1"/>
  <c r="X33" i="19"/>
  <c r="Y33" i="19" s="1"/>
  <c r="X98" i="19"/>
  <c r="Y98" i="19" s="1"/>
  <c r="X42" i="19"/>
  <c r="Y42" i="19" s="1"/>
  <c r="X127" i="19"/>
  <c r="Y127" i="19" s="1"/>
  <c r="X35" i="19"/>
  <c r="Y35" i="19" s="1"/>
  <c r="X23" i="19"/>
  <c r="Y23" i="19" s="1"/>
  <c r="X26" i="19"/>
  <c r="Y26" i="19" s="1"/>
  <c r="X44" i="19"/>
  <c r="Y44" i="19" s="1"/>
  <c r="X105" i="19"/>
  <c r="Y105" i="19" s="1"/>
  <c r="X144" i="19"/>
  <c r="Y144" i="19" s="1"/>
  <c r="X43" i="19"/>
  <c r="Y43" i="19" s="1"/>
  <c r="X11" i="19"/>
  <c r="Y11" i="19" s="1"/>
  <c r="X15" i="19"/>
  <c r="Y15" i="19" s="1"/>
  <c r="X153" i="19"/>
  <c r="Y153" i="19" s="1"/>
  <c r="X73" i="19"/>
  <c r="Y73" i="19" s="1"/>
  <c r="X64" i="19"/>
  <c r="Y64" i="19" s="1"/>
  <c r="X147" i="19"/>
  <c r="Y147" i="19" s="1"/>
  <c r="X161" i="19"/>
  <c r="Y161" i="19" s="1"/>
  <c r="X74" i="19"/>
  <c r="Y74" i="19" s="1"/>
  <c r="X152" i="19"/>
  <c r="Y152" i="19" s="1"/>
  <c r="X76" i="19"/>
  <c r="Y76" i="19" s="1"/>
  <c r="X67" i="19"/>
  <c r="Y67" i="19" s="1"/>
  <c r="X88" i="19"/>
  <c r="Y88" i="19" s="1"/>
  <c r="X30" i="19"/>
  <c r="Y30" i="19" s="1"/>
  <c r="X36" i="19"/>
  <c r="Y36" i="19" s="1"/>
  <c r="X28" i="19"/>
  <c r="Y28" i="19" s="1"/>
  <c r="X150" i="19"/>
  <c r="Y150" i="19" s="1"/>
  <c r="X87" i="19"/>
  <c r="Y87" i="19" s="1"/>
  <c r="X106" i="19"/>
  <c r="Y106" i="19" s="1"/>
  <c r="X75" i="19"/>
  <c r="Y75" i="19" s="1"/>
  <c r="X14" i="19"/>
  <c r="Y14" i="19" s="1"/>
  <c r="X52" i="19"/>
  <c r="Y52" i="19" s="1"/>
  <c r="X126" i="19"/>
  <c r="Y126" i="19" s="1"/>
  <c r="X128" i="19"/>
  <c r="Y128" i="19" s="1"/>
  <c r="X59" i="19"/>
  <c r="Y59" i="19" s="1"/>
  <c r="X63" i="19"/>
  <c r="Y63" i="19" s="1"/>
  <c r="X95" i="19"/>
  <c r="Y95" i="19" s="1"/>
  <c r="X68" i="19"/>
  <c r="Y68" i="19" s="1"/>
  <c r="X155" i="19"/>
  <c r="Y155" i="19" s="1"/>
  <c r="X136" i="19"/>
  <c r="Y136" i="19" s="1"/>
  <c r="X62" i="19"/>
  <c r="Y62" i="19" s="1"/>
  <c r="X61" i="19"/>
  <c r="Y61" i="19" s="1"/>
  <c r="X100" i="19"/>
  <c r="Y100" i="19" s="1"/>
  <c r="X143" i="19"/>
  <c r="Y143" i="19" s="1"/>
  <c r="X109" i="19"/>
  <c r="Y109" i="19" s="1"/>
  <c r="X49" i="19"/>
  <c r="Y49" i="19" s="1"/>
  <c r="X107" i="19"/>
  <c r="Y107" i="19" s="1"/>
  <c r="X141" i="19"/>
  <c r="Y141" i="19" s="1"/>
  <c r="X65" i="19"/>
  <c r="Y65" i="19" s="1"/>
  <c r="X94" i="19"/>
  <c r="Y94" i="19" s="1"/>
  <c r="X169" i="19"/>
  <c r="Y169" i="19" s="1"/>
  <c r="X174" i="19"/>
  <c r="Y174" i="19" s="1"/>
  <c r="X2" i="19"/>
  <c r="Y2" i="19" s="1"/>
  <c r="X99" i="19"/>
  <c r="Y99" i="19" s="1"/>
  <c r="X60" i="19"/>
  <c r="Y60" i="19" s="1"/>
  <c r="X118" i="19"/>
  <c r="Y118" i="19" s="1"/>
  <c r="X46" i="19"/>
  <c r="Y46" i="19" s="1"/>
  <c r="X134" i="19"/>
  <c r="Y134" i="19" s="1"/>
  <c r="X111" i="19"/>
  <c r="Y111" i="19" s="1"/>
  <c r="X32" i="19"/>
  <c r="Y32" i="19" s="1"/>
  <c r="X10" i="19"/>
  <c r="Y10" i="19" s="1"/>
  <c r="X40" i="19"/>
  <c r="Y40" i="19" s="1"/>
  <c r="X116" i="19"/>
  <c r="Y116" i="19" s="1"/>
  <c r="X57" i="19"/>
  <c r="Y57" i="19" s="1"/>
  <c r="X163" i="19"/>
  <c r="Y163" i="19" s="1"/>
  <c r="G2" i="44"/>
  <c r="G3" i="44"/>
  <c r="Y138" i="19"/>
  <c r="Y124" i="19"/>
  <c r="Y135" i="19"/>
  <c r="Y113" i="19"/>
  <c r="Y149" i="19"/>
  <c r="Y148" i="19"/>
  <c r="D2" i="46" l="1"/>
  <c r="H2" i="44"/>
  <c r="H3" i="44"/>
  <c r="C35" i="30"/>
  <c r="C37" i="30" s="1"/>
  <c r="C38" i="30" s="1"/>
  <c r="F3" i="44" l="1"/>
  <c r="F2" i="44"/>
  <c r="D19" i="44" l="1"/>
  <c r="E19" i="44"/>
  <c r="C17" i="30" l="1"/>
  <c r="C18" i="30" l="1"/>
  <c r="E18" i="44" l="1"/>
  <c r="D18" i="44"/>
  <c r="C32" i="30" l="1"/>
  <c r="D16" i="44" l="1"/>
  <c r="E16" i="44"/>
  <c r="I2" i="46" l="1"/>
  <c r="D17" i="44" l="1"/>
  <c r="E17" i="44"/>
  <c r="C22" i="30" l="1"/>
  <c r="E7" i="44" l="1"/>
  <c r="E6" i="44" l="1"/>
  <c r="E8" i="44" l="1"/>
  <c r="E5" i="44" l="1"/>
  <c r="C24" i="30" l="1"/>
  <c r="C27" i="30" s="1"/>
  <c r="E9" i="44" l="1"/>
  <c r="E10" i="44" l="1"/>
  <c r="E4" i="44" l="1"/>
  <c r="C19" i="30" l="1"/>
  <c r="C26" i="30" s="1"/>
  <c r="C21" i="30" l="1"/>
  <c r="C23" i="30" s="1"/>
  <c r="C25" i="30" s="1"/>
  <c r="C20" i="30"/>
  <c r="E2" i="44" l="1"/>
  <c r="E3" i="44"/>
  <c r="D3" i="44" l="1"/>
  <c r="D2" i="44"/>
  <c r="E11" i="44" l="1"/>
  <c r="E12" i="44" l="1"/>
  <c r="E13" i="44" l="1"/>
  <c r="E14" i="44" l="1"/>
  <c r="D14" i="44"/>
  <c r="E15" i="44" l="1"/>
  <c r="D15" i="44"/>
  <c r="C3" i="46" l="1"/>
  <c r="I3" i="46" l="1"/>
  <c r="D3" i="46"/>
  <c r="F3" i="46" s="1"/>
  <c r="K3" i="46"/>
  <c r="C4" i="46"/>
  <c r="D4" i="46" l="1"/>
  <c r="F4" i="46" s="1"/>
  <c r="I4" i="46"/>
  <c r="K4" i="46"/>
  <c r="D4" i="44" l="1"/>
  <c r="D5" i="44"/>
  <c r="D10" i="44"/>
  <c r="D11" i="44"/>
  <c r="D8" i="44"/>
  <c r="D13" i="44"/>
  <c r="D7" i="44"/>
  <c r="D6" i="44"/>
  <c r="D12" i="44"/>
  <c r="D9" i="44"/>
  <c r="C31" i="30" l="1"/>
  <c r="E4" i="46" l="1"/>
  <c r="G4" i="46" s="1"/>
  <c r="E3" i="46"/>
  <c r="G3" i="46" s="1"/>
  <c r="H3" i="46" s="1"/>
  <c r="L3" i="46" s="1"/>
  <c r="H4" i="46" l="1"/>
  <c r="C5" i="46" s="1"/>
  <c r="E5" i="46" s="1"/>
  <c r="G5" i="46" s="1"/>
  <c r="H5" i="46" s="1"/>
  <c r="K5" i="46" l="1"/>
  <c r="I5" i="46"/>
  <c r="D5" i="46"/>
  <c r="F5" i="46" s="1"/>
  <c r="L4" i="46"/>
  <c r="L5" i="46"/>
  <c r="C6" i="46"/>
  <c r="E6" i="46" l="1"/>
  <c r="G6" i="46" s="1"/>
  <c r="H6" i="46" s="1"/>
  <c r="D6" i="46"/>
  <c r="F6" i="46" s="1"/>
  <c r="I6" i="46"/>
  <c r="K6" i="46"/>
  <c r="C7" i="46" l="1"/>
  <c r="L6" i="46"/>
  <c r="E7" i="46" l="1"/>
  <c r="G7" i="46" s="1"/>
  <c r="H7" i="46" s="1"/>
  <c r="D7" i="46"/>
  <c r="F7" i="46" s="1"/>
  <c r="I7" i="46"/>
  <c r="K7" i="46"/>
  <c r="C8" i="46" l="1"/>
  <c r="L7" i="46"/>
  <c r="D8" i="46" l="1"/>
  <c r="F8" i="46" s="1"/>
  <c r="E8" i="46"/>
  <c r="G8" i="46" s="1"/>
  <c r="H8" i="46" s="1"/>
  <c r="I8" i="46"/>
  <c r="K8" i="46"/>
  <c r="C9" i="46" l="1"/>
  <c r="L8" i="46"/>
  <c r="D9" i="46" l="1"/>
  <c r="F9" i="46" s="1"/>
  <c r="E9" i="46"/>
  <c r="G9" i="46" s="1"/>
  <c r="H9" i="46" s="1"/>
  <c r="I9" i="46"/>
  <c r="K9" i="46"/>
  <c r="C10" i="46" l="1"/>
  <c r="L9" i="46"/>
  <c r="E10" i="46" l="1"/>
  <c r="G10" i="46" s="1"/>
  <c r="H10" i="46" s="1"/>
  <c r="I10" i="46"/>
  <c r="D10" i="46"/>
  <c r="F10" i="46" s="1"/>
  <c r="K10" i="46"/>
  <c r="C11" i="46" l="1"/>
  <c r="L10" i="46"/>
  <c r="E11" i="46" l="1"/>
  <c r="G11" i="46" s="1"/>
  <c r="H11" i="46" s="1"/>
  <c r="D11" i="46"/>
  <c r="F11" i="46" s="1"/>
  <c r="I11" i="46"/>
  <c r="K11" i="46"/>
  <c r="C12" i="46" l="1"/>
  <c r="L11" i="46"/>
  <c r="E12" i="46" l="1"/>
  <c r="G12" i="46" s="1"/>
  <c r="H12" i="46" s="1"/>
  <c r="D12" i="46"/>
  <c r="F12" i="46" s="1"/>
  <c r="I12" i="46"/>
  <c r="K12" i="46"/>
  <c r="C13" i="46" l="1"/>
  <c r="L12" i="46"/>
  <c r="D13" i="46" l="1"/>
  <c r="F13" i="46" s="1"/>
  <c r="E13" i="46"/>
  <c r="G13" i="46" s="1"/>
  <c r="H13" i="46" s="1"/>
  <c r="I13" i="46"/>
  <c r="K13" i="46"/>
  <c r="C14" i="46" l="1"/>
  <c r="L13" i="46"/>
  <c r="D14" i="46" l="1"/>
  <c r="F14" i="46" s="1"/>
  <c r="E14" i="46"/>
  <c r="G14" i="46" s="1"/>
  <c r="H14" i="46" s="1"/>
  <c r="I14" i="46"/>
  <c r="K14" i="46"/>
  <c r="C15" i="46" l="1"/>
  <c r="L14" i="46"/>
  <c r="D15" i="46" l="1"/>
  <c r="F15" i="46" s="1"/>
  <c r="E15" i="46"/>
  <c r="G15" i="46" s="1"/>
  <c r="H15" i="46" s="1"/>
  <c r="I15" i="46"/>
  <c r="K15" i="46"/>
  <c r="C16" i="46" l="1"/>
  <c r="L15" i="46"/>
  <c r="D16" i="46" l="1"/>
  <c r="F16" i="46" s="1"/>
  <c r="E16" i="46"/>
  <c r="G16" i="46" s="1"/>
  <c r="H16" i="46" s="1"/>
  <c r="I16" i="46"/>
  <c r="K16" i="46"/>
  <c r="C17" i="46" l="1"/>
  <c r="L16" i="46"/>
  <c r="E17" i="46" l="1"/>
  <c r="G17" i="46" s="1"/>
  <c r="H17" i="46" s="1"/>
  <c r="D17" i="46"/>
  <c r="F17" i="46" s="1"/>
  <c r="I17" i="46"/>
  <c r="K17" i="46"/>
  <c r="C18" i="46" l="1"/>
  <c r="L17" i="46"/>
  <c r="E18" i="46" l="1"/>
  <c r="G18" i="46" s="1"/>
  <c r="H18" i="46" s="1"/>
  <c r="D18" i="46"/>
  <c r="F18" i="46" s="1"/>
  <c r="I18" i="46"/>
  <c r="K18" i="46"/>
  <c r="C19" i="46" l="1"/>
  <c r="L18" i="46"/>
  <c r="E19" i="46" l="1"/>
  <c r="G19" i="46" s="1"/>
  <c r="H19" i="46" s="1"/>
  <c r="D19" i="46"/>
  <c r="F19" i="46" s="1"/>
  <c r="I19" i="46"/>
  <c r="K19" i="46"/>
  <c r="C20" i="46" l="1"/>
  <c r="L19" i="46"/>
  <c r="D20" i="46" l="1"/>
  <c r="F20" i="46" s="1"/>
  <c r="K20" i="46"/>
  <c r="E20" i="46"/>
  <c r="G20" i="46" s="1"/>
  <c r="H20" i="46" s="1"/>
  <c r="I20" i="46"/>
  <c r="C21" i="46" l="1"/>
  <c r="L20" i="46"/>
  <c r="D21" i="46" l="1"/>
  <c r="F21" i="46" s="1"/>
  <c r="E21" i="46"/>
  <c r="G21" i="46" s="1"/>
  <c r="H21" i="46" s="1"/>
  <c r="I21" i="46"/>
  <c r="K21" i="46"/>
  <c r="C22" i="46" l="1"/>
  <c r="L21" i="46"/>
  <c r="E22" i="46" l="1"/>
  <c r="G22" i="46" s="1"/>
  <c r="H22" i="46" s="1"/>
  <c r="D22" i="46"/>
  <c r="F22" i="46" s="1"/>
  <c r="I22" i="46"/>
  <c r="K22" i="46"/>
  <c r="C23" i="46" l="1"/>
  <c r="L22" i="46"/>
  <c r="E23" i="46" l="1"/>
  <c r="G23" i="46" s="1"/>
  <c r="H23" i="46" s="1"/>
  <c r="D23" i="46"/>
  <c r="F23" i="46" s="1"/>
  <c r="I23" i="46"/>
  <c r="K23" i="46"/>
  <c r="C24" i="46" l="1"/>
  <c r="L23" i="46"/>
  <c r="E24" i="46" l="1"/>
  <c r="G24" i="46" s="1"/>
  <c r="H24" i="46" s="1"/>
  <c r="I24" i="46"/>
  <c r="D24" i="46"/>
  <c r="F24" i="46" s="1"/>
  <c r="K24" i="46"/>
  <c r="C25" i="46" l="1"/>
  <c r="L24" i="46"/>
  <c r="E25" i="46" l="1"/>
  <c r="G25" i="46" s="1"/>
  <c r="H25" i="46" s="1"/>
  <c r="I25" i="46"/>
  <c r="K25" i="46"/>
  <c r="D25" i="46"/>
  <c r="F25" i="46" s="1"/>
  <c r="C26" i="46" l="1"/>
  <c r="L25" i="46"/>
  <c r="D26" i="46" l="1"/>
  <c r="F26" i="46" s="1"/>
  <c r="E26" i="46"/>
  <c r="G26" i="46" s="1"/>
  <c r="H26" i="46" s="1"/>
  <c r="I26" i="46"/>
  <c r="K26" i="46"/>
  <c r="C27" i="46" l="1"/>
  <c r="L26" i="46"/>
  <c r="D27" i="46" l="1"/>
  <c r="F27" i="46" s="1"/>
  <c r="E27" i="46"/>
  <c r="G27" i="46" s="1"/>
  <c r="H27" i="46" s="1"/>
  <c r="I27" i="46"/>
  <c r="K27" i="46"/>
  <c r="C28" i="46" l="1"/>
  <c r="L27" i="46"/>
  <c r="D28" i="46" l="1"/>
  <c r="F28" i="46" s="1"/>
  <c r="I28" i="46"/>
  <c r="K28" i="46"/>
  <c r="E28" i="46"/>
  <c r="G28" i="46" s="1"/>
  <c r="H28" i="46" s="1"/>
  <c r="C29" i="46" l="1"/>
  <c r="L28" i="46"/>
  <c r="E29" i="46" l="1"/>
  <c r="G29" i="46" s="1"/>
  <c r="H29" i="46" s="1"/>
  <c r="I29" i="46"/>
  <c r="K29" i="46"/>
  <c r="D29" i="46"/>
  <c r="F29" i="46" s="1"/>
  <c r="C30" i="46" l="1"/>
  <c r="L29" i="46"/>
  <c r="E30" i="46" l="1"/>
  <c r="G30" i="46" s="1"/>
  <c r="H30" i="46" s="1"/>
  <c r="D30" i="46"/>
  <c r="F30" i="46" s="1"/>
  <c r="I30" i="46"/>
  <c r="K30" i="46"/>
  <c r="L30" i="46" l="1"/>
  <c r="C31" i="46"/>
  <c r="E31" i="46" l="1"/>
  <c r="G31" i="46" s="1"/>
  <c r="H31" i="46" s="1"/>
  <c r="D31" i="46"/>
  <c r="F31" i="46" s="1"/>
  <c r="I31" i="46"/>
  <c r="K31" i="46"/>
  <c r="L31" i="46" l="1"/>
  <c r="C32" i="46"/>
  <c r="D32" i="46" l="1"/>
  <c r="F32" i="46" s="1"/>
  <c r="E32" i="46"/>
  <c r="G32" i="46" s="1"/>
  <c r="H32" i="46" s="1"/>
  <c r="I32" i="46"/>
  <c r="K32" i="46"/>
  <c r="C33" i="46" l="1"/>
  <c r="L32" i="46"/>
  <c r="D33" i="46" l="1"/>
  <c r="F33" i="46" s="1"/>
  <c r="I33" i="46"/>
  <c r="K33" i="46"/>
  <c r="E33" i="46"/>
  <c r="G33" i="46" s="1"/>
  <c r="H33" i="46" s="1"/>
  <c r="C34" i="46" l="1"/>
  <c r="L33" i="46"/>
  <c r="E34" i="46" l="1"/>
  <c r="G34" i="46" s="1"/>
  <c r="H34" i="46" s="1"/>
  <c r="D34" i="46"/>
  <c r="F34" i="46" s="1"/>
  <c r="I34" i="46"/>
  <c r="K34" i="46"/>
  <c r="C35" i="46" l="1"/>
  <c r="L34" i="46"/>
  <c r="E35" i="46" l="1"/>
  <c r="G35" i="46" s="1"/>
  <c r="H35" i="46" s="1"/>
  <c r="D35" i="46"/>
  <c r="F35" i="46" s="1"/>
  <c r="K35" i="46"/>
  <c r="I35" i="46"/>
  <c r="C36" i="46" l="1"/>
  <c r="L35" i="46"/>
  <c r="E36" i="46" l="1"/>
  <c r="G36" i="46" s="1"/>
  <c r="H36" i="46" s="1"/>
  <c r="D36" i="46"/>
  <c r="F36" i="46" s="1"/>
  <c r="I36" i="46"/>
  <c r="K36" i="46"/>
  <c r="C37" i="46" l="1"/>
  <c r="L36" i="46"/>
  <c r="D37" i="46" l="1"/>
  <c r="F37" i="46" s="1"/>
  <c r="E37" i="46"/>
  <c r="G37" i="46" s="1"/>
  <c r="H37" i="46" s="1"/>
  <c r="I37" i="46"/>
  <c r="K37" i="46"/>
  <c r="C38" i="46" l="1"/>
  <c r="L37" i="46"/>
  <c r="D38" i="46" l="1"/>
  <c r="F38" i="46" s="1"/>
  <c r="E38" i="46"/>
  <c r="G38" i="46" s="1"/>
  <c r="H38" i="46" s="1"/>
  <c r="I38" i="46"/>
  <c r="K38" i="46"/>
  <c r="C39" i="46" l="1"/>
  <c r="L38" i="46"/>
  <c r="D39" i="46" l="1"/>
  <c r="F39" i="46" s="1"/>
  <c r="E39" i="46"/>
  <c r="G39" i="46" s="1"/>
  <c r="H39" i="46" s="1"/>
  <c r="I39" i="46"/>
  <c r="K39" i="46"/>
  <c r="C40" i="46" l="1"/>
  <c r="L39" i="46"/>
  <c r="D40" i="46" l="1"/>
  <c r="F40" i="46" s="1"/>
  <c r="E40" i="46"/>
  <c r="G40" i="46" s="1"/>
  <c r="H40" i="46" s="1"/>
  <c r="I40" i="46"/>
  <c r="K40" i="46"/>
  <c r="C41" i="46" l="1"/>
  <c r="L40" i="46"/>
  <c r="E41" i="46" l="1"/>
  <c r="G41" i="46" s="1"/>
  <c r="H41" i="46" s="1"/>
  <c r="D41" i="46"/>
  <c r="F41" i="46" s="1"/>
  <c r="I41" i="46"/>
  <c r="K41" i="46"/>
  <c r="C42" i="46" l="1"/>
  <c r="L41" i="46"/>
  <c r="E42" i="46" l="1"/>
  <c r="G42" i="46" s="1"/>
  <c r="H42" i="46" s="1"/>
  <c r="D42" i="46"/>
  <c r="F42" i="46" s="1"/>
  <c r="I42" i="46"/>
  <c r="K42" i="46"/>
  <c r="C43" i="46" l="1"/>
  <c r="L42" i="46"/>
  <c r="E43" i="46" l="1"/>
  <c r="G43" i="46" s="1"/>
  <c r="H43" i="46" s="1"/>
  <c r="D43" i="46"/>
  <c r="F43" i="46" s="1"/>
  <c r="I43" i="46"/>
  <c r="K43" i="46"/>
  <c r="C44" i="46" l="1"/>
  <c r="L43" i="46"/>
  <c r="D44" i="46" l="1"/>
  <c r="F44" i="46" s="1"/>
  <c r="E44" i="46"/>
  <c r="G44" i="46" s="1"/>
  <c r="H44" i="46" s="1"/>
  <c r="I44" i="46"/>
  <c r="K44" i="46"/>
  <c r="C45" i="46" l="1"/>
  <c r="L44" i="46"/>
  <c r="D45" i="46" l="1"/>
  <c r="F45" i="46" s="1"/>
  <c r="E45" i="46"/>
  <c r="G45" i="46" s="1"/>
  <c r="H45" i="46" s="1"/>
  <c r="I45" i="46"/>
  <c r="K45" i="46"/>
  <c r="C46" i="46" l="1"/>
  <c r="L45" i="46"/>
  <c r="E46" i="46" l="1"/>
  <c r="G46" i="46" s="1"/>
  <c r="H46" i="46" s="1"/>
  <c r="D46" i="46"/>
  <c r="F46" i="46" s="1"/>
  <c r="I46" i="46"/>
  <c r="K46" i="46"/>
  <c r="C47" i="46" l="1"/>
  <c r="L46" i="46"/>
  <c r="E47" i="46" l="1"/>
  <c r="G47" i="46" s="1"/>
  <c r="H47" i="46" s="1"/>
  <c r="D47" i="46"/>
  <c r="F47" i="46" s="1"/>
  <c r="I47" i="46"/>
  <c r="K47" i="46"/>
  <c r="C48" i="46" l="1"/>
  <c r="L47" i="46"/>
  <c r="E48" i="46" l="1"/>
  <c r="G48" i="46" s="1"/>
  <c r="H48" i="46" s="1"/>
  <c r="D48" i="46"/>
  <c r="F48" i="46" s="1"/>
  <c r="I48" i="46"/>
  <c r="K48" i="46"/>
  <c r="C49" i="46" l="1"/>
  <c r="L48" i="46"/>
  <c r="D49" i="46" l="1"/>
  <c r="F49" i="46" s="1"/>
  <c r="E49" i="46"/>
  <c r="G49" i="46" s="1"/>
  <c r="H49" i="46" s="1"/>
  <c r="I49" i="46"/>
  <c r="K49" i="46"/>
  <c r="C50" i="46" l="1"/>
  <c r="L49" i="46"/>
  <c r="D50" i="46" l="1"/>
  <c r="F50" i="46" s="1"/>
  <c r="E50" i="46"/>
  <c r="G50" i="46" s="1"/>
  <c r="H50" i="46" s="1"/>
  <c r="I50" i="46"/>
  <c r="K50" i="46"/>
  <c r="C51" i="46" l="1"/>
  <c r="L50" i="46"/>
  <c r="D51" i="46" l="1"/>
  <c r="F51" i="46" s="1"/>
  <c r="E51" i="46"/>
  <c r="G51" i="46" s="1"/>
  <c r="H51" i="46" s="1"/>
  <c r="I51" i="46"/>
  <c r="K51" i="46"/>
  <c r="C52" i="46" l="1"/>
  <c r="L51" i="46"/>
  <c r="D52" i="46" l="1"/>
  <c r="F52" i="46" s="1"/>
  <c r="E52" i="46"/>
  <c r="G52" i="46" s="1"/>
  <c r="H52" i="46" s="1"/>
  <c r="I52" i="46"/>
  <c r="K52" i="46"/>
  <c r="C53" i="46" l="1"/>
  <c r="L52" i="46"/>
  <c r="E53" i="46" l="1"/>
  <c r="G53" i="46" s="1"/>
  <c r="H53" i="46" s="1"/>
  <c r="D53" i="46"/>
  <c r="F53" i="46" s="1"/>
  <c r="I53" i="46"/>
  <c r="K53" i="46"/>
  <c r="C54" i="46" l="1"/>
  <c r="L53" i="46"/>
  <c r="E54" i="46" l="1"/>
  <c r="G54" i="46" s="1"/>
  <c r="H54" i="46" s="1"/>
  <c r="D54" i="46"/>
  <c r="F54" i="46" s="1"/>
  <c r="I54" i="46"/>
  <c r="K54" i="46"/>
  <c r="C55" i="46" l="1"/>
  <c r="L54" i="46"/>
  <c r="E55" i="46" l="1"/>
  <c r="G55" i="46" s="1"/>
  <c r="H55" i="46" s="1"/>
  <c r="D55" i="46"/>
  <c r="F55" i="46" s="1"/>
  <c r="I55" i="46"/>
  <c r="K55" i="46"/>
  <c r="C56" i="46" l="1"/>
  <c r="L55" i="46"/>
  <c r="D56" i="46" l="1"/>
  <c r="F56" i="46" s="1"/>
  <c r="E56" i="46"/>
  <c r="G56" i="46" s="1"/>
  <c r="H56" i="46" s="1"/>
  <c r="I56" i="46"/>
  <c r="K56" i="46"/>
  <c r="C57" i="46" l="1"/>
  <c r="L56" i="46"/>
  <c r="D57" i="46" l="1"/>
  <c r="F57" i="46" s="1"/>
  <c r="E57" i="46"/>
  <c r="G57" i="46" s="1"/>
  <c r="H57" i="46" s="1"/>
  <c r="I57" i="46"/>
  <c r="K57" i="46"/>
  <c r="C58" i="46" l="1"/>
  <c r="L57" i="46"/>
  <c r="E58" i="46" l="1"/>
  <c r="G58" i="46" s="1"/>
  <c r="H58" i="46" s="1"/>
  <c r="D58" i="46"/>
  <c r="F58" i="46" s="1"/>
  <c r="I58" i="46"/>
  <c r="K58" i="46"/>
  <c r="C59" i="46" l="1"/>
  <c r="L58" i="46"/>
  <c r="E59" i="46" l="1"/>
  <c r="G59" i="46" s="1"/>
  <c r="H59" i="46" s="1"/>
  <c r="D59" i="46"/>
  <c r="F59" i="46" s="1"/>
  <c r="I59" i="46"/>
  <c r="K59" i="46"/>
  <c r="C60" i="46" l="1"/>
  <c r="L59" i="46"/>
  <c r="E60" i="46" l="1"/>
  <c r="G60" i="46" s="1"/>
  <c r="H60" i="46" s="1"/>
  <c r="D60" i="46"/>
  <c r="F60" i="46" s="1"/>
  <c r="I60" i="46"/>
  <c r="K60" i="46"/>
  <c r="C61" i="46" l="1"/>
  <c r="L60" i="46"/>
  <c r="D61" i="46" l="1"/>
  <c r="F61" i="46" s="1"/>
  <c r="E61" i="46"/>
  <c r="G61" i="46" s="1"/>
  <c r="H61" i="46" s="1"/>
  <c r="I61" i="46"/>
  <c r="K61" i="46"/>
  <c r="C62" i="46" l="1"/>
  <c r="L61" i="46"/>
  <c r="D62" i="46" l="1"/>
  <c r="F62" i="46" s="1"/>
  <c r="E62" i="46"/>
  <c r="G62" i="46" s="1"/>
  <c r="H62" i="46" s="1"/>
  <c r="I62" i="46"/>
  <c r="K62" i="46"/>
  <c r="C63" i="46" l="1"/>
  <c r="L62" i="46"/>
  <c r="D63" i="46" l="1"/>
  <c r="F63" i="46" s="1"/>
  <c r="E63" i="46"/>
  <c r="G63" i="46" s="1"/>
  <c r="H63" i="46" s="1"/>
  <c r="I63" i="46"/>
  <c r="K63" i="46"/>
  <c r="C64" i="46" l="1"/>
  <c r="L63" i="46"/>
  <c r="E64" i="46" l="1"/>
  <c r="G64" i="46" s="1"/>
  <c r="H64" i="46" s="1"/>
  <c r="D64" i="46"/>
  <c r="F64" i="46" s="1"/>
  <c r="I64" i="46"/>
  <c r="K64" i="46"/>
  <c r="C65" i="46" l="1"/>
  <c r="L64" i="46"/>
  <c r="E65" i="46" l="1"/>
  <c r="G65" i="46" s="1"/>
  <c r="H65" i="46" s="1"/>
  <c r="D65" i="46"/>
  <c r="F65" i="46" s="1"/>
  <c r="I65" i="46"/>
  <c r="K65" i="46"/>
  <c r="C66" i="46" l="1"/>
  <c r="L65" i="46"/>
  <c r="E66" i="46" l="1"/>
  <c r="G66" i="46" s="1"/>
  <c r="H66" i="46" s="1"/>
  <c r="D66" i="46"/>
  <c r="F66" i="46" s="1"/>
  <c r="I66" i="46"/>
  <c r="K66" i="46"/>
  <c r="C67" i="46" l="1"/>
  <c r="L66" i="46"/>
  <c r="E67" i="46" l="1"/>
  <c r="G67" i="46" s="1"/>
  <c r="H67" i="46" s="1"/>
  <c r="D67" i="46"/>
  <c r="F67" i="46" s="1"/>
  <c r="I67" i="46"/>
  <c r="K67" i="46"/>
  <c r="C68" i="46" l="1"/>
  <c r="L67" i="46"/>
  <c r="D68" i="46" l="1"/>
  <c r="F68" i="46" s="1"/>
  <c r="E68" i="46"/>
  <c r="G68" i="46" s="1"/>
  <c r="H68" i="46" s="1"/>
  <c r="I68" i="46"/>
  <c r="K68" i="46"/>
  <c r="C69" i="46" l="1"/>
  <c r="L68" i="46"/>
  <c r="D69" i="46" l="1"/>
  <c r="F69" i="46" s="1"/>
  <c r="E69" i="46"/>
  <c r="G69" i="46" s="1"/>
  <c r="H69" i="46" s="1"/>
  <c r="I69" i="46"/>
  <c r="K69" i="46"/>
  <c r="C70" i="46" l="1"/>
  <c r="L69" i="46"/>
  <c r="E70" i="46" l="1"/>
  <c r="G70" i="46" s="1"/>
  <c r="H70" i="46" s="1"/>
  <c r="D70" i="46"/>
  <c r="F70" i="46" s="1"/>
  <c r="I70" i="46"/>
  <c r="K70" i="46"/>
  <c r="C71" i="46" l="1"/>
  <c r="L70" i="46"/>
  <c r="E71" i="46" l="1"/>
  <c r="G71" i="46" s="1"/>
  <c r="H71" i="46" s="1"/>
  <c r="D71" i="46"/>
  <c r="F71" i="46" s="1"/>
  <c r="I71" i="46"/>
  <c r="K71" i="46"/>
  <c r="C72" i="46" l="1"/>
  <c r="L71" i="46"/>
  <c r="E72" i="46" l="1"/>
  <c r="G72" i="46" s="1"/>
  <c r="H72" i="46" s="1"/>
  <c r="D72" i="46"/>
  <c r="F72" i="46" s="1"/>
  <c r="I72" i="46"/>
  <c r="K72" i="46"/>
  <c r="C73" i="46" l="1"/>
  <c r="L72" i="46"/>
  <c r="D73" i="46" l="1"/>
  <c r="F73" i="46" s="1"/>
  <c r="E73" i="46"/>
  <c r="G73" i="46" s="1"/>
  <c r="H73" i="46" s="1"/>
  <c r="I73" i="46"/>
  <c r="K73" i="46"/>
  <c r="C74" i="46" l="1"/>
  <c r="L73" i="46"/>
  <c r="D74" i="46" l="1"/>
  <c r="F74" i="46" s="1"/>
  <c r="E74" i="46"/>
  <c r="G74" i="46" s="1"/>
  <c r="H74" i="46" s="1"/>
  <c r="I74" i="46"/>
  <c r="K74" i="46"/>
  <c r="C75" i="46" l="1"/>
  <c r="L74" i="46"/>
  <c r="D75" i="46" l="1"/>
  <c r="F75" i="46" s="1"/>
  <c r="E75" i="46"/>
  <c r="G75" i="46" s="1"/>
  <c r="H75" i="46" s="1"/>
  <c r="I75" i="46"/>
  <c r="K75" i="46"/>
  <c r="C76" i="46" l="1"/>
  <c r="L75" i="46"/>
  <c r="D76" i="46" l="1"/>
  <c r="F76" i="46" s="1"/>
  <c r="E76" i="46"/>
  <c r="G76" i="46" s="1"/>
  <c r="H76" i="46" s="1"/>
  <c r="I76" i="46"/>
  <c r="K76" i="46"/>
  <c r="C77" i="46" l="1"/>
  <c r="L76" i="46"/>
  <c r="E77" i="46" l="1"/>
  <c r="G77" i="46" s="1"/>
  <c r="H77" i="46" s="1"/>
  <c r="D77" i="46"/>
  <c r="F77" i="46" s="1"/>
  <c r="I77" i="46"/>
  <c r="K77" i="46"/>
  <c r="C78" i="46" l="1"/>
  <c r="L77" i="46"/>
  <c r="E78" i="46" l="1"/>
  <c r="G78" i="46" s="1"/>
  <c r="H78" i="46" s="1"/>
  <c r="D78" i="46"/>
  <c r="F78" i="46" s="1"/>
  <c r="I78" i="46"/>
  <c r="K78" i="46"/>
  <c r="C79" i="46" l="1"/>
  <c r="L78" i="46"/>
  <c r="E79" i="46" l="1"/>
  <c r="G79" i="46" s="1"/>
  <c r="H79" i="46" s="1"/>
  <c r="D79" i="46"/>
  <c r="F79" i="46" s="1"/>
  <c r="I79" i="46"/>
  <c r="K79" i="46"/>
  <c r="C80" i="46" l="1"/>
  <c r="L79" i="46"/>
  <c r="D80" i="46" l="1"/>
  <c r="F80" i="46" s="1"/>
  <c r="E80" i="46"/>
  <c r="G80" i="46" s="1"/>
  <c r="H80" i="46" s="1"/>
  <c r="I80" i="46"/>
  <c r="K80" i="46"/>
  <c r="C81" i="46" l="1"/>
  <c r="L80" i="46"/>
  <c r="D81" i="46" l="1"/>
  <c r="F81" i="46" s="1"/>
  <c r="E81" i="46"/>
  <c r="G81" i="46" s="1"/>
  <c r="H81" i="46" s="1"/>
  <c r="I81" i="46"/>
  <c r="K81" i="46"/>
  <c r="C82" i="46" l="1"/>
  <c r="L81" i="46"/>
  <c r="E82" i="46" l="1"/>
  <c r="G82" i="46" s="1"/>
  <c r="H82" i="46" s="1"/>
  <c r="D82" i="46"/>
  <c r="F82" i="46" s="1"/>
  <c r="I82" i="46"/>
  <c r="K82" i="46"/>
  <c r="C83" i="46" l="1"/>
  <c r="L82" i="46"/>
  <c r="E83" i="46" l="1"/>
  <c r="G83" i="46" s="1"/>
  <c r="H83" i="46" s="1"/>
  <c r="D83" i="46"/>
  <c r="F83" i="46" s="1"/>
  <c r="I83" i="46"/>
  <c r="K83" i="46"/>
  <c r="C84" i="46" l="1"/>
  <c r="L83" i="46"/>
  <c r="E84" i="46" l="1"/>
  <c r="G84" i="46" s="1"/>
  <c r="H84" i="46" s="1"/>
  <c r="D84" i="46"/>
  <c r="F84" i="46" s="1"/>
  <c r="I84" i="46"/>
  <c r="K84" i="46"/>
  <c r="C85" i="46" l="1"/>
  <c r="L84" i="46"/>
  <c r="D85" i="46" l="1"/>
  <c r="F85" i="46" s="1"/>
  <c r="E85" i="46"/>
  <c r="G85" i="46" s="1"/>
  <c r="H85" i="46" s="1"/>
  <c r="I85" i="46"/>
  <c r="K85" i="46"/>
  <c r="C86" i="46" l="1"/>
  <c r="L85" i="46"/>
  <c r="D86" i="46" l="1"/>
  <c r="F86" i="46" s="1"/>
  <c r="E86" i="46"/>
  <c r="G86" i="46" s="1"/>
  <c r="H86" i="46" s="1"/>
  <c r="I86" i="46"/>
  <c r="K86" i="46"/>
  <c r="C87" i="46" l="1"/>
  <c r="L86" i="46"/>
  <c r="D87" i="46" l="1"/>
  <c r="F87" i="46" s="1"/>
  <c r="E87" i="46"/>
  <c r="G87" i="46" s="1"/>
  <c r="H87" i="46" s="1"/>
  <c r="I87" i="46"/>
  <c r="K87" i="46"/>
  <c r="C88" i="46" l="1"/>
  <c r="L87" i="46"/>
  <c r="E88" i="46" l="1"/>
  <c r="G88" i="46" s="1"/>
  <c r="H88" i="46" s="1"/>
  <c r="D88" i="46"/>
  <c r="F88" i="46" s="1"/>
  <c r="I88" i="46"/>
  <c r="K88" i="46"/>
  <c r="C89" i="46" l="1"/>
  <c r="L88" i="46"/>
  <c r="E89" i="46" l="1"/>
  <c r="G89" i="46" s="1"/>
  <c r="H89" i="46" s="1"/>
  <c r="D89" i="46"/>
  <c r="F89" i="46" s="1"/>
  <c r="I89" i="46"/>
  <c r="K89" i="46"/>
  <c r="C90" i="46" l="1"/>
  <c r="L89" i="46"/>
  <c r="E90" i="46" l="1"/>
  <c r="G90" i="46" s="1"/>
  <c r="H90" i="46" s="1"/>
  <c r="D90" i="46"/>
  <c r="F90" i="46" s="1"/>
  <c r="I90" i="46"/>
  <c r="K90" i="46"/>
  <c r="C91" i="46" l="1"/>
  <c r="L90" i="46"/>
  <c r="E91" i="46" l="1"/>
  <c r="G91" i="46" s="1"/>
  <c r="H91" i="46" s="1"/>
  <c r="D91" i="46"/>
  <c r="F91" i="46" s="1"/>
  <c r="I91" i="46"/>
  <c r="K91" i="46"/>
  <c r="C92" i="46" l="1"/>
  <c r="L91" i="46"/>
  <c r="D92" i="46" l="1"/>
  <c r="F92" i="46" s="1"/>
  <c r="E92" i="46"/>
  <c r="G92" i="46" s="1"/>
  <c r="H92" i="46" s="1"/>
  <c r="I92" i="46"/>
  <c r="K92" i="46"/>
  <c r="C93" i="46" l="1"/>
  <c r="L92" i="46"/>
  <c r="D93" i="46" l="1"/>
  <c r="F93" i="46" s="1"/>
  <c r="E93" i="46"/>
  <c r="G93" i="46" s="1"/>
  <c r="H93" i="46" s="1"/>
  <c r="I93" i="46"/>
  <c r="K93" i="46"/>
  <c r="C94" i="46" l="1"/>
  <c r="L93" i="46"/>
  <c r="E94" i="46" l="1"/>
  <c r="G94" i="46" s="1"/>
  <c r="H94" i="46" s="1"/>
  <c r="D94" i="46"/>
  <c r="F94" i="46" s="1"/>
  <c r="I94" i="46"/>
  <c r="K94" i="46"/>
  <c r="C95" i="46" l="1"/>
  <c r="L94" i="46"/>
  <c r="E95" i="46" l="1"/>
  <c r="G95" i="46" s="1"/>
  <c r="H95" i="46" s="1"/>
  <c r="D95" i="46"/>
  <c r="F95" i="46" s="1"/>
  <c r="I95" i="46"/>
  <c r="K95" i="46"/>
  <c r="C96" i="46" l="1"/>
  <c r="L95" i="46"/>
  <c r="E96" i="46" l="1"/>
  <c r="G96" i="46" s="1"/>
  <c r="H96" i="46" s="1"/>
  <c r="D96" i="46"/>
  <c r="F96" i="46" s="1"/>
  <c r="I96" i="46"/>
  <c r="K96" i="46"/>
  <c r="C97" i="46" l="1"/>
  <c r="L96" i="46"/>
  <c r="D97" i="46" l="1"/>
  <c r="F97" i="46" s="1"/>
  <c r="E97" i="46"/>
  <c r="G97" i="46" s="1"/>
  <c r="H97" i="46" s="1"/>
  <c r="I97" i="46"/>
  <c r="K97" i="46"/>
  <c r="C98" i="46" l="1"/>
  <c r="L97" i="46"/>
  <c r="D98" i="46" l="1"/>
  <c r="F98" i="46" s="1"/>
  <c r="E98" i="46"/>
  <c r="G98" i="46" s="1"/>
  <c r="H98" i="46" s="1"/>
  <c r="I98" i="46"/>
  <c r="K98" i="46"/>
  <c r="C99" i="46" l="1"/>
  <c r="L98" i="46"/>
  <c r="D99" i="46" l="1"/>
  <c r="F99" i="46" s="1"/>
  <c r="E99" i="46"/>
  <c r="G99" i="46" s="1"/>
  <c r="H99" i="46" s="1"/>
  <c r="I99" i="46"/>
  <c r="K99" i="46"/>
  <c r="C100" i="46" l="1"/>
  <c r="L99" i="46"/>
  <c r="E100" i="46" l="1"/>
  <c r="G100" i="46" s="1"/>
  <c r="H100" i="46" s="1"/>
  <c r="D100" i="46"/>
  <c r="F100" i="46" s="1"/>
  <c r="I100" i="46"/>
  <c r="K100" i="46"/>
  <c r="C101" i="46" l="1"/>
  <c r="L100" i="46"/>
  <c r="E101" i="46" l="1"/>
  <c r="G101" i="46" s="1"/>
  <c r="H101" i="46" s="1"/>
  <c r="D101" i="46"/>
  <c r="F101" i="46" s="1"/>
  <c r="I101" i="46"/>
  <c r="K101" i="46"/>
  <c r="L101" i="46" l="1"/>
  <c r="C102" i="46"/>
  <c r="E102" i="46" l="1"/>
  <c r="G102" i="46" s="1"/>
  <c r="H102" i="46" s="1"/>
  <c r="D102" i="46"/>
  <c r="F102" i="46" s="1"/>
  <c r="I102" i="46"/>
  <c r="K102" i="46"/>
  <c r="C103" i="46" l="1"/>
  <c r="L102" i="46"/>
  <c r="E103" i="46" l="1"/>
  <c r="G103" i="46" s="1"/>
  <c r="H103" i="46" s="1"/>
  <c r="D103" i="46"/>
  <c r="F103" i="46" s="1"/>
  <c r="I103" i="46"/>
  <c r="K103" i="46"/>
  <c r="C104" i="46" l="1"/>
  <c r="L103" i="46"/>
  <c r="D104" i="46" l="1"/>
  <c r="F104" i="46" s="1"/>
  <c r="E104" i="46"/>
  <c r="G104" i="46" s="1"/>
  <c r="H104" i="46" s="1"/>
  <c r="I104" i="46"/>
  <c r="K104" i="46"/>
  <c r="C105" i="46" l="1"/>
  <c r="L104" i="46"/>
  <c r="D105" i="46" l="1"/>
  <c r="F105" i="46" s="1"/>
  <c r="E105" i="46"/>
  <c r="G105" i="46" s="1"/>
  <c r="H105" i="46" s="1"/>
  <c r="K105" i="46"/>
  <c r="I105" i="46"/>
  <c r="C106" i="46" l="1"/>
  <c r="L105" i="46"/>
  <c r="E106" i="46" l="1"/>
  <c r="G106" i="46" s="1"/>
  <c r="H106" i="46" s="1"/>
  <c r="D106" i="46"/>
  <c r="F106" i="46" s="1"/>
  <c r="K106" i="46"/>
  <c r="I106" i="46"/>
  <c r="C107" i="46" l="1"/>
  <c r="L106" i="46"/>
  <c r="E107" i="46" l="1"/>
  <c r="G107" i="46" s="1"/>
  <c r="H107" i="46" s="1"/>
  <c r="D107" i="46"/>
  <c r="F107" i="46" s="1"/>
  <c r="K107" i="46"/>
  <c r="I107" i="46"/>
  <c r="C108" i="46" l="1"/>
  <c r="L107" i="46"/>
  <c r="E108" i="46" l="1"/>
  <c r="G108" i="46" s="1"/>
  <c r="H108" i="46" s="1"/>
  <c r="D108" i="46"/>
  <c r="F108" i="46" s="1"/>
  <c r="K108" i="46"/>
  <c r="I108" i="46"/>
  <c r="C109" i="46" l="1"/>
  <c r="L108" i="46"/>
  <c r="D109" i="46" l="1"/>
  <c r="F109" i="46" s="1"/>
  <c r="E109" i="46"/>
  <c r="G109" i="46" s="1"/>
  <c r="H109" i="46" s="1"/>
  <c r="K109" i="46"/>
  <c r="I109" i="46"/>
  <c r="C110" i="46" l="1"/>
  <c r="L109" i="46"/>
  <c r="D110" i="46" l="1"/>
  <c r="F110" i="46" s="1"/>
  <c r="E110" i="46"/>
  <c r="G110" i="46" s="1"/>
  <c r="H110" i="46" s="1"/>
  <c r="K110" i="46"/>
  <c r="I110" i="46"/>
  <c r="C111" i="46" l="1"/>
  <c r="L110" i="46"/>
  <c r="D111" i="46" l="1"/>
  <c r="F111" i="46" s="1"/>
  <c r="E111" i="46"/>
  <c r="G111" i="46" s="1"/>
  <c r="H111" i="46" s="1"/>
  <c r="K111" i="46"/>
  <c r="I111" i="46"/>
  <c r="C112" i="46" l="1"/>
  <c r="L111" i="46"/>
  <c r="D112" i="46" l="1"/>
  <c r="F112" i="46" s="1"/>
  <c r="E112" i="46"/>
  <c r="G112" i="46" s="1"/>
  <c r="H112" i="46" s="1"/>
  <c r="K112" i="46"/>
  <c r="I112" i="46"/>
  <c r="C113" i="46" l="1"/>
  <c r="L112" i="46"/>
  <c r="E113" i="46" l="1"/>
  <c r="G113" i="46" s="1"/>
  <c r="H113" i="46" s="1"/>
  <c r="D113" i="46"/>
  <c r="F113" i="46" s="1"/>
  <c r="K113" i="46"/>
  <c r="I113" i="46"/>
  <c r="C114" i="46" l="1"/>
  <c r="L113" i="46"/>
  <c r="E114" i="46" l="1"/>
  <c r="G114" i="46" s="1"/>
  <c r="H114" i="46" s="1"/>
  <c r="D114" i="46"/>
  <c r="F114" i="46" s="1"/>
  <c r="K114" i="46"/>
  <c r="I114" i="46"/>
  <c r="C115" i="46" l="1"/>
  <c r="L114" i="46"/>
  <c r="E115" i="46" l="1"/>
  <c r="G115" i="46" s="1"/>
  <c r="H115" i="46" s="1"/>
  <c r="D115" i="46"/>
  <c r="F115" i="46" s="1"/>
  <c r="K115" i="46"/>
  <c r="I115" i="46"/>
  <c r="C116" i="46" l="1"/>
  <c r="L115" i="46"/>
  <c r="D116" i="46" l="1"/>
  <c r="F116" i="46" s="1"/>
  <c r="E116" i="46"/>
  <c r="G116" i="46" s="1"/>
  <c r="H116" i="46" s="1"/>
  <c r="K116" i="46"/>
  <c r="I116" i="46"/>
  <c r="C117" i="46" l="1"/>
  <c r="L116" i="46"/>
  <c r="D117" i="46" l="1"/>
  <c r="F117" i="46" s="1"/>
  <c r="E117" i="46"/>
  <c r="G117" i="46" s="1"/>
  <c r="H117" i="46" s="1"/>
  <c r="K117" i="46"/>
  <c r="I117" i="46"/>
  <c r="C118" i="46" l="1"/>
  <c r="L117" i="46"/>
  <c r="E118" i="46" l="1"/>
  <c r="G118" i="46" s="1"/>
  <c r="H118" i="46" s="1"/>
  <c r="D118" i="46"/>
  <c r="F118" i="46" s="1"/>
  <c r="K118" i="46"/>
  <c r="I118" i="46"/>
  <c r="C119" i="46" l="1"/>
  <c r="L118" i="46"/>
  <c r="E119" i="46" l="1"/>
  <c r="G119" i="46" s="1"/>
  <c r="H119" i="46" s="1"/>
  <c r="D119" i="46"/>
  <c r="F119" i="46" s="1"/>
  <c r="K119" i="46"/>
  <c r="I119" i="46"/>
  <c r="C120" i="46" l="1"/>
  <c r="L119" i="46"/>
  <c r="E120" i="46" l="1"/>
  <c r="G120" i="46" s="1"/>
  <c r="H120" i="46" s="1"/>
  <c r="D120" i="46"/>
  <c r="F120" i="46" s="1"/>
  <c r="K120" i="46"/>
  <c r="I120" i="46"/>
  <c r="C121" i="46" l="1"/>
  <c r="L120" i="46"/>
  <c r="D121" i="46" l="1"/>
  <c r="F121" i="46" s="1"/>
  <c r="E121" i="46"/>
  <c r="G121" i="46" s="1"/>
  <c r="H121" i="46" s="1"/>
  <c r="K121" i="46"/>
  <c r="I121" i="46"/>
  <c r="C122" i="46" l="1"/>
  <c r="L121" i="46"/>
  <c r="D122" i="46" l="1"/>
  <c r="F122" i="46" s="1"/>
  <c r="E122" i="46"/>
  <c r="G122" i="46" s="1"/>
  <c r="H122" i="46" s="1"/>
  <c r="K122" i="46"/>
  <c r="I122" i="46"/>
  <c r="C123" i="46" l="1"/>
  <c r="L122" i="46"/>
  <c r="D123" i="46" l="1"/>
  <c r="F123" i="46" s="1"/>
  <c r="E123" i="46"/>
  <c r="G123" i="46" s="1"/>
  <c r="H123" i="46" s="1"/>
  <c r="K123" i="46"/>
  <c r="I123" i="46"/>
  <c r="C124" i="46" l="1"/>
  <c r="L123" i="46"/>
  <c r="D124" i="46" l="1"/>
  <c r="F124" i="46" s="1"/>
  <c r="E124" i="46"/>
  <c r="G124" i="46" s="1"/>
  <c r="H124" i="46" s="1"/>
  <c r="K124" i="46"/>
  <c r="I124" i="46"/>
  <c r="C125" i="46" l="1"/>
  <c r="L124" i="46"/>
  <c r="E125" i="46" l="1"/>
  <c r="G125" i="46" s="1"/>
  <c r="H125" i="46" s="1"/>
  <c r="D125" i="46"/>
  <c r="F125" i="46" s="1"/>
  <c r="K125" i="46"/>
  <c r="I125" i="46"/>
  <c r="C126" i="46" l="1"/>
  <c r="L125" i="46"/>
  <c r="E126" i="46" l="1"/>
  <c r="G126" i="46" s="1"/>
  <c r="H126" i="46" s="1"/>
  <c r="D126" i="46"/>
  <c r="F126" i="46" s="1"/>
  <c r="K126" i="46"/>
  <c r="I126" i="46"/>
  <c r="C127" i="46" l="1"/>
  <c r="L126" i="46"/>
  <c r="E127" i="46" l="1"/>
  <c r="G127" i="46" s="1"/>
  <c r="H127" i="46" s="1"/>
  <c r="D127" i="46"/>
  <c r="F127" i="46" s="1"/>
  <c r="K127" i="46"/>
  <c r="I127" i="46"/>
  <c r="C128" i="46" l="1"/>
  <c r="L127" i="46"/>
  <c r="D128" i="46" l="1"/>
  <c r="F128" i="46" s="1"/>
  <c r="E128" i="46"/>
  <c r="G128" i="46" s="1"/>
  <c r="H128" i="46" s="1"/>
  <c r="K128" i="46"/>
  <c r="I128" i="46"/>
  <c r="C129" i="46" l="1"/>
  <c r="L128" i="46"/>
  <c r="D129" i="46" l="1"/>
  <c r="F129" i="46" s="1"/>
  <c r="E129" i="46"/>
  <c r="G129" i="46" s="1"/>
  <c r="H129" i="46" s="1"/>
  <c r="K129" i="46"/>
  <c r="I129" i="46"/>
  <c r="C130" i="46" l="1"/>
  <c r="L129" i="46"/>
  <c r="E130" i="46" l="1"/>
  <c r="G130" i="46" s="1"/>
  <c r="H130" i="46" s="1"/>
  <c r="D130" i="46"/>
  <c r="F130" i="46" s="1"/>
  <c r="K130" i="46"/>
  <c r="I130" i="46"/>
  <c r="C131" i="46" l="1"/>
  <c r="L130" i="46"/>
  <c r="E131" i="46" l="1"/>
  <c r="G131" i="46" s="1"/>
  <c r="H131" i="46" s="1"/>
  <c r="D131" i="46"/>
  <c r="F131" i="46" s="1"/>
  <c r="K131" i="46"/>
  <c r="I131" i="46"/>
  <c r="C132" i="46" l="1"/>
  <c r="L131" i="46"/>
  <c r="E132" i="46" l="1"/>
  <c r="G132" i="46" s="1"/>
  <c r="H132" i="46" s="1"/>
  <c r="D132" i="46"/>
  <c r="F132" i="46" s="1"/>
  <c r="K132" i="46"/>
  <c r="I132" i="46"/>
  <c r="C133" i="46" l="1"/>
  <c r="L132" i="46"/>
  <c r="D133" i="46" l="1"/>
  <c r="F133" i="46" s="1"/>
  <c r="E133" i="46"/>
  <c r="G133" i="46" s="1"/>
  <c r="H133" i="46" s="1"/>
  <c r="K133" i="46"/>
  <c r="I133" i="46"/>
  <c r="C134" i="46" l="1"/>
  <c r="L133" i="46"/>
  <c r="D134" i="46" l="1"/>
  <c r="F134" i="46" s="1"/>
  <c r="E134" i="46"/>
  <c r="G134" i="46" s="1"/>
  <c r="H134" i="46" s="1"/>
  <c r="K134" i="46"/>
  <c r="I134" i="46"/>
  <c r="C135" i="46" l="1"/>
  <c r="L134" i="46"/>
  <c r="D135" i="46" l="1"/>
  <c r="F135" i="46" s="1"/>
  <c r="E135" i="46"/>
  <c r="G135" i="46" s="1"/>
  <c r="H135" i="46" s="1"/>
  <c r="K135" i="46"/>
  <c r="I135" i="46"/>
  <c r="C136" i="46" l="1"/>
  <c r="L135" i="46"/>
  <c r="E136" i="46" l="1"/>
  <c r="G136" i="46" s="1"/>
  <c r="H136" i="46" s="1"/>
  <c r="D136" i="46"/>
  <c r="F136" i="46" s="1"/>
  <c r="K136" i="46"/>
  <c r="I136" i="46"/>
  <c r="C137" i="46" l="1"/>
  <c r="L136" i="46"/>
  <c r="E137" i="46" l="1"/>
  <c r="G137" i="46" s="1"/>
  <c r="H137" i="46" s="1"/>
  <c r="D137" i="46"/>
  <c r="F137" i="46" s="1"/>
  <c r="K137" i="46"/>
  <c r="I137" i="46"/>
  <c r="C138" i="46" l="1"/>
  <c r="L137" i="46"/>
  <c r="E138" i="46" l="1"/>
  <c r="G138" i="46" s="1"/>
  <c r="H138" i="46" s="1"/>
  <c r="D138" i="46"/>
  <c r="F138" i="46" s="1"/>
  <c r="K138" i="46"/>
  <c r="I138" i="46"/>
  <c r="C139" i="46" l="1"/>
  <c r="L138" i="46"/>
  <c r="E139" i="46" l="1"/>
  <c r="G139" i="46" s="1"/>
  <c r="H139" i="46" s="1"/>
  <c r="D139" i="46"/>
  <c r="F139" i="46" s="1"/>
  <c r="K139" i="46"/>
  <c r="I139" i="46"/>
  <c r="C140" i="46" l="1"/>
  <c r="L139" i="46"/>
  <c r="D140" i="46" l="1"/>
  <c r="F140" i="46" s="1"/>
  <c r="E140" i="46"/>
  <c r="G140" i="46" s="1"/>
  <c r="H140" i="46" s="1"/>
  <c r="K140" i="46"/>
  <c r="I140" i="46"/>
  <c r="C141" i="46" l="1"/>
  <c r="L140" i="46"/>
  <c r="D141" i="46" l="1"/>
  <c r="F141" i="46" s="1"/>
  <c r="E141" i="46"/>
  <c r="G141" i="46" s="1"/>
  <c r="H141" i="46" s="1"/>
  <c r="K141" i="46"/>
  <c r="I141" i="46"/>
  <c r="C142" i="46" l="1"/>
  <c r="L141" i="46"/>
  <c r="E142" i="46" l="1"/>
  <c r="G142" i="46" s="1"/>
  <c r="H142" i="46" s="1"/>
  <c r="D142" i="46"/>
  <c r="F142" i="46" s="1"/>
  <c r="K142" i="46"/>
  <c r="I142" i="46"/>
  <c r="C143" i="46" l="1"/>
  <c r="L142" i="46"/>
  <c r="E143" i="46" l="1"/>
  <c r="G143" i="46" s="1"/>
  <c r="H143" i="46" s="1"/>
  <c r="D143" i="46"/>
  <c r="F143" i="46" s="1"/>
  <c r="K143" i="46"/>
  <c r="I143" i="46"/>
  <c r="C144" i="46" l="1"/>
  <c r="L143" i="46"/>
  <c r="E144" i="46" l="1"/>
  <c r="G144" i="46" s="1"/>
  <c r="H144" i="46" s="1"/>
  <c r="D144" i="46"/>
  <c r="F144" i="46" s="1"/>
  <c r="K144" i="46"/>
  <c r="I144" i="46"/>
  <c r="C145" i="46" l="1"/>
  <c r="L144" i="46"/>
  <c r="D145" i="46" l="1"/>
  <c r="F145" i="46" s="1"/>
  <c r="E145" i="46"/>
  <c r="G145" i="46" s="1"/>
  <c r="H145" i="46" s="1"/>
  <c r="K145" i="46"/>
  <c r="I145" i="46"/>
  <c r="C146" i="46" l="1"/>
  <c r="L145" i="46"/>
  <c r="D146" i="46" l="1"/>
  <c r="F146" i="46" s="1"/>
  <c r="E146" i="46"/>
  <c r="G146" i="46" s="1"/>
  <c r="H146" i="46" s="1"/>
  <c r="K146" i="46"/>
  <c r="I146" i="46"/>
  <c r="C147" i="46" l="1"/>
  <c r="L146" i="46"/>
  <c r="D147" i="46" l="1"/>
  <c r="F147" i="46" s="1"/>
  <c r="E147" i="46"/>
  <c r="G147" i="46" s="1"/>
  <c r="H147" i="46" s="1"/>
  <c r="K147" i="46"/>
  <c r="I147" i="46"/>
  <c r="C148" i="46" l="1"/>
  <c r="L147" i="46"/>
  <c r="E148" i="46" l="1"/>
  <c r="G148" i="46" s="1"/>
  <c r="H148" i="46" s="1"/>
  <c r="D148" i="46"/>
  <c r="F148" i="46" s="1"/>
  <c r="K148" i="46"/>
  <c r="I148" i="46"/>
  <c r="C149" i="46" l="1"/>
  <c r="L148" i="46"/>
  <c r="E149" i="46" l="1"/>
  <c r="G149" i="46" s="1"/>
  <c r="H149" i="46" s="1"/>
  <c r="D149" i="46"/>
  <c r="F149" i="46" s="1"/>
  <c r="K149" i="46"/>
  <c r="I149" i="46"/>
  <c r="C150" i="46" l="1"/>
  <c r="L149" i="46"/>
  <c r="E150" i="46" l="1"/>
  <c r="G150" i="46" s="1"/>
  <c r="H150" i="46" s="1"/>
  <c r="D150" i="46"/>
  <c r="F150" i="46" s="1"/>
  <c r="K150" i="46"/>
  <c r="I150" i="46"/>
  <c r="C151" i="46" l="1"/>
  <c r="L150" i="46"/>
  <c r="E151" i="46" l="1"/>
  <c r="G151" i="46" s="1"/>
  <c r="H151" i="46" s="1"/>
  <c r="D151" i="46"/>
  <c r="F151" i="46" s="1"/>
  <c r="K151" i="46"/>
  <c r="I151" i="46"/>
  <c r="C152" i="46" l="1"/>
  <c r="L151" i="46"/>
  <c r="D152" i="46" l="1"/>
  <c r="F152" i="46" s="1"/>
  <c r="E152" i="46"/>
  <c r="G152" i="46" s="1"/>
  <c r="H152" i="46" s="1"/>
  <c r="K152" i="46"/>
  <c r="I152" i="46"/>
  <c r="C153" i="46" l="1"/>
  <c r="L152" i="46"/>
  <c r="D153" i="46" l="1"/>
  <c r="F153" i="46" s="1"/>
  <c r="E153" i="46"/>
  <c r="G153" i="46" s="1"/>
  <c r="H153" i="46" s="1"/>
  <c r="K153" i="46"/>
  <c r="I153" i="46"/>
  <c r="C154" i="46" l="1"/>
  <c r="L153" i="46"/>
  <c r="E154" i="46" l="1"/>
  <c r="G154" i="46" s="1"/>
  <c r="H154" i="46" s="1"/>
  <c r="D154" i="46"/>
  <c r="F154" i="46" s="1"/>
  <c r="K154" i="46"/>
  <c r="I154" i="46"/>
  <c r="C155" i="46" l="1"/>
  <c r="L154" i="46"/>
  <c r="E155" i="46" l="1"/>
  <c r="G155" i="46" s="1"/>
  <c r="H155" i="46" s="1"/>
  <c r="D155" i="46"/>
  <c r="F155" i="46" s="1"/>
  <c r="K155" i="46"/>
  <c r="I155" i="46"/>
  <c r="C156" i="46" l="1"/>
  <c r="L155" i="46"/>
  <c r="E156" i="46" l="1"/>
  <c r="G156" i="46" s="1"/>
  <c r="H156" i="46" s="1"/>
  <c r="D156" i="46"/>
  <c r="F156" i="46" s="1"/>
  <c r="K156" i="46"/>
  <c r="I156" i="46"/>
  <c r="C157" i="46" l="1"/>
  <c r="L156" i="46"/>
  <c r="D157" i="46" l="1"/>
  <c r="F157" i="46" s="1"/>
  <c r="E157" i="46"/>
  <c r="G157" i="46" s="1"/>
  <c r="H157" i="46" s="1"/>
  <c r="K157" i="46"/>
  <c r="I157" i="46"/>
  <c r="C158" i="46" l="1"/>
  <c r="L157" i="46"/>
  <c r="D158" i="46" l="1"/>
  <c r="F158" i="46" s="1"/>
  <c r="E158" i="46"/>
  <c r="G158" i="46" s="1"/>
  <c r="H158" i="46" s="1"/>
  <c r="K158" i="46"/>
  <c r="I158" i="46"/>
  <c r="C159" i="46" l="1"/>
  <c r="L158" i="46"/>
  <c r="D159" i="46" l="1"/>
  <c r="F159" i="46" s="1"/>
  <c r="E159" i="46"/>
  <c r="G159" i="46" s="1"/>
  <c r="H159" i="46" s="1"/>
  <c r="K159" i="46"/>
  <c r="I159" i="46"/>
  <c r="C160" i="46" l="1"/>
  <c r="L159" i="46"/>
  <c r="D160" i="46" l="1"/>
  <c r="F160" i="46" s="1"/>
  <c r="E160" i="46"/>
  <c r="G160" i="46" s="1"/>
  <c r="H160" i="46" s="1"/>
  <c r="K160" i="46"/>
  <c r="I160" i="46"/>
  <c r="C161" i="46" l="1"/>
  <c r="L160" i="46"/>
  <c r="E161" i="46" l="1"/>
  <c r="G161" i="46" s="1"/>
  <c r="H161" i="46" s="1"/>
  <c r="D161" i="46"/>
  <c r="F161" i="46" s="1"/>
  <c r="K161" i="46"/>
  <c r="I161" i="46"/>
  <c r="C162" i="46" l="1"/>
  <c r="L161" i="46"/>
  <c r="E162" i="46" l="1"/>
  <c r="G162" i="46" s="1"/>
  <c r="H162" i="46" s="1"/>
  <c r="D162" i="46"/>
  <c r="F162" i="46" s="1"/>
  <c r="K162" i="46"/>
  <c r="I162" i="46"/>
  <c r="C163" i="46" l="1"/>
  <c r="L162" i="46"/>
  <c r="E163" i="46" l="1"/>
  <c r="G163" i="46" s="1"/>
  <c r="H163" i="46" s="1"/>
  <c r="D163" i="46"/>
  <c r="F163" i="46" s="1"/>
  <c r="K163" i="46"/>
  <c r="I163" i="46"/>
  <c r="C164" i="46" l="1"/>
  <c r="L163" i="46"/>
  <c r="D164" i="46" l="1"/>
  <c r="F164" i="46" s="1"/>
  <c r="E164" i="46"/>
  <c r="G164" i="46" s="1"/>
  <c r="H164" i="46" s="1"/>
  <c r="K164" i="46"/>
  <c r="I164" i="46"/>
  <c r="C165" i="46" l="1"/>
  <c r="L164" i="46"/>
  <c r="D165" i="46" l="1"/>
  <c r="F165" i="46" s="1"/>
  <c r="E165" i="46"/>
  <c r="G165" i="46" s="1"/>
  <c r="H165" i="46" s="1"/>
  <c r="K165" i="46"/>
  <c r="I165" i="46"/>
  <c r="C166" i="46" l="1"/>
  <c r="L165" i="46"/>
  <c r="E166" i="46" l="1"/>
  <c r="G166" i="46" s="1"/>
  <c r="H166" i="46" s="1"/>
  <c r="D166" i="46"/>
  <c r="F166" i="46" s="1"/>
  <c r="K166" i="46"/>
  <c r="I166" i="46"/>
  <c r="C167" i="46" l="1"/>
  <c r="L166" i="46"/>
  <c r="E167" i="46" l="1"/>
  <c r="G167" i="46" s="1"/>
  <c r="H167" i="46" s="1"/>
  <c r="D167" i="46"/>
  <c r="F167" i="46" s="1"/>
  <c r="K167" i="46"/>
  <c r="I167" i="46"/>
  <c r="C168" i="46" l="1"/>
  <c r="L167" i="46"/>
  <c r="E168" i="46" l="1"/>
  <c r="G168" i="46" s="1"/>
  <c r="H168" i="46" s="1"/>
  <c r="D168" i="46"/>
  <c r="F168" i="46" s="1"/>
  <c r="K168" i="46"/>
  <c r="I168" i="46"/>
  <c r="C169" i="46" l="1"/>
  <c r="L168" i="46"/>
  <c r="D169" i="46" l="1"/>
  <c r="F169" i="46" s="1"/>
  <c r="E169" i="46"/>
  <c r="G169" i="46" s="1"/>
  <c r="H169" i="46" s="1"/>
  <c r="K169" i="46"/>
  <c r="I169" i="46"/>
  <c r="C170" i="46" l="1"/>
  <c r="L169" i="46"/>
  <c r="D170" i="46" l="1"/>
  <c r="F170" i="46" s="1"/>
  <c r="E170" i="46"/>
  <c r="G170" i="46" s="1"/>
  <c r="H170" i="46" s="1"/>
  <c r="K170" i="46"/>
  <c r="I170" i="46"/>
  <c r="C171" i="46" l="1"/>
  <c r="L170" i="46"/>
  <c r="D171" i="46" l="1"/>
  <c r="F171" i="46" s="1"/>
  <c r="E171" i="46"/>
  <c r="G171" i="46" s="1"/>
  <c r="H171" i="46" s="1"/>
  <c r="K171" i="46"/>
  <c r="I171" i="46"/>
  <c r="C172" i="46" l="1"/>
  <c r="L171" i="46"/>
  <c r="E172" i="46" l="1"/>
  <c r="G172" i="46" s="1"/>
  <c r="H172" i="46" s="1"/>
  <c r="D172" i="46"/>
  <c r="F172" i="46" s="1"/>
  <c r="K172" i="46"/>
  <c r="I172" i="46"/>
  <c r="C173" i="46" l="1"/>
  <c r="L172" i="46"/>
  <c r="E173" i="46" l="1"/>
  <c r="G173" i="46" s="1"/>
  <c r="H173" i="46" s="1"/>
  <c r="D173" i="46"/>
  <c r="F173" i="46" s="1"/>
  <c r="K173" i="46"/>
  <c r="I173" i="46"/>
  <c r="C174" i="46" l="1"/>
  <c r="L173" i="46"/>
  <c r="E174" i="46" l="1"/>
  <c r="G174" i="46" s="1"/>
  <c r="H174" i="46" s="1"/>
  <c r="D174" i="46"/>
  <c r="F174" i="46" s="1"/>
  <c r="K174" i="46"/>
  <c r="I174" i="46"/>
  <c r="C175" i="46" l="1"/>
  <c r="L174" i="46"/>
  <c r="E175" i="46" l="1"/>
  <c r="G175" i="46" s="1"/>
  <c r="H175" i="46" s="1"/>
  <c r="D175" i="46"/>
  <c r="F175" i="46" s="1"/>
  <c r="K175" i="46"/>
  <c r="I175" i="46"/>
  <c r="C176" i="46" l="1"/>
  <c r="L175" i="46"/>
  <c r="D176" i="46" l="1"/>
  <c r="F176" i="46" s="1"/>
  <c r="E176" i="46"/>
  <c r="G176" i="46" s="1"/>
  <c r="H176" i="46" s="1"/>
  <c r="K176" i="46"/>
  <c r="I176" i="46"/>
  <c r="C177" i="46" l="1"/>
  <c r="L176" i="46"/>
  <c r="D177" i="46" l="1"/>
  <c r="F177" i="46" s="1"/>
  <c r="E177" i="46"/>
  <c r="G177" i="46" s="1"/>
  <c r="H177" i="46" s="1"/>
  <c r="K177" i="46"/>
  <c r="I177" i="46"/>
  <c r="C178" i="46" l="1"/>
  <c r="L177" i="46"/>
  <c r="E178" i="46" l="1"/>
  <c r="G178" i="46" s="1"/>
  <c r="H178" i="46" s="1"/>
  <c r="D178" i="46"/>
  <c r="F178" i="46" s="1"/>
  <c r="K178" i="46"/>
  <c r="I178" i="46"/>
  <c r="C179" i="46" l="1"/>
  <c r="L178" i="46"/>
  <c r="E179" i="46" l="1"/>
  <c r="G179" i="46" s="1"/>
  <c r="H179" i="46" s="1"/>
  <c r="D179" i="46"/>
  <c r="F179" i="46" s="1"/>
  <c r="K179" i="46"/>
  <c r="I179" i="46"/>
  <c r="C180" i="46" l="1"/>
  <c r="L179" i="46"/>
  <c r="E180" i="46" l="1"/>
  <c r="G180" i="46" s="1"/>
  <c r="H180" i="46" s="1"/>
  <c r="D180" i="46"/>
  <c r="F180" i="46" s="1"/>
  <c r="K180" i="46"/>
  <c r="I180" i="46"/>
  <c r="C181" i="46" l="1"/>
  <c r="L180" i="46"/>
  <c r="D181" i="46" l="1"/>
  <c r="F181" i="46" s="1"/>
  <c r="E181" i="46"/>
  <c r="G181" i="46" s="1"/>
  <c r="H181" i="46" s="1"/>
  <c r="K181" i="46"/>
  <c r="I181" i="46"/>
  <c r="C182" i="46" l="1"/>
  <c r="L181" i="46"/>
  <c r="D182" i="46" l="1"/>
  <c r="F182" i="46" s="1"/>
  <c r="E182" i="46"/>
  <c r="G182" i="46" s="1"/>
  <c r="H182" i="46" s="1"/>
  <c r="K182" i="46"/>
  <c r="I182" i="46"/>
  <c r="C183" i="46" l="1"/>
  <c r="L182" i="46"/>
  <c r="D183" i="46" l="1"/>
  <c r="F183" i="46" s="1"/>
  <c r="E183" i="46"/>
  <c r="G183" i="46" s="1"/>
  <c r="H183" i="46" s="1"/>
  <c r="K183" i="46"/>
  <c r="I183" i="46"/>
  <c r="C184" i="46" l="1"/>
  <c r="L183" i="46"/>
  <c r="D184" i="46" l="1"/>
  <c r="F184" i="46" s="1"/>
  <c r="E184" i="46"/>
  <c r="G184" i="46" s="1"/>
  <c r="H184" i="46" s="1"/>
  <c r="K184" i="46"/>
  <c r="I184" i="46"/>
  <c r="C185" i="46" l="1"/>
  <c r="L184" i="46"/>
  <c r="E185" i="46" l="1"/>
  <c r="G185" i="46" s="1"/>
  <c r="H185" i="46" s="1"/>
  <c r="D185" i="46"/>
  <c r="F185" i="46" s="1"/>
  <c r="K185" i="46"/>
  <c r="I185" i="46"/>
  <c r="C186" i="46" l="1"/>
  <c r="L185" i="46"/>
  <c r="E186" i="46" l="1"/>
  <c r="G186" i="46" s="1"/>
  <c r="H186" i="46" s="1"/>
  <c r="D186" i="46"/>
  <c r="F186" i="46" s="1"/>
  <c r="K186" i="46"/>
  <c r="I186" i="46"/>
  <c r="C187" i="46" l="1"/>
  <c r="L186" i="46"/>
  <c r="E187" i="46" l="1"/>
  <c r="G187" i="46" s="1"/>
  <c r="H187" i="46" s="1"/>
  <c r="D187" i="46"/>
  <c r="F187" i="46" s="1"/>
  <c r="K187" i="46"/>
  <c r="I187" i="46"/>
  <c r="C188" i="46" l="1"/>
  <c r="L187" i="46"/>
  <c r="D188" i="46" l="1"/>
  <c r="F188" i="46" s="1"/>
  <c r="E188" i="46"/>
  <c r="G188" i="46" s="1"/>
  <c r="H188" i="46" s="1"/>
  <c r="K188" i="46"/>
  <c r="I188" i="46"/>
  <c r="C189" i="46" l="1"/>
  <c r="L188" i="46"/>
  <c r="D189" i="46" l="1"/>
  <c r="F189" i="46" s="1"/>
  <c r="E189" i="46"/>
  <c r="G189" i="46" s="1"/>
  <c r="H189" i="46" s="1"/>
  <c r="K189" i="46"/>
  <c r="I189" i="46"/>
  <c r="C190" i="46" l="1"/>
  <c r="L189" i="46"/>
  <c r="E190" i="46" l="1"/>
  <c r="G190" i="46" s="1"/>
  <c r="H190" i="46" s="1"/>
  <c r="D190" i="46"/>
  <c r="F190" i="46" s="1"/>
  <c r="K190" i="46"/>
  <c r="I190" i="46"/>
  <c r="C191" i="46" l="1"/>
  <c r="L190" i="46"/>
  <c r="E191" i="46" l="1"/>
  <c r="G191" i="46" s="1"/>
  <c r="H191" i="46" s="1"/>
  <c r="D191" i="46"/>
  <c r="F191" i="46" s="1"/>
  <c r="K191" i="46"/>
  <c r="I191" i="46"/>
  <c r="C192" i="46" l="1"/>
  <c r="L191" i="46"/>
  <c r="E192" i="46" l="1"/>
  <c r="G192" i="46" s="1"/>
  <c r="H192" i="46" s="1"/>
  <c r="D192" i="46"/>
  <c r="F192" i="46" s="1"/>
  <c r="K192" i="46"/>
  <c r="I192" i="46"/>
  <c r="C193" i="46" l="1"/>
  <c r="L192" i="46"/>
  <c r="D193" i="46" l="1"/>
  <c r="F193" i="46" s="1"/>
  <c r="E193" i="46"/>
  <c r="G193" i="46" s="1"/>
  <c r="H193" i="46" s="1"/>
  <c r="K193" i="46"/>
  <c r="I193" i="46"/>
  <c r="C194" i="46" l="1"/>
  <c r="L193" i="46"/>
  <c r="D194" i="46" l="1"/>
  <c r="F194" i="46" s="1"/>
  <c r="E194" i="46"/>
  <c r="G194" i="46" s="1"/>
  <c r="H194" i="46" s="1"/>
  <c r="K194" i="46"/>
  <c r="I194" i="46"/>
  <c r="C195" i="46" l="1"/>
  <c r="L194" i="46"/>
  <c r="E195" i="46" l="1"/>
  <c r="G195" i="46" s="1"/>
  <c r="H195" i="46" s="1"/>
  <c r="D195" i="46"/>
  <c r="F195" i="46" s="1"/>
  <c r="K195" i="46"/>
  <c r="I195" i="46"/>
  <c r="C196" i="46" l="1"/>
  <c r="L195" i="46"/>
  <c r="E196" i="46" l="1"/>
  <c r="G196" i="46" s="1"/>
  <c r="H196" i="46" s="1"/>
  <c r="D196" i="46"/>
  <c r="F196" i="46" s="1"/>
  <c r="K196" i="46"/>
  <c r="I196" i="46"/>
  <c r="C197" i="46" l="1"/>
  <c r="L196" i="46"/>
  <c r="E197" i="46" l="1"/>
  <c r="G197" i="46" s="1"/>
  <c r="H197" i="46" s="1"/>
  <c r="D197" i="46"/>
  <c r="F197" i="46" s="1"/>
  <c r="K197" i="46"/>
  <c r="I197" i="46"/>
  <c r="C198" i="46" l="1"/>
  <c r="L197" i="46"/>
  <c r="E198" i="46" l="1"/>
  <c r="G198" i="46" s="1"/>
  <c r="H198" i="46" s="1"/>
  <c r="D198" i="46"/>
  <c r="F198" i="46" s="1"/>
  <c r="K198" i="46"/>
  <c r="I198" i="46"/>
  <c r="C199" i="46" l="1"/>
  <c r="L198" i="46"/>
  <c r="E199" i="46" l="1"/>
  <c r="G199" i="46" s="1"/>
  <c r="H199" i="46" s="1"/>
  <c r="D199" i="46"/>
  <c r="F199" i="46" s="1"/>
  <c r="K199" i="46"/>
  <c r="I199" i="46"/>
  <c r="C200" i="46" l="1"/>
  <c r="L199" i="46"/>
  <c r="D200" i="46" l="1"/>
  <c r="F200" i="46" s="1"/>
  <c r="E200" i="46"/>
  <c r="G200" i="46" s="1"/>
  <c r="H200" i="46" s="1"/>
  <c r="K200" i="46"/>
  <c r="I200" i="46"/>
  <c r="C201" i="46" l="1"/>
  <c r="L200" i="46"/>
  <c r="D201" i="46" l="1"/>
  <c r="F201" i="46" s="1"/>
  <c r="E201" i="46"/>
  <c r="G201" i="46" s="1"/>
  <c r="H201" i="46" s="1"/>
  <c r="K201" i="46"/>
  <c r="I201" i="46"/>
  <c r="C202" i="46" l="1"/>
  <c r="L201" i="46"/>
  <c r="E202" i="46" l="1"/>
  <c r="G202" i="46" s="1"/>
  <c r="H202" i="46" s="1"/>
  <c r="D202" i="46"/>
  <c r="F202" i="46" s="1"/>
  <c r="K202" i="46"/>
  <c r="I202" i="46"/>
  <c r="C203" i="46" l="1"/>
  <c r="L202" i="46"/>
  <c r="E203" i="46" l="1"/>
  <c r="G203" i="46" s="1"/>
  <c r="H203" i="46" s="1"/>
  <c r="D203" i="46"/>
  <c r="F203" i="46" s="1"/>
  <c r="K203" i="46"/>
  <c r="I203" i="46"/>
  <c r="C204" i="46" l="1"/>
  <c r="L203" i="46"/>
  <c r="E204" i="46" l="1"/>
  <c r="G204" i="46" s="1"/>
  <c r="H204" i="46" s="1"/>
  <c r="D204" i="46"/>
  <c r="F204" i="46" s="1"/>
  <c r="K204" i="46"/>
  <c r="I204" i="46"/>
  <c r="C205" i="46" l="1"/>
  <c r="L204" i="46"/>
  <c r="D205" i="46" l="1"/>
  <c r="F205" i="46" s="1"/>
  <c r="E205" i="46"/>
  <c r="G205" i="46" s="1"/>
  <c r="H205" i="46" s="1"/>
  <c r="K205" i="46"/>
  <c r="I205" i="46"/>
  <c r="J3" i="46" l="1"/>
  <c r="J4" i="46"/>
  <c r="J5" i="46"/>
  <c r="J6" i="46"/>
  <c r="J7" i="46"/>
  <c r="J8" i="46"/>
  <c r="J9" i="46"/>
  <c r="J10" i="46"/>
  <c r="J11" i="46"/>
  <c r="J12" i="46"/>
  <c r="J13" i="46"/>
  <c r="J14" i="46"/>
  <c r="J15" i="46"/>
  <c r="J16" i="46"/>
  <c r="J17" i="46"/>
  <c r="J18" i="46"/>
  <c r="J19" i="46"/>
  <c r="J20" i="46"/>
  <c r="J21" i="46"/>
  <c r="J22" i="46"/>
  <c r="J23" i="46"/>
  <c r="J24" i="46"/>
  <c r="J25" i="46"/>
  <c r="J26" i="46"/>
  <c r="J27" i="46"/>
  <c r="J28" i="46"/>
  <c r="J29" i="46"/>
  <c r="J30" i="46"/>
  <c r="J31" i="46"/>
  <c r="J32" i="46"/>
  <c r="J33" i="46"/>
  <c r="J34" i="46"/>
  <c r="J35" i="46"/>
  <c r="J36" i="46"/>
  <c r="J37" i="46"/>
  <c r="J38" i="46"/>
  <c r="J39" i="46"/>
  <c r="J40" i="46"/>
  <c r="J41" i="46"/>
  <c r="J42" i="46"/>
  <c r="J43" i="46"/>
  <c r="J44" i="46"/>
  <c r="J45" i="46"/>
  <c r="J46" i="46"/>
  <c r="J47" i="46"/>
  <c r="J48" i="46"/>
  <c r="J49" i="46"/>
  <c r="J50" i="46"/>
  <c r="J51" i="46"/>
  <c r="J52" i="46"/>
  <c r="J53" i="46"/>
  <c r="J54" i="46"/>
  <c r="J55" i="46"/>
  <c r="J56" i="46"/>
  <c r="J57" i="46"/>
  <c r="J58" i="46"/>
  <c r="J59" i="46"/>
  <c r="J60" i="46"/>
  <c r="J61" i="46"/>
  <c r="J62" i="46"/>
  <c r="J63" i="46"/>
  <c r="J64" i="46"/>
  <c r="J65" i="46"/>
  <c r="J66" i="46"/>
  <c r="J67" i="46"/>
  <c r="J68" i="46"/>
  <c r="J69" i="46"/>
  <c r="J70" i="46"/>
  <c r="J71" i="46"/>
  <c r="J72" i="46"/>
  <c r="J73" i="46"/>
  <c r="J74" i="46"/>
  <c r="J75" i="46"/>
  <c r="J76" i="46"/>
  <c r="J77" i="46"/>
  <c r="J78" i="46"/>
  <c r="J79" i="46"/>
  <c r="J80" i="46"/>
  <c r="J81" i="46"/>
  <c r="J82" i="46"/>
  <c r="J83" i="46"/>
  <c r="J84" i="46"/>
  <c r="J85" i="46"/>
  <c r="J86" i="46"/>
  <c r="J87" i="46"/>
  <c r="J88" i="46"/>
  <c r="J89" i="46"/>
  <c r="J90" i="46"/>
  <c r="J91" i="46"/>
  <c r="J92" i="46"/>
  <c r="J93" i="46"/>
  <c r="J94" i="46"/>
  <c r="J95" i="46"/>
  <c r="J96" i="46"/>
  <c r="J97" i="46"/>
  <c r="J98" i="46"/>
  <c r="J99" i="46"/>
  <c r="J100" i="46"/>
  <c r="J101" i="46"/>
  <c r="J102" i="46"/>
  <c r="J103" i="46"/>
  <c r="J104" i="46"/>
  <c r="J105" i="46"/>
  <c r="J106" i="46"/>
  <c r="J107" i="46"/>
  <c r="J108" i="46"/>
  <c r="J109" i="46"/>
  <c r="J110" i="46"/>
  <c r="J111" i="46"/>
  <c r="J112" i="46"/>
  <c r="J113" i="46"/>
  <c r="J114" i="46"/>
  <c r="J115" i="46"/>
  <c r="J116" i="46"/>
  <c r="J117" i="46"/>
  <c r="J118" i="46"/>
  <c r="J119" i="46"/>
  <c r="J120" i="46"/>
  <c r="J121" i="46"/>
  <c r="J122" i="46"/>
  <c r="J123" i="46"/>
  <c r="J124" i="46"/>
  <c r="J125" i="46"/>
  <c r="J126" i="46"/>
  <c r="J127" i="46"/>
  <c r="J128" i="46"/>
  <c r="J129" i="46"/>
  <c r="J130" i="46"/>
  <c r="J131" i="46"/>
  <c r="J132" i="46"/>
  <c r="J133" i="46"/>
  <c r="J134" i="46"/>
  <c r="J135" i="46"/>
  <c r="J136" i="46"/>
  <c r="J137" i="46"/>
  <c r="J138" i="46"/>
  <c r="J139" i="46"/>
  <c r="J140" i="46"/>
  <c r="J141" i="46"/>
  <c r="J142" i="46"/>
  <c r="J143" i="46"/>
  <c r="J144" i="46"/>
  <c r="J145" i="46"/>
  <c r="J146" i="46"/>
  <c r="J147" i="46"/>
  <c r="J148" i="46"/>
  <c r="J149" i="46"/>
  <c r="J150" i="46"/>
  <c r="J151" i="46"/>
  <c r="J152" i="46"/>
  <c r="J153" i="46"/>
  <c r="J154" i="46"/>
  <c r="J155" i="46"/>
  <c r="J156" i="46"/>
  <c r="J157" i="46"/>
  <c r="J158" i="46"/>
  <c r="J159" i="46"/>
  <c r="J160" i="46"/>
  <c r="J161" i="46"/>
  <c r="J162" i="46"/>
  <c r="J163" i="46"/>
  <c r="J164" i="46"/>
  <c r="J165" i="46"/>
  <c r="J166" i="46"/>
  <c r="J167" i="46"/>
  <c r="J168" i="46"/>
  <c r="J169" i="46"/>
  <c r="J170" i="46"/>
  <c r="J171" i="46"/>
  <c r="J172" i="46"/>
  <c r="J173" i="46"/>
  <c r="J174" i="46"/>
  <c r="J175" i="46"/>
  <c r="J176" i="46"/>
  <c r="J177" i="46"/>
  <c r="J178" i="46"/>
  <c r="J179" i="46"/>
  <c r="J180" i="46"/>
  <c r="J181" i="46"/>
  <c r="J182" i="46"/>
  <c r="J183" i="46"/>
  <c r="J184" i="46"/>
  <c r="J185" i="46"/>
  <c r="J186" i="46"/>
  <c r="J187" i="46"/>
  <c r="J188" i="46"/>
  <c r="J189" i="46"/>
  <c r="J190" i="46"/>
  <c r="J191" i="46"/>
  <c r="J192" i="46"/>
  <c r="J193" i="46"/>
  <c r="J194" i="46"/>
  <c r="J195" i="46"/>
  <c r="J196" i="46"/>
  <c r="J197" i="46"/>
  <c r="J198" i="46"/>
  <c r="J199" i="46"/>
  <c r="J200" i="46"/>
  <c r="J201" i="46"/>
  <c r="J202" i="46"/>
  <c r="J203" i="46"/>
  <c r="J204" i="46"/>
  <c r="M205" i="46"/>
  <c r="J205" i="46"/>
  <c r="M3" i="46"/>
  <c r="M4" i="46"/>
  <c r="M5" i="46"/>
  <c r="M6" i="46"/>
  <c r="M7" i="46"/>
  <c r="M8" i="46"/>
  <c r="M9" i="46"/>
  <c r="M10" i="46"/>
  <c r="M11" i="46"/>
  <c r="M12" i="46"/>
  <c r="M13" i="46"/>
  <c r="M14" i="46"/>
  <c r="M15" i="46"/>
  <c r="M16" i="46"/>
  <c r="M17" i="46"/>
  <c r="M18" i="46"/>
  <c r="M19" i="46"/>
  <c r="M20" i="46"/>
  <c r="M21" i="46"/>
  <c r="M22" i="46"/>
  <c r="M23" i="46"/>
  <c r="M24" i="46"/>
  <c r="M25" i="46"/>
  <c r="M26" i="46"/>
  <c r="M27" i="46"/>
  <c r="M28" i="46"/>
  <c r="M29" i="46"/>
  <c r="M30" i="46"/>
  <c r="M31" i="46"/>
  <c r="M32" i="46"/>
  <c r="M33" i="46"/>
  <c r="M34" i="46"/>
  <c r="M35" i="46"/>
  <c r="M36" i="46"/>
  <c r="M37" i="46"/>
  <c r="M38" i="46"/>
  <c r="M39" i="46"/>
  <c r="M40" i="46"/>
  <c r="M41" i="46"/>
  <c r="M42" i="46"/>
  <c r="M43" i="46"/>
  <c r="M44" i="46"/>
  <c r="M45" i="46"/>
  <c r="M46" i="46"/>
  <c r="M47" i="46"/>
  <c r="M48" i="46"/>
  <c r="M49" i="46"/>
  <c r="M50" i="46"/>
  <c r="M51" i="46"/>
  <c r="M52" i="46"/>
  <c r="M53" i="46"/>
  <c r="M54" i="46"/>
  <c r="M55" i="46"/>
  <c r="M56" i="46"/>
  <c r="M57" i="46"/>
  <c r="M58" i="46"/>
  <c r="M59" i="46"/>
  <c r="M60" i="46"/>
  <c r="M61" i="46"/>
  <c r="M62" i="46"/>
  <c r="M63" i="46"/>
  <c r="M64" i="46"/>
  <c r="M65" i="46"/>
  <c r="M66" i="46"/>
  <c r="M67" i="46"/>
  <c r="M68" i="46"/>
  <c r="M69" i="46"/>
  <c r="M70" i="46"/>
  <c r="M71" i="46"/>
  <c r="M72" i="46"/>
  <c r="M73" i="46"/>
  <c r="M74" i="46"/>
  <c r="M75" i="46"/>
  <c r="M76" i="46"/>
  <c r="M77" i="46"/>
  <c r="M78" i="46"/>
  <c r="M79" i="46"/>
  <c r="M80" i="46"/>
  <c r="M81" i="46"/>
  <c r="M82" i="46"/>
  <c r="M83" i="46"/>
  <c r="M84" i="46"/>
  <c r="M85" i="46"/>
  <c r="M86" i="46"/>
  <c r="M87" i="46"/>
  <c r="M88" i="46"/>
  <c r="M89" i="46"/>
  <c r="M90" i="46"/>
  <c r="M91" i="46"/>
  <c r="M92" i="46"/>
  <c r="M93" i="46"/>
  <c r="M94" i="46"/>
  <c r="M95" i="46"/>
  <c r="M96" i="46"/>
  <c r="M97" i="46"/>
  <c r="M98" i="46"/>
  <c r="M99" i="46"/>
  <c r="M100" i="46"/>
  <c r="M101" i="46"/>
  <c r="M102" i="46"/>
  <c r="M103" i="46"/>
  <c r="M104" i="46"/>
  <c r="M105" i="46"/>
  <c r="M106" i="46"/>
  <c r="M107" i="46"/>
  <c r="M108" i="46"/>
  <c r="M109" i="46"/>
  <c r="M110" i="46"/>
  <c r="M111" i="46"/>
  <c r="M112" i="46"/>
  <c r="M113" i="46"/>
  <c r="M114" i="46"/>
  <c r="M115" i="46"/>
  <c r="M116" i="46"/>
  <c r="M117" i="46"/>
  <c r="M118" i="46"/>
  <c r="M119" i="46"/>
  <c r="M120" i="46"/>
  <c r="M121" i="46"/>
  <c r="M122" i="46"/>
  <c r="M123" i="46"/>
  <c r="M124" i="46"/>
  <c r="M125" i="46"/>
  <c r="M126" i="46"/>
  <c r="M127" i="46"/>
  <c r="M128" i="46"/>
  <c r="M129" i="46"/>
  <c r="M130" i="46"/>
  <c r="M131" i="46"/>
  <c r="M132" i="46"/>
  <c r="M133" i="46"/>
  <c r="M134" i="46"/>
  <c r="M135" i="46"/>
  <c r="M136" i="46"/>
  <c r="M137" i="46"/>
  <c r="M138" i="46"/>
  <c r="M139" i="46"/>
  <c r="M140" i="46"/>
  <c r="M141" i="46"/>
  <c r="M142" i="46"/>
  <c r="M143" i="46"/>
  <c r="M144" i="46"/>
  <c r="M145" i="46"/>
  <c r="M146" i="46"/>
  <c r="M147" i="46"/>
  <c r="M148" i="46"/>
  <c r="M149" i="46"/>
  <c r="M150" i="46"/>
  <c r="M151" i="46"/>
  <c r="M152" i="46"/>
  <c r="M153" i="46"/>
  <c r="M154" i="46"/>
  <c r="M155" i="46"/>
  <c r="M156" i="46"/>
  <c r="M157" i="46"/>
  <c r="M158" i="46"/>
  <c r="M159" i="46"/>
  <c r="M160" i="46"/>
  <c r="M161" i="46"/>
  <c r="M162" i="46"/>
  <c r="M163" i="46"/>
  <c r="M164" i="46"/>
  <c r="M165" i="46"/>
  <c r="M166" i="46"/>
  <c r="M167" i="46"/>
  <c r="M168" i="46"/>
  <c r="M169" i="46"/>
  <c r="M170" i="46"/>
  <c r="M171" i="46"/>
  <c r="M172" i="46"/>
  <c r="M173" i="46"/>
  <c r="M174" i="46"/>
  <c r="M175" i="46"/>
  <c r="M176" i="46"/>
  <c r="M177" i="46"/>
  <c r="M178" i="46"/>
  <c r="M179" i="46"/>
  <c r="M180" i="46"/>
  <c r="M181" i="46"/>
  <c r="M182" i="46"/>
  <c r="M183" i="46"/>
  <c r="M184" i="46"/>
  <c r="M185" i="46"/>
  <c r="M186" i="46"/>
  <c r="M187" i="46"/>
  <c r="M188" i="46"/>
  <c r="M189" i="46"/>
  <c r="M190" i="46"/>
  <c r="M191" i="46"/>
  <c r="M192" i="46"/>
  <c r="M193" i="46"/>
  <c r="M194" i="46"/>
  <c r="M195" i="46"/>
  <c r="M196" i="46"/>
  <c r="M197" i="46"/>
  <c r="M198" i="46"/>
  <c r="M199" i="46"/>
  <c r="M200" i="46"/>
  <c r="M201" i="46"/>
  <c r="M202" i="46"/>
  <c r="M203" i="46"/>
  <c r="M204" i="46"/>
  <c r="C206" i="46"/>
  <c r="L205" i="46"/>
  <c r="D206" i="46" l="1"/>
  <c r="F206" i="46" s="1"/>
  <c r="E206" i="46"/>
  <c r="G206" i="46" s="1"/>
  <c r="H206" i="46" s="1"/>
  <c r="C207" i="46" s="1"/>
  <c r="I206" i="46"/>
  <c r="M2" i="46" s="1"/>
  <c r="E207" i="46" l="1"/>
  <c r="G207" i="46" s="1"/>
  <c r="H207" i="46" s="1"/>
  <c r="C208" i="46" s="1"/>
  <c r="D207" i="46"/>
  <c r="F207" i="46" s="1"/>
  <c r="I207" i="46"/>
  <c r="D208" i="46" l="1"/>
  <c r="F208" i="46" s="1"/>
  <c r="E208" i="46"/>
  <c r="G208" i="46" s="1"/>
  <c r="H208" i="46" s="1"/>
  <c r="C209" i="46" s="1"/>
  <c r="I208" i="46"/>
  <c r="E209" i="46" l="1"/>
  <c r="G209" i="46" s="1"/>
  <c r="H209" i="46" s="1"/>
  <c r="C210" i="46" s="1"/>
  <c r="D209" i="46"/>
  <c r="F209" i="46" s="1"/>
  <c r="I209" i="46"/>
  <c r="E210" i="46" l="1"/>
  <c r="G210" i="46" s="1"/>
  <c r="H210" i="46" s="1"/>
  <c r="C211" i="46" s="1"/>
  <c r="D210" i="46"/>
  <c r="F210" i="46" s="1"/>
  <c r="I210" i="46"/>
  <c r="E211" i="46" l="1"/>
  <c r="G211" i="46" s="1"/>
  <c r="H211" i="46" s="1"/>
  <c r="C212" i="46" s="1"/>
  <c r="D211" i="46"/>
  <c r="F211" i="46" s="1"/>
  <c r="I211" i="46"/>
  <c r="D212" i="46" l="1"/>
  <c r="F212" i="46" s="1"/>
  <c r="E212" i="46"/>
  <c r="G212" i="46" s="1"/>
  <c r="H212" i="46" s="1"/>
  <c r="C213" i="46" s="1"/>
  <c r="I212" i="46"/>
  <c r="D213" i="46" l="1"/>
  <c r="F213" i="46" s="1"/>
  <c r="E213" i="46"/>
  <c r="G213" i="46" s="1"/>
  <c r="H213" i="46" s="1"/>
  <c r="C214" i="46" s="1"/>
  <c r="I213" i="46"/>
  <c r="E214" i="46" l="1"/>
  <c r="G214" i="46" s="1"/>
  <c r="H214" i="46" s="1"/>
  <c r="C215" i="46" s="1"/>
  <c r="D214" i="46"/>
  <c r="F214" i="46" s="1"/>
  <c r="I214" i="46"/>
  <c r="E215" i="46" l="1"/>
  <c r="G215" i="46" s="1"/>
  <c r="H215" i="46" s="1"/>
  <c r="C216" i="46" s="1"/>
  <c r="D215" i="46"/>
  <c r="F215" i="46" s="1"/>
  <c r="I215" i="46"/>
  <c r="E216" i="46" l="1"/>
  <c r="G216" i="46" s="1"/>
  <c r="H216" i="46" s="1"/>
  <c r="C217" i="46" s="1"/>
  <c r="D216" i="46"/>
  <c r="F216" i="46" s="1"/>
  <c r="I216" i="46"/>
  <c r="D217" i="46" l="1"/>
  <c r="F217" i="46" s="1"/>
  <c r="E217" i="46"/>
  <c r="G217" i="46" s="1"/>
  <c r="H217" i="46" s="1"/>
  <c r="C218" i="46" s="1"/>
  <c r="I217" i="46"/>
  <c r="D218" i="46" l="1"/>
  <c r="F218" i="46" s="1"/>
  <c r="E218" i="46"/>
  <c r="G218" i="46" s="1"/>
  <c r="H218" i="46" s="1"/>
  <c r="C219" i="46" s="1"/>
  <c r="I218" i="46"/>
  <c r="D219" i="46" l="1"/>
  <c r="F219" i="46" s="1"/>
  <c r="E219" i="46"/>
  <c r="G219" i="46" s="1"/>
  <c r="H219" i="46" s="1"/>
  <c r="C220" i="46" s="1"/>
  <c r="I219" i="46"/>
  <c r="D220" i="46" l="1"/>
  <c r="F220" i="46" s="1"/>
  <c r="E220" i="46"/>
  <c r="G220" i="46" s="1"/>
  <c r="H220" i="46" s="1"/>
  <c r="C221" i="46" s="1"/>
  <c r="I220" i="46"/>
  <c r="E221" i="46" l="1"/>
  <c r="G221" i="46" s="1"/>
  <c r="H221" i="46" s="1"/>
  <c r="C222" i="46" s="1"/>
  <c r="D221" i="46"/>
  <c r="F221" i="46" s="1"/>
  <c r="I221" i="46"/>
  <c r="E222" i="46" l="1"/>
  <c r="G222" i="46" s="1"/>
  <c r="H222" i="46" s="1"/>
  <c r="C223" i="46" s="1"/>
  <c r="D222" i="46"/>
  <c r="F222" i="46" s="1"/>
  <c r="I222" i="46"/>
  <c r="E223" i="46" l="1"/>
  <c r="G223" i="46" s="1"/>
  <c r="H223" i="46" s="1"/>
  <c r="C224" i="46" s="1"/>
  <c r="D223" i="46"/>
  <c r="F223" i="46" s="1"/>
  <c r="I223" i="46"/>
  <c r="D224" i="46" l="1"/>
  <c r="F224" i="46" s="1"/>
  <c r="E224" i="46"/>
  <c r="G224" i="46" s="1"/>
  <c r="H224" i="46" s="1"/>
  <c r="C225" i="46" s="1"/>
  <c r="I224" i="46"/>
  <c r="D225" i="46" l="1"/>
  <c r="F225" i="46" s="1"/>
  <c r="E225" i="46"/>
  <c r="G225" i="46" s="1"/>
  <c r="H225" i="46" s="1"/>
  <c r="C226" i="46" s="1"/>
  <c r="I225" i="46"/>
  <c r="E226" i="46" l="1"/>
  <c r="G226" i="46" s="1"/>
  <c r="H226" i="46" s="1"/>
  <c r="C227" i="46" s="1"/>
  <c r="D226" i="46"/>
  <c r="F226" i="46" s="1"/>
  <c r="I226" i="46"/>
  <c r="E227" i="46" l="1"/>
  <c r="G227" i="46" s="1"/>
  <c r="H227" i="46" s="1"/>
  <c r="C228" i="46" s="1"/>
  <c r="D227" i="46"/>
  <c r="F227" i="46" s="1"/>
  <c r="I227" i="46"/>
  <c r="E228" i="46" l="1"/>
  <c r="G228" i="46" s="1"/>
  <c r="H228" i="46" s="1"/>
  <c r="C229" i="46" s="1"/>
  <c r="D228" i="46"/>
  <c r="F228" i="46" s="1"/>
  <c r="I228" i="46"/>
  <c r="D229" i="46" l="1"/>
  <c r="F229" i="46" s="1"/>
  <c r="E229" i="46"/>
  <c r="G229" i="46" s="1"/>
  <c r="H229" i="46" s="1"/>
  <c r="C230" i="46" s="1"/>
  <c r="I229" i="46"/>
  <c r="D230" i="46" l="1"/>
  <c r="F230" i="46" s="1"/>
  <c r="E230" i="46"/>
  <c r="G230" i="46" s="1"/>
  <c r="H230" i="46" s="1"/>
  <c r="C231" i="46" s="1"/>
  <c r="I230" i="46"/>
  <c r="E231" i="46" l="1"/>
  <c r="G231" i="46" s="1"/>
  <c r="H231" i="46" s="1"/>
  <c r="C232" i="46" s="1"/>
  <c r="D231" i="46"/>
  <c r="F231" i="46" s="1"/>
  <c r="I231" i="46"/>
  <c r="D232" i="46" l="1"/>
  <c r="F232" i="46" s="1"/>
  <c r="E232" i="46"/>
  <c r="G232" i="46" s="1"/>
  <c r="H232" i="46" s="1"/>
  <c r="C233" i="46" s="1"/>
  <c r="I232" i="46"/>
  <c r="E233" i="46" l="1"/>
  <c r="G233" i="46" s="1"/>
  <c r="H233" i="46" s="1"/>
  <c r="C234" i="46" s="1"/>
  <c r="D233" i="46"/>
  <c r="F233" i="46" s="1"/>
  <c r="I233" i="46"/>
  <c r="E234" i="46" l="1"/>
  <c r="G234" i="46" s="1"/>
  <c r="H234" i="46" s="1"/>
  <c r="C235" i="46" s="1"/>
  <c r="D234" i="46"/>
  <c r="F234" i="46" s="1"/>
  <c r="I234" i="46"/>
  <c r="E235" i="46" l="1"/>
  <c r="G235" i="46" s="1"/>
  <c r="H235" i="46" s="1"/>
  <c r="C236" i="46" s="1"/>
  <c r="D235" i="46"/>
  <c r="F235" i="46" s="1"/>
  <c r="I235" i="46"/>
  <c r="D236" i="46" l="1"/>
  <c r="F236" i="46" s="1"/>
  <c r="E236" i="46"/>
  <c r="G236" i="46" s="1"/>
  <c r="H236" i="46" s="1"/>
  <c r="C237" i="46" s="1"/>
  <c r="I236" i="46"/>
  <c r="D237" i="46" l="1"/>
  <c r="F237" i="46" s="1"/>
  <c r="E237" i="46"/>
  <c r="G237" i="46" s="1"/>
  <c r="H237" i="46" s="1"/>
  <c r="C238" i="46" s="1"/>
  <c r="I237" i="46"/>
  <c r="E238" i="46" l="1"/>
  <c r="G238" i="46" s="1"/>
  <c r="H238" i="46" s="1"/>
  <c r="C239" i="46" s="1"/>
  <c r="D238" i="46"/>
  <c r="F238" i="46" s="1"/>
  <c r="I238" i="46"/>
  <c r="E239" i="46" l="1"/>
  <c r="G239" i="46" s="1"/>
  <c r="H239" i="46" s="1"/>
  <c r="C240" i="46" s="1"/>
  <c r="D239" i="46"/>
  <c r="F239" i="46" s="1"/>
  <c r="I239" i="46"/>
  <c r="E240" i="46" l="1"/>
  <c r="G240" i="46" s="1"/>
  <c r="H240" i="46" s="1"/>
  <c r="C241" i="46" s="1"/>
  <c r="D240" i="46"/>
  <c r="F240" i="46" s="1"/>
  <c r="I240" i="46"/>
  <c r="D241" i="46" l="1"/>
  <c r="F241" i="46" s="1"/>
  <c r="E241" i="46"/>
  <c r="G241" i="46" s="1"/>
  <c r="H241" i="46" s="1"/>
  <c r="C242" i="46" s="1"/>
  <c r="I241" i="46"/>
  <c r="D242" i="46" l="1"/>
  <c r="F242" i="46" s="1"/>
  <c r="E242" i="46"/>
  <c r="G242" i="46" s="1"/>
  <c r="H242" i="46" s="1"/>
  <c r="C243" i="46" s="1"/>
  <c r="I242" i="46"/>
  <c r="D243" i="46" l="1"/>
  <c r="F243" i="46" s="1"/>
  <c r="E243" i="46"/>
  <c r="G243" i="46" s="1"/>
  <c r="H243" i="46" s="1"/>
  <c r="C244" i="46" s="1"/>
  <c r="I243" i="46"/>
  <c r="E244" i="46" l="1"/>
  <c r="G244" i="46" s="1"/>
  <c r="H244" i="46" s="1"/>
  <c r="C245" i="46" s="1"/>
  <c r="D244" i="46"/>
  <c r="F244" i="46" s="1"/>
  <c r="I244" i="46"/>
  <c r="E245" i="46" l="1"/>
  <c r="G245" i="46" s="1"/>
  <c r="H245" i="46" s="1"/>
  <c r="C246" i="46" s="1"/>
  <c r="D245" i="46"/>
  <c r="F245" i="46" s="1"/>
  <c r="I245" i="46"/>
  <c r="E246" i="46" l="1"/>
  <c r="G246" i="46" s="1"/>
  <c r="H246" i="46" s="1"/>
  <c r="C247" i="46" s="1"/>
  <c r="D246" i="46"/>
  <c r="F246" i="46" s="1"/>
  <c r="I246" i="46"/>
  <c r="E247" i="46" l="1"/>
  <c r="G247" i="46" s="1"/>
  <c r="H247" i="46" s="1"/>
  <c r="C248" i="46" s="1"/>
  <c r="D247" i="46"/>
  <c r="F247" i="46" s="1"/>
  <c r="I247" i="46"/>
  <c r="D248" i="46" l="1"/>
  <c r="F248" i="46" s="1"/>
  <c r="E248" i="46"/>
  <c r="G248" i="46" s="1"/>
  <c r="H248" i="46" s="1"/>
  <c r="C249" i="46" s="1"/>
  <c r="I248" i="46"/>
  <c r="D249" i="46" l="1"/>
  <c r="F249" i="46" s="1"/>
  <c r="E249" i="46"/>
  <c r="G249" i="46" s="1"/>
  <c r="H249" i="46" s="1"/>
  <c r="C250" i="46" s="1"/>
  <c r="I249" i="46"/>
  <c r="E250" i="46" l="1"/>
  <c r="G250" i="46" s="1"/>
  <c r="H250" i="46" s="1"/>
  <c r="C251" i="46" s="1"/>
  <c r="D250" i="46"/>
  <c r="F250" i="46" s="1"/>
  <c r="I250" i="46"/>
  <c r="E251" i="46" l="1"/>
  <c r="G251" i="46" s="1"/>
  <c r="H251" i="46" s="1"/>
  <c r="C252" i="46" s="1"/>
  <c r="D251" i="46"/>
  <c r="F251" i="46" s="1"/>
  <c r="I251" i="46"/>
  <c r="E252" i="46" l="1"/>
  <c r="G252" i="46" s="1"/>
  <c r="H252" i="46" s="1"/>
  <c r="C253" i="46" s="1"/>
  <c r="D252" i="46"/>
  <c r="F252" i="46" s="1"/>
  <c r="I252" i="46"/>
  <c r="D253" i="46" l="1"/>
  <c r="F253" i="46" s="1"/>
  <c r="E253" i="46"/>
  <c r="G253" i="46" s="1"/>
  <c r="H253" i="46" s="1"/>
  <c r="C254" i="46" s="1"/>
  <c r="I253" i="46"/>
  <c r="D254" i="46" l="1"/>
  <c r="F254" i="46" s="1"/>
  <c r="E254" i="46"/>
  <c r="G254" i="46" s="1"/>
  <c r="H254" i="46" s="1"/>
  <c r="C255" i="46" s="1"/>
  <c r="I254" i="46"/>
  <c r="E255" i="46" l="1"/>
  <c r="G255" i="46" s="1"/>
  <c r="H255" i="46" s="1"/>
  <c r="C256" i="46" s="1"/>
  <c r="D255" i="46"/>
  <c r="F255" i="46" s="1"/>
  <c r="I255" i="46"/>
  <c r="D256" i="46" l="1"/>
  <c r="F256" i="46" s="1"/>
  <c r="E256" i="46"/>
  <c r="G256" i="46" s="1"/>
  <c r="H256" i="46" s="1"/>
  <c r="C257" i="46" s="1"/>
  <c r="I256" i="46"/>
  <c r="E257" i="46" l="1"/>
  <c r="G257" i="46" s="1"/>
  <c r="H257" i="46" s="1"/>
  <c r="C258" i="46" s="1"/>
  <c r="D257" i="46"/>
  <c r="F257" i="46" s="1"/>
  <c r="I257" i="46"/>
  <c r="E258" i="46" l="1"/>
  <c r="G258" i="46" s="1"/>
  <c r="H258" i="46" s="1"/>
  <c r="C259" i="46" s="1"/>
  <c r="D258" i="46"/>
  <c r="F258" i="46" s="1"/>
  <c r="I258" i="46"/>
  <c r="E259" i="46" l="1"/>
  <c r="G259" i="46" s="1"/>
  <c r="H259" i="46" s="1"/>
  <c r="C260" i="46" s="1"/>
  <c r="D259" i="46"/>
  <c r="F259" i="46" s="1"/>
  <c r="I259" i="46"/>
  <c r="D260" i="46" l="1"/>
  <c r="F260" i="46" s="1"/>
  <c r="E260" i="46"/>
  <c r="G260" i="46" s="1"/>
  <c r="H260" i="46" s="1"/>
  <c r="C261" i="46" s="1"/>
  <c r="I260" i="46"/>
  <c r="D261" i="46" l="1"/>
  <c r="F261" i="46" s="1"/>
  <c r="E261" i="46"/>
  <c r="G261" i="46" s="1"/>
  <c r="H261" i="46" s="1"/>
  <c r="C262" i="46" s="1"/>
  <c r="I261" i="46"/>
  <c r="E262" i="46" l="1"/>
  <c r="G262" i="46" s="1"/>
  <c r="H262" i="46" s="1"/>
  <c r="C263" i="46" s="1"/>
  <c r="D262" i="46"/>
  <c r="F262" i="46" s="1"/>
  <c r="I262" i="46"/>
  <c r="E263" i="46" l="1"/>
  <c r="G263" i="46" s="1"/>
  <c r="H263" i="46" s="1"/>
  <c r="C264" i="46" s="1"/>
  <c r="D263" i="46"/>
  <c r="F263" i="46" s="1"/>
  <c r="I263" i="46"/>
  <c r="E264" i="46" l="1"/>
  <c r="G264" i="46" s="1"/>
  <c r="H264" i="46" s="1"/>
  <c r="C265" i="46" s="1"/>
  <c r="D264" i="46"/>
  <c r="F264" i="46" s="1"/>
  <c r="I264" i="46"/>
  <c r="D265" i="46" l="1"/>
  <c r="F265" i="46" s="1"/>
  <c r="E265" i="46"/>
  <c r="G265" i="46" s="1"/>
  <c r="H265" i="46" s="1"/>
  <c r="C266" i="46" s="1"/>
  <c r="I265" i="46"/>
  <c r="D266" i="46" l="1"/>
  <c r="F266" i="46" s="1"/>
  <c r="E266" i="46"/>
  <c r="G266" i="46" s="1"/>
  <c r="H266" i="46" s="1"/>
  <c r="C267" i="46" s="1"/>
  <c r="I266" i="46"/>
  <c r="D267" i="46" l="1"/>
  <c r="F267" i="46" s="1"/>
  <c r="E267" i="46"/>
  <c r="G267" i="46" s="1"/>
  <c r="H267" i="46" s="1"/>
  <c r="C268" i="46" s="1"/>
  <c r="I267" i="46"/>
  <c r="D268" i="46" l="1"/>
  <c r="F268" i="46" s="1"/>
  <c r="E268" i="46"/>
  <c r="G268" i="46" s="1"/>
  <c r="H268" i="46" s="1"/>
  <c r="C269" i="46" s="1"/>
  <c r="I268" i="46"/>
  <c r="E269" i="46" l="1"/>
  <c r="G269" i="46" s="1"/>
  <c r="H269" i="46" s="1"/>
  <c r="C270" i="46" s="1"/>
  <c r="D269" i="46"/>
  <c r="F269" i="46" s="1"/>
  <c r="I269" i="46"/>
  <c r="E270" i="46" l="1"/>
  <c r="G270" i="46" s="1"/>
  <c r="H270" i="46" s="1"/>
  <c r="C271" i="46" s="1"/>
  <c r="D270" i="46"/>
  <c r="F270" i="46" s="1"/>
  <c r="I270" i="46"/>
  <c r="E271" i="46" l="1"/>
  <c r="G271" i="46" s="1"/>
  <c r="H271" i="46" s="1"/>
  <c r="C272" i="46" s="1"/>
  <c r="D271" i="46"/>
  <c r="F271" i="46" s="1"/>
  <c r="I271" i="46"/>
  <c r="D272" i="46" l="1"/>
  <c r="F272" i="46" s="1"/>
  <c r="E272" i="46"/>
  <c r="G272" i="46" s="1"/>
  <c r="H272" i="46" s="1"/>
  <c r="C273" i="46" s="1"/>
  <c r="I272" i="46"/>
  <c r="D273" i="46" l="1"/>
  <c r="F273" i="46" s="1"/>
  <c r="E273" i="46"/>
  <c r="G273" i="46" s="1"/>
  <c r="H273" i="46" s="1"/>
  <c r="C274" i="46" s="1"/>
  <c r="I273" i="46"/>
  <c r="E274" i="46" l="1"/>
  <c r="G274" i="46" s="1"/>
  <c r="H274" i="46" s="1"/>
  <c r="C275" i="46" s="1"/>
  <c r="D274" i="46"/>
  <c r="F274" i="46" s="1"/>
  <c r="I274" i="46"/>
  <c r="E275" i="46" l="1"/>
  <c r="G275" i="46" s="1"/>
  <c r="H275" i="46" s="1"/>
  <c r="C276" i="46" s="1"/>
  <c r="D275" i="46"/>
  <c r="F275" i="46" s="1"/>
  <c r="I275" i="46"/>
  <c r="E276" i="46" l="1"/>
  <c r="G276" i="46" s="1"/>
  <c r="H276" i="46" s="1"/>
  <c r="C277" i="46" s="1"/>
  <c r="D276" i="46"/>
  <c r="F276" i="46" s="1"/>
  <c r="I276" i="46"/>
  <c r="D277" i="46" l="1"/>
  <c r="F277" i="46" s="1"/>
  <c r="E277" i="46"/>
  <c r="G277" i="46" s="1"/>
  <c r="H277" i="46" s="1"/>
  <c r="C278" i="46" s="1"/>
  <c r="I277" i="46"/>
  <c r="D278" i="46" l="1"/>
  <c r="F278" i="46" s="1"/>
  <c r="E278" i="46"/>
  <c r="G278" i="46" s="1"/>
  <c r="H278" i="46" s="1"/>
  <c r="C279" i="46" s="1"/>
  <c r="I278" i="46"/>
  <c r="E279" i="46" l="1"/>
  <c r="G279" i="46" s="1"/>
  <c r="H279" i="46" s="1"/>
  <c r="C280" i="46" s="1"/>
  <c r="D279" i="46"/>
  <c r="F279" i="46" s="1"/>
  <c r="I279" i="46"/>
  <c r="E280" i="46" l="1"/>
  <c r="G280" i="46" s="1"/>
  <c r="H280" i="46" s="1"/>
  <c r="C281" i="46" s="1"/>
  <c r="D280" i="46"/>
  <c r="F280" i="46" s="1"/>
  <c r="I280" i="46"/>
  <c r="E281" i="46" l="1"/>
  <c r="G281" i="46" s="1"/>
  <c r="H281" i="46" s="1"/>
  <c r="C282" i="46" s="1"/>
  <c r="D281" i="46"/>
  <c r="F281" i="46" s="1"/>
  <c r="I281" i="46"/>
  <c r="E282" i="46" l="1"/>
  <c r="G282" i="46" s="1"/>
  <c r="H282" i="46" s="1"/>
  <c r="C283" i="46" s="1"/>
  <c r="D282" i="46"/>
  <c r="F282" i="46" s="1"/>
  <c r="I282" i="46"/>
  <c r="E283" i="46" l="1"/>
  <c r="G283" i="46" s="1"/>
  <c r="H283" i="46" s="1"/>
  <c r="C284" i="46" s="1"/>
  <c r="D283" i="46"/>
  <c r="F283" i="46" s="1"/>
  <c r="I283" i="46"/>
  <c r="D284" i="46" l="1"/>
  <c r="F284" i="46" s="1"/>
  <c r="E284" i="46"/>
  <c r="G284" i="46" s="1"/>
  <c r="H284" i="46" s="1"/>
  <c r="C285" i="46" s="1"/>
  <c r="I284" i="46"/>
  <c r="D285" i="46" l="1"/>
  <c r="F285" i="46" s="1"/>
  <c r="E285" i="46"/>
  <c r="G285" i="46" s="1"/>
  <c r="H285" i="46" s="1"/>
  <c r="C286" i="46" s="1"/>
  <c r="I285" i="46"/>
  <c r="E286" i="46" l="1"/>
  <c r="G286" i="46" s="1"/>
  <c r="H286" i="46" s="1"/>
  <c r="C287" i="46" s="1"/>
  <c r="D286" i="46"/>
  <c r="F286" i="46" s="1"/>
  <c r="I286" i="46"/>
  <c r="E287" i="46" l="1"/>
  <c r="G287" i="46" s="1"/>
  <c r="H287" i="46" s="1"/>
  <c r="C288" i="46" s="1"/>
  <c r="D287" i="46"/>
  <c r="F287" i="46" s="1"/>
  <c r="I287" i="46"/>
  <c r="E288" i="46" l="1"/>
  <c r="G288" i="46" s="1"/>
  <c r="H288" i="46" s="1"/>
  <c r="C289" i="46" s="1"/>
  <c r="D288" i="46"/>
  <c r="F288" i="46" s="1"/>
  <c r="I288" i="46"/>
  <c r="D289" i="46" l="1"/>
  <c r="F289" i="46" s="1"/>
  <c r="E289" i="46"/>
  <c r="G289" i="46" s="1"/>
  <c r="H289" i="46" s="1"/>
  <c r="C290" i="46" s="1"/>
  <c r="I289" i="46"/>
  <c r="D290" i="46" l="1"/>
  <c r="F290" i="46" s="1"/>
  <c r="E290" i="46"/>
  <c r="G290" i="46" s="1"/>
  <c r="H290" i="46" s="1"/>
  <c r="C291" i="46" s="1"/>
  <c r="I290" i="46"/>
  <c r="E291" i="46" l="1"/>
  <c r="G291" i="46" s="1"/>
  <c r="H291" i="46" s="1"/>
  <c r="C292" i="46" s="1"/>
  <c r="D291" i="46"/>
  <c r="F291" i="46" s="1"/>
  <c r="I291" i="46"/>
  <c r="E292" i="46" l="1"/>
  <c r="G292" i="46" s="1"/>
  <c r="H292" i="46" s="1"/>
  <c r="C293" i="46" s="1"/>
  <c r="D292" i="46"/>
  <c r="F292" i="46" s="1"/>
  <c r="I292" i="46"/>
  <c r="E293" i="46" l="1"/>
  <c r="G293" i="46" s="1"/>
  <c r="H293" i="46" s="1"/>
  <c r="C294" i="46" s="1"/>
  <c r="D293" i="46"/>
  <c r="F293" i="46" s="1"/>
  <c r="I293" i="46"/>
  <c r="E294" i="46" l="1"/>
  <c r="G294" i="46" s="1"/>
  <c r="H294" i="46" s="1"/>
  <c r="C295" i="46" s="1"/>
  <c r="D294" i="46"/>
  <c r="F294" i="46" s="1"/>
  <c r="I294" i="46"/>
  <c r="E295" i="46" l="1"/>
  <c r="G295" i="46" s="1"/>
  <c r="H295" i="46" s="1"/>
  <c r="C296" i="46" s="1"/>
  <c r="D295" i="46"/>
  <c r="F295" i="46" s="1"/>
  <c r="I295" i="46"/>
  <c r="D296" i="46" l="1"/>
  <c r="F296" i="46" s="1"/>
  <c r="E296" i="46"/>
  <c r="G296" i="46" s="1"/>
  <c r="H296" i="46" s="1"/>
  <c r="C297" i="46" s="1"/>
  <c r="I296" i="46"/>
  <c r="D297" i="46" l="1"/>
  <c r="F297" i="46" s="1"/>
  <c r="E297" i="46"/>
  <c r="G297" i="46" s="1"/>
  <c r="H297" i="46" s="1"/>
  <c r="C298" i="46" s="1"/>
  <c r="I297" i="46"/>
  <c r="E298" i="46" l="1"/>
  <c r="G298" i="46" s="1"/>
  <c r="H298" i="46" s="1"/>
  <c r="C299" i="46" s="1"/>
  <c r="D298" i="46"/>
  <c r="F298" i="46" s="1"/>
  <c r="I298" i="46"/>
  <c r="E299" i="46" l="1"/>
  <c r="G299" i="46" s="1"/>
  <c r="H299" i="46" s="1"/>
  <c r="C300" i="46" s="1"/>
  <c r="D299" i="46"/>
  <c r="F299" i="46" s="1"/>
  <c r="I299" i="46"/>
  <c r="E300" i="46" l="1"/>
  <c r="G300" i="46" s="1"/>
  <c r="H300" i="46" s="1"/>
  <c r="C301" i="46" s="1"/>
  <c r="D300" i="46"/>
  <c r="F300" i="46" s="1"/>
  <c r="I300" i="46"/>
  <c r="D301" i="46" l="1"/>
  <c r="F301" i="46" s="1"/>
  <c r="E301" i="46"/>
  <c r="G301" i="46" s="1"/>
  <c r="H301" i="46" s="1"/>
  <c r="C302" i="46" s="1"/>
  <c r="I301" i="46"/>
  <c r="D302" i="46" l="1"/>
  <c r="F302" i="46" s="1"/>
  <c r="E302" i="46"/>
  <c r="G302" i="46" s="1"/>
  <c r="H302" i="46" s="1"/>
  <c r="C303" i="46" s="1"/>
  <c r="I302" i="46"/>
  <c r="E303" i="46" l="1"/>
  <c r="G303" i="46" s="1"/>
  <c r="H303" i="46" s="1"/>
  <c r="C304" i="46" s="1"/>
  <c r="D303" i="46"/>
  <c r="F303" i="46" s="1"/>
  <c r="I303" i="46"/>
  <c r="D304" i="46" l="1"/>
  <c r="F304" i="46" s="1"/>
  <c r="E304" i="46"/>
  <c r="G304" i="46" s="1"/>
  <c r="H304" i="46" s="1"/>
  <c r="C305" i="46" s="1"/>
  <c r="I304" i="46"/>
  <c r="E305" i="46" l="1"/>
  <c r="G305" i="46" s="1"/>
  <c r="H305" i="46" s="1"/>
  <c r="C306" i="46" s="1"/>
  <c r="D305" i="46"/>
  <c r="F305" i="46" s="1"/>
  <c r="I305" i="46"/>
  <c r="E306" i="46" l="1"/>
  <c r="G306" i="46" s="1"/>
  <c r="H306" i="46" s="1"/>
  <c r="C307" i="46" s="1"/>
  <c r="D306" i="46"/>
  <c r="F306" i="46" s="1"/>
  <c r="I306" i="46"/>
  <c r="E307" i="46" l="1"/>
  <c r="G307" i="46" s="1"/>
  <c r="H307" i="46" s="1"/>
  <c r="C308" i="46" s="1"/>
  <c r="D307" i="46"/>
  <c r="F307" i="46" s="1"/>
  <c r="I307" i="46"/>
  <c r="D308" i="46" l="1"/>
  <c r="F308" i="46" s="1"/>
  <c r="E308" i="46"/>
  <c r="G308" i="46" s="1"/>
  <c r="H308" i="46" s="1"/>
  <c r="C309" i="46" s="1"/>
  <c r="I308" i="46"/>
  <c r="D309" i="46" l="1"/>
  <c r="F309" i="46" s="1"/>
  <c r="E309" i="46"/>
  <c r="G309" i="46" s="1"/>
  <c r="H309" i="46" s="1"/>
  <c r="C310" i="46" s="1"/>
  <c r="I309" i="46"/>
  <c r="E310" i="46" l="1"/>
  <c r="G310" i="46" s="1"/>
  <c r="H310" i="46" s="1"/>
  <c r="C311" i="46" s="1"/>
  <c r="D310" i="46"/>
  <c r="F310" i="46" s="1"/>
  <c r="I310" i="46"/>
  <c r="E311" i="46" l="1"/>
  <c r="G311" i="46" s="1"/>
  <c r="H311" i="46" s="1"/>
  <c r="C312" i="46" s="1"/>
  <c r="D311" i="46"/>
  <c r="F311" i="46" s="1"/>
  <c r="I311" i="46"/>
  <c r="E312" i="46" l="1"/>
  <c r="G312" i="46" s="1"/>
  <c r="H312" i="46" s="1"/>
  <c r="C313" i="46" s="1"/>
  <c r="D312" i="46"/>
  <c r="F312" i="46" s="1"/>
  <c r="I312" i="46"/>
  <c r="D313" i="46" l="1"/>
  <c r="F313" i="46" s="1"/>
  <c r="E313" i="46"/>
  <c r="G313" i="46" s="1"/>
  <c r="H313" i="46" s="1"/>
  <c r="C314" i="46" s="1"/>
  <c r="I313" i="46"/>
  <c r="D314" i="46" l="1"/>
  <c r="F314" i="46" s="1"/>
  <c r="E314" i="46"/>
  <c r="G314" i="46" s="1"/>
  <c r="H314" i="46" s="1"/>
  <c r="C315" i="46" s="1"/>
  <c r="I314" i="46"/>
  <c r="D315" i="46" l="1"/>
  <c r="F315" i="46" s="1"/>
  <c r="E315" i="46"/>
  <c r="G315" i="46" s="1"/>
  <c r="H315" i="46" s="1"/>
  <c r="C316" i="46" s="1"/>
  <c r="I315" i="46"/>
  <c r="E316" i="46" l="1"/>
  <c r="G316" i="46" s="1"/>
  <c r="H316" i="46" s="1"/>
  <c r="C317" i="46" s="1"/>
  <c r="D316" i="46"/>
  <c r="F316" i="46" s="1"/>
  <c r="I316" i="46"/>
  <c r="E317" i="46" l="1"/>
  <c r="G317" i="46" s="1"/>
  <c r="H317" i="46" s="1"/>
  <c r="C318" i="46" s="1"/>
  <c r="D317" i="46"/>
  <c r="F317" i="46" s="1"/>
  <c r="I317" i="46"/>
  <c r="E318" i="46" l="1"/>
  <c r="G318" i="46" s="1"/>
  <c r="H318" i="46" s="1"/>
  <c r="C319" i="46" s="1"/>
  <c r="D318" i="46"/>
  <c r="F318" i="46" s="1"/>
  <c r="I318" i="46"/>
  <c r="E319" i="46" l="1"/>
  <c r="G319" i="46" s="1"/>
  <c r="H319" i="46" s="1"/>
  <c r="C320" i="46" s="1"/>
  <c r="D319" i="46"/>
  <c r="F319" i="46" s="1"/>
  <c r="I319" i="46"/>
  <c r="D320" i="46" l="1"/>
  <c r="F320" i="46" s="1"/>
  <c r="E320" i="46"/>
  <c r="G320" i="46" s="1"/>
  <c r="H320" i="46" s="1"/>
  <c r="C321" i="46" s="1"/>
  <c r="I320" i="46"/>
  <c r="D321" i="46" l="1"/>
  <c r="F321" i="46" s="1"/>
  <c r="E321" i="46"/>
  <c r="G321" i="46" s="1"/>
  <c r="H321" i="46" s="1"/>
  <c r="C322" i="46" s="1"/>
  <c r="I321" i="46"/>
  <c r="E322" i="46" l="1"/>
  <c r="G322" i="46" s="1"/>
  <c r="H322" i="46" s="1"/>
  <c r="C323" i="46" s="1"/>
  <c r="D322" i="46"/>
  <c r="F322" i="46" s="1"/>
  <c r="I322" i="46"/>
  <c r="E323" i="46" l="1"/>
  <c r="G323" i="46" s="1"/>
  <c r="H323" i="46" s="1"/>
  <c r="C324" i="46" s="1"/>
  <c r="D323" i="46"/>
  <c r="F323" i="46" s="1"/>
  <c r="I323" i="46"/>
  <c r="E324" i="46" l="1"/>
  <c r="G324" i="46" s="1"/>
  <c r="H324" i="46" s="1"/>
  <c r="C325" i="46" s="1"/>
  <c r="D324" i="46"/>
  <c r="F324" i="46" s="1"/>
  <c r="I324" i="46"/>
  <c r="D325" i="46" l="1"/>
  <c r="F325" i="46" s="1"/>
  <c r="E325" i="46"/>
  <c r="G325" i="46" s="1"/>
  <c r="H325" i="46" s="1"/>
  <c r="C326" i="46" s="1"/>
  <c r="I325" i="46"/>
  <c r="D326" i="46" l="1"/>
  <c r="F326" i="46" s="1"/>
  <c r="E326" i="46"/>
  <c r="G326" i="46" s="1"/>
  <c r="H326" i="46" s="1"/>
  <c r="C327" i="46" s="1"/>
  <c r="I326" i="46"/>
  <c r="E327" i="46" l="1"/>
  <c r="G327" i="46" s="1"/>
  <c r="H327" i="46" s="1"/>
  <c r="C328" i="46" s="1"/>
  <c r="D327" i="46"/>
  <c r="F327" i="46" s="1"/>
  <c r="I327" i="46"/>
  <c r="D328" i="46" l="1"/>
  <c r="F328" i="46" s="1"/>
  <c r="E328" i="46"/>
  <c r="G328" i="46" s="1"/>
  <c r="H328" i="46" s="1"/>
  <c r="C329" i="46" s="1"/>
  <c r="I328" i="46"/>
  <c r="E329" i="46" l="1"/>
  <c r="G329" i="46" s="1"/>
  <c r="H329" i="46" s="1"/>
  <c r="C330" i="46" s="1"/>
  <c r="D329" i="46"/>
  <c r="F329" i="46" s="1"/>
  <c r="I329" i="46"/>
  <c r="E330" i="46" l="1"/>
  <c r="G330" i="46" s="1"/>
  <c r="H330" i="46" s="1"/>
  <c r="C331" i="46" s="1"/>
  <c r="D330" i="46"/>
  <c r="F330" i="46" s="1"/>
  <c r="I330" i="46"/>
  <c r="E331" i="46" l="1"/>
  <c r="G331" i="46" s="1"/>
  <c r="H331" i="46" s="1"/>
  <c r="C332" i="46" s="1"/>
  <c r="D331" i="46"/>
  <c r="F331" i="46" s="1"/>
  <c r="I331" i="46"/>
  <c r="D332" i="46" l="1"/>
  <c r="F332" i="46" s="1"/>
  <c r="E332" i="46"/>
  <c r="G332" i="46" s="1"/>
  <c r="H332" i="46" s="1"/>
  <c r="C333" i="46" s="1"/>
  <c r="I332" i="46"/>
  <c r="D333" i="46" l="1"/>
  <c r="F333" i="46" s="1"/>
  <c r="E333" i="46"/>
  <c r="G333" i="46" s="1"/>
  <c r="H333" i="46" s="1"/>
  <c r="C334" i="46" s="1"/>
  <c r="I333" i="46"/>
  <c r="E334" i="46" l="1"/>
  <c r="G334" i="46" s="1"/>
  <c r="H334" i="46" s="1"/>
  <c r="C335" i="46" s="1"/>
  <c r="D334" i="46"/>
  <c r="F334" i="46" s="1"/>
  <c r="I334" i="46"/>
  <c r="E335" i="46" l="1"/>
  <c r="G335" i="46" s="1"/>
  <c r="H335" i="46" s="1"/>
  <c r="C336" i="46" s="1"/>
  <c r="D335" i="46"/>
  <c r="F335" i="46" s="1"/>
  <c r="I335" i="46"/>
  <c r="E336" i="46" l="1"/>
  <c r="G336" i="46" s="1"/>
  <c r="H336" i="46" s="1"/>
  <c r="C337" i="46" s="1"/>
  <c r="D336" i="46"/>
  <c r="F336" i="46" s="1"/>
  <c r="I336" i="46"/>
  <c r="D337" i="46" l="1"/>
  <c r="F337" i="46" s="1"/>
  <c r="E337" i="46"/>
  <c r="G337" i="46" s="1"/>
  <c r="H337" i="46" s="1"/>
  <c r="C338" i="46" s="1"/>
  <c r="I337" i="46"/>
  <c r="D338" i="46" l="1"/>
  <c r="F338" i="46" s="1"/>
  <c r="E338" i="46"/>
  <c r="G338" i="46" s="1"/>
  <c r="H338" i="46" s="1"/>
  <c r="C339" i="46" s="1"/>
  <c r="I338" i="46"/>
  <c r="E339" i="46" l="1"/>
  <c r="G339" i="46" s="1"/>
  <c r="H339" i="46" s="1"/>
  <c r="C340" i="46" s="1"/>
  <c r="D339" i="46"/>
  <c r="F339" i="46" s="1"/>
  <c r="I339" i="46"/>
  <c r="E340" i="46" l="1"/>
  <c r="G340" i="46" s="1"/>
  <c r="H340" i="46" s="1"/>
  <c r="C341" i="46" s="1"/>
  <c r="D340" i="46"/>
  <c r="F340" i="46" s="1"/>
  <c r="I340" i="46"/>
  <c r="E341" i="46" l="1"/>
  <c r="G341" i="46" s="1"/>
  <c r="H341" i="46" s="1"/>
  <c r="C342" i="46" s="1"/>
  <c r="D341" i="46"/>
  <c r="F341" i="46" s="1"/>
  <c r="I341" i="46"/>
  <c r="E342" i="46" l="1"/>
  <c r="G342" i="46" s="1"/>
  <c r="H342" i="46" s="1"/>
  <c r="C343" i="46" s="1"/>
  <c r="D342" i="46"/>
  <c r="F342" i="46" s="1"/>
  <c r="I342" i="46"/>
  <c r="E343" i="46" l="1"/>
  <c r="G343" i="46" s="1"/>
  <c r="H343" i="46" s="1"/>
  <c r="C344" i="46" s="1"/>
  <c r="D343" i="46"/>
  <c r="F343" i="46" s="1"/>
  <c r="I343" i="46"/>
  <c r="D344" i="46" l="1"/>
  <c r="F344" i="46" s="1"/>
  <c r="E344" i="46"/>
  <c r="G344" i="46" s="1"/>
  <c r="H344" i="46" s="1"/>
  <c r="C345" i="46" s="1"/>
  <c r="I344" i="46"/>
  <c r="D345" i="46" l="1"/>
  <c r="F345" i="46" s="1"/>
  <c r="E345" i="46"/>
  <c r="G345" i="46" s="1"/>
  <c r="H345" i="46" s="1"/>
  <c r="C346" i="46" s="1"/>
  <c r="I345" i="46"/>
  <c r="E346" i="46" l="1"/>
  <c r="G346" i="46" s="1"/>
  <c r="H346" i="46" s="1"/>
  <c r="C347" i="46" s="1"/>
  <c r="D346" i="46"/>
  <c r="F346" i="46" s="1"/>
  <c r="I346" i="46"/>
  <c r="E347" i="46" l="1"/>
  <c r="G347" i="46" s="1"/>
  <c r="H347" i="46" s="1"/>
  <c r="C348" i="46" s="1"/>
  <c r="D347" i="46"/>
  <c r="F347" i="46" s="1"/>
  <c r="I347" i="46"/>
  <c r="E348" i="46" l="1"/>
  <c r="G348" i="46" s="1"/>
  <c r="H348" i="46" s="1"/>
  <c r="C349" i="46" s="1"/>
  <c r="D348" i="46"/>
  <c r="F348" i="46" s="1"/>
  <c r="I348" i="46"/>
  <c r="D349" i="46" l="1"/>
  <c r="F349" i="46" s="1"/>
  <c r="E349" i="46"/>
  <c r="G349" i="46" s="1"/>
  <c r="H349" i="46" s="1"/>
  <c r="C350" i="46" s="1"/>
  <c r="I349" i="46"/>
  <c r="D350" i="46" l="1"/>
  <c r="F350" i="46" s="1"/>
  <c r="E350" i="46"/>
  <c r="G350" i="46" s="1"/>
  <c r="H350" i="46" s="1"/>
  <c r="C351" i="46" s="1"/>
  <c r="I350" i="46"/>
  <c r="E351" i="46" l="1"/>
  <c r="G351" i="46" s="1"/>
  <c r="H351" i="46" s="1"/>
  <c r="C352" i="46" s="1"/>
  <c r="D351" i="46"/>
  <c r="F351" i="46" s="1"/>
  <c r="I351" i="46"/>
  <c r="D352" i="46" l="1"/>
  <c r="F352" i="46" s="1"/>
  <c r="E352" i="46"/>
  <c r="G352" i="46" s="1"/>
  <c r="H352" i="46" s="1"/>
  <c r="C353" i="46" s="1"/>
  <c r="I352" i="46"/>
  <c r="E353" i="46" l="1"/>
  <c r="G353" i="46" s="1"/>
  <c r="H353" i="46" s="1"/>
  <c r="C354" i="46" s="1"/>
  <c r="D353" i="46"/>
  <c r="F353" i="46" s="1"/>
  <c r="I353" i="46"/>
  <c r="E354" i="46" l="1"/>
  <c r="G354" i="46" s="1"/>
  <c r="H354" i="46" s="1"/>
  <c r="C355" i="46" s="1"/>
  <c r="D354" i="46"/>
  <c r="F354" i="46" s="1"/>
  <c r="I354" i="46"/>
  <c r="E355" i="46" l="1"/>
  <c r="G355" i="46" s="1"/>
  <c r="H355" i="46" s="1"/>
  <c r="C356" i="46" s="1"/>
  <c r="D355" i="46"/>
  <c r="F355" i="46" s="1"/>
  <c r="I355" i="46"/>
  <c r="D356" i="46" l="1"/>
  <c r="F356" i="46" s="1"/>
  <c r="E356" i="46"/>
  <c r="G356" i="46" s="1"/>
  <c r="H356" i="46" s="1"/>
  <c r="C357" i="46" s="1"/>
  <c r="I356" i="46"/>
  <c r="D357" i="46" l="1"/>
  <c r="F357" i="46" s="1"/>
  <c r="E357" i="46"/>
  <c r="G357" i="46" s="1"/>
  <c r="H357" i="46" s="1"/>
  <c r="C358" i="46" s="1"/>
  <c r="I357" i="46"/>
  <c r="E358" i="46" l="1"/>
  <c r="G358" i="46" s="1"/>
  <c r="H358" i="46" s="1"/>
  <c r="C359" i="46" s="1"/>
  <c r="D358" i="46"/>
  <c r="F358" i="46" s="1"/>
  <c r="I358" i="46"/>
  <c r="E359" i="46" l="1"/>
  <c r="G359" i="46" s="1"/>
  <c r="H359" i="46" s="1"/>
  <c r="C360" i="46" s="1"/>
  <c r="D359" i="46"/>
  <c r="F359" i="46" s="1"/>
  <c r="I359" i="46"/>
  <c r="E360" i="46" l="1"/>
  <c r="G360" i="46" s="1"/>
  <c r="H360" i="46" s="1"/>
  <c r="C361" i="46" s="1"/>
  <c r="D360" i="46"/>
  <c r="F360" i="46" s="1"/>
  <c r="I360" i="46"/>
  <c r="D361" i="46" l="1"/>
  <c r="F361" i="46" s="1"/>
  <c r="E361" i="46"/>
  <c r="G361" i="46" s="1"/>
  <c r="H361" i="46" s="1"/>
  <c r="C362" i="46" s="1"/>
  <c r="I361" i="46"/>
  <c r="D362" i="46" l="1"/>
  <c r="F362" i="46" s="1"/>
  <c r="E362" i="46"/>
  <c r="G362" i="46" s="1"/>
  <c r="H362" i="46" s="1"/>
  <c r="C363" i="46" s="1"/>
  <c r="I362" i="46"/>
  <c r="D363" i="46" l="1"/>
  <c r="F363" i="46" s="1"/>
  <c r="E363" i="46"/>
  <c r="G363" i="46" s="1"/>
  <c r="H363" i="46" s="1"/>
  <c r="C364" i="46" s="1"/>
  <c r="I363" i="46"/>
  <c r="E364" i="46" l="1"/>
  <c r="G364" i="46" s="1"/>
  <c r="H364" i="46" s="1"/>
  <c r="C365" i="46" s="1"/>
  <c r="D364" i="46"/>
  <c r="F364" i="46" s="1"/>
  <c r="I364" i="46"/>
  <c r="E365" i="46" l="1"/>
  <c r="G365" i="46" s="1"/>
  <c r="H365" i="46" s="1"/>
  <c r="C366" i="46" s="1"/>
  <c r="D365" i="46"/>
  <c r="F365" i="46" s="1"/>
  <c r="I365" i="46"/>
  <c r="E366" i="46" l="1"/>
  <c r="G366" i="46" s="1"/>
  <c r="H366" i="46" s="1"/>
  <c r="C367" i="46" s="1"/>
  <c r="D366" i="46"/>
  <c r="F366" i="46" s="1"/>
  <c r="I366" i="46"/>
  <c r="E367" i="46" l="1"/>
  <c r="G367" i="46" s="1"/>
  <c r="H367" i="46" s="1"/>
  <c r="C368" i="46" s="1"/>
  <c r="D367" i="46"/>
  <c r="F367" i="46" s="1"/>
  <c r="I367" i="46"/>
  <c r="D368" i="46" l="1"/>
  <c r="F368" i="46" s="1"/>
  <c r="E368" i="46"/>
  <c r="G368" i="46" s="1"/>
  <c r="H368" i="46" s="1"/>
  <c r="C369" i="46" s="1"/>
  <c r="I368" i="46"/>
  <c r="D369" i="46" l="1"/>
  <c r="F369" i="46" s="1"/>
  <c r="E369" i="46"/>
  <c r="G369" i="46" s="1"/>
  <c r="H369" i="46" s="1"/>
  <c r="C370" i="46" s="1"/>
  <c r="I369" i="46"/>
  <c r="E370" i="46" l="1"/>
  <c r="G370" i="46" s="1"/>
  <c r="H370" i="46" s="1"/>
  <c r="C371" i="46" s="1"/>
  <c r="D370" i="46"/>
  <c r="F370" i="46" s="1"/>
  <c r="I370" i="46"/>
  <c r="E371" i="46" l="1"/>
  <c r="G371" i="46" s="1"/>
  <c r="H371" i="46" s="1"/>
  <c r="C372" i="46" s="1"/>
  <c r="D371" i="46"/>
  <c r="F371" i="46" s="1"/>
  <c r="I371" i="46"/>
  <c r="E372" i="46" l="1"/>
  <c r="G372" i="46" s="1"/>
  <c r="H372" i="46" s="1"/>
  <c r="C373" i="46" s="1"/>
  <c r="D372" i="46"/>
  <c r="F372" i="46" s="1"/>
  <c r="I372" i="46"/>
  <c r="D373" i="46" l="1"/>
  <c r="F373" i="46" s="1"/>
  <c r="E373" i="46"/>
  <c r="G373" i="46" s="1"/>
  <c r="H373" i="46" s="1"/>
  <c r="C374" i="46" s="1"/>
  <c r="I373" i="46"/>
  <c r="D374" i="46" l="1"/>
  <c r="F374" i="46" s="1"/>
  <c r="E374" i="46"/>
  <c r="G374" i="46" s="1"/>
  <c r="H374" i="46" s="1"/>
  <c r="C375" i="46" s="1"/>
  <c r="I374" i="46"/>
  <c r="E375" i="46" l="1"/>
  <c r="G375" i="46" s="1"/>
  <c r="H375" i="46" s="1"/>
  <c r="C376" i="46" s="1"/>
  <c r="D375" i="46"/>
  <c r="F375" i="46" s="1"/>
  <c r="I375" i="46"/>
  <c r="D376" i="46" l="1"/>
  <c r="F376" i="46" s="1"/>
  <c r="E376" i="46"/>
  <c r="G376" i="46" s="1"/>
  <c r="H376" i="46" s="1"/>
  <c r="C377" i="46" s="1"/>
  <c r="I376" i="46"/>
  <c r="E377" i="46" l="1"/>
  <c r="G377" i="46" s="1"/>
  <c r="H377" i="46" s="1"/>
  <c r="D377" i="46"/>
  <c r="F377" i="46" s="1"/>
  <c r="I377" i="46"/>
  <c r="H6" i="23"/>
  <c r="I4" i="23" l="1"/>
  <c r="J4" i="23"/>
  <c r="C19" i="23"/>
  <c r="E19" i="23" l="1"/>
  <c r="I6" i="23"/>
  <c r="G19" i="23" l="1"/>
  <c r="G22" i="23"/>
  <c r="E17" i="23"/>
  <c r="E18" i="23"/>
  <c r="G17" i="23" l="1"/>
  <c r="G18" i="23"/>
  <c r="Z2" i="19"/>
  <c r="Z3" i="19" s="1"/>
  <c r="Z4" i="19" s="1"/>
  <c r="Z5" i="19" s="1"/>
  <c r="Z6" i="19" s="1"/>
  <c r="Z7" i="19" s="1"/>
  <c r="Z8" i="19" s="1"/>
  <c r="Z9" i="19" s="1"/>
  <c r="Z10" i="19" s="1"/>
  <c r="Z11" i="19" s="1"/>
  <c r="Z12" i="19" s="1"/>
  <c r="Z13" i="19" s="1"/>
  <c r="Z14" i="19" s="1"/>
  <c r="Z15" i="19" s="1"/>
  <c r="Z16" i="19" s="1"/>
  <c r="Z17" i="19" s="1"/>
  <c r="Z18" i="19" s="1"/>
  <c r="Z19" i="19" s="1"/>
  <c r="Z20" i="19" s="1"/>
  <c r="Z21" i="19" s="1"/>
  <c r="Z22" i="19" s="1"/>
  <c r="Z23" i="19" s="1"/>
  <c r="Z24" i="19" s="1"/>
  <c r="Z25" i="19" s="1"/>
  <c r="Z26" i="19" s="1"/>
  <c r="Z27" i="19" s="1"/>
  <c r="Z28" i="19" s="1"/>
  <c r="Z29" i="19" s="1"/>
  <c r="Z30" i="19" s="1"/>
  <c r="Z31" i="19" s="1"/>
  <c r="Z32" i="19" s="1"/>
  <c r="Z33" i="19" s="1"/>
  <c r="Z34" i="19" s="1"/>
  <c r="Z35" i="19" s="1"/>
  <c r="Z36" i="19" s="1"/>
  <c r="Z37" i="19" s="1"/>
  <c r="Z38" i="19" s="1"/>
  <c r="Z39" i="19" s="1"/>
  <c r="Z40" i="19" s="1"/>
  <c r="Z41" i="19" s="1"/>
  <c r="Z42" i="19" s="1"/>
  <c r="Z43" i="19" s="1"/>
  <c r="Z44" i="19" s="1"/>
  <c r="Z45" i="19" s="1"/>
  <c r="Z46" i="19" s="1"/>
  <c r="Z47" i="19" s="1"/>
  <c r="Z48" i="19" s="1"/>
  <c r="Z49" i="19" s="1"/>
  <c r="Z50" i="19" s="1"/>
  <c r="Z51" i="19" s="1"/>
  <c r="Z52" i="19" s="1"/>
  <c r="Z53" i="19" s="1"/>
  <c r="Z54" i="19" s="1"/>
  <c r="Z55" i="19" s="1"/>
  <c r="Z56" i="19" s="1"/>
  <c r="Z57" i="19" s="1"/>
  <c r="Z58" i="19" s="1"/>
  <c r="Z59" i="19" s="1"/>
  <c r="Z60" i="19" s="1"/>
  <c r="Z61" i="19" s="1"/>
  <c r="Z62" i="19" s="1"/>
  <c r="Z63" i="19" s="1"/>
  <c r="Z64" i="19" s="1"/>
  <c r="Z65" i="19" s="1"/>
  <c r="Z66" i="19" s="1"/>
  <c r="Z67" i="19" s="1"/>
  <c r="Z68" i="19" s="1"/>
  <c r="Z69" i="19" s="1"/>
  <c r="Z70" i="19" s="1"/>
  <c r="Z71" i="19" s="1"/>
  <c r="Z72" i="19" s="1"/>
  <c r="Z73" i="19" s="1"/>
  <c r="Z74" i="19" s="1"/>
  <c r="Z75" i="19" s="1"/>
  <c r="Z76" i="19" s="1"/>
  <c r="Z77" i="19" s="1"/>
  <c r="Z78" i="19" s="1"/>
  <c r="Z79" i="19" s="1"/>
  <c r="Z80" i="19" s="1"/>
  <c r="Z81" i="19" s="1"/>
  <c r="Z82" i="19" s="1"/>
  <c r="Z83" i="19" s="1"/>
  <c r="Z84" i="19" s="1"/>
  <c r="Z85" i="19" s="1"/>
  <c r="Z86" i="19" s="1"/>
  <c r="Z87" i="19" s="1"/>
  <c r="Z88" i="19" s="1"/>
  <c r="Z89" i="19" s="1"/>
  <c r="Z90" i="19" s="1"/>
  <c r="Z91" i="19" s="1"/>
  <c r="Z94" i="19" s="1"/>
  <c r="Z95" i="19" s="1"/>
  <c r="Z96" i="19" s="1"/>
  <c r="Z97" i="19" s="1"/>
  <c r="Z98" i="19" s="1"/>
  <c r="Z99" i="19" s="1"/>
  <c r="Z100" i="19" s="1"/>
  <c r="Z101" i="19" s="1"/>
  <c r="Z102" i="19" s="1"/>
  <c r="Z103" i="19" s="1"/>
  <c r="Z104" i="19" s="1"/>
  <c r="Z105" i="19" s="1"/>
  <c r="Z106" i="19" s="1"/>
  <c r="Z107" i="19" s="1"/>
  <c r="Z108" i="19" s="1"/>
  <c r="Z109" i="19" s="1"/>
  <c r="Z110" i="19" s="1"/>
  <c r="Z111" i="19" s="1"/>
  <c r="Z112" i="19" s="1"/>
  <c r="Z113" i="19" s="1"/>
  <c r="Z114" i="19" s="1"/>
  <c r="Z115" i="19" s="1"/>
  <c r="Z116" i="19" s="1"/>
  <c r="Z117" i="19" s="1"/>
  <c r="Z118" i="19" s="1"/>
  <c r="Z119" i="19" s="1"/>
  <c r="Z120" i="19" s="1"/>
  <c r="Z121" i="19" s="1"/>
  <c r="Z122" i="19" s="1"/>
  <c r="Z123" i="19" s="1"/>
  <c r="Z124" i="19" s="1"/>
  <c r="Z125" i="19" s="1"/>
  <c r="Z126" i="19" s="1"/>
  <c r="Z127" i="19" s="1"/>
  <c r="Z128" i="19" s="1"/>
  <c r="Z129" i="19" s="1"/>
  <c r="Z130" i="19" s="1"/>
  <c r="Z131" i="19" s="1"/>
  <c r="Z132" i="19" s="1"/>
  <c r="Z133" i="19" s="1"/>
  <c r="Z134" i="19" s="1"/>
  <c r="Z135" i="19" s="1"/>
  <c r="Z136" i="19" s="1"/>
  <c r="Z137" i="19" s="1"/>
  <c r="Z138" i="19" s="1"/>
  <c r="Z139" i="19" s="1"/>
  <c r="Z140" i="19" s="1"/>
  <c r="Z141" i="19" s="1"/>
  <c r="Z142" i="19" s="1"/>
  <c r="Z143" i="19" s="1"/>
  <c r="Z144" i="19" s="1"/>
  <c r="Z145" i="19" s="1"/>
  <c r="Z146" i="19" s="1"/>
  <c r="Z147" i="19" s="1"/>
  <c r="Z148" i="19" s="1"/>
  <c r="Z149" i="19" s="1"/>
  <c r="Z150" i="19" s="1"/>
  <c r="Z151" i="19" s="1"/>
  <c r="Z152" i="19" s="1"/>
  <c r="Z153" i="19" s="1"/>
  <c r="Z154" i="19" s="1"/>
  <c r="Z155" i="19" s="1"/>
  <c r="Z156" i="19" s="1"/>
  <c r="Z157" i="19" s="1"/>
  <c r="Z158" i="19" s="1"/>
  <c r="Z159" i="19" s="1"/>
  <c r="Z160" i="19" s="1"/>
  <c r="Z161" i="19" s="1"/>
  <c r="Z162" i="19" s="1"/>
  <c r="Z163" i="19" s="1"/>
  <c r="Z164" i="19" s="1"/>
  <c r="Z165" i="19" s="1"/>
  <c r="Z166" i="19" s="1"/>
  <c r="Z167" i="19" s="1"/>
  <c r="Z168" i="19" s="1"/>
  <c r="Z169" i="19" s="1"/>
  <c r="Z170" i="19" s="1"/>
  <c r="Z171" i="19" s="1"/>
  <c r="Z172" i="19" s="1"/>
  <c r="Z173" i="19" s="1"/>
  <c r="Z174" i="19" s="1"/>
  <c r="Z175" i="19" s="1"/>
  <c r="Z176" i="19" s="1"/>
  <c r="Z177" i="19" s="1"/>
  <c r="Z178" i="19" l="1"/>
  <c r="Z179" i="19" s="1"/>
  <c r="Z180" i="19" s="1"/>
  <c r="Z181" i="19" s="1"/>
  <c r="Z182" i="19" s="1"/>
  <c r="Z183" i="19" s="1"/>
  <c r="Z184" i="19" s="1"/>
  <c r="Z185" i="19" s="1"/>
  <c r="Z186" i="19" s="1"/>
  <c r="Z187" i="19" s="1"/>
  <c r="Z188" i="19" s="1"/>
  <c r="Z189" i="19" s="1"/>
  <c r="Z190" i="19" s="1"/>
  <c r="Z191" i="19" s="1"/>
  <c r="Z192" i="19" s="1"/>
  <c r="Z193" i="19" s="1"/>
  <c r="Z194" i="19" s="1"/>
  <c r="Z195" i="19" s="1"/>
  <c r="Z196" i="19" s="1"/>
  <c r="Z197" i="19" s="1"/>
  <c r="Z198" i="19" s="1"/>
  <c r="Z199" i="19" s="1"/>
  <c r="Z200" i="19" s="1"/>
  <c r="Z201" i="19" s="1"/>
  <c r="Z202" i="19" s="1"/>
  <c r="Z203" i="19" s="1"/>
  <c r="Z204" i="19" s="1"/>
  <c r="Z205" i="19" s="1"/>
  <c r="Z206" i="19" s="1"/>
  <c r="Z207" i="19" s="1"/>
  <c r="Z208" i="19" s="1"/>
  <c r="Z209" i="19" s="1"/>
  <c r="Z210" i="19" s="1"/>
  <c r="Z211" i="19" s="1"/>
  <c r="Z212" i="19" s="1"/>
  <c r="Z213" i="19" s="1"/>
  <c r="Z214" i="19" s="1"/>
  <c r="Z215" i="19" s="1"/>
  <c r="Z216" i="19" s="1"/>
  <c r="Z217" i="19" s="1"/>
  <c r="Z218" i="19" s="1"/>
  <c r="Z219" i="19" s="1"/>
  <c r="Z220" i="19" s="1"/>
  <c r="Z221" i="19" s="1"/>
  <c r="Z222" i="19" s="1"/>
  <c r="Z223" i="19" s="1"/>
  <c r="Z224" i="19" s="1"/>
  <c r="Z225" i="19" s="1"/>
  <c r="Z226" i="19" s="1"/>
  <c r="Z227" i="19" s="1"/>
  <c r="Z228" i="19" s="1"/>
  <c r="Z229" i="19" s="1"/>
  <c r="Z230" i="19" s="1"/>
  <c r="Z231" i="19" s="1"/>
  <c r="Z232" i="19" s="1"/>
  <c r="Z233" i="19" s="1"/>
  <c r="Z234" i="19" s="1"/>
  <c r="Z235" i="19" s="1"/>
  <c r="Z236" i="19" s="1"/>
  <c r="Z237" i="19" s="1"/>
  <c r="Z238" i="19" s="1"/>
  <c r="Z239" i="19" s="1"/>
  <c r="Z240" i="19" s="1"/>
  <c r="Z241" i="19" s="1"/>
  <c r="Z242" i="19" s="1"/>
  <c r="Z243" i="19" s="1"/>
  <c r="Z244" i="19" s="1"/>
  <c r="Z245" i="19" s="1"/>
  <c r="Z246" i="19" s="1"/>
  <c r="Z247" i="19" s="1"/>
  <c r="Z248" i="19" s="1"/>
  <c r="Z249" i="19" s="1"/>
  <c r="Z250" i="19" s="1"/>
  <c r="Z251" i="19" s="1"/>
  <c r="Z252" i="19" s="1"/>
  <c r="Z253" i="19" s="1"/>
  <c r="Z254" i="19" s="1"/>
  <c r="Z255" i="19" s="1"/>
  <c r="Z256" i="19" s="1"/>
  <c r="Z257" i="19" s="1"/>
  <c r="Z258" i="19" s="1"/>
  <c r="Z259" i="19" s="1"/>
  <c r="Z260" i="19" s="1"/>
  <c r="Z261" i="19" s="1"/>
  <c r="Z262" i="19" s="1"/>
  <c r="Z263" i="19" s="1"/>
  <c r="Z264" i="19" s="1"/>
  <c r="Z265" i="19" s="1"/>
  <c r="Z266" i="19" s="1"/>
  <c r="Z267" i="19" s="1"/>
  <c r="Z268" i="19" s="1"/>
  <c r="Z269" i="19" s="1"/>
  <c r="Z270" i="19" s="1"/>
  <c r="Z271" i="19" s="1"/>
  <c r="Z272" i="19" s="1"/>
  <c r="Z273" i="19" s="1"/>
  <c r="Z274" i="19" s="1"/>
  <c r="Z275" i="19" s="1"/>
  <c r="Z276" i="19" s="1"/>
  <c r="Z277" i="19" s="1"/>
  <c r="Z278" i="19" s="1"/>
  <c r="Z279" i="19" s="1"/>
  <c r="Z280" i="19" s="1"/>
  <c r="Z281" i="19" s="1"/>
  <c r="Z282" i="19" s="1"/>
  <c r="Z283" i="19" s="1"/>
  <c r="Z284" i="19" s="1"/>
  <c r="Z285" i="19" s="1"/>
  <c r="Z286" i="19" s="1"/>
  <c r="Z287" i="19" s="1"/>
  <c r="Z288" i="19" s="1"/>
  <c r="Z289" i="19" s="1"/>
  <c r="Z290" i="19" s="1"/>
  <c r="Z291" i="19" s="1"/>
  <c r="Z292" i="19" s="1"/>
  <c r="Z293" i="19" s="1"/>
  <c r="Z294" i="19" s="1"/>
  <c r="Z295" i="19" s="1"/>
  <c r="Z296" i="19" s="1"/>
  <c r="Z297" i="19" s="1"/>
  <c r="Z298" i="19" s="1"/>
  <c r="Z299" i="19" s="1"/>
  <c r="Z300" i="19" s="1"/>
  <c r="Z301" i="19" s="1"/>
  <c r="Z302" i="19" s="1"/>
  <c r="Z303" i="19" s="1"/>
  <c r="Z304" i="19" s="1"/>
  <c r="Z305" i="19" s="1"/>
  <c r="Z306" i="19" s="1"/>
  <c r="Z307" i="19" s="1"/>
  <c r="Z308" i="19" s="1"/>
  <c r="Z309" i="19" s="1"/>
  <c r="Z310" i="19" s="1"/>
  <c r="Z311" i="19" s="1"/>
  <c r="Z312" i="19" s="1"/>
  <c r="Z313" i="19" s="1"/>
  <c r="Z314" i="19" s="1"/>
  <c r="Z315" i="19" s="1"/>
  <c r="Z316" i="19" s="1"/>
  <c r="Z317" i="19" s="1"/>
  <c r="Z318" i="19" s="1"/>
  <c r="Z319" i="19" s="1"/>
  <c r="Z320" i="19" s="1"/>
  <c r="Z321" i="19" s="1"/>
  <c r="Z322" i="19" s="1"/>
  <c r="Z323" i="19" s="1"/>
  <c r="Z324" i="19" s="1"/>
  <c r="Z325" i="19" s="1"/>
  <c r="Z326" i="19" s="1"/>
  <c r="Z327" i="19" s="1"/>
  <c r="Z328" i="19" s="1"/>
  <c r="Z329" i="19" s="1"/>
  <c r="Z330" i="19" s="1"/>
  <c r="Z331" i="19" s="1"/>
  <c r="Z332" i="19" s="1"/>
  <c r="Z333" i="19" s="1"/>
  <c r="Z334" i="19" s="1"/>
  <c r="Z335" i="19" s="1"/>
  <c r="Z336" i="19" s="1"/>
  <c r="Z337" i="19" s="1"/>
  <c r="Z338" i="19" s="1"/>
  <c r="Z339" i="19" s="1"/>
  <c r="Z340" i="19" s="1"/>
  <c r="Z341" i="19" s="1"/>
  <c r="Z342" i="19" s="1"/>
  <c r="Z343" i="19" s="1"/>
  <c r="Z344" i="19" s="1"/>
  <c r="Z345" i="19" s="1"/>
  <c r="Z346" i="19" s="1"/>
  <c r="Z347" i="19" s="1"/>
  <c r="Z348" i="19" s="1"/>
  <c r="Z349" i="19" s="1"/>
  <c r="Z350" i="19" s="1"/>
  <c r="Z351" i="19" s="1"/>
  <c r="Z352" i="19" s="1"/>
  <c r="Z353" i="19" s="1"/>
  <c r="Z354" i="19" s="1"/>
  <c r="Z355" i="19" s="1"/>
  <c r="Z356" i="19" s="1"/>
  <c r="Z357" i="19" s="1"/>
  <c r="Z358" i="19" s="1"/>
  <c r="Z359" i="19" s="1"/>
  <c r="Z360" i="19" s="1"/>
  <c r="Z361" i="19" s="1"/>
  <c r="Z362" i="19" s="1"/>
  <c r="Z363" i="19" s="1"/>
  <c r="Z364" i="19" s="1"/>
  <c r="Z365" i="19" s="1"/>
  <c r="Z366" i="19" s="1"/>
  <c r="Z367" i="19" s="1"/>
  <c r="Z368" i="19" s="1"/>
  <c r="Z369" i="19" s="1"/>
  <c r="Z370" i="19" s="1"/>
  <c r="Z371" i="19" s="1"/>
  <c r="Z372" i="19" s="1"/>
  <c r="Z373" i="19" s="1"/>
  <c r="Z374" i="19" s="1"/>
  <c r="Z375" i="19" s="1"/>
  <c r="Z376" i="19" s="1"/>
  <c r="Z377" i="19" s="1"/>
  <c r="Z378" i="19" s="1"/>
  <c r="Z379" i="19" s="1"/>
  <c r="Z380" i="19" s="1"/>
  <c r="Z381" i="19" s="1"/>
  <c r="Z382" i="19" s="1"/>
  <c r="Z383" i="19" s="1"/>
  <c r="Z384" i="19" s="1"/>
  <c r="Z385" i="19" s="1"/>
  <c r="Z386" i="19" s="1"/>
  <c r="Z387" i="19" s="1"/>
  <c r="Z388" i="19" s="1"/>
  <c r="Z389" i="19" s="1"/>
  <c r="Z390" i="19" s="1"/>
  <c r="Z391" i="19" s="1"/>
  <c r="Z392" i="19" s="1"/>
  <c r="Z393" i="19" s="1"/>
  <c r="Z394" i="19" s="1"/>
  <c r="Z395" i="19" s="1"/>
  <c r="Z396" i="19" s="1"/>
  <c r="Z397" i="19" s="1"/>
  <c r="Z398" i="19" s="1"/>
  <c r="Z399" i="19" s="1"/>
  <c r="Z400" i="19" s="1"/>
  <c r="Z401" i="19" s="1"/>
  <c r="Z402" i="19" s="1"/>
  <c r="Z403" i="19" s="1"/>
  <c r="Z404" i="19" s="1"/>
  <c r="Z405" i="19" s="1"/>
  <c r="Z406" i="19" s="1"/>
  <c r="Z407" i="19" s="1"/>
  <c r="Z408" i="19" s="1"/>
  <c r="Z409" i="19" s="1"/>
  <c r="Z410" i="19" s="1"/>
  <c r="Z411" i="19" s="1"/>
  <c r="Z412" i="19" s="1"/>
  <c r="Z413" i="19" s="1"/>
  <c r="Z414" i="19" s="1"/>
  <c r="Z415" i="19" s="1"/>
  <c r="Z416" i="19" s="1"/>
  <c r="Z417" i="19" s="1"/>
  <c r="Z418" i="19" s="1"/>
  <c r="Z419" i="19" s="1"/>
  <c r="Z420" i="19" s="1"/>
  <c r="Z421" i="19" s="1"/>
  <c r="Z422" i="19" s="1"/>
  <c r="Z423" i="19" s="1"/>
  <c r="Z424" i="19" s="1"/>
  <c r="Z425" i="19" s="1"/>
  <c r="Z426" i="19" s="1"/>
  <c r="Z427" i="19" s="1"/>
  <c r="Z428" i="19" s="1"/>
  <c r="Z429" i="19" s="1"/>
  <c r="Z430" i="19" s="1"/>
  <c r="Z431" i="19" s="1"/>
  <c r="Z432" i="19" s="1"/>
  <c r="Z433" i="19" s="1"/>
  <c r="Z434" i="19" s="1"/>
  <c r="Z435" i="19" s="1"/>
  <c r="Z436" i="19" s="1"/>
  <c r="Z437" i="19" s="1"/>
  <c r="Z438" i="19" s="1"/>
  <c r="Z439" i="19" s="1"/>
  <c r="Z440" i="19" s="1"/>
  <c r="Z441" i="19" s="1"/>
  <c r="Z442" i="19" s="1"/>
  <c r="Z443" i="19" s="1"/>
  <c r="Z444" i="19" s="1"/>
  <c r="Z445" i="19" s="1"/>
  <c r="Z446" i="19" s="1"/>
  <c r="Z447" i="19" s="1"/>
  <c r="Z448" i="19" s="1"/>
  <c r="Z449" i="19" s="1"/>
  <c r="Z450" i="19" s="1"/>
  <c r="Z451" i="19" s="1"/>
  <c r="Z452" i="19" s="1"/>
  <c r="Z453" i="19" s="1"/>
  <c r="Z454" i="19" s="1"/>
  <c r="Z455" i="19" s="1"/>
  <c r="Z456" i="19" s="1"/>
  <c r="Z457" i="19" s="1"/>
  <c r="Z458" i="19" s="1"/>
  <c r="Z459" i="19" s="1"/>
  <c r="Z460" i="19" s="1"/>
  <c r="Z461" i="19" s="1"/>
  <c r="Z462" i="19" s="1"/>
  <c r="Z463" i="19" s="1"/>
  <c r="Z464" i="19" s="1"/>
  <c r="Z465" i="19" s="1"/>
  <c r="Z466" i="19" s="1"/>
  <c r="Z467" i="19" s="1"/>
  <c r="Z468" i="19" s="1"/>
  <c r="Z469" i="19" s="1"/>
  <c r="Z470" i="19" s="1"/>
  <c r="Z471" i="19" s="1"/>
  <c r="Z472" i="19" s="1"/>
  <c r="Z473" i="19" s="1"/>
  <c r="Z474" i="19" s="1"/>
  <c r="Z475" i="19" s="1"/>
  <c r="Z476" i="19" s="1"/>
  <c r="Z477" i="19" s="1"/>
  <c r="Z478" i="19" s="1"/>
  <c r="Z479" i="19" s="1"/>
  <c r="Z480" i="19" s="1"/>
  <c r="Z481" i="19" s="1"/>
  <c r="Z482" i="19" s="1"/>
  <c r="Z483" i="19" s="1"/>
  <c r="Z484" i="19" s="1"/>
  <c r="Z485" i="19" s="1"/>
  <c r="Z486" i="19" s="1"/>
  <c r="Z487" i="19" s="1"/>
  <c r="Z488" i="19" s="1"/>
  <c r="Z489" i="19" s="1"/>
  <c r="Z490" i="19" s="1"/>
  <c r="Z491" i="19" s="1"/>
  <c r="Z492" i="19" s="1"/>
  <c r="Z493" i="19" s="1"/>
  <c r="Z494" i="19" s="1"/>
  <c r="Z495" i="19" s="1"/>
  <c r="Z496" i="19" s="1"/>
  <c r="Z497" i="19" s="1"/>
  <c r="Z498" i="19" s="1"/>
  <c r="Z499" i="19" s="1"/>
  <c r="Z500" i="19" s="1"/>
  <c r="Z501" i="19" s="1"/>
  <c r="Z502" i="19" s="1"/>
  <c r="Z503" i="19" s="1"/>
  <c r="Z504" i="19" s="1"/>
  <c r="Z505" i="19" s="1"/>
  <c r="Z506" i="19" s="1"/>
  <c r="Z507" i="19" s="1"/>
  <c r="Z508" i="19" s="1"/>
  <c r="Z509" i="19" s="1"/>
  <c r="Z510" i="19" s="1"/>
  <c r="Z511" i="19" s="1"/>
  <c r="Z512" i="19" s="1"/>
  <c r="Z513" i="19" s="1"/>
  <c r="Z514" i="19" s="1"/>
  <c r="Z515" i="19" s="1"/>
  <c r="Z516" i="19" s="1"/>
  <c r="Z517" i="19" s="1"/>
  <c r="Z518" i="19" s="1"/>
  <c r="Z519" i="19" s="1"/>
  <c r="Z520" i="19" s="1"/>
  <c r="Z521" i="19" s="1"/>
  <c r="Z522" i="19" s="1"/>
  <c r="Z523" i="19" s="1"/>
  <c r="Z524" i="19" s="1"/>
  <c r="Z525" i="19" s="1"/>
  <c r="Z526" i="19" s="1"/>
  <c r="Z527" i="19" s="1"/>
  <c r="Z528" i="19" s="1"/>
  <c r="Z529" i="19" s="1"/>
  <c r="Z530" i="19" s="1"/>
  <c r="Z531" i="19" s="1"/>
  <c r="Z532" i="19" s="1"/>
  <c r="Z533" i="19" s="1"/>
  <c r="Z534" i="19" s="1"/>
  <c r="Z535" i="19" s="1"/>
  <c r="Z536" i="19" s="1"/>
  <c r="Z537" i="19" s="1"/>
  <c r="Z538" i="19" s="1"/>
  <c r="Z539" i="19" s="1"/>
  <c r="Z540" i="19" s="1"/>
  <c r="Z541" i="19" s="1"/>
  <c r="Z542" i="19" s="1"/>
  <c r="Z543" i="19" s="1"/>
  <c r="Z544" i="19" s="1"/>
  <c r="Z545" i="19" s="1"/>
  <c r="Z546" i="19" s="1"/>
  <c r="Z547" i="19" s="1"/>
  <c r="Z548" i="19" s="1"/>
  <c r="Z549" i="19" s="1"/>
  <c r="Z550" i="19" s="1"/>
  <c r="Z551" i="19" s="1"/>
  <c r="Z552" i="19" s="1"/>
  <c r="Z553" i="19" s="1"/>
  <c r="Z554" i="19" s="1"/>
  <c r="Z555" i="19" s="1"/>
  <c r="Z556" i="19" s="1"/>
  <c r="Z557" i="19" s="1"/>
  <c r="Z558" i="19" s="1"/>
  <c r="Z559" i="19" s="1"/>
  <c r="Z560" i="19" s="1"/>
  <c r="Z561" i="19" s="1"/>
  <c r="Z562" i="19" s="1"/>
  <c r="Z563" i="19" s="1"/>
  <c r="Z564" i="19" s="1"/>
  <c r="Z565" i="19" s="1"/>
  <c r="Z566" i="19" s="1"/>
  <c r="Z567" i="19" s="1"/>
  <c r="Z568" i="19" s="1"/>
  <c r="Z569" i="19" s="1"/>
  <c r="Z570" i="19" s="1"/>
  <c r="Z571" i="19" s="1"/>
  <c r="Z572" i="19" s="1"/>
  <c r="Z573" i="19" s="1"/>
  <c r="Z574" i="19" s="1"/>
  <c r="Z575" i="19" s="1"/>
  <c r="Z576" i="19" s="1"/>
  <c r="Z577" i="19" s="1"/>
  <c r="Z578" i="19" s="1"/>
  <c r="Z579" i="19" s="1"/>
  <c r="Z580" i="19" s="1"/>
  <c r="Z581" i="19" s="1"/>
  <c r="Z582" i="19" s="1"/>
  <c r="Z583" i="19" s="1"/>
  <c r="Z584" i="19" s="1"/>
  <c r="Z585" i="19" s="1"/>
  <c r="Z586" i="19" s="1"/>
  <c r="Z587" i="19" s="1"/>
  <c r="Z588" i="19" s="1"/>
  <c r="Z589" i="19" s="1"/>
  <c r="Z590" i="19" s="1"/>
  <c r="Z591" i="19" s="1"/>
  <c r="Z592" i="19" s="1"/>
  <c r="Z593" i="19" s="1"/>
  <c r="Z594" i="19" s="1"/>
  <c r="Z595" i="19" s="1"/>
  <c r="Z596" i="19" s="1"/>
  <c r="Z597" i="19" s="1"/>
  <c r="Z598" i="19" s="1"/>
  <c r="Z599" i="19" s="1"/>
  <c r="Z600" i="19" s="1"/>
  <c r="Z601" i="19" s="1"/>
  <c r="Z602" i="19" s="1"/>
  <c r="Z603" i="19" s="1"/>
  <c r="Z604" i="19" s="1"/>
  <c r="Z605" i="19" s="1"/>
  <c r="Z606" i="19" s="1"/>
  <c r="Z607" i="19" s="1"/>
  <c r="Z608" i="19" s="1"/>
  <c r="Z609" i="19" s="1"/>
  <c r="Z610" i="19" s="1"/>
  <c r="Z611" i="19" s="1"/>
  <c r="Z612" i="19" s="1"/>
  <c r="Z613" i="19" s="1"/>
  <c r="Z614" i="19" s="1"/>
  <c r="Z615" i="19" s="1"/>
  <c r="Z616" i="19" s="1"/>
  <c r="Z617" i="19" s="1"/>
  <c r="Z618" i="19" s="1"/>
  <c r="Z619" i="19" s="1"/>
  <c r="Z620" i="19" s="1"/>
  <c r="Z621" i="19" s="1"/>
  <c r="Z622" i="19" s="1"/>
  <c r="Z623" i="19" s="1"/>
  <c r="Z624" i="19" s="1"/>
  <c r="Z625" i="19" s="1"/>
  <c r="Z626" i="19" s="1"/>
  <c r="Z627" i="19" s="1"/>
  <c r="Z628" i="19" s="1"/>
  <c r="Z629" i="19" s="1"/>
  <c r="Z630" i="19" s="1"/>
  <c r="Z631" i="19" s="1"/>
  <c r="Z632" i="19" s="1"/>
  <c r="Z633" i="19" s="1"/>
  <c r="Z634" i="19" s="1"/>
  <c r="Z635" i="19" s="1"/>
  <c r="Z636" i="19" s="1"/>
  <c r="Z637" i="19" s="1"/>
  <c r="Z638" i="19" s="1"/>
  <c r="Z639" i="19" s="1"/>
  <c r="Z640" i="19" s="1"/>
  <c r="Z641" i="19" s="1"/>
  <c r="Z642" i="19" s="1"/>
  <c r="Z643" i="19" s="1"/>
  <c r="Z644" i="19" s="1"/>
  <c r="Z645" i="19" s="1"/>
  <c r="Z646" i="19" s="1"/>
  <c r="Z647" i="19" s="1"/>
  <c r="Z648" i="19" s="1"/>
  <c r="Z649" i="19" s="1"/>
  <c r="Z650" i="19" s="1"/>
  <c r="Z651" i="19" s="1"/>
  <c r="Z652" i="19" s="1"/>
  <c r="Z653" i="19" s="1"/>
  <c r="Z654" i="19" s="1"/>
  <c r="Z655" i="19" s="1"/>
  <c r="Z656" i="19" s="1"/>
  <c r="Z657" i="19" s="1"/>
  <c r="Z658" i="19" s="1"/>
  <c r="Z659" i="19" s="1"/>
  <c r="Z660" i="19" s="1"/>
  <c r="Z661" i="19" s="1"/>
  <c r="Z662" i="19" s="1"/>
  <c r="Z663" i="19" s="1"/>
  <c r="Z664" i="19" s="1"/>
  <c r="Z665" i="19" s="1"/>
  <c r="Z666" i="19" s="1"/>
  <c r="Z667" i="19" s="1"/>
  <c r="Z668" i="19" s="1"/>
  <c r="Z669" i="19" s="1"/>
  <c r="Z670" i="19" s="1"/>
  <c r="Z671" i="19" s="1"/>
  <c r="Z672" i="19" s="1"/>
  <c r="Z673" i="19" s="1"/>
  <c r="Z674" i="19" s="1"/>
  <c r="Z675" i="19" s="1"/>
  <c r="Z676" i="19" s="1"/>
  <c r="Z677" i="19" s="1"/>
  <c r="Z678" i="19" s="1"/>
  <c r="Z679" i="19" s="1"/>
  <c r="Z680" i="19" s="1"/>
  <c r="Z681" i="19" s="1"/>
  <c r="Z682" i="19" s="1"/>
  <c r="Z683" i="19" s="1"/>
  <c r="Z684" i="19" s="1"/>
  <c r="Z685" i="19" s="1"/>
  <c r="Z686" i="19" s="1"/>
  <c r="Z687" i="19" s="1"/>
  <c r="Z688" i="19" s="1"/>
  <c r="Z689" i="19" s="1"/>
  <c r="Z690" i="19" s="1"/>
  <c r="Z691" i="19" s="1"/>
  <c r="Z692" i="19" s="1"/>
  <c r="Z693" i="19" s="1"/>
  <c r="Z694" i="19" s="1"/>
  <c r="Z695" i="19" s="1"/>
  <c r="Z696" i="19" s="1"/>
  <c r="Z697" i="19" s="1"/>
  <c r="Z698" i="19" s="1"/>
  <c r="Z699" i="19" s="1"/>
  <c r="Z700" i="19" s="1"/>
  <c r="Z701" i="19" s="1"/>
  <c r="Z702" i="19" s="1"/>
  <c r="Z703" i="19" s="1"/>
  <c r="Z704" i="19" s="1"/>
  <c r="Z705" i="19" s="1"/>
  <c r="Z706" i="19" s="1"/>
  <c r="Z707" i="19" s="1"/>
  <c r="Z708" i="19" s="1"/>
  <c r="Z709" i="19" s="1"/>
  <c r="Z710" i="19" s="1"/>
  <c r="Z711" i="19" s="1"/>
  <c r="Z712" i="19" s="1"/>
  <c r="Z713" i="19" s="1"/>
  <c r="Z714" i="19" s="1"/>
  <c r="Z715" i="19" s="1"/>
  <c r="Z716" i="19" s="1"/>
  <c r="Z717" i="19" s="1"/>
  <c r="Z718" i="19" s="1"/>
  <c r="Z719" i="19" s="1"/>
  <c r="Z720" i="19" s="1"/>
  <c r="Z721" i="19" s="1"/>
  <c r="Z722" i="19" s="1"/>
  <c r="Z723" i="19" s="1"/>
  <c r="Z724" i="19" s="1"/>
  <c r="Z725" i="19" s="1"/>
  <c r="Z726" i="19" s="1"/>
  <c r="Z727" i="19" s="1"/>
  <c r="Z728" i="19" s="1"/>
  <c r="Z729" i="19" s="1"/>
  <c r="Z730" i="19" s="1"/>
  <c r="Z731" i="19" s="1"/>
  <c r="Z732" i="19" s="1"/>
  <c r="Z733" i="19" s="1"/>
  <c r="Z734" i="19" s="1"/>
  <c r="Z735" i="19" s="1"/>
  <c r="Z736" i="19" s="1"/>
  <c r="Z737" i="19" s="1"/>
  <c r="Z738" i="19" s="1"/>
  <c r="Z739" i="19" s="1"/>
  <c r="Z740" i="19" s="1"/>
  <c r="Z741" i="19" s="1"/>
  <c r="Z742" i="19" s="1"/>
  <c r="Z743" i="19" s="1"/>
  <c r="Z744" i="19" s="1"/>
  <c r="Z745" i="19" s="1"/>
  <c r="Z746" i="19" s="1"/>
  <c r="Z747" i="19" s="1"/>
  <c r="Z748" i="19" s="1"/>
  <c r="Z749" i="19" s="1"/>
  <c r="Z750" i="19" s="1"/>
  <c r="Z751" i="19" s="1"/>
  <c r="Z752" i="19" s="1"/>
  <c r="Z753" i="19" s="1"/>
  <c r="Z754" i="19" s="1"/>
  <c r="Z755" i="19" s="1"/>
  <c r="Z756" i="19" s="1"/>
  <c r="Z757" i="19" s="1"/>
  <c r="Z758" i="19" s="1"/>
  <c r="Z759" i="19" s="1"/>
  <c r="Z760" i="19" s="1"/>
  <c r="Z761" i="19" s="1"/>
  <c r="Z762" i="19" s="1"/>
  <c r="Z763" i="19" s="1"/>
  <c r="Z764" i="19" s="1"/>
  <c r="Z765" i="19" s="1"/>
  <c r="Z766" i="19" s="1"/>
  <c r="Z767" i="19" s="1"/>
  <c r="Z768" i="19" s="1"/>
  <c r="Z769" i="19" s="1"/>
  <c r="Z770" i="19" s="1"/>
  <c r="Z771" i="19" s="1"/>
  <c r="Z772" i="19" s="1"/>
  <c r="Z773" i="19" s="1"/>
  <c r="Z774" i="19" s="1"/>
  <c r="Z775" i="19" s="1"/>
  <c r="Z776" i="19" s="1"/>
  <c r="Z777" i="19" s="1"/>
  <c r="Z778" i="19" s="1"/>
  <c r="Z779" i="19" s="1"/>
  <c r="Z780" i="19" s="1"/>
  <c r="Z781" i="19" s="1"/>
  <c r="Z782" i="19" s="1"/>
  <c r="Z783" i="19" s="1"/>
  <c r="Z784" i="19" s="1"/>
  <c r="Z785" i="19" s="1"/>
  <c r="Z786" i="19" s="1"/>
  <c r="Z787" i="19" s="1"/>
  <c r="Z788" i="19" s="1"/>
  <c r="Z789" i="19" s="1"/>
  <c r="Z790" i="19" s="1"/>
  <c r="Z791" i="19" s="1"/>
  <c r="Z792" i="19" s="1"/>
  <c r="Z793" i="19" s="1"/>
  <c r="Z794" i="19" s="1"/>
  <c r="Z795" i="19" s="1"/>
  <c r="Z796" i="19" s="1"/>
  <c r="Z797" i="19" s="1"/>
  <c r="Z798" i="19" s="1"/>
  <c r="Z799" i="19" s="1"/>
  <c r="Z800" i="19" s="1"/>
  <c r="Z801" i="19" s="1"/>
  <c r="Z802" i="19" s="1"/>
  <c r="Z803" i="19" s="1"/>
  <c r="Z804" i="19" s="1"/>
  <c r="Z805" i="19" s="1"/>
  <c r="Z806" i="19" s="1"/>
  <c r="Z807" i="19" s="1"/>
  <c r="Z808" i="19" s="1"/>
  <c r="Z809" i="19" s="1"/>
  <c r="Z810" i="19" s="1"/>
  <c r="Z811" i="19" s="1"/>
  <c r="Z812" i="19" s="1"/>
  <c r="Z813" i="19" s="1"/>
  <c r="Z814" i="19" s="1"/>
  <c r="Z815" i="19" s="1"/>
  <c r="Z816" i="19" s="1"/>
  <c r="Z817" i="19" s="1"/>
  <c r="Z818" i="19" s="1"/>
  <c r="Z819" i="19" s="1"/>
  <c r="Z820" i="19" s="1"/>
  <c r="Z821" i="19" s="1"/>
  <c r="Z822" i="19" s="1"/>
  <c r="Z823" i="19" s="1"/>
  <c r="Z824" i="19" s="1"/>
  <c r="Z825" i="19" s="1"/>
  <c r="Z826" i="19" s="1"/>
  <c r="Z827" i="19" s="1"/>
  <c r="Z828" i="19" s="1"/>
  <c r="Z829" i="19" s="1"/>
  <c r="Z830" i="19" s="1"/>
  <c r="Z831" i="19" s="1"/>
  <c r="Z832" i="19" s="1"/>
  <c r="Z833" i="19" s="1"/>
  <c r="Z834" i="19" s="1"/>
  <c r="Z835" i="19" s="1"/>
  <c r="Z836" i="19" s="1"/>
  <c r="Z837" i="19" s="1"/>
  <c r="Z838" i="19" s="1"/>
  <c r="Z839" i="19" s="1"/>
  <c r="Z840" i="19" s="1"/>
  <c r="Z841" i="19" s="1"/>
  <c r="Z842" i="19" s="1"/>
  <c r="Z843" i="19" s="1"/>
  <c r="Z844" i="19" s="1"/>
  <c r="Z845" i="19" s="1"/>
  <c r="Z846" i="19" s="1"/>
  <c r="Z847" i="19" s="1"/>
  <c r="Z848" i="19" s="1"/>
  <c r="Z849" i="19" s="1"/>
  <c r="Z850" i="19" s="1"/>
  <c r="Z851" i="19" s="1"/>
  <c r="Z852" i="19" s="1"/>
  <c r="Z853" i="19" s="1"/>
  <c r="Z854" i="19" s="1"/>
  <c r="Z855" i="19" s="1"/>
  <c r="Z856" i="19" s="1"/>
  <c r="Z857" i="19" s="1"/>
  <c r="Z858" i="19" s="1"/>
  <c r="Z859" i="19" s="1"/>
  <c r="Z860" i="19" s="1"/>
  <c r="Z861" i="19" s="1"/>
  <c r="Z862" i="19" s="1"/>
  <c r="Z863" i="19" s="1"/>
  <c r="Z864" i="19" s="1"/>
  <c r="Z865" i="19" s="1"/>
  <c r="Z866" i="19" s="1"/>
  <c r="Z867" i="19" s="1"/>
  <c r="Z868" i="19" s="1"/>
  <c r="Z869" i="19" s="1"/>
  <c r="Z870" i="19" s="1"/>
  <c r="Z871" i="19" s="1"/>
  <c r="Z872" i="19" s="1"/>
  <c r="Z873" i="19" s="1"/>
  <c r="Z874" i="19" s="1"/>
  <c r="Z875" i="19" s="1"/>
  <c r="Z876" i="19" s="1"/>
  <c r="Z877" i="19" s="1"/>
  <c r="Z878" i="19" s="1"/>
  <c r="Z879" i="19" s="1"/>
  <c r="Z880" i="19" s="1"/>
  <c r="Z881" i="19" s="1"/>
  <c r="Z882" i="19" s="1"/>
  <c r="Z883" i="19" s="1"/>
  <c r="Z884" i="19" s="1"/>
  <c r="Z885" i="19" s="1"/>
  <c r="Z886" i="19" s="1"/>
  <c r="Z887" i="19" s="1"/>
  <c r="Z888" i="19" s="1"/>
  <c r="Z889" i="19" s="1"/>
  <c r="Z890" i="19" s="1"/>
  <c r="Z891" i="19" s="1"/>
  <c r="Z892" i="19" s="1"/>
  <c r="Z893" i="19" s="1"/>
  <c r="Z894" i="19" s="1"/>
  <c r="Z895" i="19" s="1"/>
  <c r="Z896" i="19" s="1"/>
  <c r="Z897" i="19" s="1"/>
  <c r="Z898" i="19" s="1"/>
  <c r="Z899" i="19" s="1"/>
  <c r="Z900" i="19" s="1"/>
  <c r="Z901" i="19" s="1"/>
  <c r="Z902" i="19" s="1"/>
  <c r="Z903" i="19" s="1"/>
  <c r="Z904" i="19" s="1"/>
  <c r="Z905" i="19" s="1"/>
  <c r="Z906" i="19" s="1"/>
  <c r="Z907" i="19" s="1"/>
  <c r="Z908" i="19" s="1"/>
  <c r="Z909" i="19" s="1"/>
  <c r="Z910" i="19" s="1"/>
  <c r="Z911" i="19" s="1"/>
  <c r="Z912" i="19" s="1"/>
  <c r="Z913" i="19" s="1"/>
  <c r="Z914" i="19" s="1"/>
  <c r="Z915" i="19" s="1"/>
  <c r="Z916" i="19" s="1"/>
  <c r="Z917" i="19" s="1"/>
  <c r="Z918" i="19" s="1"/>
  <c r="Z919" i="19" s="1"/>
  <c r="Z920" i="19" s="1"/>
  <c r="Z921" i="19" s="1"/>
  <c r="Z922" i="19" s="1"/>
  <c r="Z923" i="19" s="1"/>
  <c r="Z924" i="19" s="1"/>
  <c r="Z925" i="19" s="1"/>
  <c r="Z926" i="19" s="1"/>
  <c r="Z927" i="19" s="1"/>
  <c r="Z928" i="19" s="1"/>
  <c r="Z929" i="19" s="1"/>
  <c r="Z930" i="19" s="1"/>
  <c r="Z931" i="19" s="1"/>
  <c r="Z932" i="19" s="1"/>
  <c r="Z933" i="19" s="1"/>
  <c r="Z934" i="19" s="1"/>
  <c r="Z935" i="19" s="1"/>
  <c r="Z936" i="19" s="1"/>
  <c r="Z937" i="19" s="1"/>
  <c r="Z938" i="19" s="1"/>
  <c r="Z939" i="19" s="1"/>
  <c r="Z940" i="19" s="1"/>
  <c r="Z941" i="19" s="1"/>
  <c r="Z942" i="19" s="1"/>
  <c r="Z943" i="19" s="1"/>
  <c r="Z944" i="19" s="1"/>
  <c r="Z945" i="19" s="1"/>
  <c r="Z946" i="19" s="1"/>
  <c r="Z947" i="19" s="1"/>
  <c r="Z948" i="19" s="1"/>
  <c r="Z949" i="19" s="1"/>
  <c r="Z950" i="19" s="1"/>
  <c r="Z951" i="19" s="1"/>
  <c r="Z952" i="19" s="1"/>
  <c r="Z953" i="19" s="1"/>
  <c r="Z954" i="19" s="1"/>
  <c r="Z955" i="19" s="1"/>
  <c r="Z956" i="19" s="1"/>
  <c r="Z957" i="19" s="1"/>
  <c r="Z958" i="19" s="1"/>
  <c r="Z959" i="19" s="1"/>
  <c r="Z960" i="19" s="1"/>
  <c r="Z961" i="19" s="1"/>
  <c r="Z962" i="19" s="1"/>
  <c r="Z963" i="19" s="1"/>
  <c r="Z964" i="19" s="1"/>
  <c r="Z965" i="19" s="1"/>
  <c r="Z966" i="19" s="1"/>
  <c r="Z967" i="19" s="1"/>
  <c r="Z968" i="19" s="1"/>
  <c r="Z969" i="19" s="1"/>
  <c r="Z970" i="19" s="1"/>
  <c r="Z971" i="19" s="1"/>
  <c r="Z972" i="19" s="1"/>
  <c r="Z973" i="19" s="1"/>
  <c r="Z974" i="19" s="1"/>
  <c r="Z975" i="19" s="1"/>
  <c r="Z976" i="19" s="1"/>
  <c r="Z977" i="19" s="1"/>
  <c r="Z978" i="19" s="1"/>
  <c r="Z979" i="19" s="1"/>
  <c r="Z980" i="19" s="1"/>
  <c r="Z981" i="19" s="1"/>
  <c r="Z982" i="19" s="1"/>
  <c r="Z983" i="19" s="1"/>
  <c r="Z984" i="19" s="1"/>
  <c r="Z985" i="19" s="1"/>
  <c r="Z986" i="19" s="1"/>
  <c r="Z987" i="19" s="1"/>
  <c r="Z988" i="19" s="1"/>
  <c r="Z989" i="19" s="1"/>
  <c r="Z990" i="19" s="1"/>
  <c r="Z991" i="19" s="1"/>
  <c r="Z992" i="19" s="1"/>
  <c r="Z993" i="19" s="1"/>
  <c r="Z994" i="19" s="1"/>
  <c r="Z995" i="19" s="1"/>
  <c r="Z996" i="19" s="1"/>
  <c r="Z997" i="19" s="1"/>
  <c r="Z998" i="19" s="1"/>
  <c r="Z999" i="19" s="1"/>
  <c r="Z1000" i="19" s="1"/>
  <c r="Z1001" i="19" s="1"/>
  <c r="Z1002" i="19" s="1"/>
  <c r="Z1003" i="19" s="1"/>
  <c r="Z1004" i="19" s="1"/>
  <c r="Z1005" i="19" s="1"/>
  <c r="Z1006" i="19" s="1"/>
  <c r="Z1007" i="19" s="1"/>
  <c r="Z1008" i="19" s="1"/>
  <c r="Z1009" i="19" s="1"/>
  <c r="Z1010" i="19" s="1"/>
  <c r="Z1011" i="19" s="1"/>
  <c r="Z1012" i="19" s="1"/>
  <c r="Z1013" i="19" s="1"/>
  <c r="Z1014" i="19" s="1"/>
  <c r="Z1015" i="19" s="1"/>
  <c r="Z1016" i="19" s="1"/>
  <c r="Z1017" i="19" s="1"/>
  <c r="Z1018" i="19" s="1"/>
  <c r="Z1019" i="19" s="1"/>
  <c r="Z1020" i="19" s="1"/>
  <c r="Z1021" i="19" s="1"/>
  <c r="Z1022" i="19" s="1"/>
  <c r="Z1023" i="19" s="1"/>
  <c r="Z1024" i="19" s="1"/>
  <c r="Z1025" i="19" s="1"/>
  <c r="Z1026" i="19" s="1"/>
  <c r="Z1027" i="19" s="1"/>
  <c r="Z1028" i="19" s="1"/>
  <c r="Z1029" i="19" s="1"/>
  <c r="Z1030" i="19" s="1"/>
  <c r="Z1031" i="19" s="1"/>
  <c r="Z1032" i="19" s="1"/>
  <c r="Z1033" i="19" s="1"/>
  <c r="Z1034" i="19" s="1"/>
  <c r="Z1035" i="19" s="1"/>
  <c r="Z1036" i="19" s="1"/>
  <c r="Z1037" i="19" s="1"/>
  <c r="Z1038" i="19" s="1"/>
  <c r="Z1039" i="19" s="1"/>
  <c r="Z1040" i="19" s="1"/>
  <c r="Z1041" i="19" s="1"/>
  <c r="Z1042" i="19" s="1"/>
  <c r="Z1043" i="19" s="1"/>
  <c r="Z1044" i="19" s="1"/>
  <c r="Z1045" i="19" s="1"/>
  <c r="Z1046" i="19" s="1"/>
  <c r="Z1047" i="19" s="1"/>
  <c r="Z1048" i="19" s="1"/>
  <c r="Z1049" i="19" s="1"/>
  <c r="Z1050" i="19" s="1"/>
  <c r="Z1051" i="19" s="1"/>
  <c r="Z1052" i="19" s="1"/>
  <c r="Z1053" i="19" s="1"/>
  <c r="Z1054" i="19" s="1"/>
  <c r="Z1055" i="19" s="1"/>
  <c r="Z1056" i="19" s="1"/>
  <c r="Z1057" i="19" s="1"/>
  <c r="Z1058" i="19" s="1"/>
  <c r="Z1059" i="19" s="1"/>
  <c r="Z1060" i="19" s="1"/>
  <c r="Z1061" i="19" s="1"/>
  <c r="Z1062" i="19" s="1"/>
  <c r="Z1063" i="19" s="1"/>
  <c r="Z1064" i="19" s="1"/>
  <c r="Z1065" i="19" s="1"/>
  <c r="Z1066" i="19" s="1"/>
  <c r="Z1067" i="19" s="1"/>
  <c r="Z1068" i="19" s="1"/>
  <c r="Z1069" i="19" s="1"/>
  <c r="Z1070" i="19" s="1"/>
  <c r="Z1071" i="19" s="1"/>
  <c r="Z1072" i="19" s="1"/>
  <c r="Z1073" i="19" s="1"/>
  <c r="Z1074" i="19" s="1"/>
  <c r="Z1075" i="19" s="1"/>
  <c r="Z1076" i="19" s="1"/>
  <c r="Z1077" i="19" s="1"/>
  <c r="Z1078" i="19" s="1"/>
  <c r="Z1079" i="19" s="1"/>
  <c r="Z1080" i="19" s="1"/>
  <c r="Z1081" i="19" s="1"/>
  <c r="Z1082" i="19" s="1"/>
  <c r="Z1083" i="19" s="1"/>
  <c r="Z1084" i="19" s="1"/>
  <c r="Z1085" i="19" s="1"/>
  <c r="Z1086" i="19" s="1"/>
  <c r="Z1087" i="19" s="1"/>
  <c r="Z1088" i="19" s="1"/>
  <c r="Z1089" i="19" s="1"/>
  <c r="Z1090" i="19" s="1"/>
  <c r="Z1091" i="19" s="1"/>
  <c r="Z1092" i="19" s="1"/>
  <c r="Z1093" i="19" s="1"/>
  <c r="Z1094" i="19" s="1"/>
  <c r="Z1095" i="19" s="1"/>
  <c r="Z1096" i="19" s="1"/>
  <c r="Z1097" i="19" s="1"/>
  <c r="Z1098" i="19" s="1"/>
  <c r="Z1099" i="19" s="1"/>
  <c r="Z1100" i="19" s="1"/>
  <c r="Z1101" i="19" s="1"/>
  <c r="Z1102" i="19" s="1"/>
  <c r="Z1103" i="19" s="1"/>
  <c r="Z1104" i="19" s="1"/>
  <c r="Z1105" i="19" s="1"/>
  <c r="Z1106" i="19" s="1"/>
  <c r="Z1107" i="19" s="1"/>
  <c r="Z1108" i="19" s="1"/>
  <c r="Z1109" i="19" s="1"/>
  <c r="Z1110" i="19" s="1"/>
  <c r="Z1111" i="19" s="1"/>
  <c r="Z1112" i="19" s="1"/>
  <c r="Z1113" i="19" s="1"/>
  <c r="Z1114" i="19" s="1"/>
  <c r="Z1115" i="19" s="1"/>
  <c r="Z1116" i="19" s="1"/>
  <c r="Z1117" i="19" s="1"/>
  <c r="Z1118" i="19" s="1"/>
  <c r="Z1119" i="19" s="1"/>
  <c r="Z1120" i="19" s="1"/>
  <c r="Z1121" i="19" s="1"/>
  <c r="Z1122" i="19" s="1"/>
  <c r="Z1123" i="19" s="1"/>
  <c r="Z1124" i="19" s="1"/>
  <c r="Z1125" i="19" s="1"/>
  <c r="Z1126" i="19" s="1"/>
  <c r="Z1127" i="19" s="1"/>
  <c r="Z1128" i="19" s="1"/>
  <c r="Z1129" i="19" s="1"/>
  <c r="Z1130" i="19" s="1"/>
  <c r="Z1131" i="19" s="1"/>
  <c r="Z1132" i="19" s="1"/>
  <c r="Z1133" i="19" s="1"/>
  <c r="Z1134" i="19" s="1"/>
  <c r="Z1135" i="19" s="1"/>
  <c r="Z1136" i="19" s="1"/>
  <c r="Z1137" i="19" s="1"/>
  <c r="Z1138" i="19" s="1"/>
  <c r="Z1139" i="19" s="1"/>
  <c r="Z1140" i="19" s="1"/>
  <c r="Z1141" i="19" s="1"/>
  <c r="Z1142" i="19" s="1"/>
  <c r="Z1143" i="19" s="1"/>
  <c r="Z1144" i="19" s="1"/>
  <c r="Z1145" i="19" s="1"/>
  <c r="Z1146" i="19" s="1"/>
  <c r="Z1147" i="19" s="1"/>
  <c r="Z1148" i="19" s="1"/>
  <c r="Z1149" i="19" s="1"/>
  <c r="Z1150" i="19" s="1"/>
  <c r="Z1151" i="19" s="1"/>
  <c r="Z1152" i="19" s="1"/>
  <c r="Z1153" i="19" s="1"/>
  <c r="Z1154" i="19" s="1"/>
  <c r="Z1155" i="19" s="1"/>
  <c r="Z1156" i="19" s="1"/>
  <c r="Z1157" i="19" s="1"/>
  <c r="Z1158" i="19" s="1"/>
  <c r="Z1159" i="19" s="1"/>
  <c r="Z1160" i="19" s="1"/>
  <c r="Z1161" i="19" s="1"/>
  <c r="Z1162" i="19" s="1"/>
  <c r="Z1163" i="19" s="1"/>
  <c r="Z1164" i="19" s="1"/>
  <c r="Z1165" i="19" s="1"/>
  <c r="Z1166" i="19" s="1"/>
  <c r="Z1167" i="19" s="1"/>
  <c r="Z1168" i="19" s="1"/>
  <c r="Z1169" i="19" s="1"/>
  <c r="Z1170" i="19" s="1"/>
  <c r="Z1171" i="19" s="1"/>
  <c r="Z1172" i="19" s="1"/>
  <c r="Z1173" i="19" s="1"/>
  <c r="Z1174" i="19" s="1"/>
  <c r="Z1175" i="19" s="1"/>
  <c r="Z1176" i="19" s="1"/>
  <c r="Z1177" i="19" s="1"/>
  <c r="Z1178" i="19" s="1"/>
  <c r="Z1179" i="19" s="1"/>
  <c r="Z1180" i="19" s="1"/>
  <c r="Z1181" i="19" s="1"/>
  <c r="Z1182" i="19" s="1"/>
  <c r="Z1183" i="19" s="1"/>
  <c r="Z1184" i="19" s="1"/>
  <c r="Z1185" i="19" s="1"/>
  <c r="Z1186" i="19" s="1"/>
  <c r="Z1187" i="19" s="1"/>
  <c r="Z1188" i="19" s="1"/>
  <c r="Z1189" i="19" s="1"/>
  <c r="Z1190" i="19" s="1"/>
  <c r="Z1191" i="19" s="1"/>
  <c r="Z1192" i="19" s="1"/>
  <c r="Z1193" i="19" s="1"/>
  <c r="Z1194" i="19" s="1"/>
  <c r="Z1195" i="19" s="1"/>
  <c r="Z1196" i="19" s="1"/>
  <c r="Z1197" i="19" s="1"/>
  <c r="Z1198" i="19" s="1"/>
  <c r="Z1199" i="19" s="1"/>
  <c r="Z1200" i="19" s="1"/>
  <c r="Z1201" i="19" s="1"/>
  <c r="Z1202" i="19" s="1"/>
  <c r="Z1203" i="19" s="1"/>
  <c r="Z1204" i="19" s="1"/>
  <c r="Z1205" i="19" s="1"/>
  <c r="Z1206" i="19" s="1"/>
  <c r="Z1207" i="19" s="1"/>
  <c r="Z1208" i="19" s="1"/>
  <c r="Z1209" i="19" s="1"/>
  <c r="Z1210" i="19" s="1"/>
  <c r="Z1211" i="19" s="1"/>
  <c r="Z1212" i="19" s="1"/>
  <c r="Z1213" i="19" s="1"/>
  <c r="Z1214" i="19" s="1"/>
  <c r="Z1215" i="19" s="1"/>
  <c r="Z1216" i="19" s="1"/>
  <c r="Z1217" i="19" s="1"/>
  <c r="Z1218" i="19" s="1"/>
  <c r="Z1219" i="19" s="1"/>
  <c r="Z1220" i="19" s="1"/>
  <c r="Z1221" i="19" s="1"/>
  <c r="Z1222" i="19" s="1"/>
  <c r="Z1223" i="19" s="1"/>
  <c r="Z1224" i="19" s="1"/>
  <c r="Z1225" i="19" s="1"/>
  <c r="Z1226" i="19" s="1"/>
  <c r="Z1227" i="19" s="1"/>
  <c r="Z1228" i="19" s="1"/>
  <c r="Z1229" i="19" s="1"/>
  <c r="Z1230" i="19" s="1"/>
  <c r="Z1231" i="19" s="1"/>
  <c r="Z1232" i="19" s="1"/>
  <c r="Z1233" i="19" s="1"/>
  <c r="Z1234" i="19" s="1"/>
  <c r="Z1235" i="19" s="1"/>
  <c r="Z1236" i="19" s="1"/>
  <c r="Z1237" i="19" s="1"/>
  <c r="Z1238" i="19" s="1"/>
  <c r="Z1239" i="19" s="1"/>
  <c r="Z1240" i="19" s="1"/>
  <c r="Z1241" i="19" s="1"/>
  <c r="Z1242" i="19" s="1"/>
  <c r="Z1243" i="19" s="1"/>
  <c r="Z1244" i="19" s="1"/>
  <c r="Z1245" i="19" s="1"/>
  <c r="Z1246" i="19" s="1"/>
  <c r="Z1247" i="19" s="1"/>
  <c r="Z1248" i="19" s="1"/>
  <c r="Z1249" i="19" s="1"/>
  <c r="Z1250" i="19" s="1"/>
  <c r="Z1251" i="19" s="1"/>
  <c r="Z1252" i="19" s="1"/>
  <c r="Z1253" i="19" s="1"/>
  <c r="Z1254" i="19" s="1"/>
  <c r="Z1255" i="19" s="1"/>
  <c r="Z1256" i="19" s="1"/>
  <c r="Z1257" i="19" s="1"/>
  <c r="Z1258" i="19" s="1"/>
  <c r="Z1259" i="19" s="1"/>
  <c r="Z1260" i="19" s="1"/>
  <c r="Z1261" i="19" s="1"/>
  <c r="Z1262" i="19" s="1"/>
  <c r="Z1263" i="19" s="1"/>
  <c r="Z1264" i="19" s="1"/>
  <c r="Z1265" i="19" s="1"/>
  <c r="Z1266" i="19" s="1"/>
  <c r="Z1267" i="19" s="1"/>
  <c r="Z1268" i="19" s="1"/>
  <c r="Z1269" i="19" s="1"/>
  <c r="Z1270" i="19" s="1"/>
  <c r="Z1271" i="19" s="1"/>
  <c r="Z1272" i="19" s="1"/>
  <c r="Z1273" i="19" s="1"/>
  <c r="Z1274" i="19" s="1"/>
  <c r="Z1275" i="19" s="1"/>
  <c r="Z1276" i="19" s="1"/>
  <c r="Z1277" i="19" s="1"/>
  <c r="Z1278" i="19" s="1"/>
  <c r="Z1279" i="19" s="1"/>
  <c r="Z1280" i="19" s="1"/>
  <c r="Z1281" i="19" s="1"/>
  <c r="Z1282" i="19" s="1"/>
  <c r="Z1283" i="19" s="1"/>
  <c r="Z1284" i="19" s="1"/>
  <c r="Z1285" i="19" s="1"/>
  <c r="Z1286" i="19" s="1"/>
  <c r="Z1287" i="19" s="1"/>
  <c r="Z1288" i="19" s="1"/>
  <c r="Z1289" i="19" s="1"/>
  <c r="Z1290" i="19" s="1"/>
  <c r="Z1291" i="19" s="1"/>
  <c r="Z1292" i="19" s="1"/>
  <c r="Z1293" i="19" s="1"/>
  <c r="Z1294" i="19" s="1"/>
  <c r="Z1295" i="19" s="1"/>
  <c r="Z1296" i="19" s="1"/>
  <c r="Z1297" i="19" s="1"/>
  <c r="Z1298" i="19" s="1"/>
  <c r="Z1299" i="19" s="1"/>
  <c r="Z1300" i="19" s="1"/>
  <c r="Z1301" i="19" s="1"/>
  <c r="Z1302" i="19" s="1"/>
  <c r="Z1303" i="19" s="1"/>
  <c r="Z1304" i="19" s="1"/>
  <c r="Z1305" i="19" s="1"/>
  <c r="Z1306" i="19" s="1"/>
  <c r="Z1307" i="19" s="1"/>
  <c r="Z1308" i="19" s="1"/>
  <c r="Z1309" i="19" s="1"/>
  <c r="Z1310" i="19" s="1"/>
  <c r="Z1311" i="19" s="1"/>
  <c r="Z1312" i="19" s="1"/>
  <c r="Z1313" i="19" s="1"/>
  <c r="Z1314" i="19" s="1"/>
  <c r="Z1315" i="19" s="1"/>
  <c r="Z1316" i="19" s="1"/>
  <c r="Z1317" i="19" s="1"/>
  <c r="Z1318" i="19" s="1"/>
  <c r="Z1319" i="19" s="1"/>
  <c r="Z1320" i="19" s="1"/>
  <c r="Z1321" i="19" s="1"/>
  <c r="Z1322" i="19" s="1"/>
  <c r="Z1323" i="19" s="1"/>
  <c r="Z1324" i="19" s="1"/>
  <c r="Z1325" i="19" s="1"/>
  <c r="Z1326" i="19" s="1"/>
  <c r="Z1327" i="19" s="1"/>
  <c r="Z1328" i="19" s="1"/>
  <c r="Z1329" i="19" s="1"/>
  <c r="Z1330" i="19" s="1"/>
  <c r="Z1331" i="19" s="1"/>
  <c r="Z1332" i="19" s="1"/>
  <c r="Z1333" i="19" s="1"/>
  <c r="Z1334" i="19" s="1"/>
  <c r="Z1335" i="19" s="1"/>
  <c r="Z1336" i="19" s="1"/>
  <c r="Z1337" i="19" s="1"/>
  <c r="Z1338" i="19" s="1"/>
  <c r="Z1339" i="19" s="1"/>
  <c r="Z1340" i="19" s="1"/>
  <c r="Z1341" i="19" s="1"/>
  <c r="Z1342" i="19" s="1"/>
  <c r="Z1343" i="19" s="1"/>
  <c r="Z1344" i="19" s="1"/>
  <c r="Z1345" i="19" s="1"/>
  <c r="Z1346" i="19" s="1"/>
  <c r="Z1347" i="19" s="1"/>
  <c r="Z1348" i="19" s="1"/>
  <c r="Z1349" i="19" s="1"/>
  <c r="Z1350" i="19" s="1"/>
  <c r="Z1351" i="19" s="1"/>
  <c r="Z1352" i="19" s="1"/>
  <c r="Z1353" i="19" s="1"/>
  <c r="Z1354" i="19" s="1"/>
  <c r="Z1355" i="19" s="1"/>
  <c r="Z1356" i="19" s="1"/>
  <c r="Z1357" i="19" s="1"/>
  <c r="Z1358" i="19" s="1"/>
  <c r="Z1359" i="19" s="1"/>
  <c r="Z1360" i="19" s="1"/>
  <c r="Z1361" i="19" s="1"/>
  <c r="Z1362" i="19" s="1"/>
  <c r="Z1363" i="19" s="1"/>
  <c r="Z1364" i="19" s="1"/>
  <c r="Z1365" i="19" s="1"/>
  <c r="Z1366" i="19" s="1"/>
  <c r="Z1367" i="19" s="1"/>
  <c r="Z1368" i="19" s="1"/>
  <c r="Z1369" i="19" s="1"/>
  <c r="Z1370" i="19" s="1"/>
  <c r="Z1371" i="19" s="1"/>
  <c r="Z1372" i="19" s="1"/>
  <c r="Z1373" i="19" s="1"/>
  <c r="Z1374" i="19" s="1"/>
  <c r="Z1375" i="19" s="1"/>
  <c r="Z1376" i="19" s="1"/>
  <c r="Z1377" i="19" s="1"/>
  <c r="Z1378" i="19" s="1"/>
  <c r="Z1379" i="19" s="1"/>
  <c r="Z1380" i="19" s="1"/>
  <c r="Z1381" i="19" s="1"/>
  <c r="Z1382" i="19" s="1"/>
  <c r="Z1383" i="19" s="1"/>
  <c r="Z1384" i="19" s="1"/>
  <c r="Z1385" i="19" s="1"/>
  <c r="Z1386" i="19" s="1"/>
  <c r="Z1387" i="19" s="1"/>
  <c r="Z1388" i="19" s="1"/>
  <c r="Z1389" i="19" s="1"/>
  <c r="Z1390" i="19" s="1"/>
  <c r="Z1391" i="19" s="1"/>
  <c r="E2" i="4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<sst xmlns="http://schemas.openxmlformats.org/spreadsheetml/2006/main" count="172" uniqueCount="153">
  <si>
    <t>Selected Material Type</t>
  </si>
  <si>
    <t>Class Location</t>
  </si>
  <si>
    <t>1 (0.617"W, FBE)</t>
  </si>
  <si>
    <t>3 (0.888"W, FBE)</t>
  </si>
  <si>
    <t>2 (0.740"W, FBE)</t>
  </si>
  <si>
    <t>4 (0.740"W, FBE+ARO)</t>
  </si>
  <si>
    <t>5 (0.888"W, FBE+ARO)</t>
  </si>
  <si>
    <t>6 (0.617"W, FBE+ARO)</t>
  </si>
  <si>
    <t>7 (ANSI 600 MIJ)</t>
  </si>
  <si>
    <t>8 (ANSI 900 MIJ)</t>
  </si>
  <si>
    <t>9 (0.888"W, Powercrete)</t>
  </si>
  <si>
    <t>Total</t>
  </si>
  <si>
    <t>Elevation</t>
  </si>
  <si>
    <t>Pipe Wall Thickness</t>
  </si>
  <si>
    <t>Pipe Wall Actual</t>
  </si>
  <si>
    <t>Material</t>
  </si>
  <si>
    <t>SMYS</t>
  </si>
  <si>
    <t>Max Press</t>
  </si>
  <si>
    <t>Test Pressure</t>
  </si>
  <si>
    <t>Elevation Diff from High</t>
  </si>
  <si>
    <t>Begin</t>
  </si>
  <si>
    <t>End</t>
  </si>
  <si>
    <t>Min Press</t>
  </si>
  <si>
    <t>W.T.</t>
  </si>
  <si>
    <t>Grade</t>
  </si>
  <si>
    <t>Elev Diff</t>
  </si>
  <si>
    <t>Comments</t>
  </si>
  <si>
    <t>Maximum Pressure Based on SMYS</t>
  </si>
  <si>
    <t>High Point</t>
  </si>
  <si>
    <t>Low Point</t>
  </si>
  <si>
    <t>Location</t>
  </si>
  <si>
    <t>Max. Pressure</t>
  </si>
  <si>
    <t>Min. Pressure</t>
  </si>
  <si>
    <t>Test Site</t>
  </si>
  <si>
    <t>Max Pressure</t>
  </si>
  <si>
    <t>Min Pressure</t>
  </si>
  <si>
    <t>User Defined Inputs.  Note mileposts must be exact in order to calculate properly</t>
  </si>
  <si>
    <t>Ensure Class Location Minimum Test Requirements are met</t>
  </si>
  <si>
    <t>Volume</t>
  </si>
  <si>
    <t>Station</t>
  </si>
  <si>
    <t>¹First tested section</t>
  </si>
  <si>
    <t>Dewater Location</t>
  </si>
  <si>
    <t>Fill Site</t>
  </si>
  <si>
    <t>Fill</t>
  </si>
  <si>
    <t>Dewater</t>
  </si>
  <si>
    <t>Test Headers</t>
  </si>
  <si>
    <t>Max Head Pressure doesn't include backpressure and/or pressure required to propel dewatering pig</t>
  </si>
  <si>
    <t>Calculations based on user defined inputs.  Verify test site pressures fall within max/min</t>
  </si>
  <si>
    <t>High Elev Pt to end (ft)</t>
  </si>
  <si>
    <t>Dewater Pressure (psi)</t>
  </si>
  <si>
    <t>Air Vol (SCF)</t>
  </si>
  <si>
    <t>Air Vol (SCF)*1000</t>
  </si>
  <si>
    <t>Min Air Vol (SCF)*1000</t>
  </si>
  <si>
    <t>Fill Pressure</t>
  </si>
  <si>
    <t>Air pressure</t>
  </si>
  <si>
    <t>Transferred from Section 3 to 4</t>
  </si>
  <si>
    <t>Total Air required in 4</t>
  </si>
  <si>
    <t>Transferred from Section 4 to 5</t>
  </si>
  <si>
    <t>Total air required in 5</t>
  </si>
  <si>
    <t>Addl Air Required 4 after transfer from 3</t>
  </si>
  <si>
    <t>Addl Air Required 5 after transfer from 4</t>
  </si>
  <si>
    <t>Total air required in 6</t>
  </si>
  <si>
    <t>Addl Air Required 6 after transfer from 5</t>
  </si>
  <si>
    <t>Total Air required in 3</t>
  </si>
  <si>
    <t>Total air required without transfer</t>
  </si>
  <si>
    <t>Air required with transfer</t>
  </si>
  <si>
    <t>Section</t>
  </si>
  <si>
    <t>Dewater steps</t>
  </si>
  <si>
    <t>Backfill SCF air (max-SCF)</t>
  </si>
  <si>
    <t>Dewater air volume (SCF)</t>
  </si>
  <si>
    <t>Fill Time (Hrs)</t>
  </si>
  <si>
    <t>Dewater Time (Hrs)</t>
  </si>
  <si>
    <t>Fill Rate (GPM)</t>
  </si>
  <si>
    <t>Dewater Rate (SCF)</t>
  </si>
  <si>
    <t>Dewater Rate (GPM)</t>
  </si>
  <si>
    <t>Vol/mi (gal)</t>
  </si>
  <si>
    <t>Pig MP</t>
  </si>
  <si>
    <t>6 - Bleed to Maintain max air backpressure at 86 psi to receive fill pig</t>
  </si>
  <si>
    <t>Water volume (gal)</t>
  </si>
  <si>
    <t>1 - Apply 173 psi air backpressure to Test Section 1 &amp; 2</t>
  </si>
  <si>
    <t>Minimum backpressure</t>
  </si>
  <si>
    <t xml:space="preserve">T 1 &amp; 2 backpressure max </t>
  </si>
  <si>
    <t>MP</t>
  </si>
  <si>
    <t>T 1 &amp; 2 backpressure (2)</t>
  </si>
  <si>
    <t>T1 &amp; T2 Pressure volume basis 1 start</t>
  </si>
  <si>
    <t>T1 &amp; T2 Pressure volume basis 1 end</t>
  </si>
  <si>
    <t>2 - Fill from MP 65.40 - Allow backpressure to increase to 343 psi</t>
  </si>
  <si>
    <t xml:space="preserve">5 - Bleed to Maintain max air backpressure at 86 psi </t>
  </si>
  <si>
    <t>1 &amp; 2 Line Fill</t>
  </si>
  <si>
    <t>1 &amp; 2 Dewater</t>
  </si>
  <si>
    <t>1&amp;2 Fill</t>
  </si>
  <si>
    <t>1&amp;2 Dewater</t>
  </si>
  <si>
    <t>Max Air Volume</t>
  </si>
  <si>
    <t>Air Input Rate SCFM</t>
  </si>
  <si>
    <t>Air run time required (hours)</t>
  </si>
  <si>
    <t>Minimum Fill Pressure</t>
  </si>
  <si>
    <t>Applied Backpressure (min)</t>
  </si>
  <si>
    <t>3 - Bleed to Maintain air backpressure at 343 psi (min)</t>
  </si>
  <si>
    <t>4 - Bleed to Maintain air backpressure 273 psi (min)</t>
  </si>
  <si>
    <t>Calculated Dewater flow rate gpm (ave)</t>
  </si>
  <si>
    <t>Assumed Dewater Flow rate gpm (max)</t>
  </si>
  <si>
    <t>Time (min)</t>
  </si>
  <si>
    <t>SCF</t>
  </si>
  <si>
    <t>SCF reqd</t>
  </si>
  <si>
    <t>SCF min</t>
  </si>
  <si>
    <t>Air test 1</t>
  </si>
  <si>
    <t>Air test 2</t>
  </si>
  <si>
    <t>Max Pig Speed (fpm)</t>
  </si>
  <si>
    <t>Max Pig speed (miles/min)</t>
  </si>
  <si>
    <t>Vol/mi (ft3)</t>
  </si>
  <si>
    <t>Pig location MP</t>
  </si>
  <si>
    <t>Water Volume discharged (gal)</t>
  </si>
  <si>
    <t>Air pressure (min)</t>
  </si>
  <si>
    <t>Water Backpressure (max)</t>
  </si>
  <si>
    <t>Water backpressure (min)</t>
  </si>
  <si>
    <t>Execution Steps</t>
  </si>
  <si>
    <t>1 - Begin dewater &amp; Maintain dewater backpressure at 305 psi min</t>
  </si>
  <si>
    <t>Dewater air pressure (psi)</t>
  </si>
  <si>
    <t>Water volume discharged (gal)</t>
  </si>
  <si>
    <t>2 - Decrease dewater backpressure to 286 psi (min)</t>
  </si>
  <si>
    <t>3 - Decrease dewater backpressure to 264 psi (min)</t>
  </si>
  <si>
    <t>4 - Decrease dewater backpressure to 231 psi (min)</t>
  </si>
  <si>
    <t>5 - Decrease dewater backpressure to 189 psi (min)</t>
  </si>
  <si>
    <t>6 - Decrease dewater backpressure to 179 psi (min)</t>
  </si>
  <si>
    <t>7 - Decrease dewater backpressure to 176 psi (min)</t>
  </si>
  <si>
    <t>10 - Decrease dewater backpressure to 162 psi (min)</t>
  </si>
  <si>
    <t>8 - Stop air input for dewater</t>
  </si>
  <si>
    <t>9 - Decrease dewater backpressure to 172 psi (min)</t>
  </si>
  <si>
    <t>11 - Decrease dewater backpressure to 148 psi (min)</t>
  </si>
  <si>
    <t>12 - Decrease dewater pressure to receive dewater pig</t>
  </si>
  <si>
    <t>Survey Station</t>
  </si>
  <si>
    <t>Survey Elevation</t>
  </si>
  <si>
    <t>Survey Joint Length</t>
  </si>
  <si>
    <t>Adjust based on pressure window desired</t>
  </si>
  <si>
    <t>Minimum Test Press</t>
  </si>
  <si>
    <t>Maximum Test Pressure</t>
  </si>
  <si>
    <t>Stationing</t>
  </si>
  <si>
    <t>Static Head Pressure</t>
  </si>
  <si>
    <t>Cumulative Volume</t>
  </si>
  <si>
    <t>Low Point Elevation</t>
  </si>
  <si>
    <t>High Point Elevation</t>
  </si>
  <si>
    <t>Dead Weight Elevation</t>
  </si>
  <si>
    <t>Minimum</t>
  </si>
  <si>
    <t>Maximum</t>
  </si>
  <si>
    <t>Calc. Backpressure (psi)</t>
  </si>
  <si>
    <t>Start MP</t>
  </si>
  <si>
    <t>End MP</t>
  </si>
  <si>
    <t>Length</t>
  </si>
  <si>
    <t>Fill Volume</t>
  </si>
  <si>
    <t>Squeeze</t>
  </si>
  <si>
    <t>Test Section 5</t>
  </si>
  <si>
    <t>Hugh Brinson Spread 5 Test Section 5</t>
  </si>
  <si>
    <t>TS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</si>
</sst>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#\+##"/>
    <numFmt numFmtId="165" formatCode="#,##0\ &quot;ft&quot;"/>
    <numFmt numFmtId="166" formatCode="0.0"/>
    <numFmt numFmtId="167" formatCode="0.000"/>
    <numFmt numFmtId="168" formatCode="#,##0\ &quot;psi&quot;"/>
    <numFmt numFmtId="169" formatCode="#,##0\ &quot;gal&quot;"/>
    <numFmt numFmtId="170" formatCode="####\+##"/>
    <numFmt numFmtId="171" formatCode="#,##0.0\ &quot;psi&quot;"/>
    <numFmt numFmtId="172" formatCode="0.0%"/>
    <numFmt numFmtId="173" formatCode="#,##0.0\ &quot;ft&quot;"/>
    <numFmt numFmtId="174" formatCode="00\+00"/>
  </numFmts>
  <fonts count="26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theme="1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43" fontId="7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11" applyNumberFormat="0" applyFill="0" applyAlignment="0" applyProtection="0"/>
    <xf numFmtId="0" fontId="11" fillId="0" borderId="12" applyNumberFormat="0" applyFill="0" applyAlignment="0" applyProtection="0"/>
    <xf numFmtId="0" fontId="12" fillId="0" borderId="13" applyNumberFormat="0" applyFill="0" applyAlignment="0" applyProtection="0"/>
    <xf numFmtId="0" fontId="12" fillId="0" borderId="0" applyNumberFormat="0" applyFill="0" applyBorder="0" applyAlignment="0" applyProtection="0"/>
    <xf numFmtId="0" fontId="13" fillId="12" borderId="0" applyNumberFormat="0" applyBorder="0" applyAlignment="0" applyProtection="0"/>
    <xf numFmtId="0" fontId="14" fillId="13" borderId="0" applyNumberFormat="0" applyBorder="0" applyAlignment="0" applyProtection="0"/>
    <xf numFmtId="0" fontId="15" fillId="14" borderId="14" applyNumberFormat="0" applyAlignment="0" applyProtection="0"/>
    <xf numFmtId="0" fontId="16" fillId="15" borderId="15" applyNumberFormat="0" applyAlignment="0" applyProtection="0"/>
    <xf numFmtId="0" fontId="17" fillId="15" borderId="14" applyNumberFormat="0" applyAlignment="0" applyProtection="0"/>
    <xf numFmtId="0" fontId="18" fillId="0" borderId="16" applyNumberFormat="0" applyFill="0" applyAlignment="0" applyProtection="0"/>
    <xf numFmtId="0" fontId="19" fillId="16" borderId="17" applyNumberFormat="0" applyAlignment="0" applyProtection="0"/>
    <xf numFmtId="0" fontId="5" fillId="0" borderId="0" applyNumberFormat="0" applyFill="0" applyBorder="0" applyAlignment="0" applyProtection="0"/>
    <xf numFmtId="0" fontId="7" fillId="17" borderId="18" applyNumberFormat="0" applyFont="0" applyAlignment="0" applyProtection="0"/>
    <xf numFmtId="0" fontId="20" fillId="0" borderId="0" applyNumberFormat="0" applyFill="0" applyBorder="0" applyAlignment="0" applyProtection="0"/>
    <xf numFmtId="0" fontId="4" fillId="0" borderId="19" applyNumberFormat="0" applyFill="0" applyAlignment="0" applyProtection="0"/>
    <xf numFmtId="0" fontId="21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1" borderId="0" applyNumberFormat="0" applyBorder="0" applyAlignment="0" applyProtection="0"/>
    <xf numFmtId="0" fontId="21" fillId="2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21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29" borderId="0" applyNumberFormat="0" applyBorder="0" applyAlignment="0" applyProtection="0"/>
    <xf numFmtId="0" fontId="21" fillId="30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21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21" fillId="38" borderId="0" applyNumberFormat="0" applyBorder="0" applyAlignment="0" applyProtection="0"/>
    <xf numFmtId="0" fontId="7" fillId="39" borderId="0" applyNumberFormat="0" applyBorder="0" applyAlignment="0" applyProtection="0"/>
    <xf numFmtId="0" fontId="7" fillId="40" borderId="0" applyNumberFormat="0" applyBorder="0" applyAlignment="0" applyProtection="0"/>
    <xf numFmtId="0" fontId="7" fillId="41" borderId="0" applyNumberFormat="0" applyBorder="0" applyAlignment="0" applyProtection="0"/>
    <xf numFmtId="9" fontId="7" fillId="0" borderId="0" applyFont="0" applyFill="0" applyBorder="0" applyAlignment="0" applyProtection="0"/>
  </cellStyleXfs>
  <cellXfs count="122">
    <xf numFmtId="0" fontId="0" fillId="0" borderId="0" xfId="0"/>
    <xf numFmtId="0" fontId="3" fillId="0" borderId="0" xfId="0" applyFont="1"/>
    <xf numFmtId="0" fontId="0" fillId="4" borderId="2" xfId="0" applyFill="1" applyBorder="1"/>
    <xf numFmtId="165" fontId="0" fillId="0" borderId="2" xfId="0" applyNumberFormat="1" applyBorder="1"/>
    <xf numFmtId="165" fontId="4" fillId="0" borderId="3" xfId="0" applyNumberFormat="1" applyFont="1" applyBorder="1"/>
    <xf numFmtId="0" fontId="4" fillId="3" borderId="2" xfId="0" applyFont="1" applyFill="1" applyBorder="1"/>
    <xf numFmtId="165" fontId="0" fillId="0" borderId="4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left"/>
    </xf>
    <xf numFmtId="166" fontId="0" fillId="0" borderId="2" xfId="0" applyNumberForma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166" fontId="0" fillId="0" borderId="2" xfId="0" applyNumberFormat="1" applyBorder="1" applyAlignment="1">
      <alignment horizontal="right"/>
    </xf>
    <xf numFmtId="0" fontId="0" fillId="4" borderId="0" xfId="0" applyFill="1"/>
    <xf numFmtId="167" fontId="2" fillId="6" borderId="2" xfId="0" applyNumberFormat="1" applyFont="1" applyFill="1" applyBorder="1" applyAlignment="1">
      <alignment horizontal="center"/>
    </xf>
    <xf numFmtId="1" fontId="2" fillId="6" borderId="2" xfId="0" applyNumberFormat="1" applyFont="1" applyFill="1" applyBorder="1" applyAlignment="1">
      <alignment horizontal="center"/>
    </xf>
    <xf numFmtId="164" fontId="3" fillId="6" borderId="2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Alignment="1">
      <alignment horizontal="center"/>
    </xf>
    <xf numFmtId="164" fontId="3" fillId="5" borderId="1" xfId="0" applyNumberFormat="1" applyFont="1" applyFill="1" applyBorder="1" applyAlignment="1">
      <alignment horizontal="center" vertical="center" wrapText="1"/>
    </xf>
    <xf numFmtId="168" fontId="0" fillId="5" borderId="2" xfId="0" applyNumberFormat="1" applyFill="1" applyBorder="1" applyAlignment="1">
      <alignment horizontal="center"/>
    </xf>
    <xf numFmtId="168" fontId="0" fillId="5" borderId="0" xfId="0" applyNumberFormat="1" applyFill="1"/>
    <xf numFmtId="0" fontId="6" fillId="0" borderId="0" xfId="0" applyFont="1" applyAlignment="1">
      <alignment horizontal="center"/>
    </xf>
    <xf numFmtId="0" fontId="5" fillId="0" borderId="0" xfId="0" applyFont="1"/>
    <xf numFmtId="0" fontId="8" fillId="0" borderId="0" xfId="0" applyFont="1"/>
    <xf numFmtId="0" fontId="4" fillId="0" borderId="6" xfId="0" applyFont="1" applyBorder="1"/>
    <xf numFmtId="168" fontId="4" fillId="5" borderId="2" xfId="0" applyNumberFormat="1" applyFont="1" applyFill="1" applyBorder="1" applyAlignment="1">
      <alignment horizontal="center"/>
    </xf>
    <xf numFmtId="170" fontId="0" fillId="0" borderId="0" xfId="0" applyNumberFormat="1"/>
    <xf numFmtId="169" fontId="0" fillId="0" borderId="0" xfId="0" applyNumberFormat="1"/>
    <xf numFmtId="0" fontId="0" fillId="11" borderId="2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0" xfId="0" applyAlignment="1">
      <alignment wrapText="1"/>
    </xf>
    <xf numFmtId="1" fontId="0" fillId="0" borderId="0" xfId="0" applyNumberFormat="1"/>
    <xf numFmtId="2" fontId="0" fillId="0" borderId="0" xfId="0" applyNumberFormat="1"/>
    <xf numFmtId="2" fontId="0" fillId="9" borderId="0" xfId="0" applyNumberFormat="1" applyFill="1"/>
    <xf numFmtId="1" fontId="0" fillId="9" borderId="0" xfId="0" applyNumberFormat="1" applyFill="1"/>
    <xf numFmtId="0" fontId="0" fillId="9" borderId="0" xfId="0" applyFill="1"/>
    <xf numFmtId="0" fontId="0" fillId="10" borderId="0" xfId="0" applyFill="1"/>
    <xf numFmtId="2" fontId="0" fillId="10" borderId="0" xfId="0" applyNumberFormat="1" applyFill="1"/>
    <xf numFmtId="2" fontId="0" fillId="0" borderId="0" xfId="0" applyNumberFormat="1" applyAlignment="1">
      <alignment wrapText="1"/>
    </xf>
    <xf numFmtId="0" fontId="4" fillId="0" borderId="2" xfId="0" applyFont="1" applyBorder="1" applyAlignment="1">
      <alignment horizontal="left"/>
    </xf>
    <xf numFmtId="0" fontId="2" fillId="0" borderId="0" xfId="0" applyFont="1" applyAlignment="1">
      <alignment horizontal="center"/>
    </xf>
    <xf numFmtId="164" fontId="2" fillId="5" borderId="1" xfId="0" applyNumberFormat="1" applyFont="1" applyFill="1" applyBorder="1" applyAlignment="1">
      <alignment horizontal="center" vertical="center" wrapText="1"/>
    </xf>
    <xf numFmtId="0" fontId="2" fillId="0" borderId="0" xfId="0" applyFont="1"/>
    <xf numFmtId="2" fontId="3" fillId="11" borderId="1" xfId="0" applyNumberFormat="1" applyFont="1" applyFill="1" applyBorder="1" applyAlignment="1">
      <alignment horizontal="center" vertical="center" wrapText="1"/>
    </xf>
    <xf numFmtId="2" fontId="3" fillId="0" borderId="0" xfId="0" applyNumberFormat="1" applyFont="1"/>
    <xf numFmtId="164" fontId="0" fillId="5" borderId="2" xfId="0" applyNumberFormat="1" applyFill="1" applyBorder="1"/>
    <xf numFmtId="164" fontId="0" fillId="8" borderId="2" xfId="0" applyNumberFormat="1" applyFill="1" applyBorder="1" applyAlignment="1">
      <alignment horizontal="center"/>
    </xf>
    <xf numFmtId="0" fontId="0" fillId="11" borderId="0" xfId="0" applyFill="1"/>
    <xf numFmtId="171" fontId="0" fillId="5" borderId="2" xfId="0" applyNumberFormat="1" applyFill="1" applyBorder="1" applyAlignment="1">
      <alignment horizontal="center"/>
    </xf>
    <xf numFmtId="173" fontId="0" fillId="5" borderId="2" xfId="0" applyNumberFormat="1" applyFill="1" applyBorder="1" applyAlignment="1">
      <alignment horizontal="center"/>
    </xf>
    <xf numFmtId="173" fontId="0" fillId="5" borderId="2" xfId="0" applyNumberFormat="1" applyFill="1" applyBorder="1"/>
    <xf numFmtId="171" fontId="0" fillId="5" borderId="6" xfId="0" applyNumberFormat="1" applyFill="1" applyBorder="1" applyAlignment="1">
      <alignment horizontal="center"/>
    </xf>
    <xf numFmtId="173" fontId="0" fillId="5" borderId="0" xfId="0" applyNumberFormat="1" applyFill="1"/>
    <xf numFmtId="173" fontId="0" fillId="0" borderId="2" xfId="0" applyNumberFormat="1" applyBorder="1"/>
    <xf numFmtId="168" fontId="0" fillId="0" borderId="2" xfId="0" applyNumberFormat="1" applyBorder="1"/>
    <xf numFmtId="174" fontId="0" fillId="7" borderId="2" xfId="0" applyNumberFormat="1" applyFill="1" applyBorder="1" applyAlignment="1">
      <alignment horizontal="center"/>
    </xf>
    <xf numFmtId="174" fontId="0" fillId="8" borderId="2" xfId="0" applyNumberFormat="1" applyFill="1" applyBorder="1" applyAlignment="1">
      <alignment horizontal="center"/>
    </xf>
    <xf numFmtId="0" fontId="22" fillId="43" borderId="21" xfId="0" applyFont="1" applyFill="1" applyBorder="1" applyAlignment="1">
      <alignment horizontal="left" vertical="top" wrapText="1" indent="1"/>
    </xf>
    <xf numFmtId="0" fontId="22" fillId="43" borderId="21" xfId="0" applyFont="1" applyFill="1" applyBorder="1" applyAlignment="1">
      <alignment horizontal="center" vertical="top" wrapText="1"/>
    </xf>
    <xf numFmtId="0" fontId="22" fillId="43" borderId="22" xfId="0" applyFont="1" applyFill="1" applyBorder="1" applyAlignment="1">
      <alignment horizontal="center" vertical="top" wrapText="1"/>
    </xf>
    <xf numFmtId="3" fontId="24" fillId="42" borderId="2" xfId="0" applyNumberFormat="1" applyFont="1" applyFill="1" applyBorder="1" applyAlignment="1">
      <alignment horizontal="center" vertical="top" wrapText="1"/>
    </xf>
    <xf numFmtId="3" fontId="24" fillId="42" borderId="20" xfId="0" applyNumberFormat="1" applyFont="1" applyFill="1" applyBorder="1" applyAlignment="1">
      <alignment horizontal="center" vertical="top" wrapText="1"/>
    </xf>
    <xf numFmtId="170" fontId="24" fillId="42" borderId="2" xfId="0" applyNumberFormat="1" applyFont="1" applyFill="1" applyBorder="1" applyAlignment="1">
      <alignment horizontal="center" vertical="top" wrapText="1"/>
    </xf>
    <xf numFmtId="43" fontId="24" fillId="42" borderId="2" xfId="2" applyFont="1" applyFill="1" applyBorder="1" applyAlignment="1">
      <alignment horizontal="center" vertical="top" wrapText="1"/>
    </xf>
    <xf numFmtId="0" fontId="4" fillId="0" borderId="0" xfId="0" applyFont="1"/>
    <xf numFmtId="0" fontId="4" fillId="0" borderId="0" xfId="0" applyFont="1" applyAlignment="1">
      <alignment horizontal="center"/>
    </xf>
    <xf numFmtId="165" fontId="0" fillId="0" borderId="0" xfId="0" applyNumberFormat="1"/>
    <xf numFmtId="165" fontId="4" fillId="0" borderId="0" xfId="0" applyNumberFormat="1" applyFont="1"/>
    <xf numFmtId="0" fontId="25" fillId="0" borderId="10" xfId="0" applyFont="1" applyBorder="1" applyAlignment="1">
      <alignment wrapText="1"/>
    </xf>
    <xf numFmtId="166" fontId="25" fillId="0" borderId="6" xfId="0" applyNumberFormat="1" applyFont="1" applyBorder="1"/>
    <xf numFmtId="0" fontId="25" fillId="0" borderId="0" xfId="0" applyFont="1"/>
    <xf numFmtId="171" fontId="0" fillId="11" borderId="2" xfId="0" applyNumberFormat="1" applyFill="1" applyBorder="1" applyAlignment="1">
      <alignment horizontal="center"/>
    </xf>
    <xf numFmtId="171" fontId="0" fillId="11" borderId="6" xfId="0" applyNumberFormat="1" applyFill="1" applyBorder="1" applyAlignment="1">
      <alignment horizontal="center"/>
    </xf>
    <xf numFmtId="0" fontId="0" fillId="0" borderId="10" xfId="0" applyBorder="1" applyAlignment="1">
      <alignment wrapText="1"/>
    </xf>
    <xf numFmtId="16" fontId="23" fillId="42" borderId="2" xfId="0" applyNumberFormat="1" applyFont="1" applyFill="1" applyBorder="1" applyAlignment="1">
      <alignment horizontal="center" vertical="top" wrapText="1"/>
    </xf>
    <xf numFmtId="1" fontId="0" fillId="0" borderId="24" xfId="0" applyNumberFormat="1" applyBorder="1" applyAlignment="1">
      <alignment horizontal="center"/>
    </xf>
    <xf numFmtId="2" fontId="2" fillId="6" borderId="2" xfId="0" applyNumberFormat="1" applyFont="1" applyFill="1" applyBorder="1" applyAlignment="1">
      <alignment horizontal="center"/>
    </xf>
    <xf numFmtId="166" fontId="0" fillId="0" borderId="23" xfId="0" applyNumberFormat="1" applyBorder="1" applyAlignment="1">
      <alignment horizontal="center"/>
    </xf>
    <xf numFmtId="43" fontId="2" fillId="0" borderId="0" xfId="2" applyFont="1" applyAlignment="1">
      <alignment horizontal="center"/>
    </xf>
    <xf numFmtId="164" fontId="25" fillId="0" borderId="2" xfId="0" applyNumberFormat="1" applyFont="1" applyBorder="1"/>
    <xf numFmtId="166" fontId="25" fillId="0" borderId="2" xfId="0" applyNumberFormat="1" applyFont="1" applyBorder="1"/>
    <xf numFmtId="166" fontId="2" fillId="0" borderId="2" xfId="0" applyNumberFormat="1" applyFont="1" applyBorder="1" applyAlignment="1">
      <alignment horizontal="center"/>
    </xf>
    <xf numFmtId="172" fontId="25" fillId="0" borderId="2" xfId="43" applyNumberFormat="1" applyFont="1" applyFill="1" applyBorder="1"/>
    <xf numFmtId="166" fontId="25" fillId="11" borderId="2" xfId="0" applyNumberFormat="1" applyFont="1" applyFill="1" applyBorder="1"/>
    <xf numFmtId="174" fontId="3" fillId="11" borderId="1" xfId="0" applyNumberFormat="1" applyFont="1" applyFill="1" applyBorder="1" applyAlignment="1">
      <alignment horizontal="center" vertical="center" wrapText="1"/>
    </xf>
    <xf numFmtId="174" fontId="3" fillId="0" borderId="0" xfId="0" applyNumberFormat="1" applyFont="1"/>
    <xf numFmtId="2" fontId="2" fillId="11" borderId="1" xfId="0" applyNumberFormat="1" applyFont="1" applyFill="1" applyBorder="1" applyAlignment="1">
      <alignment horizontal="center" vertical="center" wrapText="1"/>
    </xf>
    <xf numFmtId="2" fontId="2" fillId="0" borderId="0" xfId="0" applyNumberFormat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 applyAlignment="1">
      <alignment horizontal="right"/>
    </xf>
    <xf numFmtId="167" fontId="0" fillId="0" borderId="0" xfId="0" applyNumberFormat="1" applyAlignment="1">
      <alignment horizontal="center"/>
    </xf>
    <xf numFmtId="0" fontId="0" fillId="0" borderId="23" xfId="0" applyBorder="1"/>
    <xf numFmtId="0" fontId="0" fillId="42" borderId="23" xfId="0" applyFill="1" applyBorder="1"/>
    <xf numFmtId="0" fontId="0" fillId="9" borderId="23" xfId="0" applyFill="1" applyBorder="1"/>
    <xf numFmtId="174" fontId="0" fillId="0" borderId="25" xfId="0" applyNumberFormat="1" applyBorder="1"/>
    <xf numFmtId="174" fontId="0" fillId="42" borderId="25" xfId="0" applyNumberFormat="1" applyFill="1" applyBorder="1"/>
    <xf numFmtId="174" fontId="0" fillId="9" borderId="25" xfId="0" applyNumberFormat="1" applyFill="1" applyBorder="1"/>
    <xf numFmtId="0" fontId="0" fillId="0" borderId="2" xfId="0" applyBorder="1" applyAlignment="1">
      <alignment horizontal="right"/>
    </xf>
    <xf numFmtId="0" fontId="4" fillId="7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4" fillId="11" borderId="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168" fontId="4" fillId="5" borderId="2" xfId="0" applyNumberFormat="1" applyFont="1" applyFill="1" applyBorder="1" applyAlignment="1">
      <alignment horizontal="center"/>
    </xf>
    <xf numFmtId="168" fontId="0" fillId="5" borderId="6" xfId="0" applyNumberFormat="1" applyFill="1" applyBorder="1" applyAlignment="1">
      <alignment horizontal="center"/>
    </xf>
    <xf numFmtId="168" fontId="0" fillId="5" borderId="7" xfId="0" applyNumberForma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173" fontId="0" fillId="5" borderId="6" xfId="0" applyNumberFormat="1" applyFill="1" applyBorder="1" applyAlignment="1">
      <alignment horizontal="center"/>
    </xf>
    <xf numFmtId="173" fontId="0" fillId="5" borderId="8" xfId="0" applyNumberFormat="1" applyFill="1" applyBorder="1" applyAlignment="1">
      <alignment horizontal="center"/>
    </xf>
    <xf numFmtId="173" fontId="0" fillId="5" borderId="7" xfId="0" applyNumberFormat="1" applyFill="1" applyBorder="1" applyAlignment="1">
      <alignment horizontal="center"/>
    </xf>
    <xf numFmtId="169" fontId="0" fillId="5" borderId="8" xfId="2" applyNumberFormat="1" applyFont="1" applyFill="1" applyBorder="1" applyAlignment="1">
      <alignment horizontal="center"/>
    </xf>
    <xf numFmtId="169" fontId="0" fillId="5" borderId="7" xfId="2" applyNumberFormat="1" applyFont="1" applyFill="1" applyBorder="1" applyAlignment="1">
      <alignment horizontal="center"/>
    </xf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1" builtinId="27" customBuiltin="1"/>
    <cellStyle name="Calculation" xfId="12" builtinId="22" customBuiltin="1"/>
    <cellStyle name="Check Cell" xfId="14" builtinId="23" customBuiltin="1"/>
    <cellStyle name="Comma" xfId="2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3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calcChain" Target="calcChain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2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4.xml"/><Relationship Id="rId10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Spread 5</a:t>
            </a:r>
            <a:r>
              <a:rPr lang="en-US" baseline="0"/>
              <a:t> Test Section 5</a:t>
            </a:r>
            <a:endParaRPr lang="en-US"/>
          </a:p>
        </c:rich>
      </c:tx>
      <c:layout>
        <c:manualLayout>
          <c:xMode val="edge"/>
          <c:yMode val="edge"/>
          <c:x val="0.4132386823191268"/>
          <c:y val="3.216059146879669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3865789534231346E-2"/>
          <c:y val="1.3818300459390412E-2"/>
          <c:w val="0.86484188428897979"/>
          <c:h val="0.9023426648184445"/>
        </c:manualLayout>
      </c:layout>
      <c:scatterChart>
        <c:scatterStyle val="smoothMarker"/>
        <c:varyColors val="0"/>
        <c:ser>
          <c:idx val="3"/>
          <c:order val="0"/>
          <c:tx>
            <c:strRef>
              <c:f>TS!$B$1</c:f>
              <c:strCache>
                <c:ptCount val="1"/>
                <c:pt idx="0">
                  <c:v>Survey Elevation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TS!$N$2:$N$1391</c:f>
              <c:numCache>
                <c:formatCode>#\+##</c:formatCode>
                <c:ptCount val="1390"/>
                <c:pt idx="0">
                  <c:v>95899.92</c:v>
                </c:pt>
                <c:pt idx="1">
                  <c:v>95999.92</c:v>
                </c:pt>
                <c:pt idx="2">
                  <c:v>96099.92</c:v>
                </c:pt>
                <c:pt idx="3">
                  <c:v>96199.92</c:v>
                </c:pt>
                <c:pt idx="4">
                  <c:v>96299.92</c:v>
                </c:pt>
                <c:pt idx="5">
                  <c:v>96399.92</c:v>
                </c:pt>
                <c:pt idx="6">
                  <c:v>96499.92</c:v>
                </c:pt>
                <c:pt idx="7">
                  <c:v>96599.92</c:v>
                </c:pt>
                <c:pt idx="8">
                  <c:v>96699.92</c:v>
                </c:pt>
                <c:pt idx="9">
                  <c:v>96799.92</c:v>
                </c:pt>
                <c:pt idx="10">
                  <c:v>96899.92</c:v>
                </c:pt>
                <c:pt idx="11">
                  <c:v>96999.92</c:v>
                </c:pt>
                <c:pt idx="12">
                  <c:v>97099.92</c:v>
                </c:pt>
                <c:pt idx="13">
                  <c:v>97199.92</c:v>
                </c:pt>
                <c:pt idx="14">
                  <c:v>97299.92</c:v>
                </c:pt>
                <c:pt idx="15">
                  <c:v>97399.92</c:v>
                </c:pt>
                <c:pt idx="16">
                  <c:v>97499.92</c:v>
                </c:pt>
                <c:pt idx="17">
                  <c:v>97599.92</c:v>
                </c:pt>
                <c:pt idx="18">
                  <c:v>97699.92</c:v>
                </c:pt>
                <c:pt idx="19">
                  <c:v>97799.92</c:v>
                </c:pt>
                <c:pt idx="20">
                  <c:v>97899.92</c:v>
                </c:pt>
                <c:pt idx="21">
                  <c:v>97999.92</c:v>
                </c:pt>
                <c:pt idx="22">
                  <c:v>98099.92</c:v>
                </c:pt>
                <c:pt idx="23">
                  <c:v>98199.92</c:v>
                </c:pt>
                <c:pt idx="24">
                  <c:v>98299.92</c:v>
                </c:pt>
                <c:pt idx="25">
                  <c:v>98399.92</c:v>
                </c:pt>
                <c:pt idx="26">
                  <c:v>98499.92</c:v>
                </c:pt>
                <c:pt idx="27">
                  <c:v>98599.92</c:v>
                </c:pt>
                <c:pt idx="28">
                  <c:v>98699.92</c:v>
                </c:pt>
                <c:pt idx="29">
                  <c:v>98799.92</c:v>
                </c:pt>
                <c:pt idx="30">
                  <c:v>98899.92</c:v>
                </c:pt>
                <c:pt idx="31">
                  <c:v>98999.92</c:v>
                </c:pt>
                <c:pt idx="32">
                  <c:v>99099.92</c:v>
                </c:pt>
                <c:pt idx="33">
                  <c:v>99199.92</c:v>
                </c:pt>
                <c:pt idx="34">
                  <c:v>99299.92</c:v>
                </c:pt>
                <c:pt idx="35">
                  <c:v>99399.92</c:v>
                </c:pt>
                <c:pt idx="36">
                  <c:v>99499.92</c:v>
                </c:pt>
                <c:pt idx="37">
                  <c:v>99596.6</c:v>
                </c:pt>
                <c:pt idx="38">
                  <c:v>99599.92</c:v>
                </c:pt>
                <c:pt idx="39">
                  <c:v>99676.6</c:v>
                </c:pt>
                <c:pt idx="40">
                  <c:v>99699.92</c:v>
                </c:pt>
                <c:pt idx="41">
                  <c:v>99799.92</c:v>
                </c:pt>
                <c:pt idx="42">
                  <c:v>99899.92</c:v>
                </c:pt>
                <c:pt idx="43">
                  <c:v>99999.92</c:v>
                </c:pt>
                <c:pt idx="44">
                  <c:v>100093.7</c:v>
                </c:pt>
                <c:pt idx="45">
                  <c:v>100099.92</c:v>
                </c:pt>
                <c:pt idx="46">
                  <c:v>100199.92</c:v>
                </c:pt>
                <c:pt idx="47">
                  <c:v>100299.92</c:v>
                </c:pt>
                <c:pt idx="48">
                  <c:v>100399.92</c:v>
                </c:pt>
                <c:pt idx="49">
                  <c:v>100499.92</c:v>
                </c:pt>
                <c:pt idx="50">
                  <c:v>100599.92</c:v>
                </c:pt>
                <c:pt idx="51">
                  <c:v>100699.92</c:v>
                </c:pt>
                <c:pt idx="52">
                  <c:v>100799.92</c:v>
                </c:pt>
                <c:pt idx="53">
                  <c:v>100899.92</c:v>
                </c:pt>
                <c:pt idx="54">
                  <c:v>100999.92</c:v>
                </c:pt>
                <c:pt idx="55">
                  <c:v>101099.92</c:v>
                </c:pt>
                <c:pt idx="56">
                  <c:v>101199.92</c:v>
                </c:pt>
                <c:pt idx="57">
                  <c:v>101299.92</c:v>
                </c:pt>
                <c:pt idx="58">
                  <c:v>101399.92</c:v>
                </c:pt>
                <c:pt idx="59">
                  <c:v>101499.92</c:v>
                </c:pt>
                <c:pt idx="60">
                  <c:v>101599.92</c:v>
                </c:pt>
                <c:pt idx="61">
                  <c:v>101699.92</c:v>
                </c:pt>
                <c:pt idx="62">
                  <c:v>101799.92</c:v>
                </c:pt>
                <c:pt idx="63">
                  <c:v>101899.92</c:v>
                </c:pt>
                <c:pt idx="64">
                  <c:v>101918.7</c:v>
                </c:pt>
                <c:pt idx="65">
                  <c:v>101999.92</c:v>
                </c:pt>
                <c:pt idx="66">
                  <c:v>102099.92</c:v>
                </c:pt>
                <c:pt idx="67">
                  <c:v>102199.92</c:v>
                </c:pt>
                <c:pt idx="68">
                  <c:v>102299.92</c:v>
                </c:pt>
                <c:pt idx="69">
                  <c:v>102399.92</c:v>
                </c:pt>
                <c:pt idx="70">
                  <c:v>102499.92</c:v>
                </c:pt>
                <c:pt idx="71">
                  <c:v>102599.92</c:v>
                </c:pt>
                <c:pt idx="72">
                  <c:v>102699.92</c:v>
                </c:pt>
                <c:pt idx="73">
                  <c:v>102799.92</c:v>
                </c:pt>
                <c:pt idx="74">
                  <c:v>102899.92</c:v>
                </c:pt>
                <c:pt idx="75">
                  <c:v>102999.92</c:v>
                </c:pt>
                <c:pt idx="76">
                  <c:v>103099.92</c:v>
                </c:pt>
                <c:pt idx="77">
                  <c:v>103199.92</c:v>
                </c:pt>
                <c:pt idx="78">
                  <c:v>103299.92</c:v>
                </c:pt>
                <c:pt idx="79">
                  <c:v>103399.92</c:v>
                </c:pt>
                <c:pt idx="80">
                  <c:v>103499.92</c:v>
                </c:pt>
                <c:pt idx="81">
                  <c:v>103599.92</c:v>
                </c:pt>
                <c:pt idx="82">
                  <c:v>103699.92</c:v>
                </c:pt>
                <c:pt idx="83">
                  <c:v>103799.92</c:v>
                </c:pt>
                <c:pt idx="84">
                  <c:v>103809.3</c:v>
                </c:pt>
                <c:pt idx="85">
                  <c:v>103899.92</c:v>
                </c:pt>
                <c:pt idx="86">
                  <c:v>103929.3</c:v>
                </c:pt>
                <c:pt idx="87">
                  <c:v>103999.92</c:v>
                </c:pt>
                <c:pt idx="88">
                  <c:v>104099.92</c:v>
                </c:pt>
                <c:pt idx="89">
                  <c:v>104199.92</c:v>
                </c:pt>
                <c:pt idx="90">
                  <c:v>104299.92</c:v>
                </c:pt>
                <c:pt idx="91">
                  <c:v>104399.92</c:v>
                </c:pt>
                <c:pt idx="92">
                  <c:v>104499.92</c:v>
                </c:pt>
                <c:pt idx="93">
                  <c:v>104599.92</c:v>
                </c:pt>
                <c:pt idx="94">
                  <c:v>104699.92</c:v>
                </c:pt>
                <c:pt idx="95">
                  <c:v>104799.92</c:v>
                </c:pt>
                <c:pt idx="96">
                  <c:v>104899.92</c:v>
                </c:pt>
                <c:pt idx="97">
                  <c:v>104999.92</c:v>
                </c:pt>
                <c:pt idx="98">
                  <c:v>105099.92</c:v>
                </c:pt>
                <c:pt idx="99">
                  <c:v>105199.92</c:v>
                </c:pt>
                <c:pt idx="100">
                  <c:v>105299.92</c:v>
                </c:pt>
                <c:pt idx="101">
                  <c:v>105399.92</c:v>
                </c:pt>
                <c:pt idx="102">
                  <c:v>105499.92</c:v>
                </c:pt>
                <c:pt idx="103">
                  <c:v>105599.92</c:v>
                </c:pt>
                <c:pt idx="104">
                  <c:v>105699.92</c:v>
                </c:pt>
                <c:pt idx="105">
                  <c:v>105799.92</c:v>
                </c:pt>
                <c:pt idx="106">
                  <c:v>105899.92</c:v>
                </c:pt>
                <c:pt idx="107">
                  <c:v>105999.92</c:v>
                </c:pt>
                <c:pt idx="108">
                  <c:v>106099.92</c:v>
                </c:pt>
                <c:pt idx="109">
                  <c:v>106199.92</c:v>
                </c:pt>
                <c:pt idx="110">
                  <c:v>106299.92</c:v>
                </c:pt>
                <c:pt idx="111">
                  <c:v>106399.92</c:v>
                </c:pt>
                <c:pt idx="112">
                  <c:v>106499.92</c:v>
                </c:pt>
                <c:pt idx="113">
                  <c:v>106599.92</c:v>
                </c:pt>
                <c:pt idx="114">
                  <c:v>106699.92</c:v>
                </c:pt>
                <c:pt idx="115">
                  <c:v>106799.92</c:v>
                </c:pt>
                <c:pt idx="116">
                  <c:v>106899.92</c:v>
                </c:pt>
                <c:pt idx="117">
                  <c:v>106999.92</c:v>
                </c:pt>
                <c:pt idx="118">
                  <c:v>107099.92</c:v>
                </c:pt>
                <c:pt idx="119">
                  <c:v>107199.92</c:v>
                </c:pt>
                <c:pt idx="120">
                  <c:v>107299.92</c:v>
                </c:pt>
                <c:pt idx="121">
                  <c:v>107399.92</c:v>
                </c:pt>
                <c:pt idx="122">
                  <c:v>107499.92</c:v>
                </c:pt>
                <c:pt idx="123">
                  <c:v>107599.92</c:v>
                </c:pt>
                <c:pt idx="124">
                  <c:v>107699.92</c:v>
                </c:pt>
                <c:pt idx="125">
                  <c:v>107799.92</c:v>
                </c:pt>
                <c:pt idx="126">
                  <c:v>107899.92</c:v>
                </c:pt>
                <c:pt idx="127">
                  <c:v>107999.92</c:v>
                </c:pt>
                <c:pt idx="128">
                  <c:v>108099.92</c:v>
                </c:pt>
                <c:pt idx="129">
                  <c:v>108159.1</c:v>
                </c:pt>
                <c:pt idx="130">
                  <c:v>108199.92</c:v>
                </c:pt>
                <c:pt idx="131">
                  <c:v>108299.92</c:v>
                </c:pt>
                <c:pt idx="132">
                  <c:v>108399.92</c:v>
                </c:pt>
                <c:pt idx="133">
                  <c:v>108499.92</c:v>
                </c:pt>
                <c:pt idx="134">
                  <c:v>108599.92</c:v>
                </c:pt>
                <c:pt idx="135">
                  <c:v>108699.92</c:v>
                </c:pt>
                <c:pt idx="136">
                  <c:v>108799.92</c:v>
                </c:pt>
                <c:pt idx="137">
                  <c:v>108899.92</c:v>
                </c:pt>
                <c:pt idx="138">
                  <c:v>108999.92</c:v>
                </c:pt>
                <c:pt idx="139">
                  <c:v>109036</c:v>
                </c:pt>
                <c:pt idx="140">
                  <c:v>109099.92</c:v>
                </c:pt>
                <c:pt idx="141">
                  <c:v>109199.92</c:v>
                </c:pt>
                <c:pt idx="142">
                  <c:v>109299.92</c:v>
                </c:pt>
                <c:pt idx="143">
                  <c:v>109399.92</c:v>
                </c:pt>
                <c:pt idx="144">
                  <c:v>109421</c:v>
                </c:pt>
                <c:pt idx="145">
                  <c:v>109499.92</c:v>
                </c:pt>
                <c:pt idx="146">
                  <c:v>109599.92</c:v>
                </c:pt>
                <c:pt idx="147">
                  <c:v>109699.92</c:v>
                </c:pt>
                <c:pt idx="148">
                  <c:v>109703</c:v>
                </c:pt>
                <c:pt idx="149">
                  <c:v>109799.92</c:v>
                </c:pt>
                <c:pt idx="150">
                  <c:v>109899.92</c:v>
                </c:pt>
                <c:pt idx="151">
                  <c:v>109999.92</c:v>
                </c:pt>
                <c:pt idx="152">
                  <c:v>110099.92</c:v>
                </c:pt>
                <c:pt idx="153">
                  <c:v>110199.92</c:v>
                </c:pt>
                <c:pt idx="154">
                  <c:v>110299.92</c:v>
                </c:pt>
                <c:pt idx="155">
                  <c:v>110399.92</c:v>
                </c:pt>
                <c:pt idx="156">
                  <c:v>110499.92</c:v>
                </c:pt>
                <c:pt idx="157">
                  <c:v>110599.92</c:v>
                </c:pt>
                <c:pt idx="158">
                  <c:v>110688.3</c:v>
                </c:pt>
                <c:pt idx="159">
                  <c:v>110699.92</c:v>
                </c:pt>
                <c:pt idx="160">
                  <c:v>110768.3</c:v>
                </c:pt>
                <c:pt idx="161">
                  <c:v>110799.92</c:v>
                </c:pt>
                <c:pt idx="162">
                  <c:v>110899.92</c:v>
                </c:pt>
                <c:pt idx="163">
                  <c:v>110999.92</c:v>
                </c:pt>
                <c:pt idx="164">
                  <c:v>111099.92</c:v>
                </c:pt>
                <c:pt idx="165">
                  <c:v>111199.92</c:v>
                </c:pt>
                <c:pt idx="166">
                  <c:v>111299.92</c:v>
                </c:pt>
                <c:pt idx="167">
                  <c:v>111399.92</c:v>
                </c:pt>
                <c:pt idx="168">
                  <c:v>111499.92</c:v>
                </c:pt>
                <c:pt idx="169">
                  <c:v>111599.92</c:v>
                </c:pt>
                <c:pt idx="170">
                  <c:v>111699.92</c:v>
                </c:pt>
                <c:pt idx="171">
                  <c:v>111799.92</c:v>
                </c:pt>
                <c:pt idx="172">
                  <c:v>111899.92</c:v>
                </c:pt>
                <c:pt idx="173">
                  <c:v>111999.92</c:v>
                </c:pt>
                <c:pt idx="174">
                  <c:v>112099.92</c:v>
                </c:pt>
                <c:pt idx="175">
                  <c:v>112199.92</c:v>
                </c:pt>
                <c:pt idx="176">
                  <c:v>112299.92</c:v>
                </c:pt>
                <c:pt idx="177">
                  <c:v>112399.92</c:v>
                </c:pt>
                <c:pt idx="178">
                  <c:v>112499.92</c:v>
                </c:pt>
                <c:pt idx="179">
                  <c:v>112599.92</c:v>
                </c:pt>
                <c:pt idx="180">
                  <c:v>112699.92</c:v>
                </c:pt>
                <c:pt idx="181">
                  <c:v>112799.92</c:v>
                </c:pt>
                <c:pt idx="182">
                  <c:v>112899.92</c:v>
                </c:pt>
                <c:pt idx="183">
                  <c:v>112999.92</c:v>
                </c:pt>
                <c:pt idx="184">
                  <c:v>113099.92</c:v>
                </c:pt>
                <c:pt idx="185">
                  <c:v>113199.92</c:v>
                </c:pt>
                <c:pt idx="186">
                  <c:v>113299.92</c:v>
                </c:pt>
                <c:pt idx="187">
                  <c:v>113399.92</c:v>
                </c:pt>
                <c:pt idx="188">
                  <c:v>113499.92</c:v>
                </c:pt>
                <c:pt idx="189">
                  <c:v>113599.92</c:v>
                </c:pt>
                <c:pt idx="190">
                  <c:v>113699.92</c:v>
                </c:pt>
                <c:pt idx="191">
                  <c:v>113799.92</c:v>
                </c:pt>
                <c:pt idx="192">
                  <c:v>113899.92</c:v>
                </c:pt>
                <c:pt idx="193">
                  <c:v>113999.92</c:v>
                </c:pt>
                <c:pt idx="194">
                  <c:v>114057.3</c:v>
                </c:pt>
                <c:pt idx="195">
                  <c:v>114099.92</c:v>
                </c:pt>
                <c:pt idx="196">
                  <c:v>114137.3</c:v>
                </c:pt>
                <c:pt idx="197">
                  <c:v>114199.92</c:v>
                </c:pt>
                <c:pt idx="198">
                  <c:v>114299.92</c:v>
                </c:pt>
                <c:pt idx="199">
                  <c:v>114399.92</c:v>
                </c:pt>
                <c:pt idx="200">
                  <c:v>114499.92</c:v>
                </c:pt>
                <c:pt idx="201">
                  <c:v>114599.92</c:v>
                </c:pt>
                <c:pt idx="202">
                  <c:v>114639.2</c:v>
                </c:pt>
                <c:pt idx="203">
                  <c:v>114699.92</c:v>
                </c:pt>
                <c:pt idx="204">
                  <c:v>114719.2</c:v>
                </c:pt>
                <c:pt idx="205">
                  <c:v>114799.92</c:v>
                </c:pt>
                <c:pt idx="206">
                  <c:v>114899.92</c:v>
                </c:pt>
                <c:pt idx="207">
                  <c:v>114983</c:v>
                </c:pt>
                <c:pt idx="208">
                  <c:v>114999.92</c:v>
                </c:pt>
                <c:pt idx="209">
                  <c:v>115063</c:v>
                </c:pt>
                <c:pt idx="210">
                  <c:v>115099.92</c:v>
                </c:pt>
                <c:pt idx="211">
                  <c:v>115199.92</c:v>
                </c:pt>
                <c:pt idx="212">
                  <c:v>115299.92</c:v>
                </c:pt>
                <c:pt idx="213">
                  <c:v>115399.92</c:v>
                </c:pt>
                <c:pt idx="214">
                  <c:v>115499.92</c:v>
                </c:pt>
                <c:pt idx="215">
                  <c:v>115599.92</c:v>
                </c:pt>
                <c:pt idx="216">
                  <c:v>115676.9</c:v>
                </c:pt>
                <c:pt idx="217">
                  <c:v>115699.92</c:v>
                </c:pt>
                <c:pt idx="218">
                  <c:v>115796.9</c:v>
                </c:pt>
                <c:pt idx="219">
                  <c:v>115799.92</c:v>
                </c:pt>
                <c:pt idx="220">
                  <c:v>115899.92</c:v>
                </c:pt>
                <c:pt idx="221">
                  <c:v>115999.92</c:v>
                </c:pt>
                <c:pt idx="222">
                  <c:v>116090.1</c:v>
                </c:pt>
                <c:pt idx="223">
                  <c:v>116099.92</c:v>
                </c:pt>
                <c:pt idx="224">
                  <c:v>116199.92</c:v>
                </c:pt>
                <c:pt idx="225">
                  <c:v>116299.92</c:v>
                </c:pt>
                <c:pt idx="226">
                  <c:v>116399.92</c:v>
                </c:pt>
                <c:pt idx="227">
                  <c:v>116499.92</c:v>
                </c:pt>
                <c:pt idx="228">
                  <c:v>116599.92</c:v>
                </c:pt>
                <c:pt idx="229">
                  <c:v>116699.92</c:v>
                </c:pt>
                <c:pt idx="230">
                  <c:v>116799.92</c:v>
                </c:pt>
                <c:pt idx="231">
                  <c:v>116899.92</c:v>
                </c:pt>
                <c:pt idx="232">
                  <c:v>116999.92</c:v>
                </c:pt>
                <c:pt idx="233">
                  <c:v>117099.92</c:v>
                </c:pt>
                <c:pt idx="234">
                  <c:v>117199.92</c:v>
                </c:pt>
                <c:pt idx="235">
                  <c:v>117299.92</c:v>
                </c:pt>
                <c:pt idx="236">
                  <c:v>117399.92</c:v>
                </c:pt>
                <c:pt idx="237">
                  <c:v>117499.92</c:v>
                </c:pt>
                <c:pt idx="238">
                  <c:v>117599.92</c:v>
                </c:pt>
                <c:pt idx="239">
                  <c:v>117699.92</c:v>
                </c:pt>
                <c:pt idx="240">
                  <c:v>117799.92</c:v>
                </c:pt>
                <c:pt idx="241">
                  <c:v>117899.92</c:v>
                </c:pt>
                <c:pt idx="242">
                  <c:v>117999.92</c:v>
                </c:pt>
                <c:pt idx="243">
                  <c:v>118099.92</c:v>
                </c:pt>
                <c:pt idx="244">
                  <c:v>118199.92</c:v>
                </c:pt>
                <c:pt idx="245">
                  <c:v>118299.92</c:v>
                </c:pt>
                <c:pt idx="246">
                  <c:v>118399.92</c:v>
                </c:pt>
                <c:pt idx="247">
                  <c:v>118499.92</c:v>
                </c:pt>
                <c:pt idx="248">
                  <c:v>118599.92</c:v>
                </c:pt>
                <c:pt idx="249">
                  <c:v>118690.1</c:v>
                </c:pt>
                <c:pt idx="250">
                  <c:v>118699.92</c:v>
                </c:pt>
                <c:pt idx="251">
                  <c:v>118799.92</c:v>
                </c:pt>
                <c:pt idx="252">
                  <c:v>118899.92</c:v>
                </c:pt>
                <c:pt idx="253">
                  <c:v>118999.92</c:v>
                </c:pt>
                <c:pt idx="254">
                  <c:v>119099.92</c:v>
                </c:pt>
                <c:pt idx="255">
                  <c:v>119199.92</c:v>
                </c:pt>
                <c:pt idx="256">
                  <c:v>119299.92</c:v>
                </c:pt>
                <c:pt idx="257">
                  <c:v>119399.92</c:v>
                </c:pt>
                <c:pt idx="258">
                  <c:v>119499.92</c:v>
                </c:pt>
                <c:pt idx="259">
                  <c:v>119599.92</c:v>
                </c:pt>
                <c:pt idx="260">
                  <c:v>119699.92</c:v>
                </c:pt>
                <c:pt idx="261">
                  <c:v>119799.92</c:v>
                </c:pt>
                <c:pt idx="262">
                  <c:v>119899.92</c:v>
                </c:pt>
                <c:pt idx="263">
                  <c:v>119999.92</c:v>
                </c:pt>
                <c:pt idx="264">
                  <c:v>120099.92</c:v>
                </c:pt>
                <c:pt idx="265">
                  <c:v>120199.92</c:v>
                </c:pt>
                <c:pt idx="266">
                  <c:v>120298.2</c:v>
                </c:pt>
                <c:pt idx="267">
                  <c:v>120299.92</c:v>
                </c:pt>
                <c:pt idx="268">
                  <c:v>120378.2</c:v>
                </c:pt>
                <c:pt idx="269">
                  <c:v>120399.92</c:v>
                </c:pt>
                <c:pt idx="270">
                  <c:v>120499.92</c:v>
                </c:pt>
                <c:pt idx="271">
                  <c:v>120599.92</c:v>
                </c:pt>
                <c:pt idx="272">
                  <c:v>120699.92</c:v>
                </c:pt>
                <c:pt idx="273">
                  <c:v>120799.92</c:v>
                </c:pt>
                <c:pt idx="274">
                  <c:v>120899.92</c:v>
                </c:pt>
                <c:pt idx="275">
                  <c:v>120999.92</c:v>
                </c:pt>
                <c:pt idx="276">
                  <c:v>121099.92</c:v>
                </c:pt>
                <c:pt idx="277">
                  <c:v>121199.92</c:v>
                </c:pt>
                <c:pt idx="278">
                  <c:v>121299.92</c:v>
                </c:pt>
                <c:pt idx="279">
                  <c:v>121399.92</c:v>
                </c:pt>
                <c:pt idx="280">
                  <c:v>121499.92</c:v>
                </c:pt>
                <c:pt idx="281">
                  <c:v>121599.92</c:v>
                </c:pt>
                <c:pt idx="282">
                  <c:v>121699.92</c:v>
                </c:pt>
                <c:pt idx="283">
                  <c:v>121799.92</c:v>
                </c:pt>
                <c:pt idx="284">
                  <c:v>121899.92</c:v>
                </c:pt>
                <c:pt idx="285">
                  <c:v>121999.92</c:v>
                </c:pt>
                <c:pt idx="286">
                  <c:v>122099.92</c:v>
                </c:pt>
                <c:pt idx="287">
                  <c:v>122199.92</c:v>
                </c:pt>
                <c:pt idx="288">
                  <c:v>122299.92</c:v>
                </c:pt>
                <c:pt idx="289">
                  <c:v>122399.92</c:v>
                </c:pt>
                <c:pt idx="290">
                  <c:v>122499.92</c:v>
                </c:pt>
                <c:pt idx="291">
                  <c:v>122599.92</c:v>
                </c:pt>
                <c:pt idx="292">
                  <c:v>122699.92</c:v>
                </c:pt>
                <c:pt idx="293">
                  <c:v>122799.92</c:v>
                </c:pt>
                <c:pt idx="294">
                  <c:v>122899.92</c:v>
                </c:pt>
                <c:pt idx="295">
                  <c:v>122999.92</c:v>
                </c:pt>
                <c:pt idx="296">
                  <c:v>123099.92</c:v>
                </c:pt>
                <c:pt idx="297">
                  <c:v>123199.92</c:v>
                </c:pt>
                <c:pt idx="298">
                  <c:v>123215.6</c:v>
                </c:pt>
                <c:pt idx="299">
                  <c:v>123295.6</c:v>
                </c:pt>
                <c:pt idx="300">
                  <c:v>123299.92</c:v>
                </c:pt>
                <c:pt idx="301">
                  <c:v>123399.92</c:v>
                </c:pt>
                <c:pt idx="302">
                  <c:v>123499.92</c:v>
                </c:pt>
                <c:pt idx="303">
                  <c:v>123599.92</c:v>
                </c:pt>
                <c:pt idx="304">
                  <c:v>123699.92</c:v>
                </c:pt>
                <c:pt idx="305">
                  <c:v>123799.92</c:v>
                </c:pt>
                <c:pt idx="306">
                  <c:v>123899.92</c:v>
                </c:pt>
                <c:pt idx="307">
                  <c:v>123999.92</c:v>
                </c:pt>
                <c:pt idx="308">
                  <c:v>124099.92</c:v>
                </c:pt>
                <c:pt idx="309">
                  <c:v>124199.92</c:v>
                </c:pt>
                <c:pt idx="310">
                  <c:v>124299.92</c:v>
                </c:pt>
                <c:pt idx="311">
                  <c:v>124399.92</c:v>
                </c:pt>
                <c:pt idx="312">
                  <c:v>124499.92</c:v>
                </c:pt>
                <c:pt idx="313">
                  <c:v>124599.92</c:v>
                </c:pt>
                <c:pt idx="314">
                  <c:v>124699.92</c:v>
                </c:pt>
                <c:pt idx="315">
                  <c:v>124799.92</c:v>
                </c:pt>
                <c:pt idx="316">
                  <c:v>124899.92</c:v>
                </c:pt>
                <c:pt idx="317">
                  <c:v>124999.92</c:v>
                </c:pt>
                <c:pt idx="318">
                  <c:v>125099.92</c:v>
                </c:pt>
                <c:pt idx="319">
                  <c:v>125156.3</c:v>
                </c:pt>
                <c:pt idx="320">
                  <c:v>125199.92</c:v>
                </c:pt>
                <c:pt idx="321">
                  <c:v>125236.3</c:v>
                </c:pt>
                <c:pt idx="322">
                  <c:v>125299.92</c:v>
                </c:pt>
                <c:pt idx="323">
                  <c:v>125399.92</c:v>
                </c:pt>
                <c:pt idx="324">
                  <c:v>125499.92</c:v>
                </c:pt>
                <c:pt idx="325">
                  <c:v>125599.92</c:v>
                </c:pt>
                <c:pt idx="326">
                  <c:v>125699.92</c:v>
                </c:pt>
                <c:pt idx="327">
                  <c:v>125723.1</c:v>
                </c:pt>
                <c:pt idx="328">
                  <c:v>125798.1</c:v>
                </c:pt>
                <c:pt idx="329">
                  <c:v>125799.92</c:v>
                </c:pt>
                <c:pt idx="330">
                  <c:v>125899.92</c:v>
                </c:pt>
                <c:pt idx="331">
                  <c:v>125915.7</c:v>
                </c:pt>
                <c:pt idx="332">
                  <c:v>125999.92</c:v>
                </c:pt>
                <c:pt idx="333">
                  <c:v>126075.7</c:v>
                </c:pt>
                <c:pt idx="334">
                  <c:v>126099.92</c:v>
                </c:pt>
                <c:pt idx="335">
                  <c:v>126199.92</c:v>
                </c:pt>
                <c:pt idx="336">
                  <c:v>126299.92</c:v>
                </c:pt>
                <c:pt idx="337">
                  <c:v>126399.92</c:v>
                </c:pt>
                <c:pt idx="338">
                  <c:v>126499.92</c:v>
                </c:pt>
                <c:pt idx="339">
                  <c:v>126599.92</c:v>
                </c:pt>
                <c:pt idx="340">
                  <c:v>126699.92</c:v>
                </c:pt>
                <c:pt idx="341">
                  <c:v>126799.92</c:v>
                </c:pt>
                <c:pt idx="342">
                  <c:v>126899.92</c:v>
                </c:pt>
                <c:pt idx="343">
                  <c:v>126999.92</c:v>
                </c:pt>
                <c:pt idx="344">
                  <c:v>127099.92</c:v>
                </c:pt>
                <c:pt idx="345">
                  <c:v>127199.92</c:v>
                </c:pt>
                <c:pt idx="346">
                  <c:v>127299.92</c:v>
                </c:pt>
                <c:pt idx="347">
                  <c:v>127399.92</c:v>
                </c:pt>
                <c:pt idx="348">
                  <c:v>127499.92</c:v>
                </c:pt>
                <c:pt idx="349">
                  <c:v>127599.92</c:v>
                </c:pt>
                <c:pt idx="350">
                  <c:v>127699.92</c:v>
                </c:pt>
                <c:pt idx="351">
                  <c:v>127799.92</c:v>
                </c:pt>
                <c:pt idx="352">
                  <c:v>127899.92</c:v>
                </c:pt>
                <c:pt idx="353">
                  <c:v>127999.92</c:v>
                </c:pt>
                <c:pt idx="354">
                  <c:v>128099.92</c:v>
                </c:pt>
                <c:pt idx="355">
                  <c:v>128199.92</c:v>
                </c:pt>
                <c:pt idx="356">
                  <c:v>128299.92</c:v>
                </c:pt>
                <c:pt idx="357">
                  <c:v>128399.92</c:v>
                </c:pt>
                <c:pt idx="358">
                  <c:v>128499.92</c:v>
                </c:pt>
                <c:pt idx="359">
                  <c:v>128599.92</c:v>
                </c:pt>
                <c:pt idx="360">
                  <c:v>128699.92</c:v>
                </c:pt>
                <c:pt idx="361">
                  <c:v>128799.92</c:v>
                </c:pt>
                <c:pt idx="362">
                  <c:v>128899.92</c:v>
                </c:pt>
                <c:pt idx="363">
                  <c:v>128999.92</c:v>
                </c:pt>
                <c:pt idx="364">
                  <c:v>129099.92</c:v>
                </c:pt>
                <c:pt idx="365">
                  <c:v>129199.92</c:v>
                </c:pt>
                <c:pt idx="366">
                  <c:v>129299.92</c:v>
                </c:pt>
                <c:pt idx="367">
                  <c:v>129399.92</c:v>
                </c:pt>
                <c:pt idx="368">
                  <c:v>129499.92</c:v>
                </c:pt>
                <c:pt idx="369">
                  <c:v>129599.92</c:v>
                </c:pt>
                <c:pt idx="370">
                  <c:v>129699.92</c:v>
                </c:pt>
                <c:pt idx="371">
                  <c:v>129799.92</c:v>
                </c:pt>
                <c:pt idx="372">
                  <c:v>129899.92</c:v>
                </c:pt>
                <c:pt idx="373">
                  <c:v>129918.1</c:v>
                </c:pt>
                <c:pt idx="374">
                  <c:v>129998.1</c:v>
                </c:pt>
                <c:pt idx="375">
                  <c:v>129999.92</c:v>
                </c:pt>
                <c:pt idx="376">
                  <c:v>130099.92</c:v>
                </c:pt>
                <c:pt idx="377">
                  <c:v>130199.92</c:v>
                </c:pt>
                <c:pt idx="378">
                  <c:v>130299.92</c:v>
                </c:pt>
                <c:pt idx="379">
                  <c:v>130399.92</c:v>
                </c:pt>
                <c:pt idx="380">
                  <c:v>130499.92</c:v>
                </c:pt>
                <c:pt idx="381">
                  <c:v>130599.92</c:v>
                </c:pt>
                <c:pt idx="382">
                  <c:v>130699.92</c:v>
                </c:pt>
                <c:pt idx="383">
                  <c:v>130799.92</c:v>
                </c:pt>
                <c:pt idx="384">
                  <c:v>130899.92</c:v>
                </c:pt>
                <c:pt idx="385">
                  <c:v>130999.92</c:v>
                </c:pt>
                <c:pt idx="386">
                  <c:v>131099.92000000001</c:v>
                </c:pt>
                <c:pt idx="387">
                  <c:v>131199.92000000001</c:v>
                </c:pt>
                <c:pt idx="388">
                  <c:v>131299.92000000001</c:v>
                </c:pt>
                <c:pt idx="389">
                  <c:v>131399.92000000001</c:v>
                </c:pt>
                <c:pt idx="390">
                  <c:v>131482.9</c:v>
                </c:pt>
                <c:pt idx="391">
                  <c:v>131499.92000000001</c:v>
                </c:pt>
                <c:pt idx="392">
                  <c:v>131562.9</c:v>
                </c:pt>
                <c:pt idx="393">
                  <c:v>131599.92000000001</c:v>
                </c:pt>
                <c:pt idx="394">
                  <c:v>131699.92000000001</c:v>
                </c:pt>
                <c:pt idx="395">
                  <c:v>131799.92000000001</c:v>
                </c:pt>
                <c:pt idx="396">
                  <c:v>131899.92000000001</c:v>
                </c:pt>
                <c:pt idx="397">
                  <c:v>131999.92000000001</c:v>
                </c:pt>
                <c:pt idx="398">
                  <c:v>132099.92000000001</c:v>
                </c:pt>
                <c:pt idx="399">
                  <c:v>132199.92000000001</c:v>
                </c:pt>
                <c:pt idx="400">
                  <c:v>132299.92000000001</c:v>
                </c:pt>
                <c:pt idx="401">
                  <c:v>132399.92000000001</c:v>
                </c:pt>
                <c:pt idx="402">
                  <c:v>132499.92000000001</c:v>
                </c:pt>
                <c:pt idx="403">
                  <c:v>132599.92000000001</c:v>
                </c:pt>
                <c:pt idx="404">
                  <c:v>132699.92000000001</c:v>
                </c:pt>
                <c:pt idx="405">
                  <c:v>132799.1</c:v>
                </c:pt>
                <c:pt idx="406">
                  <c:v>132799.92000000001</c:v>
                </c:pt>
                <c:pt idx="407">
                  <c:v>132899.92000000001</c:v>
                </c:pt>
                <c:pt idx="408">
                  <c:v>132999.92000000001</c:v>
                </c:pt>
                <c:pt idx="409">
                  <c:v>133039.1</c:v>
                </c:pt>
                <c:pt idx="410">
                  <c:v>133099.92000000001</c:v>
                </c:pt>
                <c:pt idx="411">
                  <c:v>133199.92000000001</c:v>
                </c:pt>
                <c:pt idx="412">
                  <c:v>133299.92000000001</c:v>
                </c:pt>
                <c:pt idx="413">
                  <c:v>133399.92000000001</c:v>
                </c:pt>
                <c:pt idx="414">
                  <c:v>133499.92000000001</c:v>
                </c:pt>
                <c:pt idx="415">
                  <c:v>133599.92000000001</c:v>
                </c:pt>
                <c:pt idx="416">
                  <c:v>133699.92000000001</c:v>
                </c:pt>
                <c:pt idx="417">
                  <c:v>133799.92000000001</c:v>
                </c:pt>
                <c:pt idx="418">
                  <c:v>133899.92000000001</c:v>
                </c:pt>
                <c:pt idx="419">
                  <c:v>133999.92000000001</c:v>
                </c:pt>
                <c:pt idx="420">
                  <c:v>134099.92000000001</c:v>
                </c:pt>
                <c:pt idx="421">
                  <c:v>134199.92000000001</c:v>
                </c:pt>
                <c:pt idx="422">
                  <c:v>134299.92000000001</c:v>
                </c:pt>
                <c:pt idx="423">
                  <c:v>134399.92000000001</c:v>
                </c:pt>
                <c:pt idx="424">
                  <c:v>134499.92000000001</c:v>
                </c:pt>
                <c:pt idx="425">
                  <c:v>134599.92000000001</c:v>
                </c:pt>
                <c:pt idx="426">
                  <c:v>134699.92000000001</c:v>
                </c:pt>
                <c:pt idx="427">
                  <c:v>134799.92000000001</c:v>
                </c:pt>
                <c:pt idx="428">
                  <c:v>134899.92000000001</c:v>
                </c:pt>
                <c:pt idx="429">
                  <c:v>134999.92000000001</c:v>
                </c:pt>
                <c:pt idx="430">
                  <c:v>135099.92000000001</c:v>
                </c:pt>
                <c:pt idx="431">
                  <c:v>135199.92000000001</c:v>
                </c:pt>
                <c:pt idx="432">
                  <c:v>135299.92000000001</c:v>
                </c:pt>
                <c:pt idx="433">
                  <c:v>135399.92000000001</c:v>
                </c:pt>
                <c:pt idx="434">
                  <c:v>135499.92000000001</c:v>
                </c:pt>
                <c:pt idx="435">
                  <c:v>135599.92000000001</c:v>
                </c:pt>
                <c:pt idx="436">
                  <c:v>135699.92000000001</c:v>
                </c:pt>
                <c:pt idx="437">
                  <c:v>135799.92000000001</c:v>
                </c:pt>
                <c:pt idx="438">
                  <c:v>135899.92000000001</c:v>
                </c:pt>
                <c:pt idx="439">
                  <c:v>135999.92000000001</c:v>
                </c:pt>
                <c:pt idx="440">
                  <c:v>136099.92000000001</c:v>
                </c:pt>
                <c:pt idx="441">
                  <c:v>136199.92000000001</c:v>
                </c:pt>
                <c:pt idx="442">
                  <c:v>136299.92000000001</c:v>
                </c:pt>
                <c:pt idx="443">
                  <c:v>136399.92000000001</c:v>
                </c:pt>
                <c:pt idx="444">
                  <c:v>136499.92000000001</c:v>
                </c:pt>
                <c:pt idx="445">
                  <c:v>136599.92000000001</c:v>
                </c:pt>
                <c:pt idx="446">
                  <c:v>136699.92000000001</c:v>
                </c:pt>
                <c:pt idx="447">
                  <c:v>136799.92000000001</c:v>
                </c:pt>
                <c:pt idx="448">
                  <c:v>136899.92000000001</c:v>
                </c:pt>
                <c:pt idx="449">
                  <c:v>136999.92000000001</c:v>
                </c:pt>
                <c:pt idx="450">
                  <c:v>137099.92000000001</c:v>
                </c:pt>
                <c:pt idx="451">
                  <c:v>137199.92000000001</c:v>
                </c:pt>
                <c:pt idx="452">
                  <c:v>137299.92000000001</c:v>
                </c:pt>
                <c:pt idx="453">
                  <c:v>137399.92000000001</c:v>
                </c:pt>
                <c:pt idx="454">
                  <c:v>137499.92000000001</c:v>
                </c:pt>
                <c:pt idx="455">
                  <c:v>137599.92000000001</c:v>
                </c:pt>
                <c:pt idx="456">
                  <c:v>137699.92000000001</c:v>
                </c:pt>
                <c:pt idx="457">
                  <c:v>137745.70000000001</c:v>
                </c:pt>
                <c:pt idx="458">
                  <c:v>137799.92000000001</c:v>
                </c:pt>
                <c:pt idx="459">
                  <c:v>137899.92000000001</c:v>
                </c:pt>
                <c:pt idx="460">
                  <c:v>137999.92000000001</c:v>
                </c:pt>
                <c:pt idx="461">
                  <c:v>138099.92000000001</c:v>
                </c:pt>
                <c:pt idx="462">
                  <c:v>138199.92000000001</c:v>
                </c:pt>
                <c:pt idx="463">
                  <c:v>138299.92000000001</c:v>
                </c:pt>
                <c:pt idx="464">
                  <c:v>138399.92000000001</c:v>
                </c:pt>
                <c:pt idx="465">
                  <c:v>138465.70000000001</c:v>
                </c:pt>
                <c:pt idx="466">
                  <c:v>138499.92000000001</c:v>
                </c:pt>
                <c:pt idx="467">
                  <c:v>138599.92000000001</c:v>
                </c:pt>
                <c:pt idx="468">
                  <c:v>138699.92000000001</c:v>
                </c:pt>
                <c:pt idx="469">
                  <c:v>138799.92000000001</c:v>
                </c:pt>
                <c:pt idx="470">
                  <c:v>138836.1</c:v>
                </c:pt>
                <c:pt idx="471">
                  <c:v>138899.92000000001</c:v>
                </c:pt>
                <c:pt idx="472">
                  <c:v>138916.1</c:v>
                </c:pt>
                <c:pt idx="473">
                  <c:v>138999.92000000001</c:v>
                </c:pt>
                <c:pt idx="474">
                  <c:v>139099.92000000001</c:v>
                </c:pt>
                <c:pt idx="475">
                  <c:v>139199.92000000001</c:v>
                </c:pt>
                <c:pt idx="476">
                  <c:v>139299.92000000001</c:v>
                </c:pt>
                <c:pt idx="477">
                  <c:v>139399.92000000001</c:v>
                </c:pt>
                <c:pt idx="478">
                  <c:v>139424.9</c:v>
                </c:pt>
                <c:pt idx="479">
                  <c:v>139499.92000000001</c:v>
                </c:pt>
                <c:pt idx="480">
                  <c:v>139584.9</c:v>
                </c:pt>
                <c:pt idx="481">
                  <c:v>139599.92000000001</c:v>
                </c:pt>
                <c:pt idx="482">
                  <c:v>139699.92000000001</c:v>
                </c:pt>
                <c:pt idx="483">
                  <c:v>139799.92000000001</c:v>
                </c:pt>
                <c:pt idx="484">
                  <c:v>139899.92000000001</c:v>
                </c:pt>
                <c:pt idx="485">
                  <c:v>139999.92000000001</c:v>
                </c:pt>
                <c:pt idx="486">
                  <c:v>140099.92000000001</c:v>
                </c:pt>
                <c:pt idx="487">
                  <c:v>140199.92000000001</c:v>
                </c:pt>
                <c:pt idx="488">
                  <c:v>140299.92000000001</c:v>
                </c:pt>
                <c:pt idx="489">
                  <c:v>140399.92000000001</c:v>
                </c:pt>
                <c:pt idx="490">
                  <c:v>140499.92000000001</c:v>
                </c:pt>
                <c:pt idx="491">
                  <c:v>140599.92000000001</c:v>
                </c:pt>
                <c:pt idx="492">
                  <c:v>140699.92000000001</c:v>
                </c:pt>
                <c:pt idx="493">
                  <c:v>140799.92000000001</c:v>
                </c:pt>
                <c:pt idx="494">
                  <c:v>140899.92000000001</c:v>
                </c:pt>
                <c:pt idx="495">
                  <c:v>140999.92000000001</c:v>
                </c:pt>
                <c:pt idx="496">
                  <c:v>141099.92000000001</c:v>
                </c:pt>
                <c:pt idx="497">
                  <c:v>141199.92000000001</c:v>
                </c:pt>
                <c:pt idx="498">
                  <c:v>141299.92000000001</c:v>
                </c:pt>
                <c:pt idx="499">
                  <c:v>141399.92000000001</c:v>
                </c:pt>
                <c:pt idx="500">
                  <c:v>141499.92000000001</c:v>
                </c:pt>
                <c:pt idx="501">
                  <c:v>141599.92000000001</c:v>
                </c:pt>
                <c:pt idx="502">
                  <c:v>141699.92000000001</c:v>
                </c:pt>
                <c:pt idx="503">
                  <c:v>141799.92000000001</c:v>
                </c:pt>
                <c:pt idx="504">
                  <c:v>141899.92000000001</c:v>
                </c:pt>
                <c:pt idx="505">
                  <c:v>141999.92000000001</c:v>
                </c:pt>
                <c:pt idx="506">
                  <c:v>142099.92000000001</c:v>
                </c:pt>
                <c:pt idx="507">
                  <c:v>142199.92000000001</c:v>
                </c:pt>
                <c:pt idx="508">
                  <c:v>142299.92000000001</c:v>
                </c:pt>
                <c:pt idx="509">
                  <c:v>142399.92000000001</c:v>
                </c:pt>
                <c:pt idx="510">
                  <c:v>142427</c:v>
                </c:pt>
                <c:pt idx="511">
                  <c:v>142499.92000000001</c:v>
                </c:pt>
                <c:pt idx="512">
                  <c:v>142507</c:v>
                </c:pt>
                <c:pt idx="513">
                  <c:v>142599.92000000001</c:v>
                </c:pt>
                <c:pt idx="514">
                  <c:v>142699.92000000001</c:v>
                </c:pt>
                <c:pt idx="515">
                  <c:v>142799.92000000001</c:v>
                </c:pt>
                <c:pt idx="516">
                  <c:v>142899.92000000001</c:v>
                </c:pt>
                <c:pt idx="517">
                  <c:v>142999.92000000001</c:v>
                </c:pt>
                <c:pt idx="518">
                  <c:v>143099.92000000001</c:v>
                </c:pt>
                <c:pt idx="519">
                  <c:v>143199.92000000001</c:v>
                </c:pt>
                <c:pt idx="520">
                  <c:v>143299.92000000001</c:v>
                </c:pt>
                <c:pt idx="521">
                  <c:v>143399.92000000001</c:v>
                </c:pt>
                <c:pt idx="522">
                  <c:v>143499.92000000001</c:v>
                </c:pt>
                <c:pt idx="523">
                  <c:v>143599.92000000001</c:v>
                </c:pt>
                <c:pt idx="524">
                  <c:v>143699.92000000001</c:v>
                </c:pt>
                <c:pt idx="525">
                  <c:v>143799.92000000001</c:v>
                </c:pt>
                <c:pt idx="526">
                  <c:v>143899.92000000001</c:v>
                </c:pt>
                <c:pt idx="527">
                  <c:v>143999.92000000001</c:v>
                </c:pt>
                <c:pt idx="528">
                  <c:v>144099.92000000001</c:v>
                </c:pt>
                <c:pt idx="529">
                  <c:v>144199.92000000001</c:v>
                </c:pt>
                <c:pt idx="530">
                  <c:v>144299.92000000001</c:v>
                </c:pt>
                <c:pt idx="531">
                  <c:v>144399.92000000001</c:v>
                </c:pt>
                <c:pt idx="532">
                  <c:v>144478.29999999999</c:v>
                </c:pt>
                <c:pt idx="533">
                  <c:v>144499.92000000001</c:v>
                </c:pt>
                <c:pt idx="534">
                  <c:v>144558.29999999999</c:v>
                </c:pt>
                <c:pt idx="535">
                  <c:v>144599.92000000001</c:v>
                </c:pt>
                <c:pt idx="536">
                  <c:v>144699.92000000001</c:v>
                </c:pt>
                <c:pt idx="537">
                  <c:v>144799.92000000001</c:v>
                </c:pt>
                <c:pt idx="538">
                  <c:v>144899.92000000001</c:v>
                </c:pt>
                <c:pt idx="539">
                  <c:v>144999.92000000001</c:v>
                </c:pt>
                <c:pt idx="540">
                  <c:v>145099.92000000001</c:v>
                </c:pt>
                <c:pt idx="541">
                  <c:v>145199.92000000001</c:v>
                </c:pt>
                <c:pt idx="542">
                  <c:v>145299.92000000001</c:v>
                </c:pt>
                <c:pt idx="543">
                  <c:v>145399.92000000001</c:v>
                </c:pt>
                <c:pt idx="544">
                  <c:v>145499.92000000001</c:v>
                </c:pt>
                <c:pt idx="545">
                  <c:v>145599.92000000001</c:v>
                </c:pt>
                <c:pt idx="546">
                  <c:v>145699.92000000001</c:v>
                </c:pt>
                <c:pt idx="547">
                  <c:v>145799.92000000001</c:v>
                </c:pt>
                <c:pt idx="548">
                  <c:v>145899.92000000001</c:v>
                </c:pt>
                <c:pt idx="549">
                  <c:v>145999.92000000001</c:v>
                </c:pt>
                <c:pt idx="550">
                  <c:v>146099.92000000001</c:v>
                </c:pt>
                <c:pt idx="551">
                  <c:v>146199.92000000001</c:v>
                </c:pt>
                <c:pt idx="552">
                  <c:v>146262.29999999999</c:v>
                </c:pt>
                <c:pt idx="553">
                  <c:v>146299.92000000001</c:v>
                </c:pt>
                <c:pt idx="554">
                  <c:v>146342.29999999999</c:v>
                </c:pt>
                <c:pt idx="555">
                  <c:v>146399.92000000001</c:v>
                </c:pt>
                <c:pt idx="556">
                  <c:v>146499.92000000001</c:v>
                </c:pt>
                <c:pt idx="557">
                  <c:v>146599.92000000001</c:v>
                </c:pt>
                <c:pt idx="558">
                  <c:v>146699.92000000001</c:v>
                </c:pt>
                <c:pt idx="559">
                  <c:v>146799.92000000001</c:v>
                </c:pt>
                <c:pt idx="560">
                  <c:v>146899.92000000001</c:v>
                </c:pt>
                <c:pt idx="561">
                  <c:v>146999.92000000001</c:v>
                </c:pt>
                <c:pt idx="562">
                  <c:v>147099.92000000001</c:v>
                </c:pt>
                <c:pt idx="563">
                  <c:v>147199.92000000001</c:v>
                </c:pt>
                <c:pt idx="564">
                  <c:v>147299.92000000001</c:v>
                </c:pt>
                <c:pt idx="565">
                  <c:v>147399.92000000001</c:v>
                </c:pt>
                <c:pt idx="566">
                  <c:v>147499.92000000001</c:v>
                </c:pt>
                <c:pt idx="567">
                  <c:v>147599.92000000001</c:v>
                </c:pt>
                <c:pt idx="568">
                  <c:v>147699.92000000001</c:v>
                </c:pt>
                <c:pt idx="569">
                  <c:v>147799.92000000001</c:v>
                </c:pt>
                <c:pt idx="570">
                  <c:v>147899.92000000001</c:v>
                </c:pt>
                <c:pt idx="571">
                  <c:v>147999.92000000001</c:v>
                </c:pt>
                <c:pt idx="572">
                  <c:v>148099.92000000001</c:v>
                </c:pt>
                <c:pt idx="573">
                  <c:v>148199.92000000001</c:v>
                </c:pt>
                <c:pt idx="574">
                  <c:v>148299.92000000001</c:v>
                </c:pt>
                <c:pt idx="575">
                  <c:v>148399.92000000001</c:v>
                </c:pt>
                <c:pt idx="576">
                  <c:v>148499.92000000001</c:v>
                </c:pt>
                <c:pt idx="577">
                  <c:v>148599.92000000001</c:v>
                </c:pt>
                <c:pt idx="578">
                  <c:v>148699.92000000001</c:v>
                </c:pt>
                <c:pt idx="579">
                  <c:v>148799.92000000001</c:v>
                </c:pt>
                <c:pt idx="580">
                  <c:v>148899.92000000001</c:v>
                </c:pt>
                <c:pt idx="581">
                  <c:v>148999.92000000001</c:v>
                </c:pt>
                <c:pt idx="582">
                  <c:v>149099.92000000001</c:v>
                </c:pt>
                <c:pt idx="583">
                  <c:v>149199.92000000001</c:v>
                </c:pt>
                <c:pt idx="584">
                  <c:v>149299.92000000001</c:v>
                </c:pt>
                <c:pt idx="585">
                  <c:v>149399.92000000001</c:v>
                </c:pt>
                <c:pt idx="586">
                  <c:v>149499.92000000001</c:v>
                </c:pt>
                <c:pt idx="587">
                  <c:v>149599.92000000001</c:v>
                </c:pt>
                <c:pt idx="588">
                  <c:v>149699.92000000001</c:v>
                </c:pt>
                <c:pt idx="589">
                  <c:v>149799.92000000001</c:v>
                </c:pt>
                <c:pt idx="590">
                  <c:v>149899.92000000001</c:v>
                </c:pt>
                <c:pt idx="591">
                  <c:v>149999.92000000001</c:v>
                </c:pt>
                <c:pt idx="592">
                  <c:v>150099.92000000001</c:v>
                </c:pt>
                <c:pt idx="593">
                  <c:v>150120.79999999999</c:v>
                </c:pt>
                <c:pt idx="594">
                  <c:v>150199.92000000001</c:v>
                </c:pt>
                <c:pt idx="595">
                  <c:v>150240.79999999999</c:v>
                </c:pt>
                <c:pt idx="596">
                  <c:v>150299.92000000001</c:v>
                </c:pt>
                <c:pt idx="597">
                  <c:v>150399.92000000001</c:v>
                </c:pt>
                <c:pt idx="598">
                  <c:v>150499.92000000001</c:v>
                </c:pt>
                <c:pt idx="599">
                  <c:v>150599.92000000001</c:v>
                </c:pt>
                <c:pt idx="600">
                  <c:v>150699.92000000001</c:v>
                </c:pt>
                <c:pt idx="601">
                  <c:v>150799.92000000001</c:v>
                </c:pt>
                <c:pt idx="602">
                  <c:v>150899.92000000001</c:v>
                </c:pt>
                <c:pt idx="603">
                  <c:v>150999.92000000001</c:v>
                </c:pt>
                <c:pt idx="604">
                  <c:v>151099.92000000001</c:v>
                </c:pt>
                <c:pt idx="605">
                  <c:v>151199.92000000001</c:v>
                </c:pt>
                <c:pt idx="606">
                  <c:v>151299.92000000001</c:v>
                </c:pt>
                <c:pt idx="607">
                  <c:v>151399.92000000001</c:v>
                </c:pt>
                <c:pt idx="608">
                  <c:v>151499.92000000001</c:v>
                </c:pt>
                <c:pt idx="609">
                  <c:v>151599.92000000001</c:v>
                </c:pt>
                <c:pt idx="610">
                  <c:v>151699.92000000001</c:v>
                </c:pt>
                <c:pt idx="611">
                  <c:v>151799.92000000001</c:v>
                </c:pt>
                <c:pt idx="612">
                  <c:v>151899.92000000001</c:v>
                </c:pt>
                <c:pt idx="613">
                  <c:v>151999.92000000001</c:v>
                </c:pt>
                <c:pt idx="614">
                  <c:v>152099.92000000001</c:v>
                </c:pt>
                <c:pt idx="615">
                  <c:v>152199.92000000001</c:v>
                </c:pt>
                <c:pt idx="616">
                  <c:v>152299.92000000001</c:v>
                </c:pt>
                <c:pt idx="617">
                  <c:v>152399.92000000001</c:v>
                </c:pt>
                <c:pt idx="618">
                  <c:v>152499.92000000001</c:v>
                </c:pt>
                <c:pt idx="619">
                  <c:v>152599.92000000001</c:v>
                </c:pt>
                <c:pt idx="620">
                  <c:v>152699.92000000001</c:v>
                </c:pt>
                <c:pt idx="621">
                  <c:v>152799.92000000001</c:v>
                </c:pt>
                <c:pt idx="622">
                  <c:v>152899.92000000001</c:v>
                </c:pt>
                <c:pt idx="623">
                  <c:v>152999.92000000001</c:v>
                </c:pt>
                <c:pt idx="624">
                  <c:v>153099.92000000001</c:v>
                </c:pt>
                <c:pt idx="625">
                  <c:v>153199.92000000001</c:v>
                </c:pt>
                <c:pt idx="626">
                  <c:v>153299.92000000001</c:v>
                </c:pt>
                <c:pt idx="627">
                  <c:v>153399.92000000001</c:v>
                </c:pt>
                <c:pt idx="628">
                  <c:v>153499.92000000001</c:v>
                </c:pt>
                <c:pt idx="629">
                  <c:v>153599.92000000001</c:v>
                </c:pt>
                <c:pt idx="630">
                  <c:v>153699.92000000001</c:v>
                </c:pt>
                <c:pt idx="631">
                  <c:v>153799.92000000001</c:v>
                </c:pt>
                <c:pt idx="632">
                  <c:v>153859</c:v>
                </c:pt>
                <c:pt idx="633">
                  <c:v>153899.92000000001</c:v>
                </c:pt>
                <c:pt idx="634">
                  <c:v>153999.92000000001</c:v>
                </c:pt>
                <c:pt idx="635">
                  <c:v>154099.92000000001</c:v>
                </c:pt>
                <c:pt idx="636">
                  <c:v>154199.92000000001</c:v>
                </c:pt>
                <c:pt idx="637">
                  <c:v>154299.92000000001</c:v>
                </c:pt>
                <c:pt idx="638">
                  <c:v>154399.92000000001</c:v>
                </c:pt>
                <c:pt idx="639">
                  <c:v>154499.92000000001</c:v>
                </c:pt>
                <c:pt idx="640">
                  <c:v>154599.92000000001</c:v>
                </c:pt>
                <c:pt idx="641">
                  <c:v>154699.92000000001</c:v>
                </c:pt>
                <c:pt idx="642">
                  <c:v>154799.92000000001</c:v>
                </c:pt>
                <c:pt idx="643">
                  <c:v>154899.92000000001</c:v>
                </c:pt>
                <c:pt idx="644">
                  <c:v>154999.92000000001</c:v>
                </c:pt>
                <c:pt idx="645">
                  <c:v>155099.92000000001</c:v>
                </c:pt>
                <c:pt idx="646">
                  <c:v>155199.92000000001</c:v>
                </c:pt>
                <c:pt idx="647">
                  <c:v>155299.92000000001</c:v>
                </c:pt>
                <c:pt idx="648">
                  <c:v>155399.92000000001</c:v>
                </c:pt>
                <c:pt idx="649">
                  <c:v>155499.92000000001</c:v>
                </c:pt>
                <c:pt idx="650">
                  <c:v>155569</c:v>
                </c:pt>
                <c:pt idx="651">
                  <c:v>155599.92000000001</c:v>
                </c:pt>
                <c:pt idx="652">
                  <c:v>155699.92000000001</c:v>
                </c:pt>
                <c:pt idx="653">
                  <c:v>155799.92000000001</c:v>
                </c:pt>
                <c:pt idx="654">
                  <c:v>155899.92000000001</c:v>
                </c:pt>
                <c:pt idx="655">
                  <c:v>155999.92000000001</c:v>
                </c:pt>
                <c:pt idx="656">
                  <c:v>156099.92000000001</c:v>
                </c:pt>
                <c:pt idx="657">
                  <c:v>156199.92000000001</c:v>
                </c:pt>
                <c:pt idx="658">
                  <c:v>156299.92000000001</c:v>
                </c:pt>
                <c:pt idx="659">
                  <c:v>156399.92000000001</c:v>
                </c:pt>
                <c:pt idx="660">
                  <c:v>156499.92000000001</c:v>
                </c:pt>
                <c:pt idx="661">
                  <c:v>156599.92000000001</c:v>
                </c:pt>
                <c:pt idx="662">
                  <c:v>156699.92000000001</c:v>
                </c:pt>
                <c:pt idx="663">
                  <c:v>156799.92000000001</c:v>
                </c:pt>
                <c:pt idx="664">
                  <c:v>156899.92000000001</c:v>
                </c:pt>
                <c:pt idx="665">
                  <c:v>156999.92000000001</c:v>
                </c:pt>
                <c:pt idx="666">
                  <c:v>157099.92000000001</c:v>
                </c:pt>
                <c:pt idx="667">
                  <c:v>157199.92000000001</c:v>
                </c:pt>
                <c:pt idx="668">
                  <c:v>157299.92000000001</c:v>
                </c:pt>
                <c:pt idx="669">
                  <c:v>157399.92000000001</c:v>
                </c:pt>
                <c:pt idx="670">
                  <c:v>157499.92000000001</c:v>
                </c:pt>
                <c:pt idx="671">
                  <c:v>157599.92000000001</c:v>
                </c:pt>
                <c:pt idx="672">
                  <c:v>157699.92000000001</c:v>
                </c:pt>
                <c:pt idx="673">
                  <c:v>157799.92000000001</c:v>
                </c:pt>
                <c:pt idx="674">
                  <c:v>157899.92000000001</c:v>
                </c:pt>
                <c:pt idx="675">
                  <c:v>157999.92000000001</c:v>
                </c:pt>
                <c:pt idx="676">
                  <c:v>158099.92000000001</c:v>
                </c:pt>
                <c:pt idx="677">
                  <c:v>158199.92000000001</c:v>
                </c:pt>
                <c:pt idx="678">
                  <c:v>158299.92000000001</c:v>
                </c:pt>
                <c:pt idx="679">
                  <c:v>158399.92000000001</c:v>
                </c:pt>
                <c:pt idx="680">
                  <c:v>158499.92000000001</c:v>
                </c:pt>
                <c:pt idx="681">
                  <c:v>158599.92000000001</c:v>
                </c:pt>
                <c:pt idx="682">
                  <c:v>158699.92000000001</c:v>
                </c:pt>
                <c:pt idx="683">
                  <c:v>158737.4</c:v>
                </c:pt>
                <c:pt idx="684">
                  <c:v>158799.92000000001</c:v>
                </c:pt>
                <c:pt idx="685">
                  <c:v>158897.4</c:v>
                </c:pt>
                <c:pt idx="686">
                  <c:v>158899.92000000001</c:v>
                </c:pt>
                <c:pt idx="687">
                  <c:v>158999.92000000001</c:v>
                </c:pt>
                <c:pt idx="688">
                  <c:v>159099.92000000001</c:v>
                </c:pt>
                <c:pt idx="689">
                  <c:v>159199.92000000001</c:v>
                </c:pt>
                <c:pt idx="690">
                  <c:v>159299.92000000001</c:v>
                </c:pt>
                <c:pt idx="691">
                  <c:v>159399.92000000001</c:v>
                </c:pt>
                <c:pt idx="692">
                  <c:v>159499.92000000001</c:v>
                </c:pt>
                <c:pt idx="693">
                  <c:v>159523.79999999999</c:v>
                </c:pt>
                <c:pt idx="694">
                  <c:v>159599.92000000001</c:v>
                </c:pt>
                <c:pt idx="695">
                  <c:v>159643.79999999999</c:v>
                </c:pt>
                <c:pt idx="696">
                  <c:v>159699.92000000001</c:v>
                </c:pt>
                <c:pt idx="697">
                  <c:v>159799.92000000001</c:v>
                </c:pt>
                <c:pt idx="698">
                  <c:v>159899.92000000001</c:v>
                </c:pt>
                <c:pt idx="699">
                  <c:v>159999.92000000001</c:v>
                </c:pt>
                <c:pt idx="700">
                  <c:v>160099.92000000001</c:v>
                </c:pt>
                <c:pt idx="701">
                  <c:v>160199.92000000001</c:v>
                </c:pt>
                <c:pt idx="702">
                  <c:v>160299.92000000001</c:v>
                </c:pt>
                <c:pt idx="703">
                  <c:v>160399.92000000001</c:v>
                </c:pt>
                <c:pt idx="704">
                  <c:v>160499.92000000001</c:v>
                </c:pt>
                <c:pt idx="705">
                  <c:v>160599.92000000001</c:v>
                </c:pt>
                <c:pt idx="706">
                  <c:v>160699.92000000001</c:v>
                </c:pt>
                <c:pt idx="707">
                  <c:v>160799.92000000001</c:v>
                </c:pt>
                <c:pt idx="708">
                  <c:v>160899.92000000001</c:v>
                </c:pt>
                <c:pt idx="709">
                  <c:v>160999.92000000001</c:v>
                </c:pt>
                <c:pt idx="710">
                  <c:v>161099.92000000001</c:v>
                </c:pt>
                <c:pt idx="711">
                  <c:v>161199.92000000001</c:v>
                </c:pt>
                <c:pt idx="712">
                  <c:v>161299.92000000001</c:v>
                </c:pt>
                <c:pt idx="713">
                  <c:v>161399.92000000001</c:v>
                </c:pt>
                <c:pt idx="714">
                  <c:v>161499.92000000001</c:v>
                </c:pt>
                <c:pt idx="715">
                  <c:v>161599.92000000001</c:v>
                </c:pt>
                <c:pt idx="716">
                  <c:v>161699.92000000001</c:v>
                </c:pt>
                <c:pt idx="717">
                  <c:v>161799.92000000001</c:v>
                </c:pt>
                <c:pt idx="718">
                  <c:v>161899.92000000001</c:v>
                </c:pt>
                <c:pt idx="719">
                  <c:v>161999.92000000001</c:v>
                </c:pt>
                <c:pt idx="720">
                  <c:v>162099.92000000001</c:v>
                </c:pt>
                <c:pt idx="721">
                  <c:v>162199.92000000001</c:v>
                </c:pt>
                <c:pt idx="722">
                  <c:v>162299.92000000001</c:v>
                </c:pt>
                <c:pt idx="723">
                  <c:v>162399.92000000001</c:v>
                </c:pt>
                <c:pt idx="724">
                  <c:v>162499.92000000001</c:v>
                </c:pt>
                <c:pt idx="725">
                  <c:v>162599.92000000001</c:v>
                </c:pt>
                <c:pt idx="726">
                  <c:v>162699.92000000001</c:v>
                </c:pt>
                <c:pt idx="727">
                  <c:v>162799.92000000001</c:v>
                </c:pt>
                <c:pt idx="728">
                  <c:v>162899.92000000001</c:v>
                </c:pt>
                <c:pt idx="729">
                  <c:v>162999.92000000001</c:v>
                </c:pt>
                <c:pt idx="730">
                  <c:v>163099.92000000001</c:v>
                </c:pt>
                <c:pt idx="731">
                  <c:v>163199.92000000001</c:v>
                </c:pt>
                <c:pt idx="732">
                  <c:v>163299.92000000001</c:v>
                </c:pt>
                <c:pt idx="733">
                  <c:v>163399.92000000001</c:v>
                </c:pt>
                <c:pt idx="734">
                  <c:v>163499.92000000001</c:v>
                </c:pt>
                <c:pt idx="735">
                  <c:v>163599.92000000001</c:v>
                </c:pt>
                <c:pt idx="736">
                  <c:v>163699.92000000001</c:v>
                </c:pt>
                <c:pt idx="737">
                  <c:v>163799.92000000001</c:v>
                </c:pt>
                <c:pt idx="738">
                  <c:v>163899.92000000001</c:v>
                </c:pt>
                <c:pt idx="739">
                  <c:v>163999.92000000001</c:v>
                </c:pt>
                <c:pt idx="740">
                  <c:v>164099.92000000001</c:v>
                </c:pt>
                <c:pt idx="741">
                  <c:v>164199.92000000001</c:v>
                </c:pt>
                <c:pt idx="742">
                  <c:v>164299.92000000001</c:v>
                </c:pt>
                <c:pt idx="743">
                  <c:v>164399.92000000001</c:v>
                </c:pt>
                <c:pt idx="744">
                  <c:v>164499.92000000001</c:v>
                </c:pt>
                <c:pt idx="745">
                  <c:v>164599.92000000001</c:v>
                </c:pt>
                <c:pt idx="746">
                  <c:v>164699.92000000001</c:v>
                </c:pt>
                <c:pt idx="747">
                  <c:v>164799.92000000001</c:v>
                </c:pt>
                <c:pt idx="748">
                  <c:v>164899.92000000001</c:v>
                </c:pt>
                <c:pt idx="749">
                  <c:v>164999.92000000001</c:v>
                </c:pt>
                <c:pt idx="750">
                  <c:v>165099.92000000001</c:v>
                </c:pt>
                <c:pt idx="751">
                  <c:v>165199.92000000001</c:v>
                </c:pt>
                <c:pt idx="752">
                  <c:v>165257.4</c:v>
                </c:pt>
                <c:pt idx="753">
                  <c:v>165299.92000000001</c:v>
                </c:pt>
                <c:pt idx="754">
                  <c:v>165399.92000000001</c:v>
                </c:pt>
                <c:pt idx="755">
                  <c:v>165457.4</c:v>
                </c:pt>
                <c:pt idx="756">
                  <c:v>165499.92000000001</c:v>
                </c:pt>
                <c:pt idx="757">
                  <c:v>165599.92000000001</c:v>
                </c:pt>
                <c:pt idx="758">
                  <c:v>165699.92000000001</c:v>
                </c:pt>
                <c:pt idx="759">
                  <c:v>165799.92000000001</c:v>
                </c:pt>
                <c:pt idx="760">
                  <c:v>165899.92000000001</c:v>
                </c:pt>
                <c:pt idx="761">
                  <c:v>165999.92000000001</c:v>
                </c:pt>
                <c:pt idx="762">
                  <c:v>166099.92000000001</c:v>
                </c:pt>
                <c:pt idx="763">
                  <c:v>166199.92000000001</c:v>
                </c:pt>
                <c:pt idx="764">
                  <c:v>166299.92000000001</c:v>
                </c:pt>
                <c:pt idx="765">
                  <c:v>166399.92000000001</c:v>
                </c:pt>
                <c:pt idx="766">
                  <c:v>166499.92000000001</c:v>
                </c:pt>
                <c:pt idx="767">
                  <c:v>166599.92000000001</c:v>
                </c:pt>
                <c:pt idx="768">
                  <c:v>166699.92000000001</c:v>
                </c:pt>
                <c:pt idx="769">
                  <c:v>166799.92000000001</c:v>
                </c:pt>
                <c:pt idx="770">
                  <c:v>166899.92000000001</c:v>
                </c:pt>
                <c:pt idx="771">
                  <c:v>166999.92000000001</c:v>
                </c:pt>
                <c:pt idx="772">
                  <c:v>167099.92000000001</c:v>
                </c:pt>
                <c:pt idx="773">
                  <c:v>167199.92000000001</c:v>
                </c:pt>
                <c:pt idx="774">
                  <c:v>167299.92000000001</c:v>
                </c:pt>
                <c:pt idx="775">
                  <c:v>167399.92000000001</c:v>
                </c:pt>
                <c:pt idx="776">
                  <c:v>167499.92000000001</c:v>
                </c:pt>
                <c:pt idx="777">
                  <c:v>167599.92000000001</c:v>
                </c:pt>
                <c:pt idx="778">
                  <c:v>167699.92000000001</c:v>
                </c:pt>
                <c:pt idx="779">
                  <c:v>167799.92</c:v>
                </c:pt>
                <c:pt idx="780">
                  <c:v>167899.92</c:v>
                </c:pt>
                <c:pt idx="781">
                  <c:v>167947</c:v>
                </c:pt>
                <c:pt idx="782">
                  <c:v>167999.92</c:v>
                </c:pt>
                <c:pt idx="783">
                  <c:v>168022</c:v>
                </c:pt>
                <c:pt idx="784">
                  <c:v>168099.92</c:v>
                </c:pt>
                <c:pt idx="785">
                  <c:v>168199.92</c:v>
                </c:pt>
                <c:pt idx="786">
                  <c:v>168244.4</c:v>
                </c:pt>
                <c:pt idx="787">
                  <c:v>168299.92</c:v>
                </c:pt>
                <c:pt idx="788">
                  <c:v>168399.92</c:v>
                </c:pt>
                <c:pt idx="789">
                  <c:v>168499.92</c:v>
                </c:pt>
                <c:pt idx="790">
                  <c:v>168599.92</c:v>
                </c:pt>
                <c:pt idx="791">
                  <c:v>168624.4</c:v>
                </c:pt>
                <c:pt idx="792">
                  <c:v>168699.92</c:v>
                </c:pt>
                <c:pt idx="793">
                  <c:v>168799.92</c:v>
                </c:pt>
                <c:pt idx="794">
                  <c:v>168899.92</c:v>
                </c:pt>
                <c:pt idx="795">
                  <c:v>168999.92</c:v>
                </c:pt>
                <c:pt idx="796">
                  <c:v>169099.92</c:v>
                </c:pt>
                <c:pt idx="797">
                  <c:v>169199.92</c:v>
                </c:pt>
                <c:pt idx="798">
                  <c:v>169299.92</c:v>
                </c:pt>
                <c:pt idx="799">
                  <c:v>169399.92</c:v>
                </c:pt>
                <c:pt idx="800">
                  <c:v>169499.92</c:v>
                </c:pt>
                <c:pt idx="801">
                  <c:v>169599.92</c:v>
                </c:pt>
                <c:pt idx="802">
                  <c:v>169699.92</c:v>
                </c:pt>
                <c:pt idx="803">
                  <c:v>169799.92</c:v>
                </c:pt>
                <c:pt idx="804">
                  <c:v>169899.92</c:v>
                </c:pt>
                <c:pt idx="805">
                  <c:v>169999.92</c:v>
                </c:pt>
                <c:pt idx="806">
                  <c:v>170099.92</c:v>
                </c:pt>
                <c:pt idx="807">
                  <c:v>170199.92</c:v>
                </c:pt>
                <c:pt idx="808">
                  <c:v>170299.92</c:v>
                </c:pt>
                <c:pt idx="809">
                  <c:v>170399.92</c:v>
                </c:pt>
                <c:pt idx="810">
                  <c:v>170499.92</c:v>
                </c:pt>
                <c:pt idx="811">
                  <c:v>170599.92</c:v>
                </c:pt>
                <c:pt idx="812">
                  <c:v>170699.92</c:v>
                </c:pt>
                <c:pt idx="813">
                  <c:v>170799.92</c:v>
                </c:pt>
                <c:pt idx="814">
                  <c:v>170899.92</c:v>
                </c:pt>
                <c:pt idx="815">
                  <c:v>170999.92</c:v>
                </c:pt>
                <c:pt idx="816">
                  <c:v>171099.92</c:v>
                </c:pt>
                <c:pt idx="817">
                  <c:v>171199.92</c:v>
                </c:pt>
                <c:pt idx="818">
                  <c:v>171299.92</c:v>
                </c:pt>
                <c:pt idx="819">
                  <c:v>171399.92</c:v>
                </c:pt>
                <c:pt idx="820">
                  <c:v>171499.92</c:v>
                </c:pt>
                <c:pt idx="821">
                  <c:v>171599.92</c:v>
                </c:pt>
                <c:pt idx="822">
                  <c:v>171699.92</c:v>
                </c:pt>
                <c:pt idx="823">
                  <c:v>171799.92</c:v>
                </c:pt>
                <c:pt idx="824">
                  <c:v>171899.92</c:v>
                </c:pt>
                <c:pt idx="825">
                  <c:v>171999.92</c:v>
                </c:pt>
                <c:pt idx="826">
                  <c:v>172099.92</c:v>
                </c:pt>
                <c:pt idx="827">
                  <c:v>172199.92</c:v>
                </c:pt>
                <c:pt idx="828">
                  <c:v>172299.92</c:v>
                </c:pt>
                <c:pt idx="829">
                  <c:v>172399.92</c:v>
                </c:pt>
                <c:pt idx="830">
                  <c:v>172499.92</c:v>
                </c:pt>
                <c:pt idx="831">
                  <c:v>172599.92</c:v>
                </c:pt>
                <c:pt idx="832">
                  <c:v>172699.92</c:v>
                </c:pt>
                <c:pt idx="833">
                  <c:v>172799.92</c:v>
                </c:pt>
                <c:pt idx="834">
                  <c:v>172899.92</c:v>
                </c:pt>
                <c:pt idx="835">
                  <c:v>172999.92</c:v>
                </c:pt>
                <c:pt idx="836">
                  <c:v>173099.92</c:v>
                </c:pt>
                <c:pt idx="837">
                  <c:v>173199.92</c:v>
                </c:pt>
                <c:pt idx="838">
                  <c:v>173299.92</c:v>
                </c:pt>
                <c:pt idx="839">
                  <c:v>173399.92</c:v>
                </c:pt>
                <c:pt idx="840">
                  <c:v>173499.92</c:v>
                </c:pt>
                <c:pt idx="841">
                  <c:v>173599.92</c:v>
                </c:pt>
                <c:pt idx="842">
                  <c:v>173699.92</c:v>
                </c:pt>
                <c:pt idx="843">
                  <c:v>173799.92</c:v>
                </c:pt>
                <c:pt idx="844">
                  <c:v>173899.92</c:v>
                </c:pt>
                <c:pt idx="845">
                  <c:v>173999.92</c:v>
                </c:pt>
                <c:pt idx="846">
                  <c:v>174099.92</c:v>
                </c:pt>
                <c:pt idx="847">
                  <c:v>174199.92</c:v>
                </c:pt>
                <c:pt idx="848">
                  <c:v>174233.5</c:v>
                </c:pt>
                <c:pt idx="849">
                  <c:v>174299.92</c:v>
                </c:pt>
                <c:pt idx="850">
                  <c:v>174313.5</c:v>
                </c:pt>
                <c:pt idx="851">
                  <c:v>174399.92</c:v>
                </c:pt>
                <c:pt idx="852">
                  <c:v>174499.92</c:v>
                </c:pt>
                <c:pt idx="853">
                  <c:v>174599.92</c:v>
                </c:pt>
                <c:pt idx="854">
                  <c:v>174699.92</c:v>
                </c:pt>
                <c:pt idx="855">
                  <c:v>174799.92</c:v>
                </c:pt>
                <c:pt idx="856">
                  <c:v>174899.92</c:v>
                </c:pt>
                <c:pt idx="857">
                  <c:v>174999.92</c:v>
                </c:pt>
                <c:pt idx="858">
                  <c:v>175099.92</c:v>
                </c:pt>
                <c:pt idx="859">
                  <c:v>175199.92</c:v>
                </c:pt>
                <c:pt idx="860">
                  <c:v>175299.92</c:v>
                </c:pt>
                <c:pt idx="861">
                  <c:v>175399.92</c:v>
                </c:pt>
                <c:pt idx="862">
                  <c:v>175499.92</c:v>
                </c:pt>
                <c:pt idx="863">
                  <c:v>175599.92</c:v>
                </c:pt>
                <c:pt idx="864">
                  <c:v>175699.92</c:v>
                </c:pt>
                <c:pt idx="865">
                  <c:v>175799.92</c:v>
                </c:pt>
                <c:pt idx="866">
                  <c:v>175899.92</c:v>
                </c:pt>
                <c:pt idx="867">
                  <c:v>175999.92</c:v>
                </c:pt>
                <c:pt idx="868">
                  <c:v>176099.92</c:v>
                </c:pt>
                <c:pt idx="869">
                  <c:v>176199.92</c:v>
                </c:pt>
                <c:pt idx="870">
                  <c:v>176299.92</c:v>
                </c:pt>
                <c:pt idx="871">
                  <c:v>176399.92</c:v>
                </c:pt>
                <c:pt idx="872">
                  <c:v>176499.92</c:v>
                </c:pt>
                <c:pt idx="873">
                  <c:v>176599.92</c:v>
                </c:pt>
                <c:pt idx="874">
                  <c:v>176699.92</c:v>
                </c:pt>
                <c:pt idx="875">
                  <c:v>176714</c:v>
                </c:pt>
                <c:pt idx="876">
                  <c:v>176794</c:v>
                </c:pt>
                <c:pt idx="877">
                  <c:v>176799.92</c:v>
                </c:pt>
                <c:pt idx="878">
                  <c:v>176899.92</c:v>
                </c:pt>
                <c:pt idx="879">
                  <c:v>176999.92</c:v>
                </c:pt>
                <c:pt idx="880">
                  <c:v>177099.92</c:v>
                </c:pt>
                <c:pt idx="881">
                  <c:v>177199.92</c:v>
                </c:pt>
                <c:pt idx="882">
                  <c:v>177299.92</c:v>
                </c:pt>
                <c:pt idx="883">
                  <c:v>177399.92</c:v>
                </c:pt>
                <c:pt idx="884">
                  <c:v>177499.92</c:v>
                </c:pt>
                <c:pt idx="885">
                  <c:v>177599.92</c:v>
                </c:pt>
                <c:pt idx="886">
                  <c:v>177699.92</c:v>
                </c:pt>
                <c:pt idx="887">
                  <c:v>177799.92</c:v>
                </c:pt>
                <c:pt idx="888">
                  <c:v>177899.92</c:v>
                </c:pt>
                <c:pt idx="889">
                  <c:v>177999.92</c:v>
                </c:pt>
                <c:pt idx="890">
                  <c:v>178099.92</c:v>
                </c:pt>
                <c:pt idx="891">
                  <c:v>178199.92</c:v>
                </c:pt>
                <c:pt idx="892">
                  <c:v>178299.92</c:v>
                </c:pt>
                <c:pt idx="893">
                  <c:v>178399.92</c:v>
                </c:pt>
                <c:pt idx="894">
                  <c:v>178499.92</c:v>
                </c:pt>
                <c:pt idx="895">
                  <c:v>178599.92</c:v>
                </c:pt>
                <c:pt idx="896">
                  <c:v>178699.92</c:v>
                </c:pt>
                <c:pt idx="897">
                  <c:v>178799.92</c:v>
                </c:pt>
                <c:pt idx="898">
                  <c:v>178864.3</c:v>
                </c:pt>
                <c:pt idx="899">
                  <c:v>178899.92</c:v>
                </c:pt>
                <c:pt idx="900">
                  <c:v>178999.92</c:v>
                </c:pt>
                <c:pt idx="901">
                  <c:v>179099.92</c:v>
                </c:pt>
                <c:pt idx="902">
                  <c:v>179104.3</c:v>
                </c:pt>
                <c:pt idx="903">
                  <c:v>179199.92</c:v>
                </c:pt>
                <c:pt idx="904">
                  <c:v>179299.92</c:v>
                </c:pt>
                <c:pt idx="905">
                  <c:v>179399.92</c:v>
                </c:pt>
                <c:pt idx="906">
                  <c:v>179499.92</c:v>
                </c:pt>
                <c:pt idx="907">
                  <c:v>179599.92</c:v>
                </c:pt>
                <c:pt idx="908">
                  <c:v>179699.92</c:v>
                </c:pt>
                <c:pt idx="909">
                  <c:v>179799.92</c:v>
                </c:pt>
                <c:pt idx="910">
                  <c:v>179899.92</c:v>
                </c:pt>
                <c:pt idx="911">
                  <c:v>179999.92</c:v>
                </c:pt>
                <c:pt idx="912">
                  <c:v>180099.92</c:v>
                </c:pt>
                <c:pt idx="913">
                  <c:v>180199.92</c:v>
                </c:pt>
                <c:pt idx="914">
                  <c:v>180299.92</c:v>
                </c:pt>
                <c:pt idx="915">
                  <c:v>180399.92</c:v>
                </c:pt>
                <c:pt idx="916">
                  <c:v>180499.92</c:v>
                </c:pt>
                <c:pt idx="917">
                  <c:v>180599.92</c:v>
                </c:pt>
                <c:pt idx="918">
                  <c:v>180699.92</c:v>
                </c:pt>
                <c:pt idx="919">
                  <c:v>180799.92</c:v>
                </c:pt>
                <c:pt idx="920">
                  <c:v>180899.92</c:v>
                </c:pt>
                <c:pt idx="921">
                  <c:v>180999.92</c:v>
                </c:pt>
                <c:pt idx="922">
                  <c:v>181099.92</c:v>
                </c:pt>
                <c:pt idx="923">
                  <c:v>181199.92</c:v>
                </c:pt>
                <c:pt idx="924">
                  <c:v>181299.92</c:v>
                </c:pt>
                <c:pt idx="925">
                  <c:v>181399.92</c:v>
                </c:pt>
                <c:pt idx="926">
                  <c:v>181499.92</c:v>
                </c:pt>
                <c:pt idx="927">
                  <c:v>181599.92</c:v>
                </c:pt>
                <c:pt idx="928">
                  <c:v>181699.92</c:v>
                </c:pt>
                <c:pt idx="929">
                  <c:v>181799.92</c:v>
                </c:pt>
                <c:pt idx="930">
                  <c:v>181899.92</c:v>
                </c:pt>
                <c:pt idx="931">
                  <c:v>181999.92</c:v>
                </c:pt>
                <c:pt idx="932">
                  <c:v>182099.92</c:v>
                </c:pt>
                <c:pt idx="933">
                  <c:v>182199.92</c:v>
                </c:pt>
                <c:pt idx="934">
                  <c:v>182250</c:v>
                </c:pt>
                <c:pt idx="935">
                  <c:v>182299.92</c:v>
                </c:pt>
                <c:pt idx="936">
                  <c:v>182399.92</c:v>
                </c:pt>
                <c:pt idx="937">
                  <c:v>182450</c:v>
                </c:pt>
                <c:pt idx="938">
                  <c:v>182499.92</c:v>
                </c:pt>
                <c:pt idx="939">
                  <c:v>182599.92</c:v>
                </c:pt>
                <c:pt idx="940">
                  <c:v>182699.92</c:v>
                </c:pt>
                <c:pt idx="941">
                  <c:v>182799.92</c:v>
                </c:pt>
                <c:pt idx="942">
                  <c:v>182899.92</c:v>
                </c:pt>
                <c:pt idx="943">
                  <c:v>182999.92</c:v>
                </c:pt>
                <c:pt idx="944">
                  <c:v>183099.92</c:v>
                </c:pt>
                <c:pt idx="945">
                  <c:v>183199.92</c:v>
                </c:pt>
                <c:pt idx="946">
                  <c:v>183299.92</c:v>
                </c:pt>
                <c:pt idx="947">
                  <c:v>183399.92</c:v>
                </c:pt>
                <c:pt idx="948">
                  <c:v>183499.92</c:v>
                </c:pt>
                <c:pt idx="949">
                  <c:v>183599.92</c:v>
                </c:pt>
                <c:pt idx="950">
                  <c:v>183699.92</c:v>
                </c:pt>
                <c:pt idx="951">
                  <c:v>183799.92</c:v>
                </c:pt>
                <c:pt idx="952">
                  <c:v>183899.92</c:v>
                </c:pt>
                <c:pt idx="953">
                  <c:v>183999.92</c:v>
                </c:pt>
                <c:pt idx="954">
                  <c:v>184099.92</c:v>
                </c:pt>
                <c:pt idx="955">
                  <c:v>184199.92</c:v>
                </c:pt>
                <c:pt idx="956">
                  <c:v>184299.92</c:v>
                </c:pt>
                <c:pt idx="957">
                  <c:v>184399.92</c:v>
                </c:pt>
                <c:pt idx="958">
                  <c:v>184499.92</c:v>
                </c:pt>
                <c:pt idx="959">
                  <c:v>184599.92</c:v>
                </c:pt>
                <c:pt idx="960">
                  <c:v>184699.92</c:v>
                </c:pt>
                <c:pt idx="961">
                  <c:v>184799.92</c:v>
                </c:pt>
                <c:pt idx="962">
                  <c:v>184899.92</c:v>
                </c:pt>
                <c:pt idx="963">
                  <c:v>184999.92</c:v>
                </c:pt>
                <c:pt idx="964">
                  <c:v>185099.92</c:v>
                </c:pt>
                <c:pt idx="965">
                  <c:v>185199.92</c:v>
                </c:pt>
                <c:pt idx="966">
                  <c:v>185299.92</c:v>
                </c:pt>
                <c:pt idx="967">
                  <c:v>185399.92</c:v>
                </c:pt>
                <c:pt idx="968">
                  <c:v>185499.92</c:v>
                </c:pt>
                <c:pt idx="969">
                  <c:v>185599.92</c:v>
                </c:pt>
                <c:pt idx="970">
                  <c:v>185699.92</c:v>
                </c:pt>
                <c:pt idx="971">
                  <c:v>185799.92</c:v>
                </c:pt>
                <c:pt idx="972">
                  <c:v>185899.92</c:v>
                </c:pt>
                <c:pt idx="973">
                  <c:v>185999.92</c:v>
                </c:pt>
                <c:pt idx="974">
                  <c:v>186099.92</c:v>
                </c:pt>
                <c:pt idx="975">
                  <c:v>186199.92</c:v>
                </c:pt>
                <c:pt idx="976">
                  <c:v>186299.92</c:v>
                </c:pt>
                <c:pt idx="977">
                  <c:v>186399.92</c:v>
                </c:pt>
                <c:pt idx="978">
                  <c:v>186499.92</c:v>
                </c:pt>
                <c:pt idx="979">
                  <c:v>186599.92</c:v>
                </c:pt>
                <c:pt idx="980">
                  <c:v>186699.92</c:v>
                </c:pt>
                <c:pt idx="981">
                  <c:v>186799.92</c:v>
                </c:pt>
                <c:pt idx="982">
                  <c:v>186876.3</c:v>
                </c:pt>
                <c:pt idx="983">
                  <c:v>186899.92</c:v>
                </c:pt>
                <c:pt idx="984">
                  <c:v>186996.3</c:v>
                </c:pt>
                <c:pt idx="985">
                  <c:v>186999.92</c:v>
                </c:pt>
                <c:pt idx="986">
                  <c:v>187099.92</c:v>
                </c:pt>
                <c:pt idx="987">
                  <c:v>187199.92</c:v>
                </c:pt>
                <c:pt idx="988">
                  <c:v>187299.92</c:v>
                </c:pt>
                <c:pt idx="989">
                  <c:v>187399.92</c:v>
                </c:pt>
                <c:pt idx="990">
                  <c:v>187499.92</c:v>
                </c:pt>
                <c:pt idx="991">
                  <c:v>187599.92</c:v>
                </c:pt>
                <c:pt idx="992">
                  <c:v>187699.92</c:v>
                </c:pt>
                <c:pt idx="993">
                  <c:v>187799.92</c:v>
                </c:pt>
                <c:pt idx="994">
                  <c:v>187899.92</c:v>
                </c:pt>
                <c:pt idx="995">
                  <c:v>187999.92</c:v>
                </c:pt>
                <c:pt idx="996">
                  <c:v>188099.92</c:v>
                </c:pt>
                <c:pt idx="997">
                  <c:v>188199.92</c:v>
                </c:pt>
                <c:pt idx="998">
                  <c:v>188299.92</c:v>
                </c:pt>
                <c:pt idx="999">
                  <c:v>188399.92</c:v>
                </c:pt>
                <c:pt idx="1000">
                  <c:v>188499.92</c:v>
                </c:pt>
                <c:pt idx="1001">
                  <c:v>188599.92</c:v>
                </c:pt>
                <c:pt idx="1002">
                  <c:v>188699.92</c:v>
                </c:pt>
                <c:pt idx="1003">
                  <c:v>188794.6</c:v>
                </c:pt>
                <c:pt idx="1004">
                  <c:v>188799.92</c:v>
                </c:pt>
                <c:pt idx="1005">
                  <c:v>188874.6</c:v>
                </c:pt>
                <c:pt idx="1006">
                  <c:v>188899.92</c:v>
                </c:pt>
                <c:pt idx="1007">
                  <c:v>188999.92</c:v>
                </c:pt>
                <c:pt idx="1008">
                  <c:v>189099.92</c:v>
                </c:pt>
                <c:pt idx="1009">
                  <c:v>189199.92</c:v>
                </c:pt>
                <c:pt idx="1010">
                  <c:v>189299.92</c:v>
                </c:pt>
                <c:pt idx="1011">
                  <c:v>189399.92</c:v>
                </c:pt>
                <c:pt idx="1012">
                  <c:v>189499.92</c:v>
                </c:pt>
                <c:pt idx="1013">
                  <c:v>189599.92</c:v>
                </c:pt>
                <c:pt idx="1014">
                  <c:v>189699.92</c:v>
                </c:pt>
                <c:pt idx="1015">
                  <c:v>189799.92</c:v>
                </c:pt>
                <c:pt idx="1016">
                  <c:v>189899.92</c:v>
                </c:pt>
                <c:pt idx="1017">
                  <c:v>189999.92</c:v>
                </c:pt>
                <c:pt idx="1018">
                  <c:v>190099.92</c:v>
                </c:pt>
                <c:pt idx="1019">
                  <c:v>190199.92</c:v>
                </c:pt>
                <c:pt idx="1020">
                  <c:v>190299.92</c:v>
                </c:pt>
                <c:pt idx="1021">
                  <c:v>190399.92</c:v>
                </c:pt>
                <c:pt idx="1022">
                  <c:v>190499.92</c:v>
                </c:pt>
                <c:pt idx="1023">
                  <c:v>190599.92</c:v>
                </c:pt>
                <c:pt idx="1024">
                  <c:v>190699.92</c:v>
                </c:pt>
                <c:pt idx="1025">
                  <c:v>190799.92</c:v>
                </c:pt>
                <c:pt idx="1026">
                  <c:v>190899.92</c:v>
                </c:pt>
                <c:pt idx="1027">
                  <c:v>190999.92</c:v>
                </c:pt>
                <c:pt idx="1028">
                  <c:v>191099.92</c:v>
                </c:pt>
                <c:pt idx="1029">
                  <c:v>191199.92</c:v>
                </c:pt>
                <c:pt idx="1030">
                  <c:v>191299.92</c:v>
                </c:pt>
                <c:pt idx="1031">
                  <c:v>191399.92</c:v>
                </c:pt>
                <c:pt idx="1032">
                  <c:v>191499.92</c:v>
                </c:pt>
                <c:pt idx="1033">
                  <c:v>191599.92</c:v>
                </c:pt>
                <c:pt idx="1034">
                  <c:v>191699.92</c:v>
                </c:pt>
                <c:pt idx="1035">
                  <c:v>191799.92</c:v>
                </c:pt>
                <c:pt idx="1036">
                  <c:v>191899.92</c:v>
                </c:pt>
                <c:pt idx="1037">
                  <c:v>191999.92</c:v>
                </c:pt>
                <c:pt idx="1038">
                  <c:v>192099.92</c:v>
                </c:pt>
                <c:pt idx="1039">
                  <c:v>192199.92</c:v>
                </c:pt>
                <c:pt idx="1040">
                  <c:v>192299.92</c:v>
                </c:pt>
                <c:pt idx="1041">
                  <c:v>192399.92</c:v>
                </c:pt>
                <c:pt idx="1042">
                  <c:v>192499.92</c:v>
                </c:pt>
                <c:pt idx="1043">
                  <c:v>192599.92</c:v>
                </c:pt>
                <c:pt idx="1044">
                  <c:v>192699.92</c:v>
                </c:pt>
                <c:pt idx="1045">
                  <c:v>192799.92</c:v>
                </c:pt>
                <c:pt idx="1046">
                  <c:v>192899.92</c:v>
                </c:pt>
                <c:pt idx="1047">
                  <c:v>192999.92</c:v>
                </c:pt>
                <c:pt idx="1048">
                  <c:v>193099.92</c:v>
                </c:pt>
                <c:pt idx="1049">
                  <c:v>193199.92</c:v>
                </c:pt>
                <c:pt idx="1050">
                  <c:v>193299.92</c:v>
                </c:pt>
                <c:pt idx="1051">
                  <c:v>193399.92</c:v>
                </c:pt>
                <c:pt idx="1052">
                  <c:v>193499.92</c:v>
                </c:pt>
                <c:pt idx="1053">
                  <c:v>193599.92</c:v>
                </c:pt>
                <c:pt idx="1054">
                  <c:v>193699.92</c:v>
                </c:pt>
                <c:pt idx="1055">
                  <c:v>193799.92</c:v>
                </c:pt>
                <c:pt idx="1056">
                  <c:v>193899.92</c:v>
                </c:pt>
                <c:pt idx="1057">
                  <c:v>193999.92</c:v>
                </c:pt>
                <c:pt idx="1058">
                  <c:v>194099.92</c:v>
                </c:pt>
                <c:pt idx="1059">
                  <c:v>194199.92</c:v>
                </c:pt>
                <c:pt idx="1060">
                  <c:v>194299.92</c:v>
                </c:pt>
                <c:pt idx="1061">
                  <c:v>194399.92</c:v>
                </c:pt>
                <c:pt idx="1062">
                  <c:v>194499.92</c:v>
                </c:pt>
                <c:pt idx="1063">
                  <c:v>194599.92</c:v>
                </c:pt>
                <c:pt idx="1064">
                  <c:v>194699.92</c:v>
                </c:pt>
                <c:pt idx="1065">
                  <c:v>194799.92</c:v>
                </c:pt>
                <c:pt idx="1066">
                  <c:v>194899.92</c:v>
                </c:pt>
                <c:pt idx="1067">
                  <c:v>194999.92</c:v>
                </c:pt>
                <c:pt idx="1068">
                  <c:v>195099.92</c:v>
                </c:pt>
                <c:pt idx="1069">
                  <c:v>195199.92</c:v>
                </c:pt>
                <c:pt idx="1070">
                  <c:v>195299.92</c:v>
                </c:pt>
                <c:pt idx="1071">
                  <c:v>195399.92</c:v>
                </c:pt>
                <c:pt idx="1072">
                  <c:v>195499.92</c:v>
                </c:pt>
                <c:pt idx="1073">
                  <c:v>195599.92</c:v>
                </c:pt>
                <c:pt idx="1074">
                  <c:v>195699.92</c:v>
                </c:pt>
                <c:pt idx="1075">
                  <c:v>195799.92</c:v>
                </c:pt>
                <c:pt idx="1076">
                  <c:v>195899.92</c:v>
                </c:pt>
                <c:pt idx="1077">
                  <c:v>195999.92</c:v>
                </c:pt>
                <c:pt idx="1078">
                  <c:v>196099.92</c:v>
                </c:pt>
                <c:pt idx="1079">
                  <c:v>196199.92</c:v>
                </c:pt>
                <c:pt idx="1080">
                  <c:v>196299.92</c:v>
                </c:pt>
                <c:pt idx="1081">
                  <c:v>196399.92</c:v>
                </c:pt>
                <c:pt idx="1082">
                  <c:v>196499.92</c:v>
                </c:pt>
                <c:pt idx="1083">
                  <c:v>196535.5</c:v>
                </c:pt>
                <c:pt idx="1084">
                  <c:v>196599.92</c:v>
                </c:pt>
                <c:pt idx="1085">
                  <c:v>196695.5</c:v>
                </c:pt>
                <c:pt idx="1086">
                  <c:v>196699.92</c:v>
                </c:pt>
                <c:pt idx="1087">
                  <c:v>196799.92</c:v>
                </c:pt>
                <c:pt idx="1088">
                  <c:v>196899.92</c:v>
                </c:pt>
                <c:pt idx="1089">
                  <c:v>196999.92</c:v>
                </c:pt>
                <c:pt idx="1090">
                  <c:v>197099.92</c:v>
                </c:pt>
                <c:pt idx="1091">
                  <c:v>197199.92</c:v>
                </c:pt>
                <c:pt idx="1092">
                  <c:v>197299.92</c:v>
                </c:pt>
                <c:pt idx="1093">
                  <c:v>197399.92</c:v>
                </c:pt>
                <c:pt idx="1094">
                  <c:v>197499.92</c:v>
                </c:pt>
                <c:pt idx="1095">
                  <c:v>197599.92</c:v>
                </c:pt>
                <c:pt idx="1096">
                  <c:v>197699.92</c:v>
                </c:pt>
                <c:pt idx="1097">
                  <c:v>197799.92</c:v>
                </c:pt>
                <c:pt idx="1098">
                  <c:v>197899.92</c:v>
                </c:pt>
                <c:pt idx="1099">
                  <c:v>197999.92</c:v>
                </c:pt>
                <c:pt idx="1100">
                  <c:v>198099.92</c:v>
                </c:pt>
                <c:pt idx="1101">
                  <c:v>198199.92</c:v>
                </c:pt>
                <c:pt idx="1102">
                  <c:v>198299.92</c:v>
                </c:pt>
                <c:pt idx="1103">
                  <c:v>198399.92</c:v>
                </c:pt>
                <c:pt idx="1104">
                  <c:v>198499.92</c:v>
                </c:pt>
                <c:pt idx="1105">
                  <c:v>198599.92</c:v>
                </c:pt>
                <c:pt idx="1106">
                  <c:v>198699.92</c:v>
                </c:pt>
                <c:pt idx="1107">
                  <c:v>198799.92</c:v>
                </c:pt>
                <c:pt idx="1108">
                  <c:v>198899.92</c:v>
                </c:pt>
                <c:pt idx="1109">
                  <c:v>198999.92</c:v>
                </c:pt>
                <c:pt idx="1110">
                  <c:v>199096.21</c:v>
                </c:pt>
                <c:pt idx="1111">
                  <c:v>199099.92</c:v>
                </c:pt>
                <c:pt idx="1112">
                  <c:v>199176.21</c:v>
                </c:pt>
                <c:pt idx="1113">
                  <c:v>199199.92</c:v>
                </c:pt>
                <c:pt idx="1114">
                  <c:v>199299.92</c:v>
                </c:pt>
                <c:pt idx="1115">
                  <c:v>199399.92</c:v>
                </c:pt>
                <c:pt idx="1116">
                  <c:v>199499.92</c:v>
                </c:pt>
                <c:pt idx="1117">
                  <c:v>199599.92</c:v>
                </c:pt>
                <c:pt idx="1118">
                  <c:v>199699.92</c:v>
                </c:pt>
                <c:pt idx="1119">
                  <c:v>199799.92</c:v>
                </c:pt>
                <c:pt idx="1120">
                  <c:v>199899.92</c:v>
                </c:pt>
                <c:pt idx="1121">
                  <c:v>199999.92</c:v>
                </c:pt>
                <c:pt idx="1122">
                  <c:v>200099.92</c:v>
                </c:pt>
                <c:pt idx="1123">
                  <c:v>200199.92</c:v>
                </c:pt>
                <c:pt idx="1124">
                  <c:v>200299.92</c:v>
                </c:pt>
                <c:pt idx="1125">
                  <c:v>200399.92</c:v>
                </c:pt>
                <c:pt idx="1126">
                  <c:v>200499.92</c:v>
                </c:pt>
                <c:pt idx="1127">
                  <c:v>200599.92</c:v>
                </c:pt>
                <c:pt idx="1128">
                  <c:v>200699.92</c:v>
                </c:pt>
                <c:pt idx="1129">
                  <c:v>200799.92</c:v>
                </c:pt>
                <c:pt idx="1130">
                  <c:v>200899.92</c:v>
                </c:pt>
                <c:pt idx="1131">
                  <c:v>200999.92</c:v>
                </c:pt>
                <c:pt idx="1132">
                  <c:v>201099.92</c:v>
                </c:pt>
                <c:pt idx="1133">
                  <c:v>201199.92</c:v>
                </c:pt>
                <c:pt idx="1134">
                  <c:v>201299.92</c:v>
                </c:pt>
                <c:pt idx="1135">
                  <c:v>201399.92</c:v>
                </c:pt>
                <c:pt idx="1136">
                  <c:v>201499.92</c:v>
                </c:pt>
                <c:pt idx="1137">
                  <c:v>201599.92</c:v>
                </c:pt>
                <c:pt idx="1138">
                  <c:v>201699.92</c:v>
                </c:pt>
                <c:pt idx="1139">
                  <c:v>201799.92</c:v>
                </c:pt>
                <c:pt idx="1140">
                  <c:v>201899.92</c:v>
                </c:pt>
                <c:pt idx="1141">
                  <c:v>201999.92</c:v>
                </c:pt>
                <c:pt idx="1142">
                  <c:v>202099.92</c:v>
                </c:pt>
                <c:pt idx="1143">
                  <c:v>202199.92</c:v>
                </c:pt>
                <c:pt idx="1144">
                  <c:v>202299.92</c:v>
                </c:pt>
                <c:pt idx="1145">
                  <c:v>202399.92</c:v>
                </c:pt>
                <c:pt idx="1146">
                  <c:v>202499.92</c:v>
                </c:pt>
                <c:pt idx="1147">
                  <c:v>202599.92</c:v>
                </c:pt>
                <c:pt idx="1148">
                  <c:v>202699.92</c:v>
                </c:pt>
                <c:pt idx="1149">
                  <c:v>202799.92</c:v>
                </c:pt>
                <c:pt idx="1150">
                  <c:v>202899.92</c:v>
                </c:pt>
                <c:pt idx="1151">
                  <c:v>202999.92</c:v>
                </c:pt>
                <c:pt idx="1152">
                  <c:v>203099.92</c:v>
                </c:pt>
                <c:pt idx="1153">
                  <c:v>203199.92</c:v>
                </c:pt>
                <c:pt idx="1154">
                  <c:v>203299.92</c:v>
                </c:pt>
                <c:pt idx="1155">
                  <c:v>203399.92</c:v>
                </c:pt>
                <c:pt idx="1156">
                  <c:v>203499.92</c:v>
                </c:pt>
                <c:pt idx="1157">
                  <c:v>203599.92</c:v>
                </c:pt>
                <c:pt idx="1158">
                  <c:v>203699.92</c:v>
                </c:pt>
                <c:pt idx="1159">
                  <c:v>203799.92</c:v>
                </c:pt>
                <c:pt idx="1160">
                  <c:v>203899.92</c:v>
                </c:pt>
                <c:pt idx="1161">
                  <c:v>203999.92</c:v>
                </c:pt>
                <c:pt idx="1162">
                  <c:v>204099.92</c:v>
                </c:pt>
                <c:pt idx="1163">
                  <c:v>204199.92</c:v>
                </c:pt>
                <c:pt idx="1164">
                  <c:v>204299.92</c:v>
                </c:pt>
                <c:pt idx="1165">
                  <c:v>204399.92</c:v>
                </c:pt>
                <c:pt idx="1166">
                  <c:v>204499.92</c:v>
                </c:pt>
                <c:pt idx="1167">
                  <c:v>204599.92</c:v>
                </c:pt>
                <c:pt idx="1168">
                  <c:v>204699.92</c:v>
                </c:pt>
                <c:pt idx="1169">
                  <c:v>204799.92</c:v>
                </c:pt>
                <c:pt idx="1170">
                  <c:v>204899.92</c:v>
                </c:pt>
                <c:pt idx="1171">
                  <c:v>204999.92</c:v>
                </c:pt>
                <c:pt idx="1172">
                  <c:v>205048.5</c:v>
                </c:pt>
                <c:pt idx="1173">
                  <c:v>205099.92</c:v>
                </c:pt>
                <c:pt idx="1174">
                  <c:v>205123.5</c:v>
                </c:pt>
                <c:pt idx="1175">
                  <c:v>205199.92</c:v>
                </c:pt>
                <c:pt idx="1176">
                  <c:v>205209.4</c:v>
                </c:pt>
                <c:pt idx="1177">
                  <c:v>205299.92</c:v>
                </c:pt>
                <c:pt idx="1178">
                  <c:v>205329.4</c:v>
                </c:pt>
                <c:pt idx="1179">
                  <c:v>205399.92</c:v>
                </c:pt>
                <c:pt idx="1180">
                  <c:v>205499.92</c:v>
                </c:pt>
                <c:pt idx="1181">
                  <c:v>205599.92</c:v>
                </c:pt>
                <c:pt idx="1182">
                  <c:v>205699.92</c:v>
                </c:pt>
                <c:pt idx="1183">
                  <c:v>205799.92</c:v>
                </c:pt>
                <c:pt idx="1184">
                  <c:v>205899.92</c:v>
                </c:pt>
                <c:pt idx="1185">
                  <c:v>205999.92</c:v>
                </c:pt>
                <c:pt idx="1186">
                  <c:v>206099.92</c:v>
                </c:pt>
                <c:pt idx="1187">
                  <c:v>206199.92</c:v>
                </c:pt>
                <c:pt idx="1188">
                  <c:v>206299.92</c:v>
                </c:pt>
                <c:pt idx="1189">
                  <c:v>206399.92</c:v>
                </c:pt>
                <c:pt idx="1190">
                  <c:v>206499.92</c:v>
                </c:pt>
                <c:pt idx="1191">
                  <c:v>206599.92</c:v>
                </c:pt>
                <c:pt idx="1192">
                  <c:v>206699.92</c:v>
                </c:pt>
                <c:pt idx="1193">
                  <c:v>206799.92</c:v>
                </c:pt>
                <c:pt idx="1194">
                  <c:v>206899.92</c:v>
                </c:pt>
                <c:pt idx="1195">
                  <c:v>206999.92</c:v>
                </c:pt>
                <c:pt idx="1196">
                  <c:v>207099.92</c:v>
                </c:pt>
                <c:pt idx="1197">
                  <c:v>207199.92</c:v>
                </c:pt>
                <c:pt idx="1198">
                  <c:v>207299.92</c:v>
                </c:pt>
                <c:pt idx="1199">
                  <c:v>207399.92</c:v>
                </c:pt>
                <c:pt idx="1200">
                  <c:v>207499.92</c:v>
                </c:pt>
                <c:pt idx="1201">
                  <c:v>207599.92</c:v>
                </c:pt>
                <c:pt idx="1202">
                  <c:v>207699.92</c:v>
                </c:pt>
                <c:pt idx="1203">
                  <c:v>207799.92</c:v>
                </c:pt>
                <c:pt idx="1204">
                  <c:v>207899.92</c:v>
                </c:pt>
                <c:pt idx="1205">
                  <c:v>207999.92</c:v>
                </c:pt>
                <c:pt idx="1206">
                  <c:v>208099.92</c:v>
                </c:pt>
                <c:pt idx="1207">
                  <c:v>208199.92</c:v>
                </c:pt>
                <c:pt idx="1208">
                  <c:v>208299.92</c:v>
                </c:pt>
                <c:pt idx="1209">
                  <c:v>208399.92</c:v>
                </c:pt>
                <c:pt idx="1210">
                  <c:v>208499.92</c:v>
                </c:pt>
                <c:pt idx="1211">
                  <c:v>208599.92</c:v>
                </c:pt>
                <c:pt idx="1212">
                  <c:v>208699.92</c:v>
                </c:pt>
                <c:pt idx="1213">
                  <c:v>208799.92</c:v>
                </c:pt>
                <c:pt idx="1214">
                  <c:v>208899.92</c:v>
                </c:pt>
                <c:pt idx="1215">
                  <c:v>208999.92</c:v>
                </c:pt>
                <c:pt idx="1216">
                  <c:v>209099.92</c:v>
                </c:pt>
                <c:pt idx="1217">
                  <c:v>209199.92</c:v>
                </c:pt>
                <c:pt idx="1218">
                  <c:v>209299.92</c:v>
                </c:pt>
                <c:pt idx="1219">
                  <c:v>209399.92</c:v>
                </c:pt>
                <c:pt idx="1220">
                  <c:v>209499.92</c:v>
                </c:pt>
                <c:pt idx="1221">
                  <c:v>209599.92</c:v>
                </c:pt>
                <c:pt idx="1222">
                  <c:v>209635</c:v>
                </c:pt>
                <c:pt idx="1223">
                  <c:v>209699.92</c:v>
                </c:pt>
                <c:pt idx="1224">
                  <c:v>209715</c:v>
                </c:pt>
                <c:pt idx="1225">
                  <c:v>209799.92</c:v>
                </c:pt>
                <c:pt idx="1226">
                  <c:v>209899.92</c:v>
                </c:pt>
                <c:pt idx="1227">
                  <c:v>209999.92</c:v>
                </c:pt>
                <c:pt idx="1228">
                  <c:v>210099.92</c:v>
                </c:pt>
                <c:pt idx="1229">
                  <c:v>210176.5</c:v>
                </c:pt>
                <c:pt idx="1230">
                  <c:v>210199.92</c:v>
                </c:pt>
                <c:pt idx="1231">
                  <c:v>210299.92</c:v>
                </c:pt>
                <c:pt idx="1232">
                  <c:v>210399.92</c:v>
                </c:pt>
                <c:pt idx="1233">
                  <c:v>210456.5</c:v>
                </c:pt>
                <c:pt idx="1234">
                  <c:v>210499.92</c:v>
                </c:pt>
                <c:pt idx="1235">
                  <c:v>210599.92</c:v>
                </c:pt>
                <c:pt idx="1236">
                  <c:v>210699.92</c:v>
                </c:pt>
                <c:pt idx="1237">
                  <c:v>210799.92</c:v>
                </c:pt>
                <c:pt idx="1238">
                  <c:v>210899.92</c:v>
                </c:pt>
                <c:pt idx="1239">
                  <c:v>210999.92</c:v>
                </c:pt>
                <c:pt idx="1240">
                  <c:v>211099.92</c:v>
                </c:pt>
                <c:pt idx="1241">
                  <c:v>211199.92</c:v>
                </c:pt>
                <c:pt idx="1242">
                  <c:v>211299.92</c:v>
                </c:pt>
                <c:pt idx="1243">
                  <c:v>211399.92</c:v>
                </c:pt>
                <c:pt idx="1244">
                  <c:v>211499.92</c:v>
                </c:pt>
                <c:pt idx="1245">
                  <c:v>211599.92</c:v>
                </c:pt>
                <c:pt idx="1246">
                  <c:v>211699.92</c:v>
                </c:pt>
                <c:pt idx="1247">
                  <c:v>211799.92</c:v>
                </c:pt>
                <c:pt idx="1248">
                  <c:v>211899.92</c:v>
                </c:pt>
                <c:pt idx="1249">
                  <c:v>211999.92</c:v>
                </c:pt>
                <c:pt idx="1250">
                  <c:v>212099.92</c:v>
                </c:pt>
                <c:pt idx="1251">
                  <c:v>212199.92</c:v>
                </c:pt>
                <c:pt idx="1252">
                  <c:v>212299.92</c:v>
                </c:pt>
                <c:pt idx="1253">
                  <c:v>212399.92</c:v>
                </c:pt>
                <c:pt idx="1254">
                  <c:v>212499.92</c:v>
                </c:pt>
                <c:pt idx="1255">
                  <c:v>212599.92</c:v>
                </c:pt>
                <c:pt idx="1256">
                  <c:v>212699.92</c:v>
                </c:pt>
                <c:pt idx="1257">
                  <c:v>212799.92</c:v>
                </c:pt>
                <c:pt idx="1258">
                  <c:v>212899.92</c:v>
                </c:pt>
                <c:pt idx="1259">
                  <c:v>212999.92</c:v>
                </c:pt>
                <c:pt idx="1260">
                  <c:v>213099.92</c:v>
                </c:pt>
                <c:pt idx="1261">
                  <c:v>213199.92</c:v>
                </c:pt>
                <c:pt idx="1262">
                  <c:v>213299.92</c:v>
                </c:pt>
                <c:pt idx="1263">
                  <c:v>213399.92</c:v>
                </c:pt>
                <c:pt idx="1264">
                  <c:v>213499.92</c:v>
                </c:pt>
                <c:pt idx="1265">
                  <c:v>213599.92</c:v>
                </c:pt>
                <c:pt idx="1266">
                  <c:v>213699.92</c:v>
                </c:pt>
                <c:pt idx="1267">
                  <c:v>213799.92</c:v>
                </c:pt>
                <c:pt idx="1268">
                  <c:v>213899.92</c:v>
                </c:pt>
                <c:pt idx="1269">
                  <c:v>213999.92</c:v>
                </c:pt>
                <c:pt idx="1270">
                  <c:v>214099.92</c:v>
                </c:pt>
                <c:pt idx="1271">
                  <c:v>214199.92</c:v>
                </c:pt>
                <c:pt idx="1272">
                  <c:v>214299.92</c:v>
                </c:pt>
                <c:pt idx="1273">
                  <c:v>214399.92</c:v>
                </c:pt>
                <c:pt idx="1274">
                  <c:v>214499.92</c:v>
                </c:pt>
                <c:pt idx="1275">
                  <c:v>214599.92</c:v>
                </c:pt>
                <c:pt idx="1276">
                  <c:v>214699.92</c:v>
                </c:pt>
                <c:pt idx="1277">
                  <c:v>214799.92</c:v>
                </c:pt>
                <c:pt idx="1278">
                  <c:v>214899.92</c:v>
                </c:pt>
                <c:pt idx="1279">
                  <c:v>214999.92</c:v>
                </c:pt>
                <c:pt idx="1280">
                  <c:v>215099.92</c:v>
                </c:pt>
                <c:pt idx="1281">
                  <c:v>215199.92</c:v>
                </c:pt>
                <c:pt idx="1282">
                  <c:v>215299.92</c:v>
                </c:pt>
                <c:pt idx="1283">
                  <c:v>215399.92</c:v>
                </c:pt>
                <c:pt idx="1284">
                  <c:v>215499.92</c:v>
                </c:pt>
                <c:pt idx="1285">
                  <c:v>215599.92</c:v>
                </c:pt>
                <c:pt idx="1286">
                  <c:v>215699.92</c:v>
                </c:pt>
                <c:pt idx="1287">
                  <c:v>215799.92</c:v>
                </c:pt>
                <c:pt idx="1288">
                  <c:v>215899.92</c:v>
                </c:pt>
                <c:pt idx="1289">
                  <c:v>215987.9</c:v>
                </c:pt>
                <c:pt idx="1290">
                  <c:v>215999.92</c:v>
                </c:pt>
                <c:pt idx="1291">
                  <c:v>216099.92</c:v>
                </c:pt>
                <c:pt idx="1292">
                  <c:v>216147.9</c:v>
                </c:pt>
                <c:pt idx="1293">
                  <c:v>216199.92</c:v>
                </c:pt>
                <c:pt idx="1294">
                  <c:v>216299.92</c:v>
                </c:pt>
                <c:pt idx="1295">
                  <c:v>216399.92</c:v>
                </c:pt>
                <c:pt idx="1296">
                  <c:v>216499.92</c:v>
                </c:pt>
                <c:pt idx="1297">
                  <c:v>216599.92</c:v>
                </c:pt>
                <c:pt idx="1298">
                  <c:v>216699.92</c:v>
                </c:pt>
                <c:pt idx="1299">
                  <c:v>216799.92</c:v>
                </c:pt>
                <c:pt idx="1300">
                  <c:v>216899.92</c:v>
                </c:pt>
                <c:pt idx="1301">
                  <c:v>216999.92</c:v>
                </c:pt>
                <c:pt idx="1302">
                  <c:v>217099.92</c:v>
                </c:pt>
                <c:pt idx="1303">
                  <c:v>217195.7</c:v>
                </c:pt>
                <c:pt idx="1304">
                  <c:v>217199.92</c:v>
                </c:pt>
                <c:pt idx="1305">
                  <c:v>217299.92</c:v>
                </c:pt>
                <c:pt idx="1306">
                  <c:v>217315.7</c:v>
                </c:pt>
                <c:pt idx="1307">
                  <c:v>217399.92</c:v>
                </c:pt>
                <c:pt idx="1308">
                  <c:v>217499.92</c:v>
                </c:pt>
                <c:pt idx="1309">
                  <c:v>217599.92</c:v>
                </c:pt>
                <c:pt idx="1310">
                  <c:v>217699.92</c:v>
                </c:pt>
                <c:pt idx="1311">
                  <c:v>217799.92</c:v>
                </c:pt>
                <c:pt idx="1312">
                  <c:v>217899.92</c:v>
                </c:pt>
                <c:pt idx="1313">
                  <c:v>217999.92</c:v>
                </c:pt>
                <c:pt idx="1314">
                  <c:v>218099.92</c:v>
                </c:pt>
                <c:pt idx="1315">
                  <c:v>218199.92</c:v>
                </c:pt>
                <c:pt idx="1316">
                  <c:v>218299.92</c:v>
                </c:pt>
                <c:pt idx="1317">
                  <c:v>218399.92</c:v>
                </c:pt>
                <c:pt idx="1318">
                  <c:v>218499.92</c:v>
                </c:pt>
                <c:pt idx="1319">
                  <c:v>218599.92</c:v>
                </c:pt>
                <c:pt idx="1320">
                  <c:v>218699.92</c:v>
                </c:pt>
                <c:pt idx="1321">
                  <c:v>218799.92</c:v>
                </c:pt>
                <c:pt idx="1322">
                  <c:v>218899.92</c:v>
                </c:pt>
                <c:pt idx="1323">
                  <c:v>218999.92</c:v>
                </c:pt>
                <c:pt idx="1324">
                  <c:v>219099.92</c:v>
                </c:pt>
                <c:pt idx="1325">
                  <c:v>219199.92</c:v>
                </c:pt>
                <c:pt idx="1326">
                  <c:v>219299.92</c:v>
                </c:pt>
                <c:pt idx="1327">
                  <c:v>219399.92</c:v>
                </c:pt>
                <c:pt idx="1328">
                  <c:v>219499.92</c:v>
                </c:pt>
                <c:pt idx="1329">
                  <c:v>219599.92</c:v>
                </c:pt>
                <c:pt idx="1330">
                  <c:v>219699.92</c:v>
                </c:pt>
                <c:pt idx="1331">
                  <c:v>219799.92</c:v>
                </c:pt>
                <c:pt idx="1332">
                  <c:v>219899.92</c:v>
                </c:pt>
                <c:pt idx="1333">
                  <c:v>219999.92</c:v>
                </c:pt>
                <c:pt idx="1334">
                  <c:v>220099.92</c:v>
                </c:pt>
                <c:pt idx="1335">
                  <c:v>220199.92</c:v>
                </c:pt>
                <c:pt idx="1336">
                  <c:v>220299.92</c:v>
                </c:pt>
                <c:pt idx="1337">
                  <c:v>220399.92</c:v>
                </c:pt>
                <c:pt idx="1338">
                  <c:v>220499.92</c:v>
                </c:pt>
                <c:pt idx="1339">
                  <c:v>220599.92</c:v>
                </c:pt>
                <c:pt idx="1340">
                  <c:v>220699.92</c:v>
                </c:pt>
                <c:pt idx="1341">
                  <c:v>220799.92</c:v>
                </c:pt>
                <c:pt idx="1342">
                  <c:v>220899.92</c:v>
                </c:pt>
                <c:pt idx="1343">
                  <c:v>220999.92</c:v>
                </c:pt>
                <c:pt idx="1344">
                  <c:v>221099.92</c:v>
                </c:pt>
                <c:pt idx="1345">
                  <c:v>221199.92</c:v>
                </c:pt>
                <c:pt idx="1346">
                  <c:v>221299.92</c:v>
                </c:pt>
                <c:pt idx="1347">
                  <c:v>221399.92</c:v>
                </c:pt>
                <c:pt idx="1348">
                  <c:v>221499.92</c:v>
                </c:pt>
                <c:pt idx="1349">
                  <c:v>221599.92</c:v>
                </c:pt>
                <c:pt idx="1350">
                  <c:v>221699.92</c:v>
                </c:pt>
                <c:pt idx="1351">
                  <c:v>221799.92</c:v>
                </c:pt>
                <c:pt idx="1352">
                  <c:v>221899.92</c:v>
                </c:pt>
                <c:pt idx="1353">
                  <c:v>221999.92</c:v>
                </c:pt>
                <c:pt idx="1354">
                  <c:v>222099.92</c:v>
                </c:pt>
                <c:pt idx="1355">
                  <c:v>222199.92</c:v>
                </c:pt>
                <c:pt idx="1356">
                  <c:v>222299.92</c:v>
                </c:pt>
                <c:pt idx="1357">
                  <c:v>222399.92</c:v>
                </c:pt>
                <c:pt idx="1358">
                  <c:v>222499.92</c:v>
                </c:pt>
                <c:pt idx="1359">
                  <c:v>222599.92</c:v>
                </c:pt>
                <c:pt idx="1360">
                  <c:v>222699.92</c:v>
                </c:pt>
                <c:pt idx="1361">
                  <c:v>222799.92</c:v>
                </c:pt>
                <c:pt idx="1362">
                  <c:v>222899.92</c:v>
                </c:pt>
                <c:pt idx="1363">
                  <c:v>222999.92</c:v>
                </c:pt>
                <c:pt idx="1364">
                  <c:v>223099.92</c:v>
                </c:pt>
                <c:pt idx="1365">
                  <c:v>223199.92</c:v>
                </c:pt>
                <c:pt idx="1366">
                  <c:v>223299.92</c:v>
                </c:pt>
                <c:pt idx="1367">
                  <c:v>223399.92</c:v>
                </c:pt>
                <c:pt idx="1368">
                  <c:v>223499.92</c:v>
                </c:pt>
                <c:pt idx="1369">
                  <c:v>223599.92</c:v>
                </c:pt>
                <c:pt idx="1370">
                  <c:v>223699.92</c:v>
                </c:pt>
                <c:pt idx="1371">
                  <c:v>223799.92</c:v>
                </c:pt>
                <c:pt idx="1372">
                  <c:v>223872</c:v>
                </c:pt>
                <c:pt idx="1373">
                  <c:v>223899.92</c:v>
                </c:pt>
                <c:pt idx="1374">
                  <c:v>223999.92</c:v>
                </c:pt>
                <c:pt idx="1375">
                  <c:v>224099.92</c:v>
                </c:pt>
                <c:pt idx="1376">
                  <c:v>224199.92</c:v>
                </c:pt>
                <c:pt idx="1377">
                  <c:v>224299.92</c:v>
                </c:pt>
                <c:pt idx="1378">
                  <c:v>224377.9</c:v>
                </c:pt>
                <c:pt idx="1379">
                  <c:v>224399.92</c:v>
                </c:pt>
                <c:pt idx="1380">
                  <c:v>224499.92</c:v>
                </c:pt>
                <c:pt idx="1381">
                  <c:v>224599.92</c:v>
                </c:pt>
                <c:pt idx="1382">
                  <c:v>224617.9</c:v>
                </c:pt>
                <c:pt idx="1383">
                  <c:v>224699.92</c:v>
                </c:pt>
                <c:pt idx="1384">
                  <c:v>224799.92</c:v>
                </c:pt>
                <c:pt idx="1385">
                  <c:v>224899.92</c:v>
                </c:pt>
                <c:pt idx="1386">
                  <c:v>224999.92</c:v>
                </c:pt>
                <c:pt idx="1387">
                  <c:v>225099.92</c:v>
                </c:pt>
                <c:pt idx="1388">
                  <c:v>225199.92</c:v>
                </c:pt>
                <c:pt idx="1389">
                  <c:v>225299.92</c:v>
                </c:pt>
              </c:numCache>
            </c:numRef>
          </c:xVal>
          <c:yVal>
            <c:numRef>
              <c:f>TS!$O$2:$O$1391</c:f>
              <c:numCache>
                <c:formatCode>0.0</c:formatCode>
                <c:ptCount val="1390"/>
                <c:pt idx="0">
                  <c:v>825.18449999999996</c:v>
                </c:pt>
                <c:pt idx="1">
                  <c:v>822.00390000000004</c:v>
                </c:pt>
                <c:pt idx="2">
                  <c:v>818.54489999999998</c:v>
                </c:pt>
                <c:pt idx="3">
                  <c:v>814.72770000000003</c:v>
                </c:pt>
                <c:pt idx="4">
                  <c:v>812.42039999999997</c:v>
                </c:pt>
                <c:pt idx="5">
                  <c:v>808.45690000000002</c:v>
                </c:pt>
                <c:pt idx="6">
                  <c:v>805.67160000000001</c:v>
                </c:pt>
                <c:pt idx="7">
                  <c:v>803.46410000000003</c:v>
                </c:pt>
                <c:pt idx="8">
                  <c:v>802.625</c:v>
                </c:pt>
                <c:pt idx="9">
                  <c:v>802.10730000000001</c:v>
                </c:pt>
                <c:pt idx="10">
                  <c:v>801.93790000000001</c:v>
                </c:pt>
                <c:pt idx="11">
                  <c:v>804.26419999999996</c:v>
                </c:pt>
                <c:pt idx="12">
                  <c:v>807.31610000000001</c:v>
                </c:pt>
                <c:pt idx="13">
                  <c:v>812.62819999999999</c:v>
                </c:pt>
                <c:pt idx="14">
                  <c:v>811.20650000000001</c:v>
                </c:pt>
                <c:pt idx="15">
                  <c:v>808.82249999999999</c:v>
                </c:pt>
                <c:pt idx="16">
                  <c:v>806.58780000000002</c:v>
                </c:pt>
                <c:pt idx="17">
                  <c:v>804.4325</c:v>
                </c:pt>
                <c:pt idx="18">
                  <c:v>801.51639999999998</c:v>
                </c:pt>
                <c:pt idx="19">
                  <c:v>798.98090000000002</c:v>
                </c:pt>
                <c:pt idx="20">
                  <c:v>790.85580000000004</c:v>
                </c:pt>
                <c:pt idx="21">
                  <c:v>777.31920000000002</c:v>
                </c:pt>
                <c:pt idx="22">
                  <c:v>752.5068</c:v>
                </c:pt>
                <c:pt idx="23">
                  <c:v>743.84879999999998</c:v>
                </c:pt>
                <c:pt idx="24">
                  <c:v>733.67330000000004</c:v>
                </c:pt>
                <c:pt idx="25">
                  <c:v>713.57770000000005</c:v>
                </c:pt>
                <c:pt idx="26">
                  <c:v>701.03</c:v>
                </c:pt>
                <c:pt idx="27">
                  <c:v>693.17319999999995</c:v>
                </c:pt>
                <c:pt idx="28">
                  <c:v>685.2826</c:v>
                </c:pt>
                <c:pt idx="29">
                  <c:v>682.06600000000003</c:v>
                </c:pt>
                <c:pt idx="30">
                  <c:v>675.88239999999996</c:v>
                </c:pt>
                <c:pt idx="31">
                  <c:v>686.31809999999996</c:v>
                </c:pt>
                <c:pt idx="32">
                  <c:v>690.95450000000005</c:v>
                </c:pt>
                <c:pt idx="33">
                  <c:v>691.38530000000003</c:v>
                </c:pt>
                <c:pt idx="34">
                  <c:v>694.19590000000005</c:v>
                </c:pt>
                <c:pt idx="35">
                  <c:v>690.27779999999996</c:v>
                </c:pt>
                <c:pt idx="36">
                  <c:v>683.13340000000005</c:v>
                </c:pt>
                <c:pt idx="37">
                  <c:v>683.13340000000005</c:v>
                </c:pt>
                <c:pt idx="38">
                  <c:v>676.62919999999997</c:v>
                </c:pt>
                <c:pt idx="39">
                  <c:v>676.62919999999997</c:v>
                </c:pt>
                <c:pt idx="40">
                  <c:v>671.69830000000002</c:v>
                </c:pt>
                <c:pt idx="41">
                  <c:v>671.00139999999999</c:v>
                </c:pt>
                <c:pt idx="42">
                  <c:v>666.16539999999998</c:v>
                </c:pt>
                <c:pt idx="43">
                  <c:v>663.45740000000001</c:v>
                </c:pt>
                <c:pt idx="44">
                  <c:v>663.45740000000001</c:v>
                </c:pt>
                <c:pt idx="45">
                  <c:v>660.59079999999994</c:v>
                </c:pt>
                <c:pt idx="46">
                  <c:v>659.40179999999998</c:v>
                </c:pt>
                <c:pt idx="47">
                  <c:v>657.68020000000001</c:v>
                </c:pt>
                <c:pt idx="48">
                  <c:v>657.16989999999998</c:v>
                </c:pt>
                <c:pt idx="49">
                  <c:v>655.13040000000001</c:v>
                </c:pt>
                <c:pt idx="50">
                  <c:v>654.24860000000001</c:v>
                </c:pt>
                <c:pt idx="51">
                  <c:v>653.02930000000003</c:v>
                </c:pt>
                <c:pt idx="52">
                  <c:v>652.4556</c:v>
                </c:pt>
                <c:pt idx="53">
                  <c:v>652.60400000000004</c:v>
                </c:pt>
                <c:pt idx="54">
                  <c:v>650.85900000000004</c:v>
                </c:pt>
                <c:pt idx="55">
                  <c:v>637.76790000000005</c:v>
                </c:pt>
                <c:pt idx="56">
                  <c:v>651.46469999999999</c:v>
                </c:pt>
                <c:pt idx="57">
                  <c:v>653.09400000000005</c:v>
                </c:pt>
                <c:pt idx="58">
                  <c:v>651.93449999999996</c:v>
                </c:pt>
                <c:pt idx="59">
                  <c:v>650.70630000000006</c:v>
                </c:pt>
                <c:pt idx="60">
                  <c:v>650.13319999999999</c:v>
                </c:pt>
                <c:pt idx="61">
                  <c:v>651.59879999999998</c:v>
                </c:pt>
                <c:pt idx="62">
                  <c:v>652.65060000000005</c:v>
                </c:pt>
                <c:pt idx="63">
                  <c:v>653.5838</c:v>
                </c:pt>
                <c:pt idx="64">
                  <c:v>653.5838</c:v>
                </c:pt>
                <c:pt idx="65">
                  <c:v>653.86239999999998</c:v>
                </c:pt>
                <c:pt idx="66">
                  <c:v>653.92240000000004</c:v>
                </c:pt>
                <c:pt idx="67">
                  <c:v>653.88509999999997</c:v>
                </c:pt>
                <c:pt idx="68">
                  <c:v>654.69820000000004</c:v>
                </c:pt>
                <c:pt idx="69">
                  <c:v>655.52179999999998</c:v>
                </c:pt>
                <c:pt idx="70">
                  <c:v>656.35440000000006</c:v>
                </c:pt>
                <c:pt idx="71">
                  <c:v>656.60299999999995</c:v>
                </c:pt>
                <c:pt idx="72">
                  <c:v>656.28959999999995</c:v>
                </c:pt>
                <c:pt idx="73">
                  <c:v>656.14840000000004</c:v>
                </c:pt>
                <c:pt idx="74">
                  <c:v>656.16840000000002</c:v>
                </c:pt>
                <c:pt idx="75">
                  <c:v>657.12649999999996</c:v>
                </c:pt>
                <c:pt idx="76">
                  <c:v>657.77350000000001</c:v>
                </c:pt>
                <c:pt idx="77">
                  <c:v>659.60289999999998</c:v>
                </c:pt>
                <c:pt idx="78">
                  <c:v>660.0444</c:v>
                </c:pt>
                <c:pt idx="79">
                  <c:v>658.68079999999998</c:v>
                </c:pt>
                <c:pt idx="80">
                  <c:v>657.8723</c:v>
                </c:pt>
                <c:pt idx="81">
                  <c:v>656.36090000000002</c:v>
                </c:pt>
                <c:pt idx="82">
                  <c:v>655.59299999999996</c:v>
                </c:pt>
                <c:pt idx="83">
                  <c:v>655.52239999999995</c:v>
                </c:pt>
                <c:pt idx="84">
                  <c:v>655.52239999999995</c:v>
                </c:pt>
                <c:pt idx="85">
                  <c:v>656.56399999999996</c:v>
                </c:pt>
                <c:pt idx="86">
                  <c:v>656.56399999999996</c:v>
                </c:pt>
                <c:pt idx="87">
                  <c:v>654.28840000000002</c:v>
                </c:pt>
                <c:pt idx="88">
                  <c:v>654.34280000000001</c:v>
                </c:pt>
                <c:pt idx="89">
                  <c:v>653.0222</c:v>
                </c:pt>
                <c:pt idx="90">
                  <c:v>651.2192</c:v>
                </c:pt>
                <c:pt idx="91">
                  <c:v>648.79340000000002</c:v>
                </c:pt>
                <c:pt idx="92">
                  <c:v>646.48009999999999</c:v>
                </c:pt>
                <c:pt idx="93">
                  <c:v>645.92719999999997</c:v>
                </c:pt>
                <c:pt idx="94">
                  <c:v>644.42859999999996</c:v>
                </c:pt>
                <c:pt idx="95">
                  <c:v>642.63789999999995</c:v>
                </c:pt>
                <c:pt idx="96">
                  <c:v>642.40009999999995</c:v>
                </c:pt>
                <c:pt idx="97">
                  <c:v>641.60040000000004</c:v>
                </c:pt>
                <c:pt idx="98">
                  <c:v>641.26499999999999</c:v>
                </c:pt>
                <c:pt idx="99">
                  <c:v>643.09270000000004</c:v>
                </c:pt>
                <c:pt idx="100">
                  <c:v>642.17790000000002</c:v>
                </c:pt>
                <c:pt idx="101">
                  <c:v>641.22940000000006</c:v>
                </c:pt>
                <c:pt idx="102">
                  <c:v>641.15949999999998</c:v>
                </c:pt>
                <c:pt idx="103">
                  <c:v>641.06799999999998</c:v>
                </c:pt>
                <c:pt idx="104">
                  <c:v>640.85429999999997</c:v>
                </c:pt>
                <c:pt idx="105">
                  <c:v>640.37289999999996</c:v>
                </c:pt>
                <c:pt idx="106">
                  <c:v>639.97969999999998</c:v>
                </c:pt>
                <c:pt idx="107">
                  <c:v>639.92949999999996</c:v>
                </c:pt>
                <c:pt idx="108">
                  <c:v>639.94920000000002</c:v>
                </c:pt>
                <c:pt idx="109">
                  <c:v>639.85019999999997</c:v>
                </c:pt>
                <c:pt idx="110">
                  <c:v>640.32029999999997</c:v>
                </c:pt>
                <c:pt idx="111">
                  <c:v>640.65509999999995</c:v>
                </c:pt>
                <c:pt idx="112">
                  <c:v>640.86850000000004</c:v>
                </c:pt>
                <c:pt idx="113">
                  <c:v>641.2509</c:v>
                </c:pt>
                <c:pt idx="114">
                  <c:v>641.71299999999997</c:v>
                </c:pt>
                <c:pt idx="115">
                  <c:v>642.03970000000004</c:v>
                </c:pt>
                <c:pt idx="116">
                  <c:v>642.44529999999997</c:v>
                </c:pt>
                <c:pt idx="117">
                  <c:v>642.71410000000003</c:v>
                </c:pt>
                <c:pt idx="118">
                  <c:v>642.73509999999999</c:v>
                </c:pt>
                <c:pt idx="119">
                  <c:v>643.01520000000005</c:v>
                </c:pt>
                <c:pt idx="120">
                  <c:v>642.9624</c:v>
                </c:pt>
                <c:pt idx="121">
                  <c:v>643.02099999999996</c:v>
                </c:pt>
                <c:pt idx="122">
                  <c:v>643.13009999999997</c:v>
                </c:pt>
                <c:pt idx="123">
                  <c:v>643.48130000000003</c:v>
                </c:pt>
                <c:pt idx="124">
                  <c:v>643.73969999999997</c:v>
                </c:pt>
                <c:pt idx="125">
                  <c:v>644.13160000000005</c:v>
                </c:pt>
                <c:pt idx="126">
                  <c:v>644.16430000000003</c:v>
                </c:pt>
                <c:pt idx="127">
                  <c:v>644.28980000000001</c:v>
                </c:pt>
                <c:pt idx="128">
                  <c:v>643.87350000000004</c:v>
                </c:pt>
                <c:pt idx="129">
                  <c:v>643.87350000000004</c:v>
                </c:pt>
                <c:pt idx="130">
                  <c:v>643.16189999999995</c:v>
                </c:pt>
                <c:pt idx="131">
                  <c:v>642.36509999999998</c:v>
                </c:pt>
                <c:pt idx="132">
                  <c:v>644.47519999999997</c:v>
                </c:pt>
                <c:pt idx="133">
                  <c:v>644.20090000000005</c:v>
                </c:pt>
                <c:pt idx="134">
                  <c:v>644.36249999999995</c:v>
                </c:pt>
                <c:pt idx="135">
                  <c:v>644.95619999999997</c:v>
                </c:pt>
                <c:pt idx="136">
                  <c:v>645.99260000000004</c:v>
                </c:pt>
                <c:pt idx="137">
                  <c:v>646.57389999999998</c:v>
                </c:pt>
                <c:pt idx="138">
                  <c:v>647.07370000000003</c:v>
                </c:pt>
                <c:pt idx="139">
                  <c:v>647.07370000000003</c:v>
                </c:pt>
                <c:pt idx="140">
                  <c:v>647.19560000000001</c:v>
                </c:pt>
                <c:pt idx="141">
                  <c:v>648.01829999999995</c:v>
                </c:pt>
                <c:pt idx="142">
                  <c:v>648.31510000000003</c:v>
                </c:pt>
                <c:pt idx="143">
                  <c:v>648.67579999999998</c:v>
                </c:pt>
                <c:pt idx="144">
                  <c:v>648.67579999999998</c:v>
                </c:pt>
                <c:pt idx="145">
                  <c:v>648.87159999999994</c:v>
                </c:pt>
                <c:pt idx="146">
                  <c:v>650.02539999999999</c:v>
                </c:pt>
                <c:pt idx="147">
                  <c:v>651.15719999999999</c:v>
                </c:pt>
                <c:pt idx="148">
                  <c:v>651.15719999999999</c:v>
                </c:pt>
                <c:pt idx="149">
                  <c:v>650.73090000000002</c:v>
                </c:pt>
                <c:pt idx="150">
                  <c:v>650.9873</c:v>
                </c:pt>
                <c:pt idx="151">
                  <c:v>650.70330000000001</c:v>
                </c:pt>
                <c:pt idx="152">
                  <c:v>650.54729999999995</c:v>
                </c:pt>
                <c:pt idx="153">
                  <c:v>650.45330000000001</c:v>
                </c:pt>
                <c:pt idx="154">
                  <c:v>649.92359999999996</c:v>
                </c:pt>
                <c:pt idx="155">
                  <c:v>649.19650000000001</c:v>
                </c:pt>
                <c:pt idx="156">
                  <c:v>645.39549999999997</c:v>
                </c:pt>
                <c:pt idx="157">
                  <c:v>640.13739999999996</c:v>
                </c:pt>
                <c:pt idx="158">
                  <c:v>640.13739999999996</c:v>
                </c:pt>
                <c:pt idx="159">
                  <c:v>650.2423</c:v>
                </c:pt>
                <c:pt idx="160">
                  <c:v>650.2423</c:v>
                </c:pt>
                <c:pt idx="161">
                  <c:v>649.74329999999998</c:v>
                </c:pt>
                <c:pt idx="162">
                  <c:v>649.31479999999999</c:v>
                </c:pt>
                <c:pt idx="163">
                  <c:v>648.97919999999999</c:v>
                </c:pt>
                <c:pt idx="164">
                  <c:v>648.69200000000001</c:v>
                </c:pt>
                <c:pt idx="165">
                  <c:v>648.42679999999996</c:v>
                </c:pt>
                <c:pt idx="166">
                  <c:v>648.23710000000005</c:v>
                </c:pt>
                <c:pt idx="167">
                  <c:v>648.08339999999998</c:v>
                </c:pt>
                <c:pt idx="168">
                  <c:v>648.49940000000004</c:v>
                </c:pt>
                <c:pt idx="169">
                  <c:v>648.27560000000005</c:v>
                </c:pt>
                <c:pt idx="170">
                  <c:v>647.3759</c:v>
                </c:pt>
                <c:pt idx="171">
                  <c:v>647.50490000000002</c:v>
                </c:pt>
                <c:pt idx="172">
                  <c:v>647.36900000000003</c:v>
                </c:pt>
                <c:pt idx="173">
                  <c:v>647.28840000000002</c:v>
                </c:pt>
                <c:pt idx="174">
                  <c:v>647.28570000000002</c:v>
                </c:pt>
                <c:pt idx="175">
                  <c:v>647.29819999999995</c:v>
                </c:pt>
                <c:pt idx="176">
                  <c:v>647.31600000000003</c:v>
                </c:pt>
                <c:pt idx="177">
                  <c:v>647.51409999999998</c:v>
                </c:pt>
                <c:pt idx="178">
                  <c:v>647.71100000000001</c:v>
                </c:pt>
                <c:pt idx="179">
                  <c:v>647.86599999999999</c:v>
                </c:pt>
                <c:pt idx="180">
                  <c:v>648.02099999999996</c:v>
                </c:pt>
                <c:pt idx="181">
                  <c:v>648.28229999999996</c:v>
                </c:pt>
                <c:pt idx="182">
                  <c:v>648.56920000000002</c:v>
                </c:pt>
                <c:pt idx="183">
                  <c:v>648.88030000000003</c:v>
                </c:pt>
                <c:pt idx="184">
                  <c:v>649.1979</c:v>
                </c:pt>
                <c:pt idx="185">
                  <c:v>650.08969999999999</c:v>
                </c:pt>
                <c:pt idx="186">
                  <c:v>651.12890000000004</c:v>
                </c:pt>
                <c:pt idx="187">
                  <c:v>652.09010000000001</c:v>
                </c:pt>
                <c:pt idx="188">
                  <c:v>653.03219999999999</c:v>
                </c:pt>
                <c:pt idx="189">
                  <c:v>654.31910000000005</c:v>
                </c:pt>
                <c:pt idx="190">
                  <c:v>656.2106</c:v>
                </c:pt>
                <c:pt idx="191">
                  <c:v>660.17840000000001</c:v>
                </c:pt>
                <c:pt idx="192">
                  <c:v>657.28449999999998</c:v>
                </c:pt>
                <c:pt idx="193">
                  <c:v>662.33900000000006</c:v>
                </c:pt>
                <c:pt idx="194">
                  <c:v>662.33900000000006</c:v>
                </c:pt>
                <c:pt idx="195">
                  <c:v>663.74429999999995</c:v>
                </c:pt>
                <c:pt idx="196">
                  <c:v>663.74429999999995</c:v>
                </c:pt>
                <c:pt idx="197">
                  <c:v>664.96199999999999</c:v>
                </c:pt>
                <c:pt idx="198">
                  <c:v>666.92269999999996</c:v>
                </c:pt>
                <c:pt idx="199">
                  <c:v>669.03020000000004</c:v>
                </c:pt>
                <c:pt idx="200">
                  <c:v>671.26059999999995</c:v>
                </c:pt>
                <c:pt idx="201">
                  <c:v>673.59320000000002</c:v>
                </c:pt>
                <c:pt idx="202">
                  <c:v>673.59320000000002</c:v>
                </c:pt>
                <c:pt idx="203">
                  <c:v>678.06479999999999</c:v>
                </c:pt>
                <c:pt idx="204">
                  <c:v>678.06479999999999</c:v>
                </c:pt>
                <c:pt idx="205">
                  <c:v>681.5806</c:v>
                </c:pt>
                <c:pt idx="206">
                  <c:v>684.37559999999996</c:v>
                </c:pt>
                <c:pt idx="207">
                  <c:v>684.37559999999996</c:v>
                </c:pt>
                <c:pt idx="208">
                  <c:v>687.15650000000005</c:v>
                </c:pt>
                <c:pt idx="209">
                  <c:v>687.15650000000005</c:v>
                </c:pt>
                <c:pt idx="210">
                  <c:v>687.77689999999996</c:v>
                </c:pt>
                <c:pt idx="211">
                  <c:v>694.0607</c:v>
                </c:pt>
                <c:pt idx="212">
                  <c:v>700.69410000000005</c:v>
                </c:pt>
                <c:pt idx="213">
                  <c:v>700.65309999999999</c:v>
                </c:pt>
                <c:pt idx="214">
                  <c:v>684.61789999999996</c:v>
                </c:pt>
                <c:pt idx="215">
                  <c:v>668.54129999999998</c:v>
                </c:pt>
                <c:pt idx="216">
                  <c:v>668.54129999999998</c:v>
                </c:pt>
                <c:pt idx="217">
                  <c:v>639.84299999999996</c:v>
                </c:pt>
                <c:pt idx="218">
                  <c:v>639.84299999999996</c:v>
                </c:pt>
                <c:pt idx="219">
                  <c:v>632.14509999999996</c:v>
                </c:pt>
                <c:pt idx="220">
                  <c:v>627.45129999999995</c:v>
                </c:pt>
                <c:pt idx="221">
                  <c:v>625.05190000000005</c:v>
                </c:pt>
                <c:pt idx="222">
                  <c:v>625.05190000000005</c:v>
                </c:pt>
                <c:pt idx="223">
                  <c:v>623.25070000000005</c:v>
                </c:pt>
                <c:pt idx="224">
                  <c:v>621.39369999999997</c:v>
                </c:pt>
                <c:pt idx="225">
                  <c:v>619.11540000000002</c:v>
                </c:pt>
                <c:pt idx="226">
                  <c:v>617.44029999999998</c:v>
                </c:pt>
                <c:pt idx="227">
                  <c:v>615.41890000000001</c:v>
                </c:pt>
                <c:pt idx="228">
                  <c:v>615.34720000000004</c:v>
                </c:pt>
                <c:pt idx="229">
                  <c:v>609.45659999999998</c:v>
                </c:pt>
                <c:pt idx="230">
                  <c:v>597.89009999999996</c:v>
                </c:pt>
                <c:pt idx="231">
                  <c:v>594.71540000000005</c:v>
                </c:pt>
                <c:pt idx="232">
                  <c:v>572.81079999999997</c:v>
                </c:pt>
                <c:pt idx="233">
                  <c:v>574.56920000000002</c:v>
                </c:pt>
                <c:pt idx="234">
                  <c:v>575.08780000000002</c:v>
                </c:pt>
                <c:pt idx="235">
                  <c:v>584.93859999999995</c:v>
                </c:pt>
                <c:pt idx="236">
                  <c:v>598.44740000000002</c:v>
                </c:pt>
                <c:pt idx="237">
                  <c:v>596.13699999999994</c:v>
                </c:pt>
                <c:pt idx="238">
                  <c:v>599.54549999999995</c:v>
                </c:pt>
                <c:pt idx="239">
                  <c:v>606.34169999999995</c:v>
                </c:pt>
                <c:pt idx="240">
                  <c:v>618.6123</c:v>
                </c:pt>
                <c:pt idx="241">
                  <c:v>628.33659999999998</c:v>
                </c:pt>
                <c:pt idx="242">
                  <c:v>635.67589999999996</c:v>
                </c:pt>
                <c:pt idx="243">
                  <c:v>633.37649999999996</c:v>
                </c:pt>
                <c:pt idx="244">
                  <c:v>625.56290000000001</c:v>
                </c:pt>
                <c:pt idx="245">
                  <c:v>618.35770000000002</c:v>
                </c:pt>
                <c:pt idx="246">
                  <c:v>631.03890000000001</c:v>
                </c:pt>
                <c:pt idx="247">
                  <c:v>636.69889999999998</c:v>
                </c:pt>
                <c:pt idx="248">
                  <c:v>643.47379999999998</c:v>
                </c:pt>
                <c:pt idx="249">
                  <c:v>643.47379999999998</c:v>
                </c:pt>
                <c:pt idx="250">
                  <c:v>649.94640000000004</c:v>
                </c:pt>
                <c:pt idx="251">
                  <c:v>656.39919999999995</c:v>
                </c:pt>
                <c:pt idx="252">
                  <c:v>658.17489999999998</c:v>
                </c:pt>
                <c:pt idx="253">
                  <c:v>658.42849999999999</c:v>
                </c:pt>
                <c:pt idx="254">
                  <c:v>657.37649999999996</c:v>
                </c:pt>
                <c:pt idx="255">
                  <c:v>656.47360000000003</c:v>
                </c:pt>
                <c:pt idx="256">
                  <c:v>656.73509999999999</c:v>
                </c:pt>
                <c:pt idx="257">
                  <c:v>659.07259999999997</c:v>
                </c:pt>
                <c:pt idx="258">
                  <c:v>659.60979999999995</c:v>
                </c:pt>
                <c:pt idx="259">
                  <c:v>658.1635</c:v>
                </c:pt>
                <c:pt idx="260">
                  <c:v>652.50040000000001</c:v>
                </c:pt>
                <c:pt idx="261">
                  <c:v>647.14459999999997</c:v>
                </c:pt>
                <c:pt idx="262">
                  <c:v>642.76909999999998</c:v>
                </c:pt>
                <c:pt idx="263">
                  <c:v>639.24519999999995</c:v>
                </c:pt>
                <c:pt idx="264">
                  <c:v>654.08690000000001</c:v>
                </c:pt>
                <c:pt idx="265">
                  <c:v>669.19010000000003</c:v>
                </c:pt>
                <c:pt idx="266">
                  <c:v>669.19010000000003</c:v>
                </c:pt>
                <c:pt idx="267">
                  <c:v>678.72119999999995</c:v>
                </c:pt>
                <c:pt idx="268">
                  <c:v>678.72119999999995</c:v>
                </c:pt>
                <c:pt idx="269">
                  <c:v>684.57449999999994</c:v>
                </c:pt>
                <c:pt idx="270">
                  <c:v>686.90750000000003</c:v>
                </c:pt>
                <c:pt idx="271">
                  <c:v>687.70680000000004</c:v>
                </c:pt>
                <c:pt idx="272">
                  <c:v>688.49900000000002</c:v>
                </c:pt>
                <c:pt idx="273">
                  <c:v>688.05629999999996</c:v>
                </c:pt>
                <c:pt idx="274">
                  <c:v>687.32259999999997</c:v>
                </c:pt>
                <c:pt idx="275">
                  <c:v>681.84069999999997</c:v>
                </c:pt>
                <c:pt idx="276">
                  <c:v>671.02</c:v>
                </c:pt>
                <c:pt idx="277">
                  <c:v>655.85929999999996</c:v>
                </c:pt>
                <c:pt idx="278">
                  <c:v>653.54190000000006</c:v>
                </c:pt>
                <c:pt idx="279">
                  <c:v>672.14760000000001</c:v>
                </c:pt>
                <c:pt idx="280">
                  <c:v>689.24130000000002</c:v>
                </c:pt>
                <c:pt idx="281">
                  <c:v>699.31039999999996</c:v>
                </c:pt>
                <c:pt idx="282">
                  <c:v>706.37829999999997</c:v>
                </c:pt>
                <c:pt idx="283">
                  <c:v>714.72199999999998</c:v>
                </c:pt>
                <c:pt idx="284">
                  <c:v>717.7876</c:v>
                </c:pt>
                <c:pt idx="285">
                  <c:v>721.5367</c:v>
                </c:pt>
                <c:pt idx="286">
                  <c:v>723.86500000000001</c:v>
                </c:pt>
                <c:pt idx="287">
                  <c:v>722.47069999999997</c:v>
                </c:pt>
                <c:pt idx="288">
                  <c:v>720.23159999999996</c:v>
                </c:pt>
                <c:pt idx="289">
                  <c:v>717.82249999999999</c:v>
                </c:pt>
                <c:pt idx="290">
                  <c:v>715.07219999999995</c:v>
                </c:pt>
                <c:pt idx="291">
                  <c:v>718.03120000000001</c:v>
                </c:pt>
                <c:pt idx="292">
                  <c:v>723.06470000000002</c:v>
                </c:pt>
                <c:pt idx="293">
                  <c:v>723.08119999999997</c:v>
                </c:pt>
                <c:pt idx="294">
                  <c:v>718.76670000000001</c:v>
                </c:pt>
                <c:pt idx="295">
                  <c:v>712.01779999999997</c:v>
                </c:pt>
                <c:pt idx="296">
                  <c:v>700.79280000000006</c:v>
                </c:pt>
                <c:pt idx="297">
                  <c:v>704.23599999999999</c:v>
                </c:pt>
                <c:pt idx="298">
                  <c:v>704.23599999999999</c:v>
                </c:pt>
                <c:pt idx="299">
                  <c:v>704.23599999999999</c:v>
                </c:pt>
                <c:pt idx="300">
                  <c:v>710.89380000000006</c:v>
                </c:pt>
                <c:pt idx="301">
                  <c:v>700.99360000000001</c:v>
                </c:pt>
                <c:pt idx="302">
                  <c:v>689.7047</c:v>
                </c:pt>
                <c:pt idx="303">
                  <c:v>687.89859999999999</c:v>
                </c:pt>
                <c:pt idx="304">
                  <c:v>694.41279999999995</c:v>
                </c:pt>
                <c:pt idx="305">
                  <c:v>702.06439999999998</c:v>
                </c:pt>
                <c:pt idx="306">
                  <c:v>710.54</c:v>
                </c:pt>
                <c:pt idx="307">
                  <c:v>716.98159999999996</c:v>
                </c:pt>
                <c:pt idx="308">
                  <c:v>722.71879999999999</c:v>
                </c:pt>
                <c:pt idx="309">
                  <c:v>725.79179999999997</c:v>
                </c:pt>
                <c:pt idx="310">
                  <c:v>728.32560000000001</c:v>
                </c:pt>
                <c:pt idx="311">
                  <c:v>728.97349999999994</c:v>
                </c:pt>
                <c:pt idx="312">
                  <c:v>728.36950000000002</c:v>
                </c:pt>
                <c:pt idx="313">
                  <c:v>726.97810000000004</c:v>
                </c:pt>
                <c:pt idx="314">
                  <c:v>726.77440000000001</c:v>
                </c:pt>
                <c:pt idx="315">
                  <c:v>727.53</c:v>
                </c:pt>
                <c:pt idx="316">
                  <c:v>727.67380000000003</c:v>
                </c:pt>
                <c:pt idx="317">
                  <c:v>726.44470000000001</c:v>
                </c:pt>
                <c:pt idx="318">
                  <c:v>724.29290000000003</c:v>
                </c:pt>
                <c:pt idx="319">
                  <c:v>724.29290000000003</c:v>
                </c:pt>
                <c:pt idx="320">
                  <c:v>719.16369999999995</c:v>
                </c:pt>
                <c:pt idx="321">
                  <c:v>719.16369999999995</c:v>
                </c:pt>
                <c:pt idx="322">
                  <c:v>713.35900000000004</c:v>
                </c:pt>
                <c:pt idx="323">
                  <c:v>707.14300000000003</c:v>
                </c:pt>
                <c:pt idx="324">
                  <c:v>694.05229999999995</c:v>
                </c:pt>
                <c:pt idx="325">
                  <c:v>685.59529999999995</c:v>
                </c:pt>
                <c:pt idx="326">
                  <c:v>703.16510000000005</c:v>
                </c:pt>
                <c:pt idx="327">
                  <c:v>703.16510000000005</c:v>
                </c:pt>
                <c:pt idx="328">
                  <c:v>703.16510000000005</c:v>
                </c:pt>
                <c:pt idx="329">
                  <c:v>708.97919999999999</c:v>
                </c:pt>
                <c:pt idx="330">
                  <c:v>711.40890000000002</c:v>
                </c:pt>
                <c:pt idx="331">
                  <c:v>711.40890000000002</c:v>
                </c:pt>
                <c:pt idx="332">
                  <c:v>712.33969999999999</c:v>
                </c:pt>
                <c:pt idx="333">
                  <c:v>712.33969999999999</c:v>
                </c:pt>
                <c:pt idx="334">
                  <c:v>713.86980000000005</c:v>
                </c:pt>
                <c:pt idx="335">
                  <c:v>718.98350000000005</c:v>
                </c:pt>
                <c:pt idx="336">
                  <c:v>719.7396</c:v>
                </c:pt>
                <c:pt idx="337">
                  <c:v>715.82309999999995</c:v>
                </c:pt>
                <c:pt idx="338">
                  <c:v>716.78120000000001</c:v>
                </c:pt>
                <c:pt idx="339">
                  <c:v>720.22429999999997</c:v>
                </c:pt>
                <c:pt idx="340">
                  <c:v>723.91660000000002</c:v>
                </c:pt>
                <c:pt idx="341">
                  <c:v>727.28110000000004</c:v>
                </c:pt>
                <c:pt idx="342">
                  <c:v>729.5847</c:v>
                </c:pt>
                <c:pt idx="343">
                  <c:v>731.02670000000001</c:v>
                </c:pt>
                <c:pt idx="344">
                  <c:v>732.07849999999996</c:v>
                </c:pt>
                <c:pt idx="345">
                  <c:v>730.38040000000001</c:v>
                </c:pt>
                <c:pt idx="346">
                  <c:v>727.00400000000002</c:v>
                </c:pt>
                <c:pt idx="347">
                  <c:v>723.87070000000006</c:v>
                </c:pt>
                <c:pt idx="348">
                  <c:v>717.33900000000006</c:v>
                </c:pt>
                <c:pt idx="349">
                  <c:v>710.55949999999996</c:v>
                </c:pt>
                <c:pt idx="350">
                  <c:v>707.56050000000005</c:v>
                </c:pt>
                <c:pt idx="351">
                  <c:v>705.17190000000005</c:v>
                </c:pt>
                <c:pt idx="352">
                  <c:v>700.64779999999996</c:v>
                </c:pt>
                <c:pt idx="353">
                  <c:v>693.52689999999996</c:v>
                </c:pt>
                <c:pt idx="354">
                  <c:v>697.89269999999999</c:v>
                </c:pt>
                <c:pt idx="355">
                  <c:v>698.73260000000005</c:v>
                </c:pt>
                <c:pt idx="356">
                  <c:v>703.80370000000005</c:v>
                </c:pt>
                <c:pt idx="357">
                  <c:v>708.95190000000002</c:v>
                </c:pt>
                <c:pt idx="358">
                  <c:v>711.82740000000001</c:v>
                </c:pt>
                <c:pt idx="359">
                  <c:v>715.08500000000004</c:v>
                </c:pt>
                <c:pt idx="360">
                  <c:v>718.62469999999996</c:v>
                </c:pt>
                <c:pt idx="361">
                  <c:v>712.62289999999996</c:v>
                </c:pt>
                <c:pt idx="362">
                  <c:v>708.59400000000005</c:v>
                </c:pt>
                <c:pt idx="363">
                  <c:v>706.53959999999995</c:v>
                </c:pt>
                <c:pt idx="364">
                  <c:v>704.69949999999994</c:v>
                </c:pt>
                <c:pt idx="365">
                  <c:v>698.41079999999999</c:v>
                </c:pt>
                <c:pt idx="366">
                  <c:v>695.12909999999999</c:v>
                </c:pt>
                <c:pt idx="367">
                  <c:v>692.21489999999994</c:v>
                </c:pt>
                <c:pt idx="368">
                  <c:v>690.68730000000005</c:v>
                </c:pt>
                <c:pt idx="369">
                  <c:v>694.23149999999998</c:v>
                </c:pt>
                <c:pt idx="370">
                  <c:v>700.46770000000004</c:v>
                </c:pt>
                <c:pt idx="371">
                  <c:v>705.65899999999999</c:v>
                </c:pt>
                <c:pt idx="372">
                  <c:v>710.54859999999996</c:v>
                </c:pt>
                <c:pt idx="373">
                  <c:v>710.54859999999996</c:v>
                </c:pt>
                <c:pt idx="374">
                  <c:v>710.54859999999996</c:v>
                </c:pt>
                <c:pt idx="375">
                  <c:v>714.85810000000004</c:v>
                </c:pt>
                <c:pt idx="376">
                  <c:v>717.58</c:v>
                </c:pt>
                <c:pt idx="377">
                  <c:v>715.53039999999999</c:v>
                </c:pt>
                <c:pt idx="378">
                  <c:v>712.55679999999995</c:v>
                </c:pt>
                <c:pt idx="379">
                  <c:v>710.53399999999999</c:v>
                </c:pt>
                <c:pt idx="380">
                  <c:v>708.23389999999995</c:v>
                </c:pt>
                <c:pt idx="381">
                  <c:v>708.97649999999999</c:v>
                </c:pt>
                <c:pt idx="382">
                  <c:v>712.65949999999998</c:v>
                </c:pt>
                <c:pt idx="383">
                  <c:v>716.00819999999999</c:v>
                </c:pt>
                <c:pt idx="384">
                  <c:v>718.1413</c:v>
                </c:pt>
                <c:pt idx="385">
                  <c:v>721.80759999999998</c:v>
                </c:pt>
                <c:pt idx="386">
                  <c:v>727.02959999999996</c:v>
                </c:pt>
                <c:pt idx="387">
                  <c:v>727.85640000000001</c:v>
                </c:pt>
                <c:pt idx="388">
                  <c:v>730.98630000000003</c:v>
                </c:pt>
                <c:pt idx="389">
                  <c:v>732.49530000000004</c:v>
                </c:pt>
                <c:pt idx="390">
                  <c:v>732.49530000000004</c:v>
                </c:pt>
                <c:pt idx="391">
                  <c:v>733.64909999999998</c:v>
                </c:pt>
                <c:pt idx="392">
                  <c:v>733.64909999999998</c:v>
                </c:pt>
                <c:pt idx="393">
                  <c:v>732.17970000000003</c:v>
                </c:pt>
                <c:pt idx="394">
                  <c:v>730.68889999999999</c:v>
                </c:pt>
                <c:pt idx="395">
                  <c:v>733.1155</c:v>
                </c:pt>
                <c:pt idx="396">
                  <c:v>738.51110000000006</c:v>
                </c:pt>
                <c:pt idx="397">
                  <c:v>742.03330000000005</c:v>
                </c:pt>
                <c:pt idx="398">
                  <c:v>746.87729999999999</c:v>
                </c:pt>
                <c:pt idx="399">
                  <c:v>750.35069999999996</c:v>
                </c:pt>
                <c:pt idx="400">
                  <c:v>755.91200000000003</c:v>
                </c:pt>
                <c:pt idx="401">
                  <c:v>761.50469999999996</c:v>
                </c:pt>
                <c:pt idx="402">
                  <c:v>770.76499999999999</c:v>
                </c:pt>
                <c:pt idx="403">
                  <c:v>777.43889999999999</c:v>
                </c:pt>
                <c:pt idx="404">
                  <c:v>781.68979999999999</c:v>
                </c:pt>
                <c:pt idx="405">
                  <c:v>781.68979999999999</c:v>
                </c:pt>
                <c:pt idx="406">
                  <c:v>787.2636</c:v>
                </c:pt>
                <c:pt idx="407">
                  <c:v>792.28060000000005</c:v>
                </c:pt>
                <c:pt idx="408">
                  <c:v>796.26250000000005</c:v>
                </c:pt>
                <c:pt idx="409">
                  <c:v>796.26250000000005</c:v>
                </c:pt>
                <c:pt idx="410">
                  <c:v>798.04219999999998</c:v>
                </c:pt>
                <c:pt idx="411">
                  <c:v>798.98469999999998</c:v>
                </c:pt>
                <c:pt idx="412">
                  <c:v>799.34</c:v>
                </c:pt>
                <c:pt idx="413">
                  <c:v>799.35379999999998</c:v>
                </c:pt>
                <c:pt idx="414">
                  <c:v>800.36270000000002</c:v>
                </c:pt>
                <c:pt idx="415">
                  <c:v>801.66890000000001</c:v>
                </c:pt>
                <c:pt idx="416">
                  <c:v>800.76980000000003</c:v>
                </c:pt>
                <c:pt idx="417">
                  <c:v>799.15989999999999</c:v>
                </c:pt>
                <c:pt idx="418">
                  <c:v>795.13409999999999</c:v>
                </c:pt>
                <c:pt idx="419">
                  <c:v>789.78420000000006</c:v>
                </c:pt>
                <c:pt idx="420">
                  <c:v>784.46180000000004</c:v>
                </c:pt>
                <c:pt idx="421">
                  <c:v>780.39869999999996</c:v>
                </c:pt>
                <c:pt idx="422">
                  <c:v>776.16179999999997</c:v>
                </c:pt>
                <c:pt idx="423">
                  <c:v>770.35159999999996</c:v>
                </c:pt>
                <c:pt idx="424">
                  <c:v>764.37519999999995</c:v>
                </c:pt>
                <c:pt idx="425">
                  <c:v>756.59829999999999</c:v>
                </c:pt>
                <c:pt idx="426">
                  <c:v>750.0838</c:v>
                </c:pt>
                <c:pt idx="427">
                  <c:v>746.4633</c:v>
                </c:pt>
                <c:pt idx="428">
                  <c:v>741.36400000000003</c:v>
                </c:pt>
                <c:pt idx="429">
                  <c:v>740.31650000000002</c:v>
                </c:pt>
                <c:pt idx="430">
                  <c:v>733.98069999999996</c:v>
                </c:pt>
                <c:pt idx="431">
                  <c:v>734.41890000000001</c:v>
                </c:pt>
                <c:pt idx="432">
                  <c:v>735.10550000000001</c:v>
                </c:pt>
                <c:pt idx="433">
                  <c:v>739.33140000000003</c:v>
                </c:pt>
                <c:pt idx="434">
                  <c:v>739.73509999999999</c:v>
                </c:pt>
                <c:pt idx="435">
                  <c:v>740.00300000000004</c:v>
                </c:pt>
                <c:pt idx="436">
                  <c:v>741.77940000000001</c:v>
                </c:pt>
                <c:pt idx="437">
                  <c:v>743.32449999999994</c:v>
                </c:pt>
                <c:pt idx="438">
                  <c:v>743.15319999999997</c:v>
                </c:pt>
                <c:pt idx="439">
                  <c:v>742.97230000000002</c:v>
                </c:pt>
                <c:pt idx="440">
                  <c:v>742.77480000000003</c:v>
                </c:pt>
                <c:pt idx="441">
                  <c:v>741.75130000000001</c:v>
                </c:pt>
                <c:pt idx="442">
                  <c:v>738.95600000000002</c:v>
                </c:pt>
                <c:pt idx="443">
                  <c:v>736.04560000000004</c:v>
                </c:pt>
                <c:pt idx="444">
                  <c:v>733.07010000000002</c:v>
                </c:pt>
                <c:pt idx="445">
                  <c:v>730.0539</c:v>
                </c:pt>
                <c:pt idx="446">
                  <c:v>727.94290000000001</c:v>
                </c:pt>
                <c:pt idx="447">
                  <c:v>727.38779999999997</c:v>
                </c:pt>
                <c:pt idx="448">
                  <c:v>726.76160000000004</c:v>
                </c:pt>
                <c:pt idx="449">
                  <c:v>726.08370000000002</c:v>
                </c:pt>
                <c:pt idx="450">
                  <c:v>726.87070000000006</c:v>
                </c:pt>
                <c:pt idx="451">
                  <c:v>728.96900000000005</c:v>
                </c:pt>
                <c:pt idx="452">
                  <c:v>730.44179999999994</c:v>
                </c:pt>
                <c:pt idx="453">
                  <c:v>732.37900000000002</c:v>
                </c:pt>
                <c:pt idx="454">
                  <c:v>734.07429999999999</c:v>
                </c:pt>
                <c:pt idx="455">
                  <c:v>735.61749999999995</c:v>
                </c:pt>
                <c:pt idx="456">
                  <c:v>737.41930000000002</c:v>
                </c:pt>
                <c:pt idx="457">
                  <c:v>737.41930000000002</c:v>
                </c:pt>
                <c:pt idx="458">
                  <c:v>739.94060000000002</c:v>
                </c:pt>
                <c:pt idx="459">
                  <c:v>743.15719999999999</c:v>
                </c:pt>
                <c:pt idx="460">
                  <c:v>744.00459999999998</c:v>
                </c:pt>
                <c:pt idx="461">
                  <c:v>746.12980000000005</c:v>
                </c:pt>
                <c:pt idx="462">
                  <c:v>749.64850000000001</c:v>
                </c:pt>
                <c:pt idx="463">
                  <c:v>750.40920000000006</c:v>
                </c:pt>
                <c:pt idx="464">
                  <c:v>753.55809999999997</c:v>
                </c:pt>
                <c:pt idx="465">
                  <c:v>753.55809999999997</c:v>
                </c:pt>
                <c:pt idx="466">
                  <c:v>763.55899999999997</c:v>
                </c:pt>
                <c:pt idx="467">
                  <c:v>765.50940000000003</c:v>
                </c:pt>
                <c:pt idx="468">
                  <c:v>777.09320000000002</c:v>
                </c:pt>
                <c:pt idx="469">
                  <c:v>782.54539999999997</c:v>
                </c:pt>
                <c:pt idx="470">
                  <c:v>782.54539999999997</c:v>
                </c:pt>
                <c:pt idx="471">
                  <c:v>785.92769999999996</c:v>
                </c:pt>
                <c:pt idx="472">
                  <c:v>785.92769999999996</c:v>
                </c:pt>
                <c:pt idx="473">
                  <c:v>790.06470000000002</c:v>
                </c:pt>
                <c:pt idx="474">
                  <c:v>793.74800000000005</c:v>
                </c:pt>
                <c:pt idx="475">
                  <c:v>797.2364</c:v>
                </c:pt>
                <c:pt idx="476">
                  <c:v>797.10659999999996</c:v>
                </c:pt>
                <c:pt idx="477">
                  <c:v>798.08270000000005</c:v>
                </c:pt>
                <c:pt idx="478">
                  <c:v>798.08270000000005</c:v>
                </c:pt>
                <c:pt idx="479">
                  <c:v>798.77030000000002</c:v>
                </c:pt>
                <c:pt idx="480">
                  <c:v>798.77030000000002</c:v>
                </c:pt>
                <c:pt idx="481">
                  <c:v>795.54480000000001</c:v>
                </c:pt>
                <c:pt idx="482">
                  <c:v>799.70600000000002</c:v>
                </c:pt>
                <c:pt idx="483">
                  <c:v>803.47170000000006</c:v>
                </c:pt>
                <c:pt idx="484">
                  <c:v>804.36189999999999</c:v>
                </c:pt>
                <c:pt idx="485">
                  <c:v>803.60429999999997</c:v>
                </c:pt>
                <c:pt idx="486">
                  <c:v>804.05039999999997</c:v>
                </c:pt>
                <c:pt idx="487">
                  <c:v>805.55600000000004</c:v>
                </c:pt>
                <c:pt idx="488">
                  <c:v>807.92970000000003</c:v>
                </c:pt>
                <c:pt idx="489">
                  <c:v>810.00540000000001</c:v>
                </c:pt>
                <c:pt idx="490">
                  <c:v>812.33209999999997</c:v>
                </c:pt>
                <c:pt idx="491">
                  <c:v>814.33040000000005</c:v>
                </c:pt>
                <c:pt idx="492">
                  <c:v>816.84299999999996</c:v>
                </c:pt>
                <c:pt idx="493">
                  <c:v>820.42070000000001</c:v>
                </c:pt>
                <c:pt idx="494">
                  <c:v>823.73170000000005</c:v>
                </c:pt>
                <c:pt idx="495">
                  <c:v>826.77499999999998</c:v>
                </c:pt>
                <c:pt idx="496">
                  <c:v>827.40380000000005</c:v>
                </c:pt>
                <c:pt idx="497">
                  <c:v>826.91489999999999</c:v>
                </c:pt>
                <c:pt idx="498">
                  <c:v>824.34529999999995</c:v>
                </c:pt>
                <c:pt idx="499">
                  <c:v>820.59130000000005</c:v>
                </c:pt>
                <c:pt idx="500">
                  <c:v>816.46270000000004</c:v>
                </c:pt>
                <c:pt idx="501">
                  <c:v>811.9579</c:v>
                </c:pt>
                <c:pt idx="502">
                  <c:v>807.49890000000005</c:v>
                </c:pt>
                <c:pt idx="503">
                  <c:v>804.23710000000005</c:v>
                </c:pt>
                <c:pt idx="504">
                  <c:v>802.54819999999995</c:v>
                </c:pt>
                <c:pt idx="505">
                  <c:v>801.17409999999995</c:v>
                </c:pt>
                <c:pt idx="506">
                  <c:v>800.67539999999997</c:v>
                </c:pt>
                <c:pt idx="507">
                  <c:v>800.53520000000003</c:v>
                </c:pt>
                <c:pt idx="508">
                  <c:v>799.94529999999997</c:v>
                </c:pt>
                <c:pt idx="509">
                  <c:v>798.42639999999994</c:v>
                </c:pt>
                <c:pt idx="510">
                  <c:v>798.42639999999994</c:v>
                </c:pt>
                <c:pt idx="511">
                  <c:v>795.91930000000002</c:v>
                </c:pt>
                <c:pt idx="512">
                  <c:v>795.91930000000002</c:v>
                </c:pt>
                <c:pt idx="513">
                  <c:v>793.42370000000005</c:v>
                </c:pt>
                <c:pt idx="514">
                  <c:v>790.99699999999996</c:v>
                </c:pt>
                <c:pt idx="515">
                  <c:v>788.5127</c:v>
                </c:pt>
                <c:pt idx="516">
                  <c:v>787.18380000000002</c:v>
                </c:pt>
                <c:pt idx="517">
                  <c:v>785.89269999999999</c:v>
                </c:pt>
                <c:pt idx="518">
                  <c:v>783.50429999999994</c:v>
                </c:pt>
                <c:pt idx="519">
                  <c:v>780.98249999999996</c:v>
                </c:pt>
                <c:pt idx="520">
                  <c:v>774.16380000000004</c:v>
                </c:pt>
                <c:pt idx="521">
                  <c:v>770.23540000000003</c:v>
                </c:pt>
                <c:pt idx="522">
                  <c:v>766.94290000000001</c:v>
                </c:pt>
                <c:pt idx="523">
                  <c:v>766.94529999999997</c:v>
                </c:pt>
                <c:pt idx="524">
                  <c:v>767.37379999999996</c:v>
                </c:pt>
                <c:pt idx="525">
                  <c:v>769.48519999999996</c:v>
                </c:pt>
                <c:pt idx="526">
                  <c:v>774.05830000000003</c:v>
                </c:pt>
                <c:pt idx="527">
                  <c:v>777.38789999999995</c:v>
                </c:pt>
                <c:pt idx="528">
                  <c:v>780.49339999999995</c:v>
                </c:pt>
                <c:pt idx="529">
                  <c:v>783.38080000000002</c:v>
                </c:pt>
                <c:pt idx="530">
                  <c:v>785.74239999999998</c:v>
                </c:pt>
                <c:pt idx="531">
                  <c:v>788.327</c:v>
                </c:pt>
                <c:pt idx="532">
                  <c:v>788.327</c:v>
                </c:pt>
                <c:pt idx="533">
                  <c:v>790.9144</c:v>
                </c:pt>
                <c:pt idx="534">
                  <c:v>790.9144</c:v>
                </c:pt>
                <c:pt idx="535">
                  <c:v>793.48680000000002</c:v>
                </c:pt>
                <c:pt idx="536">
                  <c:v>794.31989999999996</c:v>
                </c:pt>
                <c:pt idx="537">
                  <c:v>791.61559999999997</c:v>
                </c:pt>
                <c:pt idx="538">
                  <c:v>789.47249999999997</c:v>
                </c:pt>
                <c:pt idx="539">
                  <c:v>786.78139999999996</c:v>
                </c:pt>
                <c:pt idx="540">
                  <c:v>784.63940000000002</c:v>
                </c:pt>
                <c:pt idx="541">
                  <c:v>782.76080000000002</c:v>
                </c:pt>
                <c:pt idx="542">
                  <c:v>781.44650000000001</c:v>
                </c:pt>
                <c:pt idx="543">
                  <c:v>780.47630000000004</c:v>
                </c:pt>
                <c:pt idx="544">
                  <c:v>780.19529999999997</c:v>
                </c:pt>
                <c:pt idx="545">
                  <c:v>781.19330000000002</c:v>
                </c:pt>
                <c:pt idx="546">
                  <c:v>784.9742</c:v>
                </c:pt>
                <c:pt idx="547">
                  <c:v>788.13710000000003</c:v>
                </c:pt>
                <c:pt idx="548">
                  <c:v>792.80690000000004</c:v>
                </c:pt>
                <c:pt idx="549">
                  <c:v>797.16160000000002</c:v>
                </c:pt>
                <c:pt idx="550">
                  <c:v>801.28959999999995</c:v>
                </c:pt>
                <c:pt idx="551">
                  <c:v>805.10609999999997</c:v>
                </c:pt>
                <c:pt idx="552">
                  <c:v>805.10609999999997</c:v>
                </c:pt>
                <c:pt idx="553">
                  <c:v>809.65449999999998</c:v>
                </c:pt>
                <c:pt idx="554">
                  <c:v>809.65449999999998</c:v>
                </c:pt>
                <c:pt idx="555">
                  <c:v>813.6626</c:v>
                </c:pt>
                <c:pt idx="556">
                  <c:v>818.17079999999999</c:v>
                </c:pt>
                <c:pt idx="557">
                  <c:v>822.58870000000002</c:v>
                </c:pt>
                <c:pt idx="558">
                  <c:v>824.63440000000003</c:v>
                </c:pt>
                <c:pt idx="559">
                  <c:v>827.05280000000005</c:v>
                </c:pt>
                <c:pt idx="560">
                  <c:v>828.58169999999996</c:v>
                </c:pt>
                <c:pt idx="561">
                  <c:v>830.40909999999997</c:v>
                </c:pt>
                <c:pt idx="562">
                  <c:v>831.7405</c:v>
                </c:pt>
                <c:pt idx="563">
                  <c:v>832.62339999999995</c:v>
                </c:pt>
                <c:pt idx="564">
                  <c:v>832.42589999999996</c:v>
                </c:pt>
                <c:pt idx="565">
                  <c:v>831.21669999999995</c:v>
                </c:pt>
                <c:pt idx="566">
                  <c:v>828.89269999999999</c:v>
                </c:pt>
                <c:pt idx="567">
                  <c:v>826.12670000000003</c:v>
                </c:pt>
                <c:pt idx="568">
                  <c:v>823.57470000000001</c:v>
                </c:pt>
                <c:pt idx="569">
                  <c:v>819.89769999999999</c:v>
                </c:pt>
                <c:pt idx="570">
                  <c:v>816.67409999999995</c:v>
                </c:pt>
                <c:pt idx="571">
                  <c:v>813.77620000000002</c:v>
                </c:pt>
                <c:pt idx="572">
                  <c:v>810.94200000000001</c:v>
                </c:pt>
                <c:pt idx="573">
                  <c:v>808.03679999999997</c:v>
                </c:pt>
                <c:pt idx="574">
                  <c:v>805.1123</c:v>
                </c:pt>
                <c:pt idx="575">
                  <c:v>800.68420000000003</c:v>
                </c:pt>
                <c:pt idx="576">
                  <c:v>803.7491</c:v>
                </c:pt>
                <c:pt idx="577">
                  <c:v>804.34109999999998</c:v>
                </c:pt>
                <c:pt idx="578">
                  <c:v>802.07209999999998</c:v>
                </c:pt>
                <c:pt idx="579">
                  <c:v>800.22910000000002</c:v>
                </c:pt>
                <c:pt idx="580">
                  <c:v>798.58799999999997</c:v>
                </c:pt>
                <c:pt idx="581">
                  <c:v>796.79060000000004</c:v>
                </c:pt>
                <c:pt idx="582">
                  <c:v>794.74699999999996</c:v>
                </c:pt>
                <c:pt idx="583">
                  <c:v>791.97209999999995</c:v>
                </c:pt>
                <c:pt idx="584">
                  <c:v>789.93700000000001</c:v>
                </c:pt>
                <c:pt idx="585">
                  <c:v>786.36869999999999</c:v>
                </c:pt>
                <c:pt idx="586">
                  <c:v>790.19500000000005</c:v>
                </c:pt>
                <c:pt idx="587">
                  <c:v>797.92079999999999</c:v>
                </c:pt>
                <c:pt idx="588">
                  <c:v>803.56330000000003</c:v>
                </c:pt>
                <c:pt idx="589">
                  <c:v>810.63980000000004</c:v>
                </c:pt>
                <c:pt idx="590">
                  <c:v>815.77369999999996</c:v>
                </c:pt>
                <c:pt idx="591">
                  <c:v>819.40179999999998</c:v>
                </c:pt>
                <c:pt idx="592">
                  <c:v>820.81539999999995</c:v>
                </c:pt>
                <c:pt idx="593">
                  <c:v>820.81539999999995</c:v>
                </c:pt>
                <c:pt idx="594">
                  <c:v>821.08989999999994</c:v>
                </c:pt>
                <c:pt idx="595">
                  <c:v>821.08989999999994</c:v>
                </c:pt>
                <c:pt idx="596">
                  <c:v>820.28399999999999</c:v>
                </c:pt>
                <c:pt idx="597">
                  <c:v>818.74030000000005</c:v>
                </c:pt>
                <c:pt idx="598">
                  <c:v>816.9751</c:v>
                </c:pt>
                <c:pt idx="599">
                  <c:v>815.06</c:v>
                </c:pt>
                <c:pt idx="600">
                  <c:v>812.91949999999997</c:v>
                </c:pt>
                <c:pt idx="601">
                  <c:v>810.75199999999995</c:v>
                </c:pt>
                <c:pt idx="602">
                  <c:v>807.89750000000004</c:v>
                </c:pt>
                <c:pt idx="603">
                  <c:v>809.73180000000002</c:v>
                </c:pt>
                <c:pt idx="604">
                  <c:v>810.87850000000003</c:v>
                </c:pt>
                <c:pt idx="605">
                  <c:v>812.07899999999995</c:v>
                </c:pt>
                <c:pt idx="606">
                  <c:v>812.25670000000002</c:v>
                </c:pt>
                <c:pt idx="607">
                  <c:v>811.63139999999999</c:v>
                </c:pt>
                <c:pt idx="608">
                  <c:v>810.05280000000005</c:v>
                </c:pt>
                <c:pt idx="609">
                  <c:v>807.41189999999995</c:v>
                </c:pt>
                <c:pt idx="610">
                  <c:v>805.7328</c:v>
                </c:pt>
                <c:pt idx="611">
                  <c:v>804.68769999999995</c:v>
                </c:pt>
                <c:pt idx="612">
                  <c:v>803.17070000000001</c:v>
                </c:pt>
                <c:pt idx="613">
                  <c:v>802.50400000000002</c:v>
                </c:pt>
                <c:pt idx="614">
                  <c:v>800.0163</c:v>
                </c:pt>
                <c:pt idx="615">
                  <c:v>798.11959999999999</c:v>
                </c:pt>
                <c:pt idx="616">
                  <c:v>798.03809999999999</c:v>
                </c:pt>
                <c:pt idx="617">
                  <c:v>798.52380000000005</c:v>
                </c:pt>
                <c:pt idx="618">
                  <c:v>797.75</c:v>
                </c:pt>
                <c:pt idx="619">
                  <c:v>797.51490000000001</c:v>
                </c:pt>
                <c:pt idx="620">
                  <c:v>797.93309999999997</c:v>
                </c:pt>
                <c:pt idx="621">
                  <c:v>798.64179999999999</c:v>
                </c:pt>
                <c:pt idx="622">
                  <c:v>800.6961</c:v>
                </c:pt>
                <c:pt idx="623">
                  <c:v>802.14790000000005</c:v>
                </c:pt>
                <c:pt idx="624">
                  <c:v>802.66849999999999</c:v>
                </c:pt>
                <c:pt idx="625">
                  <c:v>802.12810000000002</c:v>
                </c:pt>
                <c:pt idx="626">
                  <c:v>801.47439999999995</c:v>
                </c:pt>
                <c:pt idx="627">
                  <c:v>800.54930000000002</c:v>
                </c:pt>
                <c:pt idx="628">
                  <c:v>799.54700000000003</c:v>
                </c:pt>
                <c:pt idx="629">
                  <c:v>799.24429999999995</c:v>
                </c:pt>
                <c:pt idx="630">
                  <c:v>799.03449999999998</c:v>
                </c:pt>
                <c:pt idx="631">
                  <c:v>799.05370000000005</c:v>
                </c:pt>
                <c:pt idx="632">
                  <c:v>799.05370000000005</c:v>
                </c:pt>
                <c:pt idx="633">
                  <c:v>798.35019999999997</c:v>
                </c:pt>
                <c:pt idx="634">
                  <c:v>797.43849999999998</c:v>
                </c:pt>
                <c:pt idx="635">
                  <c:v>796.82209999999998</c:v>
                </c:pt>
                <c:pt idx="636">
                  <c:v>796.94960000000003</c:v>
                </c:pt>
                <c:pt idx="637">
                  <c:v>797.30259999999998</c:v>
                </c:pt>
                <c:pt idx="638">
                  <c:v>799.63900000000001</c:v>
                </c:pt>
                <c:pt idx="639">
                  <c:v>800.18920000000003</c:v>
                </c:pt>
                <c:pt idx="640">
                  <c:v>788.19219999999996</c:v>
                </c:pt>
                <c:pt idx="641">
                  <c:v>797.96370000000002</c:v>
                </c:pt>
                <c:pt idx="642">
                  <c:v>797.18619999999999</c:v>
                </c:pt>
                <c:pt idx="643">
                  <c:v>793.74390000000005</c:v>
                </c:pt>
                <c:pt idx="644">
                  <c:v>795.81989999999996</c:v>
                </c:pt>
                <c:pt idx="645">
                  <c:v>800.23080000000004</c:v>
                </c:pt>
                <c:pt idx="646">
                  <c:v>802.2559</c:v>
                </c:pt>
                <c:pt idx="647">
                  <c:v>804.06539999999995</c:v>
                </c:pt>
                <c:pt idx="648">
                  <c:v>806.88210000000004</c:v>
                </c:pt>
                <c:pt idx="649">
                  <c:v>810.20349999999996</c:v>
                </c:pt>
                <c:pt idx="650">
                  <c:v>810.20349999999996</c:v>
                </c:pt>
                <c:pt idx="651">
                  <c:v>813.57820000000004</c:v>
                </c:pt>
                <c:pt idx="652">
                  <c:v>815.87879999999996</c:v>
                </c:pt>
                <c:pt idx="653">
                  <c:v>817.34109999999998</c:v>
                </c:pt>
                <c:pt idx="654">
                  <c:v>821.39300000000003</c:v>
                </c:pt>
                <c:pt idx="655">
                  <c:v>822.24620000000004</c:v>
                </c:pt>
                <c:pt idx="656">
                  <c:v>819.7527</c:v>
                </c:pt>
                <c:pt idx="657">
                  <c:v>815.86369999999999</c:v>
                </c:pt>
                <c:pt idx="658">
                  <c:v>821.0915</c:v>
                </c:pt>
                <c:pt idx="659">
                  <c:v>827.04549999999995</c:v>
                </c:pt>
                <c:pt idx="660">
                  <c:v>831.65449999999998</c:v>
                </c:pt>
                <c:pt idx="661">
                  <c:v>834.62469999999996</c:v>
                </c:pt>
                <c:pt idx="662">
                  <c:v>839.80799999999999</c:v>
                </c:pt>
                <c:pt idx="663">
                  <c:v>851.4239</c:v>
                </c:pt>
                <c:pt idx="664">
                  <c:v>862.62639999999999</c:v>
                </c:pt>
                <c:pt idx="665">
                  <c:v>875.53279999999995</c:v>
                </c:pt>
                <c:pt idx="666">
                  <c:v>888.32079999999996</c:v>
                </c:pt>
                <c:pt idx="667">
                  <c:v>895.10479999999995</c:v>
                </c:pt>
                <c:pt idx="668">
                  <c:v>901.92470000000003</c:v>
                </c:pt>
                <c:pt idx="669">
                  <c:v>906.52059999999994</c:v>
                </c:pt>
                <c:pt idx="670">
                  <c:v>910.94399999999996</c:v>
                </c:pt>
                <c:pt idx="671">
                  <c:v>916.79300000000001</c:v>
                </c:pt>
                <c:pt idx="672">
                  <c:v>923.90099999999995</c:v>
                </c:pt>
                <c:pt idx="673">
                  <c:v>919.55150000000003</c:v>
                </c:pt>
                <c:pt idx="674">
                  <c:v>910.14649999999995</c:v>
                </c:pt>
                <c:pt idx="675">
                  <c:v>902.46550000000002</c:v>
                </c:pt>
                <c:pt idx="676">
                  <c:v>895.15920000000006</c:v>
                </c:pt>
                <c:pt idx="677">
                  <c:v>887.08219999999994</c:v>
                </c:pt>
                <c:pt idx="678">
                  <c:v>897.33309999999994</c:v>
                </c:pt>
                <c:pt idx="679">
                  <c:v>898.08130000000006</c:v>
                </c:pt>
                <c:pt idx="680">
                  <c:v>891.90700000000004</c:v>
                </c:pt>
                <c:pt idx="681">
                  <c:v>881.4751</c:v>
                </c:pt>
                <c:pt idx="682">
                  <c:v>864.74850000000004</c:v>
                </c:pt>
                <c:pt idx="683">
                  <c:v>864.74850000000004</c:v>
                </c:pt>
                <c:pt idx="684">
                  <c:v>870.1</c:v>
                </c:pt>
                <c:pt idx="685">
                  <c:v>870.1</c:v>
                </c:pt>
                <c:pt idx="686">
                  <c:v>875.0575</c:v>
                </c:pt>
                <c:pt idx="687">
                  <c:v>889.23770000000002</c:v>
                </c:pt>
                <c:pt idx="688">
                  <c:v>895.37980000000005</c:v>
                </c:pt>
                <c:pt idx="689">
                  <c:v>903.01580000000001</c:v>
                </c:pt>
                <c:pt idx="690">
                  <c:v>909.56179999999995</c:v>
                </c:pt>
                <c:pt idx="691">
                  <c:v>914.33720000000005</c:v>
                </c:pt>
                <c:pt idx="692">
                  <c:v>913.17070000000001</c:v>
                </c:pt>
                <c:pt idx="693">
                  <c:v>913.17070000000001</c:v>
                </c:pt>
                <c:pt idx="694">
                  <c:v>913.16340000000002</c:v>
                </c:pt>
                <c:pt idx="695">
                  <c:v>913.16340000000002</c:v>
                </c:pt>
                <c:pt idx="696">
                  <c:v>918.22199999999998</c:v>
                </c:pt>
                <c:pt idx="697">
                  <c:v>922.67740000000003</c:v>
                </c:pt>
                <c:pt idx="698">
                  <c:v>927.84100000000001</c:v>
                </c:pt>
                <c:pt idx="699">
                  <c:v>931.04129999999998</c:v>
                </c:pt>
                <c:pt idx="700">
                  <c:v>933.22230000000002</c:v>
                </c:pt>
                <c:pt idx="701">
                  <c:v>934.56119999999999</c:v>
                </c:pt>
                <c:pt idx="702">
                  <c:v>934.23230000000001</c:v>
                </c:pt>
                <c:pt idx="703">
                  <c:v>933.73410000000001</c:v>
                </c:pt>
                <c:pt idx="704">
                  <c:v>934.87980000000005</c:v>
                </c:pt>
                <c:pt idx="705">
                  <c:v>934.0643</c:v>
                </c:pt>
                <c:pt idx="706">
                  <c:v>932.67039999999997</c:v>
                </c:pt>
                <c:pt idx="707">
                  <c:v>932.04409999999996</c:v>
                </c:pt>
                <c:pt idx="708">
                  <c:v>930.58630000000005</c:v>
                </c:pt>
                <c:pt idx="709">
                  <c:v>929.75840000000005</c:v>
                </c:pt>
                <c:pt idx="710">
                  <c:v>927.28150000000005</c:v>
                </c:pt>
                <c:pt idx="711">
                  <c:v>924.74929999999995</c:v>
                </c:pt>
                <c:pt idx="712">
                  <c:v>921.42349999999999</c:v>
                </c:pt>
                <c:pt idx="713">
                  <c:v>918.83280000000002</c:v>
                </c:pt>
                <c:pt idx="714">
                  <c:v>916.59130000000005</c:v>
                </c:pt>
                <c:pt idx="715">
                  <c:v>916.43899999999996</c:v>
                </c:pt>
                <c:pt idx="716">
                  <c:v>919.875</c:v>
                </c:pt>
                <c:pt idx="717">
                  <c:v>923.26990000000001</c:v>
                </c:pt>
                <c:pt idx="718">
                  <c:v>927.00139999999999</c:v>
                </c:pt>
                <c:pt idx="719">
                  <c:v>930.7364</c:v>
                </c:pt>
                <c:pt idx="720">
                  <c:v>932.76099999999997</c:v>
                </c:pt>
                <c:pt idx="721">
                  <c:v>934.49450000000002</c:v>
                </c:pt>
                <c:pt idx="722">
                  <c:v>936.20569999999998</c:v>
                </c:pt>
                <c:pt idx="723">
                  <c:v>936.53380000000004</c:v>
                </c:pt>
                <c:pt idx="724">
                  <c:v>936.81640000000004</c:v>
                </c:pt>
                <c:pt idx="725">
                  <c:v>936.98699999999997</c:v>
                </c:pt>
                <c:pt idx="726">
                  <c:v>937.9941</c:v>
                </c:pt>
                <c:pt idx="727">
                  <c:v>938.19100000000003</c:v>
                </c:pt>
                <c:pt idx="728">
                  <c:v>937.90660000000003</c:v>
                </c:pt>
                <c:pt idx="729">
                  <c:v>935.78489999999999</c:v>
                </c:pt>
                <c:pt idx="730">
                  <c:v>933.18100000000004</c:v>
                </c:pt>
                <c:pt idx="731">
                  <c:v>930.33389999999997</c:v>
                </c:pt>
                <c:pt idx="732">
                  <c:v>927.60680000000002</c:v>
                </c:pt>
                <c:pt idx="733">
                  <c:v>925.44730000000004</c:v>
                </c:pt>
                <c:pt idx="734">
                  <c:v>923.45230000000004</c:v>
                </c:pt>
                <c:pt idx="735">
                  <c:v>921.87139999999999</c:v>
                </c:pt>
                <c:pt idx="736">
                  <c:v>921.65769999999998</c:v>
                </c:pt>
                <c:pt idx="737">
                  <c:v>921.16499999999996</c:v>
                </c:pt>
                <c:pt idx="738">
                  <c:v>921.29960000000005</c:v>
                </c:pt>
                <c:pt idx="739">
                  <c:v>921.53139999999996</c:v>
                </c:pt>
                <c:pt idx="740">
                  <c:v>921.39790000000005</c:v>
                </c:pt>
                <c:pt idx="741">
                  <c:v>923.14549999999997</c:v>
                </c:pt>
                <c:pt idx="742">
                  <c:v>925.21550000000002</c:v>
                </c:pt>
                <c:pt idx="743">
                  <c:v>928.20479999999998</c:v>
                </c:pt>
                <c:pt idx="744">
                  <c:v>931.48720000000003</c:v>
                </c:pt>
                <c:pt idx="745">
                  <c:v>933.15210000000002</c:v>
                </c:pt>
                <c:pt idx="746">
                  <c:v>933.86950000000002</c:v>
                </c:pt>
                <c:pt idx="747">
                  <c:v>933.29960000000005</c:v>
                </c:pt>
                <c:pt idx="748">
                  <c:v>932.83219999999994</c:v>
                </c:pt>
                <c:pt idx="749">
                  <c:v>932.01869999999997</c:v>
                </c:pt>
                <c:pt idx="750">
                  <c:v>931.31370000000004</c:v>
                </c:pt>
                <c:pt idx="751">
                  <c:v>930.74519999999995</c:v>
                </c:pt>
                <c:pt idx="752">
                  <c:v>930.74519999999995</c:v>
                </c:pt>
                <c:pt idx="753">
                  <c:v>931.96220000000005</c:v>
                </c:pt>
                <c:pt idx="754">
                  <c:v>933.40430000000003</c:v>
                </c:pt>
                <c:pt idx="755">
                  <c:v>933.40430000000003</c:v>
                </c:pt>
                <c:pt idx="756">
                  <c:v>933.26739999999995</c:v>
                </c:pt>
                <c:pt idx="757">
                  <c:v>933.79880000000003</c:v>
                </c:pt>
                <c:pt idx="758">
                  <c:v>934.04219999999998</c:v>
                </c:pt>
                <c:pt idx="759">
                  <c:v>933.83389999999997</c:v>
                </c:pt>
                <c:pt idx="760">
                  <c:v>933.4348</c:v>
                </c:pt>
                <c:pt idx="761">
                  <c:v>932.73339999999996</c:v>
                </c:pt>
                <c:pt idx="762">
                  <c:v>932.39769999999999</c:v>
                </c:pt>
                <c:pt idx="763">
                  <c:v>932.2817</c:v>
                </c:pt>
                <c:pt idx="764">
                  <c:v>932.51310000000001</c:v>
                </c:pt>
                <c:pt idx="765">
                  <c:v>932.70090000000005</c:v>
                </c:pt>
                <c:pt idx="766">
                  <c:v>932.81640000000004</c:v>
                </c:pt>
                <c:pt idx="767">
                  <c:v>933.17970000000003</c:v>
                </c:pt>
                <c:pt idx="768">
                  <c:v>933.93939999999998</c:v>
                </c:pt>
                <c:pt idx="769">
                  <c:v>934.68859999999995</c:v>
                </c:pt>
                <c:pt idx="770">
                  <c:v>935.42150000000004</c:v>
                </c:pt>
                <c:pt idx="771">
                  <c:v>934.30319999999995</c:v>
                </c:pt>
                <c:pt idx="772">
                  <c:v>932.51980000000003</c:v>
                </c:pt>
                <c:pt idx="773">
                  <c:v>930.5385</c:v>
                </c:pt>
                <c:pt idx="774">
                  <c:v>928.24099999999999</c:v>
                </c:pt>
                <c:pt idx="775">
                  <c:v>925.89020000000005</c:v>
                </c:pt>
                <c:pt idx="776">
                  <c:v>923.70920000000001</c:v>
                </c:pt>
                <c:pt idx="777">
                  <c:v>921.78269999999998</c:v>
                </c:pt>
                <c:pt idx="778">
                  <c:v>919.48429999999996</c:v>
                </c:pt>
                <c:pt idx="779">
                  <c:v>917.14300000000003</c:v>
                </c:pt>
                <c:pt idx="780">
                  <c:v>914.65499999999997</c:v>
                </c:pt>
                <c:pt idx="781">
                  <c:v>914.65499999999997</c:v>
                </c:pt>
                <c:pt idx="782">
                  <c:v>911.93709999999999</c:v>
                </c:pt>
                <c:pt idx="783">
                  <c:v>911.93709999999999</c:v>
                </c:pt>
                <c:pt idx="784">
                  <c:v>909.74080000000004</c:v>
                </c:pt>
                <c:pt idx="785">
                  <c:v>908.14359999999999</c:v>
                </c:pt>
                <c:pt idx="786">
                  <c:v>908.14359999999999</c:v>
                </c:pt>
                <c:pt idx="787">
                  <c:v>907.57860000000005</c:v>
                </c:pt>
                <c:pt idx="788">
                  <c:v>907.90049999999997</c:v>
                </c:pt>
                <c:pt idx="789">
                  <c:v>908.19860000000006</c:v>
                </c:pt>
                <c:pt idx="790">
                  <c:v>911.55079999999998</c:v>
                </c:pt>
                <c:pt idx="791">
                  <c:v>911.55079999999998</c:v>
                </c:pt>
                <c:pt idx="792">
                  <c:v>913.3922</c:v>
                </c:pt>
                <c:pt idx="793">
                  <c:v>915.34169999999995</c:v>
                </c:pt>
                <c:pt idx="794">
                  <c:v>916.93790000000001</c:v>
                </c:pt>
                <c:pt idx="795">
                  <c:v>918.84680000000003</c:v>
                </c:pt>
                <c:pt idx="796">
                  <c:v>920.04880000000003</c:v>
                </c:pt>
                <c:pt idx="797">
                  <c:v>920.9692</c:v>
                </c:pt>
                <c:pt idx="798">
                  <c:v>921.48530000000005</c:v>
                </c:pt>
                <c:pt idx="799">
                  <c:v>921.77940000000001</c:v>
                </c:pt>
                <c:pt idx="800">
                  <c:v>921.80930000000001</c:v>
                </c:pt>
                <c:pt idx="801">
                  <c:v>921.10969999999998</c:v>
                </c:pt>
                <c:pt idx="802">
                  <c:v>918.66160000000002</c:v>
                </c:pt>
                <c:pt idx="803">
                  <c:v>915.51800000000003</c:v>
                </c:pt>
                <c:pt idx="804">
                  <c:v>911.89329999999995</c:v>
                </c:pt>
                <c:pt idx="805">
                  <c:v>907.73800000000006</c:v>
                </c:pt>
                <c:pt idx="806">
                  <c:v>904.63670000000002</c:v>
                </c:pt>
                <c:pt idx="807">
                  <c:v>901.48710000000005</c:v>
                </c:pt>
                <c:pt idx="808">
                  <c:v>898.94880000000001</c:v>
                </c:pt>
                <c:pt idx="809">
                  <c:v>897.44330000000002</c:v>
                </c:pt>
                <c:pt idx="810">
                  <c:v>896.33759999999995</c:v>
                </c:pt>
                <c:pt idx="811">
                  <c:v>896.80089999999996</c:v>
                </c:pt>
                <c:pt idx="812">
                  <c:v>898.1807</c:v>
                </c:pt>
                <c:pt idx="813">
                  <c:v>895.64620000000002</c:v>
                </c:pt>
                <c:pt idx="814">
                  <c:v>891.72709999999995</c:v>
                </c:pt>
                <c:pt idx="815">
                  <c:v>887.46609999999998</c:v>
                </c:pt>
                <c:pt idx="816">
                  <c:v>882.06510000000003</c:v>
                </c:pt>
                <c:pt idx="817">
                  <c:v>875.80460000000005</c:v>
                </c:pt>
                <c:pt idx="818">
                  <c:v>877.77350000000001</c:v>
                </c:pt>
                <c:pt idx="819">
                  <c:v>884.09829999999999</c:v>
                </c:pt>
                <c:pt idx="820">
                  <c:v>884.71720000000005</c:v>
                </c:pt>
                <c:pt idx="821">
                  <c:v>882.48770000000002</c:v>
                </c:pt>
                <c:pt idx="822">
                  <c:v>877.66120000000001</c:v>
                </c:pt>
                <c:pt idx="823">
                  <c:v>871.27459999999996</c:v>
                </c:pt>
                <c:pt idx="824">
                  <c:v>864.7473</c:v>
                </c:pt>
                <c:pt idx="825">
                  <c:v>860.63049999999998</c:v>
                </c:pt>
                <c:pt idx="826">
                  <c:v>855.18409999999994</c:v>
                </c:pt>
                <c:pt idx="827">
                  <c:v>852.9837</c:v>
                </c:pt>
                <c:pt idx="828">
                  <c:v>851.71249999999998</c:v>
                </c:pt>
                <c:pt idx="829">
                  <c:v>846.91240000000005</c:v>
                </c:pt>
                <c:pt idx="830">
                  <c:v>844.51279999999997</c:v>
                </c:pt>
                <c:pt idx="831">
                  <c:v>845.39599999999996</c:v>
                </c:pt>
                <c:pt idx="832">
                  <c:v>846.40880000000004</c:v>
                </c:pt>
                <c:pt idx="833">
                  <c:v>844.89139999999998</c:v>
                </c:pt>
                <c:pt idx="834">
                  <c:v>845.36710000000005</c:v>
                </c:pt>
                <c:pt idx="835">
                  <c:v>850.55840000000001</c:v>
                </c:pt>
                <c:pt idx="836">
                  <c:v>864.89049999999997</c:v>
                </c:pt>
                <c:pt idx="837">
                  <c:v>870.66070000000002</c:v>
                </c:pt>
                <c:pt idx="838">
                  <c:v>873.58510000000001</c:v>
                </c:pt>
                <c:pt idx="839">
                  <c:v>870.21259999999995</c:v>
                </c:pt>
                <c:pt idx="840">
                  <c:v>863.06179999999995</c:v>
                </c:pt>
                <c:pt idx="841">
                  <c:v>855.78959999999995</c:v>
                </c:pt>
                <c:pt idx="842">
                  <c:v>851.15660000000003</c:v>
                </c:pt>
                <c:pt idx="843">
                  <c:v>851.06259999999997</c:v>
                </c:pt>
                <c:pt idx="844">
                  <c:v>857.34559999999999</c:v>
                </c:pt>
                <c:pt idx="845">
                  <c:v>867.65719999999999</c:v>
                </c:pt>
                <c:pt idx="846">
                  <c:v>874.16120000000001</c:v>
                </c:pt>
                <c:pt idx="847">
                  <c:v>872.47069999999997</c:v>
                </c:pt>
                <c:pt idx="848">
                  <c:v>872.47069999999997</c:v>
                </c:pt>
                <c:pt idx="849">
                  <c:v>870.89739999999995</c:v>
                </c:pt>
                <c:pt idx="850">
                  <c:v>870.89739999999995</c:v>
                </c:pt>
                <c:pt idx="851">
                  <c:v>865.38009999999997</c:v>
                </c:pt>
                <c:pt idx="852">
                  <c:v>859.09360000000004</c:v>
                </c:pt>
                <c:pt idx="853">
                  <c:v>850.41959999999995</c:v>
                </c:pt>
                <c:pt idx="854">
                  <c:v>847.34450000000004</c:v>
                </c:pt>
                <c:pt idx="855">
                  <c:v>843.50340000000006</c:v>
                </c:pt>
                <c:pt idx="856">
                  <c:v>858.51369999999997</c:v>
                </c:pt>
                <c:pt idx="857">
                  <c:v>865.57349999999997</c:v>
                </c:pt>
                <c:pt idx="858">
                  <c:v>870.23099999999999</c:v>
                </c:pt>
                <c:pt idx="859">
                  <c:v>873.09900000000005</c:v>
                </c:pt>
                <c:pt idx="860">
                  <c:v>875.57180000000005</c:v>
                </c:pt>
                <c:pt idx="861">
                  <c:v>876.1866</c:v>
                </c:pt>
                <c:pt idx="862">
                  <c:v>874.14840000000004</c:v>
                </c:pt>
                <c:pt idx="863">
                  <c:v>870.97609999999997</c:v>
                </c:pt>
                <c:pt idx="864">
                  <c:v>868.37260000000003</c:v>
                </c:pt>
                <c:pt idx="865">
                  <c:v>863.49540000000002</c:v>
                </c:pt>
                <c:pt idx="866">
                  <c:v>856.5838</c:v>
                </c:pt>
                <c:pt idx="867">
                  <c:v>850.0924</c:v>
                </c:pt>
                <c:pt idx="868">
                  <c:v>841.00239999999997</c:v>
                </c:pt>
                <c:pt idx="869">
                  <c:v>842.78070000000002</c:v>
                </c:pt>
                <c:pt idx="870">
                  <c:v>845.67619999999999</c:v>
                </c:pt>
                <c:pt idx="871">
                  <c:v>849.89890000000003</c:v>
                </c:pt>
                <c:pt idx="872">
                  <c:v>855.3125</c:v>
                </c:pt>
                <c:pt idx="873">
                  <c:v>860.1748</c:v>
                </c:pt>
                <c:pt idx="874">
                  <c:v>864.62959999999998</c:v>
                </c:pt>
                <c:pt idx="875">
                  <c:v>864.62959999999998</c:v>
                </c:pt>
                <c:pt idx="876">
                  <c:v>864.62959999999998</c:v>
                </c:pt>
                <c:pt idx="877">
                  <c:v>867.93579999999997</c:v>
                </c:pt>
                <c:pt idx="878">
                  <c:v>871.54340000000002</c:v>
                </c:pt>
                <c:pt idx="879">
                  <c:v>874.62900000000002</c:v>
                </c:pt>
                <c:pt idx="880">
                  <c:v>876.47820000000002</c:v>
                </c:pt>
                <c:pt idx="881">
                  <c:v>876.73230000000001</c:v>
                </c:pt>
                <c:pt idx="882">
                  <c:v>877.28510000000006</c:v>
                </c:pt>
                <c:pt idx="883">
                  <c:v>876.38789999999995</c:v>
                </c:pt>
                <c:pt idx="884">
                  <c:v>875.02279999999996</c:v>
                </c:pt>
                <c:pt idx="885">
                  <c:v>872.75909999999999</c:v>
                </c:pt>
                <c:pt idx="886">
                  <c:v>869.27250000000004</c:v>
                </c:pt>
                <c:pt idx="887">
                  <c:v>865.67600000000004</c:v>
                </c:pt>
                <c:pt idx="888">
                  <c:v>861.53340000000003</c:v>
                </c:pt>
                <c:pt idx="889">
                  <c:v>859.23149999999998</c:v>
                </c:pt>
                <c:pt idx="890">
                  <c:v>856.2817</c:v>
                </c:pt>
                <c:pt idx="891">
                  <c:v>852.47230000000002</c:v>
                </c:pt>
                <c:pt idx="892">
                  <c:v>847.89880000000005</c:v>
                </c:pt>
                <c:pt idx="893">
                  <c:v>844.93380000000002</c:v>
                </c:pt>
                <c:pt idx="894">
                  <c:v>840.54499999999996</c:v>
                </c:pt>
                <c:pt idx="895">
                  <c:v>833.44230000000005</c:v>
                </c:pt>
                <c:pt idx="896">
                  <c:v>831.40459999999996</c:v>
                </c:pt>
                <c:pt idx="897">
                  <c:v>838.25789999999995</c:v>
                </c:pt>
                <c:pt idx="898">
                  <c:v>838.25789999999995</c:v>
                </c:pt>
                <c:pt idx="899">
                  <c:v>845.48910000000001</c:v>
                </c:pt>
                <c:pt idx="900">
                  <c:v>848.69439999999997</c:v>
                </c:pt>
                <c:pt idx="901">
                  <c:v>853.92570000000001</c:v>
                </c:pt>
                <c:pt idx="902">
                  <c:v>853.92570000000001</c:v>
                </c:pt>
                <c:pt idx="903">
                  <c:v>858.84760000000006</c:v>
                </c:pt>
                <c:pt idx="904">
                  <c:v>863.46209999999996</c:v>
                </c:pt>
                <c:pt idx="905">
                  <c:v>863.8732</c:v>
                </c:pt>
                <c:pt idx="906">
                  <c:v>862.428</c:v>
                </c:pt>
                <c:pt idx="907">
                  <c:v>861.38549999999998</c:v>
                </c:pt>
                <c:pt idx="908">
                  <c:v>858.2672</c:v>
                </c:pt>
                <c:pt idx="909">
                  <c:v>854.846</c:v>
                </c:pt>
                <c:pt idx="910">
                  <c:v>852.5181</c:v>
                </c:pt>
                <c:pt idx="911">
                  <c:v>849.36159999999995</c:v>
                </c:pt>
                <c:pt idx="912">
                  <c:v>848.61500000000001</c:v>
                </c:pt>
                <c:pt idx="913">
                  <c:v>845.61</c:v>
                </c:pt>
                <c:pt idx="914">
                  <c:v>848.39679999999998</c:v>
                </c:pt>
                <c:pt idx="915">
                  <c:v>847.84770000000003</c:v>
                </c:pt>
                <c:pt idx="916">
                  <c:v>854.58450000000005</c:v>
                </c:pt>
                <c:pt idx="917">
                  <c:v>863.06889999999999</c:v>
                </c:pt>
                <c:pt idx="918">
                  <c:v>869.19949999999994</c:v>
                </c:pt>
                <c:pt idx="919">
                  <c:v>875.78729999999996</c:v>
                </c:pt>
                <c:pt idx="920">
                  <c:v>883.29240000000004</c:v>
                </c:pt>
                <c:pt idx="921">
                  <c:v>894.62090000000001</c:v>
                </c:pt>
                <c:pt idx="922">
                  <c:v>908.67970000000003</c:v>
                </c:pt>
                <c:pt idx="923">
                  <c:v>916.85709999999995</c:v>
                </c:pt>
                <c:pt idx="924">
                  <c:v>918.09270000000004</c:v>
                </c:pt>
                <c:pt idx="925">
                  <c:v>914.61289999999997</c:v>
                </c:pt>
                <c:pt idx="926">
                  <c:v>909.61040000000003</c:v>
                </c:pt>
                <c:pt idx="927">
                  <c:v>904.76980000000003</c:v>
                </c:pt>
                <c:pt idx="928">
                  <c:v>904.19460000000004</c:v>
                </c:pt>
                <c:pt idx="929">
                  <c:v>904.91579999999999</c:v>
                </c:pt>
                <c:pt idx="930">
                  <c:v>906.27739999999994</c:v>
                </c:pt>
                <c:pt idx="931">
                  <c:v>905.75340000000006</c:v>
                </c:pt>
                <c:pt idx="932">
                  <c:v>906.41589999999997</c:v>
                </c:pt>
                <c:pt idx="933">
                  <c:v>911.6952</c:v>
                </c:pt>
                <c:pt idx="934">
                  <c:v>911.6952</c:v>
                </c:pt>
                <c:pt idx="935">
                  <c:v>916.08849999999995</c:v>
                </c:pt>
                <c:pt idx="936">
                  <c:v>920.65560000000005</c:v>
                </c:pt>
                <c:pt idx="937">
                  <c:v>920.65560000000005</c:v>
                </c:pt>
                <c:pt idx="938">
                  <c:v>923.65599999999995</c:v>
                </c:pt>
                <c:pt idx="939">
                  <c:v>926.16600000000005</c:v>
                </c:pt>
                <c:pt idx="940">
                  <c:v>928.54300000000001</c:v>
                </c:pt>
                <c:pt idx="941">
                  <c:v>930.57380000000001</c:v>
                </c:pt>
                <c:pt idx="942">
                  <c:v>932.08860000000004</c:v>
                </c:pt>
                <c:pt idx="943">
                  <c:v>933.03920000000005</c:v>
                </c:pt>
                <c:pt idx="944">
                  <c:v>933.34050000000002</c:v>
                </c:pt>
                <c:pt idx="945">
                  <c:v>932.04600000000005</c:v>
                </c:pt>
                <c:pt idx="946">
                  <c:v>930.24829999999997</c:v>
                </c:pt>
                <c:pt idx="947">
                  <c:v>927.84619999999995</c:v>
                </c:pt>
                <c:pt idx="948">
                  <c:v>925.61400000000003</c:v>
                </c:pt>
                <c:pt idx="949">
                  <c:v>924.10749999999996</c:v>
                </c:pt>
                <c:pt idx="950">
                  <c:v>922.91849999999999</c:v>
                </c:pt>
                <c:pt idx="951">
                  <c:v>921.85289999999998</c:v>
                </c:pt>
                <c:pt idx="952">
                  <c:v>920.84829999999999</c:v>
                </c:pt>
                <c:pt idx="953">
                  <c:v>920.92190000000005</c:v>
                </c:pt>
                <c:pt idx="954">
                  <c:v>920.39760000000001</c:v>
                </c:pt>
                <c:pt idx="955">
                  <c:v>919.71870000000001</c:v>
                </c:pt>
                <c:pt idx="956">
                  <c:v>919.80280000000005</c:v>
                </c:pt>
                <c:pt idx="957">
                  <c:v>920.42520000000002</c:v>
                </c:pt>
                <c:pt idx="958">
                  <c:v>920.3202</c:v>
                </c:pt>
                <c:pt idx="959">
                  <c:v>920.16240000000005</c:v>
                </c:pt>
                <c:pt idx="960">
                  <c:v>919.3528</c:v>
                </c:pt>
                <c:pt idx="961">
                  <c:v>918.10889999999995</c:v>
                </c:pt>
                <c:pt idx="962">
                  <c:v>916.17539999999997</c:v>
                </c:pt>
                <c:pt idx="963">
                  <c:v>914.31590000000006</c:v>
                </c:pt>
                <c:pt idx="964">
                  <c:v>912.39589999999998</c:v>
                </c:pt>
                <c:pt idx="965">
                  <c:v>910.71220000000005</c:v>
                </c:pt>
                <c:pt idx="966">
                  <c:v>907.23320000000001</c:v>
                </c:pt>
                <c:pt idx="967">
                  <c:v>904.83519999999999</c:v>
                </c:pt>
                <c:pt idx="968">
                  <c:v>902.14729999999997</c:v>
                </c:pt>
                <c:pt idx="969">
                  <c:v>899.45960000000002</c:v>
                </c:pt>
                <c:pt idx="970">
                  <c:v>894.65309999999999</c:v>
                </c:pt>
                <c:pt idx="971">
                  <c:v>888.89639999999997</c:v>
                </c:pt>
                <c:pt idx="972">
                  <c:v>883.73620000000005</c:v>
                </c:pt>
                <c:pt idx="973">
                  <c:v>878.66409999999996</c:v>
                </c:pt>
                <c:pt idx="974">
                  <c:v>874.70550000000003</c:v>
                </c:pt>
                <c:pt idx="975">
                  <c:v>871.56010000000003</c:v>
                </c:pt>
                <c:pt idx="976">
                  <c:v>869.38139999999999</c:v>
                </c:pt>
                <c:pt idx="977">
                  <c:v>867.41250000000002</c:v>
                </c:pt>
                <c:pt idx="978">
                  <c:v>865.96550000000002</c:v>
                </c:pt>
                <c:pt idx="979">
                  <c:v>864.43219999999997</c:v>
                </c:pt>
                <c:pt idx="980">
                  <c:v>862.28030000000001</c:v>
                </c:pt>
                <c:pt idx="981">
                  <c:v>860.38160000000005</c:v>
                </c:pt>
                <c:pt idx="982">
                  <c:v>860.38160000000005</c:v>
                </c:pt>
                <c:pt idx="983">
                  <c:v>858.80449999999996</c:v>
                </c:pt>
                <c:pt idx="984">
                  <c:v>858.80449999999996</c:v>
                </c:pt>
                <c:pt idx="985">
                  <c:v>857.33870000000002</c:v>
                </c:pt>
                <c:pt idx="986">
                  <c:v>853.22580000000005</c:v>
                </c:pt>
                <c:pt idx="987">
                  <c:v>854.99940000000004</c:v>
                </c:pt>
                <c:pt idx="988">
                  <c:v>853.65020000000004</c:v>
                </c:pt>
                <c:pt idx="989">
                  <c:v>852.28269999999998</c:v>
                </c:pt>
                <c:pt idx="990">
                  <c:v>851.91179999999997</c:v>
                </c:pt>
                <c:pt idx="991">
                  <c:v>848.70140000000004</c:v>
                </c:pt>
                <c:pt idx="992">
                  <c:v>850.41179999999997</c:v>
                </c:pt>
                <c:pt idx="993">
                  <c:v>852.65809999999999</c:v>
                </c:pt>
                <c:pt idx="994">
                  <c:v>853.23580000000004</c:v>
                </c:pt>
                <c:pt idx="995">
                  <c:v>853.99199999999996</c:v>
                </c:pt>
                <c:pt idx="996">
                  <c:v>854.13829999999996</c:v>
                </c:pt>
                <c:pt idx="997">
                  <c:v>854.12019999999995</c:v>
                </c:pt>
                <c:pt idx="998">
                  <c:v>854.02539999999999</c:v>
                </c:pt>
                <c:pt idx="999">
                  <c:v>853.82029999999997</c:v>
                </c:pt>
                <c:pt idx="1000">
                  <c:v>853.33209999999997</c:v>
                </c:pt>
                <c:pt idx="1001">
                  <c:v>852.39570000000003</c:v>
                </c:pt>
                <c:pt idx="1002">
                  <c:v>850.12239999999997</c:v>
                </c:pt>
                <c:pt idx="1003">
                  <c:v>850.12239999999997</c:v>
                </c:pt>
                <c:pt idx="1004">
                  <c:v>851.47230000000002</c:v>
                </c:pt>
                <c:pt idx="1005">
                  <c:v>851.47230000000002</c:v>
                </c:pt>
                <c:pt idx="1006">
                  <c:v>851.80740000000003</c:v>
                </c:pt>
                <c:pt idx="1007">
                  <c:v>854.58669999999995</c:v>
                </c:pt>
                <c:pt idx="1008">
                  <c:v>857.74279999999999</c:v>
                </c:pt>
                <c:pt idx="1009">
                  <c:v>860.65170000000001</c:v>
                </c:pt>
                <c:pt idx="1010">
                  <c:v>865.09370000000001</c:v>
                </c:pt>
                <c:pt idx="1011">
                  <c:v>869.76499999999999</c:v>
                </c:pt>
                <c:pt idx="1012">
                  <c:v>874.66480000000001</c:v>
                </c:pt>
                <c:pt idx="1013">
                  <c:v>877.21569999999997</c:v>
                </c:pt>
                <c:pt idx="1014">
                  <c:v>875.31640000000004</c:v>
                </c:pt>
                <c:pt idx="1015">
                  <c:v>871.27110000000005</c:v>
                </c:pt>
                <c:pt idx="1016">
                  <c:v>867.86360000000002</c:v>
                </c:pt>
                <c:pt idx="1017">
                  <c:v>865.08929999999998</c:v>
                </c:pt>
                <c:pt idx="1018">
                  <c:v>862.43359999999996</c:v>
                </c:pt>
                <c:pt idx="1019">
                  <c:v>864.31439999999998</c:v>
                </c:pt>
                <c:pt idx="1020">
                  <c:v>867.28750000000002</c:v>
                </c:pt>
                <c:pt idx="1021">
                  <c:v>870.8107</c:v>
                </c:pt>
                <c:pt idx="1022">
                  <c:v>874.19100000000003</c:v>
                </c:pt>
                <c:pt idx="1023">
                  <c:v>877.92610000000002</c:v>
                </c:pt>
                <c:pt idx="1024">
                  <c:v>881.51499999999999</c:v>
                </c:pt>
                <c:pt idx="1025">
                  <c:v>885.23889999999994</c:v>
                </c:pt>
                <c:pt idx="1026">
                  <c:v>889.78219999999999</c:v>
                </c:pt>
                <c:pt idx="1027">
                  <c:v>893.47730000000001</c:v>
                </c:pt>
                <c:pt idx="1028">
                  <c:v>897.43520000000001</c:v>
                </c:pt>
                <c:pt idx="1029">
                  <c:v>895.69100000000003</c:v>
                </c:pt>
                <c:pt idx="1030">
                  <c:v>893.53719999999998</c:v>
                </c:pt>
                <c:pt idx="1031">
                  <c:v>892.26660000000004</c:v>
                </c:pt>
                <c:pt idx="1032">
                  <c:v>890.96320000000003</c:v>
                </c:pt>
                <c:pt idx="1033">
                  <c:v>890.80380000000002</c:v>
                </c:pt>
                <c:pt idx="1034">
                  <c:v>890.97709999999995</c:v>
                </c:pt>
                <c:pt idx="1035">
                  <c:v>891.99480000000005</c:v>
                </c:pt>
                <c:pt idx="1036">
                  <c:v>893.08519999999999</c:v>
                </c:pt>
                <c:pt idx="1037">
                  <c:v>894.17740000000003</c:v>
                </c:pt>
                <c:pt idx="1038">
                  <c:v>895.35289999999998</c:v>
                </c:pt>
                <c:pt idx="1039">
                  <c:v>894.21339999999998</c:v>
                </c:pt>
                <c:pt idx="1040">
                  <c:v>892.75210000000004</c:v>
                </c:pt>
                <c:pt idx="1041">
                  <c:v>889.93949999999995</c:v>
                </c:pt>
                <c:pt idx="1042">
                  <c:v>887.17070000000001</c:v>
                </c:pt>
                <c:pt idx="1043">
                  <c:v>883.68119999999999</c:v>
                </c:pt>
                <c:pt idx="1044">
                  <c:v>880.10519999999997</c:v>
                </c:pt>
                <c:pt idx="1045">
                  <c:v>877.32539999999995</c:v>
                </c:pt>
                <c:pt idx="1046">
                  <c:v>875.10400000000004</c:v>
                </c:pt>
                <c:pt idx="1047">
                  <c:v>873.13679999999999</c:v>
                </c:pt>
                <c:pt idx="1048">
                  <c:v>871.31769999999995</c:v>
                </c:pt>
                <c:pt idx="1049">
                  <c:v>869.20519999999999</c:v>
                </c:pt>
                <c:pt idx="1050">
                  <c:v>868.25429999999994</c:v>
                </c:pt>
                <c:pt idx="1051">
                  <c:v>866.54949999999997</c:v>
                </c:pt>
                <c:pt idx="1052">
                  <c:v>870.1155</c:v>
                </c:pt>
                <c:pt idx="1053">
                  <c:v>870.56820000000005</c:v>
                </c:pt>
                <c:pt idx="1054">
                  <c:v>870.39250000000004</c:v>
                </c:pt>
                <c:pt idx="1055">
                  <c:v>869.79669999999999</c:v>
                </c:pt>
                <c:pt idx="1056">
                  <c:v>869.46630000000005</c:v>
                </c:pt>
                <c:pt idx="1057">
                  <c:v>870.15639999999996</c:v>
                </c:pt>
                <c:pt idx="1058">
                  <c:v>869.12850000000003</c:v>
                </c:pt>
                <c:pt idx="1059">
                  <c:v>868.1114</c:v>
                </c:pt>
                <c:pt idx="1060">
                  <c:v>867.40660000000003</c:v>
                </c:pt>
                <c:pt idx="1061">
                  <c:v>866.69399999999996</c:v>
                </c:pt>
                <c:pt idx="1062">
                  <c:v>865.73889999999994</c:v>
                </c:pt>
                <c:pt idx="1063">
                  <c:v>864.74929999999995</c:v>
                </c:pt>
                <c:pt idx="1064">
                  <c:v>862.60550000000001</c:v>
                </c:pt>
                <c:pt idx="1065">
                  <c:v>860.49040000000002</c:v>
                </c:pt>
                <c:pt idx="1066">
                  <c:v>859.43060000000003</c:v>
                </c:pt>
                <c:pt idx="1067">
                  <c:v>857.7817</c:v>
                </c:pt>
                <c:pt idx="1068">
                  <c:v>856.22249999999997</c:v>
                </c:pt>
                <c:pt idx="1069">
                  <c:v>855.43899999999996</c:v>
                </c:pt>
                <c:pt idx="1070">
                  <c:v>854.37459999999999</c:v>
                </c:pt>
                <c:pt idx="1071">
                  <c:v>853.49590000000001</c:v>
                </c:pt>
                <c:pt idx="1072">
                  <c:v>852.18979999999999</c:v>
                </c:pt>
                <c:pt idx="1073">
                  <c:v>850.63530000000003</c:v>
                </c:pt>
                <c:pt idx="1074">
                  <c:v>849.31129999999996</c:v>
                </c:pt>
                <c:pt idx="1075">
                  <c:v>848.49189999999999</c:v>
                </c:pt>
                <c:pt idx="1076">
                  <c:v>847.98720000000003</c:v>
                </c:pt>
                <c:pt idx="1077">
                  <c:v>847.14390000000003</c:v>
                </c:pt>
                <c:pt idx="1078">
                  <c:v>844.8347</c:v>
                </c:pt>
                <c:pt idx="1079">
                  <c:v>842.2595</c:v>
                </c:pt>
                <c:pt idx="1080">
                  <c:v>840.05200000000002</c:v>
                </c:pt>
                <c:pt idx="1081">
                  <c:v>836.06269999999995</c:v>
                </c:pt>
                <c:pt idx="1082">
                  <c:v>833.95730000000003</c:v>
                </c:pt>
                <c:pt idx="1083">
                  <c:v>833.95730000000003</c:v>
                </c:pt>
                <c:pt idx="1084">
                  <c:v>834.19399999999996</c:v>
                </c:pt>
                <c:pt idx="1085">
                  <c:v>834.19399999999996</c:v>
                </c:pt>
                <c:pt idx="1086">
                  <c:v>829.87630000000001</c:v>
                </c:pt>
                <c:pt idx="1087">
                  <c:v>828.81299999999999</c:v>
                </c:pt>
                <c:pt idx="1088">
                  <c:v>829.13160000000005</c:v>
                </c:pt>
                <c:pt idx="1089">
                  <c:v>828.66520000000003</c:v>
                </c:pt>
                <c:pt idx="1090">
                  <c:v>828.1037</c:v>
                </c:pt>
                <c:pt idx="1091">
                  <c:v>825.22260000000006</c:v>
                </c:pt>
                <c:pt idx="1092">
                  <c:v>822.74779999999998</c:v>
                </c:pt>
                <c:pt idx="1093">
                  <c:v>816.91030000000001</c:v>
                </c:pt>
                <c:pt idx="1094">
                  <c:v>819.13819999999998</c:v>
                </c:pt>
                <c:pt idx="1095">
                  <c:v>820.72670000000005</c:v>
                </c:pt>
                <c:pt idx="1096">
                  <c:v>822.72019999999998</c:v>
                </c:pt>
                <c:pt idx="1097">
                  <c:v>825.74090000000001</c:v>
                </c:pt>
                <c:pt idx="1098">
                  <c:v>829.45619999999997</c:v>
                </c:pt>
                <c:pt idx="1099">
                  <c:v>833.06679999999994</c:v>
                </c:pt>
                <c:pt idx="1100">
                  <c:v>836.43089999999995</c:v>
                </c:pt>
                <c:pt idx="1101">
                  <c:v>838.82349999999997</c:v>
                </c:pt>
                <c:pt idx="1102">
                  <c:v>838.93079999999998</c:v>
                </c:pt>
                <c:pt idx="1103">
                  <c:v>838.07680000000005</c:v>
                </c:pt>
                <c:pt idx="1104">
                  <c:v>836.04110000000003</c:v>
                </c:pt>
                <c:pt idx="1105">
                  <c:v>834.51089999999999</c:v>
                </c:pt>
                <c:pt idx="1106">
                  <c:v>833.18190000000004</c:v>
                </c:pt>
                <c:pt idx="1107">
                  <c:v>832.87199999999996</c:v>
                </c:pt>
                <c:pt idx="1108">
                  <c:v>832.37639999999999</c:v>
                </c:pt>
                <c:pt idx="1109">
                  <c:v>830.92930000000001</c:v>
                </c:pt>
                <c:pt idx="1110">
                  <c:v>830.92930000000001</c:v>
                </c:pt>
                <c:pt idx="1111">
                  <c:v>828.92669999999998</c:v>
                </c:pt>
                <c:pt idx="1112">
                  <c:v>828.92669999999998</c:v>
                </c:pt>
                <c:pt idx="1113">
                  <c:v>828.23540000000003</c:v>
                </c:pt>
                <c:pt idx="1114">
                  <c:v>827.05039999999997</c:v>
                </c:pt>
                <c:pt idx="1115">
                  <c:v>823.76829999999995</c:v>
                </c:pt>
                <c:pt idx="1116">
                  <c:v>827.69359999999995</c:v>
                </c:pt>
                <c:pt idx="1117">
                  <c:v>829.42250000000001</c:v>
                </c:pt>
                <c:pt idx="1118">
                  <c:v>832.02560000000005</c:v>
                </c:pt>
                <c:pt idx="1119">
                  <c:v>835.38289999999995</c:v>
                </c:pt>
                <c:pt idx="1120">
                  <c:v>839.04390000000001</c:v>
                </c:pt>
                <c:pt idx="1121">
                  <c:v>842.81309999999996</c:v>
                </c:pt>
                <c:pt idx="1122">
                  <c:v>846.38959999999997</c:v>
                </c:pt>
                <c:pt idx="1123">
                  <c:v>848.95230000000004</c:v>
                </c:pt>
                <c:pt idx="1124">
                  <c:v>849.73400000000004</c:v>
                </c:pt>
                <c:pt idx="1125">
                  <c:v>847.31560000000002</c:v>
                </c:pt>
                <c:pt idx="1126">
                  <c:v>844.13869999999997</c:v>
                </c:pt>
                <c:pt idx="1127">
                  <c:v>840.78390000000002</c:v>
                </c:pt>
                <c:pt idx="1128">
                  <c:v>837.52940000000001</c:v>
                </c:pt>
                <c:pt idx="1129">
                  <c:v>834.4914</c:v>
                </c:pt>
                <c:pt idx="1130">
                  <c:v>832.62</c:v>
                </c:pt>
                <c:pt idx="1131">
                  <c:v>834.80269999999996</c:v>
                </c:pt>
                <c:pt idx="1132">
                  <c:v>838.09119999999996</c:v>
                </c:pt>
                <c:pt idx="1133">
                  <c:v>840.85789999999997</c:v>
                </c:pt>
                <c:pt idx="1134">
                  <c:v>844.69709999999998</c:v>
                </c:pt>
                <c:pt idx="1135">
                  <c:v>849.34190000000001</c:v>
                </c:pt>
                <c:pt idx="1136">
                  <c:v>854.91489999999999</c:v>
                </c:pt>
                <c:pt idx="1137">
                  <c:v>858.24760000000003</c:v>
                </c:pt>
                <c:pt idx="1138">
                  <c:v>859.38369999999998</c:v>
                </c:pt>
                <c:pt idx="1139">
                  <c:v>859.91470000000004</c:v>
                </c:pt>
                <c:pt idx="1140">
                  <c:v>859.92849999999999</c:v>
                </c:pt>
                <c:pt idx="1141">
                  <c:v>859.07690000000002</c:v>
                </c:pt>
                <c:pt idx="1142">
                  <c:v>857.31790000000001</c:v>
                </c:pt>
                <c:pt idx="1143">
                  <c:v>854.75080000000003</c:v>
                </c:pt>
                <c:pt idx="1144">
                  <c:v>851.62279999999998</c:v>
                </c:pt>
                <c:pt idx="1145">
                  <c:v>848.76030000000003</c:v>
                </c:pt>
                <c:pt idx="1146">
                  <c:v>846.65520000000004</c:v>
                </c:pt>
                <c:pt idx="1147">
                  <c:v>844.48659999999995</c:v>
                </c:pt>
                <c:pt idx="1148">
                  <c:v>842.23040000000003</c:v>
                </c:pt>
                <c:pt idx="1149">
                  <c:v>839.73059999999998</c:v>
                </c:pt>
                <c:pt idx="1150">
                  <c:v>838.71849999999995</c:v>
                </c:pt>
                <c:pt idx="1151">
                  <c:v>837.74400000000003</c:v>
                </c:pt>
                <c:pt idx="1152">
                  <c:v>837.29250000000002</c:v>
                </c:pt>
                <c:pt idx="1153">
                  <c:v>837.04449999999997</c:v>
                </c:pt>
                <c:pt idx="1154">
                  <c:v>837.34270000000004</c:v>
                </c:pt>
                <c:pt idx="1155">
                  <c:v>838.32</c:v>
                </c:pt>
                <c:pt idx="1156">
                  <c:v>839.71090000000004</c:v>
                </c:pt>
                <c:pt idx="1157">
                  <c:v>841.09529999999995</c:v>
                </c:pt>
                <c:pt idx="1158">
                  <c:v>841.49860000000001</c:v>
                </c:pt>
                <c:pt idx="1159">
                  <c:v>840.03800000000001</c:v>
                </c:pt>
                <c:pt idx="1160">
                  <c:v>839.23059999999998</c:v>
                </c:pt>
                <c:pt idx="1161">
                  <c:v>837.58720000000005</c:v>
                </c:pt>
                <c:pt idx="1162">
                  <c:v>833.72080000000005</c:v>
                </c:pt>
                <c:pt idx="1163">
                  <c:v>829.89530000000002</c:v>
                </c:pt>
                <c:pt idx="1164">
                  <c:v>828.85289999999998</c:v>
                </c:pt>
                <c:pt idx="1165">
                  <c:v>828.88400000000001</c:v>
                </c:pt>
                <c:pt idx="1166">
                  <c:v>829.38900000000001</c:v>
                </c:pt>
                <c:pt idx="1167">
                  <c:v>830.35029999999995</c:v>
                </c:pt>
                <c:pt idx="1168">
                  <c:v>829.06299999999999</c:v>
                </c:pt>
                <c:pt idx="1169">
                  <c:v>828.96699999999998</c:v>
                </c:pt>
                <c:pt idx="1170">
                  <c:v>827.80250000000001</c:v>
                </c:pt>
                <c:pt idx="1171">
                  <c:v>824.63019999999995</c:v>
                </c:pt>
                <c:pt idx="1172">
                  <c:v>824.63019999999995</c:v>
                </c:pt>
                <c:pt idx="1173">
                  <c:v>823.1549</c:v>
                </c:pt>
                <c:pt idx="1174">
                  <c:v>823.1549</c:v>
                </c:pt>
                <c:pt idx="1175">
                  <c:v>820.31849999999997</c:v>
                </c:pt>
                <c:pt idx="1176">
                  <c:v>820.31849999999997</c:v>
                </c:pt>
                <c:pt idx="1177">
                  <c:v>819.40480000000002</c:v>
                </c:pt>
                <c:pt idx="1178">
                  <c:v>819.40480000000002</c:v>
                </c:pt>
                <c:pt idx="1179">
                  <c:v>816.79240000000004</c:v>
                </c:pt>
                <c:pt idx="1180">
                  <c:v>812.65089999999998</c:v>
                </c:pt>
                <c:pt idx="1181">
                  <c:v>808.56110000000001</c:v>
                </c:pt>
                <c:pt idx="1182">
                  <c:v>805.64840000000004</c:v>
                </c:pt>
                <c:pt idx="1183">
                  <c:v>800.80190000000005</c:v>
                </c:pt>
                <c:pt idx="1184">
                  <c:v>796.02049999999997</c:v>
                </c:pt>
                <c:pt idx="1185">
                  <c:v>791.09040000000005</c:v>
                </c:pt>
                <c:pt idx="1186">
                  <c:v>787.31679999999994</c:v>
                </c:pt>
                <c:pt idx="1187">
                  <c:v>782.36630000000002</c:v>
                </c:pt>
                <c:pt idx="1188">
                  <c:v>788.44770000000005</c:v>
                </c:pt>
                <c:pt idx="1189">
                  <c:v>794.33479999999997</c:v>
                </c:pt>
                <c:pt idx="1190">
                  <c:v>800.67499999999995</c:v>
                </c:pt>
                <c:pt idx="1191">
                  <c:v>802.56949999999995</c:v>
                </c:pt>
                <c:pt idx="1192">
                  <c:v>801.60810000000004</c:v>
                </c:pt>
                <c:pt idx="1193">
                  <c:v>799.23469999999998</c:v>
                </c:pt>
                <c:pt idx="1194">
                  <c:v>794.81849999999997</c:v>
                </c:pt>
                <c:pt idx="1195">
                  <c:v>787.19730000000004</c:v>
                </c:pt>
                <c:pt idx="1196">
                  <c:v>780.71410000000003</c:v>
                </c:pt>
                <c:pt idx="1197">
                  <c:v>776.3587</c:v>
                </c:pt>
                <c:pt idx="1198">
                  <c:v>772.57309999999995</c:v>
                </c:pt>
                <c:pt idx="1199">
                  <c:v>769.30259999999998</c:v>
                </c:pt>
                <c:pt idx="1200">
                  <c:v>766.1626</c:v>
                </c:pt>
                <c:pt idx="1201">
                  <c:v>762.78060000000005</c:v>
                </c:pt>
                <c:pt idx="1202">
                  <c:v>759.41330000000005</c:v>
                </c:pt>
                <c:pt idx="1203">
                  <c:v>761.10080000000005</c:v>
                </c:pt>
                <c:pt idx="1204">
                  <c:v>765.33330000000001</c:v>
                </c:pt>
                <c:pt idx="1205">
                  <c:v>765.99339999999995</c:v>
                </c:pt>
                <c:pt idx="1206">
                  <c:v>766.23710000000005</c:v>
                </c:pt>
                <c:pt idx="1207">
                  <c:v>765.46019999999999</c:v>
                </c:pt>
                <c:pt idx="1208">
                  <c:v>766.98950000000002</c:v>
                </c:pt>
                <c:pt idx="1209">
                  <c:v>769.60670000000005</c:v>
                </c:pt>
                <c:pt idx="1210">
                  <c:v>771.47080000000005</c:v>
                </c:pt>
                <c:pt idx="1211">
                  <c:v>773.33320000000003</c:v>
                </c:pt>
                <c:pt idx="1212">
                  <c:v>775.06460000000004</c:v>
                </c:pt>
                <c:pt idx="1213">
                  <c:v>779.39469999999994</c:v>
                </c:pt>
                <c:pt idx="1214">
                  <c:v>783.35429999999997</c:v>
                </c:pt>
                <c:pt idx="1215">
                  <c:v>783.94110000000001</c:v>
                </c:pt>
                <c:pt idx="1216">
                  <c:v>781.49959999999999</c:v>
                </c:pt>
                <c:pt idx="1217">
                  <c:v>780.10550000000001</c:v>
                </c:pt>
                <c:pt idx="1218">
                  <c:v>778.971</c:v>
                </c:pt>
                <c:pt idx="1219">
                  <c:v>779.36220000000003</c:v>
                </c:pt>
                <c:pt idx="1220">
                  <c:v>781.07510000000002</c:v>
                </c:pt>
                <c:pt idx="1221">
                  <c:v>782.41489999999999</c:v>
                </c:pt>
                <c:pt idx="1222">
                  <c:v>782.41489999999999</c:v>
                </c:pt>
                <c:pt idx="1223">
                  <c:v>780.91079999999999</c:v>
                </c:pt>
                <c:pt idx="1224">
                  <c:v>780.91079999999999</c:v>
                </c:pt>
                <c:pt idx="1225">
                  <c:v>779.63879999999995</c:v>
                </c:pt>
                <c:pt idx="1226">
                  <c:v>778.9289</c:v>
                </c:pt>
                <c:pt idx="1227">
                  <c:v>777.00040000000001</c:v>
                </c:pt>
                <c:pt idx="1228">
                  <c:v>774.29960000000005</c:v>
                </c:pt>
                <c:pt idx="1229">
                  <c:v>774.29960000000005</c:v>
                </c:pt>
                <c:pt idx="1230">
                  <c:v>768.29679999999996</c:v>
                </c:pt>
                <c:pt idx="1231">
                  <c:v>761.6268</c:v>
                </c:pt>
                <c:pt idx="1232">
                  <c:v>757.20740000000001</c:v>
                </c:pt>
                <c:pt idx="1233">
                  <c:v>757.20740000000001</c:v>
                </c:pt>
                <c:pt idx="1234">
                  <c:v>753.78449999999998</c:v>
                </c:pt>
                <c:pt idx="1235">
                  <c:v>749.66</c:v>
                </c:pt>
                <c:pt idx="1236">
                  <c:v>747.12429999999995</c:v>
                </c:pt>
                <c:pt idx="1237">
                  <c:v>745.47209999999995</c:v>
                </c:pt>
                <c:pt idx="1238">
                  <c:v>742.12980000000005</c:v>
                </c:pt>
                <c:pt idx="1239">
                  <c:v>736.62840000000006</c:v>
                </c:pt>
                <c:pt idx="1240">
                  <c:v>738.44970000000001</c:v>
                </c:pt>
                <c:pt idx="1241">
                  <c:v>740.8451</c:v>
                </c:pt>
                <c:pt idx="1242">
                  <c:v>742.62400000000002</c:v>
                </c:pt>
                <c:pt idx="1243">
                  <c:v>743.15740000000005</c:v>
                </c:pt>
                <c:pt idx="1244">
                  <c:v>741.43560000000002</c:v>
                </c:pt>
                <c:pt idx="1245">
                  <c:v>739.25</c:v>
                </c:pt>
                <c:pt idx="1246">
                  <c:v>734.4434</c:v>
                </c:pt>
                <c:pt idx="1247">
                  <c:v>730.17470000000003</c:v>
                </c:pt>
                <c:pt idx="1248">
                  <c:v>726.04880000000003</c:v>
                </c:pt>
                <c:pt idx="1249">
                  <c:v>722.34540000000004</c:v>
                </c:pt>
                <c:pt idx="1250">
                  <c:v>718.37469999999996</c:v>
                </c:pt>
                <c:pt idx="1251">
                  <c:v>714.35490000000004</c:v>
                </c:pt>
                <c:pt idx="1252">
                  <c:v>710.5326</c:v>
                </c:pt>
                <c:pt idx="1253">
                  <c:v>707.18330000000003</c:v>
                </c:pt>
                <c:pt idx="1254">
                  <c:v>699.6748</c:v>
                </c:pt>
                <c:pt idx="1255">
                  <c:v>700.77660000000003</c:v>
                </c:pt>
                <c:pt idx="1256">
                  <c:v>703.39419999999996</c:v>
                </c:pt>
                <c:pt idx="1257">
                  <c:v>703.09389999999996</c:v>
                </c:pt>
                <c:pt idx="1258">
                  <c:v>702.13990000000001</c:v>
                </c:pt>
                <c:pt idx="1259">
                  <c:v>701.08259999999996</c:v>
                </c:pt>
                <c:pt idx="1260">
                  <c:v>701.17309999999998</c:v>
                </c:pt>
                <c:pt idx="1261">
                  <c:v>701.85490000000004</c:v>
                </c:pt>
                <c:pt idx="1262">
                  <c:v>702.3229</c:v>
                </c:pt>
                <c:pt idx="1263">
                  <c:v>702.42319999999995</c:v>
                </c:pt>
                <c:pt idx="1264">
                  <c:v>702.43389999999999</c:v>
                </c:pt>
                <c:pt idx="1265">
                  <c:v>701.76850000000002</c:v>
                </c:pt>
                <c:pt idx="1266">
                  <c:v>701.08130000000006</c:v>
                </c:pt>
                <c:pt idx="1267">
                  <c:v>700.65049999999997</c:v>
                </c:pt>
                <c:pt idx="1268">
                  <c:v>699.21889999999996</c:v>
                </c:pt>
                <c:pt idx="1269">
                  <c:v>696.5521</c:v>
                </c:pt>
                <c:pt idx="1270">
                  <c:v>693.13289999999995</c:v>
                </c:pt>
                <c:pt idx="1271">
                  <c:v>689.4914</c:v>
                </c:pt>
                <c:pt idx="1272">
                  <c:v>690.94770000000005</c:v>
                </c:pt>
                <c:pt idx="1273">
                  <c:v>687.78319999999997</c:v>
                </c:pt>
                <c:pt idx="1274">
                  <c:v>694.77880000000005</c:v>
                </c:pt>
                <c:pt idx="1275">
                  <c:v>696.01250000000005</c:v>
                </c:pt>
                <c:pt idx="1276">
                  <c:v>694.18420000000003</c:v>
                </c:pt>
                <c:pt idx="1277">
                  <c:v>692.29809999999998</c:v>
                </c:pt>
                <c:pt idx="1278">
                  <c:v>691.09259999999995</c:v>
                </c:pt>
                <c:pt idx="1279">
                  <c:v>690.03359999999998</c:v>
                </c:pt>
                <c:pt idx="1280">
                  <c:v>689.27359999999999</c:v>
                </c:pt>
                <c:pt idx="1281">
                  <c:v>688.1893</c:v>
                </c:pt>
                <c:pt idx="1282">
                  <c:v>687.09670000000006</c:v>
                </c:pt>
                <c:pt idx="1283">
                  <c:v>686.23609999999996</c:v>
                </c:pt>
                <c:pt idx="1284">
                  <c:v>685.45770000000005</c:v>
                </c:pt>
                <c:pt idx="1285">
                  <c:v>684.89509999999996</c:v>
                </c:pt>
                <c:pt idx="1286">
                  <c:v>684.30029999999999</c:v>
                </c:pt>
                <c:pt idx="1287">
                  <c:v>683.40980000000002</c:v>
                </c:pt>
                <c:pt idx="1288">
                  <c:v>682.82709999999997</c:v>
                </c:pt>
                <c:pt idx="1289">
                  <c:v>682.82709999999997</c:v>
                </c:pt>
                <c:pt idx="1290">
                  <c:v>682.29499999999996</c:v>
                </c:pt>
                <c:pt idx="1291">
                  <c:v>681.5127</c:v>
                </c:pt>
                <c:pt idx="1292">
                  <c:v>681.5127</c:v>
                </c:pt>
                <c:pt idx="1293">
                  <c:v>678.93820000000005</c:v>
                </c:pt>
                <c:pt idx="1294">
                  <c:v>669.4248</c:v>
                </c:pt>
                <c:pt idx="1295">
                  <c:v>677.29340000000002</c:v>
                </c:pt>
                <c:pt idx="1296">
                  <c:v>678.42399999999998</c:v>
                </c:pt>
                <c:pt idx="1297">
                  <c:v>679.63040000000001</c:v>
                </c:pt>
                <c:pt idx="1298">
                  <c:v>680.46690000000001</c:v>
                </c:pt>
                <c:pt idx="1299">
                  <c:v>680.85979999999995</c:v>
                </c:pt>
                <c:pt idx="1300">
                  <c:v>681.34879999999998</c:v>
                </c:pt>
                <c:pt idx="1301">
                  <c:v>681.19219999999996</c:v>
                </c:pt>
                <c:pt idx="1302">
                  <c:v>679.85590000000002</c:v>
                </c:pt>
                <c:pt idx="1303">
                  <c:v>679.85590000000002</c:v>
                </c:pt>
                <c:pt idx="1304">
                  <c:v>678.60820000000001</c:v>
                </c:pt>
                <c:pt idx="1305">
                  <c:v>678.72209999999995</c:v>
                </c:pt>
                <c:pt idx="1306">
                  <c:v>678.72209999999995</c:v>
                </c:pt>
                <c:pt idx="1307">
                  <c:v>678.14400000000001</c:v>
                </c:pt>
                <c:pt idx="1308">
                  <c:v>679.10310000000004</c:v>
                </c:pt>
                <c:pt idx="1309">
                  <c:v>679.39260000000002</c:v>
                </c:pt>
                <c:pt idx="1310">
                  <c:v>680.14729999999997</c:v>
                </c:pt>
                <c:pt idx="1311">
                  <c:v>679.88109999999995</c:v>
                </c:pt>
                <c:pt idx="1312">
                  <c:v>679.95029999999997</c:v>
                </c:pt>
                <c:pt idx="1313">
                  <c:v>679.65840000000003</c:v>
                </c:pt>
                <c:pt idx="1314">
                  <c:v>679.47550000000001</c:v>
                </c:pt>
                <c:pt idx="1315">
                  <c:v>679.20619999999997</c:v>
                </c:pt>
                <c:pt idx="1316">
                  <c:v>678.91890000000001</c:v>
                </c:pt>
                <c:pt idx="1317">
                  <c:v>678.66250000000002</c:v>
                </c:pt>
                <c:pt idx="1318">
                  <c:v>678.36429999999996</c:v>
                </c:pt>
                <c:pt idx="1319">
                  <c:v>677.9941</c:v>
                </c:pt>
                <c:pt idx="1320">
                  <c:v>677.67719999999997</c:v>
                </c:pt>
                <c:pt idx="1321">
                  <c:v>677.93409999999994</c:v>
                </c:pt>
                <c:pt idx="1322">
                  <c:v>677.91570000000002</c:v>
                </c:pt>
                <c:pt idx="1323">
                  <c:v>677.43600000000004</c:v>
                </c:pt>
                <c:pt idx="1324">
                  <c:v>676.67570000000001</c:v>
                </c:pt>
                <c:pt idx="1325">
                  <c:v>676.2047</c:v>
                </c:pt>
                <c:pt idx="1326">
                  <c:v>675.75469999999996</c:v>
                </c:pt>
                <c:pt idx="1327">
                  <c:v>675.01660000000004</c:v>
                </c:pt>
                <c:pt idx="1328">
                  <c:v>674.18510000000003</c:v>
                </c:pt>
                <c:pt idx="1329">
                  <c:v>673.9085</c:v>
                </c:pt>
                <c:pt idx="1330">
                  <c:v>673.91899999999998</c:v>
                </c:pt>
                <c:pt idx="1331">
                  <c:v>673.47770000000003</c:v>
                </c:pt>
                <c:pt idx="1332">
                  <c:v>670.22559999999999</c:v>
                </c:pt>
                <c:pt idx="1333">
                  <c:v>673.1617</c:v>
                </c:pt>
                <c:pt idx="1334">
                  <c:v>672.2287</c:v>
                </c:pt>
                <c:pt idx="1335">
                  <c:v>673.48140000000001</c:v>
                </c:pt>
                <c:pt idx="1336">
                  <c:v>675.54970000000003</c:v>
                </c:pt>
                <c:pt idx="1337">
                  <c:v>675.58749999999998</c:v>
                </c:pt>
                <c:pt idx="1338">
                  <c:v>676.87609999999995</c:v>
                </c:pt>
                <c:pt idx="1339">
                  <c:v>680.7088</c:v>
                </c:pt>
                <c:pt idx="1340">
                  <c:v>686.22950000000003</c:v>
                </c:pt>
                <c:pt idx="1341">
                  <c:v>692.90800000000002</c:v>
                </c:pt>
                <c:pt idx="1342">
                  <c:v>705.99120000000005</c:v>
                </c:pt>
                <c:pt idx="1343">
                  <c:v>715.54870000000005</c:v>
                </c:pt>
                <c:pt idx="1344">
                  <c:v>724.49040000000002</c:v>
                </c:pt>
                <c:pt idx="1345">
                  <c:v>729.29100000000005</c:v>
                </c:pt>
                <c:pt idx="1346">
                  <c:v>728.21420000000001</c:v>
                </c:pt>
                <c:pt idx="1347">
                  <c:v>727.36260000000004</c:v>
                </c:pt>
                <c:pt idx="1348">
                  <c:v>729.36030000000005</c:v>
                </c:pt>
                <c:pt idx="1349">
                  <c:v>733.16790000000003</c:v>
                </c:pt>
                <c:pt idx="1350">
                  <c:v>736.28269999999998</c:v>
                </c:pt>
                <c:pt idx="1351">
                  <c:v>737.55880000000002</c:v>
                </c:pt>
                <c:pt idx="1352">
                  <c:v>735.63430000000005</c:v>
                </c:pt>
                <c:pt idx="1353">
                  <c:v>733.56610000000001</c:v>
                </c:pt>
                <c:pt idx="1354">
                  <c:v>731.93110000000001</c:v>
                </c:pt>
                <c:pt idx="1355">
                  <c:v>729.7373</c:v>
                </c:pt>
                <c:pt idx="1356">
                  <c:v>729.41759999999999</c:v>
                </c:pt>
                <c:pt idx="1357">
                  <c:v>729.45240000000001</c:v>
                </c:pt>
                <c:pt idx="1358">
                  <c:v>732.077</c:v>
                </c:pt>
                <c:pt idx="1359">
                  <c:v>735.15940000000001</c:v>
                </c:pt>
                <c:pt idx="1360">
                  <c:v>738.70349999999996</c:v>
                </c:pt>
                <c:pt idx="1361">
                  <c:v>742.45129999999995</c:v>
                </c:pt>
                <c:pt idx="1362">
                  <c:v>746.22919999999999</c:v>
                </c:pt>
                <c:pt idx="1363">
                  <c:v>750.08680000000004</c:v>
                </c:pt>
                <c:pt idx="1364">
                  <c:v>754.35360000000003</c:v>
                </c:pt>
                <c:pt idx="1365">
                  <c:v>758.55409999999995</c:v>
                </c:pt>
                <c:pt idx="1366">
                  <c:v>762.50980000000004</c:v>
                </c:pt>
                <c:pt idx="1367">
                  <c:v>766.2482</c:v>
                </c:pt>
                <c:pt idx="1368">
                  <c:v>768.38430000000005</c:v>
                </c:pt>
                <c:pt idx="1369">
                  <c:v>769.30070000000001</c:v>
                </c:pt>
                <c:pt idx="1370">
                  <c:v>769.56470000000002</c:v>
                </c:pt>
                <c:pt idx="1371">
                  <c:v>770.01289999999995</c:v>
                </c:pt>
                <c:pt idx="1372">
                  <c:v>770.01289999999995</c:v>
                </c:pt>
                <c:pt idx="1373">
                  <c:v>767.7577</c:v>
                </c:pt>
                <c:pt idx="1374">
                  <c:v>765.16359999999997</c:v>
                </c:pt>
                <c:pt idx="1375">
                  <c:v>763.4991</c:v>
                </c:pt>
                <c:pt idx="1376">
                  <c:v>763.59829999999999</c:v>
                </c:pt>
                <c:pt idx="1377">
                  <c:v>766.3646</c:v>
                </c:pt>
                <c:pt idx="1378">
                  <c:v>766.3646</c:v>
                </c:pt>
                <c:pt idx="1379">
                  <c:v>769.25699999999995</c:v>
                </c:pt>
                <c:pt idx="1380">
                  <c:v>772.74080000000004</c:v>
                </c:pt>
                <c:pt idx="1381">
                  <c:v>772.47609999999997</c:v>
                </c:pt>
                <c:pt idx="1382">
                  <c:v>772.47609999999997</c:v>
                </c:pt>
                <c:pt idx="1383">
                  <c:v>771.20209999999997</c:v>
                </c:pt>
                <c:pt idx="1384">
                  <c:v>768.02829999999994</c:v>
                </c:pt>
                <c:pt idx="1385">
                  <c:v>765.27930000000003</c:v>
                </c:pt>
                <c:pt idx="1386">
                  <c:v>762.28279999999995</c:v>
                </c:pt>
                <c:pt idx="1387">
                  <c:v>759.30219999999997</c:v>
                </c:pt>
                <c:pt idx="1388">
                  <c:v>757.02800000000002</c:v>
                </c:pt>
                <c:pt idx="1389">
                  <c:v>757.07960000000003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BE-4E12-9C5F-2CC84E3F3372}"/>
            </c:ext>
          </c:extLst>
        </c:ser>
        <c:ser>
          <c:idx val="4"/>
          <c:order val="4"/>
          <c:tx>
            <c:v>Maximum Elevation</c:v>
          </c:tx>
          <c:marker>
            <c:symbol val="triangle"/>
            <c:size val="10"/>
            <c:spPr>
              <a:solidFill>
                <a:srgbClr val="FF0000"/>
              </a:solidFill>
              <a:ln w="12700">
                <a:solidFill>
                  <a:srgbClr val="FF0000"/>
                </a:solidFill>
              </a:ln>
            </c:spPr>
          </c:marker>
          <c:dLbls>
            <c:dLbl>
              <c:idx val="0"/>
              <c:layout>
                <c:manualLayout>
                  <c:x val="-2.94563230169392E-2"/>
                  <c:y val="-4.5875012016394733E-2"/>
                </c:manualLayout>
              </c:layout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0571104587700423"/>
                      <c:h val="5.528998109420561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B620-4A90-A00C-3281D436FA9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Inputs!$F$3</c:f>
              <c:numCache>
                <c:formatCode>#\+##</c:formatCode>
                <c:ptCount val="1"/>
                <c:pt idx="0">
                  <c:v>162799.92000000001</c:v>
                </c:pt>
              </c:numCache>
            </c:numRef>
          </c:xVal>
          <c:yVal>
            <c:numRef>
              <c:f>Inputs!$E$3</c:f>
              <c:numCache>
                <c:formatCode>#,##0.0\ "ft"</c:formatCode>
                <c:ptCount val="1"/>
                <c:pt idx="0">
                  <c:v>938.19100000000003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BE-4E12-9C5F-2CC84E3F3372}"/>
            </c:ext>
          </c:extLst>
        </c:ser>
        <c:ser>
          <c:idx val="5"/>
          <c:order val="5"/>
          <c:tx>
            <c:v>Minimum Elevation</c:v>
          </c:tx>
          <c:marker>
            <c:symbol val="triangle"/>
            <c:size val="1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dLbl>
              <c:idx val="0"/>
              <c:layout>
                <c:manualLayout>
                  <c:x val="-0.11327214986417411"/>
                  <c:y val="8.1973077449669515E-2"/>
                </c:manualLayout>
              </c:layout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06A-4C8C-9869-7AA099C3B421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Inputs!$F$4</c:f>
              <c:numCache>
                <c:formatCode>#\+##</c:formatCode>
                <c:ptCount val="1"/>
                <c:pt idx="0">
                  <c:v>116999.92</c:v>
                </c:pt>
              </c:numCache>
            </c:numRef>
          </c:xVal>
          <c:yVal>
            <c:numRef>
              <c:f>Inputs!$E$4</c:f>
              <c:numCache>
                <c:formatCode>#,##0.0\ "ft"</c:formatCode>
                <c:ptCount val="1"/>
                <c:pt idx="0">
                  <c:v>572.81079999999997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BE-4E12-9C5F-2CC84E3F3372}"/>
            </c:ext>
          </c:extLst>
        </c:ser>
        <c:ser>
          <c:idx val="6"/>
          <c:order val="6"/>
          <c:tx>
            <c:v>Dewater Location</c:v>
          </c:tx>
          <c:marker>
            <c:symbol val="none"/>
          </c:marker>
          <c:xVal>
            <c:numRef>
              <c:f>Inputs!$F$6</c:f>
              <c:numCache>
                <c:formatCode>#\+##</c:formatCode>
                <c:ptCount val="1"/>
                <c:pt idx="0">
                  <c:v>225299.92</c:v>
                </c:pt>
              </c:numCache>
            </c:numRef>
          </c:xVal>
          <c:yVal>
            <c:numRef>
              <c:f>Inputs!$C$4</c:f>
              <c:numCache>
                <c:formatCode>#,##0.0\ "ft"</c:formatCode>
                <c:ptCount val="1"/>
                <c:pt idx="0">
                  <c:v>757.07960000000003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57BE-4E12-9C5F-2CC84E3F3372}"/>
            </c:ext>
          </c:extLst>
        </c:ser>
        <c:ser>
          <c:idx val="7"/>
          <c:order val="7"/>
          <c:tx>
            <c:v>Test/Fill Site</c:v>
          </c:tx>
          <c:spPr>
            <a:ln>
              <a:solidFill>
                <a:srgbClr val="FF0000"/>
              </a:solidFill>
            </a:ln>
          </c:spPr>
          <c:marker>
            <c:symbol val="square"/>
            <c:size val="10"/>
            <c:spPr>
              <a:solidFill>
                <a:srgbClr val="FF0000"/>
              </a:solidFill>
              <a:ln w="19050">
                <a:solidFill>
                  <a:srgbClr val="FF0000"/>
                </a:solidFill>
              </a:ln>
            </c:spPr>
          </c:marker>
          <c:dLbls>
            <c:dLbl>
              <c:idx val="0"/>
              <c:layout>
                <c:manualLayout>
                  <c:x val="-1.625031193420445E-2"/>
                  <c:y val="-0.17846516410753871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/>
                  </a:pPr>
                  <a:endParaRPr lang="en-US"/>
                </a:p>
              </c:txPr>
              <c:dLblPos val="r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568272442006786"/>
                      <c:h val="2.421339951817898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C2B5-4A39-ACCA-845B0F6CF888}"/>
                </c:ext>
              </c:extLst>
            </c:dLbl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Inputs!$B$5</c:f>
              <c:numCache>
                <c:formatCode>00\+00</c:formatCode>
                <c:ptCount val="1"/>
                <c:pt idx="0">
                  <c:v>95899.92</c:v>
                </c:pt>
              </c:numCache>
            </c:numRef>
          </c:xVal>
          <c:yVal>
            <c:numRef>
              <c:f>Inputs!$C$5</c:f>
              <c:numCache>
                <c:formatCode>#,##0.0\ "ft"</c:formatCode>
                <c:ptCount val="1"/>
                <c:pt idx="0">
                  <c:v>825.18449999999996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57BE-4E12-9C5F-2CC84E3F3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773151"/>
        <c:axId val="775855871"/>
        <c:extLst/>
      </c:scatterChart>
      <c:scatterChart>
        <c:scatterStyle val="smoothMarker"/>
        <c:varyColors val="0"/>
        <c:ser>
          <c:idx val="0"/>
          <c:order val="1"/>
          <c:tx>
            <c:strRef>
              <c:f>TS!$S$1</c:f>
              <c:strCache>
                <c:ptCount val="1"/>
                <c:pt idx="0">
                  <c:v>Minimum Test Press</c:v>
                </c:pt>
              </c:strCache>
            </c:strRef>
          </c:tx>
          <c:marker>
            <c:symbol val="none"/>
          </c:marker>
          <c:xVal>
            <c:numRef>
              <c:f>TS!$N$2:$N$1391</c:f>
              <c:numCache>
                <c:formatCode>#\+##</c:formatCode>
                <c:ptCount val="1390"/>
                <c:pt idx="0">
                  <c:v>95899.92</c:v>
                </c:pt>
                <c:pt idx="1">
                  <c:v>95999.92</c:v>
                </c:pt>
                <c:pt idx="2">
                  <c:v>96099.92</c:v>
                </c:pt>
                <c:pt idx="3">
                  <c:v>96199.92</c:v>
                </c:pt>
                <c:pt idx="4">
                  <c:v>96299.92</c:v>
                </c:pt>
                <c:pt idx="5">
                  <c:v>96399.92</c:v>
                </c:pt>
                <c:pt idx="6">
                  <c:v>96499.92</c:v>
                </c:pt>
                <c:pt idx="7">
                  <c:v>96599.92</c:v>
                </c:pt>
                <c:pt idx="8">
                  <c:v>96699.92</c:v>
                </c:pt>
                <c:pt idx="9">
                  <c:v>96799.92</c:v>
                </c:pt>
                <c:pt idx="10">
                  <c:v>96899.92</c:v>
                </c:pt>
                <c:pt idx="11">
                  <c:v>96999.92</c:v>
                </c:pt>
                <c:pt idx="12">
                  <c:v>97099.92</c:v>
                </c:pt>
                <c:pt idx="13">
                  <c:v>97199.92</c:v>
                </c:pt>
                <c:pt idx="14">
                  <c:v>97299.92</c:v>
                </c:pt>
                <c:pt idx="15">
                  <c:v>97399.92</c:v>
                </c:pt>
                <c:pt idx="16">
                  <c:v>97499.92</c:v>
                </c:pt>
                <c:pt idx="17">
                  <c:v>97599.92</c:v>
                </c:pt>
                <c:pt idx="18">
                  <c:v>97699.92</c:v>
                </c:pt>
                <c:pt idx="19">
                  <c:v>97799.92</c:v>
                </c:pt>
                <c:pt idx="20">
                  <c:v>97899.92</c:v>
                </c:pt>
                <c:pt idx="21">
                  <c:v>97999.92</c:v>
                </c:pt>
                <c:pt idx="22">
                  <c:v>98099.92</c:v>
                </c:pt>
                <c:pt idx="23">
                  <c:v>98199.92</c:v>
                </c:pt>
                <c:pt idx="24">
                  <c:v>98299.92</c:v>
                </c:pt>
                <c:pt idx="25">
                  <c:v>98399.92</c:v>
                </c:pt>
                <c:pt idx="26">
                  <c:v>98499.92</c:v>
                </c:pt>
                <c:pt idx="27">
                  <c:v>98599.92</c:v>
                </c:pt>
                <c:pt idx="28">
                  <c:v>98699.92</c:v>
                </c:pt>
                <c:pt idx="29">
                  <c:v>98799.92</c:v>
                </c:pt>
                <c:pt idx="30">
                  <c:v>98899.92</c:v>
                </c:pt>
                <c:pt idx="31">
                  <c:v>98999.92</c:v>
                </c:pt>
                <c:pt idx="32">
                  <c:v>99099.92</c:v>
                </c:pt>
                <c:pt idx="33">
                  <c:v>99199.92</c:v>
                </c:pt>
                <c:pt idx="34">
                  <c:v>99299.92</c:v>
                </c:pt>
                <c:pt idx="35">
                  <c:v>99399.92</c:v>
                </c:pt>
                <c:pt idx="36">
                  <c:v>99499.92</c:v>
                </c:pt>
                <c:pt idx="37">
                  <c:v>99596.6</c:v>
                </c:pt>
                <c:pt idx="38">
                  <c:v>99599.92</c:v>
                </c:pt>
                <c:pt idx="39">
                  <c:v>99676.6</c:v>
                </c:pt>
                <c:pt idx="40">
                  <c:v>99699.92</c:v>
                </c:pt>
                <c:pt idx="41">
                  <c:v>99799.92</c:v>
                </c:pt>
                <c:pt idx="42">
                  <c:v>99899.92</c:v>
                </c:pt>
                <c:pt idx="43">
                  <c:v>99999.92</c:v>
                </c:pt>
                <c:pt idx="44">
                  <c:v>100093.7</c:v>
                </c:pt>
                <c:pt idx="45">
                  <c:v>100099.92</c:v>
                </c:pt>
                <c:pt idx="46">
                  <c:v>100199.92</c:v>
                </c:pt>
                <c:pt idx="47">
                  <c:v>100299.92</c:v>
                </c:pt>
                <c:pt idx="48">
                  <c:v>100399.92</c:v>
                </c:pt>
                <c:pt idx="49">
                  <c:v>100499.92</c:v>
                </c:pt>
                <c:pt idx="50">
                  <c:v>100599.92</c:v>
                </c:pt>
                <c:pt idx="51">
                  <c:v>100699.92</c:v>
                </c:pt>
                <c:pt idx="52">
                  <c:v>100799.92</c:v>
                </c:pt>
                <c:pt idx="53">
                  <c:v>100899.92</c:v>
                </c:pt>
                <c:pt idx="54">
                  <c:v>100999.92</c:v>
                </c:pt>
                <c:pt idx="55">
                  <c:v>101099.92</c:v>
                </c:pt>
                <c:pt idx="56">
                  <c:v>101199.92</c:v>
                </c:pt>
                <c:pt idx="57">
                  <c:v>101299.92</c:v>
                </c:pt>
                <c:pt idx="58">
                  <c:v>101399.92</c:v>
                </c:pt>
                <c:pt idx="59">
                  <c:v>101499.92</c:v>
                </c:pt>
                <c:pt idx="60">
                  <c:v>101599.92</c:v>
                </c:pt>
                <c:pt idx="61">
                  <c:v>101699.92</c:v>
                </c:pt>
                <c:pt idx="62">
                  <c:v>101799.92</c:v>
                </c:pt>
                <c:pt idx="63">
                  <c:v>101899.92</c:v>
                </c:pt>
                <c:pt idx="64">
                  <c:v>101918.7</c:v>
                </c:pt>
                <c:pt idx="65">
                  <c:v>101999.92</c:v>
                </c:pt>
                <c:pt idx="66">
                  <c:v>102099.92</c:v>
                </c:pt>
                <c:pt idx="67">
                  <c:v>102199.92</c:v>
                </c:pt>
                <c:pt idx="68">
                  <c:v>102299.92</c:v>
                </c:pt>
                <c:pt idx="69">
                  <c:v>102399.92</c:v>
                </c:pt>
                <c:pt idx="70">
                  <c:v>102499.92</c:v>
                </c:pt>
                <c:pt idx="71">
                  <c:v>102599.92</c:v>
                </c:pt>
                <c:pt idx="72">
                  <c:v>102699.92</c:v>
                </c:pt>
                <c:pt idx="73">
                  <c:v>102799.92</c:v>
                </c:pt>
                <c:pt idx="74">
                  <c:v>102899.92</c:v>
                </c:pt>
                <c:pt idx="75">
                  <c:v>102999.92</c:v>
                </c:pt>
                <c:pt idx="76">
                  <c:v>103099.92</c:v>
                </c:pt>
                <c:pt idx="77">
                  <c:v>103199.92</c:v>
                </c:pt>
                <c:pt idx="78">
                  <c:v>103299.92</c:v>
                </c:pt>
                <c:pt idx="79">
                  <c:v>103399.92</c:v>
                </c:pt>
                <c:pt idx="80">
                  <c:v>103499.92</c:v>
                </c:pt>
                <c:pt idx="81">
                  <c:v>103599.92</c:v>
                </c:pt>
                <c:pt idx="82">
                  <c:v>103699.92</c:v>
                </c:pt>
                <c:pt idx="83">
                  <c:v>103799.92</c:v>
                </c:pt>
                <c:pt idx="84">
                  <c:v>103809.3</c:v>
                </c:pt>
                <c:pt idx="85">
                  <c:v>103899.92</c:v>
                </c:pt>
                <c:pt idx="86">
                  <c:v>103929.3</c:v>
                </c:pt>
                <c:pt idx="87">
                  <c:v>103999.92</c:v>
                </c:pt>
                <c:pt idx="88">
                  <c:v>104099.92</c:v>
                </c:pt>
                <c:pt idx="89">
                  <c:v>104199.92</c:v>
                </c:pt>
                <c:pt idx="90">
                  <c:v>104299.92</c:v>
                </c:pt>
                <c:pt idx="91">
                  <c:v>104399.92</c:v>
                </c:pt>
                <c:pt idx="92">
                  <c:v>104499.92</c:v>
                </c:pt>
                <c:pt idx="93">
                  <c:v>104599.92</c:v>
                </c:pt>
                <c:pt idx="94">
                  <c:v>104699.92</c:v>
                </c:pt>
                <c:pt idx="95">
                  <c:v>104799.92</c:v>
                </c:pt>
                <c:pt idx="96">
                  <c:v>104899.92</c:v>
                </c:pt>
                <c:pt idx="97">
                  <c:v>104999.92</c:v>
                </c:pt>
                <c:pt idx="98">
                  <c:v>105099.92</c:v>
                </c:pt>
                <c:pt idx="99">
                  <c:v>105199.92</c:v>
                </c:pt>
                <c:pt idx="100">
                  <c:v>105299.92</c:v>
                </c:pt>
                <c:pt idx="101">
                  <c:v>105399.92</c:v>
                </c:pt>
                <c:pt idx="102">
                  <c:v>105499.92</c:v>
                </c:pt>
                <c:pt idx="103">
                  <c:v>105599.92</c:v>
                </c:pt>
                <c:pt idx="104">
                  <c:v>105699.92</c:v>
                </c:pt>
                <c:pt idx="105">
                  <c:v>105799.92</c:v>
                </c:pt>
                <c:pt idx="106">
                  <c:v>105899.92</c:v>
                </c:pt>
                <c:pt idx="107">
                  <c:v>105999.92</c:v>
                </c:pt>
                <c:pt idx="108">
                  <c:v>106099.92</c:v>
                </c:pt>
                <c:pt idx="109">
                  <c:v>106199.92</c:v>
                </c:pt>
                <c:pt idx="110">
                  <c:v>106299.92</c:v>
                </c:pt>
                <c:pt idx="111">
                  <c:v>106399.92</c:v>
                </c:pt>
                <c:pt idx="112">
                  <c:v>106499.92</c:v>
                </c:pt>
                <c:pt idx="113">
                  <c:v>106599.92</c:v>
                </c:pt>
                <c:pt idx="114">
                  <c:v>106699.92</c:v>
                </c:pt>
                <c:pt idx="115">
                  <c:v>106799.92</c:v>
                </c:pt>
                <c:pt idx="116">
                  <c:v>106899.92</c:v>
                </c:pt>
                <c:pt idx="117">
                  <c:v>106999.92</c:v>
                </c:pt>
                <c:pt idx="118">
                  <c:v>107099.92</c:v>
                </c:pt>
                <c:pt idx="119">
                  <c:v>107199.92</c:v>
                </c:pt>
                <c:pt idx="120">
                  <c:v>107299.92</c:v>
                </c:pt>
                <c:pt idx="121">
                  <c:v>107399.92</c:v>
                </c:pt>
                <c:pt idx="122">
                  <c:v>107499.92</c:v>
                </c:pt>
                <c:pt idx="123">
                  <c:v>107599.92</c:v>
                </c:pt>
                <c:pt idx="124">
                  <c:v>107699.92</c:v>
                </c:pt>
                <c:pt idx="125">
                  <c:v>107799.92</c:v>
                </c:pt>
                <c:pt idx="126">
                  <c:v>107899.92</c:v>
                </c:pt>
                <c:pt idx="127">
                  <c:v>107999.92</c:v>
                </c:pt>
                <c:pt idx="128">
                  <c:v>108099.92</c:v>
                </c:pt>
                <c:pt idx="129">
                  <c:v>108159.1</c:v>
                </c:pt>
                <c:pt idx="130">
                  <c:v>108199.92</c:v>
                </c:pt>
                <c:pt idx="131">
                  <c:v>108299.92</c:v>
                </c:pt>
                <c:pt idx="132">
                  <c:v>108399.92</c:v>
                </c:pt>
                <c:pt idx="133">
                  <c:v>108499.92</c:v>
                </c:pt>
                <c:pt idx="134">
                  <c:v>108599.92</c:v>
                </c:pt>
                <c:pt idx="135">
                  <c:v>108699.92</c:v>
                </c:pt>
                <c:pt idx="136">
                  <c:v>108799.92</c:v>
                </c:pt>
                <c:pt idx="137">
                  <c:v>108899.92</c:v>
                </c:pt>
                <c:pt idx="138">
                  <c:v>108999.92</c:v>
                </c:pt>
                <c:pt idx="139">
                  <c:v>109036</c:v>
                </c:pt>
                <c:pt idx="140">
                  <c:v>109099.92</c:v>
                </c:pt>
                <c:pt idx="141">
                  <c:v>109199.92</c:v>
                </c:pt>
                <c:pt idx="142">
                  <c:v>109299.92</c:v>
                </c:pt>
                <c:pt idx="143">
                  <c:v>109399.92</c:v>
                </c:pt>
                <c:pt idx="144">
                  <c:v>109421</c:v>
                </c:pt>
                <c:pt idx="145">
                  <c:v>109499.92</c:v>
                </c:pt>
                <c:pt idx="146">
                  <c:v>109599.92</c:v>
                </c:pt>
                <c:pt idx="147">
                  <c:v>109699.92</c:v>
                </c:pt>
                <c:pt idx="148">
                  <c:v>109703</c:v>
                </c:pt>
                <c:pt idx="149">
                  <c:v>109799.92</c:v>
                </c:pt>
                <c:pt idx="150">
                  <c:v>109899.92</c:v>
                </c:pt>
                <c:pt idx="151">
                  <c:v>109999.92</c:v>
                </c:pt>
                <c:pt idx="152">
                  <c:v>110099.92</c:v>
                </c:pt>
                <c:pt idx="153">
                  <c:v>110199.92</c:v>
                </c:pt>
                <c:pt idx="154">
                  <c:v>110299.92</c:v>
                </c:pt>
                <c:pt idx="155">
                  <c:v>110399.92</c:v>
                </c:pt>
                <c:pt idx="156">
                  <c:v>110499.92</c:v>
                </c:pt>
                <c:pt idx="157">
                  <c:v>110599.92</c:v>
                </c:pt>
                <c:pt idx="158">
                  <c:v>110688.3</c:v>
                </c:pt>
                <c:pt idx="159">
                  <c:v>110699.92</c:v>
                </c:pt>
                <c:pt idx="160">
                  <c:v>110768.3</c:v>
                </c:pt>
                <c:pt idx="161">
                  <c:v>110799.92</c:v>
                </c:pt>
                <c:pt idx="162">
                  <c:v>110899.92</c:v>
                </c:pt>
                <c:pt idx="163">
                  <c:v>110999.92</c:v>
                </c:pt>
                <c:pt idx="164">
                  <c:v>111099.92</c:v>
                </c:pt>
                <c:pt idx="165">
                  <c:v>111199.92</c:v>
                </c:pt>
                <c:pt idx="166">
                  <c:v>111299.92</c:v>
                </c:pt>
                <c:pt idx="167">
                  <c:v>111399.92</c:v>
                </c:pt>
                <c:pt idx="168">
                  <c:v>111499.92</c:v>
                </c:pt>
                <c:pt idx="169">
                  <c:v>111599.92</c:v>
                </c:pt>
                <c:pt idx="170">
                  <c:v>111699.92</c:v>
                </c:pt>
                <c:pt idx="171">
                  <c:v>111799.92</c:v>
                </c:pt>
                <c:pt idx="172">
                  <c:v>111899.92</c:v>
                </c:pt>
                <c:pt idx="173">
                  <c:v>111999.92</c:v>
                </c:pt>
                <c:pt idx="174">
                  <c:v>112099.92</c:v>
                </c:pt>
                <c:pt idx="175">
                  <c:v>112199.92</c:v>
                </c:pt>
                <c:pt idx="176">
                  <c:v>112299.92</c:v>
                </c:pt>
                <c:pt idx="177">
                  <c:v>112399.92</c:v>
                </c:pt>
                <c:pt idx="178">
                  <c:v>112499.92</c:v>
                </c:pt>
                <c:pt idx="179">
                  <c:v>112599.92</c:v>
                </c:pt>
                <c:pt idx="180">
                  <c:v>112699.92</c:v>
                </c:pt>
                <c:pt idx="181">
                  <c:v>112799.92</c:v>
                </c:pt>
                <c:pt idx="182">
                  <c:v>112899.92</c:v>
                </c:pt>
                <c:pt idx="183">
                  <c:v>112999.92</c:v>
                </c:pt>
                <c:pt idx="184">
                  <c:v>113099.92</c:v>
                </c:pt>
                <c:pt idx="185">
                  <c:v>113199.92</c:v>
                </c:pt>
                <c:pt idx="186">
                  <c:v>113299.92</c:v>
                </c:pt>
                <c:pt idx="187">
                  <c:v>113399.92</c:v>
                </c:pt>
                <c:pt idx="188">
                  <c:v>113499.92</c:v>
                </c:pt>
                <c:pt idx="189">
                  <c:v>113599.92</c:v>
                </c:pt>
                <c:pt idx="190">
                  <c:v>113699.92</c:v>
                </c:pt>
                <c:pt idx="191">
                  <c:v>113799.92</c:v>
                </c:pt>
                <c:pt idx="192">
                  <c:v>113899.92</c:v>
                </c:pt>
                <c:pt idx="193">
                  <c:v>113999.92</c:v>
                </c:pt>
                <c:pt idx="194">
                  <c:v>114057.3</c:v>
                </c:pt>
                <c:pt idx="195">
                  <c:v>114099.92</c:v>
                </c:pt>
                <c:pt idx="196">
                  <c:v>114137.3</c:v>
                </c:pt>
                <c:pt idx="197">
                  <c:v>114199.92</c:v>
                </c:pt>
                <c:pt idx="198">
                  <c:v>114299.92</c:v>
                </c:pt>
                <c:pt idx="199">
                  <c:v>114399.92</c:v>
                </c:pt>
                <c:pt idx="200">
                  <c:v>114499.92</c:v>
                </c:pt>
                <c:pt idx="201">
                  <c:v>114599.92</c:v>
                </c:pt>
                <c:pt idx="202">
                  <c:v>114639.2</c:v>
                </c:pt>
                <c:pt idx="203">
                  <c:v>114699.92</c:v>
                </c:pt>
                <c:pt idx="204">
                  <c:v>114719.2</c:v>
                </c:pt>
                <c:pt idx="205">
                  <c:v>114799.92</c:v>
                </c:pt>
                <c:pt idx="206">
                  <c:v>114899.92</c:v>
                </c:pt>
                <c:pt idx="207">
                  <c:v>114983</c:v>
                </c:pt>
                <c:pt idx="208">
                  <c:v>114999.92</c:v>
                </c:pt>
                <c:pt idx="209">
                  <c:v>115063</c:v>
                </c:pt>
                <c:pt idx="210">
                  <c:v>115099.92</c:v>
                </c:pt>
                <c:pt idx="211">
                  <c:v>115199.92</c:v>
                </c:pt>
                <c:pt idx="212">
                  <c:v>115299.92</c:v>
                </c:pt>
                <c:pt idx="213">
                  <c:v>115399.92</c:v>
                </c:pt>
                <c:pt idx="214">
                  <c:v>115499.92</c:v>
                </c:pt>
                <c:pt idx="215">
                  <c:v>115599.92</c:v>
                </c:pt>
                <c:pt idx="216">
                  <c:v>115676.9</c:v>
                </c:pt>
                <c:pt idx="217">
                  <c:v>115699.92</c:v>
                </c:pt>
                <c:pt idx="218">
                  <c:v>115796.9</c:v>
                </c:pt>
                <c:pt idx="219">
                  <c:v>115799.92</c:v>
                </c:pt>
                <c:pt idx="220">
                  <c:v>115899.92</c:v>
                </c:pt>
                <c:pt idx="221">
                  <c:v>115999.92</c:v>
                </c:pt>
                <c:pt idx="222">
                  <c:v>116090.1</c:v>
                </c:pt>
                <c:pt idx="223">
                  <c:v>116099.92</c:v>
                </c:pt>
                <c:pt idx="224">
                  <c:v>116199.92</c:v>
                </c:pt>
                <c:pt idx="225">
                  <c:v>116299.92</c:v>
                </c:pt>
                <c:pt idx="226">
                  <c:v>116399.92</c:v>
                </c:pt>
                <c:pt idx="227">
                  <c:v>116499.92</c:v>
                </c:pt>
                <c:pt idx="228">
                  <c:v>116599.92</c:v>
                </c:pt>
                <c:pt idx="229">
                  <c:v>116699.92</c:v>
                </c:pt>
                <c:pt idx="230">
                  <c:v>116799.92</c:v>
                </c:pt>
                <c:pt idx="231">
                  <c:v>116899.92</c:v>
                </c:pt>
                <c:pt idx="232">
                  <c:v>116999.92</c:v>
                </c:pt>
                <c:pt idx="233">
                  <c:v>117099.92</c:v>
                </c:pt>
                <c:pt idx="234">
                  <c:v>117199.92</c:v>
                </c:pt>
                <c:pt idx="235">
                  <c:v>117299.92</c:v>
                </c:pt>
                <c:pt idx="236">
                  <c:v>117399.92</c:v>
                </c:pt>
                <c:pt idx="237">
                  <c:v>117499.92</c:v>
                </c:pt>
                <c:pt idx="238">
                  <c:v>117599.92</c:v>
                </c:pt>
                <c:pt idx="239">
                  <c:v>117699.92</c:v>
                </c:pt>
                <c:pt idx="240">
                  <c:v>117799.92</c:v>
                </c:pt>
                <c:pt idx="241">
                  <c:v>117899.92</c:v>
                </c:pt>
                <c:pt idx="242">
                  <c:v>117999.92</c:v>
                </c:pt>
                <c:pt idx="243">
                  <c:v>118099.92</c:v>
                </c:pt>
                <c:pt idx="244">
                  <c:v>118199.92</c:v>
                </c:pt>
                <c:pt idx="245">
                  <c:v>118299.92</c:v>
                </c:pt>
                <c:pt idx="246">
                  <c:v>118399.92</c:v>
                </c:pt>
                <c:pt idx="247">
                  <c:v>118499.92</c:v>
                </c:pt>
                <c:pt idx="248">
                  <c:v>118599.92</c:v>
                </c:pt>
                <c:pt idx="249">
                  <c:v>118690.1</c:v>
                </c:pt>
                <c:pt idx="250">
                  <c:v>118699.92</c:v>
                </c:pt>
                <c:pt idx="251">
                  <c:v>118799.92</c:v>
                </c:pt>
                <c:pt idx="252">
                  <c:v>118899.92</c:v>
                </c:pt>
                <c:pt idx="253">
                  <c:v>118999.92</c:v>
                </c:pt>
                <c:pt idx="254">
                  <c:v>119099.92</c:v>
                </c:pt>
                <c:pt idx="255">
                  <c:v>119199.92</c:v>
                </c:pt>
                <c:pt idx="256">
                  <c:v>119299.92</c:v>
                </c:pt>
                <c:pt idx="257">
                  <c:v>119399.92</c:v>
                </c:pt>
                <c:pt idx="258">
                  <c:v>119499.92</c:v>
                </c:pt>
                <c:pt idx="259">
                  <c:v>119599.92</c:v>
                </c:pt>
                <c:pt idx="260">
                  <c:v>119699.92</c:v>
                </c:pt>
                <c:pt idx="261">
                  <c:v>119799.92</c:v>
                </c:pt>
                <c:pt idx="262">
                  <c:v>119899.92</c:v>
                </c:pt>
                <c:pt idx="263">
                  <c:v>119999.92</c:v>
                </c:pt>
                <c:pt idx="264">
                  <c:v>120099.92</c:v>
                </c:pt>
                <c:pt idx="265">
                  <c:v>120199.92</c:v>
                </c:pt>
                <c:pt idx="266">
                  <c:v>120298.2</c:v>
                </c:pt>
                <c:pt idx="267">
                  <c:v>120299.92</c:v>
                </c:pt>
                <c:pt idx="268">
                  <c:v>120378.2</c:v>
                </c:pt>
                <c:pt idx="269">
                  <c:v>120399.92</c:v>
                </c:pt>
                <c:pt idx="270">
                  <c:v>120499.92</c:v>
                </c:pt>
                <c:pt idx="271">
                  <c:v>120599.92</c:v>
                </c:pt>
                <c:pt idx="272">
                  <c:v>120699.92</c:v>
                </c:pt>
                <c:pt idx="273">
                  <c:v>120799.92</c:v>
                </c:pt>
                <c:pt idx="274">
                  <c:v>120899.92</c:v>
                </c:pt>
                <c:pt idx="275">
                  <c:v>120999.92</c:v>
                </c:pt>
                <c:pt idx="276">
                  <c:v>121099.92</c:v>
                </c:pt>
                <c:pt idx="277">
                  <c:v>121199.92</c:v>
                </c:pt>
                <c:pt idx="278">
                  <c:v>121299.92</c:v>
                </c:pt>
                <c:pt idx="279">
                  <c:v>121399.92</c:v>
                </c:pt>
                <c:pt idx="280">
                  <c:v>121499.92</c:v>
                </c:pt>
                <c:pt idx="281">
                  <c:v>121599.92</c:v>
                </c:pt>
                <c:pt idx="282">
                  <c:v>121699.92</c:v>
                </c:pt>
                <c:pt idx="283">
                  <c:v>121799.92</c:v>
                </c:pt>
                <c:pt idx="284">
                  <c:v>121899.92</c:v>
                </c:pt>
                <c:pt idx="285">
                  <c:v>121999.92</c:v>
                </c:pt>
                <c:pt idx="286">
                  <c:v>122099.92</c:v>
                </c:pt>
                <c:pt idx="287">
                  <c:v>122199.92</c:v>
                </c:pt>
                <c:pt idx="288">
                  <c:v>122299.92</c:v>
                </c:pt>
                <c:pt idx="289">
                  <c:v>122399.92</c:v>
                </c:pt>
                <c:pt idx="290">
                  <c:v>122499.92</c:v>
                </c:pt>
                <c:pt idx="291">
                  <c:v>122599.92</c:v>
                </c:pt>
                <c:pt idx="292">
                  <c:v>122699.92</c:v>
                </c:pt>
                <c:pt idx="293">
                  <c:v>122799.92</c:v>
                </c:pt>
                <c:pt idx="294">
                  <c:v>122899.92</c:v>
                </c:pt>
                <c:pt idx="295">
                  <c:v>122999.92</c:v>
                </c:pt>
                <c:pt idx="296">
                  <c:v>123099.92</c:v>
                </c:pt>
                <c:pt idx="297">
                  <c:v>123199.92</c:v>
                </c:pt>
                <c:pt idx="298">
                  <c:v>123215.6</c:v>
                </c:pt>
                <c:pt idx="299">
                  <c:v>123295.6</c:v>
                </c:pt>
                <c:pt idx="300">
                  <c:v>123299.92</c:v>
                </c:pt>
                <c:pt idx="301">
                  <c:v>123399.92</c:v>
                </c:pt>
                <c:pt idx="302">
                  <c:v>123499.92</c:v>
                </c:pt>
                <c:pt idx="303">
                  <c:v>123599.92</c:v>
                </c:pt>
                <c:pt idx="304">
                  <c:v>123699.92</c:v>
                </c:pt>
                <c:pt idx="305">
                  <c:v>123799.92</c:v>
                </c:pt>
                <c:pt idx="306">
                  <c:v>123899.92</c:v>
                </c:pt>
                <c:pt idx="307">
                  <c:v>123999.92</c:v>
                </c:pt>
                <c:pt idx="308">
                  <c:v>124099.92</c:v>
                </c:pt>
                <c:pt idx="309">
                  <c:v>124199.92</c:v>
                </c:pt>
                <c:pt idx="310">
                  <c:v>124299.92</c:v>
                </c:pt>
                <c:pt idx="311">
                  <c:v>124399.92</c:v>
                </c:pt>
                <c:pt idx="312">
                  <c:v>124499.92</c:v>
                </c:pt>
                <c:pt idx="313">
                  <c:v>124599.92</c:v>
                </c:pt>
                <c:pt idx="314">
                  <c:v>124699.92</c:v>
                </c:pt>
                <c:pt idx="315">
                  <c:v>124799.92</c:v>
                </c:pt>
                <c:pt idx="316">
                  <c:v>124899.92</c:v>
                </c:pt>
                <c:pt idx="317">
                  <c:v>124999.92</c:v>
                </c:pt>
                <c:pt idx="318">
                  <c:v>125099.92</c:v>
                </c:pt>
                <c:pt idx="319">
                  <c:v>125156.3</c:v>
                </c:pt>
                <c:pt idx="320">
                  <c:v>125199.92</c:v>
                </c:pt>
                <c:pt idx="321">
                  <c:v>125236.3</c:v>
                </c:pt>
                <c:pt idx="322">
                  <c:v>125299.92</c:v>
                </c:pt>
                <c:pt idx="323">
                  <c:v>125399.92</c:v>
                </c:pt>
                <c:pt idx="324">
                  <c:v>125499.92</c:v>
                </c:pt>
                <c:pt idx="325">
                  <c:v>125599.92</c:v>
                </c:pt>
                <c:pt idx="326">
                  <c:v>125699.92</c:v>
                </c:pt>
                <c:pt idx="327">
                  <c:v>125723.1</c:v>
                </c:pt>
                <c:pt idx="328">
                  <c:v>125798.1</c:v>
                </c:pt>
                <c:pt idx="329">
                  <c:v>125799.92</c:v>
                </c:pt>
                <c:pt idx="330">
                  <c:v>125899.92</c:v>
                </c:pt>
                <c:pt idx="331">
                  <c:v>125915.7</c:v>
                </c:pt>
                <c:pt idx="332">
                  <c:v>125999.92</c:v>
                </c:pt>
                <c:pt idx="333">
                  <c:v>126075.7</c:v>
                </c:pt>
                <c:pt idx="334">
                  <c:v>126099.92</c:v>
                </c:pt>
                <c:pt idx="335">
                  <c:v>126199.92</c:v>
                </c:pt>
                <c:pt idx="336">
                  <c:v>126299.92</c:v>
                </c:pt>
                <c:pt idx="337">
                  <c:v>126399.92</c:v>
                </c:pt>
                <c:pt idx="338">
                  <c:v>126499.92</c:v>
                </c:pt>
                <c:pt idx="339">
                  <c:v>126599.92</c:v>
                </c:pt>
                <c:pt idx="340">
                  <c:v>126699.92</c:v>
                </c:pt>
                <c:pt idx="341">
                  <c:v>126799.92</c:v>
                </c:pt>
                <c:pt idx="342">
                  <c:v>126899.92</c:v>
                </c:pt>
                <c:pt idx="343">
                  <c:v>126999.92</c:v>
                </c:pt>
                <c:pt idx="344">
                  <c:v>127099.92</c:v>
                </c:pt>
                <c:pt idx="345">
                  <c:v>127199.92</c:v>
                </c:pt>
                <c:pt idx="346">
                  <c:v>127299.92</c:v>
                </c:pt>
                <c:pt idx="347">
                  <c:v>127399.92</c:v>
                </c:pt>
                <c:pt idx="348">
                  <c:v>127499.92</c:v>
                </c:pt>
                <c:pt idx="349">
                  <c:v>127599.92</c:v>
                </c:pt>
                <c:pt idx="350">
                  <c:v>127699.92</c:v>
                </c:pt>
                <c:pt idx="351">
                  <c:v>127799.92</c:v>
                </c:pt>
                <c:pt idx="352">
                  <c:v>127899.92</c:v>
                </c:pt>
                <c:pt idx="353">
                  <c:v>127999.92</c:v>
                </c:pt>
                <c:pt idx="354">
                  <c:v>128099.92</c:v>
                </c:pt>
                <c:pt idx="355">
                  <c:v>128199.92</c:v>
                </c:pt>
                <c:pt idx="356">
                  <c:v>128299.92</c:v>
                </c:pt>
                <c:pt idx="357">
                  <c:v>128399.92</c:v>
                </c:pt>
                <c:pt idx="358">
                  <c:v>128499.92</c:v>
                </c:pt>
                <c:pt idx="359">
                  <c:v>128599.92</c:v>
                </c:pt>
                <c:pt idx="360">
                  <c:v>128699.92</c:v>
                </c:pt>
                <c:pt idx="361">
                  <c:v>128799.92</c:v>
                </c:pt>
                <c:pt idx="362">
                  <c:v>128899.92</c:v>
                </c:pt>
                <c:pt idx="363">
                  <c:v>128999.92</c:v>
                </c:pt>
                <c:pt idx="364">
                  <c:v>129099.92</c:v>
                </c:pt>
                <c:pt idx="365">
                  <c:v>129199.92</c:v>
                </c:pt>
                <c:pt idx="366">
                  <c:v>129299.92</c:v>
                </c:pt>
                <c:pt idx="367">
                  <c:v>129399.92</c:v>
                </c:pt>
                <c:pt idx="368">
                  <c:v>129499.92</c:v>
                </c:pt>
                <c:pt idx="369">
                  <c:v>129599.92</c:v>
                </c:pt>
                <c:pt idx="370">
                  <c:v>129699.92</c:v>
                </c:pt>
                <c:pt idx="371">
                  <c:v>129799.92</c:v>
                </c:pt>
                <c:pt idx="372">
                  <c:v>129899.92</c:v>
                </c:pt>
                <c:pt idx="373">
                  <c:v>129918.1</c:v>
                </c:pt>
                <c:pt idx="374">
                  <c:v>129998.1</c:v>
                </c:pt>
                <c:pt idx="375">
                  <c:v>129999.92</c:v>
                </c:pt>
                <c:pt idx="376">
                  <c:v>130099.92</c:v>
                </c:pt>
                <c:pt idx="377">
                  <c:v>130199.92</c:v>
                </c:pt>
                <c:pt idx="378">
                  <c:v>130299.92</c:v>
                </c:pt>
                <c:pt idx="379">
                  <c:v>130399.92</c:v>
                </c:pt>
                <c:pt idx="380">
                  <c:v>130499.92</c:v>
                </c:pt>
                <c:pt idx="381">
                  <c:v>130599.92</c:v>
                </c:pt>
                <c:pt idx="382">
                  <c:v>130699.92</c:v>
                </c:pt>
                <c:pt idx="383">
                  <c:v>130799.92</c:v>
                </c:pt>
                <c:pt idx="384">
                  <c:v>130899.92</c:v>
                </c:pt>
                <c:pt idx="385">
                  <c:v>130999.92</c:v>
                </c:pt>
                <c:pt idx="386">
                  <c:v>131099.92000000001</c:v>
                </c:pt>
                <c:pt idx="387">
                  <c:v>131199.92000000001</c:v>
                </c:pt>
                <c:pt idx="388">
                  <c:v>131299.92000000001</c:v>
                </c:pt>
                <c:pt idx="389">
                  <c:v>131399.92000000001</c:v>
                </c:pt>
                <c:pt idx="390">
                  <c:v>131482.9</c:v>
                </c:pt>
                <c:pt idx="391">
                  <c:v>131499.92000000001</c:v>
                </c:pt>
                <c:pt idx="392">
                  <c:v>131562.9</c:v>
                </c:pt>
                <c:pt idx="393">
                  <c:v>131599.92000000001</c:v>
                </c:pt>
                <c:pt idx="394">
                  <c:v>131699.92000000001</c:v>
                </c:pt>
                <c:pt idx="395">
                  <c:v>131799.92000000001</c:v>
                </c:pt>
                <c:pt idx="396">
                  <c:v>131899.92000000001</c:v>
                </c:pt>
                <c:pt idx="397">
                  <c:v>131999.92000000001</c:v>
                </c:pt>
                <c:pt idx="398">
                  <c:v>132099.92000000001</c:v>
                </c:pt>
                <c:pt idx="399">
                  <c:v>132199.92000000001</c:v>
                </c:pt>
                <c:pt idx="400">
                  <c:v>132299.92000000001</c:v>
                </c:pt>
                <c:pt idx="401">
                  <c:v>132399.92000000001</c:v>
                </c:pt>
                <c:pt idx="402">
                  <c:v>132499.92000000001</c:v>
                </c:pt>
                <c:pt idx="403">
                  <c:v>132599.92000000001</c:v>
                </c:pt>
                <c:pt idx="404">
                  <c:v>132699.92000000001</c:v>
                </c:pt>
                <c:pt idx="405">
                  <c:v>132799.1</c:v>
                </c:pt>
                <c:pt idx="406">
                  <c:v>132799.92000000001</c:v>
                </c:pt>
                <c:pt idx="407">
                  <c:v>132899.92000000001</c:v>
                </c:pt>
                <c:pt idx="408">
                  <c:v>132999.92000000001</c:v>
                </c:pt>
                <c:pt idx="409">
                  <c:v>133039.1</c:v>
                </c:pt>
                <c:pt idx="410">
                  <c:v>133099.92000000001</c:v>
                </c:pt>
                <c:pt idx="411">
                  <c:v>133199.92000000001</c:v>
                </c:pt>
                <c:pt idx="412">
                  <c:v>133299.92000000001</c:v>
                </c:pt>
                <c:pt idx="413">
                  <c:v>133399.92000000001</c:v>
                </c:pt>
                <c:pt idx="414">
                  <c:v>133499.92000000001</c:v>
                </c:pt>
                <c:pt idx="415">
                  <c:v>133599.92000000001</c:v>
                </c:pt>
                <c:pt idx="416">
                  <c:v>133699.92000000001</c:v>
                </c:pt>
                <c:pt idx="417">
                  <c:v>133799.92000000001</c:v>
                </c:pt>
                <c:pt idx="418">
                  <c:v>133899.92000000001</c:v>
                </c:pt>
                <c:pt idx="419">
                  <c:v>133999.92000000001</c:v>
                </c:pt>
                <c:pt idx="420">
                  <c:v>134099.92000000001</c:v>
                </c:pt>
                <c:pt idx="421">
                  <c:v>134199.92000000001</c:v>
                </c:pt>
                <c:pt idx="422">
                  <c:v>134299.92000000001</c:v>
                </c:pt>
                <c:pt idx="423">
                  <c:v>134399.92000000001</c:v>
                </c:pt>
                <c:pt idx="424">
                  <c:v>134499.92000000001</c:v>
                </c:pt>
                <c:pt idx="425">
                  <c:v>134599.92000000001</c:v>
                </c:pt>
                <c:pt idx="426">
                  <c:v>134699.92000000001</c:v>
                </c:pt>
                <c:pt idx="427">
                  <c:v>134799.92000000001</c:v>
                </c:pt>
                <c:pt idx="428">
                  <c:v>134899.92000000001</c:v>
                </c:pt>
                <c:pt idx="429">
                  <c:v>134999.92000000001</c:v>
                </c:pt>
                <c:pt idx="430">
                  <c:v>135099.92000000001</c:v>
                </c:pt>
                <c:pt idx="431">
                  <c:v>135199.92000000001</c:v>
                </c:pt>
                <c:pt idx="432">
                  <c:v>135299.92000000001</c:v>
                </c:pt>
                <c:pt idx="433">
                  <c:v>135399.92000000001</c:v>
                </c:pt>
                <c:pt idx="434">
                  <c:v>135499.92000000001</c:v>
                </c:pt>
                <c:pt idx="435">
                  <c:v>135599.92000000001</c:v>
                </c:pt>
                <c:pt idx="436">
                  <c:v>135699.92000000001</c:v>
                </c:pt>
                <c:pt idx="437">
                  <c:v>135799.92000000001</c:v>
                </c:pt>
                <c:pt idx="438">
                  <c:v>135899.92000000001</c:v>
                </c:pt>
                <c:pt idx="439">
                  <c:v>135999.92000000001</c:v>
                </c:pt>
                <c:pt idx="440">
                  <c:v>136099.92000000001</c:v>
                </c:pt>
                <c:pt idx="441">
                  <c:v>136199.92000000001</c:v>
                </c:pt>
                <c:pt idx="442">
                  <c:v>136299.92000000001</c:v>
                </c:pt>
                <c:pt idx="443">
                  <c:v>136399.92000000001</c:v>
                </c:pt>
                <c:pt idx="444">
                  <c:v>136499.92000000001</c:v>
                </c:pt>
                <c:pt idx="445">
                  <c:v>136599.92000000001</c:v>
                </c:pt>
                <c:pt idx="446">
                  <c:v>136699.92000000001</c:v>
                </c:pt>
                <c:pt idx="447">
                  <c:v>136799.92000000001</c:v>
                </c:pt>
                <c:pt idx="448">
                  <c:v>136899.92000000001</c:v>
                </c:pt>
                <c:pt idx="449">
                  <c:v>136999.92000000001</c:v>
                </c:pt>
                <c:pt idx="450">
                  <c:v>137099.92000000001</c:v>
                </c:pt>
                <c:pt idx="451">
                  <c:v>137199.92000000001</c:v>
                </c:pt>
                <c:pt idx="452">
                  <c:v>137299.92000000001</c:v>
                </c:pt>
                <c:pt idx="453">
                  <c:v>137399.92000000001</c:v>
                </c:pt>
                <c:pt idx="454">
                  <c:v>137499.92000000001</c:v>
                </c:pt>
                <c:pt idx="455">
                  <c:v>137599.92000000001</c:v>
                </c:pt>
                <c:pt idx="456">
                  <c:v>137699.92000000001</c:v>
                </c:pt>
                <c:pt idx="457">
                  <c:v>137745.70000000001</c:v>
                </c:pt>
                <c:pt idx="458">
                  <c:v>137799.92000000001</c:v>
                </c:pt>
                <c:pt idx="459">
                  <c:v>137899.92000000001</c:v>
                </c:pt>
                <c:pt idx="460">
                  <c:v>137999.92000000001</c:v>
                </c:pt>
                <c:pt idx="461">
                  <c:v>138099.92000000001</c:v>
                </c:pt>
                <c:pt idx="462">
                  <c:v>138199.92000000001</c:v>
                </c:pt>
                <c:pt idx="463">
                  <c:v>138299.92000000001</c:v>
                </c:pt>
                <c:pt idx="464">
                  <c:v>138399.92000000001</c:v>
                </c:pt>
                <c:pt idx="465">
                  <c:v>138465.70000000001</c:v>
                </c:pt>
                <c:pt idx="466">
                  <c:v>138499.92000000001</c:v>
                </c:pt>
                <c:pt idx="467">
                  <c:v>138599.92000000001</c:v>
                </c:pt>
                <c:pt idx="468">
                  <c:v>138699.92000000001</c:v>
                </c:pt>
                <c:pt idx="469">
                  <c:v>138799.92000000001</c:v>
                </c:pt>
                <c:pt idx="470">
                  <c:v>138836.1</c:v>
                </c:pt>
                <c:pt idx="471">
                  <c:v>138899.92000000001</c:v>
                </c:pt>
                <c:pt idx="472">
                  <c:v>138916.1</c:v>
                </c:pt>
                <c:pt idx="473">
                  <c:v>138999.92000000001</c:v>
                </c:pt>
                <c:pt idx="474">
                  <c:v>139099.92000000001</c:v>
                </c:pt>
                <c:pt idx="475">
                  <c:v>139199.92000000001</c:v>
                </c:pt>
                <c:pt idx="476">
                  <c:v>139299.92000000001</c:v>
                </c:pt>
                <c:pt idx="477">
                  <c:v>139399.92000000001</c:v>
                </c:pt>
                <c:pt idx="478">
                  <c:v>139424.9</c:v>
                </c:pt>
                <c:pt idx="479">
                  <c:v>139499.92000000001</c:v>
                </c:pt>
                <c:pt idx="480">
                  <c:v>139584.9</c:v>
                </c:pt>
                <c:pt idx="481">
                  <c:v>139599.92000000001</c:v>
                </c:pt>
                <c:pt idx="482">
                  <c:v>139699.92000000001</c:v>
                </c:pt>
                <c:pt idx="483">
                  <c:v>139799.92000000001</c:v>
                </c:pt>
                <c:pt idx="484">
                  <c:v>139899.92000000001</c:v>
                </c:pt>
                <c:pt idx="485">
                  <c:v>139999.92000000001</c:v>
                </c:pt>
                <c:pt idx="486">
                  <c:v>140099.92000000001</c:v>
                </c:pt>
                <c:pt idx="487">
                  <c:v>140199.92000000001</c:v>
                </c:pt>
                <c:pt idx="488">
                  <c:v>140299.92000000001</c:v>
                </c:pt>
                <c:pt idx="489">
                  <c:v>140399.92000000001</c:v>
                </c:pt>
                <c:pt idx="490">
                  <c:v>140499.92000000001</c:v>
                </c:pt>
                <c:pt idx="491">
                  <c:v>140599.92000000001</c:v>
                </c:pt>
                <c:pt idx="492">
                  <c:v>140699.92000000001</c:v>
                </c:pt>
                <c:pt idx="493">
                  <c:v>140799.92000000001</c:v>
                </c:pt>
                <c:pt idx="494">
                  <c:v>140899.92000000001</c:v>
                </c:pt>
                <c:pt idx="495">
                  <c:v>140999.92000000001</c:v>
                </c:pt>
                <c:pt idx="496">
                  <c:v>141099.92000000001</c:v>
                </c:pt>
                <c:pt idx="497">
                  <c:v>141199.92000000001</c:v>
                </c:pt>
                <c:pt idx="498">
                  <c:v>141299.92000000001</c:v>
                </c:pt>
                <c:pt idx="499">
                  <c:v>141399.92000000001</c:v>
                </c:pt>
                <c:pt idx="500">
                  <c:v>141499.92000000001</c:v>
                </c:pt>
                <c:pt idx="501">
                  <c:v>141599.92000000001</c:v>
                </c:pt>
                <c:pt idx="502">
                  <c:v>141699.92000000001</c:v>
                </c:pt>
                <c:pt idx="503">
                  <c:v>141799.92000000001</c:v>
                </c:pt>
                <c:pt idx="504">
                  <c:v>141899.92000000001</c:v>
                </c:pt>
                <c:pt idx="505">
                  <c:v>141999.92000000001</c:v>
                </c:pt>
                <c:pt idx="506">
                  <c:v>142099.92000000001</c:v>
                </c:pt>
                <c:pt idx="507">
                  <c:v>142199.92000000001</c:v>
                </c:pt>
                <c:pt idx="508">
                  <c:v>142299.92000000001</c:v>
                </c:pt>
                <c:pt idx="509">
                  <c:v>142399.92000000001</c:v>
                </c:pt>
                <c:pt idx="510">
                  <c:v>142427</c:v>
                </c:pt>
                <c:pt idx="511">
                  <c:v>142499.92000000001</c:v>
                </c:pt>
                <c:pt idx="512">
                  <c:v>142507</c:v>
                </c:pt>
                <c:pt idx="513">
                  <c:v>142599.92000000001</c:v>
                </c:pt>
                <c:pt idx="514">
                  <c:v>142699.92000000001</c:v>
                </c:pt>
                <c:pt idx="515">
                  <c:v>142799.92000000001</c:v>
                </c:pt>
                <c:pt idx="516">
                  <c:v>142899.92000000001</c:v>
                </c:pt>
                <c:pt idx="517">
                  <c:v>142999.92000000001</c:v>
                </c:pt>
                <c:pt idx="518">
                  <c:v>143099.92000000001</c:v>
                </c:pt>
                <c:pt idx="519">
                  <c:v>143199.92000000001</c:v>
                </c:pt>
                <c:pt idx="520">
                  <c:v>143299.92000000001</c:v>
                </c:pt>
                <c:pt idx="521">
                  <c:v>143399.92000000001</c:v>
                </c:pt>
                <c:pt idx="522">
                  <c:v>143499.92000000001</c:v>
                </c:pt>
                <c:pt idx="523">
                  <c:v>143599.92000000001</c:v>
                </c:pt>
                <c:pt idx="524">
                  <c:v>143699.92000000001</c:v>
                </c:pt>
                <c:pt idx="525">
                  <c:v>143799.92000000001</c:v>
                </c:pt>
                <c:pt idx="526">
                  <c:v>143899.92000000001</c:v>
                </c:pt>
                <c:pt idx="527">
                  <c:v>143999.92000000001</c:v>
                </c:pt>
                <c:pt idx="528">
                  <c:v>144099.92000000001</c:v>
                </c:pt>
                <c:pt idx="529">
                  <c:v>144199.92000000001</c:v>
                </c:pt>
                <c:pt idx="530">
                  <c:v>144299.92000000001</c:v>
                </c:pt>
                <c:pt idx="531">
                  <c:v>144399.92000000001</c:v>
                </c:pt>
                <c:pt idx="532">
                  <c:v>144478.29999999999</c:v>
                </c:pt>
                <c:pt idx="533">
                  <c:v>144499.92000000001</c:v>
                </c:pt>
                <c:pt idx="534">
                  <c:v>144558.29999999999</c:v>
                </c:pt>
                <c:pt idx="535">
                  <c:v>144599.92000000001</c:v>
                </c:pt>
                <c:pt idx="536">
                  <c:v>144699.92000000001</c:v>
                </c:pt>
                <c:pt idx="537">
                  <c:v>144799.92000000001</c:v>
                </c:pt>
                <c:pt idx="538">
                  <c:v>144899.92000000001</c:v>
                </c:pt>
                <c:pt idx="539">
                  <c:v>144999.92000000001</c:v>
                </c:pt>
                <c:pt idx="540">
                  <c:v>145099.92000000001</c:v>
                </c:pt>
                <c:pt idx="541">
                  <c:v>145199.92000000001</c:v>
                </c:pt>
                <c:pt idx="542">
                  <c:v>145299.92000000001</c:v>
                </c:pt>
                <c:pt idx="543">
                  <c:v>145399.92000000001</c:v>
                </c:pt>
                <c:pt idx="544">
                  <c:v>145499.92000000001</c:v>
                </c:pt>
                <c:pt idx="545">
                  <c:v>145599.92000000001</c:v>
                </c:pt>
                <c:pt idx="546">
                  <c:v>145699.92000000001</c:v>
                </c:pt>
                <c:pt idx="547">
                  <c:v>145799.92000000001</c:v>
                </c:pt>
                <c:pt idx="548">
                  <c:v>145899.92000000001</c:v>
                </c:pt>
                <c:pt idx="549">
                  <c:v>145999.92000000001</c:v>
                </c:pt>
                <c:pt idx="550">
                  <c:v>146099.92000000001</c:v>
                </c:pt>
                <c:pt idx="551">
                  <c:v>146199.92000000001</c:v>
                </c:pt>
                <c:pt idx="552">
                  <c:v>146262.29999999999</c:v>
                </c:pt>
                <c:pt idx="553">
                  <c:v>146299.92000000001</c:v>
                </c:pt>
                <c:pt idx="554">
                  <c:v>146342.29999999999</c:v>
                </c:pt>
                <c:pt idx="555">
                  <c:v>146399.92000000001</c:v>
                </c:pt>
                <c:pt idx="556">
                  <c:v>146499.92000000001</c:v>
                </c:pt>
                <c:pt idx="557">
                  <c:v>146599.92000000001</c:v>
                </c:pt>
                <c:pt idx="558">
                  <c:v>146699.92000000001</c:v>
                </c:pt>
                <c:pt idx="559">
                  <c:v>146799.92000000001</c:v>
                </c:pt>
                <c:pt idx="560">
                  <c:v>146899.92000000001</c:v>
                </c:pt>
                <c:pt idx="561">
                  <c:v>146999.92000000001</c:v>
                </c:pt>
                <c:pt idx="562">
                  <c:v>147099.92000000001</c:v>
                </c:pt>
                <c:pt idx="563">
                  <c:v>147199.92000000001</c:v>
                </c:pt>
                <c:pt idx="564">
                  <c:v>147299.92000000001</c:v>
                </c:pt>
                <c:pt idx="565">
                  <c:v>147399.92000000001</c:v>
                </c:pt>
                <c:pt idx="566">
                  <c:v>147499.92000000001</c:v>
                </c:pt>
                <c:pt idx="567">
                  <c:v>147599.92000000001</c:v>
                </c:pt>
                <c:pt idx="568">
                  <c:v>147699.92000000001</c:v>
                </c:pt>
                <c:pt idx="569">
                  <c:v>147799.92000000001</c:v>
                </c:pt>
                <c:pt idx="570">
                  <c:v>147899.92000000001</c:v>
                </c:pt>
                <c:pt idx="571">
                  <c:v>147999.92000000001</c:v>
                </c:pt>
                <c:pt idx="572">
                  <c:v>148099.92000000001</c:v>
                </c:pt>
                <c:pt idx="573">
                  <c:v>148199.92000000001</c:v>
                </c:pt>
                <c:pt idx="574">
                  <c:v>148299.92000000001</c:v>
                </c:pt>
                <c:pt idx="575">
                  <c:v>148399.92000000001</c:v>
                </c:pt>
                <c:pt idx="576">
                  <c:v>148499.92000000001</c:v>
                </c:pt>
                <c:pt idx="577">
                  <c:v>148599.92000000001</c:v>
                </c:pt>
                <c:pt idx="578">
                  <c:v>148699.92000000001</c:v>
                </c:pt>
                <c:pt idx="579">
                  <c:v>148799.92000000001</c:v>
                </c:pt>
                <c:pt idx="580">
                  <c:v>148899.92000000001</c:v>
                </c:pt>
                <c:pt idx="581">
                  <c:v>148999.92000000001</c:v>
                </c:pt>
                <c:pt idx="582">
                  <c:v>149099.92000000001</c:v>
                </c:pt>
                <c:pt idx="583">
                  <c:v>149199.92000000001</c:v>
                </c:pt>
                <c:pt idx="584">
                  <c:v>149299.92000000001</c:v>
                </c:pt>
                <c:pt idx="585">
                  <c:v>149399.92000000001</c:v>
                </c:pt>
                <c:pt idx="586">
                  <c:v>149499.92000000001</c:v>
                </c:pt>
                <c:pt idx="587">
                  <c:v>149599.92000000001</c:v>
                </c:pt>
                <c:pt idx="588">
                  <c:v>149699.92000000001</c:v>
                </c:pt>
                <c:pt idx="589">
                  <c:v>149799.92000000001</c:v>
                </c:pt>
                <c:pt idx="590">
                  <c:v>149899.92000000001</c:v>
                </c:pt>
                <c:pt idx="591">
                  <c:v>149999.92000000001</c:v>
                </c:pt>
                <c:pt idx="592">
                  <c:v>150099.92000000001</c:v>
                </c:pt>
                <c:pt idx="593">
                  <c:v>150120.79999999999</c:v>
                </c:pt>
                <c:pt idx="594">
                  <c:v>150199.92000000001</c:v>
                </c:pt>
                <c:pt idx="595">
                  <c:v>150240.79999999999</c:v>
                </c:pt>
                <c:pt idx="596">
                  <c:v>150299.92000000001</c:v>
                </c:pt>
                <c:pt idx="597">
                  <c:v>150399.92000000001</c:v>
                </c:pt>
                <c:pt idx="598">
                  <c:v>150499.92000000001</c:v>
                </c:pt>
                <c:pt idx="599">
                  <c:v>150599.92000000001</c:v>
                </c:pt>
                <c:pt idx="600">
                  <c:v>150699.92000000001</c:v>
                </c:pt>
                <c:pt idx="601">
                  <c:v>150799.92000000001</c:v>
                </c:pt>
                <c:pt idx="602">
                  <c:v>150899.92000000001</c:v>
                </c:pt>
                <c:pt idx="603">
                  <c:v>150999.92000000001</c:v>
                </c:pt>
                <c:pt idx="604">
                  <c:v>151099.92000000001</c:v>
                </c:pt>
                <c:pt idx="605">
                  <c:v>151199.92000000001</c:v>
                </c:pt>
                <c:pt idx="606">
                  <c:v>151299.92000000001</c:v>
                </c:pt>
                <c:pt idx="607">
                  <c:v>151399.92000000001</c:v>
                </c:pt>
                <c:pt idx="608">
                  <c:v>151499.92000000001</c:v>
                </c:pt>
                <c:pt idx="609">
                  <c:v>151599.92000000001</c:v>
                </c:pt>
                <c:pt idx="610">
                  <c:v>151699.92000000001</c:v>
                </c:pt>
                <c:pt idx="611">
                  <c:v>151799.92000000001</c:v>
                </c:pt>
                <c:pt idx="612">
                  <c:v>151899.92000000001</c:v>
                </c:pt>
                <c:pt idx="613">
                  <c:v>151999.92000000001</c:v>
                </c:pt>
                <c:pt idx="614">
                  <c:v>152099.92000000001</c:v>
                </c:pt>
                <c:pt idx="615">
                  <c:v>152199.92000000001</c:v>
                </c:pt>
                <c:pt idx="616">
                  <c:v>152299.92000000001</c:v>
                </c:pt>
                <c:pt idx="617">
                  <c:v>152399.92000000001</c:v>
                </c:pt>
                <c:pt idx="618">
                  <c:v>152499.92000000001</c:v>
                </c:pt>
                <c:pt idx="619">
                  <c:v>152599.92000000001</c:v>
                </c:pt>
                <c:pt idx="620">
                  <c:v>152699.92000000001</c:v>
                </c:pt>
                <c:pt idx="621">
                  <c:v>152799.92000000001</c:v>
                </c:pt>
                <c:pt idx="622">
                  <c:v>152899.92000000001</c:v>
                </c:pt>
                <c:pt idx="623">
                  <c:v>152999.92000000001</c:v>
                </c:pt>
                <c:pt idx="624">
                  <c:v>153099.92000000001</c:v>
                </c:pt>
                <c:pt idx="625">
                  <c:v>153199.92000000001</c:v>
                </c:pt>
                <c:pt idx="626">
                  <c:v>153299.92000000001</c:v>
                </c:pt>
                <c:pt idx="627">
                  <c:v>153399.92000000001</c:v>
                </c:pt>
                <c:pt idx="628">
                  <c:v>153499.92000000001</c:v>
                </c:pt>
                <c:pt idx="629">
                  <c:v>153599.92000000001</c:v>
                </c:pt>
                <c:pt idx="630">
                  <c:v>153699.92000000001</c:v>
                </c:pt>
                <c:pt idx="631">
                  <c:v>153799.92000000001</c:v>
                </c:pt>
                <c:pt idx="632">
                  <c:v>153859</c:v>
                </c:pt>
                <c:pt idx="633">
                  <c:v>153899.92000000001</c:v>
                </c:pt>
                <c:pt idx="634">
                  <c:v>153999.92000000001</c:v>
                </c:pt>
                <c:pt idx="635">
                  <c:v>154099.92000000001</c:v>
                </c:pt>
                <c:pt idx="636">
                  <c:v>154199.92000000001</c:v>
                </c:pt>
                <c:pt idx="637">
                  <c:v>154299.92000000001</c:v>
                </c:pt>
                <c:pt idx="638">
                  <c:v>154399.92000000001</c:v>
                </c:pt>
                <c:pt idx="639">
                  <c:v>154499.92000000001</c:v>
                </c:pt>
                <c:pt idx="640">
                  <c:v>154599.92000000001</c:v>
                </c:pt>
                <c:pt idx="641">
                  <c:v>154699.92000000001</c:v>
                </c:pt>
                <c:pt idx="642">
                  <c:v>154799.92000000001</c:v>
                </c:pt>
                <c:pt idx="643">
                  <c:v>154899.92000000001</c:v>
                </c:pt>
                <c:pt idx="644">
                  <c:v>154999.92000000001</c:v>
                </c:pt>
                <c:pt idx="645">
                  <c:v>155099.92000000001</c:v>
                </c:pt>
                <c:pt idx="646">
                  <c:v>155199.92000000001</c:v>
                </c:pt>
                <c:pt idx="647">
                  <c:v>155299.92000000001</c:v>
                </c:pt>
                <c:pt idx="648">
                  <c:v>155399.92000000001</c:v>
                </c:pt>
                <c:pt idx="649">
                  <c:v>155499.92000000001</c:v>
                </c:pt>
                <c:pt idx="650">
                  <c:v>155569</c:v>
                </c:pt>
                <c:pt idx="651">
                  <c:v>155599.92000000001</c:v>
                </c:pt>
                <c:pt idx="652">
                  <c:v>155699.92000000001</c:v>
                </c:pt>
                <c:pt idx="653">
                  <c:v>155799.92000000001</c:v>
                </c:pt>
                <c:pt idx="654">
                  <c:v>155899.92000000001</c:v>
                </c:pt>
                <c:pt idx="655">
                  <c:v>155999.92000000001</c:v>
                </c:pt>
                <c:pt idx="656">
                  <c:v>156099.92000000001</c:v>
                </c:pt>
                <c:pt idx="657">
                  <c:v>156199.92000000001</c:v>
                </c:pt>
                <c:pt idx="658">
                  <c:v>156299.92000000001</c:v>
                </c:pt>
                <c:pt idx="659">
                  <c:v>156399.92000000001</c:v>
                </c:pt>
                <c:pt idx="660">
                  <c:v>156499.92000000001</c:v>
                </c:pt>
                <c:pt idx="661">
                  <c:v>156599.92000000001</c:v>
                </c:pt>
                <c:pt idx="662">
                  <c:v>156699.92000000001</c:v>
                </c:pt>
                <c:pt idx="663">
                  <c:v>156799.92000000001</c:v>
                </c:pt>
                <c:pt idx="664">
                  <c:v>156899.92000000001</c:v>
                </c:pt>
                <c:pt idx="665">
                  <c:v>156999.92000000001</c:v>
                </c:pt>
                <c:pt idx="666">
                  <c:v>157099.92000000001</c:v>
                </c:pt>
                <c:pt idx="667">
                  <c:v>157199.92000000001</c:v>
                </c:pt>
                <c:pt idx="668">
                  <c:v>157299.92000000001</c:v>
                </c:pt>
                <c:pt idx="669">
                  <c:v>157399.92000000001</c:v>
                </c:pt>
                <c:pt idx="670">
                  <c:v>157499.92000000001</c:v>
                </c:pt>
                <c:pt idx="671">
                  <c:v>157599.92000000001</c:v>
                </c:pt>
                <c:pt idx="672">
                  <c:v>157699.92000000001</c:v>
                </c:pt>
                <c:pt idx="673">
                  <c:v>157799.92000000001</c:v>
                </c:pt>
                <c:pt idx="674">
                  <c:v>157899.92000000001</c:v>
                </c:pt>
                <c:pt idx="675">
                  <c:v>157999.92000000001</c:v>
                </c:pt>
                <c:pt idx="676">
                  <c:v>158099.92000000001</c:v>
                </c:pt>
                <c:pt idx="677">
                  <c:v>158199.92000000001</c:v>
                </c:pt>
                <c:pt idx="678">
                  <c:v>158299.92000000001</c:v>
                </c:pt>
                <c:pt idx="679">
                  <c:v>158399.92000000001</c:v>
                </c:pt>
                <c:pt idx="680">
                  <c:v>158499.92000000001</c:v>
                </c:pt>
                <c:pt idx="681">
                  <c:v>158599.92000000001</c:v>
                </c:pt>
                <c:pt idx="682">
                  <c:v>158699.92000000001</c:v>
                </c:pt>
                <c:pt idx="683">
                  <c:v>158737.4</c:v>
                </c:pt>
                <c:pt idx="684">
                  <c:v>158799.92000000001</c:v>
                </c:pt>
                <c:pt idx="685">
                  <c:v>158897.4</c:v>
                </c:pt>
                <c:pt idx="686">
                  <c:v>158899.92000000001</c:v>
                </c:pt>
                <c:pt idx="687">
                  <c:v>158999.92000000001</c:v>
                </c:pt>
                <c:pt idx="688">
                  <c:v>159099.92000000001</c:v>
                </c:pt>
                <c:pt idx="689">
                  <c:v>159199.92000000001</c:v>
                </c:pt>
                <c:pt idx="690">
                  <c:v>159299.92000000001</c:v>
                </c:pt>
                <c:pt idx="691">
                  <c:v>159399.92000000001</c:v>
                </c:pt>
                <c:pt idx="692">
                  <c:v>159499.92000000001</c:v>
                </c:pt>
                <c:pt idx="693">
                  <c:v>159523.79999999999</c:v>
                </c:pt>
                <c:pt idx="694">
                  <c:v>159599.92000000001</c:v>
                </c:pt>
                <c:pt idx="695">
                  <c:v>159643.79999999999</c:v>
                </c:pt>
                <c:pt idx="696">
                  <c:v>159699.92000000001</c:v>
                </c:pt>
                <c:pt idx="697">
                  <c:v>159799.92000000001</c:v>
                </c:pt>
                <c:pt idx="698">
                  <c:v>159899.92000000001</c:v>
                </c:pt>
                <c:pt idx="699">
                  <c:v>159999.92000000001</c:v>
                </c:pt>
                <c:pt idx="700">
                  <c:v>160099.92000000001</c:v>
                </c:pt>
                <c:pt idx="701">
                  <c:v>160199.92000000001</c:v>
                </c:pt>
                <c:pt idx="702">
                  <c:v>160299.92000000001</c:v>
                </c:pt>
                <c:pt idx="703">
                  <c:v>160399.92000000001</c:v>
                </c:pt>
                <c:pt idx="704">
                  <c:v>160499.92000000001</c:v>
                </c:pt>
                <c:pt idx="705">
                  <c:v>160599.92000000001</c:v>
                </c:pt>
                <c:pt idx="706">
                  <c:v>160699.92000000001</c:v>
                </c:pt>
                <c:pt idx="707">
                  <c:v>160799.92000000001</c:v>
                </c:pt>
                <c:pt idx="708">
                  <c:v>160899.92000000001</c:v>
                </c:pt>
                <c:pt idx="709">
                  <c:v>160999.92000000001</c:v>
                </c:pt>
                <c:pt idx="710">
                  <c:v>161099.92000000001</c:v>
                </c:pt>
                <c:pt idx="711">
                  <c:v>161199.92000000001</c:v>
                </c:pt>
                <c:pt idx="712">
                  <c:v>161299.92000000001</c:v>
                </c:pt>
                <c:pt idx="713">
                  <c:v>161399.92000000001</c:v>
                </c:pt>
                <c:pt idx="714">
                  <c:v>161499.92000000001</c:v>
                </c:pt>
                <c:pt idx="715">
                  <c:v>161599.92000000001</c:v>
                </c:pt>
                <c:pt idx="716">
                  <c:v>161699.92000000001</c:v>
                </c:pt>
                <c:pt idx="717">
                  <c:v>161799.92000000001</c:v>
                </c:pt>
                <c:pt idx="718">
                  <c:v>161899.92000000001</c:v>
                </c:pt>
                <c:pt idx="719">
                  <c:v>161999.92000000001</c:v>
                </c:pt>
                <c:pt idx="720">
                  <c:v>162099.92000000001</c:v>
                </c:pt>
                <c:pt idx="721">
                  <c:v>162199.92000000001</c:v>
                </c:pt>
                <c:pt idx="722">
                  <c:v>162299.92000000001</c:v>
                </c:pt>
                <c:pt idx="723">
                  <c:v>162399.92000000001</c:v>
                </c:pt>
                <c:pt idx="724">
                  <c:v>162499.92000000001</c:v>
                </c:pt>
                <c:pt idx="725">
                  <c:v>162599.92000000001</c:v>
                </c:pt>
                <c:pt idx="726">
                  <c:v>162699.92000000001</c:v>
                </c:pt>
                <c:pt idx="727">
                  <c:v>162799.92000000001</c:v>
                </c:pt>
                <c:pt idx="728">
                  <c:v>162899.92000000001</c:v>
                </c:pt>
                <c:pt idx="729">
                  <c:v>162999.92000000001</c:v>
                </c:pt>
                <c:pt idx="730">
                  <c:v>163099.92000000001</c:v>
                </c:pt>
                <c:pt idx="731">
                  <c:v>163199.92000000001</c:v>
                </c:pt>
                <c:pt idx="732">
                  <c:v>163299.92000000001</c:v>
                </c:pt>
                <c:pt idx="733">
                  <c:v>163399.92000000001</c:v>
                </c:pt>
                <c:pt idx="734">
                  <c:v>163499.92000000001</c:v>
                </c:pt>
                <c:pt idx="735">
                  <c:v>163599.92000000001</c:v>
                </c:pt>
                <c:pt idx="736">
                  <c:v>163699.92000000001</c:v>
                </c:pt>
                <c:pt idx="737">
                  <c:v>163799.92000000001</c:v>
                </c:pt>
                <c:pt idx="738">
                  <c:v>163899.92000000001</c:v>
                </c:pt>
                <c:pt idx="739">
                  <c:v>163999.92000000001</c:v>
                </c:pt>
                <c:pt idx="740">
                  <c:v>164099.92000000001</c:v>
                </c:pt>
                <c:pt idx="741">
                  <c:v>164199.92000000001</c:v>
                </c:pt>
                <c:pt idx="742">
                  <c:v>164299.92000000001</c:v>
                </c:pt>
                <c:pt idx="743">
                  <c:v>164399.92000000001</c:v>
                </c:pt>
                <c:pt idx="744">
                  <c:v>164499.92000000001</c:v>
                </c:pt>
                <c:pt idx="745">
                  <c:v>164599.92000000001</c:v>
                </c:pt>
                <c:pt idx="746">
                  <c:v>164699.92000000001</c:v>
                </c:pt>
                <c:pt idx="747">
                  <c:v>164799.92000000001</c:v>
                </c:pt>
                <c:pt idx="748">
                  <c:v>164899.92000000001</c:v>
                </c:pt>
                <c:pt idx="749">
                  <c:v>164999.92000000001</c:v>
                </c:pt>
                <c:pt idx="750">
                  <c:v>165099.92000000001</c:v>
                </c:pt>
                <c:pt idx="751">
                  <c:v>165199.92000000001</c:v>
                </c:pt>
                <c:pt idx="752">
                  <c:v>165257.4</c:v>
                </c:pt>
                <c:pt idx="753">
                  <c:v>165299.92000000001</c:v>
                </c:pt>
                <c:pt idx="754">
                  <c:v>165399.92000000001</c:v>
                </c:pt>
                <c:pt idx="755">
                  <c:v>165457.4</c:v>
                </c:pt>
                <c:pt idx="756">
                  <c:v>165499.92000000001</c:v>
                </c:pt>
                <c:pt idx="757">
                  <c:v>165599.92000000001</c:v>
                </c:pt>
                <c:pt idx="758">
                  <c:v>165699.92000000001</c:v>
                </c:pt>
                <c:pt idx="759">
                  <c:v>165799.92000000001</c:v>
                </c:pt>
                <c:pt idx="760">
                  <c:v>165899.92000000001</c:v>
                </c:pt>
                <c:pt idx="761">
                  <c:v>165999.92000000001</c:v>
                </c:pt>
                <c:pt idx="762">
                  <c:v>166099.92000000001</c:v>
                </c:pt>
                <c:pt idx="763">
                  <c:v>166199.92000000001</c:v>
                </c:pt>
                <c:pt idx="764">
                  <c:v>166299.92000000001</c:v>
                </c:pt>
                <c:pt idx="765">
                  <c:v>166399.92000000001</c:v>
                </c:pt>
                <c:pt idx="766">
                  <c:v>166499.92000000001</c:v>
                </c:pt>
                <c:pt idx="767">
                  <c:v>166599.92000000001</c:v>
                </c:pt>
                <c:pt idx="768">
                  <c:v>166699.92000000001</c:v>
                </c:pt>
                <c:pt idx="769">
                  <c:v>166799.92000000001</c:v>
                </c:pt>
                <c:pt idx="770">
                  <c:v>166899.92000000001</c:v>
                </c:pt>
                <c:pt idx="771">
                  <c:v>166999.92000000001</c:v>
                </c:pt>
                <c:pt idx="772">
                  <c:v>167099.92000000001</c:v>
                </c:pt>
                <c:pt idx="773">
                  <c:v>167199.92000000001</c:v>
                </c:pt>
                <c:pt idx="774">
                  <c:v>167299.92000000001</c:v>
                </c:pt>
                <c:pt idx="775">
                  <c:v>167399.92000000001</c:v>
                </c:pt>
                <c:pt idx="776">
                  <c:v>167499.92000000001</c:v>
                </c:pt>
                <c:pt idx="777">
                  <c:v>167599.92000000001</c:v>
                </c:pt>
                <c:pt idx="778">
                  <c:v>167699.92000000001</c:v>
                </c:pt>
                <c:pt idx="779">
                  <c:v>167799.92</c:v>
                </c:pt>
                <c:pt idx="780">
                  <c:v>167899.92</c:v>
                </c:pt>
                <c:pt idx="781">
                  <c:v>167947</c:v>
                </c:pt>
                <c:pt idx="782">
                  <c:v>167999.92</c:v>
                </c:pt>
                <c:pt idx="783">
                  <c:v>168022</c:v>
                </c:pt>
                <c:pt idx="784">
                  <c:v>168099.92</c:v>
                </c:pt>
                <c:pt idx="785">
                  <c:v>168199.92</c:v>
                </c:pt>
                <c:pt idx="786">
                  <c:v>168244.4</c:v>
                </c:pt>
                <c:pt idx="787">
                  <c:v>168299.92</c:v>
                </c:pt>
                <c:pt idx="788">
                  <c:v>168399.92</c:v>
                </c:pt>
                <c:pt idx="789">
                  <c:v>168499.92</c:v>
                </c:pt>
                <c:pt idx="790">
                  <c:v>168599.92</c:v>
                </c:pt>
                <c:pt idx="791">
                  <c:v>168624.4</c:v>
                </c:pt>
                <c:pt idx="792">
                  <c:v>168699.92</c:v>
                </c:pt>
                <c:pt idx="793">
                  <c:v>168799.92</c:v>
                </c:pt>
                <c:pt idx="794">
                  <c:v>168899.92</c:v>
                </c:pt>
                <c:pt idx="795">
                  <c:v>168999.92</c:v>
                </c:pt>
                <c:pt idx="796">
                  <c:v>169099.92</c:v>
                </c:pt>
                <c:pt idx="797">
                  <c:v>169199.92</c:v>
                </c:pt>
                <c:pt idx="798">
                  <c:v>169299.92</c:v>
                </c:pt>
                <c:pt idx="799">
                  <c:v>169399.92</c:v>
                </c:pt>
                <c:pt idx="800">
                  <c:v>169499.92</c:v>
                </c:pt>
                <c:pt idx="801">
                  <c:v>169599.92</c:v>
                </c:pt>
                <c:pt idx="802">
                  <c:v>169699.92</c:v>
                </c:pt>
                <c:pt idx="803">
                  <c:v>169799.92</c:v>
                </c:pt>
                <c:pt idx="804">
                  <c:v>169899.92</c:v>
                </c:pt>
                <c:pt idx="805">
                  <c:v>169999.92</c:v>
                </c:pt>
                <c:pt idx="806">
                  <c:v>170099.92</c:v>
                </c:pt>
                <c:pt idx="807">
                  <c:v>170199.92</c:v>
                </c:pt>
                <c:pt idx="808">
                  <c:v>170299.92</c:v>
                </c:pt>
                <c:pt idx="809">
                  <c:v>170399.92</c:v>
                </c:pt>
                <c:pt idx="810">
                  <c:v>170499.92</c:v>
                </c:pt>
                <c:pt idx="811">
                  <c:v>170599.92</c:v>
                </c:pt>
                <c:pt idx="812">
                  <c:v>170699.92</c:v>
                </c:pt>
                <c:pt idx="813">
                  <c:v>170799.92</c:v>
                </c:pt>
                <c:pt idx="814">
                  <c:v>170899.92</c:v>
                </c:pt>
                <c:pt idx="815">
                  <c:v>170999.92</c:v>
                </c:pt>
                <c:pt idx="816">
                  <c:v>171099.92</c:v>
                </c:pt>
                <c:pt idx="817">
                  <c:v>171199.92</c:v>
                </c:pt>
                <c:pt idx="818">
                  <c:v>171299.92</c:v>
                </c:pt>
                <c:pt idx="819">
                  <c:v>171399.92</c:v>
                </c:pt>
                <c:pt idx="820">
                  <c:v>171499.92</c:v>
                </c:pt>
                <c:pt idx="821">
                  <c:v>171599.92</c:v>
                </c:pt>
                <c:pt idx="822">
                  <c:v>171699.92</c:v>
                </c:pt>
                <c:pt idx="823">
                  <c:v>171799.92</c:v>
                </c:pt>
                <c:pt idx="824">
                  <c:v>171899.92</c:v>
                </c:pt>
                <c:pt idx="825">
                  <c:v>171999.92</c:v>
                </c:pt>
                <c:pt idx="826">
                  <c:v>172099.92</c:v>
                </c:pt>
                <c:pt idx="827">
                  <c:v>172199.92</c:v>
                </c:pt>
                <c:pt idx="828">
                  <c:v>172299.92</c:v>
                </c:pt>
                <c:pt idx="829">
                  <c:v>172399.92</c:v>
                </c:pt>
                <c:pt idx="830">
                  <c:v>172499.92</c:v>
                </c:pt>
                <c:pt idx="831">
                  <c:v>172599.92</c:v>
                </c:pt>
                <c:pt idx="832">
                  <c:v>172699.92</c:v>
                </c:pt>
                <c:pt idx="833">
                  <c:v>172799.92</c:v>
                </c:pt>
                <c:pt idx="834">
                  <c:v>172899.92</c:v>
                </c:pt>
                <c:pt idx="835">
                  <c:v>172999.92</c:v>
                </c:pt>
                <c:pt idx="836">
                  <c:v>173099.92</c:v>
                </c:pt>
                <c:pt idx="837">
                  <c:v>173199.92</c:v>
                </c:pt>
                <c:pt idx="838">
                  <c:v>173299.92</c:v>
                </c:pt>
                <c:pt idx="839">
                  <c:v>173399.92</c:v>
                </c:pt>
                <c:pt idx="840">
                  <c:v>173499.92</c:v>
                </c:pt>
                <c:pt idx="841">
                  <c:v>173599.92</c:v>
                </c:pt>
                <c:pt idx="842">
                  <c:v>173699.92</c:v>
                </c:pt>
                <c:pt idx="843">
                  <c:v>173799.92</c:v>
                </c:pt>
                <c:pt idx="844">
                  <c:v>173899.92</c:v>
                </c:pt>
                <c:pt idx="845">
                  <c:v>173999.92</c:v>
                </c:pt>
                <c:pt idx="846">
                  <c:v>174099.92</c:v>
                </c:pt>
                <c:pt idx="847">
                  <c:v>174199.92</c:v>
                </c:pt>
                <c:pt idx="848">
                  <c:v>174233.5</c:v>
                </c:pt>
                <c:pt idx="849">
                  <c:v>174299.92</c:v>
                </c:pt>
                <c:pt idx="850">
                  <c:v>174313.5</c:v>
                </c:pt>
                <c:pt idx="851">
                  <c:v>174399.92</c:v>
                </c:pt>
                <c:pt idx="852">
                  <c:v>174499.92</c:v>
                </c:pt>
                <c:pt idx="853">
                  <c:v>174599.92</c:v>
                </c:pt>
                <c:pt idx="854">
                  <c:v>174699.92</c:v>
                </c:pt>
                <c:pt idx="855">
                  <c:v>174799.92</c:v>
                </c:pt>
                <c:pt idx="856">
                  <c:v>174899.92</c:v>
                </c:pt>
                <c:pt idx="857">
                  <c:v>174999.92</c:v>
                </c:pt>
                <c:pt idx="858">
                  <c:v>175099.92</c:v>
                </c:pt>
                <c:pt idx="859">
                  <c:v>175199.92</c:v>
                </c:pt>
                <c:pt idx="860">
                  <c:v>175299.92</c:v>
                </c:pt>
                <c:pt idx="861">
                  <c:v>175399.92</c:v>
                </c:pt>
                <c:pt idx="862">
                  <c:v>175499.92</c:v>
                </c:pt>
                <c:pt idx="863">
                  <c:v>175599.92</c:v>
                </c:pt>
                <c:pt idx="864">
                  <c:v>175699.92</c:v>
                </c:pt>
                <c:pt idx="865">
                  <c:v>175799.92</c:v>
                </c:pt>
                <c:pt idx="866">
                  <c:v>175899.92</c:v>
                </c:pt>
                <c:pt idx="867">
                  <c:v>175999.92</c:v>
                </c:pt>
                <c:pt idx="868">
                  <c:v>176099.92</c:v>
                </c:pt>
                <c:pt idx="869">
                  <c:v>176199.92</c:v>
                </c:pt>
                <c:pt idx="870">
                  <c:v>176299.92</c:v>
                </c:pt>
                <c:pt idx="871">
                  <c:v>176399.92</c:v>
                </c:pt>
                <c:pt idx="872">
                  <c:v>176499.92</c:v>
                </c:pt>
                <c:pt idx="873">
                  <c:v>176599.92</c:v>
                </c:pt>
                <c:pt idx="874">
                  <c:v>176699.92</c:v>
                </c:pt>
                <c:pt idx="875">
                  <c:v>176714</c:v>
                </c:pt>
                <c:pt idx="876">
                  <c:v>176794</c:v>
                </c:pt>
                <c:pt idx="877">
                  <c:v>176799.92</c:v>
                </c:pt>
                <c:pt idx="878">
                  <c:v>176899.92</c:v>
                </c:pt>
                <c:pt idx="879">
                  <c:v>176999.92</c:v>
                </c:pt>
                <c:pt idx="880">
                  <c:v>177099.92</c:v>
                </c:pt>
                <c:pt idx="881">
                  <c:v>177199.92</c:v>
                </c:pt>
                <c:pt idx="882">
                  <c:v>177299.92</c:v>
                </c:pt>
                <c:pt idx="883">
                  <c:v>177399.92</c:v>
                </c:pt>
                <c:pt idx="884">
                  <c:v>177499.92</c:v>
                </c:pt>
                <c:pt idx="885">
                  <c:v>177599.92</c:v>
                </c:pt>
                <c:pt idx="886">
                  <c:v>177699.92</c:v>
                </c:pt>
                <c:pt idx="887">
                  <c:v>177799.92</c:v>
                </c:pt>
                <c:pt idx="888">
                  <c:v>177899.92</c:v>
                </c:pt>
                <c:pt idx="889">
                  <c:v>177999.92</c:v>
                </c:pt>
                <c:pt idx="890">
                  <c:v>178099.92</c:v>
                </c:pt>
                <c:pt idx="891">
                  <c:v>178199.92</c:v>
                </c:pt>
                <c:pt idx="892">
                  <c:v>178299.92</c:v>
                </c:pt>
                <c:pt idx="893">
                  <c:v>178399.92</c:v>
                </c:pt>
                <c:pt idx="894">
                  <c:v>178499.92</c:v>
                </c:pt>
                <c:pt idx="895">
                  <c:v>178599.92</c:v>
                </c:pt>
                <c:pt idx="896">
                  <c:v>178699.92</c:v>
                </c:pt>
                <c:pt idx="897">
                  <c:v>178799.92</c:v>
                </c:pt>
                <c:pt idx="898">
                  <c:v>178864.3</c:v>
                </c:pt>
                <c:pt idx="899">
                  <c:v>178899.92</c:v>
                </c:pt>
                <c:pt idx="900">
                  <c:v>178999.92</c:v>
                </c:pt>
                <c:pt idx="901">
                  <c:v>179099.92</c:v>
                </c:pt>
                <c:pt idx="902">
                  <c:v>179104.3</c:v>
                </c:pt>
                <c:pt idx="903">
                  <c:v>179199.92</c:v>
                </c:pt>
                <c:pt idx="904">
                  <c:v>179299.92</c:v>
                </c:pt>
                <c:pt idx="905">
                  <c:v>179399.92</c:v>
                </c:pt>
                <c:pt idx="906">
                  <c:v>179499.92</c:v>
                </c:pt>
                <c:pt idx="907">
                  <c:v>179599.92</c:v>
                </c:pt>
                <c:pt idx="908">
                  <c:v>179699.92</c:v>
                </c:pt>
                <c:pt idx="909">
                  <c:v>179799.92</c:v>
                </c:pt>
                <c:pt idx="910">
                  <c:v>179899.92</c:v>
                </c:pt>
                <c:pt idx="911">
                  <c:v>179999.92</c:v>
                </c:pt>
                <c:pt idx="912">
                  <c:v>180099.92</c:v>
                </c:pt>
                <c:pt idx="913">
                  <c:v>180199.92</c:v>
                </c:pt>
                <c:pt idx="914">
                  <c:v>180299.92</c:v>
                </c:pt>
                <c:pt idx="915">
                  <c:v>180399.92</c:v>
                </c:pt>
                <c:pt idx="916">
                  <c:v>180499.92</c:v>
                </c:pt>
                <c:pt idx="917">
                  <c:v>180599.92</c:v>
                </c:pt>
                <c:pt idx="918">
                  <c:v>180699.92</c:v>
                </c:pt>
                <c:pt idx="919">
                  <c:v>180799.92</c:v>
                </c:pt>
                <c:pt idx="920">
                  <c:v>180899.92</c:v>
                </c:pt>
                <c:pt idx="921">
                  <c:v>180999.92</c:v>
                </c:pt>
                <c:pt idx="922">
                  <c:v>181099.92</c:v>
                </c:pt>
                <c:pt idx="923">
                  <c:v>181199.92</c:v>
                </c:pt>
                <c:pt idx="924">
                  <c:v>181299.92</c:v>
                </c:pt>
                <c:pt idx="925">
                  <c:v>181399.92</c:v>
                </c:pt>
                <c:pt idx="926">
                  <c:v>181499.92</c:v>
                </c:pt>
                <c:pt idx="927">
                  <c:v>181599.92</c:v>
                </c:pt>
                <c:pt idx="928">
                  <c:v>181699.92</c:v>
                </c:pt>
                <c:pt idx="929">
                  <c:v>181799.92</c:v>
                </c:pt>
                <c:pt idx="930">
                  <c:v>181899.92</c:v>
                </c:pt>
                <c:pt idx="931">
                  <c:v>181999.92</c:v>
                </c:pt>
                <c:pt idx="932">
                  <c:v>182099.92</c:v>
                </c:pt>
                <c:pt idx="933">
                  <c:v>182199.92</c:v>
                </c:pt>
                <c:pt idx="934">
                  <c:v>182250</c:v>
                </c:pt>
                <c:pt idx="935">
                  <c:v>182299.92</c:v>
                </c:pt>
                <c:pt idx="936">
                  <c:v>182399.92</c:v>
                </c:pt>
                <c:pt idx="937">
                  <c:v>182450</c:v>
                </c:pt>
                <c:pt idx="938">
                  <c:v>182499.92</c:v>
                </c:pt>
                <c:pt idx="939">
                  <c:v>182599.92</c:v>
                </c:pt>
                <c:pt idx="940">
                  <c:v>182699.92</c:v>
                </c:pt>
                <c:pt idx="941">
                  <c:v>182799.92</c:v>
                </c:pt>
                <c:pt idx="942">
                  <c:v>182899.92</c:v>
                </c:pt>
                <c:pt idx="943">
                  <c:v>182999.92</c:v>
                </c:pt>
                <c:pt idx="944">
                  <c:v>183099.92</c:v>
                </c:pt>
                <c:pt idx="945">
                  <c:v>183199.92</c:v>
                </c:pt>
                <c:pt idx="946">
                  <c:v>183299.92</c:v>
                </c:pt>
                <c:pt idx="947">
                  <c:v>183399.92</c:v>
                </c:pt>
                <c:pt idx="948">
                  <c:v>183499.92</c:v>
                </c:pt>
                <c:pt idx="949">
                  <c:v>183599.92</c:v>
                </c:pt>
                <c:pt idx="950">
                  <c:v>183699.92</c:v>
                </c:pt>
                <c:pt idx="951">
                  <c:v>183799.92</c:v>
                </c:pt>
                <c:pt idx="952">
                  <c:v>183899.92</c:v>
                </c:pt>
                <c:pt idx="953">
                  <c:v>183999.92</c:v>
                </c:pt>
                <c:pt idx="954">
                  <c:v>184099.92</c:v>
                </c:pt>
                <c:pt idx="955">
                  <c:v>184199.92</c:v>
                </c:pt>
                <c:pt idx="956">
                  <c:v>184299.92</c:v>
                </c:pt>
                <c:pt idx="957">
                  <c:v>184399.92</c:v>
                </c:pt>
                <c:pt idx="958">
                  <c:v>184499.92</c:v>
                </c:pt>
                <c:pt idx="959">
                  <c:v>184599.92</c:v>
                </c:pt>
                <c:pt idx="960">
                  <c:v>184699.92</c:v>
                </c:pt>
                <c:pt idx="961">
                  <c:v>184799.92</c:v>
                </c:pt>
                <c:pt idx="962">
                  <c:v>184899.92</c:v>
                </c:pt>
                <c:pt idx="963">
                  <c:v>184999.92</c:v>
                </c:pt>
                <c:pt idx="964">
                  <c:v>185099.92</c:v>
                </c:pt>
                <c:pt idx="965">
                  <c:v>185199.92</c:v>
                </c:pt>
                <c:pt idx="966">
                  <c:v>185299.92</c:v>
                </c:pt>
                <c:pt idx="967">
                  <c:v>185399.92</c:v>
                </c:pt>
                <c:pt idx="968">
                  <c:v>185499.92</c:v>
                </c:pt>
                <c:pt idx="969">
                  <c:v>185599.92</c:v>
                </c:pt>
                <c:pt idx="970">
                  <c:v>185699.92</c:v>
                </c:pt>
                <c:pt idx="971">
                  <c:v>185799.92</c:v>
                </c:pt>
                <c:pt idx="972">
                  <c:v>185899.92</c:v>
                </c:pt>
                <c:pt idx="973">
                  <c:v>185999.92</c:v>
                </c:pt>
                <c:pt idx="974">
                  <c:v>186099.92</c:v>
                </c:pt>
                <c:pt idx="975">
                  <c:v>186199.92</c:v>
                </c:pt>
                <c:pt idx="976">
                  <c:v>186299.92</c:v>
                </c:pt>
                <c:pt idx="977">
                  <c:v>186399.92</c:v>
                </c:pt>
                <c:pt idx="978">
                  <c:v>186499.92</c:v>
                </c:pt>
                <c:pt idx="979">
                  <c:v>186599.92</c:v>
                </c:pt>
                <c:pt idx="980">
                  <c:v>186699.92</c:v>
                </c:pt>
                <c:pt idx="981">
                  <c:v>186799.92</c:v>
                </c:pt>
                <c:pt idx="982">
                  <c:v>186876.3</c:v>
                </c:pt>
                <c:pt idx="983">
                  <c:v>186899.92</c:v>
                </c:pt>
                <c:pt idx="984">
                  <c:v>186996.3</c:v>
                </c:pt>
                <c:pt idx="985">
                  <c:v>186999.92</c:v>
                </c:pt>
                <c:pt idx="986">
                  <c:v>187099.92</c:v>
                </c:pt>
                <c:pt idx="987">
                  <c:v>187199.92</c:v>
                </c:pt>
                <c:pt idx="988">
                  <c:v>187299.92</c:v>
                </c:pt>
                <c:pt idx="989">
                  <c:v>187399.92</c:v>
                </c:pt>
                <c:pt idx="990">
                  <c:v>187499.92</c:v>
                </c:pt>
                <c:pt idx="991">
                  <c:v>187599.92</c:v>
                </c:pt>
                <c:pt idx="992">
                  <c:v>187699.92</c:v>
                </c:pt>
                <c:pt idx="993">
                  <c:v>187799.92</c:v>
                </c:pt>
                <c:pt idx="994">
                  <c:v>187899.92</c:v>
                </c:pt>
                <c:pt idx="995">
                  <c:v>187999.92</c:v>
                </c:pt>
                <c:pt idx="996">
                  <c:v>188099.92</c:v>
                </c:pt>
                <c:pt idx="997">
                  <c:v>188199.92</c:v>
                </c:pt>
                <c:pt idx="998">
                  <c:v>188299.92</c:v>
                </c:pt>
                <c:pt idx="999">
                  <c:v>188399.92</c:v>
                </c:pt>
                <c:pt idx="1000">
                  <c:v>188499.92</c:v>
                </c:pt>
                <c:pt idx="1001">
                  <c:v>188599.92</c:v>
                </c:pt>
                <c:pt idx="1002">
                  <c:v>188699.92</c:v>
                </c:pt>
                <c:pt idx="1003">
                  <c:v>188794.6</c:v>
                </c:pt>
                <c:pt idx="1004">
                  <c:v>188799.92</c:v>
                </c:pt>
                <c:pt idx="1005">
                  <c:v>188874.6</c:v>
                </c:pt>
                <c:pt idx="1006">
                  <c:v>188899.92</c:v>
                </c:pt>
                <c:pt idx="1007">
                  <c:v>188999.92</c:v>
                </c:pt>
                <c:pt idx="1008">
                  <c:v>189099.92</c:v>
                </c:pt>
                <c:pt idx="1009">
                  <c:v>189199.92</c:v>
                </c:pt>
                <c:pt idx="1010">
                  <c:v>189299.92</c:v>
                </c:pt>
                <c:pt idx="1011">
                  <c:v>189399.92</c:v>
                </c:pt>
                <c:pt idx="1012">
                  <c:v>189499.92</c:v>
                </c:pt>
                <c:pt idx="1013">
                  <c:v>189599.92</c:v>
                </c:pt>
                <c:pt idx="1014">
                  <c:v>189699.92</c:v>
                </c:pt>
                <c:pt idx="1015">
                  <c:v>189799.92</c:v>
                </c:pt>
                <c:pt idx="1016">
                  <c:v>189899.92</c:v>
                </c:pt>
                <c:pt idx="1017">
                  <c:v>189999.92</c:v>
                </c:pt>
                <c:pt idx="1018">
                  <c:v>190099.92</c:v>
                </c:pt>
                <c:pt idx="1019">
                  <c:v>190199.92</c:v>
                </c:pt>
                <c:pt idx="1020">
                  <c:v>190299.92</c:v>
                </c:pt>
                <c:pt idx="1021">
                  <c:v>190399.92</c:v>
                </c:pt>
                <c:pt idx="1022">
                  <c:v>190499.92</c:v>
                </c:pt>
                <c:pt idx="1023">
                  <c:v>190599.92</c:v>
                </c:pt>
                <c:pt idx="1024">
                  <c:v>190699.92</c:v>
                </c:pt>
                <c:pt idx="1025">
                  <c:v>190799.92</c:v>
                </c:pt>
                <c:pt idx="1026">
                  <c:v>190899.92</c:v>
                </c:pt>
                <c:pt idx="1027">
                  <c:v>190999.92</c:v>
                </c:pt>
                <c:pt idx="1028">
                  <c:v>191099.92</c:v>
                </c:pt>
                <c:pt idx="1029">
                  <c:v>191199.92</c:v>
                </c:pt>
                <c:pt idx="1030">
                  <c:v>191299.92</c:v>
                </c:pt>
                <c:pt idx="1031">
                  <c:v>191399.92</c:v>
                </c:pt>
                <c:pt idx="1032">
                  <c:v>191499.92</c:v>
                </c:pt>
                <c:pt idx="1033">
                  <c:v>191599.92</c:v>
                </c:pt>
                <c:pt idx="1034">
                  <c:v>191699.92</c:v>
                </c:pt>
                <c:pt idx="1035">
                  <c:v>191799.92</c:v>
                </c:pt>
                <c:pt idx="1036">
                  <c:v>191899.92</c:v>
                </c:pt>
                <c:pt idx="1037">
                  <c:v>191999.92</c:v>
                </c:pt>
                <c:pt idx="1038">
                  <c:v>192099.92</c:v>
                </c:pt>
                <c:pt idx="1039">
                  <c:v>192199.92</c:v>
                </c:pt>
                <c:pt idx="1040">
                  <c:v>192299.92</c:v>
                </c:pt>
                <c:pt idx="1041">
                  <c:v>192399.92</c:v>
                </c:pt>
                <c:pt idx="1042">
                  <c:v>192499.92</c:v>
                </c:pt>
                <c:pt idx="1043">
                  <c:v>192599.92</c:v>
                </c:pt>
                <c:pt idx="1044">
                  <c:v>192699.92</c:v>
                </c:pt>
                <c:pt idx="1045">
                  <c:v>192799.92</c:v>
                </c:pt>
                <c:pt idx="1046">
                  <c:v>192899.92</c:v>
                </c:pt>
                <c:pt idx="1047">
                  <c:v>192999.92</c:v>
                </c:pt>
                <c:pt idx="1048">
                  <c:v>193099.92</c:v>
                </c:pt>
                <c:pt idx="1049">
                  <c:v>193199.92</c:v>
                </c:pt>
                <c:pt idx="1050">
                  <c:v>193299.92</c:v>
                </c:pt>
                <c:pt idx="1051">
                  <c:v>193399.92</c:v>
                </c:pt>
                <c:pt idx="1052">
                  <c:v>193499.92</c:v>
                </c:pt>
                <c:pt idx="1053">
                  <c:v>193599.92</c:v>
                </c:pt>
                <c:pt idx="1054">
                  <c:v>193699.92</c:v>
                </c:pt>
                <c:pt idx="1055">
                  <c:v>193799.92</c:v>
                </c:pt>
                <c:pt idx="1056">
                  <c:v>193899.92</c:v>
                </c:pt>
                <c:pt idx="1057">
                  <c:v>193999.92</c:v>
                </c:pt>
                <c:pt idx="1058">
                  <c:v>194099.92</c:v>
                </c:pt>
                <c:pt idx="1059">
                  <c:v>194199.92</c:v>
                </c:pt>
                <c:pt idx="1060">
                  <c:v>194299.92</c:v>
                </c:pt>
                <c:pt idx="1061">
                  <c:v>194399.92</c:v>
                </c:pt>
                <c:pt idx="1062">
                  <c:v>194499.92</c:v>
                </c:pt>
                <c:pt idx="1063">
                  <c:v>194599.92</c:v>
                </c:pt>
                <c:pt idx="1064">
                  <c:v>194699.92</c:v>
                </c:pt>
                <c:pt idx="1065">
                  <c:v>194799.92</c:v>
                </c:pt>
                <c:pt idx="1066">
                  <c:v>194899.92</c:v>
                </c:pt>
                <c:pt idx="1067">
                  <c:v>194999.92</c:v>
                </c:pt>
                <c:pt idx="1068">
                  <c:v>195099.92</c:v>
                </c:pt>
                <c:pt idx="1069">
                  <c:v>195199.92</c:v>
                </c:pt>
                <c:pt idx="1070">
                  <c:v>195299.92</c:v>
                </c:pt>
                <c:pt idx="1071">
                  <c:v>195399.92</c:v>
                </c:pt>
                <c:pt idx="1072">
                  <c:v>195499.92</c:v>
                </c:pt>
                <c:pt idx="1073">
                  <c:v>195599.92</c:v>
                </c:pt>
                <c:pt idx="1074">
                  <c:v>195699.92</c:v>
                </c:pt>
                <c:pt idx="1075">
                  <c:v>195799.92</c:v>
                </c:pt>
                <c:pt idx="1076">
                  <c:v>195899.92</c:v>
                </c:pt>
                <c:pt idx="1077">
                  <c:v>195999.92</c:v>
                </c:pt>
                <c:pt idx="1078">
                  <c:v>196099.92</c:v>
                </c:pt>
                <c:pt idx="1079">
                  <c:v>196199.92</c:v>
                </c:pt>
                <c:pt idx="1080">
                  <c:v>196299.92</c:v>
                </c:pt>
                <c:pt idx="1081">
                  <c:v>196399.92</c:v>
                </c:pt>
                <c:pt idx="1082">
                  <c:v>196499.92</c:v>
                </c:pt>
                <c:pt idx="1083">
                  <c:v>196535.5</c:v>
                </c:pt>
                <c:pt idx="1084">
                  <c:v>196599.92</c:v>
                </c:pt>
                <c:pt idx="1085">
                  <c:v>196695.5</c:v>
                </c:pt>
                <c:pt idx="1086">
                  <c:v>196699.92</c:v>
                </c:pt>
                <c:pt idx="1087">
                  <c:v>196799.92</c:v>
                </c:pt>
                <c:pt idx="1088">
                  <c:v>196899.92</c:v>
                </c:pt>
                <c:pt idx="1089">
                  <c:v>196999.92</c:v>
                </c:pt>
                <c:pt idx="1090">
                  <c:v>197099.92</c:v>
                </c:pt>
                <c:pt idx="1091">
                  <c:v>197199.92</c:v>
                </c:pt>
                <c:pt idx="1092">
                  <c:v>197299.92</c:v>
                </c:pt>
                <c:pt idx="1093">
                  <c:v>197399.92</c:v>
                </c:pt>
                <c:pt idx="1094">
                  <c:v>197499.92</c:v>
                </c:pt>
                <c:pt idx="1095">
                  <c:v>197599.92</c:v>
                </c:pt>
                <c:pt idx="1096">
                  <c:v>197699.92</c:v>
                </c:pt>
                <c:pt idx="1097">
                  <c:v>197799.92</c:v>
                </c:pt>
                <c:pt idx="1098">
                  <c:v>197899.92</c:v>
                </c:pt>
                <c:pt idx="1099">
                  <c:v>197999.92</c:v>
                </c:pt>
                <c:pt idx="1100">
                  <c:v>198099.92</c:v>
                </c:pt>
                <c:pt idx="1101">
                  <c:v>198199.92</c:v>
                </c:pt>
                <c:pt idx="1102">
                  <c:v>198299.92</c:v>
                </c:pt>
                <c:pt idx="1103">
                  <c:v>198399.92</c:v>
                </c:pt>
                <c:pt idx="1104">
                  <c:v>198499.92</c:v>
                </c:pt>
                <c:pt idx="1105">
                  <c:v>198599.92</c:v>
                </c:pt>
                <c:pt idx="1106">
                  <c:v>198699.92</c:v>
                </c:pt>
                <c:pt idx="1107">
                  <c:v>198799.92</c:v>
                </c:pt>
                <c:pt idx="1108">
                  <c:v>198899.92</c:v>
                </c:pt>
                <c:pt idx="1109">
                  <c:v>198999.92</c:v>
                </c:pt>
                <c:pt idx="1110">
                  <c:v>199096.21</c:v>
                </c:pt>
                <c:pt idx="1111">
                  <c:v>199099.92</c:v>
                </c:pt>
                <c:pt idx="1112">
                  <c:v>199176.21</c:v>
                </c:pt>
                <c:pt idx="1113">
                  <c:v>199199.92</c:v>
                </c:pt>
                <c:pt idx="1114">
                  <c:v>199299.92</c:v>
                </c:pt>
                <c:pt idx="1115">
                  <c:v>199399.92</c:v>
                </c:pt>
                <c:pt idx="1116">
                  <c:v>199499.92</c:v>
                </c:pt>
                <c:pt idx="1117">
                  <c:v>199599.92</c:v>
                </c:pt>
                <c:pt idx="1118">
                  <c:v>199699.92</c:v>
                </c:pt>
                <c:pt idx="1119">
                  <c:v>199799.92</c:v>
                </c:pt>
                <c:pt idx="1120">
                  <c:v>199899.92</c:v>
                </c:pt>
                <c:pt idx="1121">
                  <c:v>199999.92</c:v>
                </c:pt>
                <c:pt idx="1122">
                  <c:v>200099.92</c:v>
                </c:pt>
                <c:pt idx="1123">
                  <c:v>200199.92</c:v>
                </c:pt>
                <c:pt idx="1124">
                  <c:v>200299.92</c:v>
                </c:pt>
                <c:pt idx="1125">
                  <c:v>200399.92</c:v>
                </c:pt>
                <c:pt idx="1126">
                  <c:v>200499.92</c:v>
                </c:pt>
                <c:pt idx="1127">
                  <c:v>200599.92</c:v>
                </c:pt>
                <c:pt idx="1128">
                  <c:v>200699.92</c:v>
                </c:pt>
                <c:pt idx="1129">
                  <c:v>200799.92</c:v>
                </c:pt>
                <c:pt idx="1130">
                  <c:v>200899.92</c:v>
                </c:pt>
                <c:pt idx="1131">
                  <c:v>200999.92</c:v>
                </c:pt>
                <c:pt idx="1132">
                  <c:v>201099.92</c:v>
                </c:pt>
                <c:pt idx="1133">
                  <c:v>201199.92</c:v>
                </c:pt>
                <c:pt idx="1134">
                  <c:v>201299.92</c:v>
                </c:pt>
                <c:pt idx="1135">
                  <c:v>201399.92</c:v>
                </c:pt>
                <c:pt idx="1136">
                  <c:v>201499.92</c:v>
                </c:pt>
                <c:pt idx="1137">
                  <c:v>201599.92</c:v>
                </c:pt>
                <c:pt idx="1138">
                  <c:v>201699.92</c:v>
                </c:pt>
                <c:pt idx="1139">
                  <c:v>201799.92</c:v>
                </c:pt>
                <c:pt idx="1140">
                  <c:v>201899.92</c:v>
                </c:pt>
                <c:pt idx="1141">
                  <c:v>201999.92</c:v>
                </c:pt>
                <c:pt idx="1142">
                  <c:v>202099.92</c:v>
                </c:pt>
                <c:pt idx="1143">
                  <c:v>202199.92</c:v>
                </c:pt>
                <c:pt idx="1144">
                  <c:v>202299.92</c:v>
                </c:pt>
                <c:pt idx="1145">
                  <c:v>202399.92</c:v>
                </c:pt>
                <c:pt idx="1146">
                  <c:v>202499.92</c:v>
                </c:pt>
                <c:pt idx="1147">
                  <c:v>202599.92</c:v>
                </c:pt>
                <c:pt idx="1148">
                  <c:v>202699.92</c:v>
                </c:pt>
                <c:pt idx="1149">
                  <c:v>202799.92</c:v>
                </c:pt>
                <c:pt idx="1150">
                  <c:v>202899.92</c:v>
                </c:pt>
                <c:pt idx="1151">
                  <c:v>202999.92</c:v>
                </c:pt>
                <c:pt idx="1152">
                  <c:v>203099.92</c:v>
                </c:pt>
                <c:pt idx="1153">
                  <c:v>203199.92</c:v>
                </c:pt>
                <c:pt idx="1154">
                  <c:v>203299.92</c:v>
                </c:pt>
                <c:pt idx="1155">
                  <c:v>203399.92</c:v>
                </c:pt>
                <c:pt idx="1156">
                  <c:v>203499.92</c:v>
                </c:pt>
                <c:pt idx="1157">
                  <c:v>203599.92</c:v>
                </c:pt>
                <c:pt idx="1158">
                  <c:v>203699.92</c:v>
                </c:pt>
                <c:pt idx="1159">
                  <c:v>203799.92</c:v>
                </c:pt>
                <c:pt idx="1160">
                  <c:v>203899.92</c:v>
                </c:pt>
                <c:pt idx="1161">
                  <c:v>203999.92</c:v>
                </c:pt>
                <c:pt idx="1162">
                  <c:v>204099.92</c:v>
                </c:pt>
                <c:pt idx="1163">
                  <c:v>204199.92</c:v>
                </c:pt>
                <c:pt idx="1164">
                  <c:v>204299.92</c:v>
                </c:pt>
                <c:pt idx="1165">
                  <c:v>204399.92</c:v>
                </c:pt>
                <c:pt idx="1166">
                  <c:v>204499.92</c:v>
                </c:pt>
                <c:pt idx="1167">
                  <c:v>204599.92</c:v>
                </c:pt>
                <c:pt idx="1168">
                  <c:v>204699.92</c:v>
                </c:pt>
                <c:pt idx="1169">
                  <c:v>204799.92</c:v>
                </c:pt>
                <c:pt idx="1170">
                  <c:v>204899.92</c:v>
                </c:pt>
                <c:pt idx="1171">
                  <c:v>204999.92</c:v>
                </c:pt>
                <c:pt idx="1172">
                  <c:v>205048.5</c:v>
                </c:pt>
                <c:pt idx="1173">
                  <c:v>205099.92</c:v>
                </c:pt>
                <c:pt idx="1174">
                  <c:v>205123.5</c:v>
                </c:pt>
                <c:pt idx="1175">
                  <c:v>205199.92</c:v>
                </c:pt>
                <c:pt idx="1176">
                  <c:v>205209.4</c:v>
                </c:pt>
                <c:pt idx="1177">
                  <c:v>205299.92</c:v>
                </c:pt>
                <c:pt idx="1178">
                  <c:v>205329.4</c:v>
                </c:pt>
                <c:pt idx="1179">
                  <c:v>205399.92</c:v>
                </c:pt>
                <c:pt idx="1180">
                  <c:v>205499.92</c:v>
                </c:pt>
                <c:pt idx="1181">
                  <c:v>205599.92</c:v>
                </c:pt>
                <c:pt idx="1182">
                  <c:v>205699.92</c:v>
                </c:pt>
                <c:pt idx="1183">
                  <c:v>205799.92</c:v>
                </c:pt>
                <c:pt idx="1184">
                  <c:v>205899.92</c:v>
                </c:pt>
                <c:pt idx="1185">
                  <c:v>205999.92</c:v>
                </c:pt>
                <c:pt idx="1186">
                  <c:v>206099.92</c:v>
                </c:pt>
                <c:pt idx="1187">
                  <c:v>206199.92</c:v>
                </c:pt>
                <c:pt idx="1188">
                  <c:v>206299.92</c:v>
                </c:pt>
                <c:pt idx="1189">
                  <c:v>206399.92</c:v>
                </c:pt>
                <c:pt idx="1190">
                  <c:v>206499.92</c:v>
                </c:pt>
                <c:pt idx="1191">
                  <c:v>206599.92</c:v>
                </c:pt>
                <c:pt idx="1192">
                  <c:v>206699.92</c:v>
                </c:pt>
                <c:pt idx="1193">
                  <c:v>206799.92</c:v>
                </c:pt>
                <c:pt idx="1194">
                  <c:v>206899.92</c:v>
                </c:pt>
                <c:pt idx="1195">
                  <c:v>206999.92</c:v>
                </c:pt>
                <c:pt idx="1196">
                  <c:v>207099.92</c:v>
                </c:pt>
                <c:pt idx="1197">
                  <c:v>207199.92</c:v>
                </c:pt>
                <c:pt idx="1198">
                  <c:v>207299.92</c:v>
                </c:pt>
                <c:pt idx="1199">
                  <c:v>207399.92</c:v>
                </c:pt>
                <c:pt idx="1200">
                  <c:v>207499.92</c:v>
                </c:pt>
                <c:pt idx="1201">
                  <c:v>207599.92</c:v>
                </c:pt>
                <c:pt idx="1202">
                  <c:v>207699.92</c:v>
                </c:pt>
                <c:pt idx="1203">
                  <c:v>207799.92</c:v>
                </c:pt>
                <c:pt idx="1204">
                  <c:v>207899.92</c:v>
                </c:pt>
                <c:pt idx="1205">
                  <c:v>207999.92</c:v>
                </c:pt>
                <c:pt idx="1206">
                  <c:v>208099.92</c:v>
                </c:pt>
                <c:pt idx="1207">
                  <c:v>208199.92</c:v>
                </c:pt>
                <c:pt idx="1208">
                  <c:v>208299.92</c:v>
                </c:pt>
                <c:pt idx="1209">
                  <c:v>208399.92</c:v>
                </c:pt>
                <c:pt idx="1210">
                  <c:v>208499.92</c:v>
                </c:pt>
                <c:pt idx="1211">
                  <c:v>208599.92</c:v>
                </c:pt>
                <c:pt idx="1212">
                  <c:v>208699.92</c:v>
                </c:pt>
                <c:pt idx="1213">
                  <c:v>208799.92</c:v>
                </c:pt>
                <c:pt idx="1214">
                  <c:v>208899.92</c:v>
                </c:pt>
                <c:pt idx="1215">
                  <c:v>208999.92</c:v>
                </c:pt>
                <c:pt idx="1216">
                  <c:v>209099.92</c:v>
                </c:pt>
                <c:pt idx="1217">
                  <c:v>209199.92</c:v>
                </c:pt>
                <c:pt idx="1218">
                  <c:v>209299.92</c:v>
                </c:pt>
                <c:pt idx="1219">
                  <c:v>209399.92</c:v>
                </c:pt>
                <c:pt idx="1220">
                  <c:v>209499.92</c:v>
                </c:pt>
                <c:pt idx="1221">
                  <c:v>209599.92</c:v>
                </c:pt>
                <c:pt idx="1222">
                  <c:v>209635</c:v>
                </c:pt>
                <c:pt idx="1223">
                  <c:v>209699.92</c:v>
                </c:pt>
                <c:pt idx="1224">
                  <c:v>209715</c:v>
                </c:pt>
                <c:pt idx="1225">
                  <c:v>209799.92</c:v>
                </c:pt>
                <c:pt idx="1226">
                  <c:v>209899.92</c:v>
                </c:pt>
                <c:pt idx="1227">
                  <c:v>209999.92</c:v>
                </c:pt>
                <c:pt idx="1228">
                  <c:v>210099.92</c:v>
                </c:pt>
                <c:pt idx="1229">
                  <c:v>210176.5</c:v>
                </c:pt>
                <c:pt idx="1230">
                  <c:v>210199.92</c:v>
                </c:pt>
                <c:pt idx="1231">
                  <c:v>210299.92</c:v>
                </c:pt>
                <c:pt idx="1232">
                  <c:v>210399.92</c:v>
                </c:pt>
                <c:pt idx="1233">
                  <c:v>210456.5</c:v>
                </c:pt>
                <c:pt idx="1234">
                  <c:v>210499.92</c:v>
                </c:pt>
                <c:pt idx="1235">
                  <c:v>210599.92</c:v>
                </c:pt>
                <c:pt idx="1236">
                  <c:v>210699.92</c:v>
                </c:pt>
                <c:pt idx="1237">
                  <c:v>210799.92</c:v>
                </c:pt>
                <c:pt idx="1238">
                  <c:v>210899.92</c:v>
                </c:pt>
                <c:pt idx="1239">
                  <c:v>210999.92</c:v>
                </c:pt>
                <c:pt idx="1240">
                  <c:v>211099.92</c:v>
                </c:pt>
                <c:pt idx="1241">
                  <c:v>211199.92</c:v>
                </c:pt>
                <c:pt idx="1242">
                  <c:v>211299.92</c:v>
                </c:pt>
                <c:pt idx="1243">
                  <c:v>211399.92</c:v>
                </c:pt>
                <c:pt idx="1244">
                  <c:v>211499.92</c:v>
                </c:pt>
                <c:pt idx="1245">
                  <c:v>211599.92</c:v>
                </c:pt>
                <c:pt idx="1246">
                  <c:v>211699.92</c:v>
                </c:pt>
                <c:pt idx="1247">
                  <c:v>211799.92</c:v>
                </c:pt>
                <c:pt idx="1248">
                  <c:v>211899.92</c:v>
                </c:pt>
                <c:pt idx="1249">
                  <c:v>211999.92</c:v>
                </c:pt>
                <c:pt idx="1250">
                  <c:v>212099.92</c:v>
                </c:pt>
                <c:pt idx="1251">
                  <c:v>212199.92</c:v>
                </c:pt>
                <c:pt idx="1252">
                  <c:v>212299.92</c:v>
                </c:pt>
                <c:pt idx="1253">
                  <c:v>212399.92</c:v>
                </c:pt>
                <c:pt idx="1254">
                  <c:v>212499.92</c:v>
                </c:pt>
                <c:pt idx="1255">
                  <c:v>212599.92</c:v>
                </c:pt>
                <c:pt idx="1256">
                  <c:v>212699.92</c:v>
                </c:pt>
                <c:pt idx="1257">
                  <c:v>212799.92</c:v>
                </c:pt>
                <c:pt idx="1258">
                  <c:v>212899.92</c:v>
                </c:pt>
                <c:pt idx="1259">
                  <c:v>212999.92</c:v>
                </c:pt>
                <c:pt idx="1260">
                  <c:v>213099.92</c:v>
                </c:pt>
                <c:pt idx="1261">
                  <c:v>213199.92</c:v>
                </c:pt>
                <c:pt idx="1262">
                  <c:v>213299.92</c:v>
                </c:pt>
                <c:pt idx="1263">
                  <c:v>213399.92</c:v>
                </c:pt>
                <c:pt idx="1264">
                  <c:v>213499.92</c:v>
                </c:pt>
                <c:pt idx="1265">
                  <c:v>213599.92</c:v>
                </c:pt>
                <c:pt idx="1266">
                  <c:v>213699.92</c:v>
                </c:pt>
                <c:pt idx="1267">
                  <c:v>213799.92</c:v>
                </c:pt>
                <c:pt idx="1268">
                  <c:v>213899.92</c:v>
                </c:pt>
                <c:pt idx="1269">
                  <c:v>213999.92</c:v>
                </c:pt>
                <c:pt idx="1270">
                  <c:v>214099.92</c:v>
                </c:pt>
                <c:pt idx="1271">
                  <c:v>214199.92</c:v>
                </c:pt>
                <c:pt idx="1272">
                  <c:v>214299.92</c:v>
                </c:pt>
                <c:pt idx="1273">
                  <c:v>214399.92</c:v>
                </c:pt>
                <c:pt idx="1274">
                  <c:v>214499.92</c:v>
                </c:pt>
                <c:pt idx="1275">
                  <c:v>214599.92</c:v>
                </c:pt>
                <c:pt idx="1276">
                  <c:v>214699.92</c:v>
                </c:pt>
                <c:pt idx="1277">
                  <c:v>214799.92</c:v>
                </c:pt>
                <c:pt idx="1278">
                  <c:v>214899.92</c:v>
                </c:pt>
                <c:pt idx="1279">
                  <c:v>214999.92</c:v>
                </c:pt>
                <c:pt idx="1280">
                  <c:v>215099.92</c:v>
                </c:pt>
                <c:pt idx="1281">
                  <c:v>215199.92</c:v>
                </c:pt>
                <c:pt idx="1282">
                  <c:v>215299.92</c:v>
                </c:pt>
                <c:pt idx="1283">
                  <c:v>215399.92</c:v>
                </c:pt>
                <c:pt idx="1284">
                  <c:v>215499.92</c:v>
                </c:pt>
                <c:pt idx="1285">
                  <c:v>215599.92</c:v>
                </c:pt>
                <c:pt idx="1286">
                  <c:v>215699.92</c:v>
                </c:pt>
                <c:pt idx="1287">
                  <c:v>215799.92</c:v>
                </c:pt>
                <c:pt idx="1288">
                  <c:v>215899.92</c:v>
                </c:pt>
                <c:pt idx="1289">
                  <c:v>215987.9</c:v>
                </c:pt>
                <c:pt idx="1290">
                  <c:v>215999.92</c:v>
                </c:pt>
                <c:pt idx="1291">
                  <c:v>216099.92</c:v>
                </c:pt>
                <c:pt idx="1292">
                  <c:v>216147.9</c:v>
                </c:pt>
                <c:pt idx="1293">
                  <c:v>216199.92</c:v>
                </c:pt>
                <c:pt idx="1294">
                  <c:v>216299.92</c:v>
                </c:pt>
                <c:pt idx="1295">
                  <c:v>216399.92</c:v>
                </c:pt>
                <c:pt idx="1296">
                  <c:v>216499.92</c:v>
                </c:pt>
                <c:pt idx="1297">
                  <c:v>216599.92</c:v>
                </c:pt>
                <c:pt idx="1298">
                  <c:v>216699.92</c:v>
                </c:pt>
                <c:pt idx="1299">
                  <c:v>216799.92</c:v>
                </c:pt>
                <c:pt idx="1300">
                  <c:v>216899.92</c:v>
                </c:pt>
                <c:pt idx="1301">
                  <c:v>216999.92</c:v>
                </c:pt>
                <c:pt idx="1302">
                  <c:v>217099.92</c:v>
                </c:pt>
                <c:pt idx="1303">
                  <c:v>217195.7</c:v>
                </c:pt>
                <c:pt idx="1304">
                  <c:v>217199.92</c:v>
                </c:pt>
                <c:pt idx="1305">
                  <c:v>217299.92</c:v>
                </c:pt>
                <c:pt idx="1306">
                  <c:v>217315.7</c:v>
                </c:pt>
                <c:pt idx="1307">
                  <c:v>217399.92</c:v>
                </c:pt>
                <c:pt idx="1308">
                  <c:v>217499.92</c:v>
                </c:pt>
                <c:pt idx="1309">
                  <c:v>217599.92</c:v>
                </c:pt>
                <c:pt idx="1310">
                  <c:v>217699.92</c:v>
                </c:pt>
                <c:pt idx="1311">
                  <c:v>217799.92</c:v>
                </c:pt>
                <c:pt idx="1312">
                  <c:v>217899.92</c:v>
                </c:pt>
                <c:pt idx="1313">
                  <c:v>217999.92</c:v>
                </c:pt>
                <c:pt idx="1314">
                  <c:v>218099.92</c:v>
                </c:pt>
                <c:pt idx="1315">
                  <c:v>218199.92</c:v>
                </c:pt>
                <c:pt idx="1316">
                  <c:v>218299.92</c:v>
                </c:pt>
                <c:pt idx="1317">
                  <c:v>218399.92</c:v>
                </c:pt>
                <c:pt idx="1318">
                  <c:v>218499.92</c:v>
                </c:pt>
                <c:pt idx="1319">
                  <c:v>218599.92</c:v>
                </c:pt>
                <c:pt idx="1320">
                  <c:v>218699.92</c:v>
                </c:pt>
                <c:pt idx="1321">
                  <c:v>218799.92</c:v>
                </c:pt>
                <c:pt idx="1322">
                  <c:v>218899.92</c:v>
                </c:pt>
                <c:pt idx="1323">
                  <c:v>218999.92</c:v>
                </c:pt>
                <c:pt idx="1324">
                  <c:v>219099.92</c:v>
                </c:pt>
                <c:pt idx="1325">
                  <c:v>219199.92</c:v>
                </c:pt>
                <c:pt idx="1326">
                  <c:v>219299.92</c:v>
                </c:pt>
                <c:pt idx="1327">
                  <c:v>219399.92</c:v>
                </c:pt>
                <c:pt idx="1328">
                  <c:v>219499.92</c:v>
                </c:pt>
                <c:pt idx="1329">
                  <c:v>219599.92</c:v>
                </c:pt>
                <c:pt idx="1330">
                  <c:v>219699.92</c:v>
                </c:pt>
                <c:pt idx="1331">
                  <c:v>219799.92</c:v>
                </c:pt>
                <c:pt idx="1332">
                  <c:v>219899.92</c:v>
                </c:pt>
                <c:pt idx="1333">
                  <c:v>219999.92</c:v>
                </c:pt>
                <c:pt idx="1334">
                  <c:v>220099.92</c:v>
                </c:pt>
                <c:pt idx="1335">
                  <c:v>220199.92</c:v>
                </c:pt>
                <c:pt idx="1336">
                  <c:v>220299.92</c:v>
                </c:pt>
                <c:pt idx="1337">
                  <c:v>220399.92</c:v>
                </c:pt>
                <c:pt idx="1338">
                  <c:v>220499.92</c:v>
                </c:pt>
                <c:pt idx="1339">
                  <c:v>220599.92</c:v>
                </c:pt>
                <c:pt idx="1340">
                  <c:v>220699.92</c:v>
                </c:pt>
                <c:pt idx="1341">
                  <c:v>220799.92</c:v>
                </c:pt>
                <c:pt idx="1342">
                  <c:v>220899.92</c:v>
                </c:pt>
                <c:pt idx="1343">
                  <c:v>220999.92</c:v>
                </c:pt>
                <c:pt idx="1344">
                  <c:v>221099.92</c:v>
                </c:pt>
                <c:pt idx="1345">
                  <c:v>221199.92</c:v>
                </c:pt>
                <c:pt idx="1346">
                  <c:v>221299.92</c:v>
                </c:pt>
                <c:pt idx="1347">
                  <c:v>221399.92</c:v>
                </c:pt>
                <c:pt idx="1348">
                  <c:v>221499.92</c:v>
                </c:pt>
                <c:pt idx="1349">
                  <c:v>221599.92</c:v>
                </c:pt>
                <c:pt idx="1350">
                  <c:v>221699.92</c:v>
                </c:pt>
                <c:pt idx="1351">
                  <c:v>221799.92</c:v>
                </c:pt>
                <c:pt idx="1352">
                  <c:v>221899.92</c:v>
                </c:pt>
                <c:pt idx="1353">
                  <c:v>221999.92</c:v>
                </c:pt>
                <c:pt idx="1354">
                  <c:v>222099.92</c:v>
                </c:pt>
                <c:pt idx="1355">
                  <c:v>222199.92</c:v>
                </c:pt>
                <c:pt idx="1356">
                  <c:v>222299.92</c:v>
                </c:pt>
                <c:pt idx="1357">
                  <c:v>222399.92</c:v>
                </c:pt>
                <c:pt idx="1358">
                  <c:v>222499.92</c:v>
                </c:pt>
                <c:pt idx="1359">
                  <c:v>222599.92</c:v>
                </c:pt>
                <c:pt idx="1360">
                  <c:v>222699.92</c:v>
                </c:pt>
                <c:pt idx="1361">
                  <c:v>222799.92</c:v>
                </c:pt>
                <c:pt idx="1362">
                  <c:v>222899.92</c:v>
                </c:pt>
                <c:pt idx="1363">
                  <c:v>222999.92</c:v>
                </c:pt>
                <c:pt idx="1364">
                  <c:v>223099.92</c:v>
                </c:pt>
                <c:pt idx="1365">
                  <c:v>223199.92</c:v>
                </c:pt>
                <c:pt idx="1366">
                  <c:v>223299.92</c:v>
                </c:pt>
                <c:pt idx="1367">
                  <c:v>223399.92</c:v>
                </c:pt>
                <c:pt idx="1368">
                  <c:v>223499.92</c:v>
                </c:pt>
                <c:pt idx="1369">
                  <c:v>223599.92</c:v>
                </c:pt>
                <c:pt idx="1370">
                  <c:v>223699.92</c:v>
                </c:pt>
                <c:pt idx="1371">
                  <c:v>223799.92</c:v>
                </c:pt>
                <c:pt idx="1372">
                  <c:v>223872</c:v>
                </c:pt>
                <c:pt idx="1373">
                  <c:v>223899.92</c:v>
                </c:pt>
                <c:pt idx="1374">
                  <c:v>223999.92</c:v>
                </c:pt>
                <c:pt idx="1375">
                  <c:v>224099.92</c:v>
                </c:pt>
                <c:pt idx="1376">
                  <c:v>224199.92</c:v>
                </c:pt>
                <c:pt idx="1377">
                  <c:v>224299.92</c:v>
                </c:pt>
                <c:pt idx="1378">
                  <c:v>224377.9</c:v>
                </c:pt>
                <c:pt idx="1379">
                  <c:v>224399.92</c:v>
                </c:pt>
                <c:pt idx="1380">
                  <c:v>224499.92</c:v>
                </c:pt>
                <c:pt idx="1381">
                  <c:v>224599.92</c:v>
                </c:pt>
                <c:pt idx="1382">
                  <c:v>224617.9</c:v>
                </c:pt>
                <c:pt idx="1383">
                  <c:v>224699.92</c:v>
                </c:pt>
                <c:pt idx="1384">
                  <c:v>224799.92</c:v>
                </c:pt>
                <c:pt idx="1385">
                  <c:v>224899.92</c:v>
                </c:pt>
                <c:pt idx="1386">
                  <c:v>224999.92</c:v>
                </c:pt>
                <c:pt idx="1387">
                  <c:v>225099.92</c:v>
                </c:pt>
                <c:pt idx="1388">
                  <c:v>225199.92</c:v>
                </c:pt>
                <c:pt idx="1389">
                  <c:v>225299.92</c:v>
                </c:pt>
              </c:numCache>
            </c:numRef>
          </c:xVal>
          <c:yVal>
            <c:numRef>
              <c:f>TS!$S$2:$S$1391</c:f>
              <c:numCache>
                <c:formatCode>0.0</c:formatCode>
                <c:ptCount val="1390"/>
                <c:pt idx="0">
                  <c:v>1874.9657164499999</c:v>
                </c:pt>
                <c:pt idx="1">
                  <c:v>1876.3438704299999</c:v>
                </c:pt>
                <c:pt idx="2">
                  <c:v>1877.8426551299999</c:v>
                </c:pt>
                <c:pt idx="3">
                  <c:v>1879.4966478899998</c:v>
                </c:pt>
                <c:pt idx="4">
                  <c:v>1880.4964009799999</c:v>
                </c:pt>
                <c:pt idx="5">
                  <c:v>1882.21378553</c:v>
                </c:pt>
                <c:pt idx="6">
                  <c:v>1883.42065602</c:v>
                </c:pt>
                <c:pt idx="7">
                  <c:v>1884.3771657699999</c:v>
                </c:pt>
                <c:pt idx="8">
                  <c:v>1884.7407478</c:v>
                </c:pt>
                <c:pt idx="9">
                  <c:v>1884.9650672099999</c:v>
                </c:pt>
                <c:pt idx="10">
                  <c:v>1885.03846823</c:v>
                </c:pt>
                <c:pt idx="11">
                  <c:v>1884.03048244</c:v>
                </c:pt>
                <c:pt idx="12">
                  <c:v>1882.7080941699999</c:v>
                </c:pt>
                <c:pt idx="13">
                  <c:v>1880.40636124</c:v>
                </c:pt>
                <c:pt idx="14">
                  <c:v>1881.0223838499999</c:v>
                </c:pt>
                <c:pt idx="15">
                  <c:v>1882.0553710499998</c:v>
                </c:pt>
                <c:pt idx="16">
                  <c:v>1883.0236665599998</c:v>
                </c:pt>
                <c:pt idx="17">
                  <c:v>1883.95755805</c:v>
                </c:pt>
                <c:pt idx="18">
                  <c:v>1885.2211041799999</c:v>
                </c:pt>
                <c:pt idx="19">
                  <c:v>1886.3197363299998</c:v>
                </c:pt>
                <c:pt idx="20">
                  <c:v>1889.8403421599999</c:v>
                </c:pt>
                <c:pt idx="21">
                  <c:v>1895.7057509399999</c:v>
                </c:pt>
                <c:pt idx="22">
                  <c:v>1906.4569638599999</c:v>
                </c:pt>
                <c:pt idx="23">
                  <c:v>1910.2084752599999</c:v>
                </c:pt>
                <c:pt idx="24">
                  <c:v>1914.6175194099999</c:v>
                </c:pt>
                <c:pt idx="25">
                  <c:v>1923.3249428899999</c:v>
                </c:pt>
                <c:pt idx="26">
                  <c:v>1928.7618613</c:v>
                </c:pt>
                <c:pt idx="27">
                  <c:v>1932.16621274</c:v>
                </c:pt>
                <c:pt idx="28">
                  <c:v>1935.58520972</c:v>
                </c:pt>
                <c:pt idx="29">
                  <c:v>1936.9789624999999</c:v>
                </c:pt>
                <c:pt idx="30">
                  <c:v>1939.6583163799999</c:v>
                </c:pt>
                <c:pt idx="31">
                  <c:v>1935.13652757</c:v>
                </c:pt>
                <c:pt idx="32">
                  <c:v>1933.12757545</c:v>
                </c:pt>
                <c:pt idx="33">
                  <c:v>1932.94090981</c:v>
                </c:pt>
                <c:pt idx="34">
                  <c:v>1931.7230768299999</c:v>
                </c:pt>
                <c:pt idx="35">
                  <c:v>1933.42078956</c:v>
                </c:pt>
                <c:pt idx="36">
                  <c:v>1936.5164580799999</c:v>
                </c:pt>
                <c:pt idx="37">
                  <c:v>1936.5164580799999</c:v>
                </c:pt>
                <c:pt idx="38">
                  <c:v>1939.33472794</c:v>
                </c:pt>
                <c:pt idx="39">
                  <c:v>1939.33472794</c:v>
                </c:pt>
                <c:pt idx="40">
                  <c:v>1941.4712869099999</c:v>
                </c:pt>
                <c:pt idx="41">
                  <c:v>1941.7732536799999</c:v>
                </c:pt>
                <c:pt idx="42">
                  <c:v>1943.8686924799999</c:v>
                </c:pt>
                <c:pt idx="43">
                  <c:v>1945.04206888</c:v>
                </c:pt>
                <c:pt idx="44">
                  <c:v>1945.04206888</c:v>
                </c:pt>
                <c:pt idx="45">
                  <c:v>1946.28416666</c:v>
                </c:pt>
                <c:pt idx="46">
                  <c:v>1946.79936036</c:v>
                </c:pt>
                <c:pt idx="47">
                  <c:v>1947.5453296399999</c:v>
                </c:pt>
                <c:pt idx="48">
                  <c:v>1947.76644263</c:v>
                </c:pt>
                <c:pt idx="49">
                  <c:v>1948.6501579799999</c:v>
                </c:pt>
                <c:pt idx="50">
                  <c:v>1949.0322419199999</c:v>
                </c:pt>
                <c:pt idx="51">
                  <c:v>1949.5605646099998</c:v>
                </c:pt>
                <c:pt idx="52">
                  <c:v>1949.80914882</c:v>
                </c:pt>
                <c:pt idx="53">
                  <c:v>1949.7448471</c:v>
                </c:pt>
                <c:pt idx="54">
                  <c:v>1950.5009556</c:v>
                </c:pt>
                <c:pt idx="55">
                  <c:v>1956.1733292299998</c:v>
                </c:pt>
                <c:pt idx="56">
                  <c:v>1950.2385057899999</c:v>
                </c:pt>
                <c:pt idx="57">
                  <c:v>1949.5325300999998</c:v>
                </c:pt>
                <c:pt idx="58">
                  <c:v>1950.0349414499999</c:v>
                </c:pt>
                <c:pt idx="59">
                  <c:v>1950.56712051</c:v>
                </c:pt>
                <c:pt idx="60">
                  <c:v>1950.81544474</c:v>
                </c:pt>
                <c:pt idx="61">
                  <c:v>1950.1804002599999</c:v>
                </c:pt>
                <c:pt idx="62">
                  <c:v>1949.72465532</c:v>
                </c:pt>
                <c:pt idx="63">
                  <c:v>1949.3202997599999</c:v>
                </c:pt>
                <c:pt idx="64">
                  <c:v>1949.3202997599999</c:v>
                </c:pt>
                <c:pt idx="65">
                  <c:v>1949.19958238</c:v>
                </c:pt>
                <c:pt idx="66">
                  <c:v>1949.17358438</c:v>
                </c:pt>
                <c:pt idx="67">
                  <c:v>1949.18974647</c:v>
                </c:pt>
                <c:pt idx="68">
                  <c:v>1948.83743024</c:v>
                </c:pt>
                <c:pt idx="69">
                  <c:v>1948.48056436</c:v>
                </c:pt>
                <c:pt idx="70">
                  <c:v>1948.1197987799999</c:v>
                </c:pt>
                <c:pt idx="71">
                  <c:v>1948.0120803999998</c:v>
                </c:pt>
                <c:pt idx="72">
                  <c:v>1948.14787662</c:v>
                </c:pt>
                <c:pt idx="73">
                  <c:v>1948.2090585799999</c:v>
                </c:pt>
                <c:pt idx="74">
                  <c:v>1948.20039258</c:v>
                </c:pt>
                <c:pt idx="75">
                  <c:v>1947.7852478499999</c:v>
                </c:pt>
                <c:pt idx="76">
                  <c:v>1947.5049027499999</c:v>
                </c:pt>
                <c:pt idx="77">
                  <c:v>1946.71222373</c:v>
                </c:pt>
                <c:pt idx="78">
                  <c:v>1946.52092178</c:v>
                </c:pt>
                <c:pt idx="79">
                  <c:v>1947.1117696599999</c:v>
                </c:pt>
                <c:pt idx="80">
                  <c:v>1947.46209271</c:v>
                </c:pt>
                <c:pt idx="81">
                  <c:v>1948.1169823299999</c:v>
                </c:pt>
                <c:pt idx="82">
                  <c:v>1948.4497133999998</c:v>
                </c:pt>
                <c:pt idx="83">
                  <c:v>1948.48030438</c:v>
                </c:pt>
                <c:pt idx="84">
                  <c:v>1948.48030438</c:v>
                </c:pt>
                <c:pt idx="85">
                  <c:v>1948.0289791</c:v>
                </c:pt>
                <c:pt idx="86">
                  <c:v>1948.0289791</c:v>
                </c:pt>
                <c:pt idx="87">
                  <c:v>1949.0149965799999</c:v>
                </c:pt>
                <c:pt idx="88">
                  <c:v>1948.99142506</c:v>
                </c:pt>
                <c:pt idx="89">
                  <c:v>1949.56364104</c:v>
                </c:pt>
                <c:pt idx="90">
                  <c:v>1950.3448809399999</c:v>
                </c:pt>
                <c:pt idx="91">
                  <c:v>1951.3959800799998</c:v>
                </c:pt>
                <c:pt idx="92">
                  <c:v>1952.39833297</c:v>
                </c:pt>
                <c:pt idx="93">
                  <c:v>1952.6379045399999</c:v>
                </c:pt>
                <c:pt idx="94">
                  <c:v>1953.28724792</c:v>
                </c:pt>
                <c:pt idx="95">
                  <c:v>1954.06315823</c:v>
                </c:pt>
                <c:pt idx="96">
                  <c:v>1954.1661969699999</c:v>
                </c:pt>
                <c:pt idx="97">
                  <c:v>1954.5127069799998</c:v>
                </c:pt>
                <c:pt idx="98">
                  <c:v>1954.6580357999999</c:v>
                </c:pt>
                <c:pt idx="99">
                  <c:v>1953.8660933899998</c:v>
                </c:pt>
                <c:pt idx="100">
                  <c:v>1954.2624762299999</c:v>
                </c:pt>
                <c:pt idx="101">
                  <c:v>1954.6734612799999</c:v>
                </c:pt>
                <c:pt idx="102">
                  <c:v>1954.7037489499999</c:v>
                </c:pt>
                <c:pt idx="103">
                  <c:v>1954.7433959</c:v>
                </c:pt>
                <c:pt idx="104">
                  <c:v>1954.83599211</c:v>
                </c:pt>
                <c:pt idx="105">
                  <c:v>1955.04458273</c:v>
                </c:pt>
                <c:pt idx="106">
                  <c:v>1955.2149562899999</c:v>
                </c:pt>
                <c:pt idx="107">
                  <c:v>1955.23670795</c:v>
                </c:pt>
                <c:pt idx="108">
                  <c:v>1955.2281719399998</c:v>
                </c:pt>
                <c:pt idx="109">
                  <c:v>1955.2710686399998</c:v>
                </c:pt>
                <c:pt idx="110">
                  <c:v>1955.0673743099999</c:v>
                </c:pt>
                <c:pt idx="111">
                  <c:v>1954.9223054699999</c:v>
                </c:pt>
                <c:pt idx="112">
                  <c:v>1954.8298392499998</c:v>
                </c:pt>
                <c:pt idx="113">
                  <c:v>1954.6641453299999</c:v>
                </c:pt>
                <c:pt idx="114">
                  <c:v>1954.4639173999999</c:v>
                </c:pt>
                <c:pt idx="115">
                  <c:v>1954.32235829</c:v>
                </c:pt>
                <c:pt idx="116">
                  <c:v>1954.14661181</c:v>
                </c:pt>
                <c:pt idx="117">
                  <c:v>1954.0301407699999</c:v>
                </c:pt>
                <c:pt idx="118">
                  <c:v>1954.02104147</c:v>
                </c:pt>
                <c:pt idx="119">
                  <c:v>1953.8996741399999</c:v>
                </c:pt>
                <c:pt idx="120">
                  <c:v>1953.9225523799998</c:v>
                </c:pt>
                <c:pt idx="121">
                  <c:v>1953.8971609999999</c:v>
                </c:pt>
                <c:pt idx="122">
                  <c:v>1953.8498879700001</c:v>
                </c:pt>
                <c:pt idx="123">
                  <c:v>1953.6977130099999</c:v>
                </c:pt>
                <c:pt idx="124">
                  <c:v>1953.5857482899999</c:v>
                </c:pt>
                <c:pt idx="125">
                  <c:v>1953.4159380199999</c:v>
                </c:pt>
                <c:pt idx="126">
                  <c:v>1953.4017691099998</c:v>
                </c:pt>
                <c:pt idx="127">
                  <c:v>1953.3473899599999</c:v>
                </c:pt>
                <c:pt idx="128">
                  <c:v>1953.5277727499999</c:v>
                </c:pt>
                <c:pt idx="129">
                  <c:v>1953.5277727499999</c:v>
                </c:pt>
                <c:pt idx="130">
                  <c:v>1953.83610903</c:v>
                </c:pt>
                <c:pt idx="131">
                  <c:v>1954.1813624699998</c:v>
                </c:pt>
                <c:pt idx="132">
                  <c:v>1953.26705614</c:v>
                </c:pt>
                <c:pt idx="133">
                  <c:v>1953.3859103299999</c:v>
                </c:pt>
                <c:pt idx="134">
                  <c:v>1953.3158890499999</c:v>
                </c:pt>
                <c:pt idx="135">
                  <c:v>1953.05863884</c:v>
                </c:pt>
                <c:pt idx="136">
                  <c:v>1952.60956672</c:v>
                </c:pt>
                <c:pt idx="137">
                  <c:v>1952.3576894299999</c:v>
                </c:pt>
                <c:pt idx="138">
                  <c:v>1952.1411260899999</c:v>
                </c:pt>
                <c:pt idx="139">
                  <c:v>1952.1411260899999</c:v>
                </c:pt>
                <c:pt idx="140">
                  <c:v>1952.0883068199998</c:v>
                </c:pt>
                <c:pt idx="141">
                  <c:v>1951.7318309099999</c:v>
                </c:pt>
                <c:pt idx="142">
                  <c:v>1951.6032274699999</c:v>
                </c:pt>
                <c:pt idx="143">
                  <c:v>1951.44693616</c:v>
                </c:pt>
                <c:pt idx="144">
                  <c:v>1951.44693616</c:v>
                </c:pt>
                <c:pt idx="145">
                  <c:v>1951.3620960199999</c:v>
                </c:pt>
                <c:pt idx="146">
                  <c:v>1950.8621544799998</c:v>
                </c:pt>
                <c:pt idx="147">
                  <c:v>1950.3717455399999</c:v>
                </c:pt>
                <c:pt idx="148">
                  <c:v>1950.3717455399999</c:v>
                </c:pt>
                <c:pt idx="149">
                  <c:v>1950.5564613299998</c:v>
                </c:pt>
                <c:pt idx="150">
                  <c:v>1950.4453632099999</c:v>
                </c:pt>
                <c:pt idx="151">
                  <c:v>1950.5684204099998</c:v>
                </c:pt>
                <c:pt idx="152">
                  <c:v>1950.6360152099999</c:v>
                </c:pt>
                <c:pt idx="153">
                  <c:v>1950.67674541</c:v>
                </c:pt>
                <c:pt idx="154">
                  <c:v>1950.9062644199998</c:v>
                </c:pt>
                <c:pt idx="155">
                  <c:v>1951.22131685</c:v>
                </c:pt>
                <c:pt idx="156">
                  <c:v>1952.8682901499999</c:v>
                </c:pt>
                <c:pt idx="157">
                  <c:v>1955.14662488</c:v>
                </c:pt>
                <c:pt idx="158">
                  <c:v>1955.14662488</c:v>
                </c:pt>
                <c:pt idx="159">
                  <c:v>1950.7681717099999</c:v>
                </c:pt>
                <c:pt idx="160">
                  <c:v>1950.7681717099999</c:v>
                </c:pt>
                <c:pt idx="161">
                  <c:v>1950.9843884099998</c:v>
                </c:pt>
                <c:pt idx="162">
                  <c:v>1951.17005746</c:v>
                </c:pt>
                <c:pt idx="163">
                  <c:v>1951.3154729399998</c:v>
                </c:pt>
                <c:pt idx="164">
                  <c:v>1951.4399166999999</c:v>
                </c:pt>
                <c:pt idx="165">
                  <c:v>1951.5548278599999</c:v>
                </c:pt>
                <c:pt idx="166">
                  <c:v>1951.63702487</c:v>
                </c:pt>
                <c:pt idx="167">
                  <c:v>1951.7036230799999</c:v>
                </c:pt>
                <c:pt idx="168">
                  <c:v>1951.5233702799999</c:v>
                </c:pt>
                <c:pt idx="169">
                  <c:v>1951.6203428199999</c:v>
                </c:pt>
                <c:pt idx="170">
                  <c:v>1952.0101828299998</c:v>
                </c:pt>
                <c:pt idx="171">
                  <c:v>1951.95428713</c:v>
                </c:pt>
                <c:pt idx="172">
                  <c:v>1952.0131726</c:v>
                </c:pt>
                <c:pt idx="173">
                  <c:v>1952.04809658</c:v>
                </c:pt>
                <c:pt idx="174">
                  <c:v>1952.0492664899998</c:v>
                </c:pt>
                <c:pt idx="175">
                  <c:v>1952.04385024</c:v>
                </c:pt>
                <c:pt idx="176">
                  <c:v>1952.0361375</c:v>
                </c:pt>
                <c:pt idx="177">
                  <c:v>1951.95030077</c:v>
                </c:pt>
                <c:pt idx="178">
                  <c:v>1951.8649839999998</c:v>
                </c:pt>
                <c:pt idx="179">
                  <c:v>1951.7978224999999</c:v>
                </c:pt>
                <c:pt idx="180">
                  <c:v>1951.7306610000001</c:v>
                </c:pt>
                <c:pt idx="181">
                  <c:v>1951.6174397099999</c:v>
                </c:pt>
                <c:pt idx="182">
                  <c:v>1951.49312594</c:v>
                </c:pt>
                <c:pt idx="183">
                  <c:v>1951.3583263099999</c:v>
                </c:pt>
                <c:pt idx="184">
                  <c:v>1951.2207102299999</c:v>
                </c:pt>
                <c:pt idx="185">
                  <c:v>1950.83429329</c:v>
                </c:pt>
                <c:pt idx="186">
                  <c:v>1950.3840079299998</c:v>
                </c:pt>
                <c:pt idx="187">
                  <c:v>1949.96751997</c:v>
                </c:pt>
                <c:pt idx="188">
                  <c:v>1949.5593080399999</c:v>
                </c:pt>
                <c:pt idx="189">
                  <c:v>1949.0016942699999</c:v>
                </c:pt>
                <c:pt idx="190">
                  <c:v>1948.1821073199999</c:v>
                </c:pt>
                <c:pt idx="191">
                  <c:v>1946.46285958</c:v>
                </c:pt>
                <c:pt idx="192">
                  <c:v>1947.71678645</c:v>
                </c:pt>
                <c:pt idx="193">
                  <c:v>1945.5266715999999</c:v>
                </c:pt>
                <c:pt idx="194">
                  <c:v>1945.5266715999999</c:v>
                </c:pt>
                <c:pt idx="195">
                  <c:v>1944.9177551099999</c:v>
                </c:pt>
                <c:pt idx="196">
                  <c:v>1944.9177551099999</c:v>
                </c:pt>
                <c:pt idx="197">
                  <c:v>1944.3901257</c:v>
                </c:pt>
                <c:pt idx="198">
                  <c:v>1943.5405543899999</c:v>
                </c:pt>
                <c:pt idx="199">
                  <c:v>1942.62737464</c:v>
                </c:pt>
                <c:pt idx="200">
                  <c:v>1941.66094232</c:v>
                </c:pt>
                <c:pt idx="201">
                  <c:v>1940.6502267399999</c:v>
                </c:pt>
                <c:pt idx="202">
                  <c:v>1940.6502267399999</c:v>
                </c:pt>
                <c:pt idx="203">
                  <c:v>1938.71268246</c:v>
                </c:pt>
                <c:pt idx="204">
                  <c:v>1938.71268246</c:v>
                </c:pt>
                <c:pt idx="205">
                  <c:v>1937.1892863199998</c:v>
                </c:pt>
                <c:pt idx="206">
                  <c:v>1935.97821282</c:v>
                </c:pt>
                <c:pt idx="207">
                  <c:v>1935.97821282</c:v>
                </c:pt>
                <c:pt idx="208">
                  <c:v>1934.7732488499998</c:v>
                </c:pt>
                <c:pt idx="209">
                  <c:v>1934.7732488499998</c:v>
                </c:pt>
                <c:pt idx="210">
                  <c:v>1934.5044295299999</c:v>
                </c:pt>
                <c:pt idx="211">
                  <c:v>1931.7816589899999</c:v>
                </c:pt>
                <c:pt idx="212">
                  <c:v>1928.9074067699999</c:v>
                </c:pt>
                <c:pt idx="213">
                  <c:v>1928.9251720699999</c:v>
                </c:pt>
                <c:pt idx="214">
                  <c:v>1935.87322423</c:v>
                </c:pt>
                <c:pt idx="215">
                  <c:v>1942.8392150099999</c:v>
                </c:pt>
                <c:pt idx="216">
                  <c:v>1942.8392150099999</c:v>
                </c:pt>
                <c:pt idx="217">
                  <c:v>1955.2741884</c:v>
                </c:pt>
                <c:pt idx="218">
                  <c:v>1955.2741884</c:v>
                </c:pt>
                <c:pt idx="219">
                  <c:v>1958.60968847</c:v>
                </c:pt>
                <c:pt idx="220">
                  <c:v>1960.64351201</c:v>
                </c:pt>
                <c:pt idx="221">
                  <c:v>1961.6831720299999</c:v>
                </c:pt>
                <c:pt idx="222">
                  <c:v>1961.6831720299999</c:v>
                </c:pt>
                <c:pt idx="223">
                  <c:v>1962.4636319899998</c:v>
                </c:pt>
                <c:pt idx="224">
                  <c:v>1963.26827009</c:v>
                </c:pt>
                <c:pt idx="225">
                  <c:v>1964.2554574799999</c:v>
                </c:pt>
                <c:pt idx="226">
                  <c:v>1964.9812783099999</c:v>
                </c:pt>
                <c:pt idx="227">
                  <c:v>1965.85715093</c:v>
                </c:pt>
                <c:pt idx="228">
                  <c:v>1965.8882185399998</c:v>
                </c:pt>
                <c:pt idx="229">
                  <c:v>1968.4406155199999</c:v>
                </c:pt>
                <c:pt idx="230">
                  <c:v>1973.45237997</c:v>
                </c:pt>
                <c:pt idx="231">
                  <c:v>1974.8279774799998</c:v>
                </c:pt>
                <c:pt idx="232">
                  <c:v>1984.3192406599999</c:v>
                </c:pt>
                <c:pt idx="233">
                  <c:v>1983.5573259399998</c:v>
                </c:pt>
                <c:pt idx="234">
                  <c:v>1983.3326165599999</c:v>
                </c:pt>
                <c:pt idx="235">
                  <c:v>1979.0642649199999</c:v>
                </c:pt>
                <c:pt idx="236">
                  <c:v>1973.2109018799999</c:v>
                </c:pt>
                <c:pt idx="237">
                  <c:v>1974.2119981999999</c:v>
                </c:pt>
                <c:pt idx="238">
                  <c:v>1972.73509515</c:v>
                </c:pt>
                <c:pt idx="239">
                  <c:v>1969.79030169</c:v>
                </c:pt>
                <c:pt idx="240">
                  <c:v>1964.47345071</c:v>
                </c:pt>
                <c:pt idx="241">
                  <c:v>1960.2599115200001</c:v>
                </c:pt>
                <c:pt idx="242">
                  <c:v>1957.0797928299999</c:v>
                </c:pt>
                <c:pt idx="243">
                  <c:v>1958.07612285</c:v>
                </c:pt>
                <c:pt idx="244">
                  <c:v>1961.4617557299998</c:v>
                </c:pt>
                <c:pt idx="245">
                  <c:v>1964.5837688899999</c:v>
                </c:pt>
                <c:pt idx="246">
                  <c:v>1959.0890049299999</c:v>
                </c:pt>
                <c:pt idx="247">
                  <c:v>1956.6365269299999</c:v>
                </c:pt>
                <c:pt idx="248">
                  <c:v>1953.70096276</c:v>
                </c:pt>
                <c:pt idx="249">
                  <c:v>1953.70096276</c:v>
                </c:pt>
                <c:pt idx="250">
                  <c:v>1950.8963851799999</c:v>
                </c:pt>
                <c:pt idx="251">
                  <c:v>1948.1003869399999</c:v>
                </c:pt>
                <c:pt idx="252">
                  <c:v>1947.33097613</c:v>
                </c:pt>
                <c:pt idx="253">
                  <c:v>1947.22109125</c:v>
                </c:pt>
                <c:pt idx="254">
                  <c:v>1947.67692285</c:v>
                </c:pt>
                <c:pt idx="255">
                  <c:v>1948.0681494199998</c:v>
                </c:pt>
                <c:pt idx="256">
                  <c:v>1947.95484147</c:v>
                </c:pt>
                <c:pt idx="257">
                  <c:v>1946.9420027199999</c:v>
                </c:pt>
                <c:pt idx="258">
                  <c:v>1946.7092339599999</c:v>
                </c:pt>
                <c:pt idx="259">
                  <c:v>1947.3359157499999</c:v>
                </c:pt>
                <c:pt idx="260">
                  <c:v>1949.7897369799998</c:v>
                </c:pt>
                <c:pt idx="261">
                  <c:v>1952.11040512</c:v>
                </c:pt>
                <c:pt idx="262">
                  <c:v>1954.00630927</c:v>
                </c:pt>
                <c:pt idx="263">
                  <c:v>1955.53321514</c:v>
                </c:pt>
                <c:pt idx="264">
                  <c:v>1949.1023065299999</c:v>
                </c:pt>
                <c:pt idx="265">
                  <c:v>1942.5580899699999</c:v>
                </c:pt>
                <c:pt idx="266">
                  <c:v>1942.5580899699999</c:v>
                </c:pt>
                <c:pt idx="267">
                  <c:v>1938.4282643399999</c:v>
                </c:pt>
                <c:pt idx="268">
                  <c:v>1938.4282643399999</c:v>
                </c:pt>
                <c:pt idx="269">
                  <c:v>1935.8920294499999</c:v>
                </c:pt>
                <c:pt idx="270">
                  <c:v>1934.8811405499998</c:v>
                </c:pt>
                <c:pt idx="271">
                  <c:v>1934.53480386</c:v>
                </c:pt>
                <c:pt idx="272">
                  <c:v>1934.1915435999999</c:v>
                </c:pt>
                <c:pt idx="273">
                  <c:v>1934.38336551</c:v>
                </c:pt>
                <c:pt idx="274">
                  <c:v>1934.70127772</c:v>
                </c:pt>
                <c:pt idx="275">
                  <c:v>1937.0765849899999</c:v>
                </c:pt>
                <c:pt idx="276">
                  <c:v>1941.7651942999998</c:v>
                </c:pt>
                <c:pt idx="277">
                  <c:v>1948.33432561</c:v>
                </c:pt>
                <c:pt idx="278">
                  <c:v>1949.33845503</c:v>
                </c:pt>
                <c:pt idx="279">
                  <c:v>1941.27660522</c:v>
                </c:pt>
                <c:pt idx="280">
                  <c:v>1933.8699050099999</c:v>
                </c:pt>
                <c:pt idx="281">
                  <c:v>1929.5069639799999</c:v>
                </c:pt>
                <c:pt idx="282">
                  <c:v>1926.4444429099999</c:v>
                </c:pt>
                <c:pt idx="283">
                  <c:v>1922.8291176999999</c:v>
                </c:pt>
                <c:pt idx="284">
                  <c:v>1921.5007932199999</c:v>
                </c:pt>
                <c:pt idx="285">
                  <c:v>1919.8763081899999</c:v>
                </c:pt>
                <c:pt idx="286">
                  <c:v>1918.8674558</c:v>
                </c:pt>
                <c:pt idx="287">
                  <c:v>1919.4716059899999</c:v>
                </c:pt>
                <c:pt idx="288">
                  <c:v>1920.4418080200001</c:v>
                </c:pt>
                <c:pt idx="289">
                  <c:v>1921.4856710499998</c:v>
                </c:pt>
                <c:pt idx="290">
                  <c:v>1922.6773760399999</c:v>
                </c:pt>
                <c:pt idx="291">
                  <c:v>1921.39524134</c:v>
                </c:pt>
                <c:pt idx="292">
                  <c:v>1919.21422579</c:v>
                </c:pt>
                <c:pt idx="293">
                  <c:v>1919.20707634</c:v>
                </c:pt>
                <c:pt idx="294">
                  <c:v>1921.0765491899999</c:v>
                </c:pt>
                <c:pt idx="295">
                  <c:v>1924.00084756</c:v>
                </c:pt>
                <c:pt idx="296">
                  <c:v>1928.8646400599998</c:v>
                </c:pt>
                <c:pt idx="297">
                  <c:v>1927.3727014999999</c:v>
                </c:pt>
                <c:pt idx="298">
                  <c:v>1927.3727014999999</c:v>
                </c:pt>
                <c:pt idx="299">
                  <c:v>1927.3727014999999</c:v>
                </c:pt>
                <c:pt idx="300">
                  <c:v>1924.4878767599998</c:v>
                </c:pt>
                <c:pt idx="301">
                  <c:v>1928.77763342</c:v>
                </c:pt>
                <c:pt idx="302">
                  <c:v>1933.66911379</c:v>
                </c:pt>
                <c:pt idx="303">
                  <c:v>1934.4516969199999</c:v>
                </c:pt>
                <c:pt idx="304">
                  <c:v>1931.6290940599999</c:v>
                </c:pt>
                <c:pt idx="305">
                  <c:v>1928.3136557799999</c:v>
                </c:pt>
                <c:pt idx="306">
                  <c:v>1924.6411782999999</c:v>
                </c:pt>
                <c:pt idx="307">
                  <c:v>1921.85003302</c:v>
                </c:pt>
                <c:pt idx="308">
                  <c:v>1919.36410426</c:v>
                </c:pt>
                <c:pt idx="309">
                  <c:v>1918.03257336</c:v>
                </c:pt>
                <c:pt idx="310">
                  <c:v>1916.9346778199999</c:v>
                </c:pt>
                <c:pt idx="311">
                  <c:v>1916.6539427499999</c:v>
                </c:pt>
                <c:pt idx="312">
                  <c:v>1916.91565595</c:v>
                </c:pt>
                <c:pt idx="313">
                  <c:v>1917.51854957</c:v>
                </c:pt>
                <c:pt idx="314">
                  <c:v>1917.6068127799999</c:v>
                </c:pt>
                <c:pt idx="315">
                  <c:v>1917.2794113</c:v>
                </c:pt>
                <c:pt idx="316">
                  <c:v>1917.21710276</c:v>
                </c:pt>
                <c:pt idx="317">
                  <c:v>1917.7496717899999</c:v>
                </c:pt>
                <c:pt idx="318">
                  <c:v>1918.6820467299999</c:v>
                </c:pt>
                <c:pt idx="319">
                  <c:v>1918.6820467299999</c:v>
                </c:pt>
                <c:pt idx="320">
                  <c:v>1920.9045290899999</c:v>
                </c:pt>
                <c:pt idx="321">
                  <c:v>1920.9045290899999</c:v>
                </c:pt>
                <c:pt idx="322">
                  <c:v>1923.4197055999998</c:v>
                </c:pt>
                <c:pt idx="323">
                  <c:v>1926.1130983999999</c:v>
                </c:pt>
                <c:pt idx="324">
                  <c:v>1931.78529871</c:v>
                </c:pt>
                <c:pt idx="325">
                  <c:v>1935.4497168099999</c:v>
                </c:pt>
                <c:pt idx="326">
                  <c:v>1927.8367224699998</c:v>
                </c:pt>
                <c:pt idx="327">
                  <c:v>1927.8367224699998</c:v>
                </c:pt>
                <c:pt idx="328">
                  <c:v>1927.8367224699998</c:v>
                </c:pt>
                <c:pt idx="329">
                  <c:v>1925.31747294</c:v>
                </c:pt>
                <c:pt idx="330">
                  <c:v>1924.2646839299998</c:v>
                </c:pt>
                <c:pt idx="331">
                  <c:v>1924.2646839299998</c:v>
                </c:pt>
                <c:pt idx="332">
                  <c:v>1923.86136829</c:v>
                </c:pt>
                <c:pt idx="333">
                  <c:v>1923.86136829</c:v>
                </c:pt>
                <c:pt idx="334">
                  <c:v>1923.1983759599998</c:v>
                </c:pt>
                <c:pt idx="335">
                  <c:v>1920.9826097499999</c:v>
                </c:pt>
                <c:pt idx="336">
                  <c:v>1920.6549916199999</c:v>
                </c:pt>
                <c:pt idx="337">
                  <c:v>1922.3520110699999</c:v>
                </c:pt>
                <c:pt idx="338">
                  <c:v>1921.9368663399998</c:v>
                </c:pt>
                <c:pt idx="339">
                  <c:v>1920.4449711099999</c:v>
                </c:pt>
                <c:pt idx="340">
                  <c:v>1918.8450975199999</c:v>
                </c:pt>
                <c:pt idx="341">
                  <c:v>1917.3872596699998</c:v>
                </c:pt>
                <c:pt idx="342">
                  <c:v>1916.38910979</c:v>
                </c:pt>
                <c:pt idx="343">
                  <c:v>1915.76429119</c:v>
                </c:pt>
                <c:pt idx="344">
                  <c:v>1915.3085462499998</c:v>
                </c:pt>
                <c:pt idx="345">
                  <c:v>1916.04433298</c:v>
                </c:pt>
                <c:pt idx="346">
                  <c:v>1917.5073270999999</c:v>
                </c:pt>
                <c:pt idx="347">
                  <c:v>1918.8649859899999</c:v>
                </c:pt>
                <c:pt idx="348">
                  <c:v>1921.6951715999999</c:v>
                </c:pt>
                <c:pt idx="349">
                  <c:v>1924.63272895</c:v>
                </c:pt>
                <c:pt idx="350">
                  <c:v>1925.9321956499998</c:v>
                </c:pt>
                <c:pt idx="351">
                  <c:v>1926.9671760299998</c:v>
                </c:pt>
                <c:pt idx="352">
                  <c:v>1928.9274685599999</c:v>
                </c:pt>
                <c:pt idx="353">
                  <c:v>1932.0129545299999</c:v>
                </c:pt>
                <c:pt idx="354">
                  <c:v>1930.12125339</c:v>
                </c:pt>
                <c:pt idx="355">
                  <c:v>1929.7573247199998</c:v>
                </c:pt>
                <c:pt idx="356">
                  <c:v>1927.56001709</c:v>
                </c:pt>
                <c:pt idx="357">
                  <c:v>1925.32930203</c:v>
                </c:pt>
                <c:pt idx="358">
                  <c:v>1924.08334788</c:v>
                </c:pt>
                <c:pt idx="359">
                  <c:v>1922.6718297999998</c:v>
                </c:pt>
                <c:pt idx="360">
                  <c:v>1921.1380777899999</c:v>
                </c:pt>
                <c:pt idx="361">
                  <c:v>1923.7386577299999</c:v>
                </c:pt>
                <c:pt idx="362">
                  <c:v>1925.4843801</c:v>
                </c:pt>
                <c:pt idx="363">
                  <c:v>1926.3745516199999</c:v>
                </c:pt>
                <c:pt idx="364">
                  <c:v>1927.1718669499999</c:v>
                </c:pt>
                <c:pt idx="365">
                  <c:v>1929.8967606599999</c:v>
                </c:pt>
                <c:pt idx="366">
                  <c:v>1931.31872127</c:v>
                </c:pt>
                <c:pt idx="367">
                  <c:v>1932.5814441299999</c:v>
                </c:pt>
                <c:pt idx="368">
                  <c:v>1933.2433532099999</c:v>
                </c:pt>
                <c:pt idx="369">
                  <c:v>1931.7076513499999</c:v>
                </c:pt>
                <c:pt idx="370">
                  <c:v>1929.00550589</c:v>
                </c:pt>
                <c:pt idx="371">
                  <c:v>1926.7561155999999</c:v>
                </c:pt>
                <c:pt idx="372">
                  <c:v>1924.6374519199999</c:v>
                </c:pt>
                <c:pt idx="373">
                  <c:v>1924.6374519199999</c:v>
                </c:pt>
                <c:pt idx="374">
                  <c:v>1924.6374519199999</c:v>
                </c:pt>
                <c:pt idx="375">
                  <c:v>1922.7701455699998</c:v>
                </c:pt>
                <c:pt idx="376">
                  <c:v>1921.5907462999999</c:v>
                </c:pt>
                <c:pt idx="377">
                  <c:v>1922.47883798</c:v>
                </c:pt>
                <c:pt idx="378">
                  <c:v>1923.76729886</c:v>
                </c:pt>
                <c:pt idx="379">
                  <c:v>1924.6437781</c:v>
                </c:pt>
                <c:pt idx="380">
                  <c:v>1925.6404114299999</c:v>
                </c:pt>
                <c:pt idx="381">
                  <c:v>1925.3186428499998</c:v>
                </c:pt>
                <c:pt idx="382">
                  <c:v>1923.72279895</c:v>
                </c:pt>
                <c:pt idx="383">
                  <c:v>1922.27180724</c:v>
                </c:pt>
                <c:pt idx="384">
                  <c:v>1921.34753501</c:v>
                </c:pt>
                <c:pt idx="385">
                  <c:v>1919.75892722</c:v>
                </c:pt>
                <c:pt idx="386">
                  <c:v>1917.49623462</c:v>
                </c:pt>
                <c:pt idx="387">
                  <c:v>1917.1379821799999</c:v>
                </c:pt>
                <c:pt idx="388">
                  <c:v>1915.7817965099998</c:v>
                </c:pt>
                <c:pt idx="389">
                  <c:v>1915.1279468099999</c:v>
                </c:pt>
                <c:pt idx="390">
                  <c:v>1915.1279468099999</c:v>
                </c:pt>
                <c:pt idx="391">
                  <c:v>1914.6280052699999</c:v>
                </c:pt>
                <c:pt idx="392">
                  <c:v>1914.6280052699999</c:v>
                </c:pt>
                <c:pt idx="393">
                  <c:v>1915.2646962899998</c:v>
                </c:pt>
                <c:pt idx="394">
                  <c:v>1915.9106599299998</c:v>
                </c:pt>
                <c:pt idx="395">
                  <c:v>1914.8592141499998</c:v>
                </c:pt>
                <c:pt idx="396">
                  <c:v>1912.5213006699998</c:v>
                </c:pt>
                <c:pt idx="397">
                  <c:v>1910.9951314099999</c:v>
                </c:pt>
                <c:pt idx="398">
                  <c:v>1908.8962262099999</c:v>
                </c:pt>
                <c:pt idx="399">
                  <c:v>1907.3912019899999</c:v>
                </c:pt>
                <c:pt idx="400">
                  <c:v>1904.9814907</c:v>
                </c:pt>
                <c:pt idx="401">
                  <c:v>1902.55817379</c:v>
                </c:pt>
                <c:pt idx="402">
                  <c:v>1898.5456858</c:v>
                </c:pt>
                <c:pt idx="403">
                  <c:v>1895.65388493</c:v>
                </c:pt>
                <c:pt idx="404">
                  <c:v>1893.8119699599999</c:v>
                </c:pt>
                <c:pt idx="405">
                  <c:v>1893.8119699599999</c:v>
                </c:pt>
                <c:pt idx="406">
                  <c:v>1891.39684242</c:v>
                </c:pt>
                <c:pt idx="407">
                  <c:v>1889.2229763199998</c:v>
                </c:pt>
                <c:pt idx="408">
                  <c:v>1887.4976190499999</c:v>
                </c:pt>
                <c:pt idx="409">
                  <c:v>1887.4976190499999</c:v>
                </c:pt>
                <c:pt idx="410">
                  <c:v>1886.72647504</c:v>
                </c:pt>
                <c:pt idx="411">
                  <c:v>1886.3180897899999</c:v>
                </c:pt>
                <c:pt idx="412">
                  <c:v>1886.1641382999999</c:v>
                </c:pt>
                <c:pt idx="413">
                  <c:v>1886.1581587599999</c:v>
                </c:pt>
                <c:pt idx="414">
                  <c:v>1885.72100239</c:v>
                </c:pt>
                <c:pt idx="415">
                  <c:v>1885.15502593</c:v>
                </c:pt>
                <c:pt idx="416">
                  <c:v>1885.5446059599999</c:v>
                </c:pt>
                <c:pt idx="417">
                  <c:v>1886.24217563</c:v>
                </c:pt>
                <c:pt idx="418">
                  <c:v>1887.9865547699999</c:v>
                </c:pt>
                <c:pt idx="419">
                  <c:v>1890.3046664399999</c:v>
                </c:pt>
                <c:pt idx="420">
                  <c:v>1892.6108623599998</c:v>
                </c:pt>
                <c:pt idx="421">
                  <c:v>1894.37140359</c:v>
                </c:pt>
                <c:pt idx="422">
                  <c:v>1896.20725236</c:v>
                </c:pt>
                <c:pt idx="423">
                  <c:v>1898.7248120199999</c:v>
                </c:pt>
                <c:pt idx="424">
                  <c:v>1901.3143861399999</c:v>
                </c:pt>
                <c:pt idx="425">
                  <c:v>1904.6841169099998</c:v>
                </c:pt>
                <c:pt idx="426">
                  <c:v>1907.50684976</c:v>
                </c:pt>
                <c:pt idx="427">
                  <c:v>1909.0756124099998</c:v>
                </c:pt>
                <c:pt idx="428">
                  <c:v>1911.2851390999999</c:v>
                </c:pt>
                <c:pt idx="429">
                  <c:v>1911.7390208499999</c:v>
                </c:pt>
                <c:pt idx="430">
                  <c:v>1914.48432299</c:v>
                </c:pt>
                <c:pt idx="431">
                  <c:v>1914.29445093</c:v>
                </c:pt>
                <c:pt idx="432">
                  <c:v>1913.9969471499999</c:v>
                </c:pt>
                <c:pt idx="433">
                  <c:v>1912.1658646799999</c:v>
                </c:pt>
                <c:pt idx="434">
                  <c:v>1911.9909414699998</c:v>
                </c:pt>
                <c:pt idx="435">
                  <c:v>1911.8748604</c:v>
                </c:pt>
                <c:pt idx="436">
                  <c:v>1911.1051462799999</c:v>
                </c:pt>
                <c:pt idx="437">
                  <c:v>1910.4356544499999</c:v>
                </c:pt>
                <c:pt idx="438">
                  <c:v>1910.50987874</c:v>
                </c:pt>
                <c:pt idx="439">
                  <c:v>1910.58826271</c:v>
                </c:pt>
                <c:pt idx="440">
                  <c:v>1910.67383946</c:v>
                </c:pt>
                <c:pt idx="441">
                  <c:v>1911.11732201</c:v>
                </c:pt>
                <c:pt idx="442">
                  <c:v>1912.3285254999998</c:v>
                </c:pt>
                <c:pt idx="443">
                  <c:v>1913.5896018199999</c:v>
                </c:pt>
                <c:pt idx="444">
                  <c:v>1914.8788859699998</c:v>
                </c:pt>
                <c:pt idx="445">
                  <c:v>1916.1858054299998</c:v>
                </c:pt>
                <c:pt idx="446">
                  <c:v>1917.1005017299999</c:v>
                </c:pt>
                <c:pt idx="447">
                  <c:v>1917.34102656</c:v>
                </c:pt>
                <c:pt idx="448">
                  <c:v>1917.61235902</c:v>
                </c:pt>
                <c:pt idx="449">
                  <c:v>1917.90609309</c:v>
                </c:pt>
                <c:pt idx="450">
                  <c:v>1917.5650859899999</c:v>
                </c:pt>
                <c:pt idx="451">
                  <c:v>1916.6558926</c:v>
                </c:pt>
                <c:pt idx="452">
                  <c:v>1916.0177283599999</c:v>
                </c:pt>
                <c:pt idx="453">
                  <c:v>1915.1783395999998</c:v>
                </c:pt>
                <c:pt idx="454">
                  <c:v>1914.4437661099998</c:v>
                </c:pt>
                <c:pt idx="455">
                  <c:v>1913.7750975500001</c:v>
                </c:pt>
                <c:pt idx="456">
                  <c:v>1912.9943776099999</c:v>
                </c:pt>
                <c:pt idx="457">
                  <c:v>1912.9943776099999</c:v>
                </c:pt>
                <c:pt idx="458">
                  <c:v>1911.9018983199999</c:v>
                </c:pt>
                <c:pt idx="459">
                  <c:v>1910.50814554</c:v>
                </c:pt>
                <c:pt idx="460">
                  <c:v>1910.1409671199999</c:v>
                </c:pt>
                <c:pt idx="461">
                  <c:v>1909.2201179599999</c:v>
                </c:pt>
                <c:pt idx="462">
                  <c:v>1907.6954652499999</c:v>
                </c:pt>
                <c:pt idx="463">
                  <c:v>1907.3658539399999</c:v>
                </c:pt>
                <c:pt idx="464">
                  <c:v>1906.00143557</c:v>
                </c:pt>
                <c:pt idx="465">
                  <c:v>1906.00143557</c:v>
                </c:pt>
                <c:pt idx="466">
                  <c:v>1901.6680455999999</c:v>
                </c:pt>
                <c:pt idx="467">
                  <c:v>1900.8229372799999</c:v>
                </c:pt>
                <c:pt idx="468">
                  <c:v>1895.8036767399999</c:v>
                </c:pt>
                <c:pt idx="469">
                  <c:v>1893.44123848</c:v>
                </c:pt>
                <c:pt idx="470">
                  <c:v>1893.44123848</c:v>
                </c:pt>
                <c:pt idx="471">
                  <c:v>1891.97568789</c:v>
                </c:pt>
                <c:pt idx="472">
                  <c:v>1891.97568789</c:v>
                </c:pt>
                <c:pt idx="473">
                  <c:v>1890.1831257899998</c:v>
                </c:pt>
                <c:pt idx="474">
                  <c:v>1888.5871519</c:v>
                </c:pt>
                <c:pt idx="475">
                  <c:v>1887.07562818</c:v>
                </c:pt>
                <c:pt idx="476">
                  <c:v>1887.1318705199999</c:v>
                </c:pt>
                <c:pt idx="477">
                  <c:v>1886.70892639</c:v>
                </c:pt>
                <c:pt idx="478">
                  <c:v>1886.70892639</c:v>
                </c:pt>
                <c:pt idx="479">
                  <c:v>1886.4109893099999</c:v>
                </c:pt>
                <c:pt idx="480">
                  <c:v>1886.4109893099999</c:v>
                </c:pt>
                <c:pt idx="481">
                  <c:v>1887.80859846</c:v>
                </c:pt>
                <c:pt idx="482">
                  <c:v>1886.0055505</c:v>
                </c:pt>
                <c:pt idx="483">
                  <c:v>1884.3738726899999</c:v>
                </c:pt>
                <c:pt idx="484">
                  <c:v>1883.9881490299999</c:v>
                </c:pt>
                <c:pt idx="485">
                  <c:v>1884.31641711</c:v>
                </c:pt>
                <c:pt idx="486">
                  <c:v>1884.12312198</c:v>
                </c:pt>
                <c:pt idx="487">
                  <c:v>1883.4707455</c:v>
                </c:pt>
                <c:pt idx="488">
                  <c:v>1882.4422212899999</c:v>
                </c:pt>
                <c:pt idx="489">
                  <c:v>1881.5428204799998</c:v>
                </c:pt>
                <c:pt idx="490">
                  <c:v>1880.5346613699999</c:v>
                </c:pt>
                <c:pt idx="491">
                  <c:v>1879.6687979799999</c:v>
                </c:pt>
                <c:pt idx="492">
                  <c:v>1878.5800884</c:v>
                </c:pt>
                <c:pt idx="493">
                  <c:v>1877.0298709899998</c:v>
                </c:pt>
                <c:pt idx="494">
                  <c:v>1875.5952146899999</c:v>
                </c:pt>
                <c:pt idx="495">
                  <c:v>1874.2765528</c:v>
                </c:pt>
                <c:pt idx="496">
                  <c:v>1874.0040937599999</c:v>
                </c:pt>
                <c:pt idx="497">
                  <c:v>1874.2159341299998</c:v>
                </c:pt>
                <c:pt idx="498">
                  <c:v>1875.32934181</c:v>
                </c:pt>
                <c:pt idx="499">
                  <c:v>1876.9559500099999</c:v>
                </c:pt>
                <c:pt idx="500">
                  <c:v>1878.74487239</c:v>
                </c:pt>
                <c:pt idx="501">
                  <c:v>1880.69680223</c:v>
                </c:pt>
                <c:pt idx="502">
                  <c:v>1882.6288869299999</c:v>
                </c:pt>
                <c:pt idx="503">
                  <c:v>1884.0422248699999</c:v>
                </c:pt>
                <c:pt idx="504">
                  <c:v>1884.7740252399999</c:v>
                </c:pt>
                <c:pt idx="505">
                  <c:v>1885.36942277</c:v>
                </c:pt>
                <c:pt idx="506">
                  <c:v>1885.5855094799999</c:v>
                </c:pt>
                <c:pt idx="507">
                  <c:v>1885.6462581399999</c:v>
                </c:pt>
                <c:pt idx="508">
                  <c:v>1885.9018618099999</c:v>
                </c:pt>
                <c:pt idx="509">
                  <c:v>1886.56000118</c:v>
                </c:pt>
                <c:pt idx="510">
                  <c:v>1886.56000118</c:v>
                </c:pt>
                <c:pt idx="511">
                  <c:v>1887.6463276099998</c:v>
                </c:pt>
                <c:pt idx="512">
                  <c:v>1887.6463276099998</c:v>
                </c:pt>
                <c:pt idx="513">
                  <c:v>1888.7276710899998</c:v>
                </c:pt>
                <c:pt idx="514">
                  <c:v>1889.7791602</c:v>
                </c:pt>
                <c:pt idx="515">
                  <c:v>1890.8556073899999</c:v>
                </c:pt>
                <c:pt idx="516">
                  <c:v>1891.4314197599999</c:v>
                </c:pt>
                <c:pt idx="517">
                  <c:v>1891.99085339</c:v>
                </c:pt>
                <c:pt idx="518">
                  <c:v>1893.0257471099999</c:v>
                </c:pt>
                <c:pt idx="519">
                  <c:v>1894.11844305</c:v>
                </c:pt>
                <c:pt idx="520">
                  <c:v>1897.0729857599999</c:v>
                </c:pt>
                <c:pt idx="521">
                  <c:v>1898.77516148</c:v>
                </c:pt>
                <c:pt idx="522">
                  <c:v>1900.2018017299999</c:v>
                </c:pt>
                <c:pt idx="523">
                  <c:v>1900.2007618099999</c:v>
                </c:pt>
                <c:pt idx="524">
                  <c:v>1900.01509276</c:v>
                </c:pt>
                <c:pt idx="525">
                  <c:v>1899.10022314</c:v>
                </c:pt>
                <c:pt idx="526">
                  <c:v>1897.1186989099999</c:v>
                </c:pt>
                <c:pt idx="527">
                  <c:v>1895.6759832299999</c:v>
                </c:pt>
                <c:pt idx="528">
                  <c:v>1894.33037008</c:v>
                </c:pt>
                <c:pt idx="529">
                  <c:v>1893.0792596599999</c:v>
                </c:pt>
                <c:pt idx="530">
                  <c:v>1892.0559783799999</c:v>
                </c:pt>
                <c:pt idx="531">
                  <c:v>1890.9360712</c:v>
                </c:pt>
                <c:pt idx="532">
                  <c:v>1890.9360712</c:v>
                </c:pt>
                <c:pt idx="533">
                  <c:v>1889.8149507799999</c:v>
                </c:pt>
                <c:pt idx="534">
                  <c:v>1889.8149507799999</c:v>
                </c:pt>
                <c:pt idx="535">
                  <c:v>1888.70032986</c:v>
                </c:pt>
                <c:pt idx="536">
                  <c:v>1888.33934763</c:v>
                </c:pt>
                <c:pt idx="537">
                  <c:v>1889.5111208199999</c:v>
                </c:pt>
                <c:pt idx="538">
                  <c:v>1890.43972605</c:v>
                </c:pt>
                <c:pt idx="539">
                  <c:v>1891.6057796799998</c:v>
                </c:pt>
                <c:pt idx="540">
                  <c:v>1892.5339082799999</c:v>
                </c:pt>
                <c:pt idx="541">
                  <c:v>1893.3479056599999</c:v>
                </c:pt>
                <c:pt idx="542">
                  <c:v>1893.9173918499998</c:v>
                </c:pt>
                <c:pt idx="543">
                  <c:v>1894.33777951</c:v>
                </c:pt>
                <c:pt idx="544">
                  <c:v>1894.4595368099999</c:v>
                </c:pt>
                <c:pt idx="545">
                  <c:v>1894.0271034099999</c:v>
                </c:pt>
                <c:pt idx="546">
                  <c:v>1892.3888394399999</c:v>
                </c:pt>
                <c:pt idx="547">
                  <c:v>1891.0183548699999</c:v>
                </c:pt>
                <c:pt idx="548">
                  <c:v>1888.9949305299999</c:v>
                </c:pt>
                <c:pt idx="549">
                  <c:v>1887.10803902</c:v>
                </c:pt>
                <c:pt idx="550">
                  <c:v>1885.31937662</c:v>
                </c:pt>
                <c:pt idx="551">
                  <c:v>1883.66568717</c:v>
                </c:pt>
                <c:pt idx="552">
                  <c:v>1883.66568717</c:v>
                </c:pt>
                <c:pt idx="553">
                  <c:v>1881.69486545</c:v>
                </c:pt>
                <c:pt idx="554">
                  <c:v>1881.69486545</c:v>
                </c:pt>
                <c:pt idx="555">
                  <c:v>1879.9581557199999</c:v>
                </c:pt>
                <c:pt idx="556">
                  <c:v>1878.0047526599999</c:v>
                </c:pt>
                <c:pt idx="557">
                  <c:v>1876.09047659</c:v>
                </c:pt>
                <c:pt idx="558">
                  <c:v>1875.2040747799999</c:v>
                </c:pt>
                <c:pt idx="559">
                  <c:v>1874.15618206</c:v>
                </c:pt>
                <c:pt idx="560">
                  <c:v>1873.4937096899998</c:v>
                </c:pt>
                <c:pt idx="561">
                  <c:v>1872.70189727</c:v>
                </c:pt>
                <c:pt idx="562">
                  <c:v>1872.1250016499998</c:v>
                </c:pt>
                <c:pt idx="563">
                  <c:v>1871.7424410799999</c:v>
                </c:pt>
                <c:pt idx="564">
                  <c:v>1871.8280178299999</c:v>
                </c:pt>
                <c:pt idx="565">
                  <c:v>1872.35196419</c:v>
                </c:pt>
                <c:pt idx="566">
                  <c:v>1873.3589533899999</c:v>
                </c:pt>
                <c:pt idx="567">
                  <c:v>1874.5574611899999</c:v>
                </c:pt>
                <c:pt idx="568">
                  <c:v>1875.6632427899999</c:v>
                </c:pt>
                <c:pt idx="569">
                  <c:v>1877.2564868899999</c:v>
                </c:pt>
                <c:pt idx="570">
                  <c:v>1878.6532727700001</c:v>
                </c:pt>
                <c:pt idx="571">
                  <c:v>1879.9089328399998</c:v>
                </c:pt>
                <c:pt idx="572">
                  <c:v>1881.1369917</c:v>
                </c:pt>
                <c:pt idx="573">
                  <c:v>1882.39581486</c:v>
                </c:pt>
                <c:pt idx="574">
                  <c:v>1883.66300071</c:v>
                </c:pt>
                <c:pt idx="575">
                  <c:v>1885.5816964399999</c:v>
                </c:pt>
                <c:pt idx="576">
                  <c:v>1884.25367527</c:v>
                </c:pt>
                <c:pt idx="577">
                  <c:v>1883.99716167</c:v>
                </c:pt>
                <c:pt idx="578">
                  <c:v>1884.98031937</c:v>
                </c:pt>
                <c:pt idx="579">
                  <c:v>1885.77889127</c:v>
                </c:pt>
                <c:pt idx="580">
                  <c:v>1886.4899799</c:v>
                </c:pt>
                <c:pt idx="581">
                  <c:v>1887.26879332</c:v>
                </c:pt>
                <c:pt idx="582">
                  <c:v>1888.1542852</c:v>
                </c:pt>
                <c:pt idx="583">
                  <c:v>1889.35664937</c:v>
                </c:pt>
                <c:pt idx="584">
                  <c:v>1890.2384582</c:v>
                </c:pt>
                <c:pt idx="585">
                  <c:v>1891.7846025899998</c:v>
                </c:pt>
                <c:pt idx="586">
                  <c:v>1890.1266667999998</c:v>
                </c:pt>
                <c:pt idx="587">
                  <c:v>1886.77907766</c:v>
                </c:pt>
                <c:pt idx="588">
                  <c:v>1884.3341824099998</c:v>
                </c:pt>
                <c:pt idx="589">
                  <c:v>1881.2679349599998</c:v>
                </c:pt>
                <c:pt idx="590">
                  <c:v>1879.0434160899999</c:v>
                </c:pt>
                <c:pt idx="591">
                  <c:v>1877.4713603599998</c:v>
                </c:pt>
                <c:pt idx="592">
                  <c:v>1876.8588474799999</c:v>
                </c:pt>
                <c:pt idx="593">
                  <c:v>1876.8588474799999</c:v>
                </c:pt>
                <c:pt idx="594">
                  <c:v>1876.73990663</c:v>
                </c:pt>
                <c:pt idx="595">
                  <c:v>1876.73990663</c:v>
                </c:pt>
                <c:pt idx="596">
                  <c:v>1877.0891030999999</c:v>
                </c:pt>
                <c:pt idx="597">
                  <c:v>1877.75798831</c:v>
                </c:pt>
                <c:pt idx="598">
                  <c:v>1878.52284947</c:v>
                </c:pt>
                <c:pt idx="599">
                  <c:v>1879.3526623</c:v>
                </c:pt>
                <c:pt idx="600">
                  <c:v>1880.28014095</c:v>
                </c:pt>
                <c:pt idx="601">
                  <c:v>1881.2193187</c:v>
                </c:pt>
                <c:pt idx="602">
                  <c:v>1882.4561735499999</c:v>
                </c:pt>
                <c:pt idx="603">
                  <c:v>1881.66137136</c:v>
                </c:pt>
                <c:pt idx="604">
                  <c:v>1881.1645062499999</c:v>
                </c:pt>
                <c:pt idx="605">
                  <c:v>1880.6443296</c:v>
                </c:pt>
                <c:pt idx="606">
                  <c:v>1880.5673321899999</c:v>
                </c:pt>
                <c:pt idx="607">
                  <c:v>1880.83827468</c:v>
                </c:pt>
                <c:pt idx="608">
                  <c:v>1881.52228206</c:v>
                </c:pt>
                <c:pt idx="609">
                  <c:v>1882.66658403</c:v>
                </c:pt>
                <c:pt idx="610">
                  <c:v>1883.3941380599999</c:v>
                </c:pt>
                <c:pt idx="611">
                  <c:v>1883.8469798900001</c:v>
                </c:pt>
                <c:pt idx="612">
                  <c:v>1884.5042959899999</c:v>
                </c:pt>
                <c:pt idx="613">
                  <c:v>1884.7931770999999</c:v>
                </c:pt>
                <c:pt idx="614">
                  <c:v>1885.87109751</c:v>
                </c:pt>
                <c:pt idx="615">
                  <c:v>1886.6929376199998</c:v>
                </c:pt>
                <c:pt idx="616">
                  <c:v>1886.7282515699999</c:v>
                </c:pt>
                <c:pt idx="617">
                  <c:v>1886.5177977599999</c:v>
                </c:pt>
                <c:pt idx="618">
                  <c:v>1886.8530853</c:v>
                </c:pt>
                <c:pt idx="619">
                  <c:v>1886.95495413</c:v>
                </c:pt>
                <c:pt idx="620">
                  <c:v>1886.77374807</c:v>
                </c:pt>
                <c:pt idx="621">
                  <c:v>1886.4666683599999</c:v>
                </c:pt>
                <c:pt idx="622">
                  <c:v>1885.5765401699998</c:v>
                </c:pt>
                <c:pt idx="623">
                  <c:v>1884.94747523</c:v>
                </c:pt>
                <c:pt idx="624">
                  <c:v>1884.72189925</c:v>
                </c:pt>
                <c:pt idx="625">
                  <c:v>1884.9560545699999</c:v>
                </c:pt>
                <c:pt idx="626">
                  <c:v>1885.2393027799999</c:v>
                </c:pt>
                <c:pt idx="627">
                  <c:v>1885.6401486099999</c:v>
                </c:pt>
                <c:pt idx="628">
                  <c:v>1886.0744451999999</c:v>
                </c:pt>
                <c:pt idx="629">
                  <c:v>1886.2056051099999</c:v>
                </c:pt>
                <c:pt idx="630">
                  <c:v>1886.29651145</c:v>
                </c:pt>
                <c:pt idx="631">
                  <c:v>1886.2881920899999</c:v>
                </c:pt>
                <c:pt idx="632">
                  <c:v>1886.2881920899999</c:v>
                </c:pt>
                <c:pt idx="633">
                  <c:v>1886.5930186399999</c:v>
                </c:pt>
                <c:pt idx="634">
                  <c:v>1886.98805825</c:v>
                </c:pt>
                <c:pt idx="635">
                  <c:v>1887.2551443699999</c:v>
                </c:pt>
                <c:pt idx="636">
                  <c:v>1887.1998986199999</c:v>
                </c:pt>
                <c:pt idx="637">
                  <c:v>1887.0469437199999</c:v>
                </c:pt>
                <c:pt idx="638">
                  <c:v>1886.0345815999999</c:v>
                </c:pt>
                <c:pt idx="639">
                  <c:v>1885.79617994</c:v>
                </c:pt>
                <c:pt idx="640">
                  <c:v>1890.9944800399999</c:v>
                </c:pt>
                <c:pt idx="641">
                  <c:v>1886.76048909</c:v>
                </c:pt>
                <c:pt idx="642">
                  <c:v>1887.09737984</c:v>
                </c:pt>
                <c:pt idx="643">
                  <c:v>1888.5889284299999</c:v>
                </c:pt>
                <c:pt idx="644">
                  <c:v>1887.68939763</c:v>
                </c:pt>
                <c:pt idx="645">
                  <c:v>1885.7781546599999</c:v>
                </c:pt>
                <c:pt idx="646">
                  <c:v>1884.9006788299998</c:v>
                </c:pt>
                <c:pt idx="647">
                  <c:v>1884.1166224799999</c:v>
                </c:pt>
                <c:pt idx="648">
                  <c:v>1882.89614637</c:v>
                </c:pt>
                <c:pt idx="649">
                  <c:v>1881.4569837499998</c:v>
                </c:pt>
                <c:pt idx="650">
                  <c:v>1881.4569837499998</c:v>
                </c:pt>
                <c:pt idx="651">
                  <c:v>1879.9947262399999</c:v>
                </c:pt>
                <c:pt idx="652">
                  <c:v>1878.9978762599999</c:v>
                </c:pt>
                <c:pt idx="653">
                  <c:v>1878.3642616699999</c:v>
                </c:pt>
                <c:pt idx="654">
                  <c:v>1876.6085733999998</c:v>
                </c:pt>
                <c:pt idx="655">
                  <c:v>1876.23888184</c:v>
                </c:pt>
                <c:pt idx="656">
                  <c:v>1877.3193153899999</c:v>
                </c:pt>
                <c:pt idx="657">
                  <c:v>1879.0044190899998</c:v>
                </c:pt>
                <c:pt idx="658">
                  <c:v>1876.73921335</c:v>
                </c:pt>
                <c:pt idx="659">
                  <c:v>1874.15934515</c:v>
                </c:pt>
                <c:pt idx="660">
                  <c:v>1872.1622654499999</c:v>
                </c:pt>
                <c:pt idx="661">
                  <c:v>1870.8752777899999</c:v>
                </c:pt>
                <c:pt idx="662">
                  <c:v>1868.6293538999998</c:v>
                </c:pt>
                <c:pt idx="663">
                  <c:v>1863.59618443</c:v>
                </c:pt>
                <c:pt idx="664">
                  <c:v>1858.7421411799999</c:v>
                </c:pt>
                <c:pt idx="665">
                  <c:v>1853.14979806</c:v>
                </c:pt>
                <c:pt idx="666">
                  <c:v>1847.60875766</c:v>
                </c:pt>
                <c:pt idx="667">
                  <c:v>1844.6692504600001</c:v>
                </c:pt>
                <c:pt idx="668">
                  <c:v>1841.7141877899999</c:v>
                </c:pt>
                <c:pt idx="669">
                  <c:v>1839.7227843199998</c:v>
                </c:pt>
                <c:pt idx="670">
                  <c:v>1837.8061250999999</c:v>
                </c:pt>
                <c:pt idx="671">
                  <c:v>1835.2717533999999</c:v>
                </c:pt>
                <c:pt idx="672">
                  <c:v>1832.191857</c:v>
                </c:pt>
                <c:pt idx="673">
                  <c:v>1834.07649535</c:v>
                </c:pt>
                <c:pt idx="674">
                  <c:v>1838.1516818499999</c:v>
                </c:pt>
                <c:pt idx="675">
                  <c:v>1841.4798591499998</c:v>
                </c:pt>
                <c:pt idx="676">
                  <c:v>1844.6456789399999</c:v>
                </c:pt>
                <c:pt idx="677">
                  <c:v>1848.1454430399999</c:v>
                </c:pt>
                <c:pt idx="678">
                  <c:v>1843.7037280699999</c:v>
                </c:pt>
                <c:pt idx="679">
                  <c:v>1843.3795330099999</c:v>
                </c:pt>
                <c:pt idx="680">
                  <c:v>1846.0548572</c:v>
                </c:pt>
                <c:pt idx="681">
                  <c:v>1850.57499947</c:v>
                </c:pt>
                <c:pt idx="682">
                  <c:v>1857.8226352499998</c:v>
                </c:pt>
                <c:pt idx="683">
                  <c:v>1857.8226352499998</c:v>
                </c:pt>
                <c:pt idx="684">
                  <c:v>1855.5038302999999</c:v>
                </c:pt>
                <c:pt idx="685">
                  <c:v>1855.5038302999999</c:v>
                </c:pt>
                <c:pt idx="686">
                  <c:v>1853.3557455499999</c:v>
                </c:pt>
                <c:pt idx="687">
                  <c:v>1847.2114648899999</c:v>
                </c:pt>
                <c:pt idx="688">
                  <c:v>1844.5500929599998</c:v>
                </c:pt>
                <c:pt idx="689">
                  <c:v>1841.24141416</c:v>
                </c:pt>
                <c:pt idx="690">
                  <c:v>1838.40503236</c:v>
                </c:pt>
                <c:pt idx="691">
                  <c:v>1836.3358515399998</c:v>
                </c:pt>
                <c:pt idx="692">
                  <c:v>1836.8412959899999</c:v>
                </c:pt>
                <c:pt idx="693">
                  <c:v>1836.8412959899999</c:v>
                </c:pt>
                <c:pt idx="694">
                  <c:v>1836.84445908</c:v>
                </c:pt>
                <c:pt idx="695">
                  <c:v>1836.84445908</c:v>
                </c:pt>
                <c:pt idx="696">
                  <c:v>1834.6525677</c:v>
                </c:pt>
                <c:pt idx="697">
                  <c:v>1832.7220428799999</c:v>
                </c:pt>
                <c:pt idx="698">
                  <c:v>1830.484655</c:v>
                </c:pt>
                <c:pt idx="699">
                  <c:v>1829.0979650099998</c:v>
                </c:pt>
                <c:pt idx="700">
                  <c:v>1828.1529377099998</c:v>
                </c:pt>
                <c:pt idx="701">
                  <c:v>1827.57279234</c:v>
                </c:pt>
                <c:pt idx="702">
                  <c:v>1827.7153047099998</c:v>
                </c:pt>
                <c:pt idx="703">
                  <c:v>1827.9311747699999</c:v>
                </c:pt>
                <c:pt idx="704">
                  <c:v>1827.43474296</c:v>
                </c:pt>
                <c:pt idx="705">
                  <c:v>1827.7880991099998</c:v>
                </c:pt>
                <c:pt idx="706">
                  <c:v>1828.3920759799998</c:v>
                </c:pt>
                <c:pt idx="707">
                  <c:v>1828.6634517699999</c:v>
                </c:pt>
                <c:pt idx="708">
                  <c:v>1829.2951165099998</c:v>
                </c:pt>
                <c:pt idx="709">
                  <c:v>1829.6538455799998</c:v>
                </c:pt>
                <c:pt idx="710">
                  <c:v>1830.7270863499998</c:v>
                </c:pt>
                <c:pt idx="711">
                  <c:v>1831.8242886099999</c:v>
                </c:pt>
                <c:pt idx="712">
                  <c:v>1833.26535775</c:v>
                </c:pt>
                <c:pt idx="713">
                  <c:v>1834.38790806</c:v>
                </c:pt>
                <c:pt idx="714">
                  <c:v>1835.3591500099999</c:v>
                </c:pt>
                <c:pt idx="715">
                  <c:v>1835.4251416</c:v>
                </c:pt>
                <c:pt idx="716">
                  <c:v>1833.9363228</c:v>
                </c:pt>
                <c:pt idx="717">
                  <c:v>1832.46531263</c:v>
                </c:pt>
                <c:pt idx="718">
                  <c:v>1830.8484536799999</c:v>
                </c:pt>
                <c:pt idx="719">
                  <c:v>1829.23007818</c:v>
                </c:pt>
                <c:pt idx="720">
                  <c:v>1828.352819</c:v>
                </c:pt>
                <c:pt idx="721">
                  <c:v>1827.6016934499999</c:v>
                </c:pt>
                <c:pt idx="722">
                  <c:v>1826.86023049</c:v>
                </c:pt>
                <c:pt idx="723">
                  <c:v>1826.7180647599998</c:v>
                </c:pt>
                <c:pt idx="724">
                  <c:v>1826.59561418</c:v>
                </c:pt>
                <c:pt idx="725">
                  <c:v>1826.5216931999998</c:v>
                </c:pt>
                <c:pt idx="726">
                  <c:v>1826.08531677</c:v>
                </c:pt>
                <c:pt idx="727">
                  <c:v>1826</c:v>
                </c:pt>
                <c:pt idx="728">
                  <c:v>1826.1232305199999</c:v>
                </c:pt>
                <c:pt idx="729">
                  <c:v>1827.04256313</c:v>
                </c:pt>
                <c:pt idx="730">
                  <c:v>1828.1708329999999</c:v>
                </c:pt>
                <c:pt idx="731">
                  <c:v>1829.40448143</c:v>
                </c:pt>
                <c:pt idx="732">
                  <c:v>1830.58613386</c:v>
                </c:pt>
                <c:pt idx="733">
                  <c:v>1831.5218452099998</c:v>
                </c:pt>
                <c:pt idx="734">
                  <c:v>1832.3862787099999</c:v>
                </c:pt>
                <c:pt idx="735">
                  <c:v>1833.07128268</c:v>
                </c:pt>
                <c:pt idx="736">
                  <c:v>1833.16387889</c:v>
                </c:pt>
                <c:pt idx="737">
                  <c:v>1833.3773658</c:v>
                </c:pt>
                <c:pt idx="738">
                  <c:v>1833.31904362</c:v>
                </c:pt>
                <c:pt idx="739">
                  <c:v>1833.21860468</c:v>
                </c:pt>
                <c:pt idx="740">
                  <c:v>1833.2764502299999</c:v>
                </c:pt>
                <c:pt idx="741">
                  <c:v>1832.51921515</c:v>
                </c:pt>
                <c:pt idx="742">
                  <c:v>1831.6222841499998</c:v>
                </c:pt>
                <c:pt idx="743">
                  <c:v>1830.3270204599999</c:v>
                </c:pt>
                <c:pt idx="744">
                  <c:v>1828.9047565399999</c:v>
                </c:pt>
                <c:pt idx="745">
                  <c:v>1828.1833553699998</c:v>
                </c:pt>
                <c:pt idx="746">
                  <c:v>1827.87250595</c:v>
                </c:pt>
                <c:pt idx="747">
                  <c:v>1828.1194436199999</c:v>
                </c:pt>
                <c:pt idx="748">
                  <c:v>1828.32196804</c:v>
                </c:pt>
                <c:pt idx="749">
                  <c:v>1828.67445759</c:v>
                </c:pt>
                <c:pt idx="750">
                  <c:v>1828.9799340899999</c:v>
                </c:pt>
                <c:pt idx="751">
                  <c:v>1829.2262651399999</c:v>
                </c:pt>
                <c:pt idx="752">
                  <c:v>1829.2262651399999</c:v>
                </c:pt>
                <c:pt idx="753">
                  <c:v>1828.6989390399999</c:v>
                </c:pt>
                <c:pt idx="754">
                  <c:v>1828.07407711</c:v>
                </c:pt>
                <c:pt idx="755">
                  <c:v>1828.07407711</c:v>
                </c:pt>
                <c:pt idx="756">
                  <c:v>1828.1333958799999</c:v>
                </c:pt>
                <c:pt idx="757">
                  <c:v>1827.9031402599999</c:v>
                </c:pt>
                <c:pt idx="758">
                  <c:v>1827.7976750399998</c:v>
                </c:pt>
                <c:pt idx="759">
                  <c:v>1827.88793143</c:v>
                </c:pt>
                <c:pt idx="760">
                  <c:v>1828.0608614599998</c:v>
                </c:pt>
                <c:pt idx="761">
                  <c:v>1828.36477808</c:v>
                </c:pt>
                <c:pt idx="762">
                  <c:v>1828.51023689</c:v>
                </c:pt>
                <c:pt idx="763">
                  <c:v>1828.5604996899999</c:v>
                </c:pt>
                <c:pt idx="764">
                  <c:v>1828.4602340699998</c:v>
                </c:pt>
                <c:pt idx="765">
                  <c:v>1828.37886033</c:v>
                </c:pt>
                <c:pt idx="766">
                  <c:v>1828.3288141799999</c:v>
                </c:pt>
                <c:pt idx="767">
                  <c:v>1828.1713962899998</c:v>
                </c:pt>
                <c:pt idx="768">
                  <c:v>1827.84221828</c:v>
                </c:pt>
                <c:pt idx="769">
                  <c:v>1827.5175899199999</c:v>
                </c:pt>
                <c:pt idx="770">
                  <c:v>1827.2000243499999</c:v>
                </c:pt>
                <c:pt idx="771">
                  <c:v>1827.6845837399999</c:v>
                </c:pt>
                <c:pt idx="772">
                  <c:v>1828.4573309599998</c:v>
                </c:pt>
                <c:pt idx="773">
                  <c:v>1829.3158282499999</c:v>
                </c:pt>
                <c:pt idx="774">
                  <c:v>1830.3113349999999</c:v>
                </c:pt>
                <c:pt idx="775">
                  <c:v>1831.3299366399999</c:v>
                </c:pt>
                <c:pt idx="776">
                  <c:v>1832.2749639399999</c:v>
                </c:pt>
                <c:pt idx="777">
                  <c:v>1833.1097163899999</c:v>
                </c:pt>
                <c:pt idx="778">
                  <c:v>1834.1056131099999</c:v>
                </c:pt>
                <c:pt idx="779">
                  <c:v>1835.1200984</c:v>
                </c:pt>
                <c:pt idx="780">
                  <c:v>1836.1981487999999</c:v>
                </c:pt>
                <c:pt idx="781">
                  <c:v>1836.1981487999999</c:v>
                </c:pt>
                <c:pt idx="782">
                  <c:v>1837.3758148699999</c:v>
                </c:pt>
                <c:pt idx="783">
                  <c:v>1837.3758148699999</c:v>
                </c:pt>
                <c:pt idx="784">
                  <c:v>1838.3274716599999</c:v>
                </c:pt>
                <c:pt idx="785">
                  <c:v>1839.0195384199999</c:v>
                </c:pt>
                <c:pt idx="786">
                  <c:v>1839.0195384199999</c:v>
                </c:pt>
                <c:pt idx="787">
                  <c:v>1839.26435292</c:v>
                </c:pt>
                <c:pt idx="788">
                  <c:v>1839.1248736499999</c:v>
                </c:pt>
                <c:pt idx="789">
                  <c:v>1838.99570692</c:v>
                </c:pt>
                <c:pt idx="790">
                  <c:v>1837.5431986599999</c:v>
                </c:pt>
                <c:pt idx="791">
                  <c:v>1837.5431986599999</c:v>
                </c:pt>
                <c:pt idx="792">
                  <c:v>1836.74532004</c:v>
                </c:pt>
                <c:pt idx="793">
                  <c:v>1835.90060169</c:v>
                </c:pt>
                <c:pt idx="794">
                  <c:v>1835.20896823</c:v>
                </c:pt>
                <c:pt idx="795">
                  <c:v>1834.3818418599999</c:v>
                </c:pt>
                <c:pt idx="796">
                  <c:v>1833.8610152599999</c:v>
                </c:pt>
                <c:pt idx="797">
                  <c:v>1833.4622059399999</c:v>
                </c:pt>
                <c:pt idx="798">
                  <c:v>1833.2385798099999</c:v>
                </c:pt>
                <c:pt idx="799">
                  <c:v>1833.11114628</c:v>
                </c:pt>
                <c:pt idx="800">
                  <c:v>1833.0981906099998</c:v>
                </c:pt>
                <c:pt idx="801">
                  <c:v>1833.4013272899999</c:v>
                </c:pt>
                <c:pt idx="802">
                  <c:v>1834.4620890199999</c:v>
                </c:pt>
                <c:pt idx="803">
                  <c:v>1835.8242108999998</c:v>
                </c:pt>
                <c:pt idx="804">
                  <c:v>1837.3947934099999</c:v>
                </c:pt>
                <c:pt idx="805">
                  <c:v>1839.1952848999999</c:v>
                </c:pt>
                <c:pt idx="806">
                  <c:v>1840.5390781899998</c:v>
                </c:pt>
                <c:pt idx="807">
                  <c:v>1841.9037998699998</c:v>
                </c:pt>
                <c:pt idx="808">
                  <c:v>1843.00364526</c:v>
                </c:pt>
                <c:pt idx="809">
                  <c:v>1843.65597841</c:v>
                </c:pt>
                <c:pt idx="810">
                  <c:v>1844.13507822</c:v>
                </c:pt>
                <c:pt idx="811">
                  <c:v>1843.93433033</c:v>
                </c:pt>
                <c:pt idx="812">
                  <c:v>1843.33646299</c:v>
                </c:pt>
                <c:pt idx="813">
                  <c:v>1844.43466184</c:v>
                </c:pt>
                <c:pt idx="814">
                  <c:v>1846.1328078699999</c:v>
                </c:pt>
                <c:pt idx="815">
                  <c:v>1847.9790991699999</c:v>
                </c:pt>
                <c:pt idx="816">
                  <c:v>1850.31935247</c:v>
                </c:pt>
                <c:pt idx="817">
                  <c:v>1853.0320271199998</c:v>
                </c:pt>
                <c:pt idx="818">
                  <c:v>1852.1789027499999</c:v>
                </c:pt>
                <c:pt idx="819">
                  <c:v>1849.43836691</c:v>
                </c:pt>
                <c:pt idx="820">
                  <c:v>1849.1701975399999</c:v>
                </c:pt>
                <c:pt idx="821">
                  <c:v>1850.1362398899998</c:v>
                </c:pt>
                <c:pt idx="822">
                  <c:v>1852.2275623399998</c:v>
                </c:pt>
                <c:pt idx="823">
                  <c:v>1854.9948761199998</c:v>
                </c:pt>
                <c:pt idx="824">
                  <c:v>1857.8231552099999</c:v>
                </c:pt>
                <c:pt idx="825">
                  <c:v>1859.60696465</c:v>
                </c:pt>
                <c:pt idx="826">
                  <c:v>1861.9668897699999</c:v>
                </c:pt>
                <c:pt idx="827">
                  <c:v>1862.92032309</c:v>
                </c:pt>
                <c:pt idx="828">
                  <c:v>1863.47113405</c:v>
                </c:pt>
                <c:pt idx="829">
                  <c:v>1865.5510173799998</c:v>
                </c:pt>
                <c:pt idx="830">
                  <c:v>1866.5907640599999</c:v>
                </c:pt>
                <c:pt idx="831">
                  <c:v>1866.2080735</c:v>
                </c:pt>
                <c:pt idx="832">
                  <c:v>1865.76922726</c:v>
                </c:pt>
                <c:pt idx="833">
                  <c:v>1866.42671668</c:v>
                </c:pt>
                <c:pt idx="834">
                  <c:v>1866.2205958699999</c:v>
                </c:pt>
                <c:pt idx="835">
                  <c:v>1863.9712055799998</c:v>
                </c:pt>
                <c:pt idx="836">
                  <c:v>1857.7611066499999</c:v>
                </c:pt>
                <c:pt idx="837">
                  <c:v>1855.2608789899998</c:v>
                </c:pt>
                <c:pt idx="838">
                  <c:v>1853.9937364699999</c:v>
                </c:pt>
                <c:pt idx="839">
                  <c:v>1855.4550407199999</c:v>
                </c:pt>
                <c:pt idx="840">
                  <c:v>1858.5534823599999</c:v>
                </c:pt>
                <c:pt idx="841">
                  <c:v>1861.70452662</c:v>
                </c:pt>
                <c:pt idx="842">
                  <c:v>1863.7120055199998</c:v>
                </c:pt>
                <c:pt idx="843">
                  <c:v>1863.7527357199999</c:v>
                </c:pt>
                <c:pt idx="844">
                  <c:v>1861.03031182</c:v>
                </c:pt>
                <c:pt idx="845">
                  <c:v>1856.5622955399999</c:v>
                </c:pt>
                <c:pt idx="846">
                  <c:v>1853.7441123399999</c:v>
                </c:pt>
                <c:pt idx="847">
                  <c:v>1854.4766059900001</c:v>
                </c:pt>
                <c:pt idx="848">
                  <c:v>1854.4766059900001</c:v>
                </c:pt>
                <c:pt idx="849">
                  <c:v>1855.15831688</c:v>
                </c:pt>
                <c:pt idx="850">
                  <c:v>1855.15831688</c:v>
                </c:pt>
                <c:pt idx="851">
                  <c:v>1857.54896297</c:v>
                </c:pt>
                <c:pt idx="852">
                  <c:v>1860.2729034199999</c:v>
                </c:pt>
                <c:pt idx="853">
                  <c:v>1864.0313476199999</c:v>
                </c:pt>
                <c:pt idx="854">
                  <c:v>1865.3637884499999</c:v>
                </c:pt>
                <c:pt idx="855">
                  <c:v>1867.0281370799999</c:v>
                </c:pt>
                <c:pt idx="856">
                  <c:v>1860.5241740899999</c:v>
                </c:pt>
                <c:pt idx="857">
                  <c:v>1857.46516275</c:v>
                </c:pt>
                <c:pt idx="858">
                  <c:v>1855.4470679999999</c:v>
                </c:pt>
                <c:pt idx="859">
                  <c:v>1854.2043635999999</c:v>
                </c:pt>
                <c:pt idx="860">
                  <c:v>1853.13289936</c:v>
                </c:pt>
                <c:pt idx="861">
                  <c:v>1852.86650652</c:v>
                </c:pt>
                <c:pt idx="862">
                  <c:v>1853.74965858</c:v>
                </c:pt>
                <c:pt idx="863">
                  <c:v>1855.12421617</c:v>
                </c:pt>
                <c:pt idx="864">
                  <c:v>1856.25231272</c:v>
                </c:pt>
                <c:pt idx="865">
                  <c:v>1858.3656034799999</c:v>
                </c:pt>
                <c:pt idx="866">
                  <c:v>1861.3603997599998</c:v>
                </c:pt>
                <c:pt idx="867">
                  <c:v>1864.1731233799999</c:v>
                </c:pt>
                <c:pt idx="868">
                  <c:v>1868.1118203799999</c:v>
                </c:pt>
                <c:pt idx="869">
                  <c:v>1867.3412829899999</c:v>
                </c:pt>
                <c:pt idx="870">
                  <c:v>1866.0866628399999</c:v>
                </c:pt>
                <c:pt idx="871">
                  <c:v>1864.2569669299999</c:v>
                </c:pt>
                <c:pt idx="872">
                  <c:v>1861.91125405</c:v>
                </c:pt>
                <c:pt idx="873">
                  <c:v>1859.80441946</c:v>
                </c:pt>
                <c:pt idx="874">
                  <c:v>1857.8741546199999</c:v>
                </c:pt>
                <c:pt idx="875">
                  <c:v>1857.8741546199999</c:v>
                </c:pt>
                <c:pt idx="876">
                  <c:v>1857.8741546199999</c:v>
                </c:pt>
                <c:pt idx="877">
                  <c:v>1856.4415781599998</c:v>
                </c:pt>
                <c:pt idx="878">
                  <c:v>1854.87840508</c:v>
                </c:pt>
                <c:pt idx="879">
                  <c:v>1853.5414145999998</c:v>
                </c:pt>
                <c:pt idx="880">
                  <c:v>1852.74015624</c:v>
                </c:pt>
                <c:pt idx="881">
                  <c:v>1852.63005471</c:v>
                </c:pt>
                <c:pt idx="882">
                  <c:v>1852.3905264699999</c:v>
                </c:pt>
                <c:pt idx="883">
                  <c:v>1852.7792832299999</c:v>
                </c:pt>
                <c:pt idx="884">
                  <c:v>1853.3707810599999</c:v>
                </c:pt>
                <c:pt idx="885">
                  <c:v>1854.35164227</c:v>
                </c:pt>
                <c:pt idx="886">
                  <c:v>1855.8623860499999</c:v>
                </c:pt>
                <c:pt idx="887">
                  <c:v>1857.4207494999998</c:v>
                </c:pt>
                <c:pt idx="888">
                  <c:v>1859.2157380799999</c:v>
                </c:pt>
                <c:pt idx="889">
                  <c:v>1860.2131513499999</c:v>
                </c:pt>
                <c:pt idx="890">
                  <c:v>1861.49129969</c:v>
                </c:pt>
                <c:pt idx="891">
                  <c:v>1863.1419127099998</c:v>
                </c:pt>
                <c:pt idx="892">
                  <c:v>1865.1236102599999</c:v>
                </c:pt>
                <c:pt idx="893">
                  <c:v>1866.4083447599999</c:v>
                </c:pt>
                <c:pt idx="894">
                  <c:v>1868.3100118</c:v>
                </c:pt>
                <c:pt idx="895">
                  <c:v>1871.3876117099999</c:v>
                </c:pt>
                <c:pt idx="896">
                  <c:v>1872.2705471199999</c:v>
                </c:pt>
                <c:pt idx="897">
                  <c:v>1869.30101223</c:v>
                </c:pt>
                <c:pt idx="898">
                  <c:v>1869.30101223</c:v>
                </c:pt>
                <c:pt idx="899">
                  <c:v>1866.1677332699999</c:v>
                </c:pt>
                <c:pt idx="900">
                  <c:v>1864.77887678</c:v>
                </c:pt>
                <c:pt idx="901">
                  <c:v>1862.5121544899998</c:v>
                </c:pt>
                <c:pt idx="902">
                  <c:v>1862.5121544899998</c:v>
                </c:pt>
                <c:pt idx="903">
                  <c:v>1860.3794952199999</c:v>
                </c:pt>
                <c:pt idx="904">
                  <c:v>1858.38003237</c:v>
                </c:pt>
                <c:pt idx="905">
                  <c:v>1858.2019027399999</c:v>
                </c:pt>
                <c:pt idx="906">
                  <c:v>1858.8281078999998</c:v>
                </c:pt>
                <c:pt idx="907">
                  <c:v>1859.2798231499999</c:v>
                </c:pt>
                <c:pt idx="908">
                  <c:v>1860.6309825399999</c:v>
                </c:pt>
                <c:pt idx="909">
                  <c:v>1862.1133884999999</c:v>
                </c:pt>
                <c:pt idx="910">
                  <c:v>1863.1220675699999</c:v>
                </c:pt>
                <c:pt idx="911">
                  <c:v>1864.48977902</c:v>
                </c:pt>
                <c:pt idx="912">
                  <c:v>1864.8132808</c:v>
                </c:pt>
                <c:pt idx="913">
                  <c:v>1866.1153472999999</c:v>
                </c:pt>
                <c:pt idx="914">
                  <c:v>1864.9078268599999</c:v>
                </c:pt>
                <c:pt idx="915">
                  <c:v>1865.1457518899999</c:v>
                </c:pt>
                <c:pt idx="916">
                  <c:v>1862.22669645</c:v>
                </c:pt>
                <c:pt idx="917">
                  <c:v>1858.5504059299999</c:v>
                </c:pt>
                <c:pt idx="918">
                  <c:v>1855.8940169499999</c:v>
                </c:pt>
                <c:pt idx="919">
                  <c:v>1853.03952321</c:v>
                </c:pt>
                <c:pt idx="920">
                  <c:v>1849.7875633799999</c:v>
                </c:pt>
                <c:pt idx="921">
                  <c:v>1844.87892433</c:v>
                </c:pt>
                <c:pt idx="922">
                  <c:v>1838.78724629</c:v>
                </c:pt>
                <c:pt idx="923">
                  <c:v>1835.2439788699999</c:v>
                </c:pt>
                <c:pt idx="924">
                  <c:v>1834.7085933899998</c:v>
                </c:pt>
                <c:pt idx="925">
                  <c:v>1836.2163907299998</c:v>
                </c:pt>
                <c:pt idx="926">
                  <c:v>1838.3839739799998</c:v>
                </c:pt>
                <c:pt idx="927">
                  <c:v>1840.4814059599998</c:v>
                </c:pt>
                <c:pt idx="928">
                  <c:v>1840.7306401199999</c:v>
                </c:pt>
                <c:pt idx="929">
                  <c:v>1840.4181441599999</c:v>
                </c:pt>
                <c:pt idx="930">
                  <c:v>1839.82816288</c:v>
                </c:pt>
                <c:pt idx="931">
                  <c:v>1840.0552120799998</c:v>
                </c:pt>
                <c:pt idx="932">
                  <c:v>1839.76815083</c:v>
                </c:pt>
                <c:pt idx="933">
                  <c:v>1837.4806301399999</c:v>
                </c:pt>
                <c:pt idx="934">
                  <c:v>1837.4806301399999</c:v>
                </c:pt>
                <c:pt idx="935">
                  <c:v>1835.5770132499999</c:v>
                </c:pt>
                <c:pt idx="936">
                  <c:v>1833.5980888199999</c:v>
                </c:pt>
                <c:pt idx="937">
                  <c:v>1833.5980888199999</c:v>
                </c:pt>
                <c:pt idx="938">
                  <c:v>1832.2980155</c:v>
                </c:pt>
                <c:pt idx="939">
                  <c:v>1831.2104324999998</c:v>
                </c:pt>
                <c:pt idx="940">
                  <c:v>1830.1804783999999</c:v>
                </c:pt>
                <c:pt idx="941">
                  <c:v>1829.3005327599999</c:v>
                </c:pt>
                <c:pt idx="942">
                  <c:v>1828.64416992</c:v>
                </c:pt>
                <c:pt idx="943">
                  <c:v>1828.2322749399998</c:v>
                </c:pt>
                <c:pt idx="944">
                  <c:v>1828.1017216499999</c:v>
                </c:pt>
                <c:pt idx="945">
                  <c:v>1828.6626285</c:v>
                </c:pt>
                <c:pt idx="946">
                  <c:v>1829.44157191</c:v>
                </c:pt>
                <c:pt idx="947">
                  <c:v>1830.48240184</c:v>
                </c:pt>
                <c:pt idx="948">
                  <c:v>1831.4496141</c:v>
                </c:pt>
                <c:pt idx="949">
                  <c:v>1832.1023805499999</c:v>
                </c:pt>
                <c:pt idx="950">
                  <c:v>1832.61757425</c:v>
                </c:pt>
                <c:pt idx="951">
                  <c:v>1833.0792987299999</c:v>
                </c:pt>
                <c:pt idx="952">
                  <c:v>1833.51459191</c:v>
                </c:pt>
                <c:pt idx="953">
                  <c:v>1833.4827010299998</c:v>
                </c:pt>
                <c:pt idx="954">
                  <c:v>1833.7098802199998</c:v>
                </c:pt>
                <c:pt idx="955">
                  <c:v>1834.00404759</c:v>
                </c:pt>
                <c:pt idx="956">
                  <c:v>1833.9676070599999</c:v>
                </c:pt>
                <c:pt idx="957">
                  <c:v>1833.6979211399998</c:v>
                </c:pt>
                <c:pt idx="958">
                  <c:v>1833.74341764</c:v>
                </c:pt>
                <c:pt idx="959">
                  <c:v>1833.8117923799998</c:v>
                </c:pt>
                <c:pt idx="960">
                  <c:v>1834.16259206</c:v>
                </c:pt>
                <c:pt idx="961">
                  <c:v>1834.70157393</c:v>
                </c:pt>
                <c:pt idx="962">
                  <c:v>1835.53935948</c:v>
                </c:pt>
                <c:pt idx="963">
                  <c:v>1836.3450808299999</c:v>
                </c:pt>
                <c:pt idx="964">
                  <c:v>1837.17701683</c:v>
                </c:pt>
                <c:pt idx="965">
                  <c:v>1837.9065640399999</c:v>
                </c:pt>
                <c:pt idx="966">
                  <c:v>1839.4140147399999</c:v>
                </c:pt>
                <c:pt idx="967">
                  <c:v>1840.4530681399999</c:v>
                </c:pt>
                <c:pt idx="968">
                  <c:v>1841.6177352099999</c:v>
                </c:pt>
                <c:pt idx="969">
                  <c:v>1842.78231562</c:v>
                </c:pt>
                <c:pt idx="970">
                  <c:v>1844.86497207</c:v>
                </c:pt>
                <c:pt idx="971">
                  <c:v>1847.3593501799999</c:v>
                </c:pt>
                <c:pt idx="972">
                  <c:v>1849.5952648399998</c:v>
                </c:pt>
                <c:pt idx="973">
                  <c:v>1851.79300577</c:v>
                </c:pt>
                <c:pt idx="974">
                  <c:v>1853.5082671499999</c:v>
                </c:pt>
                <c:pt idx="975">
                  <c:v>1854.8711689699999</c:v>
                </c:pt>
                <c:pt idx="976">
                  <c:v>1855.81519968</c:v>
                </c:pt>
                <c:pt idx="977">
                  <c:v>1856.6683240499999</c:v>
                </c:pt>
                <c:pt idx="978">
                  <c:v>1857.2953091499999</c:v>
                </c:pt>
                <c:pt idx="979">
                  <c:v>1857.9596880399999</c:v>
                </c:pt>
                <c:pt idx="980">
                  <c:v>1858.8921063099999</c:v>
                </c:pt>
                <c:pt idx="981">
                  <c:v>1859.7148130199998</c:v>
                </c:pt>
                <c:pt idx="982">
                  <c:v>1859.7148130199998</c:v>
                </c:pt>
                <c:pt idx="983">
                  <c:v>1860.39817045</c:v>
                </c:pt>
                <c:pt idx="984">
                  <c:v>1860.39817045</c:v>
                </c:pt>
                <c:pt idx="985">
                  <c:v>1861.0333015899998</c:v>
                </c:pt>
                <c:pt idx="986">
                  <c:v>1862.8154211599999</c:v>
                </c:pt>
                <c:pt idx="987">
                  <c:v>1862.04692028</c:v>
                </c:pt>
                <c:pt idx="988">
                  <c:v>1862.6315286399999</c:v>
                </c:pt>
                <c:pt idx="989">
                  <c:v>1863.22406639</c:v>
                </c:pt>
                <c:pt idx="990">
                  <c:v>1863.38477736</c:v>
                </c:pt>
                <c:pt idx="991">
                  <c:v>1864.77584368</c:v>
                </c:pt>
                <c:pt idx="992">
                  <c:v>1864.03472736</c:v>
                </c:pt>
                <c:pt idx="993">
                  <c:v>1863.06140557</c:v>
                </c:pt>
                <c:pt idx="994">
                  <c:v>1862.8110881599998</c:v>
                </c:pt>
                <c:pt idx="995">
                  <c:v>1862.4834266999999</c:v>
                </c:pt>
                <c:pt idx="996">
                  <c:v>1862.4200349099999</c:v>
                </c:pt>
                <c:pt idx="997">
                  <c:v>1862.4278776399999</c:v>
                </c:pt>
                <c:pt idx="998">
                  <c:v>1862.4689544799999</c:v>
                </c:pt>
                <c:pt idx="999">
                  <c:v>1862.5578243099999</c:v>
                </c:pt>
                <c:pt idx="1000">
                  <c:v>1862.7693613699998</c:v>
                </c:pt>
                <c:pt idx="1001">
                  <c:v>1863.1751034899999</c:v>
                </c:pt>
                <c:pt idx="1002">
                  <c:v>1864.1601243799998</c:v>
                </c:pt>
                <c:pt idx="1003">
                  <c:v>1864.1601243799998</c:v>
                </c:pt>
                <c:pt idx="1004">
                  <c:v>1863.57521271</c:v>
                </c:pt>
                <c:pt idx="1005">
                  <c:v>1863.57521271</c:v>
                </c:pt>
                <c:pt idx="1006">
                  <c:v>1863.4300138799999</c:v>
                </c:pt>
                <c:pt idx="1007">
                  <c:v>1862.22574319</c:v>
                </c:pt>
                <c:pt idx="1008">
                  <c:v>1860.8582050599998</c:v>
                </c:pt>
                <c:pt idx="1009">
                  <c:v>1859.5977786899998</c:v>
                </c:pt>
                <c:pt idx="1010">
                  <c:v>1857.67306009</c:v>
                </c:pt>
                <c:pt idx="1011">
                  <c:v>1855.6489858</c:v>
                </c:pt>
                <c:pt idx="1012">
                  <c:v>1853.52590246</c:v>
                </c:pt>
                <c:pt idx="1013">
                  <c:v>1852.4205974899999</c:v>
                </c:pt>
                <c:pt idx="1014">
                  <c:v>1853.2435641799998</c:v>
                </c:pt>
                <c:pt idx="1015">
                  <c:v>1854.99639267</c:v>
                </c:pt>
                <c:pt idx="1016">
                  <c:v>1856.47286242</c:v>
                </c:pt>
                <c:pt idx="1017">
                  <c:v>1857.67496661</c:v>
                </c:pt>
                <c:pt idx="1018">
                  <c:v>1858.8256814199999</c:v>
                </c:pt>
                <c:pt idx="1019">
                  <c:v>1858.0107307799999</c:v>
                </c:pt>
                <c:pt idx="1020">
                  <c:v>1856.72248655</c:v>
                </c:pt>
                <c:pt idx="1021">
                  <c:v>1855.1958839899999</c:v>
                </c:pt>
                <c:pt idx="1022">
                  <c:v>1853.7311999999999</c:v>
                </c:pt>
                <c:pt idx="1023">
                  <c:v>1852.1127811699998</c:v>
                </c:pt>
                <c:pt idx="1024">
                  <c:v>1850.5577108</c:v>
                </c:pt>
                <c:pt idx="1025">
                  <c:v>1848.94414493</c:v>
                </c:pt>
                <c:pt idx="1026">
                  <c:v>1846.9755330399998</c:v>
                </c:pt>
                <c:pt idx="1027">
                  <c:v>1845.3744462099999</c:v>
                </c:pt>
                <c:pt idx="1028">
                  <c:v>1843.6594881399999</c:v>
                </c:pt>
                <c:pt idx="1029">
                  <c:v>1844.41525</c:v>
                </c:pt>
                <c:pt idx="1030">
                  <c:v>1845.3484915399999</c:v>
                </c:pt>
                <c:pt idx="1031">
                  <c:v>1845.89904252</c:v>
                </c:pt>
                <c:pt idx="1032">
                  <c:v>1846.46380574</c:v>
                </c:pt>
                <c:pt idx="1033">
                  <c:v>1846.5328737599998</c:v>
                </c:pt>
                <c:pt idx="1034">
                  <c:v>1846.4577828699998</c:v>
                </c:pt>
                <c:pt idx="1035">
                  <c:v>1846.0168134599999</c:v>
                </c:pt>
                <c:pt idx="1036">
                  <c:v>1845.5443431399999</c:v>
                </c:pt>
                <c:pt idx="1037">
                  <c:v>1845.0710928799999</c:v>
                </c:pt>
                <c:pt idx="1038">
                  <c:v>1844.5617487299999</c:v>
                </c:pt>
                <c:pt idx="1039">
                  <c:v>1845.05549408</c:v>
                </c:pt>
                <c:pt idx="1040">
                  <c:v>1845.6886753699998</c:v>
                </c:pt>
                <c:pt idx="1041">
                  <c:v>1846.9073749499998</c:v>
                </c:pt>
                <c:pt idx="1042">
                  <c:v>1848.1070959899998</c:v>
                </c:pt>
                <c:pt idx="1043">
                  <c:v>1849.6190963399999</c:v>
                </c:pt>
                <c:pt idx="1044">
                  <c:v>1851.16857714</c:v>
                </c:pt>
                <c:pt idx="1045">
                  <c:v>1852.37306448</c:v>
                </c:pt>
                <c:pt idx="1046">
                  <c:v>1853.3355970999999</c:v>
                </c:pt>
                <c:pt idx="1047">
                  <c:v>1854.1879848599999</c:v>
                </c:pt>
                <c:pt idx="1048">
                  <c:v>1854.97620089</c:v>
                </c:pt>
                <c:pt idx="1049">
                  <c:v>1855.8915471399998</c:v>
                </c:pt>
                <c:pt idx="1050">
                  <c:v>1856.30357211</c:v>
                </c:pt>
                <c:pt idx="1051">
                  <c:v>1857.04226195</c:v>
                </c:pt>
                <c:pt idx="1052">
                  <c:v>1855.49711415</c:v>
                </c:pt>
                <c:pt idx="1053">
                  <c:v>1855.3009592399999</c:v>
                </c:pt>
                <c:pt idx="1054">
                  <c:v>1855.3770900499999</c:v>
                </c:pt>
                <c:pt idx="1055">
                  <c:v>1855.6352501899999</c:v>
                </c:pt>
                <c:pt idx="1056">
                  <c:v>1855.77841251</c:v>
                </c:pt>
                <c:pt idx="1057">
                  <c:v>1855.4793921799999</c:v>
                </c:pt>
                <c:pt idx="1058">
                  <c:v>1855.92478125</c:v>
                </c:pt>
                <c:pt idx="1059">
                  <c:v>1856.36549068</c:v>
                </c:pt>
                <c:pt idx="1060">
                  <c:v>1856.6708805199999</c:v>
                </c:pt>
                <c:pt idx="1061">
                  <c:v>1856.9796500999998</c:v>
                </c:pt>
                <c:pt idx="1062">
                  <c:v>1857.3934949299999</c:v>
                </c:pt>
                <c:pt idx="1063">
                  <c:v>1857.82228861</c:v>
                </c:pt>
                <c:pt idx="1064">
                  <c:v>1858.7511971499998</c:v>
                </c:pt>
                <c:pt idx="1065">
                  <c:v>1859.66766998</c:v>
                </c:pt>
                <c:pt idx="1066">
                  <c:v>1860.1268813199999</c:v>
                </c:pt>
                <c:pt idx="1067">
                  <c:v>1860.84134969</c:v>
                </c:pt>
                <c:pt idx="1068">
                  <c:v>1861.51695105</c:v>
                </c:pt>
                <c:pt idx="1069">
                  <c:v>1861.8564415999999</c:v>
                </c:pt>
                <c:pt idx="1070">
                  <c:v>1862.3176461199998</c:v>
                </c:pt>
                <c:pt idx="1071">
                  <c:v>1862.6983868299999</c:v>
                </c:pt>
                <c:pt idx="1072">
                  <c:v>1863.26431996</c:v>
                </c:pt>
                <c:pt idx="1073">
                  <c:v>1863.93788481</c:v>
                </c:pt>
                <c:pt idx="1074">
                  <c:v>1864.51157401</c:v>
                </c:pt>
                <c:pt idx="1075">
                  <c:v>1864.8666200299999</c:v>
                </c:pt>
                <c:pt idx="1076">
                  <c:v>1865.0853065399999</c:v>
                </c:pt>
                <c:pt idx="1077">
                  <c:v>1865.4507084299998</c:v>
                </c:pt>
                <c:pt idx="1078">
                  <c:v>1866.4512847899998</c:v>
                </c:pt>
                <c:pt idx="1079">
                  <c:v>1867.5671189499999</c:v>
                </c:pt>
                <c:pt idx="1080">
                  <c:v>1868.5236287</c:v>
                </c:pt>
                <c:pt idx="1081">
                  <c:v>1870.2521923899999</c:v>
                </c:pt>
                <c:pt idx="1082">
                  <c:v>1871.16446221</c:v>
                </c:pt>
                <c:pt idx="1083">
                  <c:v>1871.16446221</c:v>
                </c:pt>
                <c:pt idx="1084">
                  <c:v>1871.0619001</c:v>
                </c:pt>
                <c:pt idx="1085">
                  <c:v>1871.0619001</c:v>
                </c:pt>
                <c:pt idx="1086">
                  <c:v>1872.9327595099999</c:v>
                </c:pt>
                <c:pt idx="1087">
                  <c:v>1873.3934873999999</c:v>
                </c:pt>
                <c:pt idx="1088">
                  <c:v>1873.2554380199999</c:v>
                </c:pt>
                <c:pt idx="1089">
                  <c:v>1873.4575291399999</c:v>
                </c:pt>
                <c:pt idx="1090">
                  <c:v>1873.7008270899998</c:v>
                </c:pt>
                <c:pt idx="1091">
                  <c:v>1874.94920772</c:v>
                </c:pt>
                <c:pt idx="1092">
                  <c:v>1876.02153856</c:v>
                </c:pt>
                <c:pt idx="1093">
                  <c:v>1878.5509273099999</c:v>
                </c:pt>
                <c:pt idx="1094">
                  <c:v>1877.5855782399999</c:v>
                </c:pt>
                <c:pt idx="1095">
                  <c:v>1876.8972811899998</c:v>
                </c:pt>
                <c:pt idx="1096">
                  <c:v>1876.03349764</c:v>
                </c:pt>
                <c:pt idx="1097">
                  <c:v>1874.7246283299999</c:v>
                </c:pt>
                <c:pt idx="1098">
                  <c:v>1873.1147888399998</c:v>
                </c:pt>
                <c:pt idx="1099">
                  <c:v>1871.55031586</c:v>
                </c:pt>
                <c:pt idx="1100">
                  <c:v>1870.0926513299999</c:v>
                </c:pt>
                <c:pt idx="1101">
                  <c:v>1869.0559377499999</c:v>
                </c:pt>
                <c:pt idx="1102">
                  <c:v>1869.0094446599999</c:v>
                </c:pt>
                <c:pt idx="1103">
                  <c:v>1869.3794828599998</c:v>
                </c:pt>
                <c:pt idx="1104">
                  <c:v>1870.26155167</c:v>
                </c:pt>
                <c:pt idx="1105">
                  <c:v>1870.9245873299999</c:v>
                </c:pt>
                <c:pt idx="1106">
                  <c:v>1871.5004430299998</c:v>
                </c:pt>
                <c:pt idx="1107">
                  <c:v>1871.6347226999999</c:v>
                </c:pt>
                <c:pt idx="1108">
                  <c:v>1871.84946618</c:v>
                </c:pt>
                <c:pt idx="1109">
                  <c:v>1872.4764946099999</c:v>
                </c:pt>
                <c:pt idx="1110">
                  <c:v>1872.4764946099999</c:v>
                </c:pt>
                <c:pt idx="1111">
                  <c:v>1873.3442211899999</c:v>
                </c:pt>
                <c:pt idx="1112">
                  <c:v>1873.3442211899999</c:v>
                </c:pt>
                <c:pt idx="1113">
                  <c:v>1873.64376148</c:v>
                </c:pt>
                <c:pt idx="1114">
                  <c:v>1874.15722198</c:v>
                </c:pt>
                <c:pt idx="1115">
                  <c:v>1875.57935591</c:v>
                </c:pt>
                <c:pt idx="1116">
                  <c:v>1873.87852342</c:v>
                </c:pt>
                <c:pt idx="1117">
                  <c:v>1873.1293910499999</c:v>
                </c:pt>
                <c:pt idx="1118">
                  <c:v>1872.00146782</c:v>
                </c:pt>
                <c:pt idx="1119">
                  <c:v>1870.5467497299999</c:v>
                </c:pt>
                <c:pt idx="1120">
                  <c:v>1868.9604384299998</c:v>
                </c:pt>
                <c:pt idx="1121">
                  <c:v>1867.32724407</c:v>
                </c:pt>
                <c:pt idx="1122">
                  <c:v>1865.7775466199998</c:v>
                </c:pt>
                <c:pt idx="1123">
                  <c:v>1864.6671287099998</c:v>
                </c:pt>
                <c:pt idx="1124">
                  <c:v>1864.3284180999999</c:v>
                </c:pt>
                <c:pt idx="1125">
                  <c:v>1865.3763108199998</c:v>
                </c:pt>
                <c:pt idx="1126">
                  <c:v>1866.7528615899998</c:v>
                </c:pt>
                <c:pt idx="1127">
                  <c:v>1868.20649643</c:v>
                </c:pt>
                <c:pt idx="1128">
                  <c:v>1869.61667128</c:v>
                </c:pt>
                <c:pt idx="1129">
                  <c:v>1870.93303668</c:v>
                </c:pt>
                <c:pt idx="1130">
                  <c:v>1871.7439142999999</c:v>
                </c:pt>
                <c:pt idx="1131">
                  <c:v>1870.79815039</c:v>
                </c:pt>
                <c:pt idx="1132">
                  <c:v>1869.37324334</c:v>
                </c:pt>
                <c:pt idx="1133">
                  <c:v>1868.1744322299999</c:v>
                </c:pt>
                <c:pt idx="1134">
                  <c:v>1866.5109068699999</c:v>
                </c:pt>
                <c:pt idx="1135">
                  <c:v>1864.49831503</c:v>
                </c:pt>
                <c:pt idx="1136">
                  <c:v>1862.0835341299999</c:v>
                </c:pt>
                <c:pt idx="1137">
                  <c:v>1860.6394752199999</c:v>
                </c:pt>
                <c:pt idx="1138">
                  <c:v>1860.1472030899999</c:v>
                </c:pt>
                <c:pt idx="1139">
                  <c:v>1859.9171207899999</c:v>
                </c:pt>
                <c:pt idx="1140">
                  <c:v>1859.9111412499999</c:v>
                </c:pt>
                <c:pt idx="1141">
                  <c:v>1860.2801395299998</c:v>
                </c:pt>
                <c:pt idx="1142">
                  <c:v>1861.0423142299999</c:v>
                </c:pt>
                <c:pt idx="1143">
                  <c:v>1862.1546386599998</c:v>
                </c:pt>
                <c:pt idx="1144">
                  <c:v>1863.5100010599999</c:v>
                </c:pt>
                <c:pt idx="1145">
                  <c:v>1864.75032231</c:v>
                </c:pt>
                <c:pt idx="1146">
                  <c:v>1865.6624621399999</c:v>
                </c:pt>
                <c:pt idx="1147">
                  <c:v>1866.60211652</c:v>
                </c:pt>
                <c:pt idx="1148">
                  <c:v>1867.5797279799999</c:v>
                </c:pt>
                <c:pt idx="1149">
                  <c:v>1868.66289132</c:v>
                </c:pt>
                <c:pt idx="1150">
                  <c:v>1869.10143425</c:v>
                </c:pt>
                <c:pt idx="1151">
                  <c:v>1869.5236851</c:v>
                </c:pt>
                <c:pt idx="1152">
                  <c:v>1869.7193200499999</c:v>
                </c:pt>
                <c:pt idx="1153">
                  <c:v>1869.8267784499999</c:v>
                </c:pt>
                <c:pt idx="1154">
                  <c:v>1869.69756839</c:v>
                </c:pt>
                <c:pt idx="1155">
                  <c:v>1869.2741042999999</c:v>
                </c:pt>
                <c:pt idx="1156">
                  <c:v>1868.6714273299999</c:v>
                </c:pt>
                <c:pt idx="1157">
                  <c:v>1868.0715668099999</c:v>
                </c:pt>
                <c:pt idx="1158">
                  <c:v>1867.89681692</c:v>
                </c:pt>
                <c:pt idx="1159">
                  <c:v>1868.5296948999999</c:v>
                </c:pt>
                <c:pt idx="1160">
                  <c:v>1868.87954132</c:v>
                </c:pt>
                <c:pt idx="1161">
                  <c:v>1869.5916265399999</c:v>
                </c:pt>
                <c:pt idx="1162">
                  <c:v>1871.2669376599999</c:v>
                </c:pt>
                <c:pt idx="1163">
                  <c:v>1872.9245268099999</c:v>
                </c:pt>
                <c:pt idx="1164">
                  <c:v>1873.3761987299999</c:v>
                </c:pt>
                <c:pt idx="1165">
                  <c:v>1873.3627230999998</c:v>
                </c:pt>
                <c:pt idx="1166">
                  <c:v>1873.1439065999998</c:v>
                </c:pt>
                <c:pt idx="1167">
                  <c:v>1872.7273753099998</c:v>
                </c:pt>
                <c:pt idx="1168">
                  <c:v>1873.2851624</c:v>
                </c:pt>
                <c:pt idx="1169">
                  <c:v>1873.3267592</c:v>
                </c:pt>
                <c:pt idx="1170">
                  <c:v>1873.83133705</c:v>
                </c:pt>
                <c:pt idx="1171">
                  <c:v>1875.20589464</c:v>
                </c:pt>
                <c:pt idx="1172">
                  <c:v>1875.20589464</c:v>
                </c:pt>
                <c:pt idx="1173">
                  <c:v>1875.8451421299999</c:v>
                </c:pt>
                <c:pt idx="1174">
                  <c:v>1875.8451421299999</c:v>
                </c:pt>
                <c:pt idx="1175">
                  <c:v>1877.07415425</c:v>
                </c:pt>
                <c:pt idx="1176">
                  <c:v>1877.07415425</c:v>
                </c:pt>
                <c:pt idx="1177">
                  <c:v>1877.47006046</c:v>
                </c:pt>
                <c:pt idx="1178">
                  <c:v>1877.47006046</c:v>
                </c:pt>
                <c:pt idx="1179">
                  <c:v>1878.60201338</c:v>
                </c:pt>
                <c:pt idx="1180">
                  <c:v>1880.39652533</c:v>
                </c:pt>
                <c:pt idx="1181">
                  <c:v>1882.16863567</c:v>
                </c:pt>
                <c:pt idx="1182">
                  <c:v>1883.4307085799999</c:v>
                </c:pt>
                <c:pt idx="1183">
                  <c:v>1885.5306970299998</c:v>
                </c:pt>
                <c:pt idx="1184">
                  <c:v>1887.6024776499999</c:v>
                </c:pt>
                <c:pt idx="1185">
                  <c:v>1889.7386899799999</c:v>
                </c:pt>
                <c:pt idx="1186">
                  <c:v>1891.3737908599999</c:v>
                </c:pt>
                <c:pt idx="1187">
                  <c:v>1893.51884251</c:v>
                </c:pt>
                <c:pt idx="1188">
                  <c:v>1890.8837718899999</c:v>
                </c:pt>
                <c:pt idx="1189">
                  <c:v>1888.3328914599999</c:v>
                </c:pt>
                <c:pt idx="1190">
                  <c:v>1885.5856827999999</c:v>
                </c:pt>
                <c:pt idx="1191">
                  <c:v>1884.76479595</c:v>
                </c:pt>
                <c:pt idx="1192">
                  <c:v>1885.1813705699999</c:v>
                </c:pt>
                <c:pt idx="1193">
                  <c:v>1886.20976479</c:v>
                </c:pt>
                <c:pt idx="1194">
                  <c:v>1888.12330425</c:v>
                </c:pt>
                <c:pt idx="1195">
                  <c:v>1891.4255702099999</c:v>
                </c:pt>
                <c:pt idx="1196">
                  <c:v>1894.2347407699999</c:v>
                </c:pt>
                <c:pt idx="1197">
                  <c:v>1896.12193559</c:v>
                </c:pt>
                <c:pt idx="1198">
                  <c:v>1897.76223607</c:v>
                </c:pt>
                <c:pt idx="1199">
                  <c:v>1899.1793437199999</c:v>
                </c:pt>
                <c:pt idx="1200">
                  <c:v>1900.53990572</c:v>
                </c:pt>
                <c:pt idx="1201">
                  <c:v>1902.00532632</c:v>
                </c:pt>
                <c:pt idx="1202">
                  <c:v>1903.46437741</c:v>
                </c:pt>
                <c:pt idx="1203">
                  <c:v>1902.7331836599999</c:v>
                </c:pt>
                <c:pt idx="1204">
                  <c:v>1900.8992414099998</c:v>
                </c:pt>
                <c:pt idx="1205">
                  <c:v>1900.61322008</c:v>
                </c:pt>
                <c:pt idx="1206">
                  <c:v>1900.50762487</c:v>
                </c:pt>
                <c:pt idx="1207">
                  <c:v>1900.84425564</c:v>
                </c:pt>
                <c:pt idx="1208">
                  <c:v>1900.1816099499999</c:v>
                </c:pt>
                <c:pt idx="1209">
                  <c:v>1899.0475771899999</c:v>
                </c:pt>
                <c:pt idx="1210">
                  <c:v>1898.23986266</c:v>
                </c:pt>
                <c:pt idx="1211">
                  <c:v>1897.43288474</c:v>
                </c:pt>
                <c:pt idx="1212">
                  <c:v>1896.6826691199999</c:v>
                </c:pt>
                <c:pt idx="1213">
                  <c:v>1894.8064367899999</c:v>
                </c:pt>
                <c:pt idx="1214">
                  <c:v>1893.0907421099998</c:v>
                </c:pt>
                <c:pt idx="1215">
                  <c:v>1892.83648167</c:v>
                </c:pt>
                <c:pt idx="1216">
                  <c:v>1893.8943836199999</c:v>
                </c:pt>
                <c:pt idx="1217">
                  <c:v>1894.4984471499999</c:v>
                </c:pt>
                <c:pt idx="1218">
                  <c:v>1894.9900259999999</c:v>
                </c:pt>
                <c:pt idx="1219">
                  <c:v>1894.8205190399999</c:v>
                </c:pt>
                <c:pt idx="1220">
                  <c:v>1894.07831947</c:v>
                </c:pt>
                <c:pt idx="1221">
                  <c:v>1893.4977841299999</c:v>
                </c:pt>
                <c:pt idx="1222">
                  <c:v>1893.4977841299999</c:v>
                </c:pt>
                <c:pt idx="1223">
                  <c:v>1894.14951066</c:v>
                </c:pt>
                <c:pt idx="1224">
                  <c:v>1894.14951066</c:v>
                </c:pt>
                <c:pt idx="1225">
                  <c:v>1894.7006682599999</c:v>
                </c:pt>
                <c:pt idx="1226">
                  <c:v>1895.0082679299999</c:v>
                </c:pt>
                <c:pt idx="1227">
                  <c:v>1895.84388698</c:v>
                </c:pt>
                <c:pt idx="1228">
                  <c:v>1897.0141436199999</c:v>
                </c:pt>
                <c:pt idx="1229">
                  <c:v>1897.0141436199999</c:v>
                </c:pt>
                <c:pt idx="1230">
                  <c:v>1899.6151568599998</c:v>
                </c:pt>
                <c:pt idx="1231">
                  <c:v>1902.50526786</c:v>
                </c:pt>
                <c:pt idx="1232">
                  <c:v>1904.4201938799999</c:v>
                </c:pt>
                <c:pt idx="1233">
                  <c:v>1904.4201938799999</c:v>
                </c:pt>
                <c:pt idx="1234">
                  <c:v>1905.9033364499999</c:v>
                </c:pt>
                <c:pt idx="1235">
                  <c:v>1907.6904823</c:v>
                </c:pt>
                <c:pt idx="1236">
                  <c:v>1908.78920111</c:v>
                </c:pt>
                <c:pt idx="1237">
                  <c:v>1909.5050993699999</c:v>
                </c:pt>
                <c:pt idx="1238">
                  <c:v>1910.9533179599998</c:v>
                </c:pt>
                <c:pt idx="1239">
                  <c:v>1913.3370745799998</c:v>
                </c:pt>
                <c:pt idx="1240">
                  <c:v>1912.54790529</c:v>
                </c:pt>
                <c:pt idx="1241">
                  <c:v>1911.5099784699999</c:v>
                </c:pt>
                <c:pt idx="1242">
                  <c:v>1910.7391811</c:v>
                </c:pt>
                <c:pt idx="1243">
                  <c:v>1910.5080588799999</c:v>
                </c:pt>
                <c:pt idx="1244">
                  <c:v>1911.2541148199998</c:v>
                </c:pt>
                <c:pt idx="1245">
                  <c:v>1912.2011353</c:v>
                </c:pt>
                <c:pt idx="1246">
                  <c:v>1914.28383508</c:v>
                </c:pt>
                <c:pt idx="1247">
                  <c:v>1916.1334627899998</c:v>
                </c:pt>
                <c:pt idx="1248">
                  <c:v>1917.9212152599998</c:v>
                </c:pt>
                <c:pt idx="1249">
                  <c:v>1919.5258984799998</c:v>
                </c:pt>
                <c:pt idx="1250">
                  <c:v>1921.24640279</c:v>
                </c:pt>
                <c:pt idx="1251">
                  <c:v>1922.9881821299998</c:v>
                </c:pt>
                <c:pt idx="1252">
                  <c:v>1924.6443847199998</c:v>
                </c:pt>
                <c:pt idx="1253">
                  <c:v>1926.09563641</c:v>
                </c:pt>
                <c:pt idx="1254">
                  <c:v>1929.34906946</c:v>
                </c:pt>
                <c:pt idx="1255">
                  <c:v>1928.8716595199999</c:v>
                </c:pt>
                <c:pt idx="1256">
                  <c:v>1927.7374534399999</c:v>
                </c:pt>
                <c:pt idx="1257">
                  <c:v>1927.86757343</c:v>
                </c:pt>
                <c:pt idx="1258">
                  <c:v>1928.2809416299999</c:v>
                </c:pt>
                <c:pt idx="1259">
                  <c:v>1928.7390697199999</c:v>
                </c:pt>
                <c:pt idx="1260">
                  <c:v>1928.6998560699999</c:v>
                </c:pt>
                <c:pt idx="1261">
                  <c:v>1928.4044321299998</c:v>
                </c:pt>
                <c:pt idx="1262">
                  <c:v>1928.2016477299999</c:v>
                </c:pt>
                <c:pt idx="1263">
                  <c:v>1928.1581877399999</c:v>
                </c:pt>
                <c:pt idx="1264">
                  <c:v>1928.1535514299999</c:v>
                </c:pt>
                <c:pt idx="1265">
                  <c:v>1928.4418692499999</c:v>
                </c:pt>
                <c:pt idx="1266">
                  <c:v>1928.7396330099998</c:v>
                </c:pt>
                <c:pt idx="1267">
                  <c:v>1928.92629865</c:v>
                </c:pt>
                <c:pt idx="1268">
                  <c:v>1929.54661093</c:v>
                </c:pt>
                <c:pt idx="1269">
                  <c:v>1930.70213537</c:v>
                </c:pt>
                <c:pt idx="1270">
                  <c:v>1932.1836747299999</c:v>
                </c:pt>
                <c:pt idx="1271">
                  <c:v>1933.7615366799998</c:v>
                </c:pt>
                <c:pt idx="1272">
                  <c:v>1933.13052189</c:v>
                </c:pt>
                <c:pt idx="1273">
                  <c:v>1934.50169974</c:v>
                </c:pt>
                <c:pt idx="1274">
                  <c:v>1931.4705062599999</c:v>
                </c:pt>
                <c:pt idx="1275">
                  <c:v>1930.93594405</c:v>
                </c:pt>
                <c:pt idx="1276">
                  <c:v>1931.7281464399998</c:v>
                </c:pt>
                <c:pt idx="1277">
                  <c:v>1932.54539357</c:v>
                </c:pt>
                <c:pt idx="1278">
                  <c:v>1933.0677367199999</c:v>
                </c:pt>
                <c:pt idx="1279">
                  <c:v>1933.5266014199999</c:v>
                </c:pt>
                <c:pt idx="1280">
                  <c:v>1933.85590942</c:v>
                </c:pt>
                <c:pt idx="1281">
                  <c:v>1934.3257366099999</c:v>
                </c:pt>
                <c:pt idx="1282">
                  <c:v>1934.7991601899998</c:v>
                </c:pt>
                <c:pt idx="1283">
                  <c:v>1935.1720581699999</c:v>
                </c:pt>
                <c:pt idx="1284">
                  <c:v>1935.50933889</c:v>
                </c:pt>
                <c:pt idx="1285">
                  <c:v>1935.75311347</c:v>
                </c:pt>
                <c:pt idx="1286">
                  <c:v>1936.0108403099998</c:v>
                </c:pt>
                <c:pt idx="1287">
                  <c:v>1936.39669396</c:v>
                </c:pt>
                <c:pt idx="1288">
                  <c:v>1936.6491778699999</c:v>
                </c:pt>
                <c:pt idx="1289">
                  <c:v>1936.6491778699999</c:v>
                </c:pt>
                <c:pt idx="1290">
                  <c:v>1936.8797368</c:v>
                </c:pt>
                <c:pt idx="1291">
                  <c:v>1937.21870739</c:v>
                </c:pt>
                <c:pt idx="1292">
                  <c:v>1937.21870739</c:v>
                </c:pt>
                <c:pt idx="1293">
                  <c:v>1938.3342382399999</c:v>
                </c:pt>
                <c:pt idx="1294">
                  <c:v>1942.45639446</c:v>
                </c:pt>
                <c:pt idx="1295">
                  <c:v>1939.04693008</c:v>
                </c:pt>
                <c:pt idx="1296">
                  <c:v>1938.5570410999999</c:v>
                </c:pt>
                <c:pt idx="1297">
                  <c:v>1938.03430798</c:v>
                </c:pt>
                <c:pt idx="1298">
                  <c:v>1937.67185253</c:v>
                </c:pt>
                <c:pt idx="1299">
                  <c:v>1937.5016089599999</c:v>
                </c:pt>
                <c:pt idx="1300">
                  <c:v>1937.2897252599998</c:v>
                </c:pt>
                <c:pt idx="1301">
                  <c:v>1937.3575800399999</c:v>
                </c:pt>
                <c:pt idx="1302">
                  <c:v>1937.9365988299999</c:v>
                </c:pt>
                <c:pt idx="1303">
                  <c:v>1937.9365988299999</c:v>
                </c:pt>
                <c:pt idx="1304">
                  <c:v>1938.4772272399998</c:v>
                </c:pt>
                <c:pt idx="1305">
                  <c:v>1938.4278743699999</c:v>
                </c:pt>
                <c:pt idx="1306">
                  <c:v>1938.4278743699999</c:v>
                </c:pt>
                <c:pt idx="1307">
                  <c:v>1938.6783650999998</c:v>
                </c:pt>
                <c:pt idx="1308">
                  <c:v>1938.2627870699998</c:v>
                </c:pt>
                <c:pt idx="1309">
                  <c:v>1938.1373467199999</c:v>
                </c:pt>
                <c:pt idx="1310">
                  <c:v>1937.8103352099999</c:v>
                </c:pt>
                <c:pt idx="1311">
                  <c:v>1937.9256796699999</c:v>
                </c:pt>
                <c:pt idx="1312">
                  <c:v>1937.8956953099998</c:v>
                </c:pt>
                <c:pt idx="1313">
                  <c:v>1938.0221755799998</c:v>
                </c:pt>
                <c:pt idx="1314">
                  <c:v>1938.10142615</c:v>
                </c:pt>
                <c:pt idx="1315">
                  <c:v>1938.2181138399999</c:v>
                </c:pt>
                <c:pt idx="1316">
                  <c:v>1938.3426009299999</c:v>
                </c:pt>
                <c:pt idx="1317">
                  <c:v>1938.4536990499998</c:v>
                </c:pt>
                <c:pt idx="1318">
                  <c:v>1938.5829091099999</c:v>
                </c:pt>
                <c:pt idx="1319">
                  <c:v>1938.7433167699999</c:v>
                </c:pt>
                <c:pt idx="1320">
                  <c:v>1938.88062954</c:v>
                </c:pt>
                <c:pt idx="1321">
                  <c:v>1938.7693147699999</c:v>
                </c:pt>
                <c:pt idx="1322">
                  <c:v>1938.7772874899999</c:v>
                </c:pt>
                <c:pt idx="1323">
                  <c:v>1938.9851414999998</c:v>
                </c:pt>
                <c:pt idx="1324">
                  <c:v>1939.3145794899999</c:v>
                </c:pt>
                <c:pt idx="1325">
                  <c:v>1939.5186637899999</c:v>
                </c:pt>
                <c:pt idx="1326">
                  <c:v>1939.71364879</c:v>
                </c:pt>
                <c:pt idx="1327">
                  <c:v>1940.0334675199999</c:v>
                </c:pt>
                <c:pt idx="1328">
                  <c:v>1940.39375647</c:v>
                </c:pt>
                <c:pt idx="1329">
                  <c:v>1940.5136072499999</c:v>
                </c:pt>
                <c:pt idx="1330">
                  <c:v>1940.5090576</c:v>
                </c:pt>
                <c:pt idx="1331">
                  <c:v>1940.70027289</c:v>
                </c:pt>
                <c:pt idx="1332">
                  <c:v>1942.1094078199999</c:v>
                </c:pt>
                <c:pt idx="1333">
                  <c:v>1940.83719569</c:v>
                </c:pt>
                <c:pt idx="1334">
                  <c:v>1941.2414645899999</c:v>
                </c:pt>
                <c:pt idx="1335">
                  <c:v>1940.69866968</c:v>
                </c:pt>
                <c:pt idx="1336">
                  <c:v>1939.8024752899998</c:v>
                </c:pt>
                <c:pt idx="1337">
                  <c:v>1939.7860965499999</c:v>
                </c:pt>
                <c:pt idx="1338">
                  <c:v>1939.22774617</c:v>
                </c:pt>
                <c:pt idx="1339">
                  <c:v>1937.56703726</c:v>
                </c:pt>
                <c:pt idx="1340">
                  <c:v>1935.17491795</c:v>
                </c:pt>
                <c:pt idx="1341">
                  <c:v>1932.2811239</c:v>
                </c:pt>
                <c:pt idx="1342">
                  <c:v>1926.6121733399998</c:v>
                </c:pt>
                <c:pt idx="1343">
                  <c:v>1922.4709085899999</c:v>
                </c:pt>
                <c:pt idx="1344">
                  <c:v>1918.5964699799999</c:v>
                </c:pt>
                <c:pt idx="1345">
                  <c:v>1916.5163699999998</c:v>
                </c:pt>
                <c:pt idx="1346">
                  <c:v>1916.9829474399999</c:v>
                </c:pt>
                <c:pt idx="1347">
                  <c:v>1917.35194572</c:v>
                </c:pt>
                <c:pt idx="1348">
                  <c:v>1916.4863423099998</c:v>
                </c:pt>
                <c:pt idx="1349">
                  <c:v>1914.8365092299998</c:v>
                </c:pt>
                <c:pt idx="1350">
                  <c:v>1913.4868663899999</c:v>
                </c:pt>
                <c:pt idx="1351">
                  <c:v>1912.9339322599999</c:v>
                </c:pt>
                <c:pt idx="1352">
                  <c:v>1913.76781811</c:v>
                </c:pt>
                <c:pt idx="1353">
                  <c:v>1914.66396917</c:v>
                </c:pt>
                <c:pt idx="1354">
                  <c:v>1915.3724146699999</c:v>
                </c:pt>
                <c:pt idx="1355">
                  <c:v>1916.3229882099999</c:v>
                </c:pt>
                <c:pt idx="1356">
                  <c:v>1916.46151422</c:v>
                </c:pt>
                <c:pt idx="1357">
                  <c:v>1916.4464353799999</c:v>
                </c:pt>
                <c:pt idx="1358">
                  <c:v>1915.3091961999999</c:v>
                </c:pt>
                <c:pt idx="1359">
                  <c:v>1913.9735922799998</c:v>
                </c:pt>
                <c:pt idx="1360">
                  <c:v>1912.43793375</c:v>
                </c:pt>
                <c:pt idx="1361">
                  <c:v>1910.8140120099999</c:v>
                </c:pt>
                <c:pt idx="1362">
                  <c:v>1909.17704794</c:v>
                </c:pt>
                <c:pt idx="1363">
                  <c:v>1907.50554986</c:v>
                </c:pt>
                <c:pt idx="1364">
                  <c:v>1905.6567454199999</c:v>
                </c:pt>
                <c:pt idx="1365">
                  <c:v>1903.83666877</c:v>
                </c:pt>
                <c:pt idx="1366">
                  <c:v>1902.12266396</c:v>
                </c:pt>
                <c:pt idx="1367">
                  <c:v>1900.50281524</c:v>
                </c:pt>
                <c:pt idx="1368">
                  <c:v>1899.5772431099999</c:v>
                </c:pt>
                <c:pt idx="1369">
                  <c:v>1899.1801669899999</c:v>
                </c:pt>
                <c:pt idx="1370">
                  <c:v>1899.0657757899999</c:v>
                </c:pt>
                <c:pt idx="1371">
                  <c:v>1898.87157073</c:v>
                </c:pt>
                <c:pt idx="1372">
                  <c:v>1898.87157073</c:v>
                </c:pt>
                <c:pt idx="1373">
                  <c:v>1899.84874889</c:v>
                </c:pt>
                <c:pt idx="1374">
                  <c:v>1900.97277242</c:v>
                </c:pt>
                <c:pt idx="1375">
                  <c:v>1901.6940002699998</c:v>
                </c:pt>
                <c:pt idx="1376">
                  <c:v>1901.65101691</c:v>
                </c:pt>
                <c:pt idx="1377">
                  <c:v>1900.4523791199999</c:v>
                </c:pt>
                <c:pt idx="1378">
                  <c:v>1900.4523791199999</c:v>
                </c:pt>
                <c:pt idx="1379">
                  <c:v>1899.1991022</c:v>
                </c:pt>
                <c:pt idx="1380">
                  <c:v>1897.68957166</c:v>
                </c:pt>
                <c:pt idx="1381">
                  <c:v>1897.8042661699999</c:v>
                </c:pt>
                <c:pt idx="1382">
                  <c:v>1897.8042661699999</c:v>
                </c:pt>
                <c:pt idx="1383">
                  <c:v>1898.3562903699999</c:v>
                </c:pt>
                <c:pt idx="1384">
                  <c:v>1899.7314979099999</c:v>
                </c:pt>
                <c:pt idx="1385">
                  <c:v>1900.9226396099998</c:v>
                </c:pt>
                <c:pt idx="1386">
                  <c:v>1902.2210230599999</c:v>
                </c:pt>
                <c:pt idx="1387">
                  <c:v>1903.5125170399999</c:v>
                </c:pt>
                <c:pt idx="1388">
                  <c:v>1904.4979278999999</c:v>
                </c:pt>
                <c:pt idx="1389">
                  <c:v>1904.47556962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B-57BE-4E12-9C5F-2CC84E3F3372}"/>
            </c:ext>
          </c:extLst>
        </c:ser>
        <c:ser>
          <c:idx val="1"/>
          <c:order val="2"/>
          <c:tx>
            <c:strRef>
              <c:f>TS!$J$1</c:f>
              <c:strCache>
                <c:ptCount val="1"/>
                <c:pt idx="0">
                  <c:v>Max. Pressure</c:v>
                </c:pt>
              </c:strCache>
              <c:extLst xmlns:c15="http://schemas.microsoft.com/office/drawing/2012/chart"/>
            </c:strRef>
          </c:tx>
          <c:spPr>
            <a:ln w="12700">
              <a:solidFill>
                <a:srgbClr val="FF0000"/>
              </a:solidFill>
              <a:prstDash val="sysDot"/>
            </a:ln>
          </c:spPr>
          <c:marker>
            <c:symbol val="none"/>
          </c:marker>
          <c:xVal>
            <c:numRef>
              <c:f>TS!$N$2:$N$1391</c:f>
              <c:numCache>
                <c:formatCode>#\+##</c:formatCode>
                <c:ptCount val="1390"/>
                <c:pt idx="0">
                  <c:v>95899.92</c:v>
                </c:pt>
                <c:pt idx="1">
                  <c:v>95999.92</c:v>
                </c:pt>
                <c:pt idx="2">
                  <c:v>96099.92</c:v>
                </c:pt>
                <c:pt idx="3">
                  <c:v>96199.92</c:v>
                </c:pt>
                <c:pt idx="4">
                  <c:v>96299.92</c:v>
                </c:pt>
                <c:pt idx="5">
                  <c:v>96399.92</c:v>
                </c:pt>
                <c:pt idx="6">
                  <c:v>96499.92</c:v>
                </c:pt>
                <c:pt idx="7">
                  <c:v>96599.92</c:v>
                </c:pt>
                <c:pt idx="8">
                  <c:v>96699.92</c:v>
                </c:pt>
                <c:pt idx="9">
                  <c:v>96799.92</c:v>
                </c:pt>
                <c:pt idx="10">
                  <c:v>96899.92</c:v>
                </c:pt>
                <c:pt idx="11">
                  <c:v>96999.92</c:v>
                </c:pt>
                <c:pt idx="12">
                  <c:v>97099.92</c:v>
                </c:pt>
                <c:pt idx="13">
                  <c:v>97199.92</c:v>
                </c:pt>
                <c:pt idx="14">
                  <c:v>97299.92</c:v>
                </c:pt>
                <c:pt idx="15">
                  <c:v>97399.92</c:v>
                </c:pt>
                <c:pt idx="16">
                  <c:v>97499.92</c:v>
                </c:pt>
                <c:pt idx="17">
                  <c:v>97599.92</c:v>
                </c:pt>
                <c:pt idx="18">
                  <c:v>97699.92</c:v>
                </c:pt>
                <c:pt idx="19">
                  <c:v>97799.92</c:v>
                </c:pt>
                <c:pt idx="20">
                  <c:v>97899.92</c:v>
                </c:pt>
                <c:pt idx="21">
                  <c:v>97999.92</c:v>
                </c:pt>
                <c:pt idx="22">
                  <c:v>98099.92</c:v>
                </c:pt>
                <c:pt idx="23">
                  <c:v>98199.92</c:v>
                </c:pt>
                <c:pt idx="24">
                  <c:v>98299.92</c:v>
                </c:pt>
                <c:pt idx="25">
                  <c:v>98399.92</c:v>
                </c:pt>
                <c:pt idx="26">
                  <c:v>98499.92</c:v>
                </c:pt>
                <c:pt idx="27">
                  <c:v>98599.92</c:v>
                </c:pt>
                <c:pt idx="28">
                  <c:v>98699.92</c:v>
                </c:pt>
                <c:pt idx="29">
                  <c:v>98799.92</c:v>
                </c:pt>
                <c:pt idx="30">
                  <c:v>98899.92</c:v>
                </c:pt>
                <c:pt idx="31">
                  <c:v>98999.92</c:v>
                </c:pt>
                <c:pt idx="32">
                  <c:v>99099.92</c:v>
                </c:pt>
                <c:pt idx="33">
                  <c:v>99199.92</c:v>
                </c:pt>
                <c:pt idx="34">
                  <c:v>99299.92</c:v>
                </c:pt>
                <c:pt idx="35">
                  <c:v>99399.92</c:v>
                </c:pt>
                <c:pt idx="36">
                  <c:v>99499.92</c:v>
                </c:pt>
                <c:pt idx="37">
                  <c:v>99596.6</c:v>
                </c:pt>
                <c:pt idx="38">
                  <c:v>99599.92</c:v>
                </c:pt>
                <c:pt idx="39">
                  <c:v>99676.6</c:v>
                </c:pt>
                <c:pt idx="40">
                  <c:v>99699.92</c:v>
                </c:pt>
                <c:pt idx="41">
                  <c:v>99799.92</c:v>
                </c:pt>
                <c:pt idx="42">
                  <c:v>99899.92</c:v>
                </c:pt>
                <c:pt idx="43">
                  <c:v>99999.92</c:v>
                </c:pt>
                <c:pt idx="44">
                  <c:v>100093.7</c:v>
                </c:pt>
                <c:pt idx="45">
                  <c:v>100099.92</c:v>
                </c:pt>
                <c:pt idx="46">
                  <c:v>100199.92</c:v>
                </c:pt>
                <c:pt idx="47">
                  <c:v>100299.92</c:v>
                </c:pt>
                <c:pt idx="48">
                  <c:v>100399.92</c:v>
                </c:pt>
                <c:pt idx="49">
                  <c:v>100499.92</c:v>
                </c:pt>
                <c:pt idx="50">
                  <c:v>100599.92</c:v>
                </c:pt>
                <c:pt idx="51">
                  <c:v>100699.92</c:v>
                </c:pt>
                <c:pt idx="52">
                  <c:v>100799.92</c:v>
                </c:pt>
                <c:pt idx="53">
                  <c:v>100899.92</c:v>
                </c:pt>
                <c:pt idx="54">
                  <c:v>100999.92</c:v>
                </c:pt>
                <c:pt idx="55">
                  <c:v>101099.92</c:v>
                </c:pt>
                <c:pt idx="56">
                  <c:v>101199.92</c:v>
                </c:pt>
                <c:pt idx="57">
                  <c:v>101299.92</c:v>
                </c:pt>
                <c:pt idx="58">
                  <c:v>101399.92</c:v>
                </c:pt>
                <c:pt idx="59">
                  <c:v>101499.92</c:v>
                </c:pt>
                <c:pt idx="60">
                  <c:v>101599.92</c:v>
                </c:pt>
                <c:pt idx="61">
                  <c:v>101699.92</c:v>
                </c:pt>
                <c:pt idx="62">
                  <c:v>101799.92</c:v>
                </c:pt>
                <c:pt idx="63">
                  <c:v>101899.92</c:v>
                </c:pt>
                <c:pt idx="64">
                  <c:v>101918.7</c:v>
                </c:pt>
                <c:pt idx="65">
                  <c:v>101999.92</c:v>
                </c:pt>
                <c:pt idx="66">
                  <c:v>102099.92</c:v>
                </c:pt>
                <c:pt idx="67">
                  <c:v>102199.92</c:v>
                </c:pt>
                <c:pt idx="68">
                  <c:v>102299.92</c:v>
                </c:pt>
                <c:pt idx="69">
                  <c:v>102399.92</c:v>
                </c:pt>
                <c:pt idx="70">
                  <c:v>102499.92</c:v>
                </c:pt>
                <c:pt idx="71">
                  <c:v>102599.92</c:v>
                </c:pt>
                <c:pt idx="72">
                  <c:v>102699.92</c:v>
                </c:pt>
                <c:pt idx="73">
                  <c:v>102799.92</c:v>
                </c:pt>
                <c:pt idx="74">
                  <c:v>102899.92</c:v>
                </c:pt>
                <c:pt idx="75">
                  <c:v>102999.92</c:v>
                </c:pt>
                <c:pt idx="76">
                  <c:v>103099.92</c:v>
                </c:pt>
                <c:pt idx="77">
                  <c:v>103199.92</c:v>
                </c:pt>
                <c:pt idx="78">
                  <c:v>103299.92</c:v>
                </c:pt>
                <c:pt idx="79">
                  <c:v>103399.92</c:v>
                </c:pt>
                <c:pt idx="80">
                  <c:v>103499.92</c:v>
                </c:pt>
                <c:pt idx="81">
                  <c:v>103599.92</c:v>
                </c:pt>
                <c:pt idx="82">
                  <c:v>103699.92</c:v>
                </c:pt>
                <c:pt idx="83">
                  <c:v>103799.92</c:v>
                </c:pt>
                <c:pt idx="84">
                  <c:v>103809.3</c:v>
                </c:pt>
                <c:pt idx="85">
                  <c:v>103899.92</c:v>
                </c:pt>
                <c:pt idx="86">
                  <c:v>103929.3</c:v>
                </c:pt>
                <c:pt idx="87">
                  <c:v>103999.92</c:v>
                </c:pt>
                <c:pt idx="88">
                  <c:v>104099.92</c:v>
                </c:pt>
                <c:pt idx="89">
                  <c:v>104199.92</c:v>
                </c:pt>
                <c:pt idx="90">
                  <c:v>104299.92</c:v>
                </c:pt>
                <c:pt idx="91">
                  <c:v>104399.92</c:v>
                </c:pt>
                <c:pt idx="92">
                  <c:v>104499.92</c:v>
                </c:pt>
                <c:pt idx="93">
                  <c:v>104599.92</c:v>
                </c:pt>
                <c:pt idx="94">
                  <c:v>104699.92</c:v>
                </c:pt>
                <c:pt idx="95">
                  <c:v>104799.92</c:v>
                </c:pt>
                <c:pt idx="96">
                  <c:v>104899.92</c:v>
                </c:pt>
                <c:pt idx="97">
                  <c:v>104999.92</c:v>
                </c:pt>
                <c:pt idx="98">
                  <c:v>105099.92</c:v>
                </c:pt>
                <c:pt idx="99">
                  <c:v>105199.92</c:v>
                </c:pt>
                <c:pt idx="100">
                  <c:v>105299.92</c:v>
                </c:pt>
                <c:pt idx="101">
                  <c:v>105399.92</c:v>
                </c:pt>
                <c:pt idx="102">
                  <c:v>105499.92</c:v>
                </c:pt>
                <c:pt idx="103">
                  <c:v>105599.92</c:v>
                </c:pt>
                <c:pt idx="104">
                  <c:v>105699.92</c:v>
                </c:pt>
                <c:pt idx="105">
                  <c:v>105799.92</c:v>
                </c:pt>
                <c:pt idx="106">
                  <c:v>105899.92</c:v>
                </c:pt>
                <c:pt idx="107">
                  <c:v>105999.92</c:v>
                </c:pt>
                <c:pt idx="108">
                  <c:v>106099.92</c:v>
                </c:pt>
                <c:pt idx="109">
                  <c:v>106199.92</c:v>
                </c:pt>
                <c:pt idx="110">
                  <c:v>106299.92</c:v>
                </c:pt>
                <c:pt idx="111">
                  <c:v>106399.92</c:v>
                </c:pt>
                <c:pt idx="112">
                  <c:v>106499.92</c:v>
                </c:pt>
                <c:pt idx="113">
                  <c:v>106599.92</c:v>
                </c:pt>
                <c:pt idx="114">
                  <c:v>106699.92</c:v>
                </c:pt>
                <c:pt idx="115">
                  <c:v>106799.92</c:v>
                </c:pt>
                <c:pt idx="116">
                  <c:v>106899.92</c:v>
                </c:pt>
                <c:pt idx="117">
                  <c:v>106999.92</c:v>
                </c:pt>
                <c:pt idx="118">
                  <c:v>107099.92</c:v>
                </c:pt>
                <c:pt idx="119">
                  <c:v>107199.92</c:v>
                </c:pt>
                <c:pt idx="120">
                  <c:v>107299.92</c:v>
                </c:pt>
                <c:pt idx="121">
                  <c:v>107399.92</c:v>
                </c:pt>
                <c:pt idx="122">
                  <c:v>107499.92</c:v>
                </c:pt>
                <c:pt idx="123">
                  <c:v>107599.92</c:v>
                </c:pt>
                <c:pt idx="124">
                  <c:v>107699.92</c:v>
                </c:pt>
                <c:pt idx="125">
                  <c:v>107799.92</c:v>
                </c:pt>
                <c:pt idx="126">
                  <c:v>107899.92</c:v>
                </c:pt>
                <c:pt idx="127">
                  <c:v>107999.92</c:v>
                </c:pt>
                <c:pt idx="128">
                  <c:v>108099.92</c:v>
                </c:pt>
                <c:pt idx="129">
                  <c:v>108159.1</c:v>
                </c:pt>
                <c:pt idx="130">
                  <c:v>108199.92</c:v>
                </c:pt>
                <c:pt idx="131">
                  <c:v>108299.92</c:v>
                </c:pt>
                <c:pt idx="132">
                  <c:v>108399.92</c:v>
                </c:pt>
                <c:pt idx="133">
                  <c:v>108499.92</c:v>
                </c:pt>
                <c:pt idx="134">
                  <c:v>108599.92</c:v>
                </c:pt>
                <c:pt idx="135">
                  <c:v>108699.92</c:v>
                </c:pt>
                <c:pt idx="136">
                  <c:v>108799.92</c:v>
                </c:pt>
                <c:pt idx="137">
                  <c:v>108899.92</c:v>
                </c:pt>
                <c:pt idx="138">
                  <c:v>108999.92</c:v>
                </c:pt>
                <c:pt idx="139">
                  <c:v>109036</c:v>
                </c:pt>
                <c:pt idx="140">
                  <c:v>109099.92</c:v>
                </c:pt>
                <c:pt idx="141">
                  <c:v>109199.92</c:v>
                </c:pt>
                <c:pt idx="142">
                  <c:v>109299.92</c:v>
                </c:pt>
                <c:pt idx="143">
                  <c:v>109399.92</c:v>
                </c:pt>
                <c:pt idx="144">
                  <c:v>109421</c:v>
                </c:pt>
                <c:pt idx="145">
                  <c:v>109499.92</c:v>
                </c:pt>
                <c:pt idx="146">
                  <c:v>109599.92</c:v>
                </c:pt>
                <c:pt idx="147">
                  <c:v>109699.92</c:v>
                </c:pt>
                <c:pt idx="148">
                  <c:v>109703</c:v>
                </c:pt>
                <c:pt idx="149">
                  <c:v>109799.92</c:v>
                </c:pt>
                <c:pt idx="150">
                  <c:v>109899.92</c:v>
                </c:pt>
                <c:pt idx="151">
                  <c:v>109999.92</c:v>
                </c:pt>
                <c:pt idx="152">
                  <c:v>110099.92</c:v>
                </c:pt>
                <c:pt idx="153">
                  <c:v>110199.92</c:v>
                </c:pt>
                <c:pt idx="154">
                  <c:v>110299.92</c:v>
                </c:pt>
                <c:pt idx="155">
                  <c:v>110399.92</c:v>
                </c:pt>
                <c:pt idx="156">
                  <c:v>110499.92</c:v>
                </c:pt>
                <c:pt idx="157">
                  <c:v>110599.92</c:v>
                </c:pt>
                <c:pt idx="158">
                  <c:v>110688.3</c:v>
                </c:pt>
                <c:pt idx="159">
                  <c:v>110699.92</c:v>
                </c:pt>
                <c:pt idx="160">
                  <c:v>110768.3</c:v>
                </c:pt>
                <c:pt idx="161">
                  <c:v>110799.92</c:v>
                </c:pt>
                <c:pt idx="162">
                  <c:v>110899.92</c:v>
                </c:pt>
                <c:pt idx="163">
                  <c:v>110999.92</c:v>
                </c:pt>
                <c:pt idx="164">
                  <c:v>111099.92</c:v>
                </c:pt>
                <c:pt idx="165">
                  <c:v>111199.92</c:v>
                </c:pt>
                <c:pt idx="166">
                  <c:v>111299.92</c:v>
                </c:pt>
                <c:pt idx="167">
                  <c:v>111399.92</c:v>
                </c:pt>
                <c:pt idx="168">
                  <c:v>111499.92</c:v>
                </c:pt>
                <c:pt idx="169">
                  <c:v>111599.92</c:v>
                </c:pt>
                <c:pt idx="170">
                  <c:v>111699.92</c:v>
                </c:pt>
                <c:pt idx="171">
                  <c:v>111799.92</c:v>
                </c:pt>
                <c:pt idx="172">
                  <c:v>111899.92</c:v>
                </c:pt>
                <c:pt idx="173">
                  <c:v>111999.92</c:v>
                </c:pt>
                <c:pt idx="174">
                  <c:v>112099.92</c:v>
                </c:pt>
                <c:pt idx="175">
                  <c:v>112199.92</c:v>
                </c:pt>
                <c:pt idx="176">
                  <c:v>112299.92</c:v>
                </c:pt>
                <c:pt idx="177">
                  <c:v>112399.92</c:v>
                </c:pt>
                <c:pt idx="178">
                  <c:v>112499.92</c:v>
                </c:pt>
                <c:pt idx="179">
                  <c:v>112599.92</c:v>
                </c:pt>
                <c:pt idx="180">
                  <c:v>112699.92</c:v>
                </c:pt>
                <c:pt idx="181">
                  <c:v>112799.92</c:v>
                </c:pt>
                <c:pt idx="182">
                  <c:v>112899.92</c:v>
                </c:pt>
                <c:pt idx="183">
                  <c:v>112999.92</c:v>
                </c:pt>
                <c:pt idx="184">
                  <c:v>113099.92</c:v>
                </c:pt>
                <c:pt idx="185">
                  <c:v>113199.92</c:v>
                </c:pt>
                <c:pt idx="186">
                  <c:v>113299.92</c:v>
                </c:pt>
                <c:pt idx="187">
                  <c:v>113399.92</c:v>
                </c:pt>
                <c:pt idx="188">
                  <c:v>113499.92</c:v>
                </c:pt>
                <c:pt idx="189">
                  <c:v>113599.92</c:v>
                </c:pt>
                <c:pt idx="190">
                  <c:v>113699.92</c:v>
                </c:pt>
                <c:pt idx="191">
                  <c:v>113799.92</c:v>
                </c:pt>
                <c:pt idx="192">
                  <c:v>113899.92</c:v>
                </c:pt>
                <c:pt idx="193">
                  <c:v>113999.92</c:v>
                </c:pt>
                <c:pt idx="194">
                  <c:v>114057.3</c:v>
                </c:pt>
                <c:pt idx="195">
                  <c:v>114099.92</c:v>
                </c:pt>
                <c:pt idx="196">
                  <c:v>114137.3</c:v>
                </c:pt>
                <c:pt idx="197">
                  <c:v>114199.92</c:v>
                </c:pt>
                <c:pt idx="198">
                  <c:v>114299.92</c:v>
                </c:pt>
                <c:pt idx="199">
                  <c:v>114399.92</c:v>
                </c:pt>
                <c:pt idx="200">
                  <c:v>114499.92</c:v>
                </c:pt>
                <c:pt idx="201">
                  <c:v>114599.92</c:v>
                </c:pt>
                <c:pt idx="202">
                  <c:v>114639.2</c:v>
                </c:pt>
                <c:pt idx="203">
                  <c:v>114699.92</c:v>
                </c:pt>
                <c:pt idx="204">
                  <c:v>114719.2</c:v>
                </c:pt>
                <c:pt idx="205">
                  <c:v>114799.92</c:v>
                </c:pt>
                <c:pt idx="206">
                  <c:v>114899.92</c:v>
                </c:pt>
                <c:pt idx="207">
                  <c:v>114983</c:v>
                </c:pt>
                <c:pt idx="208">
                  <c:v>114999.92</c:v>
                </c:pt>
                <c:pt idx="209">
                  <c:v>115063</c:v>
                </c:pt>
                <c:pt idx="210">
                  <c:v>115099.92</c:v>
                </c:pt>
                <c:pt idx="211">
                  <c:v>115199.92</c:v>
                </c:pt>
                <c:pt idx="212">
                  <c:v>115299.92</c:v>
                </c:pt>
                <c:pt idx="213">
                  <c:v>115399.92</c:v>
                </c:pt>
                <c:pt idx="214">
                  <c:v>115499.92</c:v>
                </c:pt>
                <c:pt idx="215">
                  <c:v>115599.92</c:v>
                </c:pt>
                <c:pt idx="216">
                  <c:v>115676.9</c:v>
                </c:pt>
                <c:pt idx="217">
                  <c:v>115699.92</c:v>
                </c:pt>
                <c:pt idx="218">
                  <c:v>115796.9</c:v>
                </c:pt>
                <c:pt idx="219">
                  <c:v>115799.92</c:v>
                </c:pt>
                <c:pt idx="220">
                  <c:v>115899.92</c:v>
                </c:pt>
                <c:pt idx="221">
                  <c:v>115999.92</c:v>
                </c:pt>
                <c:pt idx="222">
                  <c:v>116090.1</c:v>
                </c:pt>
                <c:pt idx="223">
                  <c:v>116099.92</c:v>
                </c:pt>
                <c:pt idx="224">
                  <c:v>116199.92</c:v>
                </c:pt>
                <c:pt idx="225">
                  <c:v>116299.92</c:v>
                </c:pt>
                <c:pt idx="226">
                  <c:v>116399.92</c:v>
                </c:pt>
                <c:pt idx="227">
                  <c:v>116499.92</c:v>
                </c:pt>
                <c:pt idx="228">
                  <c:v>116599.92</c:v>
                </c:pt>
                <c:pt idx="229">
                  <c:v>116699.92</c:v>
                </c:pt>
                <c:pt idx="230">
                  <c:v>116799.92</c:v>
                </c:pt>
                <c:pt idx="231">
                  <c:v>116899.92</c:v>
                </c:pt>
                <c:pt idx="232">
                  <c:v>116999.92</c:v>
                </c:pt>
                <c:pt idx="233">
                  <c:v>117099.92</c:v>
                </c:pt>
                <c:pt idx="234">
                  <c:v>117199.92</c:v>
                </c:pt>
                <c:pt idx="235">
                  <c:v>117299.92</c:v>
                </c:pt>
                <c:pt idx="236">
                  <c:v>117399.92</c:v>
                </c:pt>
                <c:pt idx="237">
                  <c:v>117499.92</c:v>
                </c:pt>
                <c:pt idx="238">
                  <c:v>117599.92</c:v>
                </c:pt>
                <c:pt idx="239">
                  <c:v>117699.92</c:v>
                </c:pt>
                <c:pt idx="240">
                  <c:v>117799.92</c:v>
                </c:pt>
                <c:pt idx="241">
                  <c:v>117899.92</c:v>
                </c:pt>
                <c:pt idx="242">
                  <c:v>117999.92</c:v>
                </c:pt>
                <c:pt idx="243">
                  <c:v>118099.92</c:v>
                </c:pt>
                <c:pt idx="244">
                  <c:v>118199.92</c:v>
                </c:pt>
                <c:pt idx="245">
                  <c:v>118299.92</c:v>
                </c:pt>
                <c:pt idx="246">
                  <c:v>118399.92</c:v>
                </c:pt>
                <c:pt idx="247">
                  <c:v>118499.92</c:v>
                </c:pt>
                <c:pt idx="248">
                  <c:v>118599.92</c:v>
                </c:pt>
                <c:pt idx="249">
                  <c:v>118690.1</c:v>
                </c:pt>
                <c:pt idx="250">
                  <c:v>118699.92</c:v>
                </c:pt>
                <c:pt idx="251">
                  <c:v>118799.92</c:v>
                </c:pt>
                <c:pt idx="252">
                  <c:v>118899.92</c:v>
                </c:pt>
                <c:pt idx="253">
                  <c:v>118999.92</c:v>
                </c:pt>
                <c:pt idx="254">
                  <c:v>119099.92</c:v>
                </c:pt>
                <c:pt idx="255">
                  <c:v>119199.92</c:v>
                </c:pt>
                <c:pt idx="256">
                  <c:v>119299.92</c:v>
                </c:pt>
                <c:pt idx="257">
                  <c:v>119399.92</c:v>
                </c:pt>
                <c:pt idx="258">
                  <c:v>119499.92</c:v>
                </c:pt>
                <c:pt idx="259">
                  <c:v>119599.92</c:v>
                </c:pt>
                <c:pt idx="260">
                  <c:v>119699.92</c:v>
                </c:pt>
                <c:pt idx="261">
                  <c:v>119799.92</c:v>
                </c:pt>
                <c:pt idx="262">
                  <c:v>119899.92</c:v>
                </c:pt>
                <c:pt idx="263">
                  <c:v>119999.92</c:v>
                </c:pt>
                <c:pt idx="264">
                  <c:v>120099.92</c:v>
                </c:pt>
                <c:pt idx="265">
                  <c:v>120199.92</c:v>
                </c:pt>
                <c:pt idx="266">
                  <c:v>120298.2</c:v>
                </c:pt>
                <c:pt idx="267">
                  <c:v>120299.92</c:v>
                </c:pt>
                <c:pt idx="268">
                  <c:v>120378.2</c:v>
                </c:pt>
                <c:pt idx="269">
                  <c:v>120399.92</c:v>
                </c:pt>
                <c:pt idx="270">
                  <c:v>120499.92</c:v>
                </c:pt>
                <c:pt idx="271">
                  <c:v>120599.92</c:v>
                </c:pt>
                <c:pt idx="272">
                  <c:v>120699.92</c:v>
                </c:pt>
                <c:pt idx="273">
                  <c:v>120799.92</c:v>
                </c:pt>
                <c:pt idx="274">
                  <c:v>120899.92</c:v>
                </c:pt>
                <c:pt idx="275">
                  <c:v>120999.92</c:v>
                </c:pt>
                <c:pt idx="276">
                  <c:v>121099.92</c:v>
                </c:pt>
                <c:pt idx="277">
                  <c:v>121199.92</c:v>
                </c:pt>
                <c:pt idx="278">
                  <c:v>121299.92</c:v>
                </c:pt>
                <c:pt idx="279">
                  <c:v>121399.92</c:v>
                </c:pt>
                <c:pt idx="280">
                  <c:v>121499.92</c:v>
                </c:pt>
                <c:pt idx="281">
                  <c:v>121599.92</c:v>
                </c:pt>
                <c:pt idx="282">
                  <c:v>121699.92</c:v>
                </c:pt>
                <c:pt idx="283">
                  <c:v>121799.92</c:v>
                </c:pt>
                <c:pt idx="284">
                  <c:v>121899.92</c:v>
                </c:pt>
                <c:pt idx="285">
                  <c:v>121999.92</c:v>
                </c:pt>
                <c:pt idx="286">
                  <c:v>122099.92</c:v>
                </c:pt>
                <c:pt idx="287">
                  <c:v>122199.92</c:v>
                </c:pt>
                <c:pt idx="288">
                  <c:v>122299.92</c:v>
                </c:pt>
                <c:pt idx="289">
                  <c:v>122399.92</c:v>
                </c:pt>
                <c:pt idx="290">
                  <c:v>122499.92</c:v>
                </c:pt>
                <c:pt idx="291">
                  <c:v>122599.92</c:v>
                </c:pt>
                <c:pt idx="292">
                  <c:v>122699.92</c:v>
                </c:pt>
                <c:pt idx="293">
                  <c:v>122799.92</c:v>
                </c:pt>
                <c:pt idx="294">
                  <c:v>122899.92</c:v>
                </c:pt>
                <c:pt idx="295">
                  <c:v>122999.92</c:v>
                </c:pt>
                <c:pt idx="296">
                  <c:v>123099.92</c:v>
                </c:pt>
                <c:pt idx="297">
                  <c:v>123199.92</c:v>
                </c:pt>
                <c:pt idx="298">
                  <c:v>123215.6</c:v>
                </c:pt>
                <c:pt idx="299">
                  <c:v>123295.6</c:v>
                </c:pt>
                <c:pt idx="300">
                  <c:v>123299.92</c:v>
                </c:pt>
                <c:pt idx="301">
                  <c:v>123399.92</c:v>
                </c:pt>
                <c:pt idx="302">
                  <c:v>123499.92</c:v>
                </c:pt>
                <c:pt idx="303">
                  <c:v>123599.92</c:v>
                </c:pt>
                <c:pt idx="304">
                  <c:v>123699.92</c:v>
                </c:pt>
                <c:pt idx="305">
                  <c:v>123799.92</c:v>
                </c:pt>
                <c:pt idx="306">
                  <c:v>123899.92</c:v>
                </c:pt>
                <c:pt idx="307">
                  <c:v>123999.92</c:v>
                </c:pt>
                <c:pt idx="308">
                  <c:v>124099.92</c:v>
                </c:pt>
                <c:pt idx="309">
                  <c:v>124199.92</c:v>
                </c:pt>
                <c:pt idx="310">
                  <c:v>124299.92</c:v>
                </c:pt>
                <c:pt idx="311">
                  <c:v>124399.92</c:v>
                </c:pt>
                <c:pt idx="312">
                  <c:v>124499.92</c:v>
                </c:pt>
                <c:pt idx="313">
                  <c:v>124599.92</c:v>
                </c:pt>
                <c:pt idx="314">
                  <c:v>124699.92</c:v>
                </c:pt>
                <c:pt idx="315">
                  <c:v>124799.92</c:v>
                </c:pt>
                <c:pt idx="316">
                  <c:v>124899.92</c:v>
                </c:pt>
                <c:pt idx="317">
                  <c:v>124999.92</c:v>
                </c:pt>
                <c:pt idx="318">
                  <c:v>125099.92</c:v>
                </c:pt>
                <c:pt idx="319">
                  <c:v>125156.3</c:v>
                </c:pt>
                <c:pt idx="320">
                  <c:v>125199.92</c:v>
                </c:pt>
                <c:pt idx="321">
                  <c:v>125236.3</c:v>
                </c:pt>
                <c:pt idx="322">
                  <c:v>125299.92</c:v>
                </c:pt>
                <c:pt idx="323">
                  <c:v>125399.92</c:v>
                </c:pt>
                <c:pt idx="324">
                  <c:v>125499.92</c:v>
                </c:pt>
                <c:pt idx="325">
                  <c:v>125599.92</c:v>
                </c:pt>
                <c:pt idx="326">
                  <c:v>125699.92</c:v>
                </c:pt>
                <c:pt idx="327">
                  <c:v>125723.1</c:v>
                </c:pt>
                <c:pt idx="328">
                  <c:v>125798.1</c:v>
                </c:pt>
                <c:pt idx="329">
                  <c:v>125799.92</c:v>
                </c:pt>
                <c:pt idx="330">
                  <c:v>125899.92</c:v>
                </c:pt>
                <c:pt idx="331">
                  <c:v>125915.7</c:v>
                </c:pt>
                <c:pt idx="332">
                  <c:v>125999.92</c:v>
                </c:pt>
                <c:pt idx="333">
                  <c:v>126075.7</c:v>
                </c:pt>
                <c:pt idx="334">
                  <c:v>126099.92</c:v>
                </c:pt>
                <c:pt idx="335">
                  <c:v>126199.92</c:v>
                </c:pt>
                <c:pt idx="336">
                  <c:v>126299.92</c:v>
                </c:pt>
                <c:pt idx="337">
                  <c:v>126399.92</c:v>
                </c:pt>
                <c:pt idx="338">
                  <c:v>126499.92</c:v>
                </c:pt>
                <c:pt idx="339">
                  <c:v>126599.92</c:v>
                </c:pt>
                <c:pt idx="340">
                  <c:v>126699.92</c:v>
                </c:pt>
                <c:pt idx="341">
                  <c:v>126799.92</c:v>
                </c:pt>
                <c:pt idx="342">
                  <c:v>126899.92</c:v>
                </c:pt>
                <c:pt idx="343">
                  <c:v>126999.92</c:v>
                </c:pt>
                <c:pt idx="344">
                  <c:v>127099.92</c:v>
                </c:pt>
                <c:pt idx="345">
                  <c:v>127199.92</c:v>
                </c:pt>
                <c:pt idx="346">
                  <c:v>127299.92</c:v>
                </c:pt>
                <c:pt idx="347">
                  <c:v>127399.92</c:v>
                </c:pt>
                <c:pt idx="348">
                  <c:v>127499.92</c:v>
                </c:pt>
                <c:pt idx="349">
                  <c:v>127599.92</c:v>
                </c:pt>
                <c:pt idx="350">
                  <c:v>127699.92</c:v>
                </c:pt>
                <c:pt idx="351">
                  <c:v>127799.92</c:v>
                </c:pt>
                <c:pt idx="352">
                  <c:v>127899.92</c:v>
                </c:pt>
                <c:pt idx="353">
                  <c:v>127999.92</c:v>
                </c:pt>
                <c:pt idx="354">
                  <c:v>128099.92</c:v>
                </c:pt>
                <c:pt idx="355">
                  <c:v>128199.92</c:v>
                </c:pt>
                <c:pt idx="356">
                  <c:v>128299.92</c:v>
                </c:pt>
                <c:pt idx="357">
                  <c:v>128399.92</c:v>
                </c:pt>
                <c:pt idx="358">
                  <c:v>128499.92</c:v>
                </c:pt>
                <c:pt idx="359">
                  <c:v>128599.92</c:v>
                </c:pt>
                <c:pt idx="360">
                  <c:v>128699.92</c:v>
                </c:pt>
                <c:pt idx="361">
                  <c:v>128799.92</c:v>
                </c:pt>
                <c:pt idx="362">
                  <c:v>128899.92</c:v>
                </c:pt>
                <c:pt idx="363">
                  <c:v>128999.92</c:v>
                </c:pt>
                <c:pt idx="364">
                  <c:v>129099.92</c:v>
                </c:pt>
                <c:pt idx="365">
                  <c:v>129199.92</c:v>
                </c:pt>
                <c:pt idx="366">
                  <c:v>129299.92</c:v>
                </c:pt>
                <c:pt idx="367">
                  <c:v>129399.92</c:v>
                </c:pt>
                <c:pt idx="368">
                  <c:v>129499.92</c:v>
                </c:pt>
                <c:pt idx="369">
                  <c:v>129599.92</c:v>
                </c:pt>
                <c:pt idx="370">
                  <c:v>129699.92</c:v>
                </c:pt>
                <c:pt idx="371">
                  <c:v>129799.92</c:v>
                </c:pt>
                <c:pt idx="372">
                  <c:v>129899.92</c:v>
                </c:pt>
                <c:pt idx="373">
                  <c:v>129918.1</c:v>
                </c:pt>
                <c:pt idx="374">
                  <c:v>129998.1</c:v>
                </c:pt>
                <c:pt idx="375">
                  <c:v>129999.92</c:v>
                </c:pt>
                <c:pt idx="376">
                  <c:v>130099.92</c:v>
                </c:pt>
                <c:pt idx="377">
                  <c:v>130199.92</c:v>
                </c:pt>
                <c:pt idx="378">
                  <c:v>130299.92</c:v>
                </c:pt>
                <c:pt idx="379">
                  <c:v>130399.92</c:v>
                </c:pt>
                <c:pt idx="380">
                  <c:v>130499.92</c:v>
                </c:pt>
                <c:pt idx="381">
                  <c:v>130599.92</c:v>
                </c:pt>
                <c:pt idx="382">
                  <c:v>130699.92</c:v>
                </c:pt>
                <c:pt idx="383">
                  <c:v>130799.92</c:v>
                </c:pt>
                <c:pt idx="384">
                  <c:v>130899.92</c:v>
                </c:pt>
                <c:pt idx="385">
                  <c:v>130999.92</c:v>
                </c:pt>
                <c:pt idx="386">
                  <c:v>131099.92000000001</c:v>
                </c:pt>
                <c:pt idx="387">
                  <c:v>131199.92000000001</c:v>
                </c:pt>
                <c:pt idx="388">
                  <c:v>131299.92000000001</c:v>
                </c:pt>
                <c:pt idx="389">
                  <c:v>131399.92000000001</c:v>
                </c:pt>
                <c:pt idx="390">
                  <c:v>131482.9</c:v>
                </c:pt>
                <c:pt idx="391">
                  <c:v>131499.92000000001</c:v>
                </c:pt>
                <c:pt idx="392">
                  <c:v>131562.9</c:v>
                </c:pt>
                <c:pt idx="393">
                  <c:v>131599.92000000001</c:v>
                </c:pt>
                <c:pt idx="394">
                  <c:v>131699.92000000001</c:v>
                </c:pt>
                <c:pt idx="395">
                  <c:v>131799.92000000001</c:v>
                </c:pt>
                <c:pt idx="396">
                  <c:v>131899.92000000001</c:v>
                </c:pt>
                <c:pt idx="397">
                  <c:v>131999.92000000001</c:v>
                </c:pt>
                <c:pt idx="398">
                  <c:v>132099.92000000001</c:v>
                </c:pt>
                <c:pt idx="399">
                  <c:v>132199.92000000001</c:v>
                </c:pt>
                <c:pt idx="400">
                  <c:v>132299.92000000001</c:v>
                </c:pt>
                <c:pt idx="401">
                  <c:v>132399.92000000001</c:v>
                </c:pt>
                <c:pt idx="402">
                  <c:v>132499.92000000001</c:v>
                </c:pt>
                <c:pt idx="403">
                  <c:v>132599.92000000001</c:v>
                </c:pt>
                <c:pt idx="404">
                  <c:v>132699.92000000001</c:v>
                </c:pt>
                <c:pt idx="405">
                  <c:v>132799.1</c:v>
                </c:pt>
                <c:pt idx="406">
                  <c:v>132799.92000000001</c:v>
                </c:pt>
                <c:pt idx="407">
                  <c:v>132899.92000000001</c:v>
                </c:pt>
                <c:pt idx="408">
                  <c:v>132999.92000000001</c:v>
                </c:pt>
                <c:pt idx="409">
                  <c:v>133039.1</c:v>
                </c:pt>
                <c:pt idx="410">
                  <c:v>133099.92000000001</c:v>
                </c:pt>
                <c:pt idx="411">
                  <c:v>133199.92000000001</c:v>
                </c:pt>
                <c:pt idx="412">
                  <c:v>133299.92000000001</c:v>
                </c:pt>
                <c:pt idx="413">
                  <c:v>133399.92000000001</c:v>
                </c:pt>
                <c:pt idx="414">
                  <c:v>133499.92000000001</c:v>
                </c:pt>
                <c:pt idx="415">
                  <c:v>133599.92000000001</c:v>
                </c:pt>
                <c:pt idx="416">
                  <c:v>133699.92000000001</c:v>
                </c:pt>
                <c:pt idx="417">
                  <c:v>133799.92000000001</c:v>
                </c:pt>
                <c:pt idx="418">
                  <c:v>133899.92000000001</c:v>
                </c:pt>
                <c:pt idx="419">
                  <c:v>133999.92000000001</c:v>
                </c:pt>
                <c:pt idx="420">
                  <c:v>134099.92000000001</c:v>
                </c:pt>
                <c:pt idx="421">
                  <c:v>134199.92000000001</c:v>
                </c:pt>
                <c:pt idx="422">
                  <c:v>134299.92000000001</c:v>
                </c:pt>
                <c:pt idx="423">
                  <c:v>134399.92000000001</c:v>
                </c:pt>
                <c:pt idx="424">
                  <c:v>134499.92000000001</c:v>
                </c:pt>
                <c:pt idx="425">
                  <c:v>134599.92000000001</c:v>
                </c:pt>
                <c:pt idx="426">
                  <c:v>134699.92000000001</c:v>
                </c:pt>
                <c:pt idx="427">
                  <c:v>134799.92000000001</c:v>
                </c:pt>
                <c:pt idx="428">
                  <c:v>134899.92000000001</c:v>
                </c:pt>
                <c:pt idx="429">
                  <c:v>134999.92000000001</c:v>
                </c:pt>
                <c:pt idx="430">
                  <c:v>135099.92000000001</c:v>
                </c:pt>
                <c:pt idx="431">
                  <c:v>135199.92000000001</c:v>
                </c:pt>
                <c:pt idx="432">
                  <c:v>135299.92000000001</c:v>
                </c:pt>
                <c:pt idx="433">
                  <c:v>135399.92000000001</c:v>
                </c:pt>
                <c:pt idx="434">
                  <c:v>135499.92000000001</c:v>
                </c:pt>
                <c:pt idx="435">
                  <c:v>135599.92000000001</c:v>
                </c:pt>
                <c:pt idx="436">
                  <c:v>135699.92000000001</c:v>
                </c:pt>
                <c:pt idx="437">
                  <c:v>135799.92000000001</c:v>
                </c:pt>
                <c:pt idx="438">
                  <c:v>135899.92000000001</c:v>
                </c:pt>
                <c:pt idx="439">
                  <c:v>135999.92000000001</c:v>
                </c:pt>
                <c:pt idx="440">
                  <c:v>136099.92000000001</c:v>
                </c:pt>
                <c:pt idx="441">
                  <c:v>136199.92000000001</c:v>
                </c:pt>
                <c:pt idx="442">
                  <c:v>136299.92000000001</c:v>
                </c:pt>
                <c:pt idx="443">
                  <c:v>136399.92000000001</c:v>
                </c:pt>
                <c:pt idx="444">
                  <c:v>136499.92000000001</c:v>
                </c:pt>
                <c:pt idx="445">
                  <c:v>136599.92000000001</c:v>
                </c:pt>
                <c:pt idx="446">
                  <c:v>136699.92000000001</c:v>
                </c:pt>
                <c:pt idx="447">
                  <c:v>136799.92000000001</c:v>
                </c:pt>
                <c:pt idx="448">
                  <c:v>136899.92000000001</c:v>
                </c:pt>
                <c:pt idx="449">
                  <c:v>136999.92000000001</c:v>
                </c:pt>
                <c:pt idx="450">
                  <c:v>137099.92000000001</c:v>
                </c:pt>
                <c:pt idx="451">
                  <c:v>137199.92000000001</c:v>
                </c:pt>
                <c:pt idx="452">
                  <c:v>137299.92000000001</c:v>
                </c:pt>
                <c:pt idx="453">
                  <c:v>137399.92000000001</c:v>
                </c:pt>
                <c:pt idx="454">
                  <c:v>137499.92000000001</c:v>
                </c:pt>
                <c:pt idx="455">
                  <c:v>137599.92000000001</c:v>
                </c:pt>
                <c:pt idx="456">
                  <c:v>137699.92000000001</c:v>
                </c:pt>
                <c:pt idx="457">
                  <c:v>137745.70000000001</c:v>
                </c:pt>
                <c:pt idx="458">
                  <c:v>137799.92000000001</c:v>
                </c:pt>
                <c:pt idx="459">
                  <c:v>137899.92000000001</c:v>
                </c:pt>
                <c:pt idx="460">
                  <c:v>137999.92000000001</c:v>
                </c:pt>
                <c:pt idx="461">
                  <c:v>138099.92000000001</c:v>
                </c:pt>
                <c:pt idx="462">
                  <c:v>138199.92000000001</c:v>
                </c:pt>
                <c:pt idx="463">
                  <c:v>138299.92000000001</c:v>
                </c:pt>
                <c:pt idx="464">
                  <c:v>138399.92000000001</c:v>
                </c:pt>
                <c:pt idx="465">
                  <c:v>138465.70000000001</c:v>
                </c:pt>
                <c:pt idx="466">
                  <c:v>138499.92000000001</c:v>
                </c:pt>
                <c:pt idx="467">
                  <c:v>138599.92000000001</c:v>
                </c:pt>
                <c:pt idx="468">
                  <c:v>138699.92000000001</c:v>
                </c:pt>
                <c:pt idx="469">
                  <c:v>138799.92000000001</c:v>
                </c:pt>
                <c:pt idx="470">
                  <c:v>138836.1</c:v>
                </c:pt>
                <c:pt idx="471">
                  <c:v>138899.92000000001</c:v>
                </c:pt>
                <c:pt idx="472">
                  <c:v>138916.1</c:v>
                </c:pt>
                <c:pt idx="473">
                  <c:v>138999.92000000001</c:v>
                </c:pt>
                <c:pt idx="474">
                  <c:v>139099.92000000001</c:v>
                </c:pt>
                <c:pt idx="475">
                  <c:v>139199.92000000001</c:v>
                </c:pt>
                <c:pt idx="476">
                  <c:v>139299.92000000001</c:v>
                </c:pt>
                <c:pt idx="477">
                  <c:v>139399.92000000001</c:v>
                </c:pt>
                <c:pt idx="478">
                  <c:v>139424.9</c:v>
                </c:pt>
                <c:pt idx="479">
                  <c:v>139499.92000000001</c:v>
                </c:pt>
                <c:pt idx="480">
                  <c:v>139584.9</c:v>
                </c:pt>
                <c:pt idx="481">
                  <c:v>139599.92000000001</c:v>
                </c:pt>
                <c:pt idx="482">
                  <c:v>139699.92000000001</c:v>
                </c:pt>
                <c:pt idx="483">
                  <c:v>139799.92000000001</c:v>
                </c:pt>
                <c:pt idx="484">
                  <c:v>139899.92000000001</c:v>
                </c:pt>
                <c:pt idx="485">
                  <c:v>139999.92000000001</c:v>
                </c:pt>
                <c:pt idx="486">
                  <c:v>140099.92000000001</c:v>
                </c:pt>
                <c:pt idx="487">
                  <c:v>140199.92000000001</c:v>
                </c:pt>
                <c:pt idx="488">
                  <c:v>140299.92000000001</c:v>
                </c:pt>
                <c:pt idx="489">
                  <c:v>140399.92000000001</c:v>
                </c:pt>
                <c:pt idx="490">
                  <c:v>140499.92000000001</c:v>
                </c:pt>
                <c:pt idx="491">
                  <c:v>140599.92000000001</c:v>
                </c:pt>
                <c:pt idx="492">
                  <c:v>140699.92000000001</c:v>
                </c:pt>
                <c:pt idx="493">
                  <c:v>140799.92000000001</c:v>
                </c:pt>
                <c:pt idx="494">
                  <c:v>140899.92000000001</c:v>
                </c:pt>
                <c:pt idx="495">
                  <c:v>140999.92000000001</c:v>
                </c:pt>
                <c:pt idx="496">
                  <c:v>141099.92000000001</c:v>
                </c:pt>
                <c:pt idx="497">
                  <c:v>141199.92000000001</c:v>
                </c:pt>
                <c:pt idx="498">
                  <c:v>141299.92000000001</c:v>
                </c:pt>
                <c:pt idx="499">
                  <c:v>141399.92000000001</c:v>
                </c:pt>
                <c:pt idx="500">
                  <c:v>141499.92000000001</c:v>
                </c:pt>
                <c:pt idx="501">
                  <c:v>141599.92000000001</c:v>
                </c:pt>
                <c:pt idx="502">
                  <c:v>141699.92000000001</c:v>
                </c:pt>
                <c:pt idx="503">
                  <c:v>141799.92000000001</c:v>
                </c:pt>
                <c:pt idx="504">
                  <c:v>141899.92000000001</c:v>
                </c:pt>
                <c:pt idx="505">
                  <c:v>141999.92000000001</c:v>
                </c:pt>
                <c:pt idx="506">
                  <c:v>142099.92000000001</c:v>
                </c:pt>
                <c:pt idx="507">
                  <c:v>142199.92000000001</c:v>
                </c:pt>
                <c:pt idx="508">
                  <c:v>142299.92000000001</c:v>
                </c:pt>
                <c:pt idx="509">
                  <c:v>142399.92000000001</c:v>
                </c:pt>
                <c:pt idx="510">
                  <c:v>142427</c:v>
                </c:pt>
                <c:pt idx="511">
                  <c:v>142499.92000000001</c:v>
                </c:pt>
                <c:pt idx="512">
                  <c:v>142507</c:v>
                </c:pt>
                <c:pt idx="513">
                  <c:v>142599.92000000001</c:v>
                </c:pt>
                <c:pt idx="514">
                  <c:v>142699.92000000001</c:v>
                </c:pt>
                <c:pt idx="515">
                  <c:v>142799.92000000001</c:v>
                </c:pt>
                <c:pt idx="516">
                  <c:v>142899.92000000001</c:v>
                </c:pt>
                <c:pt idx="517">
                  <c:v>142999.92000000001</c:v>
                </c:pt>
                <c:pt idx="518">
                  <c:v>143099.92000000001</c:v>
                </c:pt>
                <c:pt idx="519">
                  <c:v>143199.92000000001</c:v>
                </c:pt>
                <c:pt idx="520">
                  <c:v>143299.92000000001</c:v>
                </c:pt>
                <c:pt idx="521">
                  <c:v>143399.92000000001</c:v>
                </c:pt>
                <c:pt idx="522">
                  <c:v>143499.92000000001</c:v>
                </c:pt>
                <c:pt idx="523">
                  <c:v>143599.92000000001</c:v>
                </c:pt>
                <c:pt idx="524">
                  <c:v>143699.92000000001</c:v>
                </c:pt>
                <c:pt idx="525">
                  <c:v>143799.92000000001</c:v>
                </c:pt>
                <c:pt idx="526">
                  <c:v>143899.92000000001</c:v>
                </c:pt>
                <c:pt idx="527">
                  <c:v>143999.92000000001</c:v>
                </c:pt>
                <c:pt idx="528">
                  <c:v>144099.92000000001</c:v>
                </c:pt>
                <c:pt idx="529">
                  <c:v>144199.92000000001</c:v>
                </c:pt>
                <c:pt idx="530">
                  <c:v>144299.92000000001</c:v>
                </c:pt>
                <c:pt idx="531">
                  <c:v>144399.92000000001</c:v>
                </c:pt>
                <c:pt idx="532">
                  <c:v>144478.29999999999</c:v>
                </c:pt>
                <c:pt idx="533">
                  <c:v>144499.92000000001</c:v>
                </c:pt>
                <c:pt idx="534">
                  <c:v>144558.29999999999</c:v>
                </c:pt>
                <c:pt idx="535">
                  <c:v>144599.92000000001</c:v>
                </c:pt>
                <c:pt idx="536">
                  <c:v>144699.92000000001</c:v>
                </c:pt>
                <c:pt idx="537">
                  <c:v>144799.92000000001</c:v>
                </c:pt>
                <c:pt idx="538">
                  <c:v>144899.92000000001</c:v>
                </c:pt>
                <c:pt idx="539">
                  <c:v>144999.92000000001</c:v>
                </c:pt>
                <c:pt idx="540">
                  <c:v>145099.92000000001</c:v>
                </c:pt>
                <c:pt idx="541">
                  <c:v>145199.92000000001</c:v>
                </c:pt>
                <c:pt idx="542">
                  <c:v>145299.92000000001</c:v>
                </c:pt>
                <c:pt idx="543">
                  <c:v>145399.92000000001</c:v>
                </c:pt>
                <c:pt idx="544">
                  <c:v>145499.92000000001</c:v>
                </c:pt>
                <c:pt idx="545">
                  <c:v>145599.92000000001</c:v>
                </c:pt>
                <c:pt idx="546">
                  <c:v>145699.92000000001</c:v>
                </c:pt>
                <c:pt idx="547">
                  <c:v>145799.92000000001</c:v>
                </c:pt>
                <c:pt idx="548">
                  <c:v>145899.92000000001</c:v>
                </c:pt>
                <c:pt idx="549">
                  <c:v>145999.92000000001</c:v>
                </c:pt>
                <c:pt idx="550">
                  <c:v>146099.92000000001</c:v>
                </c:pt>
                <c:pt idx="551">
                  <c:v>146199.92000000001</c:v>
                </c:pt>
                <c:pt idx="552">
                  <c:v>146262.29999999999</c:v>
                </c:pt>
                <c:pt idx="553">
                  <c:v>146299.92000000001</c:v>
                </c:pt>
                <c:pt idx="554">
                  <c:v>146342.29999999999</c:v>
                </c:pt>
                <c:pt idx="555">
                  <c:v>146399.92000000001</c:v>
                </c:pt>
                <c:pt idx="556">
                  <c:v>146499.92000000001</c:v>
                </c:pt>
                <c:pt idx="557">
                  <c:v>146599.92000000001</c:v>
                </c:pt>
                <c:pt idx="558">
                  <c:v>146699.92000000001</c:v>
                </c:pt>
                <c:pt idx="559">
                  <c:v>146799.92000000001</c:v>
                </c:pt>
                <c:pt idx="560">
                  <c:v>146899.92000000001</c:v>
                </c:pt>
                <c:pt idx="561">
                  <c:v>146999.92000000001</c:v>
                </c:pt>
                <c:pt idx="562">
                  <c:v>147099.92000000001</c:v>
                </c:pt>
                <c:pt idx="563">
                  <c:v>147199.92000000001</c:v>
                </c:pt>
                <c:pt idx="564">
                  <c:v>147299.92000000001</c:v>
                </c:pt>
                <c:pt idx="565">
                  <c:v>147399.92000000001</c:v>
                </c:pt>
                <c:pt idx="566">
                  <c:v>147499.92000000001</c:v>
                </c:pt>
                <c:pt idx="567">
                  <c:v>147599.92000000001</c:v>
                </c:pt>
                <c:pt idx="568">
                  <c:v>147699.92000000001</c:v>
                </c:pt>
                <c:pt idx="569">
                  <c:v>147799.92000000001</c:v>
                </c:pt>
                <c:pt idx="570">
                  <c:v>147899.92000000001</c:v>
                </c:pt>
                <c:pt idx="571">
                  <c:v>147999.92000000001</c:v>
                </c:pt>
                <c:pt idx="572">
                  <c:v>148099.92000000001</c:v>
                </c:pt>
                <c:pt idx="573">
                  <c:v>148199.92000000001</c:v>
                </c:pt>
                <c:pt idx="574">
                  <c:v>148299.92000000001</c:v>
                </c:pt>
                <c:pt idx="575">
                  <c:v>148399.92000000001</c:v>
                </c:pt>
                <c:pt idx="576">
                  <c:v>148499.92000000001</c:v>
                </c:pt>
                <c:pt idx="577">
                  <c:v>148599.92000000001</c:v>
                </c:pt>
                <c:pt idx="578">
                  <c:v>148699.92000000001</c:v>
                </c:pt>
                <c:pt idx="579">
                  <c:v>148799.92000000001</c:v>
                </c:pt>
                <c:pt idx="580">
                  <c:v>148899.92000000001</c:v>
                </c:pt>
                <c:pt idx="581">
                  <c:v>148999.92000000001</c:v>
                </c:pt>
                <c:pt idx="582">
                  <c:v>149099.92000000001</c:v>
                </c:pt>
                <c:pt idx="583">
                  <c:v>149199.92000000001</c:v>
                </c:pt>
                <c:pt idx="584">
                  <c:v>149299.92000000001</c:v>
                </c:pt>
                <c:pt idx="585">
                  <c:v>149399.92000000001</c:v>
                </c:pt>
                <c:pt idx="586">
                  <c:v>149499.92000000001</c:v>
                </c:pt>
                <c:pt idx="587">
                  <c:v>149599.92000000001</c:v>
                </c:pt>
                <c:pt idx="588">
                  <c:v>149699.92000000001</c:v>
                </c:pt>
                <c:pt idx="589">
                  <c:v>149799.92000000001</c:v>
                </c:pt>
                <c:pt idx="590">
                  <c:v>149899.92000000001</c:v>
                </c:pt>
                <c:pt idx="591">
                  <c:v>149999.92000000001</c:v>
                </c:pt>
                <c:pt idx="592">
                  <c:v>150099.92000000001</c:v>
                </c:pt>
                <c:pt idx="593">
                  <c:v>150120.79999999999</c:v>
                </c:pt>
                <c:pt idx="594">
                  <c:v>150199.92000000001</c:v>
                </c:pt>
                <c:pt idx="595">
                  <c:v>150240.79999999999</c:v>
                </c:pt>
                <c:pt idx="596">
                  <c:v>150299.92000000001</c:v>
                </c:pt>
                <c:pt idx="597">
                  <c:v>150399.92000000001</c:v>
                </c:pt>
                <c:pt idx="598">
                  <c:v>150499.92000000001</c:v>
                </c:pt>
                <c:pt idx="599">
                  <c:v>150599.92000000001</c:v>
                </c:pt>
                <c:pt idx="600">
                  <c:v>150699.92000000001</c:v>
                </c:pt>
                <c:pt idx="601">
                  <c:v>150799.92000000001</c:v>
                </c:pt>
                <c:pt idx="602">
                  <c:v>150899.92000000001</c:v>
                </c:pt>
                <c:pt idx="603">
                  <c:v>150999.92000000001</c:v>
                </c:pt>
                <c:pt idx="604">
                  <c:v>151099.92000000001</c:v>
                </c:pt>
                <c:pt idx="605">
                  <c:v>151199.92000000001</c:v>
                </c:pt>
                <c:pt idx="606">
                  <c:v>151299.92000000001</c:v>
                </c:pt>
                <c:pt idx="607">
                  <c:v>151399.92000000001</c:v>
                </c:pt>
                <c:pt idx="608">
                  <c:v>151499.92000000001</c:v>
                </c:pt>
                <c:pt idx="609">
                  <c:v>151599.92000000001</c:v>
                </c:pt>
                <c:pt idx="610">
                  <c:v>151699.92000000001</c:v>
                </c:pt>
                <c:pt idx="611">
                  <c:v>151799.92000000001</c:v>
                </c:pt>
                <c:pt idx="612">
                  <c:v>151899.92000000001</c:v>
                </c:pt>
                <c:pt idx="613">
                  <c:v>151999.92000000001</c:v>
                </c:pt>
                <c:pt idx="614">
                  <c:v>152099.92000000001</c:v>
                </c:pt>
                <c:pt idx="615">
                  <c:v>152199.92000000001</c:v>
                </c:pt>
                <c:pt idx="616">
                  <c:v>152299.92000000001</c:v>
                </c:pt>
                <c:pt idx="617">
                  <c:v>152399.92000000001</c:v>
                </c:pt>
                <c:pt idx="618">
                  <c:v>152499.92000000001</c:v>
                </c:pt>
                <c:pt idx="619">
                  <c:v>152599.92000000001</c:v>
                </c:pt>
                <c:pt idx="620">
                  <c:v>152699.92000000001</c:v>
                </c:pt>
                <c:pt idx="621">
                  <c:v>152799.92000000001</c:v>
                </c:pt>
                <c:pt idx="622">
                  <c:v>152899.92000000001</c:v>
                </c:pt>
                <c:pt idx="623">
                  <c:v>152999.92000000001</c:v>
                </c:pt>
                <c:pt idx="624">
                  <c:v>153099.92000000001</c:v>
                </c:pt>
                <c:pt idx="625">
                  <c:v>153199.92000000001</c:v>
                </c:pt>
                <c:pt idx="626">
                  <c:v>153299.92000000001</c:v>
                </c:pt>
                <c:pt idx="627">
                  <c:v>153399.92000000001</c:v>
                </c:pt>
                <c:pt idx="628">
                  <c:v>153499.92000000001</c:v>
                </c:pt>
                <c:pt idx="629">
                  <c:v>153599.92000000001</c:v>
                </c:pt>
                <c:pt idx="630">
                  <c:v>153699.92000000001</c:v>
                </c:pt>
                <c:pt idx="631">
                  <c:v>153799.92000000001</c:v>
                </c:pt>
                <c:pt idx="632">
                  <c:v>153859</c:v>
                </c:pt>
                <c:pt idx="633">
                  <c:v>153899.92000000001</c:v>
                </c:pt>
                <c:pt idx="634">
                  <c:v>153999.92000000001</c:v>
                </c:pt>
                <c:pt idx="635">
                  <c:v>154099.92000000001</c:v>
                </c:pt>
                <c:pt idx="636">
                  <c:v>154199.92000000001</c:v>
                </c:pt>
                <c:pt idx="637">
                  <c:v>154299.92000000001</c:v>
                </c:pt>
                <c:pt idx="638">
                  <c:v>154399.92000000001</c:v>
                </c:pt>
                <c:pt idx="639">
                  <c:v>154499.92000000001</c:v>
                </c:pt>
                <c:pt idx="640">
                  <c:v>154599.92000000001</c:v>
                </c:pt>
                <c:pt idx="641">
                  <c:v>154699.92000000001</c:v>
                </c:pt>
                <c:pt idx="642">
                  <c:v>154799.92000000001</c:v>
                </c:pt>
                <c:pt idx="643">
                  <c:v>154899.92000000001</c:v>
                </c:pt>
                <c:pt idx="644">
                  <c:v>154999.92000000001</c:v>
                </c:pt>
                <c:pt idx="645">
                  <c:v>155099.92000000001</c:v>
                </c:pt>
                <c:pt idx="646">
                  <c:v>155199.92000000001</c:v>
                </c:pt>
                <c:pt idx="647">
                  <c:v>155299.92000000001</c:v>
                </c:pt>
                <c:pt idx="648">
                  <c:v>155399.92000000001</c:v>
                </c:pt>
                <c:pt idx="649">
                  <c:v>155499.92000000001</c:v>
                </c:pt>
                <c:pt idx="650">
                  <c:v>155569</c:v>
                </c:pt>
                <c:pt idx="651">
                  <c:v>155599.92000000001</c:v>
                </c:pt>
                <c:pt idx="652">
                  <c:v>155699.92000000001</c:v>
                </c:pt>
                <c:pt idx="653">
                  <c:v>155799.92000000001</c:v>
                </c:pt>
                <c:pt idx="654">
                  <c:v>155899.92000000001</c:v>
                </c:pt>
                <c:pt idx="655">
                  <c:v>155999.92000000001</c:v>
                </c:pt>
                <c:pt idx="656">
                  <c:v>156099.92000000001</c:v>
                </c:pt>
                <c:pt idx="657">
                  <c:v>156199.92000000001</c:v>
                </c:pt>
                <c:pt idx="658">
                  <c:v>156299.92000000001</c:v>
                </c:pt>
                <c:pt idx="659">
                  <c:v>156399.92000000001</c:v>
                </c:pt>
                <c:pt idx="660">
                  <c:v>156499.92000000001</c:v>
                </c:pt>
                <c:pt idx="661">
                  <c:v>156599.92000000001</c:v>
                </c:pt>
                <c:pt idx="662">
                  <c:v>156699.92000000001</c:v>
                </c:pt>
                <c:pt idx="663">
                  <c:v>156799.92000000001</c:v>
                </c:pt>
                <c:pt idx="664">
                  <c:v>156899.92000000001</c:v>
                </c:pt>
                <c:pt idx="665">
                  <c:v>156999.92000000001</c:v>
                </c:pt>
                <c:pt idx="666">
                  <c:v>157099.92000000001</c:v>
                </c:pt>
                <c:pt idx="667">
                  <c:v>157199.92000000001</c:v>
                </c:pt>
                <c:pt idx="668">
                  <c:v>157299.92000000001</c:v>
                </c:pt>
                <c:pt idx="669">
                  <c:v>157399.92000000001</c:v>
                </c:pt>
                <c:pt idx="670">
                  <c:v>157499.92000000001</c:v>
                </c:pt>
                <c:pt idx="671">
                  <c:v>157599.92000000001</c:v>
                </c:pt>
                <c:pt idx="672">
                  <c:v>157699.92000000001</c:v>
                </c:pt>
                <c:pt idx="673">
                  <c:v>157799.92000000001</c:v>
                </c:pt>
                <c:pt idx="674">
                  <c:v>157899.92000000001</c:v>
                </c:pt>
                <c:pt idx="675">
                  <c:v>157999.92000000001</c:v>
                </c:pt>
                <c:pt idx="676">
                  <c:v>158099.92000000001</c:v>
                </c:pt>
                <c:pt idx="677">
                  <c:v>158199.92000000001</c:v>
                </c:pt>
                <c:pt idx="678">
                  <c:v>158299.92000000001</c:v>
                </c:pt>
                <c:pt idx="679">
                  <c:v>158399.92000000001</c:v>
                </c:pt>
                <c:pt idx="680">
                  <c:v>158499.92000000001</c:v>
                </c:pt>
                <c:pt idx="681">
                  <c:v>158599.92000000001</c:v>
                </c:pt>
                <c:pt idx="682">
                  <c:v>158699.92000000001</c:v>
                </c:pt>
                <c:pt idx="683">
                  <c:v>158737.4</c:v>
                </c:pt>
                <c:pt idx="684">
                  <c:v>158799.92000000001</c:v>
                </c:pt>
                <c:pt idx="685">
                  <c:v>158897.4</c:v>
                </c:pt>
                <c:pt idx="686">
                  <c:v>158899.92000000001</c:v>
                </c:pt>
                <c:pt idx="687">
                  <c:v>158999.92000000001</c:v>
                </c:pt>
                <c:pt idx="688">
                  <c:v>159099.92000000001</c:v>
                </c:pt>
                <c:pt idx="689">
                  <c:v>159199.92000000001</c:v>
                </c:pt>
                <c:pt idx="690">
                  <c:v>159299.92000000001</c:v>
                </c:pt>
                <c:pt idx="691">
                  <c:v>159399.92000000001</c:v>
                </c:pt>
                <c:pt idx="692">
                  <c:v>159499.92000000001</c:v>
                </c:pt>
                <c:pt idx="693">
                  <c:v>159523.79999999999</c:v>
                </c:pt>
                <c:pt idx="694">
                  <c:v>159599.92000000001</c:v>
                </c:pt>
                <c:pt idx="695">
                  <c:v>159643.79999999999</c:v>
                </c:pt>
                <c:pt idx="696">
                  <c:v>159699.92000000001</c:v>
                </c:pt>
                <c:pt idx="697">
                  <c:v>159799.92000000001</c:v>
                </c:pt>
                <c:pt idx="698">
                  <c:v>159899.92000000001</c:v>
                </c:pt>
                <c:pt idx="699">
                  <c:v>159999.92000000001</c:v>
                </c:pt>
                <c:pt idx="700">
                  <c:v>160099.92000000001</c:v>
                </c:pt>
                <c:pt idx="701">
                  <c:v>160199.92000000001</c:v>
                </c:pt>
                <c:pt idx="702">
                  <c:v>160299.92000000001</c:v>
                </c:pt>
                <c:pt idx="703">
                  <c:v>160399.92000000001</c:v>
                </c:pt>
                <c:pt idx="704">
                  <c:v>160499.92000000001</c:v>
                </c:pt>
                <c:pt idx="705">
                  <c:v>160599.92000000001</c:v>
                </c:pt>
                <c:pt idx="706">
                  <c:v>160699.92000000001</c:v>
                </c:pt>
                <c:pt idx="707">
                  <c:v>160799.92000000001</c:v>
                </c:pt>
                <c:pt idx="708">
                  <c:v>160899.92000000001</c:v>
                </c:pt>
                <c:pt idx="709">
                  <c:v>160999.92000000001</c:v>
                </c:pt>
                <c:pt idx="710">
                  <c:v>161099.92000000001</c:v>
                </c:pt>
                <c:pt idx="711">
                  <c:v>161199.92000000001</c:v>
                </c:pt>
                <c:pt idx="712">
                  <c:v>161299.92000000001</c:v>
                </c:pt>
                <c:pt idx="713">
                  <c:v>161399.92000000001</c:v>
                </c:pt>
                <c:pt idx="714">
                  <c:v>161499.92000000001</c:v>
                </c:pt>
                <c:pt idx="715">
                  <c:v>161599.92000000001</c:v>
                </c:pt>
                <c:pt idx="716">
                  <c:v>161699.92000000001</c:v>
                </c:pt>
                <c:pt idx="717">
                  <c:v>161799.92000000001</c:v>
                </c:pt>
                <c:pt idx="718">
                  <c:v>161899.92000000001</c:v>
                </c:pt>
                <c:pt idx="719">
                  <c:v>161999.92000000001</c:v>
                </c:pt>
                <c:pt idx="720">
                  <c:v>162099.92000000001</c:v>
                </c:pt>
                <c:pt idx="721">
                  <c:v>162199.92000000001</c:v>
                </c:pt>
                <c:pt idx="722">
                  <c:v>162299.92000000001</c:v>
                </c:pt>
                <c:pt idx="723">
                  <c:v>162399.92000000001</c:v>
                </c:pt>
                <c:pt idx="724">
                  <c:v>162499.92000000001</c:v>
                </c:pt>
                <c:pt idx="725">
                  <c:v>162599.92000000001</c:v>
                </c:pt>
                <c:pt idx="726">
                  <c:v>162699.92000000001</c:v>
                </c:pt>
                <c:pt idx="727">
                  <c:v>162799.92000000001</c:v>
                </c:pt>
                <c:pt idx="728">
                  <c:v>162899.92000000001</c:v>
                </c:pt>
                <c:pt idx="729">
                  <c:v>162999.92000000001</c:v>
                </c:pt>
                <c:pt idx="730">
                  <c:v>163099.92000000001</c:v>
                </c:pt>
                <c:pt idx="731">
                  <c:v>163199.92000000001</c:v>
                </c:pt>
                <c:pt idx="732">
                  <c:v>163299.92000000001</c:v>
                </c:pt>
                <c:pt idx="733">
                  <c:v>163399.92000000001</c:v>
                </c:pt>
                <c:pt idx="734">
                  <c:v>163499.92000000001</c:v>
                </c:pt>
                <c:pt idx="735">
                  <c:v>163599.92000000001</c:v>
                </c:pt>
                <c:pt idx="736">
                  <c:v>163699.92000000001</c:v>
                </c:pt>
                <c:pt idx="737">
                  <c:v>163799.92000000001</c:v>
                </c:pt>
                <c:pt idx="738">
                  <c:v>163899.92000000001</c:v>
                </c:pt>
                <c:pt idx="739">
                  <c:v>163999.92000000001</c:v>
                </c:pt>
                <c:pt idx="740">
                  <c:v>164099.92000000001</c:v>
                </c:pt>
                <c:pt idx="741">
                  <c:v>164199.92000000001</c:v>
                </c:pt>
                <c:pt idx="742">
                  <c:v>164299.92000000001</c:v>
                </c:pt>
                <c:pt idx="743">
                  <c:v>164399.92000000001</c:v>
                </c:pt>
                <c:pt idx="744">
                  <c:v>164499.92000000001</c:v>
                </c:pt>
                <c:pt idx="745">
                  <c:v>164599.92000000001</c:v>
                </c:pt>
                <c:pt idx="746">
                  <c:v>164699.92000000001</c:v>
                </c:pt>
                <c:pt idx="747">
                  <c:v>164799.92000000001</c:v>
                </c:pt>
                <c:pt idx="748">
                  <c:v>164899.92000000001</c:v>
                </c:pt>
                <c:pt idx="749">
                  <c:v>164999.92000000001</c:v>
                </c:pt>
                <c:pt idx="750">
                  <c:v>165099.92000000001</c:v>
                </c:pt>
                <c:pt idx="751">
                  <c:v>165199.92000000001</c:v>
                </c:pt>
                <c:pt idx="752">
                  <c:v>165257.4</c:v>
                </c:pt>
                <c:pt idx="753">
                  <c:v>165299.92000000001</c:v>
                </c:pt>
                <c:pt idx="754">
                  <c:v>165399.92000000001</c:v>
                </c:pt>
                <c:pt idx="755">
                  <c:v>165457.4</c:v>
                </c:pt>
                <c:pt idx="756">
                  <c:v>165499.92000000001</c:v>
                </c:pt>
                <c:pt idx="757">
                  <c:v>165599.92000000001</c:v>
                </c:pt>
                <c:pt idx="758">
                  <c:v>165699.92000000001</c:v>
                </c:pt>
                <c:pt idx="759">
                  <c:v>165799.92000000001</c:v>
                </c:pt>
                <c:pt idx="760">
                  <c:v>165899.92000000001</c:v>
                </c:pt>
                <c:pt idx="761">
                  <c:v>165999.92000000001</c:v>
                </c:pt>
                <c:pt idx="762">
                  <c:v>166099.92000000001</c:v>
                </c:pt>
                <c:pt idx="763">
                  <c:v>166199.92000000001</c:v>
                </c:pt>
                <c:pt idx="764">
                  <c:v>166299.92000000001</c:v>
                </c:pt>
                <c:pt idx="765">
                  <c:v>166399.92000000001</c:v>
                </c:pt>
                <c:pt idx="766">
                  <c:v>166499.92000000001</c:v>
                </c:pt>
                <c:pt idx="767">
                  <c:v>166599.92000000001</c:v>
                </c:pt>
                <c:pt idx="768">
                  <c:v>166699.92000000001</c:v>
                </c:pt>
                <c:pt idx="769">
                  <c:v>166799.92000000001</c:v>
                </c:pt>
                <c:pt idx="770">
                  <c:v>166899.92000000001</c:v>
                </c:pt>
                <c:pt idx="771">
                  <c:v>166999.92000000001</c:v>
                </c:pt>
                <c:pt idx="772">
                  <c:v>167099.92000000001</c:v>
                </c:pt>
                <c:pt idx="773">
                  <c:v>167199.92000000001</c:v>
                </c:pt>
                <c:pt idx="774">
                  <c:v>167299.92000000001</c:v>
                </c:pt>
                <c:pt idx="775">
                  <c:v>167399.92000000001</c:v>
                </c:pt>
                <c:pt idx="776">
                  <c:v>167499.92000000001</c:v>
                </c:pt>
                <c:pt idx="777">
                  <c:v>167599.92000000001</c:v>
                </c:pt>
                <c:pt idx="778">
                  <c:v>167699.92000000001</c:v>
                </c:pt>
                <c:pt idx="779">
                  <c:v>167799.92</c:v>
                </c:pt>
                <c:pt idx="780">
                  <c:v>167899.92</c:v>
                </c:pt>
                <c:pt idx="781">
                  <c:v>167947</c:v>
                </c:pt>
                <c:pt idx="782">
                  <c:v>167999.92</c:v>
                </c:pt>
                <c:pt idx="783">
                  <c:v>168022</c:v>
                </c:pt>
                <c:pt idx="784">
                  <c:v>168099.92</c:v>
                </c:pt>
                <c:pt idx="785">
                  <c:v>168199.92</c:v>
                </c:pt>
                <c:pt idx="786">
                  <c:v>168244.4</c:v>
                </c:pt>
                <c:pt idx="787">
                  <c:v>168299.92</c:v>
                </c:pt>
                <c:pt idx="788">
                  <c:v>168399.92</c:v>
                </c:pt>
                <c:pt idx="789">
                  <c:v>168499.92</c:v>
                </c:pt>
                <c:pt idx="790">
                  <c:v>168599.92</c:v>
                </c:pt>
                <c:pt idx="791">
                  <c:v>168624.4</c:v>
                </c:pt>
                <c:pt idx="792">
                  <c:v>168699.92</c:v>
                </c:pt>
                <c:pt idx="793">
                  <c:v>168799.92</c:v>
                </c:pt>
                <c:pt idx="794">
                  <c:v>168899.92</c:v>
                </c:pt>
                <c:pt idx="795">
                  <c:v>168999.92</c:v>
                </c:pt>
                <c:pt idx="796">
                  <c:v>169099.92</c:v>
                </c:pt>
                <c:pt idx="797">
                  <c:v>169199.92</c:v>
                </c:pt>
                <c:pt idx="798">
                  <c:v>169299.92</c:v>
                </c:pt>
                <c:pt idx="799">
                  <c:v>169399.92</c:v>
                </c:pt>
                <c:pt idx="800">
                  <c:v>169499.92</c:v>
                </c:pt>
                <c:pt idx="801">
                  <c:v>169599.92</c:v>
                </c:pt>
                <c:pt idx="802">
                  <c:v>169699.92</c:v>
                </c:pt>
                <c:pt idx="803">
                  <c:v>169799.92</c:v>
                </c:pt>
                <c:pt idx="804">
                  <c:v>169899.92</c:v>
                </c:pt>
                <c:pt idx="805">
                  <c:v>169999.92</c:v>
                </c:pt>
                <c:pt idx="806">
                  <c:v>170099.92</c:v>
                </c:pt>
                <c:pt idx="807">
                  <c:v>170199.92</c:v>
                </c:pt>
                <c:pt idx="808">
                  <c:v>170299.92</c:v>
                </c:pt>
                <c:pt idx="809">
                  <c:v>170399.92</c:v>
                </c:pt>
                <c:pt idx="810">
                  <c:v>170499.92</c:v>
                </c:pt>
                <c:pt idx="811">
                  <c:v>170599.92</c:v>
                </c:pt>
                <c:pt idx="812">
                  <c:v>170699.92</c:v>
                </c:pt>
                <c:pt idx="813">
                  <c:v>170799.92</c:v>
                </c:pt>
                <c:pt idx="814">
                  <c:v>170899.92</c:v>
                </c:pt>
                <c:pt idx="815">
                  <c:v>170999.92</c:v>
                </c:pt>
                <c:pt idx="816">
                  <c:v>171099.92</c:v>
                </c:pt>
                <c:pt idx="817">
                  <c:v>171199.92</c:v>
                </c:pt>
                <c:pt idx="818">
                  <c:v>171299.92</c:v>
                </c:pt>
                <c:pt idx="819">
                  <c:v>171399.92</c:v>
                </c:pt>
                <c:pt idx="820">
                  <c:v>171499.92</c:v>
                </c:pt>
                <c:pt idx="821">
                  <c:v>171599.92</c:v>
                </c:pt>
                <c:pt idx="822">
                  <c:v>171699.92</c:v>
                </c:pt>
                <c:pt idx="823">
                  <c:v>171799.92</c:v>
                </c:pt>
                <c:pt idx="824">
                  <c:v>171899.92</c:v>
                </c:pt>
                <c:pt idx="825">
                  <c:v>171999.92</c:v>
                </c:pt>
                <c:pt idx="826">
                  <c:v>172099.92</c:v>
                </c:pt>
                <c:pt idx="827">
                  <c:v>172199.92</c:v>
                </c:pt>
                <c:pt idx="828">
                  <c:v>172299.92</c:v>
                </c:pt>
                <c:pt idx="829">
                  <c:v>172399.92</c:v>
                </c:pt>
                <c:pt idx="830">
                  <c:v>172499.92</c:v>
                </c:pt>
                <c:pt idx="831">
                  <c:v>172599.92</c:v>
                </c:pt>
                <c:pt idx="832">
                  <c:v>172699.92</c:v>
                </c:pt>
                <c:pt idx="833">
                  <c:v>172799.92</c:v>
                </c:pt>
                <c:pt idx="834">
                  <c:v>172899.92</c:v>
                </c:pt>
                <c:pt idx="835">
                  <c:v>172999.92</c:v>
                </c:pt>
                <c:pt idx="836">
                  <c:v>173099.92</c:v>
                </c:pt>
                <c:pt idx="837">
                  <c:v>173199.92</c:v>
                </c:pt>
                <c:pt idx="838">
                  <c:v>173299.92</c:v>
                </c:pt>
                <c:pt idx="839">
                  <c:v>173399.92</c:v>
                </c:pt>
                <c:pt idx="840">
                  <c:v>173499.92</c:v>
                </c:pt>
                <c:pt idx="841">
                  <c:v>173599.92</c:v>
                </c:pt>
                <c:pt idx="842">
                  <c:v>173699.92</c:v>
                </c:pt>
                <c:pt idx="843">
                  <c:v>173799.92</c:v>
                </c:pt>
                <c:pt idx="844">
                  <c:v>173899.92</c:v>
                </c:pt>
                <c:pt idx="845">
                  <c:v>173999.92</c:v>
                </c:pt>
                <c:pt idx="846">
                  <c:v>174099.92</c:v>
                </c:pt>
                <c:pt idx="847">
                  <c:v>174199.92</c:v>
                </c:pt>
                <c:pt idx="848">
                  <c:v>174233.5</c:v>
                </c:pt>
                <c:pt idx="849">
                  <c:v>174299.92</c:v>
                </c:pt>
                <c:pt idx="850">
                  <c:v>174313.5</c:v>
                </c:pt>
                <c:pt idx="851">
                  <c:v>174399.92</c:v>
                </c:pt>
                <c:pt idx="852">
                  <c:v>174499.92</c:v>
                </c:pt>
                <c:pt idx="853">
                  <c:v>174599.92</c:v>
                </c:pt>
                <c:pt idx="854">
                  <c:v>174699.92</c:v>
                </c:pt>
                <c:pt idx="855">
                  <c:v>174799.92</c:v>
                </c:pt>
                <c:pt idx="856">
                  <c:v>174899.92</c:v>
                </c:pt>
                <c:pt idx="857">
                  <c:v>174999.92</c:v>
                </c:pt>
                <c:pt idx="858">
                  <c:v>175099.92</c:v>
                </c:pt>
                <c:pt idx="859">
                  <c:v>175199.92</c:v>
                </c:pt>
                <c:pt idx="860">
                  <c:v>175299.92</c:v>
                </c:pt>
                <c:pt idx="861">
                  <c:v>175399.92</c:v>
                </c:pt>
                <c:pt idx="862">
                  <c:v>175499.92</c:v>
                </c:pt>
                <c:pt idx="863">
                  <c:v>175599.92</c:v>
                </c:pt>
                <c:pt idx="864">
                  <c:v>175699.92</c:v>
                </c:pt>
                <c:pt idx="865">
                  <c:v>175799.92</c:v>
                </c:pt>
                <c:pt idx="866">
                  <c:v>175899.92</c:v>
                </c:pt>
                <c:pt idx="867">
                  <c:v>175999.92</c:v>
                </c:pt>
                <c:pt idx="868">
                  <c:v>176099.92</c:v>
                </c:pt>
                <c:pt idx="869">
                  <c:v>176199.92</c:v>
                </c:pt>
                <c:pt idx="870">
                  <c:v>176299.92</c:v>
                </c:pt>
                <c:pt idx="871">
                  <c:v>176399.92</c:v>
                </c:pt>
                <c:pt idx="872">
                  <c:v>176499.92</c:v>
                </c:pt>
                <c:pt idx="873">
                  <c:v>176599.92</c:v>
                </c:pt>
                <c:pt idx="874">
                  <c:v>176699.92</c:v>
                </c:pt>
                <c:pt idx="875">
                  <c:v>176714</c:v>
                </c:pt>
                <c:pt idx="876">
                  <c:v>176794</c:v>
                </c:pt>
                <c:pt idx="877">
                  <c:v>176799.92</c:v>
                </c:pt>
                <c:pt idx="878">
                  <c:v>176899.92</c:v>
                </c:pt>
                <c:pt idx="879">
                  <c:v>176999.92</c:v>
                </c:pt>
                <c:pt idx="880">
                  <c:v>177099.92</c:v>
                </c:pt>
                <c:pt idx="881">
                  <c:v>177199.92</c:v>
                </c:pt>
                <c:pt idx="882">
                  <c:v>177299.92</c:v>
                </c:pt>
                <c:pt idx="883">
                  <c:v>177399.92</c:v>
                </c:pt>
                <c:pt idx="884">
                  <c:v>177499.92</c:v>
                </c:pt>
                <c:pt idx="885">
                  <c:v>177599.92</c:v>
                </c:pt>
                <c:pt idx="886">
                  <c:v>177699.92</c:v>
                </c:pt>
                <c:pt idx="887">
                  <c:v>177799.92</c:v>
                </c:pt>
                <c:pt idx="888">
                  <c:v>177899.92</c:v>
                </c:pt>
                <c:pt idx="889">
                  <c:v>177999.92</c:v>
                </c:pt>
                <c:pt idx="890">
                  <c:v>178099.92</c:v>
                </c:pt>
                <c:pt idx="891">
                  <c:v>178199.92</c:v>
                </c:pt>
                <c:pt idx="892">
                  <c:v>178299.92</c:v>
                </c:pt>
                <c:pt idx="893">
                  <c:v>178399.92</c:v>
                </c:pt>
                <c:pt idx="894">
                  <c:v>178499.92</c:v>
                </c:pt>
                <c:pt idx="895">
                  <c:v>178599.92</c:v>
                </c:pt>
                <c:pt idx="896">
                  <c:v>178699.92</c:v>
                </c:pt>
                <c:pt idx="897">
                  <c:v>178799.92</c:v>
                </c:pt>
                <c:pt idx="898">
                  <c:v>178864.3</c:v>
                </c:pt>
                <c:pt idx="899">
                  <c:v>178899.92</c:v>
                </c:pt>
                <c:pt idx="900">
                  <c:v>178999.92</c:v>
                </c:pt>
                <c:pt idx="901">
                  <c:v>179099.92</c:v>
                </c:pt>
                <c:pt idx="902">
                  <c:v>179104.3</c:v>
                </c:pt>
                <c:pt idx="903">
                  <c:v>179199.92</c:v>
                </c:pt>
                <c:pt idx="904">
                  <c:v>179299.92</c:v>
                </c:pt>
                <c:pt idx="905">
                  <c:v>179399.92</c:v>
                </c:pt>
                <c:pt idx="906">
                  <c:v>179499.92</c:v>
                </c:pt>
                <c:pt idx="907">
                  <c:v>179599.92</c:v>
                </c:pt>
                <c:pt idx="908">
                  <c:v>179699.92</c:v>
                </c:pt>
                <c:pt idx="909">
                  <c:v>179799.92</c:v>
                </c:pt>
                <c:pt idx="910">
                  <c:v>179899.92</c:v>
                </c:pt>
                <c:pt idx="911">
                  <c:v>179999.92</c:v>
                </c:pt>
                <c:pt idx="912">
                  <c:v>180099.92</c:v>
                </c:pt>
                <c:pt idx="913">
                  <c:v>180199.92</c:v>
                </c:pt>
                <c:pt idx="914">
                  <c:v>180299.92</c:v>
                </c:pt>
                <c:pt idx="915">
                  <c:v>180399.92</c:v>
                </c:pt>
                <c:pt idx="916">
                  <c:v>180499.92</c:v>
                </c:pt>
                <c:pt idx="917">
                  <c:v>180599.92</c:v>
                </c:pt>
                <c:pt idx="918">
                  <c:v>180699.92</c:v>
                </c:pt>
                <c:pt idx="919">
                  <c:v>180799.92</c:v>
                </c:pt>
                <c:pt idx="920">
                  <c:v>180899.92</c:v>
                </c:pt>
                <c:pt idx="921">
                  <c:v>180999.92</c:v>
                </c:pt>
                <c:pt idx="922">
                  <c:v>181099.92</c:v>
                </c:pt>
                <c:pt idx="923">
                  <c:v>181199.92</c:v>
                </c:pt>
                <c:pt idx="924">
                  <c:v>181299.92</c:v>
                </c:pt>
                <c:pt idx="925">
                  <c:v>181399.92</c:v>
                </c:pt>
                <c:pt idx="926">
                  <c:v>181499.92</c:v>
                </c:pt>
                <c:pt idx="927">
                  <c:v>181599.92</c:v>
                </c:pt>
                <c:pt idx="928">
                  <c:v>181699.92</c:v>
                </c:pt>
                <c:pt idx="929">
                  <c:v>181799.92</c:v>
                </c:pt>
                <c:pt idx="930">
                  <c:v>181899.92</c:v>
                </c:pt>
                <c:pt idx="931">
                  <c:v>181999.92</c:v>
                </c:pt>
                <c:pt idx="932">
                  <c:v>182099.92</c:v>
                </c:pt>
                <c:pt idx="933">
                  <c:v>182199.92</c:v>
                </c:pt>
                <c:pt idx="934">
                  <c:v>182250</c:v>
                </c:pt>
                <c:pt idx="935">
                  <c:v>182299.92</c:v>
                </c:pt>
                <c:pt idx="936">
                  <c:v>182399.92</c:v>
                </c:pt>
                <c:pt idx="937">
                  <c:v>182450</c:v>
                </c:pt>
                <c:pt idx="938">
                  <c:v>182499.92</c:v>
                </c:pt>
                <c:pt idx="939">
                  <c:v>182599.92</c:v>
                </c:pt>
                <c:pt idx="940">
                  <c:v>182699.92</c:v>
                </c:pt>
                <c:pt idx="941">
                  <c:v>182799.92</c:v>
                </c:pt>
                <c:pt idx="942">
                  <c:v>182899.92</c:v>
                </c:pt>
                <c:pt idx="943">
                  <c:v>182999.92</c:v>
                </c:pt>
                <c:pt idx="944">
                  <c:v>183099.92</c:v>
                </c:pt>
                <c:pt idx="945">
                  <c:v>183199.92</c:v>
                </c:pt>
                <c:pt idx="946">
                  <c:v>183299.92</c:v>
                </c:pt>
                <c:pt idx="947">
                  <c:v>183399.92</c:v>
                </c:pt>
                <c:pt idx="948">
                  <c:v>183499.92</c:v>
                </c:pt>
                <c:pt idx="949">
                  <c:v>183599.92</c:v>
                </c:pt>
                <c:pt idx="950">
                  <c:v>183699.92</c:v>
                </c:pt>
                <c:pt idx="951">
                  <c:v>183799.92</c:v>
                </c:pt>
                <c:pt idx="952">
                  <c:v>183899.92</c:v>
                </c:pt>
                <c:pt idx="953">
                  <c:v>183999.92</c:v>
                </c:pt>
                <c:pt idx="954">
                  <c:v>184099.92</c:v>
                </c:pt>
                <c:pt idx="955">
                  <c:v>184199.92</c:v>
                </c:pt>
                <c:pt idx="956">
                  <c:v>184299.92</c:v>
                </c:pt>
                <c:pt idx="957">
                  <c:v>184399.92</c:v>
                </c:pt>
                <c:pt idx="958">
                  <c:v>184499.92</c:v>
                </c:pt>
                <c:pt idx="959">
                  <c:v>184599.92</c:v>
                </c:pt>
                <c:pt idx="960">
                  <c:v>184699.92</c:v>
                </c:pt>
                <c:pt idx="961">
                  <c:v>184799.92</c:v>
                </c:pt>
                <c:pt idx="962">
                  <c:v>184899.92</c:v>
                </c:pt>
                <c:pt idx="963">
                  <c:v>184999.92</c:v>
                </c:pt>
                <c:pt idx="964">
                  <c:v>185099.92</c:v>
                </c:pt>
                <c:pt idx="965">
                  <c:v>185199.92</c:v>
                </c:pt>
                <c:pt idx="966">
                  <c:v>185299.92</c:v>
                </c:pt>
                <c:pt idx="967">
                  <c:v>185399.92</c:v>
                </c:pt>
                <c:pt idx="968">
                  <c:v>185499.92</c:v>
                </c:pt>
                <c:pt idx="969">
                  <c:v>185599.92</c:v>
                </c:pt>
                <c:pt idx="970">
                  <c:v>185699.92</c:v>
                </c:pt>
                <c:pt idx="971">
                  <c:v>185799.92</c:v>
                </c:pt>
                <c:pt idx="972">
                  <c:v>185899.92</c:v>
                </c:pt>
                <c:pt idx="973">
                  <c:v>185999.92</c:v>
                </c:pt>
                <c:pt idx="974">
                  <c:v>186099.92</c:v>
                </c:pt>
                <c:pt idx="975">
                  <c:v>186199.92</c:v>
                </c:pt>
                <c:pt idx="976">
                  <c:v>186299.92</c:v>
                </c:pt>
                <c:pt idx="977">
                  <c:v>186399.92</c:v>
                </c:pt>
                <c:pt idx="978">
                  <c:v>186499.92</c:v>
                </c:pt>
                <c:pt idx="979">
                  <c:v>186599.92</c:v>
                </c:pt>
                <c:pt idx="980">
                  <c:v>186699.92</c:v>
                </c:pt>
                <c:pt idx="981">
                  <c:v>186799.92</c:v>
                </c:pt>
                <c:pt idx="982">
                  <c:v>186876.3</c:v>
                </c:pt>
                <c:pt idx="983">
                  <c:v>186899.92</c:v>
                </c:pt>
                <c:pt idx="984">
                  <c:v>186996.3</c:v>
                </c:pt>
                <c:pt idx="985">
                  <c:v>186999.92</c:v>
                </c:pt>
                <c:pt idx="986">
                  <c:v>187099.92</c:v>
                </c:pt>
                <c:pt idx="987">
                  <c:v>187199.92</c:v>
                </c:pt>
                <c:pt idx="988">
                  <c:v>187299.92</c:v>
                </c:pt>
                <c:pt idx="989">
                  <c:v>187399.92</c:v>
                </c:pt>
                <c:pt idx="990">
                  <c:v>187499.92</c:v>
                </c:pt>
                <c:pt idx="991">
                  <c:v>187599.92</c:v>
                </c:pt>
                <c:pt idx="992">
                  <c:v>187699.92</c:v>
                </c:pt>
                <c:pt idx="993">
                  <c:v>187799.92</c:v>
                </c:pt>
                <c:pt idx="994">
                  <c:v>187899.92</c:v>
                </c:pt>
                <c:pt idx="995">
                  <c:v>187999.92</c:v>
                </c:pt>
                <c:pt idx="996">
                  <c:v>188099.92</c:v>
                </c:pt>
                <c:pt idx="997">
                  <c:v>188199.92</c:v>
                </c:pt>
                <c:pt idx="998">
                  <c:v>188299.92</c:v>
                </c:pt>
                <c:pt idx="999">
                  <c:v>188399.92</c:v>
                </c:pt>
                <c:pt idx="1000">
                  <c:v>188499.92</c:v>
                </c:pt>
                <c:pt idx="1001">
                  <c:v>188599.92</c:v>
                </c:pt>
                <c:pt idx="1002">
                  <c:v>188699.92</c:v>
                </c:pt>
                <c:pt idx="1003">
                  <c:v>188794.6</c:v>
                </c:pt>
                <c:pt idx="1004">
                  <c:v>188799.92</c:v>
                </c:pt>
                <c:pt idx="1005">
                  <c:v>188874.6</c:v>
                </c:pt>
                <c:pt idx="1006">
                  <c:v>188899.92</c:v>
                </c:pt>
                <c:pt idx="1007">
                  <c:v>188999.92</c:v>
                </c:pt>
                <c:pt idx="1008">
                  <c:v>189099.92</c:v>
                </c:pt>
                <c:pt idx="1009">
                  <c:v>189199.92</c:v>
                </c:pt>
                <c:pt idx="1010">
                  <c:v>189299.92</c:v>
                </c:pt>
                <c:pt idx="1011">
                  <c:v>189399.92</c:v>
                </c:pt>
                <c:pt idx="1012">
                  <c:v>189499.92</c:v>
                </c:pt>
                <c:pt idx="1013">
                  <c:v>189599.92</c:v>
                </c:pt>
                <c:pt idx="1014">
                  <c:v>189699.92</c:v>
                </c:pt>
                <c:pt idx="1015">
                  <c:v>189799.92</c:v>
                </c:pt>
                <c:pt idx="1016">
                  <c:v>189899.92</c:v>
                </c:pt>
                <c:pt idx="1017">
                  <c:v>189999.92</c:v>
                </c:pt>
                <c:pt idx="1018">
                  <c:v>190099.92</c:v>
                </c:pt>
                <c:pt idx="1019">
                  <c:v>190199.92</c:v>
                </c:pt>
                <c:pt idx="1020">
                  <c:v>190299.92</c:v>
                </c:pt>
                <c:pt idx="1021">
                  <c:v>190399.92</c:v>
                </c:pt>
                <c:pt idx="1022">
                  <c:v>190499.92</c:v>
                </c:pt>
                <c:pt idx="1023">
                  <c:v>190599.92</c:v>
                </c:pt>
                <c:pt idx="1024">
                  <c:v>190699.92</c:v>
                </c:pt>
                <c:pt idx="1025">
                  <c:v>190799.92</c:v>
                </c:pt>
                <c:pt idx="1026">
                  <c:v>190899.92</c:v>
                </c:pt>
                <c:pt idx="1027">
                  <c:v>190999.92</c:v>
                </c:pt>
                <c:pt idx="1028">
                  <c:v>191099.92</c:v>
                </c:pt>
                <c:pt idx="1029">
                  <c:v>191199.92</c:v>
                </c:pt>
                <c:pt idx="1030">
                  <c:v>191299.92</c:v>
                </c:pt>
                <c:pt idx="1031">
                  <c:v>191399.92</c:v>
                </c:pt>
                <c:pt idx="1032">
                  <c:v>191499.92</c:v>
                </c:pt>
                <c:pt idx="1033">
                  <c:v>191599.92</c:v>
                </c:pt>
                <c:pt idx="1034">
                  <c:v>191699.92</c:v>
                </c:pt>
                <c:pt idx="1035">
                  <c:v>191799.92</c:v>
                </c:pt>
                <c:pt idx="1036">
                  <c:v>191899.92</c:v>
                </c:pt>
                <c:pt idx="1037">
                  <c:v>191999.92</c:v>
                </c:pt>
                <c:pt idx="1038">
                  <c:v>192099.92</c:v>
                </c:pt>
                <c:pt idx="1039">
                  <c:v>192199.92</c:v>
                </c:pt>
                <c:pt idx="1040">
                  <c:v>192299.92</c:v>
                </c:pt>
                <c:pt idx="1041">
                  <c:v>192399.92</c:v>
                </c:pt>
                <c:pt idx="1042">
                  <c:v>192499.92</c:v>
                </c:pt>
                <c:pt idx="1043">
                  <c:v>192599.92</c:v>
                </c:pt>
                <c:pt idx="1044">
                  <c:v>192699.92</c:v>
                </c:pt>
                <c:pt idx="1045">
                  <c:v>192799.92</c:v>
                </c:pt>
                <c:pt idx="1046">
                  <c:v>192899.92</c:v>
                </c:pt>
                <c:pt idx="1047">
                  <c:v>192999.92</c:v>
                </c:pt>
                <c:pt idx="1048">
                  <c:v>193099.92</c:v>
                </c:pt>
                <c:pt idx="1049">
                  <c:v>193199.92</c:v>
                </c:pt>
                <c:pt idx="1050">
                  <c:v>193299.92</c:v>
                </c:pt>
                <c:pt idx="1051">
                  <c:v>193399.92</c:v>
                </c:pt>
                <c:pt idx="1052">
                  <c:v>193499.92</c:v>
                </c:pt>
                <c:pt idx="1053">
                  <c:v>193599.92</c:v>
                </c:pt>
                <c:pt idx="1054">
                  <c:v>193699.92</c:v>
                </c:pt>
                <c:pt idx="1055">
                  <c:v>193799.92</c:v>
                </c:pt>
                <c:pt idx="1056">
                  <c:v>193899.92</c:v>
                </c:pt>
                <c:pt idx="1057">
                  <c:v>193999.92</c:v>
                </c:pt>
                <c:pt idx="1058">
                  <c:v>194099.92</c:v>
                </c:pt>
                <c:pt idx="1059">
                  <c:v>194199.92</c:v>
                </c:pt>
                <c:pt idx="1060">
                  <c:v>194299.92</c:v>
                </c:pt>
                <c:pt idx="1061">
                  <c:v>194399.92</c:v>
                </c:pt>
                <c:pt idx="1062">
                  <c:v>194499.92</c:v>
                </c:pt>
                <c:pt idx="1063">
                  <c:v>194599.92</c:v>
                </c:pt>
                <c:pt idx="1064">
                  <c:v>194699.92</c:v>
                </c:pt>
                <c:pt idx="1065">
                  <c:v>194799.92</c:v>
                </c:pt>
                <c:pt idx="1066">
                  <c:v>194899.92</c:v>
                </c:pt>
                <c:pt idx="1067">
                  <c:v>194999.92</c:v>
                </c:pt>
                <c:pt idx="1068">
                  <c:v>195099.92</c:v>
                </c:pt>
                <c:pt idx="1069">
                  <c:v>195199.92</c:v>
                </c:pt>
                <c:pt idx="1070">
                  <c:v>195299.92</c:v>
                </c:pt>
                <c:pt idx="1071">
                  <c:v>195399.92</c:v>
                </c:pt>
                <c:pt idx="1072">
                  <c:v>195499.92</c:v>
                </c:pt>
                <c:pt idx="1073">
                  <c:v>195599.92</c:v>
                </c:pt>
                <c:pt idx="1074">
                  <c:v>195699.92</c:v>
                </c:pt>
                <c:pt idx="1075">
                  <c:v>195799.92</c:v>
                </c:pt>
                <c:pt idx="1076">
                  <c:v>195899.92</c:v>
                </c:pt>
                <c:pt idx="1077">
                  <c:v>195999.92</c:v>
                </c:pt>
                <c:pt idx="1078">
                  <c:v>196099.92</c:v>
                </c:pt>
                <c:pt idx="1079">
                  <c:v>196199.92</c:v>
                </c:pt>
                <c:pt idx="1080">
                  <c:v>196299.92</c:v>
                </c:pt>
                <c:pt idx="1081">
                  <c:v>196399.92</c:v>
                </c:pt>
                <c:pt idx="1082">
                  <c:v>196499.92</c:v>
                </c:pt>
                <c:pt idx="1083">
                  <c:v>196535.5</c:v>
                </c:pt>
                <c:pt idx="1084">
                  <c:v>196599.92</c:v>
                </c:pt>
                <c:pt idx="1085">
                  <c:v>196695.5</c:v>
                </c:pt>
                <c:pt idx="1086">
                  <c:v>196699.92</c:v>
                </c:pt>
                <c:pt idx="1087">
                  <c:v>196799.92</c:v>
                </c:pt>
                <c:pt idx="1088">
                  <c:v>196899.92</c:v>
                </c:pt>
                <c:pt idx="1089">
                  <c:v>196999.92</c:v>
                </c:pt>
                <c:pt idx="1090">
                  <c:v>197099.92</c:v>
                </c:pt>
                <c:pt idx="1091">
                  <c:v>197199.92</c:v>
                </c:pt>
                <c:pt idx="1092">
                  <c:v>197299.92</c:v>
                </c:pt>
                <c:pt idx="1093">
                  <c:v>197399.92</c:v>
                </c:pt>
                <c:pt idx="1094">
                  <c:v>197499.92</c:v>
                </c:pt>
                <c:pt idx="1095">
                  <c:v>197599.92</c:v>
                </c:pt>
                <c:pt idx="1096">
                  <c:v>197699.92</c:v>
                </c:pt>
                <c:pt idx="1097">
                  <c:v>197799.92</c:v>
                </c:pt>
                <c:pt idx="1098">
                  <c:v>197899.92</c:v>
                </c:pt>
                <c:pt idx="1099">
                  <c:v>197999.92</c:v>
                </c:pt>
                <c:pt idx="1100">
                  <c:v>198099.92</c:v>
                </c:pt>
                <c:pt idx="1101">
                  <c:v>198199.92</c:v>
                </c:pt>
                <c:pt idx="1102">
                  <c:v>198299.92</c:v>
                </c:pt>
                <c:pt idx="1103">
                  <c:v>198399.92</c:v>
                </c:pt>
                <c:pt idx="1104">
                  <c:v>198499.92</c:v>
                </c:pt>
                <c:pt idx="1105">
                  <c:v>198599.92</c:v>
                </c:pt>
                <c:pt idx="1106">
                  <c:v>198699.92</c:v>
                </c:pt>
                <c:pt idx="1107">
                  <c:v>198799.92</c:v>
                </c:pt>
                <c:pt idx="1108">
                  <c:v>198899.92</c:v>
                </c:pt>
                <c:pt idx="1109">
                  <c:v>198999.92</c:v>
                </c:pt>
                <c:pt idx="1110">
                  <c:v>199096.21</c:v>
                </c:pt>
                <c:pt idx="1111">
                  <c:v>199099.92</c:v>
                </c:pt>
                <c:pt idx="1112">
                  <c:v>199176.21</c:v>
                </c:pt>
                <c:pt idx="1113">
                  <c:v>199199.92</c:v>
                </c:pt>
                <c:pt idx="1114">
                  <c:v>199299.92</c:v>
                </c:pt>
                <c:pt idx="1115">
                  <c:v>199399.92</c:v>
                </c:pt>
                <c:pt idx="1116">
                  <c:v>199499.92</c:v>
                </c:pt>
                <c:pt idx="1117">
                  <c:v>199599.92</c:v>
                </c:pt>
                <c:pt idx="1118">
                  <c:v>199699.92</c:v>
                </c:pt>
                <c:pt idx="1119">
                  <c:v>199799.92</c:v>
                </c:pt>
                <c:pt idx="1120">
                  <c:v>199899.92</c:v>
                </c:pt>
                <c:pt idx="1121">
                  <c:v>199999.92</c:v>
                </c:pt>
                <c:pt idx="1122">
                  <c:v>200099.92</c:v>
                </c:pt>
                <c:pt idx="1123">
                  <c:v>200199.92</c:v>
                </c:pt>
                <c:pt idx="1124">
                  <c:v>200299.92</c:v>
                </c:pt>
                <c:pt idx="1125">
                  <c:v>200399.92</c:v>
                </c:pt>
                <c:pt idx="1126">
                  <c:v>200499.92</c:v>
                </c:pt>
                <c:pt idx="1127">
                  <c:v>200599.92</c:v>
                </c:pt>
                <c:pt idx="1128">
                  <c:v>200699.92</c:v>
                </c:pt>
                <c:pt idx="1129">
                  <c:v>200799.92</c:v>
                </c:pt>
                <c:pt idx="1130">
                  <c:v>200899.92</c:v>
                </c:pt>
                <c:pt idx="1131">
                  <c:v>200999.92</c:v>
                </c:pt>
                <c:pt idx="1132">
                  <c:v>201099.92</c:v>
                </c:pt>
                <c:pt idx="1133">
                  <c:v>201199.92</c:v>
                </c:pt>
                <c:pt idx="1134">
                  <c:v>201299.92</c:v>
                </c:pt>
                <c:pt idx="1135">
                  <c:v>201399.92</c:v>
                </c:pt>
                <c:pt idx="1136">
                  <c:v>201499.92</c:v>
                </c:pt>
                <c:pt idx="1137">
                  <c:v>201599.92</c:v>
                </c:pt>
                <c:pt idx="1138">
                  <c:v>201699.92</c:v>
                </c:pt>
                <c:pt idx="1139">
                  <c:v>201799.92</c:v>
                </c:pt>
                <c:pt idx="1140">
                  <c:v>201899.92</c:v>
                </c:pt>
                <c:pt idx="1141">
                  <c:v>201999.92</c:v>
                </c:pt>
                <c:pt idx="1142">
                  <c:v>202099.92</c:v>
                </c:pt>
                <c:pt idx="1143">
                  <c:v>202199.92</c:v>
                </c:pt>
                <c:pt idx="1144">
                  <c:v>202299.92</c:v>
                </c:pt>
                <c:pt idx="1145">
                  <c:v>202399.92</c:v>
                </c:pt>
                <c:pt idx="1146">
                  <c:v>202499.92</c:v>
                </c:pt>
                <c:pt idx="1147">
                  <c:v>202599.92</c:v>
                </c:pt>
                <c:pt idx="1148">
                  <c:v>202699.92</c:v>
                </c:pt>
                <c:pt idx="1149">
                  <c:v>202799.92</c:v>
                </c:pt>
                <c:pt idx="1150">
                  <c:v>202899.92</c:v>
                </c:pt>
                <c:pt idx="1151">
                  <c:v>202999.92</c:v>
                </c:pt>
                <c:pt idx="1152">
                  <c:v>203099.92</c:v>
                </c:pt>
                <c:pt idx="1153">
                  <c:v>203199.92</c:v>
                </c:pt>
                <c:pt idx="1154">
                  <c:v>203299.92</c:v>
                </c:pt>
                <c:pt idx="1155">
                  <c:v>203399.92</c:v>
                </c:pt>
                <c:pt idx="1156">
                  <c:v>203499.92</c:v>
                </c:pt>
                <c:pt idx="1157">
                  <c:v>203599.92</c:v>
                </c:pt>
                <c:pt idx="1158">
                  <c:v>203699.92</c:v>
                </c:pt>
                <c:pt idx="1159">
                  <c:v>203799.92</c:v>
                </c:pt>
                <c:pt idx="1160">
                  <c:v>203899.92</c:v>
                </c:pt>
                <c:pt idx="1161">
                  <c:v>203999.92</c:v>
                </c:pt>
                <c:pt idx="1162">
                  <c:v>204099.92</c:v>
                </c:pt>
                <c:pt idx="1163">
                  <c:v>204199.92</c:v>
                </c:pt>
                <c:pt idx="1164">
                  <c:v>204299.92</c:v>
                </c:pt>
                <c:pt idx="1165">
                  <c:v>204399.92</c:v>
                </c:pt>
                <c:pt idx="1166">
                  <c:v>204499.92</c:v>
                </c:pt>
                <c:pt idx="1167">
                  <c:v>204599.92</c:v>
                </c:pt>
                <c:pt idx="1168">
                  <c:v>204699.92</c:v>
                </c:pt>
                <c:pt idx="1169">
                  <c:v>204799.92</c:v>
                </c:pt>
                <c:pt idx="1170">
                  <c:v>204899.92</c:v>
                </c:pt>
                <c:pt idx="1171">
                  <c:v>204999.92</c:v>
                </c:pt>
                <c:pt idx="1172">
                  <c:v>205048.5</c:v>
                </c:pt>
                <c:pt idx="1173">
                  <c:v>205099.92</c:v>
                </c:pt>
                <c:pt idx="1174">
                  <c:v>205123.5</c:v>
                </c:pt>
                <c:pt idx="1175">
                  <c:v>205199.92</c:v>
                </c:pt>
                <c:pt idx="1176">
                  <c:v>205209.4</c:v>
                </c:pt>
                <c:pt idx="1177">
                  <c:v>205299.92</c:v>
                </c:pt>
                <c:pt idx="1178">
                  <c:v>205329.4</c:v>
                </c:pt>
                <c:pt idx="1179">
                  <c:v>205399.92</c:v>
                </c:pt>
                <c:pt idx="1180">
                  <c:v>205499.92</c:v>
                </c:pt>
                <c:pt idx="1181">
                  <c:v>205599.92</c:v>
                </c:pt>
                <c:pt idx="1182">
                  <c:v>205699.92</c:v>
                </c:pt>
                <c:pt idx="1183">
                  <c:v>205799.92</c:v>
                </c:pt>
                <c:pt idx="1184">
                  <c:v>205899.92</c:v>
                </c:pt>
                <c:pt idx="1185">
                  <c:v>205999.92</c:v>
                </c:pt>
                <c:pt idx="1186">
                  <c:v>206099.92</c:v>
                </c:pt>
                <c:pt idx="1187">
                  <c:v>206199.92</c:v>
                </c:pt>
                <c:pt idx="1188">
                  <c:v>206299.92</c:v>
                </c:pt>
                <c:pt idx="1189">
                  <c:v>206399.92</c:v>
                </c:pt>
                <c:pt idx="1190">
                  <c:v>206499.92</c:v>
                </c:pt>
                <c:pt idx="1191">
                  <c:v>206599.92</c:v>
                </c:pt>
                <c:pt idx="1192">
                  <c:v>206699.92</c:v>
                </c:pt>
                <c:pt idx="1193">
                  <c:v>206799.92</c:v>
                </c:pt>
                <c:pt idx="1194">
                  <c:v>206899.92</c:v>
                </c:pt>
                <c:pt idx="1195">
                  <c:v>206999.92</c:v>
                </c:pt>
                <c:pt idx="1196">
                  <c:v>207099.92</c:v>
                </c:pt>
                <c:pt idx="1197">
                  <c:v>207199.92</c:v>
                </c:pt>
                <c:pt idx="1198">
                  <c:v>207299.92</c:v>
                </c:pt>
                <c:pt idx="1199">
                  <c:v>207399.92</c:v>
                </c:pt>
                <c:pt idx="1200">
                  <c:v>207499.92</c:v>
                </c:pt>
                <c:pt idx="1201">
                  <c:v>207599.92</c:v>
                </c:pt>
                <c:pt idx="1202">
                  <c:v>207699.92</c:v>
                </c:pt>
                <c:pt idx="1203">
                  <c:v>207799.92</c:v>
                </c:pt>
                <c:pt idx="1204">
                  <c:v>207899.92</c:v>
                </c:pt>
                <c:pt idx="1205">
                  <c:v>207999.92</c:v>
                </c:pt>
                <c:pt idx="1206">
                  <c:v>208099.92</c:v>
                </c:pt>
                <c:pt idx="1207">
                  <c:v>208199.92</c:v>
                </c:pt>
                <c:pt idx="1208">
                  <c:v>208299.92</c:v>
                </c:pt>
                <c:pt idx="1209">
                  <c:v>208399.92</c:v>
                </c:pt>
                <c:pt idx="1210">
                  <c:v>208499.92</c:v>
                </c:pt>
                <c:pt idx="1211">
                  <c:v>208599.92</c:v>
                </c:pt>
                <c:pt idx="1212">
                  <c:v>208699.92</c:v>
                </c:pt>
                <c:pt idx="1213">
                  <c:v>208799.92</c:v>
                </c:pt>
                <c:pt idx="1214">
                  <c:v>208899.92</c:v>
                </c:pt>
                <c:pt idx="1215">
                  <c:v>208999.92</c:v>
                </c:pt>
                <c:pt idx="1216">
                  <c:v>209099.92</c:v>
                </c:pt>
                <c:pt idx="1217">
                  <c:v>209199.92</c:v>
                </c:pt>
                <c:pt idx="1218">
                  <c:v>209299.92</c:v>
                </c:pt>
                <c:pt idx="1219">
                  <c:v>209399.92</c:v>
                </c:pt>
                <c:pt idx="1220">
                  <c:v>209499.92</c:v>
                </c:pt>
                <c:pt idx="1221">
                  <c:v>209599.92</c:v>
                </c:pt>
                <c:pt idx="1222">
                  <c:v>209635</c:v>
                </c:pt>
                <c:pt idx="1223">
                  <c:v>209699.92</c:v>
                </c:pt>
                <c:pt idx="1224">
                  <c:v>209715</c:v>
                </c:pt>
                <c:pt idx="1225">
                  <c:v>209799.92</c:v>
                </c:pt>
                <c:pt idx="1226">
                  <c:v>209899.92</c:v>
                </c:pt>
                <c:pt idx="1227">
                  <c:v>209999.92</c:v>
                </c:pt>
                <c:pt idx="1228">
                  <c:v>210099.92</c:v>
                </c:pt>
                <c:pt idx="1229">
                  <c:v>210176.5</c:v>
                </c:pt>
                <c:pt idx="1230">
                  <c:v>210199.92</c:v>
                </c:pt>
                <c:pt idx="1231">
                  <c:v>210299.92</c:v>
                </c:pt>
                <c:pt idx="1232">
                  <c:v>210399.92</c:v>
                </c:pt>
                <c:pt idx="1233">
                  <c:v>210456.5</c:v>
                </c:pt>
                <c:pt idx="1234">
                  <c:v>210499.92</c:v>
                </c:pt>
                <c:pt idx="1235">
                  <c:v>210599.92</c:v>
                </c:pt>
                <c:pt idx="1236">
                  <c:v>210699.92</c:v>
                </c:pt>
                <c:pt idx="1237">
                  <c:v>210799.92</c:v>
                </c:pt>
                <c:pt idx="1238">
                  <c:v>210899.92</c:v>
                </c:pt>
                <c:pt idx="1239">
                  <c:v>210999.92</c:v>
                </c:pt>
                <c:pt idx="1240">
                  <c:v>211099.92</c:v>
                </c:pt>
                <c:pt idx="1241">
                  <c:v>211199.92</c:v>
                </c:pt>
                <c:pt idx="1242">
                  <c:v>211299.92</c:v>
                </c:pt>
                <c:pt idx="1243">
                  <c:v>211399.92</c:v>
                </c:pt>
                <c:pt idx="1244">
                  <c:v>211499.92</c:v>
                </c:pt>
                <c:pt idx="1245">
                  <c:v>211599.92</c:v>
                </c:pt>
                <c:pt idx="1246">
                  <c:v>211699.92</c:v>
                </c:pt>
                <c:pt idx="1247">
                  <c:v>211799.92</c:v>
                </c:pt>
                <c:pt idx="1248">
                  <c:v>211899.92</c:v>
                </c:pt>
                <c:pt idx="1249">
                  <c:v>211999.92</c:v>
                </c:pt>
                <c:pt idx="1250">
                  <c:v>212099.92</c:v>
                </c:pt>
                <c:pt idx="1251">
                  <c:v>212199.92</c:v>
                </c:pt>
                <c:pt idx="1252">
                  <c:v>212299.92</c:v>
                </c:pt>
                <c:pt idx="1253">
                  <c:v>212399.92</c:v>
                </c:pt>
                <c:pt idx="1254">
                  <c:v>212499.92</c:v>
                </c:pt>
                <c:pt idx="1255">
                  <c:v>212599.92</c:v>
                </c:pt>
                <c:pt idx="1256">
                  <c:v>212699.92</c:v>
                </c:pt>
                <c:pt idx="1257">
                  <c:v>212799.92</c:v>
                </c:pt>
                <c:pt idx="1258">
                  <c:v>212899.92</c:v>
                </c:pt>
                <c:pt idx="1259">
                  <c:v>212999.92</c:v>
                </c:pt>
                <c:pt idx="1260">
                  <c:v>213099.92</c:v>
                </c:pt>
                <c:pt idx="1261">
                  <c:v>213199.92</c:v>
                </c:pt>
                <c:pt idx="1262">
                  <c:v>213299.92</c:v>
                </c:pt>
                <c:pt idx="1263">
                  <c:v>213399.92</c:v>
                </c:pt>
                <c:pt idx="1264">
                  <c:v>213499.92</c:v>
                </c:pt>
                <c:pt idx="1265">
                  <c:v>213599.92</c:v>
                </c:pt>
                <c:pt idx="1266">
                  <c:v>213699.92</c:v>
                </c:pt>
                <c:pt idx="1267">
                  <c:v>213799.92</c:v>
                </c:pt>
                <c:pt idx="1268">
                  <c:v>213899.92</c:v>
                </c:pt>
                <c:pt idx="1269">
                  <c:v>213999.92</c:v>
                </c:pt>
                <c:pt idx="1270">
                  <c:v>214099.92</c:v>
                </c:pt>
                <c:pt idx="1271">
                  <c:v>214199.92</c:v>
                </c:pt>
                <c:pt idx="1272">
                  <c:v>214299.92</c:v>
                </c:pt>
                <c:pt idx="1273">
                  <c:v>214399.92</c:v>
                </c:pt>
                <c:pt idx="1274">
                  <c:v>214499.92</c:v>
                </c:pt>
                <c:pt idx="1275">
                  <c:v>214599.92</c:v>
                </c:pt>
                <c:pt idx="1276">
                  <c:v>214699.92</c:v>
                </c:pt>
                <c:pt idx="1277">
                  <c:v>214799.92</c:v>
                </c:pt>
                <c:pt idx="1278">
                  <c:v>214899.92</c:v>
                </c:pt>
                <c:pt idx="1279">
                  <c:v>214999.92</c:v>
                </c:pt>
                <c:pt idx="1280">
                  <c:v>215099.92</c:v>
                </c:pt>
                <c:pt idx="1281">
                  <c:v>215199.92</c:v>
                </c:pt>
                <c:pt idx="1282">
                  <c:v>215299.92</c:v>
                </c:pt>
                <c:pt idx="1283">
                  <c:v>215399.92</c:v>
                </c:pt>
                <c:pt idx="1284">
                  <c:v>215499.92</c:v>
                </c:pt>
                <c:pt idx="1285">
                  <c:v>215599.92</c:v>
                </c:pt>
                <c:pt idx="1286">
                  <c:v>215699.92</c:v>
                </c:pt>
                <c:pt idx="1287">
                  <c:v>215799.92</c:v>
                </c:pt>
                <c:pt idx="1288">
                  <c:v>215899.92</c:v>
                </c:pt>
                <c:pt idx="1289">
                  <c:v>215987.9</c:v>
                </c:pt>
                <c:pt idx="1290">
                  <c:v>215999.92</c:v>
                </c:pt>
                <c:pt idx="1291">
                  <c:v>216099.92</c:v>
                </c:pt>
                <c:pt idx="1292">
                  <c:v>216147.9</c:v>
                </c:pt>
                <c:pt idx="1293">
                  <c:v>216199.92</c:v>
                </c:pt>
                <c:pt idx="1294">
                  <c:v>216299.92</c:v>
                </c:pt>
                <c:pt idx="1295">
                  <c:v>216399.92</c:v>
                </c:pt>
                <c:pt idx="1296">
                  <c:v>216499.92</c:v>
                </c:pt>
                <c:pt idx="1297">
                  <c:v>216599.92</c:v>
                </c:pt>
                <c:pt idx="1298">
                  <c:v>216699.92</c:v>
                </c:pt>
                <c:pt idx="1299">
                  <c:v>216799.92</c:v>
                </c:pt>
                <c:pt idx="1300">
                  <c:v>216899.92</c:v>
                </c:pt>
                <c:pt idx="1301">
                  <c:v>216999.92</c:v>
                </c:pt>
                <c:pt idx="1302">
                  <c:v>217099.92</c:v>
                </c:pt>
                <c:pt idx="1303">
                  <c:v>217195.7</c:v>
                </c:pt>
                <c:pt idx="1304">
                  <c:v>217199.92</c:v>
                </c:pt>
                <c:pt idx="1305">
                  <c:v>217299.92</c:v>
                </c:pt>
                <c:pt idx="1306">
                  <c:v>217315.7</c:v>
                </c:pt>
                <c:pt idx="1307">
                  <c:v>217399.92</c:v>
                </c:pt>
                <c:pt idx="1308">
                  <c:v>217499.92</c:v>
                </c:pt>
                <c:pt idx="1309">
                  <c:v>217599.92</c:v>
                </c:pt>
                <c:pt idx="1310">
                  <c:v>217699.92</c:v>
                </c:pt>
                <c:pt idx="1311">
                  <c:v>217799.92</c:v>
                </c:pt>
                <c:pt idx="1312">
                  <c:v>217899.92</c:v>
                </c:pt>
                <c:pt idx="1313">
                  <c:v>217999.92</c:v>
                </c:pt>
                <c:pt idx="1314">
                  <c:v>218099.92</c:v>
                </c:pt>
                <c:pt idx="1315">
                  <c:v>218199.92</c:v>
                </c:pt>
                <c:pt idx="1316">
                  <c:v>218299.92</c:v>
                </c:pt>
                <c:pt idx="1317">
                  <c:v>218399.92</c:v>
                </c:pt>
                <c:pt idx="1318">
                  <c:v>218499.92</c:v>
                </c:pt>
                <c:pt idx="1319">
                  <c:v>218599.92</c:v>
                </c:pt>
                <c:pt idx="1320">
                  <c:v>218699.92</c:v>
                </c:pt>
                <c:pt idx="1321">
                  <c:v>218799.92</c:v>
                </c:pt>
                <c:pt idx="1322">
                  <c:v>218899.92</c:v>
                </c:pt>
                <c:pt idx="1323">
                  <c:v>218999.92</c:v>
                </c:pt>
                <c:pt idx="1324">
                  <c:v>219099.92</c:v>
                </c:pt>
                <c:pt idx="1325">
                  <c:v>219199.92</c:v>
                </c:pt>
                <c:pt idx="1326">
                  <c:v>219299.92</c:v>
                </c:pt>
                <c:pt idx="1327">
                  <c:v>219399.92</c:v>
                </c:pt>
                <c:pt idx="1328">
                  <c:v>219499.92</c:v>
                </c:pt>
                <c:pt idx="1329">
                  <c:v>219599.92</c:v>
                </c:pt>
                <c:pt idx="1330">
                  <c:v>219699.92</c:v>
                </c:pt>
                <c:pt idx="1331">
                  <c:v>219799.92</c:v>
                </c:pt>
                <c:pt idx="1332">
                  <c:v>219899.92</c:v>
                </c:pt>
                <c:pt idx="1333">
                  <c:v>219999.92</c:v>
                </c:pt>
                <c:pt idx="1334">
                  <c:v>220099.92</c:v>
                </c:pt>
                <c:pt idx="1335">
                  <c:v>220199.92</c:v>
                </c:pt>
                <c:pt idx="1336">
                  <c:v>220299.92</c:v>
                </c:pt>
                <c:pt idx="1337">
                  <c:v>220399.92</c:v>
                </c:pt>
                <c:pt idx="1338">
                  <c:v>220499.92</c:v>
                </c:pt>
                <c:pt idx="1339">
                  <c:v>220599.92</c:v>
                </c:pt>
                <c:pt idx="1340">
                  <c:v>220699.92</c:v>
                </c:pt>
                <c:pt idx="1341">
                  <c:v>220799.92</c:v>
                </c:pt>
                <c:pt idx="1342">
                  <c:v>220899.92</c:v>
                </c:pt>
                <c:pt idx="1343">
                  <c:v>220999.92</c:v>
                </c:pt>
                <c:pt idx="1344">
                  <c:v>221099.92</c:v>
                </c:pt>
                <c:pt idx="1345">
                  <c:v>221199.92</c:v>
                </c:pt>
                <c:pt idx="1346">
                  <c:v>221299.92</c:v>
                </c:pt>
                <c:pt idx="1347">
                  <c:v>221399.92</c:v>
                </c:pt>
                <c:pt idx="1348">
                  <c:v>221499.92</c:v>
                </c:pt>
                <c:pt idx="1349">
                  <c:v>221599.92</c:v>
                </c:pt>
                <c:pt idx="1350">
                  <c:v>221699.92</c:v>
                </c:pt>
                <c:pt idx="1351">
                  <c:v>221799.92</c:v>
                </c:pt>
                <c:pt idx="1352">
                  <c:v>221899.92</c:v>
                </c:pt>
                <c:pt idx="1353">
                  <c:v>221999.92</c:v>
                </c:pt>
                <c:pt idx="1354">
                  <c:v>222099.92</c:v>
                </c:pt>
                <c:pt idx="1355">
                  <c:v>222199.92</c:v>
                </c:pt>
                <c:pt idx="1356">
                  <c:v>222299.92</c:v>
                </c:pt>
                <c:pt idx="1357">
                  <c:v>222399.92</c:v>
                </c:pt>
                <c:pt idx="1358">
                  <c:v>222499.92</c:v>
                </c:pt>
                <c:pt idx="1359">
                  <c:v>222599.92</c:v>
                </c:pt>
                <c:pt idx="1360">
                  <c:v>222699.92</c:v>
                </c:pt>
                <c:pt idx="1361">
                  <c:v>222799.92</c:v>
                </c:pt>
                <c:pt idx="1362">
                  <c:v>222899.92</c:v>
                </c:pt>
                <c:pt idx="1363">
                  <c:v>222999.92</c:v>
                </c:pt>
                <c:pt idx="1364">
                  <c:v>223099.92</c:v>
                </c:pt>
                <c:pt idx="1365">
                  <c:v>223199.92</c:v>
                </c:pt>
                <c:pt idx="1366">
                  <c:v>223299.92</c:v>
                </c:pt>
                <c:pt idx="1367">
                  <c:v>223399.92</c:v>
                </c:pt>
                <c:pt idx="1368">
                  <c:v>223499.92</c:v>
                </c:pt>
                <c:pt idx="1369">
                  <c:v>223599.92</c:v>
                </c:pt>
                <c:pt idx="1370">
                  <c:v>223699.92</c:v>
                </c:pt>
                <c:pt idx="1371">
                  <c:v>223799.92</c:v>
                </c:pt>
                <c:pt idx="1372">
                  <c:v>223872</c:v>
                </c:pt>
                <c:pt idx="1373">
                  <c:v>223899.92</c:v>
                </c:pt>
                <c:pt idx="1374">
                  <c:v>223999.92</c:v>
                </c:pt>
                <c:pt idx="1375">
                  <c:v>224099.92</c:v>
                </c:pt>
                <c:pt idx="1376">
                  <c:v>224199.92</c:v>
                </c:pt>
                <c:pt idx="1377">
                  <c:v>224299.92</c:v>
                </c:pt>
                <c:pt idx="1378">
                  <c:v>224377.9</c:v>
                </c:pt>
                <c:pt idx="1379">
                  <c:v>224399.92</c:v>
                </c:pt>
                <c:pt idx="1380">
                  <c:v>224499.92</c:v>
                </c:pt>
                <c:pt idx="1381">
                  <c:v>224599.92</c:v>
                </c:pt>
                <c:pt idx="1382">
                  <c:v>224617.9</c:v>
                </c:pt>
                <c:pt idx="1383">
                  <c:v>224699.92</c:v>
                </c:pt>
                <c:pt idx="1384">
                  <c:v>224799.92</c:v>
                </c:pt>
                <c:pt idx="1385">
                  <c:v>224899.92</c:v>
                </c:pt>
                <c:pt idx="1386">
                  <c:v>224999.92</c:v>
                </c:pt>
                <c:pt idx="1387">
                  <c:v>225099.92</c:v>
                </c:pt>
                <c:pt idx="1388">
                  <c:v>225199.92</c:v>
                </c:pt>
                <c:pt idx="1389">
                  <c:v>225299.92</c:v>
                </c:pt>
              </c:numCache>
            </c:numRef>
          </c:xVal>
          <c:yVal>
            <c:numRef>
              <c:f>TS!$Q$2:$Q$1391</c:f>
              <c:numCache>
                <c:formatCode>0.0</c:formatCode>
                <c:ptCount val="1390"/>
                <c:pt idx="0">
                  <c:v>2000</c:v>
                </c:pt>
                <c:pt idx="1">
                  <c:v>2000</c:v>
                </c:pt>
                <c:pt idx="2">
                  <c:v>2000</c:v>
                </c:pt>
                <c:pt idx="3">
                  <c:v>2000</c:v>
                </c:pt>
                <c:pt idx="4">
                  <c:v>2000</c:v>
                </c:pt>
                <c:pt idx="5">
                  <c:v>2000</c:v>
                </c:pt>
                <c:pt idx="6">
                  <c:v>2000</c:v>
                </c:pt>
                <c:pt idx="7">
                  <c:v>2000</c:v>
                </c:pt>
                <c:pt idx="8">
                  <c:v>2000</c:v>
                </c:pt>
                <c:pt idx="9">
                  <c:v>2000</c:v>
                </c:pt>
                <c:pt idx="10">
                  <c:v>2000</c:v>
                </c:pt>
                <c:pt idx="11">
                  <c:v>2000</c:v>
                </c:pt>
                <c:pt idx="12">
                  <c:v>2000</c:v>
                </c:pt>
                <c:pt idx="13">
                  <c:v>2000</c:v>
                </c:pt>
                <c:pt idx="14">
                  <c:v>2000</c:v>
                </c:pt>
                <c:pt idx="15">
                  <c:v>2000</c:v>
                </c:pt>
                <c:pt idx="16">
                  <c:v>2000</c:v>
                </c:pt>
                <c:pt idx="17">
                  <c:v>2000</c:v>
                </c:pt>
                <c:pt idx="18">
                  <c:v>2000</c:v>
                </c:pt>
                <c:pt idx="19">
                  <c:v>2000</c:v>
                </c:pt>
                <c:pt idx="20">
                  <c:v>2000</c:v>
                </c:pt>
                <c:pt idx="21">
                  <c:v>2000</c:v>
                </c:pt>
                <c:pt idx="22">
                  <c:v>2000</c:v>
                </c:pt>
                <c:pt idx="23">
                  <c:v>2000</c:v>
                </c:pt>
                <c:pt idx="24">
                  <c:v>2000</c:v>
                </c:pt>
                <c:pt idx="25">
                  <c:v>2000</c:v>
                </c:pt>
                <c:pt idx="26">
                  <c:v>2000</c:v>
                </c:pt>
                <c:pt idx="27">
                  <c:v>2000</c:v>
                </c:pt>
                <c:pt idx="28">
                  <c:v>2000</c:v>
                </c:pt>
                <c:pt idx="29">
                  <c:v>2000</c:v>
                </c:pt>
                <c:pt idx="30">
                  <c:v>2000</c:v>
                </c:pt>
                <c:pt idx="31">
                  <c:v>2000</c:v>
                </c:pt>
                <c:pt idx="32">
                  <c:v>2000</c:v>
                </c:pt>
                <c:pt idx="33">
                  <c:v>2000</c:v>
                </c:pt>
                <c:pt idx="34">
                  <c:v>2000</c:v>
                </c:pt>
                <c:pt idx="35">
                  <c:v>2000</c:v>
                </c:pt>
                <c:pt idx="36">
                  <c:v>2000</c:v>
                </c:pt>
                <c:pt idx="37">
                  <c:v>2880</c:v>
                </c:pt>
                <c:pt idx="38">
                  <c:v>2000</c:v>
                </c:pt>
                <c:pt idx="39">
                  <c:v>2880</c:v>
                </c:pt>
                <c:pt idx="40">
                  <c:v>2000</c:v>
                </c:pt>
                <c:pt idx="41">
                  <c:v>2000</c:v>
                </c:pt>
                <c:pt idx="42">
                  <c:v>2000</c:v>
                </c:pt>
                <c:pt idx="43">
                  <c:v>2000</c:v>
                </c:pt>
                <c:pt idx="44">
                  <c:v>2880</c:v>
                </c:pt>
                <c:pt idx="45">
                  <c:v>2000</c:v>
                </c:pt>
                <c:pt idx="46">
                  <c:v>2000</c:v>
                </c:pt>
                <c:pt idx="47">
                  <c:v>2000</c:v>
                </c:pt>
                <c:pt idx="48">
                  <c:v>2000</c:v>
                </c:pt>
                <c:pt idx="49">
                  <c:v>2000</c:v>
                </c:pt>
                <c:pt idx="50">
                  <c:v>2000</c:v>
                </c:pt>
                <c:pt idx="51">
                  <c:v>2000</c:v>
                </c:pt>
                <c:pt idx="52">
                  <c:v>2000</c:v>
                </c:pt>
                <c:pt idx="53">
                  <c:v>2000</c:v>
                </c:pt>
                <c:pt idx="54">
                  <c:v>2000</c:v>
                </c:pt>
                <c:pt idx="55">
                  <c:v>2000</c:v>
                </c:pt>
                <c:pt idx="56">
                  <c:v>2000</c:v>
                </c:pt>
                <c:pt idx="57">
                  <c:v>2000</c:v>
                </c:pt>
                <c:pt idx="58">
                  <c:v>2000</c:v>
                </c:pt>
                <c:pt idx="59">
                  <c:v>2000</c:v>
                </c:pt>
                <c:pt idx="60">
                  <c:v>2000</c:v>
                </c:pt>
                <c:pt idx="61">
                  <c:v>2000</c:v>
                </c:pt>
                <c:pt idx="62">
                  <c:v>2000</c:v>
                </c:pt>
                <c:pt idx="63">
                  <c:v>2000</c:v>
                </c:pt>
                <c:pt idx="64">
                  <c:v>2880</c:v>
                </c:pt>
                <c:pt idx="65">
                  <c:v>2000</c:v>
                </c:pt>
                <c:pt idx="66">
                  <c:v>2000</c:v>
                </c:pt>
                <c:pt idx="67">
                  <c:v>2000</c:v>
                </c:pt>
                <c:pt idx="68">
                  <c:v>2000</c:v>
                </c:pt>
                <c:pt idx="69">
                  <c:v>2000</c:v>
                </c:pt>
                <c:pt idx="70">
                  <c:v>2000</c:v>
                </c:pt>
                <c:pt idx="71">
                  <c:v>2000</c:v>
                </c:pt>
                <c:pt idx="72">
                  <c:v>2000</c:v>
                </c:pt>
                <c:pt idx="73">
                  <c:v>2000</c:v>
                </c:pt>
                <c:pt idx="74">
                  <c:v>2000</c:v>
                </c:pt>
                <c:pt idx="75">
                  <c:v>2000</c:v>
                </c:pt>
                <c:pt idx="76">
                  <c:v>2000</c:v>
                </c:pt>
                <c:pt idx="77">
                  <c:v>2000</c:v>
                </c:pt>
                <c:pt idx="78">
                  <c:v>2000</c:v>
                </c:pt>
                <c:pt idx="79">
                  <c:v>2000</c:v>
                </c:pt>
                <c:pt idx="80">
                  <c:v>2000</c:v>
                </c:pt>
                <c:pt idx="81">
                  <c:v>2000</c:v>
                </c:pt>
                <c:pt idx="82">
                  <c:v>2000</c:v>
                </c:pt>
                <c:pt idx="83">
                  <c:v>2000</c:v>
                </c:pt>
                <c:pt idx="84">
                  <c:v>2880</c:v>
                </c:pt>
                <c:pt idx="85">
                  <c:v>2000</c:v>
                </c:pt>
                <c:pt idx="86">
                  <c:v>2880</c:v>
                </c:pt>
                <c:pt idx="87">
                  <c:v>2000</c:v>
                </c:pt>
                <c:pt idx="88">
                  <c:v>2000</c:v>
                </c:pt>
                <c:pt idx="89">
                  <c:v>2000</c:v>
                </c:pt>
                <c:pt idx="90">
                  <c:v>2000</c:v>
                </c:pt>
                <c:pt idx="91">
                  <c:v>2000</c:v>
                </c:pt>
                <c:pt idx="92">
                  <c:v>2000</c:v>
                </c:pt>
                <c:pt idx="93">
                  <c:v>2000</c:v>
                </c:pt>
                <c:pt idx="94">
                  <c:v>2000</c:v>
                </c:pt>
                <c:pt idx="95">
                  <c:v>2000</c:v>
                </c:pt>
                <c:pt idx="96">
                  <c:v>2000</c:v>
                </c:pt>
                <c:pt idx="97">
                  <c:v>2000</c:v>
                </c:pt>
                <c:pt idx="98">
                  <c:v>2000</c:v>
                </c:pt>
                <c:pt idx="99">
                  <c:v>2000</c:v>
                </c:pt>
                <c:pt idx="100">
                  <c:v>2000</c:v>
                </c:pt>
                <c:pt idx="101">
                  <c:v>2000</c:v>
                </c:pt>
                <c:pt idx="102">
                  <c:v>2000</c:v>
                </c:pt>
                <c:pt idx="103">
                  <c:v>2000</c:v>
                </c:pt>
                <c:pt idx="104">
                  <c:v>2000</c:v>
                </c:pt>
                <c:pt idx="105">
                  <c:v>2000</c:v>
                </c:pt>
                <c:pt idx="106">
                  <c:v>2000</c:v>
                </c:pt>
                <c:pt idx="107">
                  <c:v>2000</c:v>
                </c:pt>
                <c:pt idx="108">
                  <c:v>2000</c:v>
                </c:pt>
                <c:pt idx="109">
                  <c:v>2000</c:v>
                </c:pt>
                <c:pt idx="110">
                  <c:v>2000</c:v>
                </c:pt>
                <c:pt idx="111">
                  <c:v>2000</c:v>
                </c:pt>
                <c:pt idx="112">
                  <c:v>2000</c:v>
                </c:pt>
                <c:pt idx="113">
                  <c:v>2000</c:v>
                </c:pt>
                <c:pt idx="114">
                  <c:v>2000</c:v>
                </c:pt>
                <c:pt idx="115">
                  <c:v>2000</c:v>
                </c:pt>
                <c:pt idx="116">
                  <c:v>2000</c:v>
                </c:pt>
                <c:pt idx="117">
                  <c:v>2000</c:v>
                </c:pt>
                <c:pt idx="118">
                  <c:v>2000</c:v>
                </c:pt>
                <c:pt idx="119">
                  <c:v>2000</c:v>
                </c:pt>
                <c:pt idx="120">
                  <c:v>2000</c:v>
                </c:pt>
                <c:pt idx="121">
                  <c:v>2000</c:v>
                </c:pt>
                <c:pt idx="122">
                  <c:v>2000</c:v>
                </c:pt>
                <c:pt idx="123">
                  <c:v>2000</c:v>
                </c:pt>
                <c:pt idx="124">
                  <c:v>2000</c:v>
                </c:pt>
                <c:pt idx="125">
                  <c:v>2000</c:v>
                </c:pt>
                <c:pt idx="126">
                  <c:v>2000</c:v>
                </c:pt>
                <c:pt idx="127">
                  <c:v>2000</c:v>
                </c:pt>
                <c:pt idx="128">
                  <c:v>2000</c:v>
                </c:pt>
                <c:pt idx="129">
                  <c:v>2880</c:v>
                </c:pt>
                <c:pt idx="130">
                  <c:v>2000</c:v>
                </c:pt>
                <c:pt idx="131">
                  <c:v>2000</c:v>
                </c:pt>
                <c:pt idx="132">
                  <c:v>2000</c:v>
                </c:pt>
                <c:pt idx="133">
                  <c:v>2000</c:v>
                </c:pt>
                <c:pt idx="134">
                  <c:v>2000</c:v>
                </c:pt>
                <c:pt idx="135">
                  <c:v>2000</c:v>
                </c:pt>
                <c:pt idx="136">
                  <c:v>2000</c:v>
                </c:pt>
                <c:pt idx="137">
                  <c:v>2000</c:v>
                </c:pt>
                <c:pt idx="138">
                  <c:v>2000</c:v>
                </c:pt>
                <c:pt idx="139">
                  <c:v>2880</c:v>
                </c:pt>
                <c:pt idx="140">
                  <c:v>2000</c:v>
                </c:pt>
                <c:pt idx="141">
                  <c:v>2000</c:v>
                </c:pt>
                <c:pt idx="142">
                  <c:v>2000</c:v>
                </c:pt>
                <c:pt idx="143">
                  <c:v>2000</c:v>
                </c:pt>
                <c:pt idx="144">
                  <c:v>2000</c:v>
                </c:pt>
                <c:pt idx="145">
                  <c:v>2000</c:v>
                </c:pt>
                <c:pt idx="146">
                  <c:v>2000</c:v>
                </c:pt>
                <c:pt idx="147">
                  <c:v>2000</c:v>
                </c:pt>
                <c:pt idx="148">
                  <c:v>2880</c:v>
                </c:pt>
                <c:pt idx="149">
                  <c:v>2000</c:v>
                </c:pt>
                <c:pt idx="150">
                  <c:v>2000</c:v>
                </c:pt>
                <c:pt idx="151">
                  <c:v>2000</c:v>
                </c:pt>
                <c:pt idx="152">
                  <c:v>2000</c:v>
                </c:pt>
                <c:pt idx="153">
                  <c:v>2000</c:v>
                </c:pt>
                <c:pt idx="154">
                  <c:v>2000</c:v>
                </c:pt>
                <c:pt idx="155">
                  <c:v>2000</c:v>
                </c:pt>
                <c:pt idx="156">
                  <c:v>2000</c:v>
                </c:pt>
                <c:pt idx="157">
                  <c:v>2000</c:v>
                </c:pt>
                <c:pt idx="158">
                  <c:v>2880</c:v>
                </c:pt>
                <c:pt idx="159">
                  <c:v>2000</c:v>
                </c:pt>
                <c:pt idx="160">
                  <c:v>2880</c:v>
                </c:pt>
                <c:pt idx="161">
                  <c:v>2000</c:v>
                </c:pt>
                <c:pt idx="162">
                  <c:v>2000</c:v>
                </c:pt>
                <c:pt idx="163">
                  <c:v>2000</c:v>
                </c:pt>
                <c:pt idx="164">
                  <c:v>2000</c:v>
                </c:pt>
                <c:pt idx="165">
                  <c:v>2000</c:v>
                </c:pt>
                <c:pt idx="166">
                  <c:v>2000</c:v>
                </c:pt>
                <c:pt idx="167">
                  <c:v>2000</c:v>
                </c:pt>
                <c:pt idx="168">
                  <c:v>2000</c:v>
                </c:pt>
                <c:pt idx="169">
                  <c:v>2000</c:v>
                </c:pt>
                <c:pt idx="170">
                  <c:v>2000</c:v>
                </c:pt>
                <c:pt idx="171">
                  <c:v>2000</c:v>
                </c:pt>
                <c:pt idx="172">
                  <c:v>2000</c:v>
                </c:pt>
                <c:pt idx="173">
                  <c:v>2000</c:v>
                </c:pt>
                <c:pt idx="174">
                  <c:v>2000</c:v>
                </c:pt>
                <c:pt idx="175">
                  <c:v>2000</c:v>
                </c:pt>
                <c:pt idx="176">
                  <c:v>2000</c:v>
                </c:pt>
                <c:pt idx="177">
                  <c:v>2000</c:v>
                </c:pt>
                <c:pt idx="178">
                  <c:v>2000</c:v>
                </c:pt>
                <c:pt idx="179">
                  <c:v>2000</c:v>
                </c:pt>
                <c:pt idx="180">
                  <c:v>2000</c:v>
                </c:pt>
                <c:pt idx="181">
                  <c:v>2000</c:v>
                </c:pt>
                <c:pt idx="182">
                  <c:v>2000</c:v>
                </c:pt>
                <c:pt idx="183">
                  <c:v>2000</c:v>
                </c:pt>
                <c:pt idx="184">
                  <c:v>2000</c:v>
                </c:pt>
                <c:pt idx="185">
                  <c:v>2000</c:v>
                </c:pt>
                <c:pt idx="186">
                  <c:v>2000</c:v>
                </c:pt>
                <c:pt idx="187">
                  <c:v>2000</c:v>
                </c:pt>
                <c:pt idx="188">
                  <c:v>2000</c:v>
                </c:pt>
                <c:pt idx="189">
                  <c:v>2000</c:v>
                </c:pt>
                <c:pt idx="190">
                  <c:v>2000</c:v>
                </c:pt>
                <c:pt idx="191">
                  <c:v>2000</c:v>
                </c:pt>
                <c:pt idx="192">
                  <c:v>2000</c:v>
                </c:pt>
                <c:pt idx="193">
                  <c:v>2000</c:v>
                </c:pt>
                <c:pt idx="194">
                  <c:v>2880</c:v>
                </c:pt>
                <c:pt idx="195">
                  <c:v>2000</c:v>
                </c:pt>
                <c:pt idx="196">
                  <c:v>2880</c:v>
                </c:pt>
                <c:pt idx="197">
                  <c:v>2000</c:v>
                </c:pt>
                <c:pt idx="198">
                  <c:v>2000</c:v>
                </c:pt>
                <c:pt idx="199">
                  <c:v>2000</c:v>
                </c:pt>
                <c:pt idx="200">
                  <c:v>2000</c:v>
                </c:pt>
                <c:pt idx="201">
                  <c:v>2000</c:v>
                </c:pt>
                <c:pt idx="202">
                  <c:v>2880</c:v>
                </c:pt>
                <c:pt idx="203">
                  <c:v>2000</c:v>
                </c:pt>
                <c:pt idx="204">
                  <c:v>2880</c:v>
                </c:pt>
                <c:pt idx="205">
                  <c:v>2000</c:v>
                </c:pt>
                <c:pt idx="206">
                  <c:v>2000</c:v>
                </c:pt>
                <c:pt idx="207">
                  <c:v>2880</c:v>
                </c:pt>
                <c:pt idx="208">
                  <c:v>2000</c:v>
                </c:pt>
                <c:pt idx="209">
                  <c:v>2880</c:v>
                </c:pt>
                <c:pt idx="210">
                  <c:v>2000</c:v>
                </c:pt>
                <c:pt idx="211">
                  <c:v>2000</c:v>
                </c:pt>
                <c:pt idx="212">
                  <c:v>2000</c:v>
                </c:pt>
                <c:pt idx="213">
                  <c:v>2000</c:v>
                </c:pt>
                <c:pt idx="214">
                  <c:v>2000</c:v>
                </c:pt>
                <c:pt idx="215">
                  <c:v>2000</c:v>
                </c:pt>
                <c:pt idx="216">
                  <c:v>2880</c:v>
                </c:pt>
                <c:pt idx="217">
                  <c:v>2000</c:v>
                </c:pt>
                <c:pt idx="218">
                  <c:v>2880</c:v>
                </c:pt>
                <c:pt idx="219">
                  <c:v>2000</c:v>
                </c:pt>
                <c:pt idx="220">
                  <c:v>2000</c:v>
                </c:pt>
                <c:pt idx="221">
                  <c:v>2000</c:v>
                </c:pt>
                <c:pt idx="222">
                  <c:v>2880</c:v>
                </c:pt>
                <c:pt idx="223">
                  <c:v>2000</c:v>
                </c:pt>
                <c:pt idx="224">
                  <c:v>2000</c:v>
                </c:pt>
                <c:pt idx="225">
                  <c:v>2000</c:v>
                </c:pt>
                <c:pt idx="226">
                  <c:v>2000</c:v>
                </c:pt>
                <c:pt idx="227">
                  <c:v>2000</c:v>
                </c:pt>
                <c:pt idx="228">
                  <c:v>2000</c:v>
                </c:pt>
                <c:pt idx="229">
                  <c:v>2000</c:v>
                </c:pt>
                <c:pt idx="230">
                  <c:v>2000</c:v>
                </c:pt>
                <c:pt idx="231">
                  <c:v>2000</c:v>
                </c:pt>
                <c:pt idx="232">
                  <c:v>2000</c:v>
                </c:pt>
                <c:pt idx="233">
                  <c:v>2000</c:v>
                </c:pt>
                <c:pt idx="234">
                  <c:v>2000</c:v>
                </c:pt>
                <c:pt idx="235">
                  <c:v>2000</c:v>
                </c:pt>
                <c:pt idx="236">
                  <c:v>2000</c:v>
                </c:pt>
                <c:pt idx="237">
                  <c:v>2000</c:v>
                </c:pt>
                <c:pt idx="238">
                  <c:v>2000</c:v>
                </c:pt>
                <c:pt idx="239">
                  <c:v>2000</c:v>
                </c:pt>
                <c:pt idx="240">
                  <c:v>2000</c:v>
                </c:pt>
                <c:pt idx="241">
                  <c:v>2000</c:v>
                </c:pt>
                <c:pt idx="242">
                  <c:v>2000</c:v>
                </c:pt>
                <c:pt idx="243">
                  <c:v>2000</c:v>
                </c:pt>
                <c:pt idx="244">
                  <c:v>2000</c:v>
                </c:pt>
                <c:pt idx="245">
                  <c:v>2000</c:v>
                </c:pt>
                <c:pt idx="246">
                  <c:v>2000</c:v>
                </c:pt>
                <c:pt idx="247">
                  <c:v>2000</c:v>
                </c:pt>
                <c:pt idx="248">
                  <c:v>2000</c:v>
                </c:pt>
                <c:pt idx="249">
                  <c:v>2880</c:v>
                </c:pt>
                <c:pt idx="250">
                  <c:v>2000</c:v>
                </c:pt>
                <c:pt idx="251">
                  <c:v>2000</c:v>
                </c:pt>
                <c:pt idx="252">
                  <c:v>2000</c:v>
                </c:pt>
                <c:pt idx="253">
                  <c:v>2000</c:v>
                </c:pt>
                <c:pt idx="254">
                  <c:v>2000</c:v>
                </c:pt>
                <c:pt idx="255">
                  <c:v>2000</c:v>
                </c:pt>
                <c:pt idx="256">
                  <c:v>2000</c:v>
                </c:pt>
                <c:pt idx="257">
                  <c:v>2000</c:v>
                </c:pt>
                <c:pt idx="258">
                  <c:v>2000</c:v>
                </c:pt>
                <c:pt idx="259">
                  <c:v>2000</c:v>
                </c:pt>
                <c:pt idx="260">
                  <c:v>2000</c:v>
                </c:pt>
                <c:pt idx="261">
                  <c:v>2000</c:v>
                </c:pt>
                <c:pt idx="262">
                  <c:v>2000</c:v>
                </c:pt>
                <c:pt idx="263">
                  <c:v>2000</c:v>
                </c:pt>
                <c:pt idx="264">
                  <c:v>2000</c:v>
                </c:pt>
                <c:pt idx="265">
                  <c:v>2000</c:v>
                </c:pt>
                <c:pt idx="266">
                  <c:v>2880</c:v>
                </c:pt>
                <c:pt idx="267">
                  <c:v>2000</c:v>
                </c:pt>
                <c:pt idx="268">
                  <c:v>2880</c:v>
                </c:pt>
                <c:pt idx="269">
                  <c:v>2000</c:v>
                </c:pt>
                <c:pt idx="270">
                  <c:v>2000</c:v>
                </c:pt>
                <c:pt idx="271">
                  <c:v>2000</c:v>
                </c:pt>
                <c:pt idx="272">
                  <c:v>2000</c:v>
                </c:pt>
                <c:pt idx="273">
                  <c:v>2000</c:v>
                </c:pt>
                <c:pt idx="274">
                  <c:v>2000</c:v>
                </c:pt>
                <c:pt idx="275">
                  <c:v>2000</c:v>
                </c:pt>
                <c:pt idx="276">
                  <c:v>2000</c:v>
                </c:pt>
                <c:pt idx="277">
                  <c:v>2000</c:v>
                </c:pt>
                <c:pt idx="278">
                  <c:v>2000</c:v>
                </c:pt>
                <c:pt idx="279">
                  <c:v>2000</c:v>
                </c:pt>
                <c:pt idx="280">
                  <c:v>2000</c:v>
                </c:pt>
                <c:pt idx="281">
                  <c:v>2000</c:v>
                </c:pt>
                <c:pt idx="282">
                  <c:v>2000</c:v>
                </c:pt>
                <c:pt idx="283">
                  <c:v>2000</c:v>
                </c:pt>
                <c:pt idx="284">
                  <c:v>2000</c:v>
                </c:pt>
                <c:pt idx="285">
                  <c:v>2000</c:v>
                </c:pt>
                <c:pt idx="286">
                  <c:v>2000</c:v>
                </c:pt>
                <c:pt idx="287">
                  <c:v>2000</c:v>
                </c:pt>
                <c:pt idx="288">
                  <c:v>2000</c:v>
                </c:pt>
                <c:pt idx="289">
                  <c:v>2000</c:v>
                </c:pt>
                <c:pt idx="290">
                  <c:v>2000</c:v>
                </c:pt>
                <c:pt idx="291">
                  <c:v>2000</c:v>
                </c:pt>
                <c:pt idx="292">
                  <c:v>2000</c:v>
                </c:pt>
                <c:pt idx="293">
                  <c:v>2000</c:v>
                </c:pt>
                <c:pt idx="294">
                  <c:v>2000</c:v>
                </c:pt>
                <c:pt idx="295">
                  <c:v>2000</c:v>
                </c:pt>
                <c:pt idx="296">
                  <c:v>2000</c:v>
                </c:pt>
                <c:pt idx="297">
                  <c:v>2000</c:v>
                </c:pt>
                <c:pt idx="298">
                  <c:v>2880</c:v>
                </c:pt>
                <c:pt idx="299">
                  <c:v>2880</c:v>
                </c:pt>
                <c:pt idx="300">
                  <c:v>2000</c:v>
                </c:pt>
                <c:pt idx="301">
                  <c:v>2000</c:v>
                </c:pt>
                <c:pt idx="302">
                  <c:v>2000</c:v>
                </c:pt>
                <c:pt idx="303">
                  <c:v>2000</c:v>
                </c:pt>
                <c:pt idx="304">
                  <c:v>2000</c:v>
                </c:pt>
                <c:pt idx="305">
                  <c:v>2000</c:v>
                </c:pt>
                <c:pt idx="306">
                  <c:v>2000</c:v>
                </c:pt>
                <c:pt idx="307">
                  <c:v>2000</c:v>
                </c:pt>
                <c:pt idx="308">
                  <c:v>2000</c:v>
                </c:pt>
                <c:pt idx="309">
                  <c:v>2000</c:v>
                </c:pt>
                <c:pt idx="310">
                  <c:v>2000</c:v>
                </c:pt>
                <c:pt idx="311">
                  <c:v>2000</c:v>
                </c:pt>
                <c:pt idx="312">
                  <c:v>2000</c:v>
                </c:pt>
                <c:pt idx="313">
                  <c:v>2000</c:v>
                </c:pt>
                <c:pt idx="314">
                  <c:v>2000</c:v>
                </c:pt>
                <c:pt idx="315">
                  <c:v>2000</c:v>
                </c:pt>
                <c:pt idx="316">
                  <c:v>2000</c:v>
                </c:pt>
                <c:pt idx="317">
                  <c:v>2000</c:v>
                </c:pt>
                <c:pt idx="318">
                  <c:v>2000</c:v>
                </c:pt>
                <c:pt idx="319">
                  <c:v>2880</c:v>
                </c:pt>
                <c:pt idx="320">
                  <c:v>2000</c:v>
                </c:pt>
                <c:pt idx="321">
                  <c:v>2880</c:v>
                </c:pt>
                <c:pt idx="322">
                  <c:v>2000</c:v>
                </c:pt>
                <c:pt idx="323">
                  <c:v>2000</c:v>
                </c:pt>
                <c:pt idx="324">
                  <c:v>2000</c:v>
                </c:pt>
                <c:pt idx="325">
                  <c:v>2000</c:v>
                </c:pt>
                <c:pt idx="326">
                  <c:v>2000</c:v>
                </c:pt>
                <c:pt idx="327">
                  <c:v>2000</c:v>
                </c:pt>
                <c:pt idx="328">
                  <c:v>2000</c:v>
                </c:pt>
                <c:pt idx="329">
                  <c:v>2000</c:v>
                </c:pt>
                <c:pt idx="330">
                  <c:v>2000</c:v>
                </c:pt>
                <c:pt idx="331">
                  <c:v>2880</c:v>
                </c:pt>
                <c:pt idx="332">
                  <c:v>2000</c:v>
                </c:pt>
                <c:pt idx="333">
                  <c:v>2880</c:v>
                </c:pt>
                <c:pt idx="334">
                  <c:v>2000</c:v>
                </c:pt>
                <c:pt idx="335">
                  <c:v>2000</c:v>
                </c:pt>
                <c:pt idx="336">
                  <c:v>2000</c:v>
                </c:pt>
                <c:pt idx="337">
                  <c:v>2000</c:v>
                </c:pt>
                <c:pt idx="338">
                  <c:v>2000</c:v>
                </c:pt>
                <c:pt idx="339">
                  <c:v>2000</c:v>
                </c:pt>
                <c:pt idx="340">
                  <c:v>2000</c:v>
                </c:pt>
                <c:pt idx="341">
                  <c:v>2000</c:v>
                </c:pt>
                <c:pt idx="342">
                  <c:v>2000</c:v>
                </c:pt>
                <c:pt idx="343">
                  <c:v>2000</c:v>
                </c:pt>
                <c:pt idx="344">
                  <c:v>2000</c:v>
                </c:pt>
                <c:pt idx="345">
                  <c:v>2000</c:v>
                </c:pt>
                <c:pt idx="346">
                  <c:v>2000</c:v>
                </c:pt>
                <c:pt idx="347">
                  <c:v>2000</c:v>
                </c:pt>
                <c:pt idx="348">
                  <c:v>2000</c:v>
                </c:pt>
                <c:pt idx="349">
                  <c:v>2000</c:v>
                </c:pt>
                <c:pt idx="350">
                  <c:v>2000</c:v>
                </c:pt>
                <c:pt idx="351">
                  <c:v>2000</c:v>
                </c:pt>
                <c:pt idx="352">
                  <c:v>2000</c:v>
                </c:pt>
                <c:pt idx="353">
                  <c:v>2000</c:v>
                </c:pt>
                <c:pt idx="354">
                  <c:v>2000</c:v>
                </c:pt>
                <c:pt idx="355">
                  <c:v>2000</c:v>
                </c:pt>
                <c:pt idx="356">
                  <c:v>2000</c:v>
                </c:pt>
                <c:pt idx="357">
                  <c:v>2000</c:v>
                </c:pt>
                <c:pt idx="358">
                  <c:v>2000</c:v>
                </c:pt>
                <c:pt idx="359">
                  <c:v>2000</c:v>
                </c:pt>
                <c:pt idx="360">
                  <c:v>2000</c:v>
                </c:pt>
                <c:pt idx="361">
                  <c:v>2000</c:v>
                </c:pt>
                <c:pt idx="362">
                  <c:v>2000</c:v>
                </c:pt>
                <c:pt idx="363">
                  <c:v>2000</c:v>
                </c:pt>
                <c:pt idx="364">
                  <c:v>2000</c:v>
                </c:pt>
                <c:pt idx="365">
                  <c:v>2000</c:v>
                </c:pt>
                <c:pt idx="366">
                  <c:v>2000</c:v>
                </c:pt>
                <c:pt idx="367">
                  <c:v>2000</c:v>
                </c:pt>
                <c:pt idx="368">
                  <c:v>2000</c:v>
                </c:pt>
                <c:pt idx="369">
                  <c:v>2000</c:v>
                </c:pt>
                <c:pt idx="370">
                  <c:v>2000</c:v>
                </c:pt>
                <c:pt idx="371">
                  <c:v>2000</c:v>
                </c:pt>
                <c:pt idx="372">
                  <c:v>2000</c:v>
                </c:pt>
                <c:pt idx="373">
                  <c:v>2880</c:v>
                </c:pt>
                <c:pt idx="374">
                  <c:v>2880</c:v>
                </c:pt>
                <c:pt idx="375">
                  <c:v>2000</c:v>
                </c:pt>
                <c:pt idx="376">
                  <c:v>2000</c:v>
                </c:pt>
                <c:pt idx="377">
                  <c:v>2000</c:v>
                </c:pt>
                <c:pt idx="378">
                  <c:v>2000</c:v>
                </c:pt>
                <c:pt idx="379">
                  <c:v>2000</c:v>
                </c:pt>
                <c:pt idx="380">
                  <c:v>2000</c:v>
                </c:pt>
                <c:pt idx="381">
                  <c:v>2000</c:v>
                </c:pt>
                <c:pt idx="382">
                  <c:v>2000</c:v>
                </c:pt>
                <c:pt idx="383">
                  <c:v>2000</c:v>
                </c:pt>
                <c:pt idx="384">
                  <c:v>2000</c:v>
                </c:pt>
                <c:pt idx="385">
                  <c:v>2000</c:v>
                </c:pt>
                <c:pt idx="386">
                  <c:v>2000</c:v>
                </c:pt>
                <c:pt idx="387">
                  <c:v>2000</c:v>
                </c:pt>
                <c:pt idx="388">
                  <c:v>2000</c:v>
                </c:pt>
                <c:pt idx="389">
                  <c:v>2000</c:v>
                </c:pt>
                <c:pt idx="390">
                  <c:v>2880</c:v>
                </c:pt>
                <c:pt idx="391">
                  <c:v>2000</c:v>
                </c:pt>
                <c:pt idx="392">
                  <c:v>2880</c:v>
                </c:pt>
                <c:pt idx="393">
                  <c:v>2000</c:v>
                </c:pt>
                <c:pt idx="394">
                  <c:v>2000</c:v>
                </c:pt>
                <c:pt idx="395">
                  <c:v>2000</c:v>
                </c:pt>
                <c:pt idx="396">
                  <c:v>2000</c:v>
                </c:pt>
                <c:pt idx="397">
                  <c:v>2000</c:v>
                </c:pt>
                <c:pt idx="398">
                  <c:v>2000</c:v>
                </c:pt>
                <c:pt idx="399">
                  <c:v>2000</c:v>
                </c:pt>
                <c:pt idx="400">
                  <c:v>2000</c:v>
                </c:pt>
                <c:pt idx="401">
                  <c:v>2000</c:v>
                </c:pt>
                <c:pt idx="402">
                  <c:v>2000</c:v>
                </c:pt>
                <c:pt idx="403">
                  <c:v>2000</c:v>
                </c:pt>
                <c:pt idx="404">
                  <c:v>2000</c:v>
                </c:pt>
                <c:pt idx="405">
                  <c:v>2880</c:v>
                </c:pt>
                <c:pt idx="406">
                  <c:v>2000</c:v>
                </c:pt>
                <c:pt idx="407">
                  <c:v>2000</c:v>
                </c:pt>
                <c:pt idx="408">
                  <c:v>2000</c:v>
                </c:pt>
                <c:pt idx="409">
                  <c:v>2880</c:v>
                </c:pt>
                <c:pt idx="410">
                  <c:v>2000</c:v>
                </c:pt>
                <c:pt idx="411">
                  <c:v>2000</c:v>
                </c:pt>
                <c:pt idx="412">
                  <c:v>2000</c:v>
                </c:pt>
                <c:pt idx="413">
                  <c:v>2000</c:v>
                </c:pt>
                <c:pt idx="414">
                  <c:v>2000</c:v>
                </c:pt>
                <c:pt idx="415">
                  <c:v>2000</c:v>
                </c:pt>
                <c:pt idx="416">
                  <c:v>2000</c:v>
                </c:pt>
                <c:pt idx="417">
                  <c:v>2000</c:v>
                </c:pt>
                <c:pt idx="418">
                  <c:v>2000</c:v>
                </c:pt>
                <c:pt idx="419">
                  <c:v>2000</c:v>
                </c:pt>
                <c:pt idx="420">
                  <c:v>2000</c:v>
                </c:pt>
                <c:pt idx="421">
                  <c:v>2000</c:v>
                </c:pt>
                <c:pt idx="422">
                  <c:v>2000</c:v>
                </c:pt>
                <c:pt idx="423">
                  <c:v>2000</c:v>
                </c:pt>
                <c:pt idx="424">
                  <c:v>2000</c:v>
                </c:pt>
                <c:pt idx="425">
                  <c:v>2000</c:v>
                </c:pt>
                <c:pt idx="426">
                  <c:v>2000</c:v>
                </c:pt>
                <c:pt idx="427">
                  <c:v>2000</c:v>
                </c:pt>
                <c:pt idx="428">
                  <c:v>2000</c:v>
                </c:pt>
                <c:pt idx="429">
                  <c:v>2000</c:v>
                </c:pt>
                <c:pt idx="430">
                  <c:v>2000</c:v>
                </c:pt>
                <c:pt idx="431">
                  <c:v>2000</c:v>
                </c:pt>
                <c:pt idx="432">
                  <c:v>2000</c:v>
                </c:pt>
                <c:pt idx="433">
                  <c:v>2000</c:v>
                </c:pt>
                <c:pt idx="434">
                  <c:v>2000</c:v>
                </c:pt>
                <c:pt idx="435">
                  <c:v>2000</c:v>
                </c:pt>
                <c:pt idx="436">
                  <c:v>2000</c:v>
                </c:pt>
                <c:pt idx="437">
                  <c:v>2000</c:v>
                </c:pt>
                <c:pt idx="438">
                  <c:v>2000</c:v>
                </c:pt>
                <c:pt idx="439">
                  <c:v>2000</c:v>
                </c:pt>
                <c:pt idx="440">
                  <c:v>2000</c:v>
                </c:pt>
                <c:pt idx="441">
                  <c:v>2000</c:v>
                </c:pt>
                <c:pt idx="442">
                  <c:v>2000</c:v>
                </c:pt>
                <c:pt idx="443">
                  <c:v>2000</c:v>
                </c:pt>
                <c:pt idx="444">
                  <c:v>2000</c:v>
                </c:pt>
                <c:pt idx="445">
                  <c:v>2000</c:v>
                </c:pt>
                <c:pt idx="446">
                  <c:v>2000</c:v>
                </c:pt>
                <c:pt idx="447">
                  <c:v>2000</c:v>
                </c:pt>
                <c:pt idx="448">
                  <c:v>2000</c:v>
                </c:pt>
                <c:pt idx="449">
                  <c:v>2000</c:v>
                </c:pt>
                <c:pt idx="450">
                  <c:v>2000</c:v>
                </c:pt>
                <c:pt idx="451">
                  <c:v>2000</c:v>
                </c:pt>
                <c:pt idx="452">
                  <c:v>2000</c:v>
                </c:pt>
                <c:pt idx="453">
                  <c:v>2000</c:v>
                </c:pt>
                <c:pt idx="454">
                  <c:v>2000</c:v>
                </c:pt>
                <c:pt idx="455">
                  <c:v>2000</c:v>
                </c:pt>
                <c:pt idx="456">
                  <c:v>2000</c:v>
                </c:pt>
                <c:pt idx="457">
                  <c:v>2880</c:v>
                </c:pt>
                <c:pt idx="458">
                  <c:v>2000</c:v>
                </c:pt>
                <c:pt idx="459">
                  <c:v>2000</c:v>
                </c:pt>
                <c:pt idx="460">
                  <c:v>2000</c:v>
                </c:pt>
                <c:pt idx="461">
                  <c:v>2000</c:v>
                </c:pt>
                <c:pt idx="462">
                  <c:v>2000</c:v>
                </c:pt>
                <c:pt idx="463">
                  <c:v>2000</c:v>
                </c:pt>
                <c:pt idx="464">
                  <c:v>2000</c:v>
                </c:pt>
                <c:pt idx="465">
                  <c:v>2880</c:v>
                </c:pt>
                <c:pt idx="466">
                  <c:v>2000</c:v>
                </c:pt>
                <c:pt idx="467">
                  <c:v>2000</c:v>
                </c:pt>
                <c:pt idx="468">
                  <c:v>2000</c:v>
                </c:pt>
                <c:pt idx="469">
                  <c:v>2000</c:v>
                </c:pt>
                <c:pt idx="470">
                  <c:v>2880</c:v>
                </c:pt>
                <c:pt idx="471">
                  <c:v>2000</c:v>
                </c:pt>
                <c:pt idx="472">
                  <c:v>2880</c:v>
                </c:pt>
                <c:pt idx="473">
                  <c:v>2000</c:v>
                </c:pt>
                <c:pt idx="474">
                  <c:v>2000</c:v>
                </c:pt>
                <c:pt idx="475">
                  <c:v>2000</c:v>
                </c:pt>
                <c:pt idx="476">
                  <c:v>2000</c:v>
                </c:pt>
                <c:pt idx="477">
                  <c:v>2000</c:v>
                </c:pt>
                <c:pt idx="478">
                  <c:v>2880</c:v>
                </c:pt>
                <c:pt idx="479">
                  <c:v>2000</c:v>
                </c:pt>
                <c:pt idx="480">
                  <c:v>2880</c:v>
                </c:pt>
                <c:pt idx="481">
                  <c:v>2000</c:v>
                </c:pt>
                <c:pt idx="482">
                  <c:v>2000</c:v>
                </c:pt>
                <c:pt idx="483">
                  <c:v>2000</c:v>
                </c:pt>
                <c:pt idx="484">
                  <c:v>2000</c:v>
                </c:pt>
                <c:pt idx="485">
                  <c:v>2000</c:v>
                </c:pt>
                <c:pt idx="486">
                  <c:v>2000</c:v>
                </c:pt>
                <c:pt idx="487">
                  <c:v>2000</c:v>
                </c:pt>
                <c:pt idx="488">
                  <c:v>2000</c:v>
                </c:pt>
                <c:pt idx="489">
                  <c:v>2000</c:v>
                </c:pt>
                <c:pt idx="490">
                  <c:v>2000</c:v>
                </c:pt>
                <c:pt idx="491">
                  <c:v>2000</c:v>
                </c:pt>
                <c:pt idx="492">
                  <c:v>2000</c:v>
                </c:pt>
                <c:pt idx="493">
                  <c:v>2000</c:v>
                </c:pt>
                <c:pt idx="494">
                  <c:v>2000</c:v>
                </c:pt>
                <c:pt idx="495">
                  <c:v>2000</c:v>
                </c:pt>
                <c:pt idx="496">
                  <c:v>2000</c:v>
                </c:pt>
                <c:pt idx="497">
                  <c:v>2000</c:v>
                </c:pt>
                <c:pt idx="498">
                  <c:v>2000</c:v>
                </c:pt>
                <c:pt idx="499">
                  <c:v>2000</c:v>
                </c:pt>
                <c:pt idx="500">
                  <c:v>2000</c:v>
                </c:pt>
                <c:pt idx="501">
                  <c:v>2000</c:v>
                </c:pt>
                <c:pt idx="502">
                  <c:v>2000</c:v>
                </c:pt>
                <c:pt idx="503">
                  <c:v>2000</c:v>
                </c:pt>
                <c:pt idx="504">
                  <c:v>2000</c:v>
                </c:pt>
                <c:pt idx="505">
                  <c:v>2000</c:v>
                </c:pt>
                <c:pt idx="506">
                  <c:v>2000</c:v>
                </c:pt>
                <c:pt idx="507">
                  <c:v>2000</c:v>
                </c:pt>
                <c:pt idx="508">
                  <c:v>2000</c:v>
                </c:pt>
                <c:pt idx="509">
                  <c:v>2000</c:v>
                </c:pt>
                <c:pt idx="510">
                  <c:v>2880</c:v>
                </c:pt>
                <c:pt idx="511">
                  <c:v>2000</c:v>
                </c:pt>
                <c:pt idx="512">
                  <c:v>2880</c:v>
                </c:pt>
                <c:pt idx="513">
                  <c:v>2000</c:v>
                </c:pt>
                <c:pt idx="514">
                  <c:v>2000</c:v>
                </c:pt>
                <c:pt idx="515">
                  <c:v>2000</c:v>
                </c:pt>
                <c:pt idx="516">
                  <c:v>2000</c:v>
                </c:pt>
                <c:pt idx="517">
                  <c:v>2000</c:v>
                </c:pt>
                <c:pt idx="518">
                  <c:v>2000</c:v>
                </c:pt>
                <c:pt idx="519">
                  <c:v>2000</c:v>
                </c:pt>
                <c:pt idx="520">
                  <c:v>2000</c:v>
                </c:pt>
                <c:pt idx="521">
                  <c:v>2000</c:v>
                </c:pt>
                <c:pt idx="522">
                  <c:v>2000</c:v>
                </c:pt>
                <c:pt idx="523">
                  <c:v>2000</c:v>
                </c:pt>
                <c:pt idx="524">
                  <c:v>2000</c:v>
                </c:pt>
                <c:pt idx="525">
                  <c:v>2000</c:v>
                </c:pt>
                <c:pt idx="526">
                  <c:v>2000</c:v>
                </c:pt>
                <c:pt idx="527">
                  <c:v>2000</c:v>
                </c:pt>
                <c:pt idx="528">
                  <c:v>2000</c:v>
                </c:pt>
                <c:pt idx="529">
                  <c:v>2000</c:v>
                </c:pt>
                <c:pt idx="530">
                  <c:v>2000</c:v>
                </c:pt>
                <c:pt idx="531">
                  <c:v>2000</c:v>
                </c:pt>
                <c:pt idx="532">
                  <c:v>2880</c:v>
                </c:pt>
                <c:pt idx="533">
                  <c:v>2000</c:v>
                </c:pt>
                <c:pt idx="534">
                  <c:v>2880</c:v>
                </c:pt>
                <c:pt idx="535">
                  <c:v>2000</c:v>
                </c:pt>
                <c:pt idx="536">
                  <c:v>2000</c:v>
                </c:pt>
                <c:pt idx="537">
                  <c:v>2000</c:v>
                </c:pt>
                <c:pt idx="538">
                  <c:v>2000</c:v>
                </c:pt>
                <c:pt idx="539">
                  <c:v>2000</c:v>
                </c:pt>
                <c:pt idx="540">
                  <c:v>2000</c:v>
                </c:pt>
                <c:pt idx="541">
                  <c:v>2000</c:v>
                </c:pt>
                <c:pt idx="542">
                  <c:v>2000</c:v>
                </c:pt>
                <c:pt idx="543">
                  <c:v>2000</c:v>
                </c:pt>
                <c:pt idx="544">
                  <c:v>2000</c:v>
                </c:pt>
                <c:pt idx="545">
                  <c:v>2000</c:v>
                </c:pt>
                <c:pt idx="546">
                  <c:v>2000</c:v>
                </c:pt>
                <c:pt idx="547">
                  <c:v>2000</c:v>
                </c:pt>
                <c:pt idx="548">
                  <c:v>2000</c:v>
                </c:pt>
                <c:pt idx="549">
                  <c:v>2000</c:v>
                </c:pt>
                <c:pt idx="550">
                  <c:v>2000</c:v>
                </c:pt>
                <c:pt idx="551">
                  <c:v>2000</c:v>
                </c:pt>
                <c:pt idx="552">
                  <c:v>2880</c:v>
                </c:pt>
                <c:pt idx="553">
                  <c:v>2000</c:v>
                </c:pt>
                <c:pt idx="554">
                  <c:v>2880</c:v>
                </c:pt>
                <c:pt idx="555">
                  <c:v>2000</c:v>
                </c:pt>
                <c:pt idx="556">
                  <c:v>2000</c:v>
                </c:pt>
                <c:pt idx="557">
                  <c:v>2000</c:v>
                </c:pt>
                <c:pt idx="558">
                  <c:v>2000</c:v>
                </c:pt>
                <c:pt idx="559">
                  <c:v>2000</c:v>
                </c:pt>
                <c:pt idx="560">
                  <c:v>2000</c:v>
                </c:pt>
                <c:pt idx="561">
                  <c:v>2000</c:v>
                </c:pt>
                <c:pt idx="562">
                  <c:v>2000</c:v>
                </c:pt>
                <c:pt idx="563">
                  <c:v>2000</c:v>
                </c:pt>
                <c:pt idx="564">
                  <c:v>2000</c:v>
                </c:pt>
                <c:pt idx="565">
                  <c:v>2000</c:v>
                </c:pt>
                <c:pt idx="566">
                  <c:v>2000</c:v>
                </c:pt>
                <c:pt idx="567">
                  <c:v>2000</c:v>
                </c:pt>
                <c:pt idx="568">
                  <c:v>2000</c:v>
                </c:pt>
                <c:pt idx="569">
                  <c:v>2000</c:v>
                </c:pt>
                <c:pt idx="570">
                  <c:v>2000</c:v>
                </c:pt>
                <c:pt idx="571">
                  <c:v>2000</c:v>
                </c:pt>
                <c:pt idx="572">
                  <c:v>2000</c:v>
                </c:pt>
                <c:pt idx="573">
                  <c:v>2000</c:v>
                </c:pt>
                <c:pt idx="574">
                  <c:v>2000</c:v>
                </c:pt>
                <c:pt idx="575">
                  <c:v>2000</c:v>
                </c:pt>
                <c:pt idx="576">
                  <c:v>2000</c:v>
                </c:pt>
                <c:pt idx="577">
                  <c:v>2000</c:v>
                </c:pt>
                <c:pt idx="578">
                  <c:v>2000</c:v>
                </c:pt>
                <c:pt idx="579">
                  <c:v>2000</c:v>
                </c:pt>
                <c:pt idx="580">
                  <c:v>2000</c:v>
                </c:pt>
                <c:pt idx="581">
                  <c:v>2000</c:v>
                </c:pt>
                <c:pt idx="582">
                  <c:v>2000</c:v>
                </c:pt>
                <c:pt idx="583">
                  <c:v>2000</c:v>
                </c:pt>
                <c:pt idx="584">
                  <c:v>2000</c:v>
                </c:pt>
                <c:pt idx="585">
                  <c:v>2000</c:v>
                </c:pt>
                <c:pt idx="586">
                  <c:v>2000</c:v>
                </c:pt>
                <c:pt idx="587">
                  <c:v>2000</c:v>
                </c:pt>
                <c:pt idx="588">
                  <c:v>2000</c:v>
                </c:pt>
                <c:pt idx="589">
                  <c:v>2000</c:v>
                </c:pt>
                <c:pt idx="590">
                  <c:v>2000</c:v>
                </c:pt>
                <c:pt idx="591">
                  <c:v>2000</c:v>
                </c:pt>
                <c:pt idx="592">
                  <c:v>2000</c:v>
                </c:pt>
                <c:pt idx="593">
                  <c:v>2880</c:v>
                </c:pt>
                <c:pt idx="594">
                  <c:v>2000</c:v>
                </c:pt>
                <c:pt idx="595">
                  <c:v>2880</c:v>
                </c:pt>
                <c:pt idx="596">
                  <c:v>2000</c:v>
                </c:pt>
                <c:pt idx="597">
                  <c:v>2000</c:v>
                </c:pt>
                <c:pt idx="598">
                  <c:v>2000</c:v>
                </c:pt>
                <c:pt idx="599">
                  <c:v>2000</c:v>
                </c:pt>
                <c:pt idx="600">
                  <c:v>2000</c:v>
                </c:pt>
                <c:pt idx="601">
                  <c:v>2000</c:v>
                </c:pt>
                <c:pt idx="602">
                  <c:v>2000</c:v>
                </c:pt>
                <c:pt idx="603">
                  <c:v>2000</c:v>
                </c:pt>
                <c:pt idx="604">
                  <c:v>2000</c:v>
                </c:pt>
                <c:pt idx="605">
                  <c:v>2000</c:v>
                </c:pt>
                <c:pt idx="606">
                  <c:v>2000</c:v>
                </c:pt>
                <c:pt idx="607">
                  <c:v>2000</c:v>
                </c:pt>
                <c:pt idx="608">
                  <c:v>2000</c:v>
                </c:pt>
                <c:pt idx="609">
                  <c:v>2000</c:v>
                </c:pt>
                <c:pt idx="610">
                  <c:v>2000</c:v>
                </c:pt>
                <c:pt idx="611">
                  <c:v>2000</c:v>
                </c:pt>
                <c:pt idx="612">
                  <c:v>2000</c:v>
                </c:pt>
                <c:pt idx="613">
                  <c:v>2000</c:v>
                </c:pt>
                <c:pt idx="614">
                  <c:v>2000</c:v>
                </c:pt>
                <c:pt idx="615">
                  <c:v>2000</c:v>
                </c:pt>
                <c:pt idx="616">
                  <c:v>2000</c:v>
                </c:pt>
                <c:pt idx="617">
                  <c:v>2000</c:v>
                </c:pt>
                <c:pt idx="618">
                  <c:v>2000</c:v>
                </c:pt>
                <c:pt idx="619">
                  <c:v>2000</c:v>
                </c:pt>
                <c:pt idx="620">
                  <c:v>2000</c:v>
                </c:pt>
                <c:pt idx="621">
                  <c:v>2000</c:v>
                </c:pt>
                <c:pt idx="622">
                  <c:v>2000</c:v>
                </c:pt>
                <c:pt idx="623">
                  <c:v>2000</c:v>
                </c:pt>
                <c:pt idx="624">
                  <c:v>2000</c:v>
                </c:pt>
                <c:pt idx="625">
                  <c:v>2000</c:v>
                </c:pt>
                <c:pt idx="626">
                  <c:v>2000</c:v>
                </c:pt>
                <c:pt idx="627">
                  <c:v>2000</c:v>
                </c:pt>
                <c:pt idx="628">
                  <c:v>2000</c:v>
                </c:pt>
                <c:pt idx="629">
                  <c:v>2000</c:v>
                </c:pt>
                <c:pt idx="630">
                  <c:v>2000</c:v>
                </c:pt>
                <c:pt idx="631">
                  <c:v>2000</c:v>
                </c:pt>
                <c:pt idx="632">
                  <c:v>2880</c:v>
                </c:pt>
                <c:pt idx="633">
                  <c:v>2000</c:v>
                </c:pt>
                <c:pt idx="634">
                  <c:v>2000</c:v>
                </c:pt>
                <c:pt idx="635">
                  <c:v>2000</c:v>
                </c:pt>
                <c:pt idx="636">
                  <c:v>2000</c:v>
                </c:pt>
                <c:pt idx="637">
                  <c:v>2000</c:v>
                </c:pt>
                <c:pt idx="638">
                  <c:v>2000</c:v>
                </c:pt>
                <c:pt idx="639">
                  <c:v>2000</c:v>
                </c:pt>
                <c:pt idx="640">
                  <c:v>2000</c:v>
                </c:pt>
                <c:pt idx="641">
                  <c:v>2000</c:v>
                </c:pt>
                <c:pt idx="642">
                  <c:v>2000</c:v>
                </c:pt>
                <c:pt idx="643">
                  <c:v>2000</c:v>
                </c:pt>
                <c:pt idx="644">
                  <c:v>2000</c:v>
                </c:pt>
                <c:pt idx="645">
                  <c:v>2000</c:v>
                </c:pt>
                <c:pt idx="646">
                  <c:v>2000</c:v>
                </c:pt>
                <c:pt idx="647">
                  <c:v>2000</c:v>
                </c:pt>
                <c:pt idx="648">
                  <c:v>2000</c:v>
                </c:pt>
                <c:pt idx="649">
                  <c:v>2000</c:v>
                </c:pt>
                <c:pt idx="650">
                  <c:v>2880</c:v>
                </c:pt>
                <c:pt idx="651">
                  <c:v>2000</c:v>
                </c:pt>
                <c:pt idx="652">
                  <c:v>2000</c:v>
                </c:pt>
                <c:pt idx="653">
                  <c:v>2000</c:v>
                </c:pt>
                <c:pt idx="654">
                  <c:v>2000</c:v>
                </c:pt>
                <c:pt idx="655">
                  <c:v>2000</c:v>
                </c:pt>
                <c:pt idx="656">
                  <c:v>2000</c:v>
                </c:pt>
                <c:pt idx="657">
                  <c:v>2000</c:v>
                </c:pt>
                <c:pt idx="658">
                  <c:v>2000</c:v>
                </c:pt>
                <c:pt idx="659">
                  <c:v>2000</c:v>
                </c:pt>
                <c:pt idx="660">
                  <c:v>2000</c:v>
                </c:pt>
                <c:pt idx="661">
                  <c:v>2000</c:v>
                </c:pt>
                <c:pt idx="662">
                  <c:v>2000</c:v>
                </c:pt>
                <c:pt idx="663">
                  <c:v>2000</c:v>
                </c:pt>
                <c:pt idx="664">
                  <c:v>2000</c:v>
                </c:pt>
                <c:pt idx="665">
                  <c:v>2000</c:v>
                </c:pt>
                <c:pt idx="666">
                  <c:v>2000</c:v>
                </c:pt>
                <c:pt idx="667">
                  <c:v>2000</c:v>
                </c:pt>
                <c:pt idx="668">
                  <c:v>2000</c:v>
                </c:pt>
                <c:pt idx="669">
                  <c:v>2000</c:v>
                </c:pt>
                <c:pt idx="670">
                  <c:v>2000</c:v>
                </c:pt>
                <c:pt idx="671">
                  <c:v>2000</c:v>
                </c:pt>
                <c:pt idx="672">
                  <c:v>2000</c:v>
                </c:pt>
                <c:pt idx="673">
                  <c:v>2000</c:v>
                </c:pt>
                <c:pt idx="674">
                  <c:v>2000</c:v>
                </c:pt>
                <c:pt idx="675">
                  <c:v>2000</c:v>
                </c:pt>
                <c:pt idx="676">
                  <c:v>2000</c:v>
                </c:pt>
                <c:pt idx="677">
                  <c:v>2000</c:v>
                </c:pt>
                <c:pt idx="678">
                  <c:v>2000</c:v>
                </c:pt>
                <c:pt idx="679">
                  <c:v>2000</c:v>
                </c:pt>
                <c:pt idx="680">
                  <c:v>2000</c:v>
                </c:pt>
                <c:pt idx="681">
                  <c:v>2000</c:v>
                </c:pt>
                <c:pt idx="682">
                  <c:v>2000</c:v>
                </c:pt>
                <c:pt idx="683">
                  <c:v>2880</c:v>
                </c:pt>
                <c:pt idx="684">
                  <c:v>2000</c:v>
                </c:pt>
                <c:pt idx="685">
                  <c:v>2880</c:v>
                </c:pt>
                <c:pt idx="686">
                  <c:v>2000</c:v>
                </c:pt>
                <c:pt idx="687">
                  <c:v>2000</c:v>
                </c:pt>
                <c:pt idx="688">
                  <c:v>2000</c:v>
                </c:pt>
                <c:pt idx="689">
                  <c:v>2000</c:v>
                </c:pt>
                <c:pt idx="690">
                  <c:v>2000</c:v>
                </c:pt>
                <c:pt idx="691">
                  <c:v>2000</c:v>
                </c:pt>
                <c:pt idx="692">
                  <c:v>2000</c:v>
                </c:pt>
                <c:pt idx="693">
                  <c:v>2880</c:v>
                </c:pt>
                <c:pt idx="694">
                  <c:v>2000</c:v>
                </c:pt>
                <c:pt idx="695">
                  <c:v>2880</c:v>
                </c:pt>
                <c:pt idx="696">
                  <c:v>2000</c:v>
                </c:pt>
                <c:pt idx="697">
                  <c:v>2000</c:v>
                </c:pt>
                <c:pt idx="698">
                  <c:v>2000</c:v>
                </c:pt>
                <c:pt idx="699">
                  <c:v>2000</c:v>
                </c:pt>
                <c:pt idx="700">
                  <c:v>2000</c:v>
                </c:pt>
                <c:pt idx="701">
                  <c:v>2000</c:v>
                </c:pt>
                <c:pt idx="702">
                  <c:v>2000</c:v>
                </c:pt>
                <c:pt idx="703">
                  <c:v>2000</c:v>
                </c:pt>
                <c:pt idx="704">
                  <c:v>2000</c:v>
                </c:pt>
                <c:pt idx="705">
                  <c:v>2000</c:v>
                </c:pt>
                <c:pt idx="706">
                  <c:v>2000</c:v>
                </c:pt>
                <c:pt idx="707">
                  <c:v>2000</c:v>
                </c:pt>
                <c:pt idx="708">
                  <c:v>2000</c:v>
                </c:pt>
                <c:pt idx="709">
                  <c:v>2000</c:v>
                </c:pt>
                <c:pt idx="710">
                  <c:v>2000</c:v>
                </c:pt>
                <c:pt idx="711">
                  <c:v>2000</c:v>
                </c:pt>
                <c:pt idx="712">
                  <c:v>2000</c:v>
                </c:pt>
                <c:pt idx="713">
                  <c:v>2000</c:v>
                </c:pt>
                <c:pt idx="714">
                  <c:v>2000</c:v>
                </c:pt>
                <c:pt idx="715">
                  <c:v>2000</c:v>
                </c:pt>
                <c:pt idx="716">
                  <c:v>2000</c:v>
                </c:pt>
                <c:pt idx="717">
                  <c:v>2000</c:v>
                </c:pt>
                <c:pt idx="718">
                  <c:v>2000</c:v>
                </c:pt>
                <c:pt idx="719">
                  <c:v>2000</c:v>
                </c:pt>
                <c:pt idx="720">
                  <c:v>2000</c:v>
                </c:pt>
                <c:pt idx="721">
                  <c:v>2000</c:v>
                </c:pt>
                <c:pt idx="722">
                  <c:v>2000</c:v>
                </c:pt>
                <c:pt idx="723">
                  <c:v>2000</c:v>
                </c:pt>
                <c:pt idx="724">
                  <c:v>2000</c:v>
                </c:pt>
                <c:pt idx="725">
                  <c:v>2000</c:v>
                </c:pt>
                <c:pt idx="726">
                  <c:v>2000</c:v>
                </c:pt>
                <c:pt idx="727">
                  <c:v>2000</c:v>
                </c:pt>
                <c:pt idx="728">
                  <c:v>2000</c:v>
                </c:pt>
                <c:pt idx="729">
                  <c:v>2000</c:v>
                </c:pt>
                <c:pt idx="730">
                  <c:v>2000</c:v>
                </c:pt>
                <c:pt idx="731">
                  <c:v>2000</c:v>
                </c:pt>
                <c:pt idx="732">
                  <c:v>2000</c:v>
                </c:pt>
                <c:pt idx="733">
                  <c:v>2000</c:v>
                </c:pt>
                <c:pt idx="734">
                  <c:v>2000</c:v>
                </c:pt>
                <c:pt idx="735">
                  <c:v>2000</c:v>
                </c:pt>
                <c:pt idx="736">
                  <c:v>2000</c:v>
                </c:pt>
                <c:pt idx="737">
                  <c:v>2000</c:v>
                </c:pt>
                <c:pt idx="738">
                  <c:v>2000</c:v>
                </c:pt>
                <c:pt idx="739">
                  <c:v>2000</c:v>
                </c:pt>
                <c:pt idx="740">
                  <c:v>2000</c:v>
                </c:pt>
                <c:pt idx="741">
                  <c:v>2000</c:v>
                </c:pt>
                <c:pt idx="742">
                  <c:v>2000</c:v>
                </c:pt>
                <c:pt idx="743">
                  <c:v>2000</c:v>
                </c:pt>
                <c:pt idx="744">
                  <c:v>2000</c:v>
                </c:pt>
                <c:pt idx="745">
                  <c:v>2000</c:v>
                </c:pt>
                <c:pt idx="746">
                  <c:v>2000</c:v>
                </c:pt>
                <c:pt idx="747">
                  <c:v>2000</c:v>
                </c:pt>
                <c:pt idx="748">
                  <c:v>2000</c:v>
                </c:pt>
                <c:pt idx="749">
                  <c:v>2000</c:v>
                </c:pt>
                <c:pt idx="750">
                  <c:v>2000</c:v>
                </c:pt>
                <c:pt idx="751">
                  <c:v>2000</c:v>
                </c:pt>
                <c:pt idx="752">
                  <c:v>2880</c:v>
                </c:pt>
                <c:pt idx="753">
                  <c:v>2000</c:v>
                </c:pt>
                <c:pt idx="754">
                  <c:v>2000</c:v>
                </c:pt>
                <c:pt idx="755">
                  <c:v>2880</c:v>
                </c:pt>
                <c:pt idx="756">
                  <c:v>2000</c:v>
                </c:pt>
                <c:pt idx="757">
                  <c:v>2000</c:v>
                </c:pt>
                <c:pt idx="758">
                  <c:v>2000</c:v>
                </c:pt>
                <c:pt idx="759">
                  <c:v>2000</c:v>
                </c:pt>
                <c:pt idx="760">
                  <c:v>2000</c:v>
                </c:pt>
                <c:pt idx="761">
                  <c:v>2000</c:v>
                </c:pt>
                <c:pt idx="762">
                  <c:v>2000</c:v>
                </c:pt>
                <c:pt idx="763">
                  <c:v>2000</c:v>
                </c:pt>
                <c:pt idx="764">
                  <c:v>2000</c:v>
                </c:pt>
                <c:pt idx="765">
                  <c:v>2000</c:v>
                </c:pt>
                <c:pt idx="766">
                  <c:v>2000</c:v>
                </c:pt>
                <c:pt idx="767">
                  <c:v>2000</c:v>
                </c:pt>
                <c:pt idx="768">
                  <c:v>2000</c:v>
                </c:pt>
                <c:pt idx="769">
                  <c:v>2000</c:v>
                </c:pt>
                <c:pt idx="770">
                  <c:v>2000</c:v>
                </c:pt>
                <c:pt idx="771">
                  <c:v>2000</c:v>
                </c:pt>
                <c:pt idx="772">
                  <c:v>2000</c:v>
                </c:pt>
                <c:pt idx="773">
                  <c:v>2000</c:v>
                </c:pt>
                <c:pt idx="774">
                  <c:v>2000</c:v>
                </c:pt>
                <c:pt idx="775">
                  <c:v>2000</c:v>
                </c:pt>
                <c:pt idx="776">
                  <c:v>2000</c:v>
                </c:pt>
                <c:pt idx="777">
                  <c:v>2000</c:v>
                </c:pt>
                <c:pt idx="778">
                  <c:v>2000</c:v>
                </c:pt>
                <c:pt idx="779">
                  <c:v>2000</c:v>
                </c:pt>
                <c:pt idx="780">
                  <c:v>2000</c:v>
                </c:pt>
                <c:pt idx="781">
                  <c:v>2000</c:v>
                </c:pt>
                <c:pt idx="782">
                  <c:v>2000</c:v>
                </c:pt>
                <c:pt idx="783">
                  <c:v>2000</c:v>
                </c:pt>
                <c:pt idx="784">
                  <c:v>2000</c:v>
                </c:pt>
                <c:pt idx="785">
                  <c:v>2000</c:v>
                </c:pt>
                <c:pt idx="786">
                  <c:v>2880</c:v>
                </c:pt>
                <c:pt idx="787">
                  <c:v>2000</c:v>
                </c:pt>
                <c:pt idx="788">
                  <c:v>2000</c:v>
                </c:pt>
                <c:pt idx="789">
                  <c:v>2000</c:v>
                </c:pt>
                <c:pt idx="790">
                  <c:v>2000</c:v>
                </c:pt>
                <c:pt idx="791">
                  <c:v>2880</c:v>
                </c:pt>
                <c:pt idx="792">
                  <c:v>2000</c:v>
                </c:pt>
                <c:pt idx="793">
                  <c:v>2000</c:v>
                </c:pt>
                <c:pt idx="794">
                  <c:v>2000</c:v>
                </c:pt>
                <c:pt idx="795">
                  <c:v>2000</c:v>
                </c:pt>
                <c:pt idx="796">
                  <c:v>2000</c:v>
                </c:pt>
                <c:pt idx="797">
                  <c:v>2000</c:v>
                </c:pt>
                <c:pt idx="798">
                  <c:v>2000</c:v>
                </c:pt>
                <c:pt idx="799">
                  <c:v>2000</c:v>
                </c:pt>
                <c:pt idx="800">
                  <c:v>2000</c:v>
                </c:pt>
                <c:pt idx="801">
                  <c:v>2000</c:v>
                </c:pt>
                <c:pt idx="802">
                  <c:v>2000</c:v>
                </c:pt>
                <c:pt idx="803">
                  <c:v>2000</c:v>
                </c:pt>
                <c:pt idx="804">
                  <c:v>2000</c:v>
                </c:pt>
                <c:pt idx="805">
                  <c:v>2000</c:v>
                </c:pt>
                <c:pt idx="806">
                  <c:v>2000</c:v>
                </c:pt>
                <c:pt idx="807">
                  <c:v>2000</c:v>
                </c:pt>
                <c:pt idx="808">
                  <c:v>2000</c:v>
                </c:pt>
                <c:pt idx="809">
                  <c:v>2000</c:v>
                </c:pt>
                <c:pt idx="810">
                  <c:v>2000</c:v>
                </c:pt>
                <c:pt idx="811">
                  <c:v>2000</c:v>
                </c:pt>
                <c:pt idx="812">
                  <c:v>2000</c:v>
                </c:pt>
                <c:pt idx="813">
                  <c:v>2000</c:v>
                </c:pt>
                <c:pt idx="814">
                  <c:v>2000</c:v>
                </c:pt>
                <c:pt idx="815">
                  <c:v>2000</c:v>
                </c:pt>
                <c:pt idx="816">
                  <c:v>2000</c:v>
                </c:pt>
                <c:pt idx="817">
                  <c:v>2000</c:v>
                </c:pt>
                <c:pt idx="818">
                  <c:v>2000</c:v>
                </c:pt>
                <c:pt idx="819">
                  <c:v>2000</c:v>
                </c:pt>
                <c:pt idx="820">
                  <c:v>2000</c:v>
                </c:pt>
                <c:pt idx="821">
                  <c:v>2000</c:v>
                </c:pt>
                <c:pt idx="822">
                  <c:v>2000</c:v>
                </c:pt>
                <c:pt idx="823">
                  <c:v>2000</c:v>
                </c:pt>
                <c:pt idx="824">
                  <c:v>2000</c:v>
                </c:pt>
                <c:pt idx="825">
                  <c:v>2000</c:v>
                </c:pt>
                <c:pt idx="826">
                  <c:v>2000</c:v>
                </c:pt>
                <c:pt idx="827">
                  <c:v>2000</c:v>
                </c:pt>
                <c:pt idx="828">
                  <c:v>2000</c:v>
                </c:pt>
                <c:pt idx="829">
                  <c:v>2000</c:v>
                </c:pt>
                <c:pt idx="830">
                  <c:v>2000</c:v>
                </c:pt>
                <c:pt idx="831">
                  <c:v>2000</c:v>
                </c:pt>
                <c:pt idx="832">
                  <c:v>2000</c:v>
                </c:pt>
                <c:pt idx="833">
                  <c:v>2000</c:v>
                </c:pt>
                <c:pt idx="834">
                  <c:v>2000</c:v>
                </c:pt>
                <c:pt idx="835">
                  <c:v>2000</c:v>
                </c:pt>
                <c:pt idx="836">
                  <c:v>2000</c:v>
                </c:pt>
                <c:pt idx="837">
                  <c:v>2000</c:v>
                </c:pt>
                <c:pt idx="838">
                  <c:v>2000</c:v>
                </c:pt>
                <c:pt idx="839">
                  <c:v>2000</c:v>
                </c:pt>
                <c:pt idx="840">
                  <c:v>2000</c:v>
                </c:pt>
                <c:pt idx="841">
                  <c:v>2000</c:v>
                </c:pt>
                <c:pt idx="842">
                  <c:v>2000</c:v>
                </c:pt>
                <c:pt idx="843">
                  <c:v>2000</c:v>
                </c:pt>
                <c:pt idx="844">
                  <c:v>2000</c:v>
                </c:pt>
                <c:pt idx="845">
                  <c:v>2000</c:v>
                </c:pt>
                <c:pt idx="846">
                  <c:v>2000</c:v>
                </c:pt>
                <c:pt idx="847">
                  <c:v>2000</c:v>
                </c:pt>
                <c:pt idx="848">
                  <c:v>2880</c:v>
                </c:pt>
                <c:pt idx="849">
                  <c:v>2000</c:v>
                </c:pt>
                <c:pt idx="850">
                  <c:v>2880</c:v>
                </c:pt>
                <c:pt idx="851">
                  <c:v>2000</c:v>
                </c:pt>
                <c:pt idx="852">
                  <c:v>2000</c:v>
                </c:pt>
                <c:pt idx="853">
                  <c:v>2000</c:v>
                </c:pt>
                <c:pt idx="854">
                  <c:v>2000</c:v>
                </c:pt>
                <c:pt idx="855">
                  <c:v>2000</c:v>
                </c:pt>
                <c:pt idx="856">
                  <c:v>2000</c:v>
                </c:pt>
                <c:pt idx="857">
                  <c:v>2000</c:v>
                </c:pt>
                <c:pt idx="858">
                  <c:v>2000</c:v>
                </c:pt>
                <c:pt idx="859">
                  <c:v>2000</c:v>
                </c:pt>
                <c:pt idx="860">
                  <c:v>2000</c:v>
                </c:pt>
                <c:pt idx="861">
                  <c:v>2000</c:v>
                </c:pt>
                <c:pt idx="862">
                  <c:v>2000</c:v>
                </c:pt>
                <c:pt idx="863">
                  <c:v>2000</c:v>
                </c:pt>
                <c:pt idx="864">
                  <c:v>2000</c:v>
                </c:pt>
                <c:pt idx="865">
                  <c:v>2000</c:v>
                </c:pt>
                <c:pt idx="866">
                  <c:v>2000</c:v>
                </c:pt>
                <c:pt idx="867">
                  <c:v>2000</c:v>
                </c:pt>
                <c:pt idx="868">
                  <c:v>2000</c:v>
                </c:pt>
                <c:pt idx="869">
                  <c:v>2000</c:v>
                </c:pt>
                <c:pt idx="870">
                  <c:v>2000</c:v>
                </c:pt>
                <c:pt idx="871">
                  <c:v>2000</c:v>
                </c:pt>
                <c:pt idx="872">
                  <c:v>2000</c:v>
                </c:pt>
                <c:pt idx="873">
                  <c:v>2000</c:v>
                </c:pt>
                <c:pt idx="874">
                  <c:v>2000</c:v>
                </c:pt>
                <c:pt idx="875">
                  <c:v>2880</c:v>
                </c:pt>
                <c:pt idx="876">
                  <c:v>2880</c:v>
                </c:pt>
                <c:pt idx="877">
                  <c:v>2000</c:v>
                </c:pt>
                <c:pt idx="878">
                  <c:v>2000</c:v>
                </c:pt>
                <c:pt idx="879">
                  <c:v>2000</c:v>
                </c:pt>
                <c:pt idx="880">
                  <c:v>2000</c:v>
                </c:pt>
                <c:pt idx="881">
                  <c:v>2000</c:v>
                </c:pt>
                <c:pt idx="882">
                  <c:v>2000</c:v>
                </c:pt>
                <c:pt idx="883">
                  <c:v>2000</c:v>
                </c:pt>
                <c:pt idx="884">
                  <c:v>2000</c:v>
                </c:pt>
                <c:pt idx="885">
                  <c:v>2000</c:v>
                </c:pt>
                <c:pt idx="886">
                  <c:v>2000</c:v>
                </c:pt>
                <c:pt idx="887">
                  <c:v>2000</c:v>
                </c:pt>
                <c:pt idx="888">
                  <c:v>2000</c:v>
                </c:pt>
                <c:pt idx="889">
                  <c:v>2000</c:v>
                </c:pt>
                <c:pt idx="890">
                  <c:v>2000</c:v>
                </c:pt>
                <c:pt idx="891">
                  <c:v>2000</c:v>
                </c:pt>
                <c:pt idx="892">
                  <c:v>2000</c:v>
                </c:pt>
                <c:pt idx="893">
                  <c:v>2000</c:v>
                </c:pt>
                <c:pt idx="894">
                  <c:v>2000</c:v>
                </c:pt>
                <c:pt idx="895">
                  <c:v>2000</c:v>
                </c:pt>
                <c:pt idx="896">
                  <c:v>2000</c:v>
                </c:pt>
                <c:pt idx="897">
                  <c:v>2000</c:v>
                </c:pt>
                <c:pt idx="898">
                  <c:v>2880</c:v>
                </c:pt>
                <c:pt idx="899">
                  <c:v>2000</c:v>
                </c:pt>
                <c:pt idx="900">
                  <c:v>2000</c:v>
                </c:pt>
                <c:pt idx="901">
                  <c:v>2000</c:v>
                </c:pt>
                <c:pt idx="902">
                  <c:v>2880</c:v>
                </c:pt>
                <c:pt idx="903">
                  <c:v>2000</c:v>
                </c:pt>
                <c:pt idx="904">
                  <c:v>2000</c:v>
                </c:pt>
                <c:pt idx="905">
                  <c:v>2000</c:v>
                </c:pt>
                <c:pt idx="906">
                  <c:v>2000</c:v>
                </c:pt>
                <c:pt idx="907">
                  <c:v>2000</c:v>
                </c:pt>
                <c:pt idx="908">
                  <c:v>2000</c:v>
                </c:pt>
                <c:pt idx="909">
                  <c:v>2000</c:v>
                </c:pt>
                <c:pt idx="910">
                  <c:v>2000</c:v>
                </c:pt>
                <c:pt idx="911">
                  <c:v>2000</c:v>
                </c:pt>
                <c:pt idx="912">
                  <c:v>2000</c:v>
                </c:pt>
                <c:pt idx="913">
                  <c:v>2000</c:v>
                </c:pt>
                <c:pt idx="914">
                  <c:v>2000</c:v>
                </c:pt>
                <c:pt idx="915">
                  <c:v>2000</c:v>
                </c:pt>
                <c:pt idx="916">
                  <c:v>2000</c:v>
                </c:pt>
                <c:pt idx="917">
                  <c:v>2000</c:v>
                </c:pt>
                <c:pt idx="918">
                  <c:v>2000</c:v>
                </c:pt>
                <c:pt idx="919">
                  <c:v>2000</c:v>
                </c:pt>
                <c:pt idx="920">
                  <c:v>2000</c:v>
                </c:pt>
                <c:pt idx="921">
                  <c:v>2000</c:v>
                </c:pt>
                <c:pt idx="922">
                  <c:v>2000</c:v>
                </c:pt>
                <c:pt idx="923">
                  <c:v>2000</c:v>
                </c:pt>
                <c:pt idx="924">
                  <c:v>2000</c:v>
                </c:pt>
                <c:pt idx="925">
                  <c:v>2000</c:v>
                </c:pt>
                <c:pt idx="926">
                  <c:v>2000</c:v>
                </c:pt>
                <c:pt idx="927">
                  <c:v>2000</c:v>
                </c:pt>
                <c:pt idx="928">
                  <c:v>2000</c:v>
                </c:pt>
                <c:pt idx="929">
                  <c:v>2000</c:v>
                </c:pt>
                <c:pt idx="930">
                  <c:v>2000</c:v>
                </c:pt>
                <c:pt idx="931">
                  <c:v>2000</c:v>
                </c:pt>
                <c:pt idx="932">
                  <c:v>2000</c:v>
                </c:pt>
                <c:pt idx="933">
                  <c:v>2000</c:v>
                </c:pt>
                <c:pt idx="934">
                  <c:v>2880</c:v>
                </c:pt>
                <c:pt idx="935">
                  <c:v>2000</c:v>
                </c:pt>
                <c:pt idx="936">
                  <c:v>2000</c:v>
                </c:pt>
                <c:pt idx="937">
                  <c:v>2880</c:v>
                </c:pt>
                <c:pt idx="938">
                  <c:v>2000</c:v>
                </c:pt>
                <c:pt idx="939">
                  <c:v>2000</c:v>
                </c:pt>
                <c:pt idx="940">
                  <c:v>2000</c:v>
                </c:pt>
                <c:pt idx="941">
                  <c:v>2000</c:v>
                </c:pt>
                <c:pt idx="942">
                  <c:v>2000</c:v>
                </c:pt>
                <c:pt idx="943">
                  <c:v>2000</c:v>
                </c:pt>
                <c:pt idx="944">
                  <c:v>2000</c:v>
                </c:pt>
                <c:pt idx="945">
                  <c:v>2000</c:v>
                </c:pt>
                <c:pt idx="946">
                  <c:v>2000</c:v>
                </c:pt>
                <c:pt idx="947">
                  <c:v>2000</c:v>
                </c:pt>
                <c:pt idx="948">
                  <c:v>2000</c:v>
                </c:pt>
                <c:pt idx="949">
                  <c:v>2000</c:v>
                </c:pt>
                <c:pt idx="950">
                  <c:v>2000</c:v>
                </c:pt>
                <c:pt idx="951">
                  <c:v>2000</c:v>
                </c:pt>
                <c:pt idx="952">
                  <c:v>2000</c:v>
                </c:pt>
                <c:pt idx="953">
                  <c:v>2000</c:v>
                </c:pt>
                <c:pt idx="954">
                  <c:v>2000</c:v>
                </c:pt>
                <c:pt idx="955">
                  <c:v>2000</c:v>
                </c:pt>
                <c:pt idx="956">
                  <c:v>2000</c:v>
                </c:pt>
                <c:pt idx="957">
                  <c:v>2000</c:v>
                </c:pt>
                <c:pt idx="958">
                  <c:v>2000</c:v>
                </c:pt>
                <c:pt idx="959">
                  <c:v>2000</c:v>
                </c:pt>
                <c:pt idx="960">
                  <c:v>2000</c:v>
                </c:pt>
                <c:pt idx="961">
                  <c:v>2000</c:v>
                </c:pt>
                <c:pt idx="962">
                  <c:v>2000</c:v>
                </c:pt>
                <c:pt idx="963">
                  <c:v>2000</c:v>
                </c:pt>
                <c:pt idx="964">
                  <c:v>2000</c:v>
                </c:pt>
                <c:pt idx="965">
                  <c:v>2000</c:v>
                </c:pt>
                <c:pt idx="966">
                  <c:v>2000</c:v>
                </c:pt>
                <c:pt idx="967">
                  <c:v>2000</c:v>
                </c:pt>
                <c:pt idx="968">
                  <c:v>2000</c:v>
                </c:pt>
                <c:pt idx="969">
                  <c:v>2000</c:v>
                </c:pt>
                <c:pt idx="970">
                  <c:v>2000</c:v>
                </c:pt>
                <c:pt idx="971">
                  <c:v>2000</c:v>
                </c:pt>
                <c:pt idx="972">
                  <c:v>2000</c:v>
                </c:pt>
                <c:pt idx="973">
                  <c:v>2000</c:v>
                </c:pt>
                <c:pt idx="974">
                  <c:v>2000</c:v>
                </c:pt>
                <c:pt idx="975">
                  <c:v>2000</c:v>
                </c:pt>
                <c:pt idx="976">
                  <c:v>2000</c:v>
                </c:pt>
                <c:pt idx="977">
                  <c:v>2000</c:v>
                </c:pt>
                <c:pt idx="978">
                  <c:v>2000</c:v>
                </c:pt>
                <c:pt idx="979">
                  <c:v>2000</c:v>
                </c:pt>
                <c:pt idx="980">
                  <c:v>2000</c:v>
                </c:pt>
                <c:pt idx="981">
                  <c:v>2000</c:v>
                </c:pt>
                <c:pt idx="982">
                  <c:v>2880</c:v>
                </c:pt>
                <c:pt idx="983">
                  <c:v>2000</c:v>
                </c:pt>
                <c:pt idx="984">
                  <c:v>2880</c:v>
                </c:pt>
                <c:pt idx="985">
                  <c:v>2000</c:v>
                </c:pt>
                <c:pt idx="986">
                  <c:v>2000</c:v>
                </c:pt>
                <c:pt idx="987">
                  <c:v>2000</c:v>
                </c:pt>
                <c:pt idx="988">
                  <c:v>2000</c:v>
                </c:pt>
                <c:pt idx="989">
                  <c:v>2000</c:v>
                </c:pt>
                <c:pt idx="990">
                  <c:v>2000</c:v>
                </c:pt>
                <c:pt idx="991">
                  <c:v>2000</c:v>
                </c:pt>
                <c:pt idx="992">
                  <c:v>2000</c:v>
                </c:pt>
                <c:pt idx="993">
                  <c:v>2000</c:v>
                </c:pt>
                <c:pt idx="994">
                  <c:v>2000</c:v>
                </c:pt>
                <c:pt idx="995">
                  <c:v>2000</c:v>
                </c:pt>
                <c:pt idx="996">
                  <c:v>2000</c:v>
                </c:pt>
                <c:pt idx="997">
                  <c:v>2000</c:v>
                </c:pt>
                <c:pt idx="998">
                  <c:v>2000</c:v>
                </c:pt>
                <c:pt idx="999">
                  <c:v>2000</c:v>
                </c:pt>
                <c:pt idx="1000">
                  <c:v>2000</c:v>
                </c:pt>
                <c:pt idx="1001">
                  <c:v>2000</c:v>
                </c:pt>
                <c:pt idx="1002">
                  <c:v>2000</c:v>
                </c:pt>
                <c:pt idx="1003">
                  <c:v>2880</c:v>
                </c:pt>
                <c:pt idx="1004">
                  <c:v>2000</c:v>
                </c:pt>
                <c:pt idx="1005">
                  <c:v>2880</c:v>
                </c:pt>
                <c:pt idx="1006">
                  <c:v>2000</c:v>
                </c:pt>
                <c:pt idx="1007">
                  <c:v>2000</c:v>
                </c:pt>
                <c:pt idx="1008">
                  <c:v>2000</c:v>
                </c:pt>
                <c:pt idx="1009">
                  <c:v>2000</c:v>
                </c:pt>
                <c:pt idx="1010">
                  <c:v>2000</c:v>
                </c:pt>
                <c:pt idx="1011">
                  <c:v>2000</c:v>
                </c:pt>
                <c:pt idx="1012">
                  <c:v>2000</c:v>
                </c:pt>
                <c:pt idx="1013">
                  <c:v>2000</c:v>
                </c:pt>
                <c:pt idx="1014">
                  <c:v>2000</c:v>
                </c:pt>
                <c:pt idx="1015">
                  <c:v>2000</c:v>
                </c:pt>
                <c:pt idx="1016">
                  <c:v>2000</c:v>
                </c:pt>
                <c:pt idx="1017">
                  <c:v>2000</c:v>
                </c:pt>
                <c:pt idx="1018">
                  <c:v>2000</c:v>
                </c:pt>
                <c:pt idx="1019">
                  <c:v>2000</c:v>
                </c:pt>
                <c:pt idx="1020">
                  <c:v>2000</c:v>
                </c:pt>
                <c:pt idx="1021">
                  <c:v>2000</c:v>
                </c:pt>
                <c:pt idx="1022">
                  <c:v>2000</c:v>
                </c:pt>
                <c:pt idx="1023">
                  <c:v>2000</c:v>
                </c:pt>
                <c:pt idx="1024">
                  <c:v>2000</c:v>
                </c:pt>
                <c:pt idx="1025">
                  <c:v>2000</c:v>
                </c:pt>
                <c:pt idx="1026">
                  <c:v>2000</c:v>
                </c:pt>
                <c:pt idx="1027">
                  <c:v>2000</c:v>
                </c:pt>
                <c:pt idx="1028">
                  <c:v>2000</c:v>
                </c:pt>
                <c:pt idx="1029">
                  <c:v>2000</c:v>
                </c:pt>
                <c:pt idx="1030">
                  <c:v>2000</c:v>
                </c:pt>
                <c:pt idx="1031">
                  <c:v>2000</c:v>
                </c:pt>
                <c:pt idx="1032">
                  <c:v>2000</c:v>
                </c:pt>
                <c:pt idx="1033">
                  <c:v>2000</c:v>
                </c:pt>
                <c:pt idx="1034">
                  <c:v>2000</c:v>
                </c:pt>
                <c:pt idx="1035">
                  <c:v>2000</c:v>
                </c:pt>
                <c:pt idx="1036">
                  <c:v>2000</c:v>
                </c:pt>
                <c:pt idx="1037">
                  <c:v>2000</c:v>
                </c:pt>
                <c:pt idx="1038">
                  <c:v>2000</c:v>
                </c:pt>
                <c:pt idx="1039">
                  <c:v>2000</c:v>
                </c:pt>
                <c:pt idx="1040">
                  <c:v>2000</c:v>
                </c:pt>
                <c:pt idx="1041">
                  <c:v>2000</c:v>
                </c:pt>
                <c:pt idx="1042">
                  <c:v>2000</c:v>
                </c:pt>
                <c:pt idx="1043">
                  <c:v>2000</c:v>
                </c:pt>
                <c:pt idx="1044">
                  <c:v>2000</c:v>
                </c:pt>
                <c:pt idx="1045">
                  <c:v>2000</c:v>
                </c:pt>
                <c:pt idx="1046">
                  <c:v>2000</c:v>
                </c:pt>
                <c:pt idx="1047">
                  <c:v>2000</c:v>
                </c:pt>
                <c:pt idx="1048">
                  <c:v>2000</c:v>
                </c:pt>
                <c:pt idx="1049">
                  <c:v>2000</c:v>
                </c:pt>
                <c:pt idx="1050">
                  <c:v>2000</c:v>
                </c:pt>
                <c:pt idx="1051">
                  <c:v>2000</c:v>
                </c:pt>
                <c:pt idx="1052">
                  <c:v>2000</c:v>
                </c:pt>
                <c:pt idx="1053">
                  <c:v>2000</c:v>
                </c:pt>
                <c:pt idx="1054">
                  <c:v>2000</c:v>
                </c:pt>
                <c:pt idx="1055">
                  <c:v>2000</c:v>
                </c:pt>
                <c:pt idx="1056">
                  <c:v>2000</c:v>
                </c:pt>
                <c:pt idx="1057">
                  <c:v>2000</c:v>
                </c:pt>
                <c:pt idx="1058">
                  <c:v>2000</c:v>
                </c:pt>
                <c:pt idx="1059">
                  <c:v>2000</c:v>
                </c:pt>
                <c:pt idx="1060">
                  <c:v>2000</c:v>
                </c:pt>
                <c:pt idx="1061">
                  <c:v>2000</c:v>
                </c:pt>
                <c:pt idx="1062">
                  <c:v>2000</c:v>
                </c:pt>
                <c:pt idx="1063">
                  <c:v>2000</c:v>
                </c:pt>
                <c:pt idx="1064">
                  <c:v>2000</c:v>
                </c:pt>
                <c:pt idx="1065">
                  <c:v>2000</c:v>
                </c:pt>
                <c:pt idx="1066">
                  <c:v>2000</c:v>
                </c:pt>
                <c:pt idx="1067">
                  <c:v>2000</c:v>
                </c:pt>
                <c:pt idx="1068">
                  <c:v>2000</c:v>
                </c:pt>
                <c:pt idx="1069">
                  <c:v>2000</c:v>
                </c:pt>
                <c:pt idx="1070">
                  <c:v>2000</c:v>
                </c:pt>
                <c:pt idx="1071">
                  <c:v>2000</c:v>
                </c:pt>
                <c:pt idx="1072">
                  <c:v>2000</c:v>
                </c:pt>
                <c:pt idx="1073">
                  <c:v>2000</c:v>
                </c:pt>
                <c:pt idx="1074">
                  <c:v>2000</c:v>
                </c:pt>
                <c:pt idx="1075">
                  <c:v>2000</c:v>
                </c:pt>
                <c:pt idx="1076">
                  <c:v>2000</c:v>
                </c:pt>
                <c:pt idx="1077">
                  <c:v>2000</c:v>
                </c:pt>
                <c:pt idx="1078">
                  <c:v>2000</c:v>
                </c:pt>
                <c:pt idx="1079">
                  <c:v>2000</c:v>
                </c:pt>
                <c:pt idx="1080">
                  <c:v>2000</c:v>
                </c:pt>
                <c:pt idx="1081">
                  <c:v>2000</c:v>
                </c:pt>
                <c:pt idx="1082">
                  <c:v>2000</c:v>
                </c:pt>
                <c:pt idx="1083">
                  <c:v>2880</c:v>
                </c:pt>
                <c:pt idx="1084">
                  <c:v>2000</c:v>
                </c:pt>
                <c:pt idx="1085">
                  <c:v>2880</c:v>
                </c:pt>
                <c:pt idx="1086">
                  <c:v>2000</c:v>
                </c:pt>
                <c:pt idx="1087">
                  <c:v>2000</c:v>
                </c:pt>
                <c:pt idx="1088">
                  <c:v>2000</c:v>
                </c:pt>
                <c:pt idx="1089">
                  <c:v>2000</c:v>
                </c:pt>
                <c:pt idx="1090">
                  <c:v>2000</c:v>
                </c:pt>
                <c:pt idx="1091">
                  <c:v>2000</c:v>
                </c:pt>
                <c:pt idx="1092">
                  <c:v>2000</c:v>
                </c:pt>
                <c:pt idx="1093">
                  <c:v>2000</c:v>
                </c:pt>
                <c:pt idx="1094">
                  <c:v>2000</c:v>
                </c:pt>
                <c:pt idx="1095">
                  <c:v>2000</c:v>
                </c:pt>
                <c:pt idx="1096">
                  <c:v>2000</c:v>
                </c:pt>
                <c:pt idx="1097">
                  <c:v>2000</c:v>
                </c:pt>
                <c:pt idx="1098">
                  <c:v>2000</c:v>
                </c:pt>
                <c:pt idx="1099">
                  <c:v>2000</c:v>
                </c:pt>
                <c:pt idx="1100">
                  <c:v>2000</c:v>
                </c:pt>
                <c:pt idx="1101">
                  <c:v>2000</c:v>
                </c:pt>
                <c:pt idx="1102">
                  <c:v>2000</c:v>
                </c:pt>
                <c:pt idx="1103">
                  <c:v>2000</c:v>
                </c:pt>
                <c:pt idx="1104">
                  <c:v>2000</c:v>
                </c:pt>
                <c:pt idx="1105">
                  <c:v>2000</c:v>
                </c:pt>
                <c:pt idx="1106">
                  <c:v>2000</c:v>
                </c:pt>
                <c:pt idx="1107">
                  <c:v>2000</c:v>
                </c:pt>
                <c:pt idx="1108">
                  <c:v>2000</c:v>
                </c:pt>
                <c:pt idx="1109">
                  <c:v>2000</c:v>
                </c:pt>
                <c:pt idx="1110">
                  <c:v>2880</c:v>
                </c:pt>
                <c:pt idx="1111">
                  <c:v>2000</c:v>
                </c:pt>
                <c:pt idx="1112">
                  <c:v>2880</c:v>
                </c:pt>
                <c:pt idx="1113">
                  <c:v>2000</c:v>
                </c:pt>
                <c:pt idx="1114">
                  <c:v>2000</c:v>
                </c:pt>
                <c:pt idx="1115">
                  <c:v>2000</c:v>
                </c:pt>
                <c:pt idx="1116">
                  <c:v>2000</c:v>
                </c:pt>
                <c:pt idx="1117">
                  <c:v>2000</c:v>
                </c:pt>
                <c:pt idx="1118">
                  <c:v>2000</c:v>
                </c:pt>
                <c:pt idx="1119">
                  <c:v>2000</c:v>
                </c:pt>
                <c:pt idx="1120">
                  <c:v>2000</c:v>
                </c:pt>
                <c:pt idx="1121">
                  <c:v>2000</c:v>
                </c:pt>
                <c:pt idx="1122">
                  <c:v>2000</c:v>
                </c:pt>
                <c:pt idx="1123">
                  <c:v>2000</c:v>
                </c:pt>
                <c:pt idx="1124">
                  <c:v>2000</c:v>
                </c:pt>
                <c:pt idx="1125">
                  <c:v>2000</c:v>
                </c:pt>
                <c:pt idx="1126">
                  <c:v>2000</c:v>
                </c:pt>
                <c:pt idx="1127">
                  <c:v>2000</c:v>
                </c:pt>
                <c:pt idx="1128">
                  <c:v>2000</c:v>
                </c:pt>
                <c:pt idx="1129">
                  <c:v>2000</c:v>
                </c:pt>
                <c:pt idx="1130">
                  <c:v>2000</c:v>
                </c:pt>
                <c:pt idx="1131">
                  <c:v>2000</c:v>
                </c:pt>
                <c:pt idx="1132">
                  <c:v>2000</c:v>
                </c:pt>
                <c:pt idx="1133">
                  <c:v>2000</c:v>
                </c:pt>
                <c:pt idx="1134">
                  <c:v>2000</c:v>
                </c:pt>
                <c:pt idx="1135">
                  <c:v>2000</c:v>
                </c:pt>
                <c:pt idx="1136">
                  <c:v>2000</c:v>
                </c:pt>
                <c:pt idx="1137">
                  <c:v>2000</c:v>
                </c:pt>
                <c:pt idx="1138">
                  <c:v>2000</c:v>
                </c:pt>
                <c:pt idx="1139">
                  <c:v>2000</c:v>
                </c:pt>
                <c:pt idx="1140">
                  <c:v>2000</c:v>
                </c:pt>
                <c:pt idx="1141">
                  <c:v>2000</c:v>
                </c:pt>
                <c:pt idx="1142">
                  <c:v>2000</c:v>
                </c:pt>
                <c:pt idx="1143">
                  <c:v>2000</c:v>
                </c:pt>
                <c:pt idx="1144">
                  <c:v>2000</c:v>
                </c:pt>
                <c:pt idx="1145">
                  <c:v>2000</c:v>
                </c:pt>
                <c:pt idx="1146">
                  <c:v>2000</c:v>
                </c:pt>
                <c:pt idx="1147">
                  <c:v>2000</c:v>
                </c:pt>
                <c:pt idx="1148">
                  <c:v>2000</c:v>
                </c:pt>
                <c:pt idx="1149">
                  <c:v>2000</c:v>
                </c:pt>
                <c:pt idx="1150">
                  <c:v>2000</c:v>
                </c:pt>
                <c:pt idx="1151">
                  <c:v>2000</c:v>
                </c:pt>
                <c:pt idx="1152">
                  <c:v>2000</c:v>
                </c:pt>
                <c:pt idx="1153">
                  <c:v>2000</c:v>
                </c:pt>
                <c:pt idx="1154">
                  <c:v>2000</c:v>
                </c:pt>
                <c:pt idx="1155">
                  <c:v>2000</c:v>
                </c:pt>
                <c:pt idx="1156">
                  <c:v>2000</c:v>
                </c:pt>
                <c:pt idx="1157">
                  <c:v>2000</c:v>
                </c:pt>
                <c:pt idx="1158">
                  <c:v>2000</c:v>
                </c:pt>
                <c:pt idx="1159">
                  <c:v>2000</c:v>
                </c:pt>
                <c:pt idx="1160">
                  <c:v>2000</c:v>
                </c:pt>
                <c:pt idx="1161">
                  <c:v>2000</c:v>
                </c:pt>
                <c:pt idx="1162">
                  <c:v>2000</c:v>
                </c:pt>
                <c:pt idx="1163">
                  <c:v>2000</c:v>
                </c:pt>
                <c:pt idx="1164">
                  <c:v>2000</c:v>
                </c:pt>
                <c:pt idx="1165">
                  <c:v>2000</c:v>
                </c:pt>
                <c:pt idx="1166">
                  <c:v>2000</c:v>
                </c:pt>
                <c:pt idx="1167">
                  <c:v>2000</c:v>
                </c:pt>
                <c:pt idx="1168">
                  <c:v>2000</c:v>
                </c:pt>
                <c:pt idx="1169">
                  <c:v>2000</c:v>
                </c:pt>
                <c:pt idx="1170">
                  <c:v>2000</c:v>
                </c:pt>
                <c:pt idx="1171">
                  <c:v>2000</c:v>
                </c:pt>
                <c:pt idx="1172">
                  <c:v>2000</c:v>
                </c:pt>
                <c:pt idx="1173">
                  <c:v>2000</c:v>
                </c:pt>
                <c:pt idx="1174">
                  <c:v>2000</c:v>
                </c:pt>
                <c:pt idx="1175">
                  <c:v>2000</c:v>
                </c:pt>
                <c:pt idx="1176">
                  <c:v>2880</c:v>
                </c:pt>
                <c:pt idx="1177">
                  <c:v>2000</c:v>
                </c:pt>
                <c:pt idx="1178">
                  <c:v>2880</c:v>
                </c:pt>
                <c:pt idx="1179">
                  <c:v>2000</c:v>
                </c:pt>
                <c:pt idx="1180">
                  <c:v>2000</c:v>
                </c:pt>
                <c:pt idx="1181">
                  <c:v>2000</c:v>
                </c:pt>
                <c:pt idx="1182">
                  <c:v>2000</c:v>
                </c:pt>
                <c:pt idx="1183">
                  <c:v>2000</c:v>
                </c:pt>
                <c:pt idx="1184">
                  <c:v>2000</c:v>
                </c:pt>
                <c:pt idx="1185">
                  <c:v>2000</c:v>
                </c:pt>
                <c:pt idx="1186">
                  <c:v>2000</c:v>
                </c:pt>
                <c:pt idx="1187">
                  <c:v>2000</c:v>
                </c:pt>
                <c:pt idx="1188">
                  <c:v>2000</c:v>
                </c:pt>
                <c:pt idx="1189">
                  <c:v>2000</c:v>
                </c:pt>
                <c:pt idx="1190">
                  <c:v>2000</c:v>
                </c:pt>
                <c:pt idx="1191">
                  <c:v>2000</c:v>
                </c:pt>
                <c:pt idx="1192">
                  <c:v>2000</c:v>
                </c:pt>
                <c:pt idx="1193">
                  <c:v>2000</c:v>
                </c:pt>
                <c:pt idx="1194">
                  <c:v>2000</c:v>
                </c:pt>
                <c:pt idx="1195">
                  <c:v>2000</c:v>
                </c:pt>
                <c:pt idx="1196">
                  <c:v>2000</c:v>
                </c:pt>
                <c:pt idx="1197">
                  <c:v>2000</c:v>
                </c:pt>
                <c:pt idx="1198">
                  <c:v>2000</c:v>
                </c:pt>
                <c:pt idx="1199">
                  <c:v>2000</c:v>
                </c:pt>
                <c:pt idx="1200">
                  <c:v>2000</c:v>
                </c:pt>
                <c:pt idx="1201">
                  <c:v>2000</c:v>
                </c:pt>
                <c:pt idx="1202">
                  <c:v>2000</c:v>
                </c:pt>
                <c:pt idx="1203">
                  <c:v>2000</c:v>
                </c:pt>
                <c:pt idx="1204">
                  <c:v>2000</c:v>
                </c:pt>
                <c:pt idx="1205">
                  <c:v>2000</c:v>
                </c:pt>
                <c:pt idx="1206">
                  <c:v>2000</c:v>
                </c:pt>
                <c:pt idx="1207">
                  <c:v>2000</c:v>
                </c:pt>
                <c:pt idx="1208">
                  <c:v>2000</c:v>
                </c:pt>
                <c:pt idx="1209">
                  <c:v>2000</c:v>
                </c:pt>
                <c:pt idx="1210">
                  <c:v>2000</c:v>
                </c:pt>
                <c:pt idx="1211">
                  <c:v>2000</c:v>
                </c:pt>
                <c:pt idx="1212">
                  <c:v>2000</c:v>
                </c:pt>
                <c:pt idx="1213">
                  <c:v>2000</c:v>
                </c:pt>
                <c:pt idx="1214">
                  <c:v>2000</c:v>
                </c:pt>
                <c:pt idx="1215">
                  <c:v>2000</c:v>
                </c:pt>
                <c:pt idx="1216">
                  <c:v>2000</c:v>
                </c:pt>
                <c:pt idx="1217">
                  <c:v>2000</c:v>
                </c:pt>
                <c:pt idx="1218">
                  <c:v>2000</c:v>
                </c:pt>
                <c:pt idx="1219">
                  <c:v>2000</c:v>
                </c:pt>
                <c:pt idx="1220">
                  <c:v>2000</c:v>
                </c:pt>
                <c:pt idx="1221">
                  <c:v>2000</c:v>
                </c:pt>
                <c:pt idx="1222">
                  <c:v>2880</c:v>
                </c:pt>
                <c:pt idx="1223">
                  <c:v>2000</c:v>
                </c:pt>
                <c:pt idx="1224">
                  <c:v>2880</c:v>
                </c:pt>
                <c:pt idx="1225">
                  <c:v>2000</c:v>
                </c:pt>
                <c:pt idx="1226">
                  <c:v>2000</c:v>
                </c:pt>
                <c:pt idx="1227">
                  <c:v>2000</c:v>
                </c:pt>
                <c:pt idx="1228">
                  <c:v>2000</c:v>
                </c:pt>
                <c:pt idx="1229">
                  <c:v>2880</c:v>
                </c:pt>
                <c:pt idx="1230">
                  <c:v>2000</c:v>
                </c:pt>
                <c:pt idx="1231">
                  <c:v>2000</c:v>
                </c:pt>
                <c:pt idx="1232">
                  <c:v>2000</c:v>
                </c:pt>
                <c:pt idx="1233">
                  <c:v>2880</c:v>
                </c:pt>
                <c:pt idx="1234">
                  <c:v>2000</c:v>
                </c:pt>
                <c:pt idx="1235">
                  <c:v>2000</c:v>
                </c:pt>
                <c:pt idx="1236">
                  <c:v>2000</c:v>
                </c:pt>
                <c:pt idx="1237">
                  <c:v>2000</c:v>
                </c:pt>
                <c:pt idx="1238">
                  <c:v>2000</c:v>
                </c:pt>
                <c:pt idx="1239">
                  <c:v>2000</c:v>
                </c:pt>
                <c:pt idx="1240">
                  <c:v>2000</c:v>
                </c:pt>
                <c:pt idx="1241">
                  <c:v>2000</c:v>
                </c:pt>
                <c:pt idx="1242">
                  <c:v>2000</c:v>
                </c:pt>
                <c:pt idx="1243">
                  <c:v>2000</c:v>
                </c:pt>
                <c:pt idx="1244">
                  <c:v>2000</c:v>
                </c:pt>
                <c:pt idx="1245">
                  <c:v>2000</c:v>
                </c:pt>
                <c:pt idx="1246">
                  <c:v>2000</c:v>
                </c:pt>
                <c:pt idx="1247">
                  <c:v>2000</c:v>
                </c:pt>
                <c:pt idx="1248">
                  <c:v>2000</c:v>
                </c:pt>
                <c:pt idx="1249">
                  <c:v>2000</c:v>
                </c:pt>
                <c:pt idx="1250">
                  <c:v>2000</c:v>
                </c:pt>
                <c:pt idx="1251">
                  <c:v>2000</c:v>
                </c:pt>
                <c:pt idx="1252">
                  <c:v>2000</c:v>
                </c:pt>
                <c:pt idx="1253">
                  <c:v>2000</c:v>
                </c:pt>
                <c:pt idx="1254">
                  <c:v>2000</c:v>
                </c:pt>
                <c:pt idx="1255">
                  <c:v>2000</c:v>
                </c:pt>
                <c:pt idx="1256">
                  <c:v>2000</c:v>
                </c:pt>
                <c:pt idx="1257">
                  <c:v>2000</c:v>
                </c:pt>
                <c:pt idx="1258">
                  <c:v>2000</c:v>
                </c:pt>
                <c:pt idx="1259">
                  <c:v>2000</c:v>
                </c:pt>
                <c:pt idx="1260">
                  <c:v>2000</c:v>
                </c:pt>
                <c:pt idx="1261">
                  <c:v>2000</c:v>
                </c:pt>
                <c:pt idx="1262">
                  <c:v>2000</c:v>
                </c:pt>
                <c:pt idx="1263">
                  <c:v>2000</c:v>
                </c:pt>
                <c:pt idx="1264">
                  <c:v>2000</c:v>
                </c:pt>
                <c:pt idx="1265">
                  <c:v>2000</c:v>
                </c:pt>
                <c:pt idx="1266">
                  <c:v>2000</c:v>
                </c:pt>
                <c:pt idx="1267">
                  <c:v>2000</c:v>
                </c:pt>
                <c:pt idx="1268">
                  <c:v>2000</c:v>
                </c:pt>
                <c:pt idx="1269">
                  <c:v>2000</c:v>
                </c:pt>
                <c:pt idx="1270">
                  <c:v>2000</c:v>
                </c:pt>
                <c:pt idx="1271">
                  <c:v>2000</c:v>
                </c:pt>
                <c:pt idx="1272">
                  <c:v>2000</c:v>
                </c:pt>
                <c:pt idx="1273">
                  <c:v>2000</c:v>
                </c:pt>
                <c:pt idx="1274">
                  <c:v>2000</c:v>
                </c:pt>
                <c:pt idx="1275">
                  <c:v>2000</c:v>
                </c:pt>
                <c:pt idx="1276">
                  <c:v>2000</c:v>
                </c:pt>
                <c:pt idx="1277">
                  <c:v>2000</c:v>
                </c:pt>
                <c:pt idx="1278">
                  <c:v>2000</c:v>
                </c:pt>
                <c:pt idx="1279">
                  <c:v>2000</c:v>
                </c:pt>
                <c:pt idx="1280">
                  <c:v>2000</c:v>
                </c:pt>
                <c:pt idx="1281">
                  <c:v>2000</c:v>
                </c:pt>
                <c:pt idx="1282">
                  <c:v>2000</c:v>
                </c:pt>
                <c:pt idx="1283">
                  <c:v>2000</c:v>
                </c:pt>
                <c:pt idx="1284">
                  <c:v>2000</c:v>
                </c:pt>
                <c:pt idx="1285">
                  <c:v>2000</c:v>
                </c:pt>
                <c:pt idx="1286">
                  <c:v>2000</c:v>
                </c:pt>
                <c:pt idx="1287">
                  <c:v>2000</c:v>
                </c:pt>
                <c:pt idx="1288">
                  <c:v>2000</c:v>
                </c:pt>
                <c:pt idx="1289">
                  <c:v>2880</c:v>
                </c:pt>
                <c:pt idx="1290">
                  <c:v>2000</c:v>
                </c:pt>
                <c:pt idx="1291">
                  <c:v>2000</c:v>
                </c:pt>
                <c:pt idx="1292">
                  <c:v>2880</c:v>
                </c:pt>
                <c:pt idx="1293">
                  <c:v>2000</c:v>
                </c:pt>
                <c:pt idx="1294">
                  <c:v>2000</c:v>
                </c:pt>
                <c:pt idx="1295">
                  <c:v>2000</c:v>
                </c:pt>
                <c:pt idx="1296">
                  <c:v>2000</c:v>
                </c:pt>
                <c:pt idx="1297">
                  <c:v>2000</c:v>
                </c:pt>
                <c:pt idx="1298">
                  <c:v>2000</c:v>
                </c:pt>
                <c:pt idx="1299">
                  <c:v>2000</c:v>
                </c:pt>
                <c:pt idx="1300">
                  <c:v>2000</c:v>
                </c:pt>
                <c:pt idx="1301">
                  <c:v>2000</c:v>
                </c:pt>
                <c:pt idx="1302">
                  <c:v>2000</c:v>
                </c:pt>
                <c:pt idx="1303">
                  <c:v>2880</c:v>
                </c:pt>
                <c:pt idx="1304">
                  <c:v>2000</c:v>
                </c:pt>
                <c:pt idx="1305">
                  <c:v>2000</c:v>
                </c:pt>
                <c:pt idx="1306">
                  <c:v>2880</c:v>
                </c:pt>
                <c:pt idx="1307">
                  <c:v>2000</c:v>
                </c:pt>
                <c:pt idx="1308">
                  <c:v>2000</c:v>
                </c:pt>
                <c:pt idx="1309">
                  <c:v>2000</c:v>
                </c:pt>
                <c:pt idx="1310">
                  <c:v>2000</c:v>
                </c:pt>
                <c:pt idx="1311">
                  <c:v>2000</c:v>
                </c:pt>
                <c:pt idx="1312">
                  <c:v>2000</c:v>
                </c:pt>
                <c:pt idx="1313">
                  <c:v>2000</c:v>
                </c:pt>
                <c:pt idx="1314">
                  <c:v>2000</c:v>
                </c:pt>
                <c:pt idx="1315">
                  <c:v>2000</c:v>
                </c:pt>
                <c:pt idx="1316">
                  <c:v>2000</c:v>
                </c:pt>
                <c:pt idx="1317">
                  <c:v>2000</c:v>
                </c:pt>
                <c:pt idx="1318">
                  <c:v>2000</c:v>
                </c:pt>
                <c:pt idx="1319">
                  <c:v>2000</c:v>
                </c:pt>
                <c:pt idx="1320">
                  <c:v>2000</c:v>
                </c:pt>
                <c:pt idx="1321">
                  <c:v>2000</c:v>
                </c:pt>
                <c:pt idx="1322">
                  <c:v>2000</c:v>
                </c:pt>
                <c:pt idx="1323">
                  <c:v>2000</c:v>
                </c:pt>
                <c:pt idx="1324">
                  <c:v>2000</c:v>
                </c:pt>
                <c:pt idx="1325">
                  <c:v>2000</c:v>
                </c:pt>
                <c:pt idx="1326">
                  <c:v>2000</c:v>
                </c:pt>
                <c:pt idx="1327">
                  <c:v>2000</c:v>
                </c:pt>
                <c:pt idx="1328">
                  <c:v>2000</c:v>
                </c:pt>
                <c:pt idx="1329">
                  <c:v>2000</c:v>
                </c:pt>
                <c:pt idx="1330">
                  <c:v>2000</c:v>
                </c:pt>
                <c:pt idx="1331">
                  <c:v>2000</c:v>
                </c:pt>
                <c:pt idx="1332">
                  <c:v>2000</c:v>
                </c:pt>
                <c:pt idx="1333">
                  <c:v>2000</c:v>
                </c:pt>
                <c:pt idx="1334">
                  <c:v>2000</c:v>
                </c:pt>
                <c:pt idx="1335">
                  <c:v>2000</c:v>
                </c:pt>
                <c:pt idx="1336">
                  <c:v>2000</c:v>
                </c:pt>
                <c:pt idx="1337">
                  <c:v>2000</c:v>
                </c:pt>
                <c:pt idx="1338">
                  <c:v>2000</c:v>
                </c:pt>
                <c:pt idx="1339">
                  <c:v>2000</c:v>
                </c:pt>
                <c:pt idx="1340">
                  <c:v>2000</c:v>
                </c:pt>
                <c:pt idx="1341">
                  <c:v>2000</c:v>
                </c:pt>
                <c:pt idx="1342">
                  <c:v>2000</c:v>
                </c:pt>
                <c:pt idx="1343">
                  <c:v>2000</c:v>
                </c:pt>
                <c:pt idx="1344">
                  <c:v>2000</c:v>
                </c:pt>
                <c:pt idx="1345">
                  <c:v>2000</c:v>
                </c:pt>
                <c:pt idx="1346">
                  <c:v>2000</c:v>
                </c:pt>
                <c:pt idx="1347">
                  <c:v>2000</c:v>
                </c:pt>
                <c:pt idx="1348">
                  <c:v>2000</c:v>
                </c:pt>
                <c:pt idx="1349">
                  <c:v>2000</c:v>
                </c:pt>
                <c:pt idx="1350">
                  <c:v>2000</c:v>
                </c:pt>
                <c:pt idx="1351">
                  <c:v>2000</c:v>
                </c:pt>
                <c:pt idx="1352">
                  <c:v>2000</c:v>
                </c:pt>
                <c:pt idx="1353">
                  <c:v>2000</c:v>
                </c:pt>
                <c:pt idx="1354">
                  <c:v>2000</c:v>
                </c:pt>
                <c:pt idx="1355">
                  <c:v>2000</c:v>
                </c:pt>
                <c:pt idx="1356">
                  <c:v>2000</c:v>
                </c:pt>
                <c:pt idx="1357">
                  <c:v>2000</c:v>
                </c:pt>
                <c:pt idx="1358">
                  <c:v>2000</c:v>
                </c:pt>
                <c:pt idx="1359">
                  <c:v>2000</c:v>
                </c:pt>
                <c:pt idx="1360">
                  <c:v>2000</c:v>
                </c:pt>
                <c:pt idx="1361">
                  <c:v>2000</c:v>
                </c:pt>
                <c:pt idx="1362">
                  <c:v>2000</c:v>
                </c:pt>
                <c:pt idx="1363">
                  <c:v>2000</c:v>
                </c:pt>
                <c:pt idx="1364">
                  <c:v>2000</c:v>
                </c:pt>
                <c:pt idx="1365">
                  <c:v>2000</c:v>
                </c:pt>
                <c:pt idx="1366">
                  <c:v>2000</c:v>
                </c:pt>
                <c:pt idx="1367">
                  <c:v>2000</c:v>
                </c:pt>
                <c:pt idx="1368">
                  <c:v>2000</c:v>
                </c:pt>
                <c:pt idx="1369">
                  <c:v>2000</c:v>
                </c:pt>
                <c:pt idx="1370">
                  <c:v>2000</c:v>
                </c:pt>
                <c:pt idx="1371">
                  <c:v>2000</c:v>
                </c:pt>
                <c:pt idx="1372">
                  <c:v>2880</c:v>
                </c:pt>
                <c:pt idx="1373">
                  <c:v>2000</c:v>
                </c:pt>
                <c:pt idx="1374">
                  <c:v>2000</c:v>
                </c:pt>
                <c:pt idx="1375">
                  <c:v>2000</c:v>
                </c:pt>
                <c:pt idx="1376">
                  <c:v>2000</c:v>
                </c:pt>
                <c:pt idx="1377">
                  <c:v>2000</c:v>
                </c:pt>
                <c:pt idx="1378">
                  <c:v>2880</c:v>
                </c:pt>
                <c:pt idx="1379">
                  <c:v>2000</c:v>
                </c:pt>
                <c:pt idx="1380">
                  <c:v>2000</c:v>
                </c:pt>
                <c:pt idx="1381">
                  <c:v>2000</c:v>
                </c:pt>
                <c:pt idx="1382">
                  <c:v>2880</c:v>
                </c:pt>
                <c:pt idx="1383">
                  <c:v>2000</c:v>
                </c:pt>
                <c:pt idx="1384">
                  <c:v>2000</c:v>
                </c:pt>
                <c:pt idx="1385">
                  <c:v>2000</c:v>
                </c:pt>
                <c:pt idx="1386">
                  <c:v>2000</c:v>
                </c:pt>
                <c:pt idx="1387">
                  <c:v>2000</c:v>
                </c:pt>
                <c:pt idx="1388">
                  <c:v>2000</c:v>
                </c:pt>
                <c:pt idx="1389">
                  <c:v>2000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C-57BE-4E12-9C5F-2CC84E3F3372}"/>
            </c:ext>
          </c:extLst>
        </c:ser>
        <c:ser>
          <c:idx val="2"/>
          <c:order val="3"/>
          <c:tx>
            <c:strRef>
              <c:f>TS!$K$1</c:f>
              <c:strCache>
                <c:ptCount val="1"/>
                <c:pt idx="0">
                  <c:v>Min. Pressure</c:v>
                </c:pt>
              </c:strCache>
              <c:extLst xmlns:c15="http://schemas.microsoft.com/office/drawing/2012/chart"/>
            </c:strRef>
          </c:tx>
          <c:spPr>
            <a:ln w="15875">
              <a:solidFill>
                <a:srgbClr val="00B050"/>
              </a:solidFill>
              <a:prstDash val="lgDashDot"/>
            </a:ln>
          </c:spPr>
          <c:marker>
            <c:symbol val="none"/>
          </c:marker>
          <c:xVal>
            <c:numRef>
              <c:f>TS!$N$2:$N$1391</c:f>
              <c:numCache>
                <c:formatCode>#\+##</c:formatCode>
                <c:ptCount val="1390"/>
                <c:pt idx="0">
                  <c:v>95899.92</c:v>
                </c:pt>
                <c:pt idx="1">
                  <c:v>95999.92</c:v>
                </c:pt>
                <c:pt idx="2">
                  <c:v>96099.92</c:v>
                </c:pt>
                <c:pt idx="3">
                  <c:v>96199.92</c:v>
                </c:pt>
                <c:pt idx="4">
                  <c:v>96299.92</c:v>
                </c:pt>
                <c:pt idx="5">
                  <c:v>96399.92</c:v>
                </c:pt>
                <c:pt idx="6">
                  <c:v>96499.92</c:v>
                </c:pt>
                <c:pt idx="7">
                  <c:v>96599.92</c:v>
                </c:pt>
                <c:pt idx="8">
                  <c:v>96699.92</c:v>
                </c:pt>
                <c:pt idx="9">
                  <c:v>96799.92</c:v>
                </c:pt>
                <c:pt idx="10">
                  <c:v>96899.92</c:v>
                </c:pt>
                <c:pt idx="11">
                  <c:v>96999.92</c:v>
                </c:pt>
                <c:pt idx="12">
                  <c:v>97099.92</c:v>
                </c:pt>
                <c:pt idx="13">
                  <c:v>97199.92</c:v>
                </c:pt>
                <c:pt idx="14">
                  <c:v>97299.92</c:v>
                </c:pt>
                <c:pt idx="15">
                  <c:v>97399.92</c:v>
                </c:pt>
                <c:pt idx="16">
                  <c:v>97499.92</c:v>
                </c:pt>
                <c:pt idx="17">
                  <c:v>97599.92</c:v>
                </c:pt>
                <c:pt idx="18">
                  <c:v>97699.92</c:v>
                </c:pt>
                <c:pt idx="19">
                  <c:v>97799.92</c:v>
                </c:pt>
                <c:pt idx="20">
                  <c:v>97899.92</c:v>
                </c:pt>
                <c:pt idx="21">
                  <c:v>97999.92</c:v>
                </c:pt>
                <c:pt idx="22">
                  <c:v>98099.92</c:v>
                </c:pt>
                <c:pt idx="23">
                  <c:v>98199.92</c:v>
                </c:pt>
                <c:pt idx="24">
                  <c:v>98299.92</c:v>
                </c:pt>
                <c:pt idx="25">
                  <c:v>98399.92</c:v>
                </c:pt>
                <c:pt idx="26">
                  <c:v>98499.92</c:v>
                </c:pt>
                <c:pt idx="27">
                  <c:v>98599.92</c:v>
                </c:pt>
                <c:pt idx="28">
                  <c:v>98699.92</c:v>
                </c:pt>
                <c:pt idx="29">
                  <c:v>98799.92</c:v>
                </c:pt>
                <c:pt idx="30">
                  <c:v>98899.92</c:v>
                </c:pt>
                <c:pt idx="31">
                  <c:v>98999.92</c:v>
                </c:pt>
                <c:pt idx="32">
                  <c:v>99099.92</c:v>
                </c:pt>
                <c:pt idx="33">
                  <c:v>99199.92</c:v>
                </c:pt>
                <c:pt idx="34">
                  <c:v>99299.92</c:v>
                </c:pt>
                <c:pt idx="35">
                  <c:v>99399.92</c:v>
                </c:pt>
                <c:pt idx="36">
                  <c:v>99499.92</c:v>
                </c:pt>
                <c:pt idx="37">
                  <c:v>99596.6</c:v>
                </c:pt>
                <c:pt idx="38">
                  <c:v>99599.92</c:v>
                </c:pt>
                <c:pt idx="39">
                  <c:v>99676.6</c:v>
                </c:pt>
                <c:pt idx="40">
                  <c:v>99699.92</c:v>
                </c:pt>
                <c:pt idx="41">
                  <c:v>99799.92</c:v>
                </c:pt>
                <c:pt idx="42">
                  <c:v>99899.92</c:v>
                </c:pt>
                <c:pt idx="43">
                  <c:v>99999.92</c:v>
                </c:pt>
                <c:pt idx="44">
                  <c:v>100093.7</c:v>
                </c:pt>
                <c:pt idx="45">
                  <c:v>100099.92</c:v>
                </c:pt>
                <c:pt idx="46">
                  <c:v>100199.92</c:v>
                </c:pt>
                <c:pt idx="47">
                  <c:v>100299.92</c:v>
                </c:pt>
                <c:pt idx="48">
                  <c:v>100399.92</c:v>
                </c:pt>
                <c:pt idx="49">
                  <c:v>100499.92</c:v>
                </c:pt>
                <c:pt idx="50">
                  <c:v>100599.92</c:v>
                </c:pt>
                <c:pt idx="51">
                  <c:v>100699.92</c:v>
                </c:pt>
                <c:pt idx="52">
                  <c:v>100799.92</c:v>
                </c:pt>
                <c:pt idx="53">
                  <c:v>100899.92</c:v>
                </c:pt>
                <c:pt idx="54">
                  <c:v>100999.92</c:v>
                </c:pt>
                <c:pt idx="55">
                  <c:v>101099.92</c:v>
                </c:pt>
                <c:pt idx="56">
                  <c:v>101199.92</c:v>
                </c:pt>
                <c:pt idx="57">
                  <c:v>101299.92</c:v>
                </c:pt>
                <c:pt idx="58">
                  <c:v>101399.92</c:v>
                </c:pt>
                <c:pt idx="59">
                  <c:v>101499.92</c:v>
                </c:pt>
                <c:pt idx="60">
                  <c:v>101599.92</c:v>
                </c:pt>
                <c:pt idx="61">
                  <c:v>101699.92</c:v>
                </c:pt>
                <c:pt idx="62">
                  <c:v>101799.92</c:v>
                </c:pt>
                <c:pt idx="63">
                  <c:v>101899.92</c:v>
                </c:pt>
                <c:pt idx="64">
                  <c:v>101918.7</c:v>
                </c:pt>
                <c:pt idx="65">
                  <c:v>101999.92</c:v>
                </c:pt>
                <c:pt idx="66">
                  <c:v>102099.92</c:v>
                </c:pt>
                <c:pt idx="67">
                  <c:v>102199.92</c:v>
                </c:pt>
                <c:pt idx="68">
                  <c:v>102299.92</c:v>
                </c:pt>
                <c:pt idx="69">
                  <c:v>102399.92</c:v>
                </c:pt>
                <c:pt idx="70">
                  <c:v>102499.92</c:v>
                </c:pt>
                <c:pt idx="71">
                  <c:v>102599.92</c:v>
                </c:pt>
                <c:pt idx="72">
                  <c:v>102699.92</c:v>
                </c:pt>
                <c:pt idx="73">
                  <c:v>102799.92</c:v>
                </c:pt>
                <c:pt idx="74">
                  <c:v>102899.92</c:v>
                </c:pt>
                <c:pt idx="75">
                  <c:v>102999.92</c:v>
                </c:pt>
                <c:pt idx="76">
                  <c:v>103099.92</c:v>
                </c:pt>
                <c:pt idx="77">
                  <c:v>103199.92</c:v>
                </c:pt>
                <c:pt idx="78">
                  <c:v>103299.92</c:v>
                </c:pt>
                <c:pt idx="79">
                  <c:v>103399.92</c:v>
                </c:pt>
                <c:pt idx="80">
                  <c:v>103499.92</c:v>
                </c:pt>
                <c:pt idx="81">
                  <c:v>103599.92</c:v>
                </c:pt>
                <c:pt idx="82">
                  <c:v>103699.92</c:v>
                </c:pt>
                <c:pt idx="83">
                  <c:v>103799.92</c:v>
                </c:pt>
                <c:pt idx="84">
                  <c:v>103809.3</c:v>
                </c:pt>
                <c:pt idx="85">
                  <c:v>103899.92</c:v>
                </c:pt>
                <c:pt idx="86">
                  <c:v>103929.3</c:v>
                </c:pt>
                <c:pt idx="87">
                  <c:v>103999.92</c:v>
                </c:pt>
                <c:pt idx="88">
                  <c:v>104099.92</c:v>
                </c:pt>
                <c:pt idx="89">
                  <c:v>104199.92</c:v>
                </c:pt>
                <c:pt idx="90">
                  <c:v>104299.92</c:v>
                </c:pt>
                <c:pt idx="91">
                  <c:v>104399.92</c:v>
                </c:pt>
                <c:pt idx="92">
                  <c:v>104499.92</c:v>
                </c:pt>
                <c:pt idx="93">
                  <c:v>104599.92</c:v>
                </c:pt>
                <c:pt idx="94">
                  <c:v>104699.92</c:v>
                </c:pt>
                <c:pt idx="95">
                  <c:v>104799.92</c:v>
                </c:pt>
                <c:pt idx="96">
                  <c:v>104899.92</c:v>
                </c:pt>
                <c:pt idx="97">
                  <c:v>104999.92</c:v>
                </c:pt>
                <c:pt idx="98">
                  <c:v>105099.92</c:v>
                </c:pt>
                <c:pt idx="99">
                  <c:v>105199.92</c:v>
                </c:pt>
                <c:pt idx="100">
                  <c:v>105299.92</c:v>
                </c:pt>
                <c:pt idx="101">
                  <c:v>105399.92</c:v>
                </c:pt>
                <c:pt idx="102">
                  <c:v>105499.92</c:v>
                </c:pt>
                <c:pt idx="103">
                  <c:v>105599.92</c:v>
                </c:pt>
                <c:pt idx="104">
                  <c:v>105699.92</c:v>
                </c:pt>
                <c:pt idx="105">
                  <c:v>105799.92</c:v>
                </c:pt>
                <c:pt idx="106">
                  <c:v>105899.92</c:v>
                </c:pt>
                <c:pt idx="107">
                  <c:v>105999.92</c:v>
                </c:pt>
                <c:pt idx="108">
                  <c:v>106099.92</c:v>
                </c:pt>
                <c:pt idx="109">
                  <c:v>106199.92</c:v>
                </c:pt>
                <c:pt idx="110">
                  <c:v>106299.92</c:v>
                </c:pt>
                <c:pt idx="111">
                  <c:v>106399.92</c:v>
                </c:pt>
                <c:pt idx="112">
                  <c:v>106499.92</c:v>
                </c:pt>
                <c:pt idx="113">
                  <c:v>106599.92</c:v>
                </c:pt>
                <c:pt idx="114">
                  <c:v>106699.92</c:v>
                </c:pt>
                <c:pt idx="115">
                  <c:v>106799.92</c:v>
                </c:pt>
                <c:pt idx="116">
                  <c:v>106899.92</c:v>
                </c:pt>
                <c:pt idx="117">
                  <c:v>106999.92</c:v>
                </c:pt>
                <c:pt idx="118">
                  <c:v>107099.92</c:v>
                </c:pt>
                <c:pt idx="119">
                  <c:v>107199.92</c:v>
                </c:pt>
                <c:pt idx="120">
                  <c:v>107299.92</c:v>
                </c:pt>
                <c:pt idx="121">
                  <c:v>107399.92</c:v>
                </c:pt>
                <c:pt idx="122">
                  <c:v>107499.92</c:v>
                </c:pt>
                <c:pt idx="123">
                  <c:v>107599.92</c:v>
                </c:pt>
                <c:pt idx="124">
                  <c:v>107699.92</c:v>
                </c:pt>
                <c:pt idx="125">
                  <c:v>107799.92</c:v>
                </c:pt>
                <c:pt idx="126">
                  <c:v>107899.92</c:v>
                </c:pt>
                <c:pt idx="127">
                  <c:v>107999.92</c:v>
                </c:pt>
                <c:pt idx="128">
                  <c:v>108099.92</c:v>
                </c:pt>
                <c:pt idx="129">
                  <c:v>108159.1</c:v>
                </c:pt>
                <c:pt idx="130">
                  <c:v>108199.92</c:v>
                </c:pt>
                <c:pt idx="131">
                  <c:v>108299.92</c:v>
                </c:pt>
                <c:pt idx="132">
                  <c:v>108399.92</c:v>
                </c:pt>
                <c:pt idx="133">
                  <c:v>108499.92</c:v>
                </c:pt>
                <c:pt idx="134">
                  <c:v>108599.92</c:v>
                </c:pt>
                <c:pt idx="135">
                  <c:v>108699.92</c:v>
                </c:pt>
                <c:pt idx="136">
                  <c:v>108799.92</c:v>
                </c:pt>
                <c:pt idx="137">
                  <c:v>108899.92</c:v>
                </c:pt>
                <c:pt idx="138">
                  <c:v>108999.92</c:v>
                </c:pt>
                <c:pt idx="139">
                  <c:v>109036</c:v>
                </c:pt>
                <c:pt idx="140">
                  <c:v>109099.92</c:v>
                </c:pt>
                <c:pt idx="141">
                  <c:v>109199.92</c:v>
                </c:pt>
                <c:pt idx="142">
                  <c:v>109299.92</c:v>
                </c:pt>
                <c:pt idx="143">
                  <c:v>109399.92</c:v>
                </c:pt>
                <c:pt idx="144">
                  <c:v>109421</c:v>
                </c:pt>
                <c:pt idx="145">
                  <c:v>109499.92</c:v>
                </c:pt>
                <c:pt idx="146">
                  <c:v>109599.92</c:v>
                </c:pt>
                <c:pt idx="147">
                  <c:v>109699.92</c:v>
                </c:pt>
                <c:pt idx="148">
                  <c:v>109703</c:v>
                </c:pt>
                <c:pt idx="149">
                  <c:v>109799.92</c:v>
                </c:pt>
                <c:pt idx="150">
                  <c:v>109899.92</c:v>
                </c:pt>
                <c:pt idx="151">
                  <c:v>109999.92</c:v>
                </c:pt>
                <c:pt idx="152">
                  <c:v>110099.92</c:v>
                </c:pt>
                <c:pt idx="153">
                  <c:v>110199.92</c:v>
                </c:pt>
                <c:pt idx="154">
                  <c:v>110299.92</c:v>
                </c:pt>
                <c:pt idx="155">
                  <c:v>110399.92</c:v>
                </c:pt>
                <c:pt idx="156">
                  <c:v>110499.92</c:v>
                </c:pt>
                <c:pt idx="157">
                  <c:v>110599.92</c:v>
                </c:pt>
                <c:pt idx="158">
                  <c:v>110688.3</c:v>
                </c:pt>
                <c:pt idx="159">
                  <c:v>110699.92</c:v>
                </c:pt>
                <c:pt idx="160">
                  <c:v>110768.3</c:v>
                </c:pt>
                <c:pt idx="161">
                  <c:v>110799.92</c:v>
                </c:pt>
                <c:pt idx="162">
                  <c:v>110899.92</c:v>
                </c:pt>
                <c:pt idx="163">
                  <c:v>110999.92</c:v>
                </c:pt>
                <c:pt idx="164">
                  <c:v>111099.92</c:v>
                </c:pt>
                <c:pt idx="165">
                  <c:v>111199.92</c:v>
                </c:pt>
                <c:pt idx="166">
                  <c:v>111299.92</c:v>
                </c:pt>
                <c:pt idx="167">
                  <c:v>111399.92</c:v>
                </c:pt>
                <c:pt idx="168">
                  <c:v>111499.92</c:v>
                </c:pt>
                <c:pt idx="169">
                  <c:v>111599.92</c:v>
                </c:pt>
                <c:pt idx="170">
                  <c:v>111699.92</c:v>
                </c:pt>
                <c:pt idx="171">
                  <c:v>111799.92</c:v>
                </c:pt>
                <c:pt idx="172">
                  <c:v>111899.92</c:v>
                </c:pt>
                <c:pt idx="173">
                  <c:v>111999.92</c:v>
                </c:pt>
                <c:pt idx="174">
                  <c:v>112099.92</c:v>
                </c:pt>
                <c:pt idx="175">
                  <c:v>112199.92</c:v>
                </c:pt>
                <c:pt idx="176">
                  <c:v>112299.92</c:v>
                </c:pt>
                <c:pt idx="177">
                  <c:v>112399.92</c:v>
                </c:pt>
                <c:pt idx="178">
                  <c:v>112499.92</c:v>
                </c:pt>
                <c:pt idx="179">
                  <c:v>112599.92</c:v>
                </c:pt>
                <c:pt idx="180">
                  <c:v>112699.92</c:v>
                </c:pt>
                <c:pt idx="181">
                  <c:v>112799.92</c:v>
                </c:pt>
                <c:pt idx="182">
                  <c:v>112899.92</c:v>
                </c:pt>
                <c:pt idx="183">
                  <c:v>112999.92</c:v>
                </c:pt>
                <c:pt idx="184">
                  <c:v>113099.92</c:v>
                </c:pt>
                <c:pt idx="185">
                  <c:v>113199.92</c:v>
                </c:pt>
                <c:pt idx="186">
                  <c:v>113299.92</c:v>
                </c:pt>
                <c:pt idx="187">
                  <c:v>113399.92</c:v>
                </c:pt>
                <c:pt idx="188">
                  <c:v>113499.92</c:v>
                </c:pt>
                <c:pt idx="189">
                  <c:v>113599.92</c:v>
                </c:pt>
                <c:pt idx="190">
                  <c:v>113699.92</c:v>
                </c:pt>
                <c:pt idx="191">
                  <c:v>113799.92</c:v>
                </c:pt>
                <c:pt idx="192">
                  <c:v>113899.92</c:v>
                </c:pt>
                <c:pt idx="193">
                  <c:v>113999.92</c:v>
                </c:pt>
                <c:pt idx="194">
                  <c:v>114057.3</c:v>
                </c:pt>
                <c:pt idx="195">
                  <c:v>114099.92</c:v>
                </c:pt>
                <c:pt idx="196">
                  <c:v>114137.3</c:v>
                </c:pt>
                <c:pt idx="197">
                  <c:v>114199.92</c:v>
                </c:pt>
                <c:pt idx="198">
                  <c:v>114299.92</c:v>
                </c:pt>
                <c:pt idx="199">
                  <c:v>114399.92</c:v>
                </c:pt>
                <c:pt idx="200">
                  <c:v>114499.92</c:v>
                </c:pt>
                <c:pt idx="201">
                  <c:v>114599.92</c:v>
                </c:pt>
                <c:pt idx="202">
                  <c:v>114639.2</c:v>
                </c:pt>
                <c:pt idx="203">
                  <c:v>114699.92</c:v>
                </c:pt>
                <c:pt idx="204">
                  <c:v>114719.2</c:v>
                </c:pt>
                <c:pt idx="205">
                  <c:v>114799.92</c:v>
                </c:pt>
                <c:pt idx="206">
                  <c:v>114899.92</c:v>
                </c:pt>
                <c:pt idx="207">
                  <c:v>114983</c:v>
                </c:pt>
                <c:pt idx="208">
                  <c:v>114999.92</c:v>
                </c:pt>
                <c:pt idx="209">
                  <c:v>115063</c:v>
                </c:pt>
                <c:pt idx="210">
                  <c:v>115099.92</c:v>
                </c:pt>
                <c:pt idx="211">
                  <c:v>115199.92</c:v>
                </c:pt>
                <c:pt idx="212">
                  <c:v>115299.92</c:v>
                </c:pt>
                <c:pt idx="213">
                  <c:v>115399.92</c:v>
                </c:pt>
                <c:pt idx="214">
                  <c:v>115499.92</c:v>
                </c:pt>
                <c:pt idx="215">
                  <c:v>115599.92</c:v>
                </c:pt>
                <c:pt idx="216">
                  <c:v>115676.9</c:v>
                </c:pt>
                <c:pt idx="217">
                  <c:v>115699.92</c:v>
                </c:pt>
                <c:pt idx="218">
                  <c:v>115796.9</c:v>
                </c:pt>
                <c:pt idx="219">
                  <c:v>115799.92</c:v>
                </c:pt>
                <c:pt idx="220">
                  <c:v>115899.92</c:v>
                </c:pt>
                <c:pt idx="221">
                  <c:v>115999.92</c:v>
                </c:pt>
                <c:pt idx="222">
                  <c:v>116090.1</c:v>
                </c:pt>
                <c:pt idx="223">
                  <c:v>116099.92</c:v>
                </c:pt>
                <c:pt idx="224">
                  <c:v>116199.92</c:v>
                </c:pt>
                <c:pt idx="225">
                  <c:v>116299.92</c:v>
                </c:pt>
                <c:pt idx="226">
                  <c:v>116399.92</c:v>
                </c:pt>
                <c:pt idx="227">
                  <c:v>116499.92</c:v>
                </c:pt>
                <c:pt idx="228">
                  <c:v>116599.92</c:v>
                </c:pt>
                <c:pt idx="229">
                  <c:v>116699.92</c:v>
                </c:pt>
                <c:pt idx="230">
                  <c:v>116799.92</c:v>
                </c:pt>
                <c:pt idx="231">
                  <c:v>116899.92</c:v>
                </c:pt>
                <c:pt idx="232">
                  <c:v>116999.92</c:v>
                </c:pt>
                <c:pt idx="233">
                  <c:v>117099.92</c:v>
                </c:pt>
                <c:pt idx="234">
                  <c:v>117199.92</c:v>
                </c:pt>
                <c:pt idx="235">
                  <c:v>117299.92</c:v>
                </c:pt>
                <c:pt idx="236">
                  <c:v>117399.92</c:v>
                </c:pt>
                <c:pt idx="237">
                  <c:v>117499.92</c:v>
                </c:pt>
                <c:pt idx="238">
                  <c:v>117599.92</c:v>
                </c:pt>
                <c:pt idx="239">
                  <c:v>117699.92</c:v>
                </c:pt>
                <c:pt idx="240">
                  <c:v>117799.92</c:v>
                </c:pt>
                <c:pt idx="241">
                  <c:v>117899.92</c:v>
                </c:pt>
                <c:pt idx="242">
                  <c:v>117999.92</c:v>
                </c:pt>
                <c:pt idx="243">
                  <c:v>118099.92</c:v>
                </c:pt>
                <c:pt idx="244">
                  <c:v>118199.92</c:v>
                </c:pt>
                <c:pt idx="245">
                  <c:v>118299.92</c:v>
                </c:pt>
                <c:pt idx="246">
                  <c:v>118399.92</c:v>
                </c:pt>
                <c:pt idx="247">
                  <c:v>118499.92</c:v>
                </c:pt>
                <c:pt idx="248">
                  <c:v>118599.92</c:v>
                </c:pt>
                <c:pt idx="249">
                  <c:v>118690.1</c:v>
                </c:pt>
                <c:pt idx="250">
                  <c:v>118699.92</c:v>
                </c:pt>
                <c:pt idx="251">
                  <c:v>118799.92</c:v>
                </c:pt>
                <c:pt idx="252">
                  <c:v>118899.92</c:v>
                </c:pt>
                <c:pt idx="253">
                  <c:v>118999.92</c:v>
                </c:pt>
                <c:pt idx="254">
                  <c:v>119099.92</c:v>
                </c:pt>
                <c:pt idx="255">
                  <c:v>119199.92</c:v>
                </c:pt>
                <c:pt idx="256">
                  <c:v>119299.92</c:v>
                </c:pt>
                <c:pt idx="257">
                  <c:v>119399.92</c:v>
                </c:pt>
                <c:pt idx="258">
                  <c:v>119499.92</c:v>
                </c:pt>
                <c:pt idx="259">
                  <c:v>119599.92</c:v>
                </c:pt>
                <c:pt idx="260">
                  <c:v>119699.92</c:v>
                </c:pt>
                <c:pt idx="261">
                  <c:v>119799.92</c:v>
                </c:pt>
                <c:pt idx="262">
                  <c:v>119899.92</c:v>
                </c:pt>
                <c:pt idx="263">
                  <c:v>119999.92</c:v>
                </c:pt>
                <c:pt idx="264">
                  <c:v>120099.92</c:v>
                </c:pt>
                <c:pt idx="265">
                  <c:v>120199.92</c:v>
                </c:pt>
                <c:pt idx="266">
                  <c:v>120298.2</c:v>
                </c:pt>
                <c:pt idx="267">
                  <c:v>120299.92</c:v>
                </c:pt>
                <c:pt idx="268">
                  <c:v>120378.2</c:v>
                </c:pt>
                <c:pt idx="269">
                  <c:v>120399.92</c:v>
                </c:pt>
                <c:pt idx="270">
                  <c:v>120499.92</c:v>
                </c:pt>
                <c:pt idx="271">
                  <c:v>120599.92</c:v>
                </c:pt>
                <c:pt idx="272">
                  <c:v>120699.92</c:v>
                </c:pt>
                <c:pt idx="273">
                  <c:v>120799.92</c:v>
                </c:pt>
                <c:pt idx="274">
                  <c:v>120899.92</c:v>
                </c:pt>
                <c:pt idx="275">
                  <c:v>120999.92</c:v>
                </c:pt>
                <c:pt idx="276">
                  <c:v>121099.92</c:v>
                </c:pt>
                <c:pt idx="277">
                  <c:v>121199.92</c:v>
                </c:pt>
                <c:pt idx="278">
                  <c:v>121299.92</c:v>
                </c:pt>
                <c:pt idx="279">
                  <c:v>121399.92</c:v>
                </c:pt>
                <c:pt idx="280">
                  <c:v>121499.92</c:v>
                </c:pt>
                <c:pt idx="281">
                  <c:v>121599.92</c:v>
                </c:pt>
                <c:pt idx="282">
                  <c:v>121699.92</c:v>
                </c:pt>
                <c:pt idx="283">
                  <c:v>121799.92</c:v>
                </c:pt>
                <c:pt idx="284">
                  <c:v>121899.92</c:v>
                </c:pt>
                <c:pt idx="285">
                  <c:v>121999.92</c:v>
                </c:pt>
                <c:pt idx="286">
                  <c:v>122099.92</c:v>
                </c:pt>
                <c:pt idx="287">
                  <c:v>122199.92</c:v>
                </c:pt>
                <c:pt idx="288">
                  <c:v>122299.92</c:v>
                </c:pt>
                <c:pt idx="289">
                  <c:v>122399.92</c:v>
                </c:pt>
                <c:pt idx="290">
                  <c:v>122499.92</c:v>
                </c:pt>
                <c:pt idx="291">
                  <c:v>122599.92</c:v>
                </c:pt>
                <c:pt idx="292">
                  <c:v>122699.92</c:v>
                </c:pt>
                <c:pt idx="293">
                  <c:v>122799.92</c:v>
                </c:pt>
                <c:pt idx="294">
                  <c:v>122899.92</c:v>
                </c:pt>
                <c:pt idx="295">
                  <c:v>122999.92</c:v>
                </c:pt>
                <c:pt idx="296">
                  <c:v>123099.92</c:v>
                </c:pt>
                <c:pt idx="297">
                  <c:v>123199.92</c:v>
                </c:pt>
                <c:pt idx="298">
                  <c:v>123215.6</c:v>
                </c:pt>
                <c:pt idx="299">
                  <c:v>123295.6</c:v>
                </c:pt>
                <c:pt idx="300">
                  <c:v>123299.92</c:v>
                </c:pt>
                <c:pt idx="301">
                  <c:v>123399.92</c:v>
                </c:pt>
                <c:pt idx="302">
                  <c:v>123499.92</c:v>
                </c:pt>
                <c:pt idx="303">
                  <c:v>123599.92</c:v>
                </c:pt>
                <c:pt idx="304">
                  <c:v>123699.92</c:v>
                </c:pt>
                <c:pt idx="305">
                  <c:v>123799.92</c:v>
                </c:pt>
                <c:pt idx="306">
                  <c:v>123899.92</c:v>
                </c:pt>
                <c:pt idx="307">
                  <c:v>123999.92</c:v>
                </c:pt>
                <c:pt idx="308">
                  <c:v>124099.92</c:v>
                </c:pt>
                <c:pt idx="309">
                  <c:v>124199.92</c:v>
                </c:pt>
                <c:pt idx="310">
                  <c:v>124299.92</c:v>
                </c:pt>
                <c:pt idx="311">
                  <c:v>124399.92</c:v>
                </c:pt>
                <c:pt idx="312">
                  <c:v>124499.92</c:v>
                </c:pt>
                <c:pt idx="313">
                  <c:v>124599.92</c:v>
                </c:pt>
                <c:pt idx="314">
                  <c:v>124699.92</c:v>
                </c:pt>
                <c:pt idx="315">
                  <c:v>124799.92</c:v>
                </c:pt>
                <c:pt idx="316">
                  <c:v>124899.92</c:v>
                </c:pt>
                <c:pt idx="317">
                  <c:v>124999.92</c:v>
                </c:pt>
                <c:pt idx="318">
                  <c:v>125099.92</c:v>
                </c:pt>
                <c:pt idx="319">
                  <c:v>125156.3</c:v>
                </c:pt>
                <c:pt idx="320">
                  <c:v>125199.92</c:v>
                </c:pt>
                <c:pt idx="321">
                  <c:v>125236.3</c:v>
                </c:pt>
                <c:pt idx="322">
                  <c:v>125299.92</c:v>
                </c:pt>
                <c:pt idx="323">
                  <c:v>125399.92</c:v>
                </c:pt>
                <c:pt idx="324">
                  <c:v>125499.92</c:v>
                </c:pt>
                <c:pt idx="325">
                  <c:v>125599.92</c:v>
                </c:pt>
                <c:pt idx="326">
                  <c:v>125699.92</c:v>
                </c:pt>
                <c:pt idx="327">
                  <c:v>125723.1</c:v>
                </c:pt>
                <c:pt idx="328">
                  <c:v>125798.1</c:v>
                </c:pt>
                <c:pt idx="329">
                  <c:v>125799.92</c:v>
                </c:pt>
                <c:pt idx="330">
                  <c:v>125899.92</c:v>
                </c:pt>
                <c:pt idx="331">
                  <c:v>125915.7</c:v>
                </c:pt>
                <c:pt idx="332">
                  <c:v>125999.92</c:v>
                </c:pt>
                <c:pt idx="333">
                  <c:v>126075.7</c:v>
                </c:pt>
                <c:pt idx="334">
                  <c:v>126099.92</c:v>
                </c:pt>
                <c:pt idx="335">
                  <c:v>126199.92</c:v>
                </c:pt>
                <c:pt idx="336">
                  <c:v>126299.92</c:v>
                </c:pt>
                <c:pt idx="337">
                  <c:v>126399.92</c:v>
                </c:pt>
                <c:pt idx="338">
                  <c:v>126499.92</c:v>
                </c:pt>
                <c:pt idx="339">
                  <c:v>126599.92</c:v>
                </c:pt>
                <c:pt idx="340">
                  <c:v>126699.92</c:v>
                </c:pt>
                <c:pt idx="341">
                  <c:v>126799.92</c:v>
                </c:pt>
                <c:pt idx="342">
                  <c:v>126899.92</c:v>
                </c:pt>
                <c:pt idx="343">
                  <c:v>126999.92</c:v>
                </c:pt>
                <c:pt idx="344">
                  <c:v>127099.92</c:v>
                </c:pt>
                <c:pt idx="345">
                  <c:v>127199.92</c:v>
                </c:pt>
                <c:pt idx="346">
                  <c:v>127299.92</c:v>
                </c:pt>
                <c:pt idx="347">
                  <c:v>127399.92</c:v>
                </c:pt>
                <c:pt idx="348">
                  <c:v>127499.92</c:v>
                </c:pt>
                <c:pt idx="349">
                  <c:v>127599.92</c:v>
                </c:pt>
                <c:pt idx="350">
                  <c:v>127699.92</c:v>
                </c:pt>
                <c:pt idx="351">
                  <c:v>127799.92</c:v>
                </c:pt>
                <c:pt idx="352">
                  <c:v>127899.92</c:v>
                </c:pt>
                <c:pt idx="353">
                  <c:v>127999.92</c:v>
                </c:pt>
                <c:pt idx="354">
                  <c:v>128099.92</c:v>
                </c:pt>
                <c:pt idx="355">
                  <c:v>128199.92</c:v>
                </c:pt>
                <c:pt idx="356">
                  <c:v>128299.92</c:v>
                </c:pt>
                <c:pt idx="357">
                  <c:v>128399.92</c:v>
                </c:pt>
                <c:pt idx="358">
                  <c:v>128499.92</c:v>
                </c:pt>
                <c:pt idx="359">
                  <c:v>128599.92</c:v>
                </c:pt>
                <c:pt idx="360">
                  <c:v>128699.92</c:v>
                </c:pt>
                <c:pt idx="361">
                  <c:v>128799.92</c:v>
                </c:pt>
                <c:pt idx="362">
                  <c:v>128899.92</c:v>
                </c:pt>
                <c:pt idx="363">
                  <c:v>128999.92</c:v>
                </c:pt>
                <c:pt idx="364">
                  <c:v>129099.92</c:v>
                </c:pt>
                <c:pt idx="365">
                  <c:v>129199.92</c:v>
                </c:pt>
                <c:pt idx="366">
                  <c:v>129299.92</c:v>
                </c:pt>
                <c:pt idx="367">
                  <c:v>129399.92</c:v>
                </c:pt>
                <c:pt idx="368">
                  <c:v>129499.92</c:v>
                </c:pt>
                <c:pt idx="369">
                  <c:v>129599.92</c:v>
                </c:pt>
                <c:pt idx="370">
                  <c:v>129699.92</c:v>
                </c:pt>
                <c:pt idx="371">
                  <c:v>129799.92</c:v>
                </c:pt>
                <c:pt idx="372">
                  <c:v>129899.92</c:v>
                </c:pt>
                <c:pt idx="373">
                  <c:v>129918.1</c:v>
                </c:pt>
                <c:pt idx="374">
                  <c:v>129998.1</c:v>
                </c:pt>
                <c:pt idx="375">
                  <c:v>129999.92</c:v>
                </c:pt>
                <c:pt idx="376">
                  <c:v>130099.92</c:v>
                </c:pt>
                <c:pt idx="377">
                  <c:v>130199.92</c:v>
                </c:pt>
                <c:pt idx="378">
                  <c:v>130299.92</c:v>
                </c:pt>
                <c:pt idx="379">
                  <c:v>130399.92</c:v>
                </c:pt>
                <c:pt idx="380">
                  <c:v>130499.92</c:v>
                </c:pt>
                <c:pt idx="381">
                  <c:v>130599.92</c:v>
                </c:pt>
                <c:pt idx="382">
                  <c:v>130699.92</c:v>
                </c:pt>
                <c:pt idx="383">
                  <c:v>130799.92</c:v>
                </c:pt>
                <c:pt idx="384">
                  <c:v>130899.92</c:v>
                </c:pt>
                <c:pt idx="385">
                  <c:v>130999.92</c:v>
                </c:pt>
                <c:pt idx="386">
                  <c:v>131099.92000000001</c:v>
                </c:pt>
                <c:pt idx="387">
                  <c:v>131199.92000000001</c:v>
                </c:pt>
                <c:pt idx="388">
                  <c:v>131299.92000000001</c:v>
                </c:pt>
                <c:pt idx="389">
                  <c:v>131399.92000000001</c:v>
                </c:pt>
                <c:pt idx="390">
                  <c:v>131482.9</c:v>
                </c:pt>
                <c:pt idx="391">
                  <c:v>131499.92000000001</c:v>
                </c:pt>
                <c:pt idx="392">
                  <c:v>131562.9</c:v>
                </c:pt>
                <c:pt idx="393">
                  <c:v>131599.92000000001</c:v>
                </c:pt>
                <c:pt idx="394">
                  <c:v>131699.92000000001</c:v>
                </c:pt>
                <c:pt idx="395">
                  <c:v>131799.92000000001</c:v>
                </c:pt>
                <c:pt idx="396">
                  <c:v>131899.92000000001</c:v>
                </c:pt>
                <c:pt idx="397">
                  <c:v>131999.92000000001</c:v>
                </c:pt>
                <c:pt idx="398">
                  <c:v>132099.92000000001</c:v>
                </c:pt>
                <c:pt idx="399">
                  <c:v>132199.92000000001</c:v>
                </c:pt>
                <c:pt idx="400">
                  <c:v>132299.92000000001</c:v>
                </c:pt>
                <c:pt idx="401">
                  <c:v>132399.92000000001</c:v>
                </c:pt>
                <c:pt idx="402">
                  <c:v>132499.92000000001</c:v>
                </c:pt>
                <c:pt idx="403">
                  <c:v>132599.92000000001</c:v>
                </c:pt>
                <c:pt idx="404">
                  <c:v>132699.92000000001</c:v>
                </c:pt>
                <c:pt idx="405">
                  <c:v>132799.1</c:v>
                </c:pt>
                <c:pt idx="406">
                  <c:v>132799.92000000001</c:v>
                </c:pt>
                <c:pt idx="407">
                  <c:v>132899.92000000001</c:v>
                </c:pt>
                <c:pt idx="408">
                  <c:v>132999.92000000001</c:v>
                </c:pt>
                <c:pt idx="409">
                  <c:v>133039.1</c:v>
                </c:pt>
                <c:pt idx="410">
                  <c:v>133099.92000000001</c:v>
                </c:pt>
                <c:pt idx="411">
                  <c:v>133199.92000000001</c:v>
                </c:pt>
                <c:pt idx="412">
                  <c:v>133299.92000000001</c:v>
                </c:pt>
                <c:pt idx="413">
                  <c:v>133399.92000000001</c:v>
                </c:pt>
                <c:pt idx="414">
                  <c:v>133499.92000000001</c:v>
                </c:pt>
                <c:pt idx="415">
                  <c:v>133599.92000000001</c:v>
                </c:pt>
                <c:pt idx="416">
                  <c:v>133699.92000000001</c:v>
                </c:pt>
                <c:pt idx="417">
                  <c:v>133799.92000000001</c:v>
                </c:pt>
                <c:pt idx="418">
                  <c:v>133899.92000000001</c:v>
                </c:pt>
                <c:pt idx="419">
                  <c:v>133999.92000000001</c:v>
                </c:pt>
                <c:pt idx="420">
                  <c:v>134099.92000000001</c:v>
                </c:pt>
                <c:pt idx="421">
                  <c:v>134199.92000000001</c:v>
                </c:pt>
                <c:pt idx="422">
                  <c:v>134299.92000000001</c:v>
                </c:pt>
                <c:pt idx="423">
                  <c:v>134399.92000000001</c:v>
                </c:pt>
                <c:pt idx="424">
                  <c:v>134499.92000000001</c:v>
                </c:pt>
                <c:pt idx="425">
                  <c:v>134599.92000000001</c:v>
                </c:pt>
                <c:pt idx="426">
                  <c:v>134699.92000000001</c:v>
                </c:pt>
                <c:pt idx="427">
                  <c:v>134799.92000000001</c:v>
                </c:pt>
                <c:pt idx="428">
                  <c:v>134899.92000000001</c:v>
                </c:pt>
                <c:pt idx="429">
                  <c:v>134999.92000000001</c:v>
                </c:pt>
                <c:pt idx="430">
                  <c:v>135099.92000000001</c:v>
                </c:pt>
                <c:pt idx="431">
                  <c:v>135199.92000000001</c:v>
                </c:pt>
                <c:pt idx="432">
                  <c:v>135299.92000000001</c:v>
                </c:pt>
                <c:pt idx="433">
                  <c:v>135399.92000000001</c:v>
                </c:pt>
                <c:pt idx="434">
                  <c:v>135499.92000000001</c:v>
                </c:pt>
                <c:pt idx="435">
                  <c:v>135599.92000000001</c:v>
                </c:pt>
                <c:pt idx="436">
                  <c:v>135699.92000000001</c:v>
                </c:pt>
                <c:pt idx="437">
                  <c:v>135799.92000000001</c:v>
                </c:pt>
                <c:pt idx="438">
                  <c:v>135899.92000000001</c:v>
                </c:pt>
                <c:pt idx="439">
                  <c:v>135999.92000000001</c:v>
                </c:pt>
                <c:pt idx="440">
                  <c:v>136099.92000000001</c:v>
                </c:pt>
                <c:pt idx="441">
                  <c:v>136199.92000000001</c:v>
                </c:pt>
                <c:pt idx="442">
                  <c:v>136299.92000000001</c:v>
                </c:pt>
                <c:pt idx="443">
                  <c:v>136399.92000000001</c:v>
                </c:pt>
                <c:pt idx="444">
                  <c:v>136499.92000000001</c:v>
                </c:pt>
                <c:pt idx="445">
                  <c:v>136599.92000000001</c:v>
                </c:pt>
                <c:pt idx="446">
                  <c:v>136699.92000000001</c:v>
                </c:pt>
                <c:pt idx="447">
                  <c:v>136799.92000000001</c:v>
                </c:pt>
                <c:pt idx="448">
                  <c:v>136899.92000000001</c:v>
                </c:pt>
                <c:pt idx="449">
                  <c:v>136999.92000000001</c:v>
                </c:pt>
                <c:pt idx="450">
                  <c:v>137099.92000000001</c:v>
                </c:pt>
                <c:pt idx="451">
                  <c:v>137199.92000000001</c:v>
                </c:pt>
                <c:pt idx="452">
                  <c:v>137299.92000000001</c:v>
                </c:pt>
                <c:pt idx="453">
                  <c:v>137399.92000000001</c:v>
                </c:pt>
                <c:pt idx="454">
                  <c:v>137499.92000000001</c:v>
                </c:pt>
                <c:pt idx="455">
                  <c:v>137599.92000000001</c:v>
                </c:pt>
                <c:pt idx="456">
                  <c:v>137699.92000000001</c:v>
                </c:pt>
                <c:pt idx="457">
                  <c:v>137745.70000000001</c:v>
                </c:pt>
                <c:pt idx="458">
                  <c:v>137799.92000000001</c:v>
                </c:pt>
                <c:pt idx="459">
                  <c:v>137899.92000000001</c:v>
                </c:pt>
                <c:pt idx="460">
                  <c:v>137999.92000000001</c:v>
                </c:pt>
                <c:pt idx="461">
                  <c:v>138099.92000000001</c:v>
                </c:pt>
                <c:pt idx="462">
                  <c:v>138199.92000000001</c:v>
                </c:pt>
                <c:pt idx="463">
                  <c:v>138299.92000000001</c:v>
                </c:pt>
                <c:pt idx="464">
                  <c:v>138399.92000000001</c:v>
                </c:pt>
                <c:pt idx="465">
                  <c:v>138465.70000000001</c:v>
                </c:pt>
                <c:pt idx="466">
                  <c:v>138499.92000000001</c:v>
                </c:pt>
                <c:pt idx="467">
                  <c:v>138599.92000000001</c:v>
                </c:pt>
                <c:pt idx="468">
                  <c:v>138699.92000000001</c:v>
                </c:pt>
                <c:pt idx="469">
                  <c:v>138799.92000000001</c:v>
                </c:pt>
                <c:pt idx="470">
                  <c:v>138836.1</c:v>
                </c:pt>
                <c:pt idx="471">
                  <c:v>138899.92000000001</c:v>
                </c:pt>
                <c:pt idx="472">
                  <c:v>138916.1</c:v>
                </c:pt>
                <c:pt idx="473">
                  <c:v>138999.92000000001</c:v>
                </c:pt>
                <c:pt idx="474">
                  <c:v>139099.92000000001</c:v>
                </c:pt>
                <c:pt idx="475">
                  <c:v>139199.92000000001</c:v>
                </c:pt>
                <c:pt idx="476">
                  <c:v>139299.92000000001</c:v>
                </c:pt>
                <c:pt idx="477">
                  <c:v>139399.92000000001</c:v>
                </c:pt>
                <c:pt idx="478">
                  <c:v>139424.9</c:v>
                </c:pt>
                <c:pt idx="479">
                  <c:v>139499.92000000001</c:v>
                </c:pt>
                <c:pt idx="480">
                  <c:v>139584.9</c:v>
                </c:pt>
                <c:pt idx="481">
                  <c:v>139599.92000000001</c:v>
                </c:pt>
                <c:pt idx="482">
                  <c:v>139699.92000000001</c:v>
                </c:pt>
                <c:pt idx="483">
                  <c:v>139799.92000000001</c:v>
                </c:pt>
                <c:pt idx="484">
                  <c:v>139899.92000000001</c:v>
                </c:pt>
                <c:pt idx="485">
                  <c:v>139999.92000000001</c:v>
                </c:pt>
                <c:pt idx="486">
                  <c:v>140099.92000000001</c:v>
                </c:pt>
                <c:pt idx="487">
                  <c:v>140199.92000000001</c:v>
                </c:pt>
                <c:pt idx="488">
                  <c:v>140299.92000000001</c:v>
                </c:pt>
                <c:pt idx="489">
                  <c:v>140399.92000000001</c:v>
                </c:pt>
                <c:pt idx="490">
                  <c:v>140499.92000000001</c:v>
                </c:pt>
                <c:pt idx="491">
                  <c:v>140599.92000000001</c:v>
                </c:pt>
                <c:pt idx="492">
                  <c:v>140699.92000000001</c:v>
                </c:pt>
                <c:pt idx="493">
                  <c:v>140799.92000000001</c:v>
                </c:pt>
                <c:pt idx="494">
                  <c:v>140899.92000000001</c:v>
                </c:pt>
                <c:pt idx="495">
                  <c:v>140999.92000000001</c:v>
                </c:pt>
                <c:pt idx="496">
                  <c:v>141099.92000000001</c:v>
                </c:pt>
                <c:pt idx="497">
                  <c:v>141199.92000000001</c:v>
                </c:pt>
                <c:pt idx="498">
                  <c:v>141299.92000000001</c:v>
                </c:pt>
                <c:pt idx="499">
                  <c:v>141399.92000000001</c:v>
                </c:pt>
                <c:pt idx="500">
                  <c:v>141499.92000000001</c:v>
                </c:pt>
                <c:pt idx="501">
                  <c:v>141599.92000000001</c:v>
                </c:pt>
                <c:pt idx="502">
                  <c:v>141699.92000000001</c:v>
                </c:pt>
                <c:pt idx="503">
                  <c:v>141799.92000000001</c:v>
                </c:pt>
                <c:pt idx="504">
                  <c:v>141899.92000000001</c:v>
                </c:pt>
                <c:pt idx="505">
                  <c:v>141999.92000000001</c:v>
                </c:pt>
                <c:pt idx="506">
                  <c:v>142099.92000000001</c:v>
                </c:pt>
                <c:pt idx="507">
                  <c:v>142199.92000000001</c:v>
                </c:pt>
                <c:pt idx="508">
                  <c:v>142299.92000000001</c:v>
                </c:pt>
                <c:pt idx="509">
                  <c:v>142399.92000000001</c:v>
                </c:pt>
                <c:pt idx="510">
                  <c:v>142427</c:v>
                </c:pt>
                <c:pt idx="511">
                  <c:v>142499.92000000001</c:v>
                </c:pt>
                <c:pt idx="512">
                  <c:v>142507</c:v>
                </c:pt>
                <c:pt idx="513">
                  <c:v>142599.92000000001</c:v>
                </c:pt>
                <c:pt idx="514">
                  <c:v>142699.92000000001</c:v>
                </c:pt>
                <c:pt idx="515">
                  <c:v>142799.92000000001</c:v>
                </c:pt>
                <c:pt idx="516">
                  <c:v>142899.92000000001</c:v>
                </c:pt>
                <c:pt idx="517">
                  <c:v>142999.92000000001</c:v>
                </c:pt>
                <c:pt idx="518">
                  <c:v>143099.92000000001</c:v>
                </c:pt>
                <c:pt idx="519">
                  <c:v>143199.92000000001</c:v>
                </c:pt>
                <c:pt idx="520">
                  <c:v>143299.92000000001</c:v>
                </c:pt>
                <c:pt idx="521">
                  <c:v>143399.92000000001</c:v>
                </c:pt>
                <c:pt idx="522">
                  <c:v>143499.92000000001</c:v>
                </c:pt>
                <c:pt idx="523">
                  <c:v>143599.92000000001</c:v>
                </c:pt>
                <c:pt idx="524">
                  <c:v>143699.92000000001</c:v>
                </c:pt>
                <c:pt idx="525">
                  <c:v>143799.92000000001</c:v>
                </c:pt>
                <c:pt idx="526">
                  <c:v>143899.92000000001</c:v>
                </c:pt>
                <c:pt idx="527">
                  <c:v>143999.92000000001</c:v>
                </c:pt>
                <c:pt idx="528">
                  <c:v>144099.92000000001</c:v>
                </c:pt>
                <c:pt idx="529">
                  <c:v>144199.92000000001</c:v>
                </c:pt>
                <c:pt idx="530">
                  <c:v>144299.92000000001</c:v>
                </c:pt>
                <c:pt idx="531">
                  <c:v>144399.92000000001</c:v>
                </c:pt>
                <c:pt idx="532">
                  <c:v>144478.29999999999</c:v>
                </c:pt>
                <c:pt idx="533">
                  <c:v>144499.92000000001</c:v>
                </c:pt>
                <c:pt idx="534">
                  <c:v>144558.29999999999</c:v>
                </c:pt>
                <c:pt idx="535">
                  <c:v>144599.92000000001</c:v>
                </c:pt>
                <c:pt idx="536">
                  <c:v>144699.92000000001</c:v>
                </c:pt>
                <c:pt idx="537">
                  <c:v>144799.92000000001</c:v>
                </c:pt>
                <c:pt idx="538">
                  <c:v>144899.92000000001</c:v>
                </c:pt>
                <c:pt idx="539">
                  <c:v>144999.92000000001</c:v>
                </c:pt>
                <c:pt idx="540">
                  <c:v>145099.92000000001</c:v>
                </c:pt>
                <c:pt idx="541">
                  <c:v>145199.92000000001</c:v>
                </c:pt>
                <c:pt idx="542">
                  <c:v>145299.92000000001</c:v>
                </c:pt>
                <c:pt idx="543">
                  <c:v>145399.92000000001</c:v>
                </c:pt>
                <c:pt idx="544">
                  <c:v>145499.92000000001</c:v>
                </c:pt>
                <c:pt idx="545">
                  <c:v>145599.92000000001</c:v>
                </c:pt>
                <c:pt idx="546">
                  <c:v>145699.92000000001</c:v>
                </c:pt>
                <c:pt idx="547">
                  <c:v>145799.92000000001</c:v>
                </c:pt>
                <c:pt idx="548">
                  <c:v>145899.92000000001</c:v>
                </c:pt>
                <c:pt idx="549">
                  <c:v>145999.92000000001</c:v>
                </c:pt>
                <c:pt idx="550">
                  <c:v>146099.92000000001</c:v>
                </c:pt>
                <c:pt idx="551">
                  <c:v>146199.92000000001</c:v>
                </c:pt>
                <c:pt idx="552">
                  <c:v>146262.29999999999</c:v>
                </c:pt>
                <c:pt idx="553">
                  <c:v>146299.92000000001</c:v>
                </c:pt>
                <c:pt idx="554">
                  <c:v>146342.29999999999</c:v>
                </c:pt>
                <c:pt idx="555">
                  <c:v>146399.92000000001</c:v>
                </c:pt>
                <c:pt idx="556">
                  <c:v>146499.92000000001</c:v>
                </c:pt>
                <c:pt idx="557">
                  <c:v>146599.92000000001</c:v>
                </c:pt>
                <c:pt idx="558">
                  <c:v>146699.92000000001</c:v>
                </c:pt>
                <c:pt idx="559">
                  <c:v>146799.92000000001</c:v>
                </c:pt>
                <c:pt idx="560">
                  <c:v>146899.92000000001</c:v>
                </c:pt>
                <c:pt idx="561">
                  <c:v>146999.92000000001</c:v>
                </c:pt>
                <c:pt idx="562">
                  <c:v>147099.92000000001</c:v>
                </c:pt>
                <c:pt idx="563">
                  <c:v>147199.92000000001</c:v>
                </c:pt>
                <c:pt idx="564">
                  <c:v>147299.92000000001</c:v>
                </c:pt>
                <c:pt idx="565">
                  <c:v>147399.92000000001</c:v>
                </c:pt>
                <c:pt idx="566">
                  <c:v>147499.92000000001</c:v>
                </c:pt>
                <c:pt idx="567">
                  <c:v>147599.92000000001</c:v>
                </c:pt>
                <c:pt idx="568">
                  <c:v>147699.92000000001</c:v>
                </c:pt>
                <c:pt idx="569">
                  <c:v>147799.92000000001</c:v>
                </c:pt>
                <c:pt idx="570">
                  <c:v>147899.92000000001</c:v>
                </c:pt>
                <c:pt idx="571">
                  <c:v>147999.92000000001</c:v>
                </c:pt>
                <c:pt idx="572">
                  <c:v>148099.92000000001</c:v>
                </c:pt>
                <c:pt idx="573">
                  <c:v>148199.92000000001</c:v>
                </c:pt>
                <c:pt idx="574">
                  <c:v>148299.92000000001</c:v>
                </c:pt>
                <c:pt idx="575">
                  <c:v>148399.92000000001</c:v>
                </c:pt>
                <c:pt idx="576">
                  <c:v>148499.92000000001</c:v>
                </c:pt>
                <c:pt idx="577">
                  <c:v>148599.92000000001</c:v>
                </c:pt>
                <c:pt idx="578">
                  <c:v>148699.92000000001</c:v>
                </c:pt>
                <c:pt idx="579">
                  <c:v>148799.92000000001</c:v>
                </c:pt>
                <c:pt idx="580">
                  <c:v>148899.92000000001</c:v>
                </c:pt>
                <c:pt idx="581">
                  <c:v>148999.92000000001</c:v>
                </c:pt>
                <c:pt idx="582">
                  <c:v>149099.92000000001</c:v>
                </c:pt>
                <c:pt idx="583">
                  <c:v>149199.92000000001</c:v>
                </c:pt>
                <c:pt idx="584">
                  <c:v>149299.92000000001</c:v>
                </c:pt>
                <c:pt idx="585">
                  <c:v>149399.92000000001</c:v>
                </c:pt>
                <c:pt idx="586">
                  <c:v>149499.92000000001</c:v>
                </c:pt>
                <c:pt idx="587">
                  <c:v>149599.92000000001</c:v>
                </c:pt>
                <c:pt idx="588">
                  <c:v>149699.92000000001</c:v>
                </c:pt>
                <c:pt idx="589">
                  <c:v>149799.92000000001</c:v>
                </c:pt>
                <c:pt idx="590">
                  <c:v>149899.92000000001</c:v>
                </c:pt>
                <c:pt idx="591">
                  <c:v>149999.92000000001</c:v>
                </c:pt>
                <c:pt idx="592">
                  <c:v>150099.92000000001</c:v>
                </c:pt>
                <c:pt idx="593">
                  <c:v>150120.79999999999</c:v>
                </c:pt>
                <c:pt idx="594">
                  <c:v>150199.92000000001</c:v>
                </c:pt>
                <c:pt idx="595">
                  <c:v>150240.79999999999</c:v>
                </c:pt>
                <c:pt idx="596">
                  <c:v>150299.92000000001</c:v>
                </c:pt>
                <c:pt idx="597">
                  <c:v>150399.92000000001</c:v>
                </c:pt>
                <c:pt idx="598">
                  <c:v>150499.92000000001</c:v>
                </c:pt>
                <c:pt idx="599">
                  <c:v>150599.92000000001</c:v>
                </c:pt>
                <c:pt idx="600">
                  <c:v>150699.92000000001</c:v>
                </c:pt>
                <c:pt idx="601">
                  <c:v>150799.92000000001</c:v>
                </c:pt>
                <c:pt idx="602">
                  <c:v>150899.92000000001</c:v>
                </c:pt>
                <c:pt idx="603">
                  <c:v>150999.92000000001</c:v>
                </c:pt>
                <c:pt idx="604">
                  <c:v>151099.92000000001</c:v>
                </c:pt>
                <c:pt idx="605">
                  <c:v>151199.92000000001</c:v>
                </c:pt>
                <c:pt idx="606">
                  <c:v>151299.92000000001</c:v>
                </c:pt>
                <c:pt idx="607">
                  <c:v>151399.92000000001</c:v>
                </c:pt>
                <c:pt idx="608">
                  <c:v>151499.92000000001</c:v>
                </c:pt>
                <c:pt idx="609">
                  <c:v>151599.92000000001</c:v>
                </c:pt>
                <c:pt idx="610">
                  <c:v>151699.92000000001</c:v>
                </c:pt>
                <c:pt idx="611">
                  <c:v>151799.92000000001</c:v>
                </c:pt>
                <c:pt idx="612">
                  <c:v>151899.92000000001</c:v>
                </c:pt>
                <c:pt idx="613">
                  <c:v>151999.92000000001</c:v>
                </c:pt>
                <c:pt idx="614">
                  <c:v>152099.92000000001</c:v>
                </c:pt>
                <c:pt idx="615">
                  <c:v>152199.92000000001</c:v>
                </c:pt>
                <c:pt idx="616">
                  <c:v>152299.92000000001</c:v>
                </c:pt>
                <c:pt idx="617">
                  <c:v>152399.92000000001</c:v>
                </c:pt>
                <c:pt idx="618">
                  <c:v>152499.92000000001</c:v>
                </c:pt>
                <c:pt idx="619">
                  <c:v>152599.92000000001</c:v>
                </c:pt>
                <c:pt idx="620">
                  <c:v>152699.92000000001</c:v>
                </c:pt>
                <c:pt idx="621">
                  <c:v>152799.92000000001</c:v>
                </c:pt>
                <c:pt idx="622">
                  <c:v>152899.92000000001</c:v>
                </c:pt>
                <c:pt idx="623">
                  <c:v>152999.92000000001</c:v>
                </c:pt>
                <c:pt idx="624">
                  <c:v>153099.92000000001</c:v>
                </c:pt>
                <c:pt idx="625">
                  <c:v>153199.92000000001</c:v>
                </c:pt>
                <c:pt idx="626">
                  <c:v>153299.92000000001</c:v>
                </c:pt>
                <c:pt idx="627">
                  <c:v>153399.92000000001</c:v>
                </c:pt>
                <c:pt idx="628">
                  <c:v>153499.92000000001</c:v>
                </c:pt>
                <c:pt idx="629">
                  <c:v>153599.92000000001</c:v>
                </c:pt>
                <c:pt idx="630">
                  <c:v>153699.92000000001</c:v>
                </c:pt>
                <c:pt idx="631">
                  <c:v>153799.92000000001</c:v>
                </c:pt>
                <c:pt idx="632">
                  <c:v>153859</c:v>
                </c:pt>
                <c:pt idx="633">
                  <c:v>153899.92000000001</c:v>
                </c:pt>
                <c:pt idx="634">
                  <c:v>153999.92000000001</c:v>
                </c:pt>
                <c:pt idx="635">
                  <c:v>154099.92000000001</c:v>
                </c:pt>
                <c:pt idx="636">
                  <c:v>154199.92000000001</c:v>
                </c:pt>
                <c:pt idx="637">
                  <c:v>154299.92000000001</c:v>
                </c:pt>
                <c:pt idx="638">
                  <c:v>154399.92000000001</c:v>
                </c:pt>
                <c:pt idx="639">
                  <c:v>154499.92000000001</c:v>
                </c:pt>
                <c:pt idx="640">
                  <c:v>154599.92000000001</c:v>
                </c:pt>
                <c:pt idx="641">
                  <c:v>154699.92000000001</c:v>
                </c:pt>
                <c:pt idx="642">
                  <c:v>154799.92000000001</c:v>
                </c:pt>
                <c:pt idx="643">
                  <c:v>154899.92000000001</c:v>
                </c:pt>
                <c:pt idx="644">
                  <c:v>154999.92000000001</c:v>
                </c:pt>
                <c:pt idx="645">
                  <c:v>155099.92000000001</c:v>
                </c:pt>
                <c:pt idx="646">
                  <c:v>155199.92000000001</c:v>
                </c:pt>
                <c:pt idx="647">
                  <c:v>155299.92000000001</c:v>
                </c:pt>
                <c:pt idx="648">
                  <c:v>155399.92000000001</c:v>
                </c:pt>
                <c:pt idx="649">
                  <c:v>155499.92000000001</c:v>
                </c:pt>
                <c:pt idx="650">
                  <c:v>155569</c:v>
                </c:pt>
                <c:pt idx="651">
                  <c:v>155599.92000000001</c:v>
                </c:pt>
                <c:pt idx="652">
                  <c:v>155699.92000000001</c:v>
                </c:pt>
                <c:pt idx="653">
                  <c:v>155799.92000000001</c:v>
                </c:pt>
                <c:pt idx="654">
                  <c:v>155899.92000000001</c:v>
                </c:pt>
                <c:pt idx="655">
                  <c:v>155999.92000000001</c:v>
                </c:pt>
                <c:pt idx="656">
                  <c:v>156099.92000000001</c:v>
                </c:pt>
                <c:pt idx="657">
                  <c:v>156199.92000000001</c:v>
                </c:pt>
                <c:pt idx="658">
                  <c:v>156299.92000000001</c:v>
                </c:pt>
                <c:pt idx="659">
                  <c:v>156399.92000000001</c:v>
                </c:pt>
                <c:pt idx="660">
                  <c:v>156499.92000000001</c:v>
                </c:pt>
                <c:pt idx="661">
                  <c:v>156599.92000000001</c:v>
                </c:pt>
                <c:pt idx="662">
                  <c:v>156699.92000000001</c:v>
                </c:pt>
                <c:pt idx="663">
                  <c:v>156799.92000000001</c:v>
                </c:pt>
                <c:pt idx="664">
                  <c:v>156899.92000000001</c:v>
                </c:pt>
                <c:pt idx="665">
                  <c:v>156999.92000000001</c:v>
                </c:pt>
                <c:pt idx="666">
                  <c:v>157099.92000000001</c:v>
                </c:pt>
                <c:pt idx="667">
                  <c:v>157199.92000000001</c:v>
                </c:pt>
                <c:pt idx="668">
                  <c:v>157299.92000000001</c:v>
                </c:pt>
                <c:pt idx="669">
                  <c:v>157399.92000000001</c:v>
                </c:pt>
                <c:pt idx="670">
                  <c:v>157499.92000000001</c:v>
                </c:pt>
                <c:pt idx="671">
                  <c:v>157599.92000000001</c:v>
                </c:pt>
                <c:pt idx="672">
                  <c:v>157699.92000000001</c:v>
                </c:pt>
                <c:pt idx="673">
                  <c:v>157799.92000000001</c:v>
                </c:pt>
                <c:pt idx="674">
                  <c:v>157899.92000000001</c:v>
                </c:pt>
                <c:pt idx="675">
                  <c:v>157999.92000000001</c:v>
                </c:pt>
                <c:pt idx="676">
                  <c:v>158099.92000000001</c:v>
                </c:pt>
                <c:pt idx="677">
                  <c:v>158199.92000000001</c:v>
                </c:pt>
                <c:pt idx="678">
                  <c:v>158299.92000000001</c:v>
                </c:pt>
                <c:pt idx="679">
                  <c:v>158399.92000000001</c:v>
                </c:pt>
                <c:pt idx="680">
                  <c:v>158499.92000000001</c:v>
                </c:pt>
                <c:pt idx="681">
                  <c:v>158599.92000000001</c:v>
                </c:pt>
                <c:pt idx="682">
                  <c:v>158699.92000000001</c:v>
                </c:pt>
                <c:pt idx="683">
                  <c:v>158737.4</c:v>
                </c:pt>
                <c:pt idx="684">
                  <c:v>158799.92000000001</c:v>
                </c:pt>
                <c:pt idx="685">
                  <c:v>158897.4</c:v>
                </c:pt>
                <c:pt idx="686">
                  <c:v>158899.92000000001</c:v>
                </c:pt>
                <c:pt idx="687">
                  <c:v>158999.92000000001</c:v>
                </c:pt>
                <c:pt idx="688">
                  <c:v>159099.92000000001</c:v>
                </c:pt>
                <c:pt idx="689">
                  <c:v>159199.92000000001</c:v>
                </c:pt>
                <c:pt idx="690">
                  <c:v>159299.92000000001</c:v>
                </c:pt>
                <c:pt idx="691">
                  <c:v>159399.92000000001</c:v>
                </c:pt>
                <c:pt idx="692">
                  <c:v>159499.92000000001</c:v>
                </c:pt>
                <c:pt idx="693">
                  <c:v>159523.79999999999</c:v>
                </c:pt>
                <c:pt idx="694">
                  <c:v>159599.92000000001</c:v>
                </c:pt>
                <c:pt idx="695">
                  <c:v>159643.79999999999</c:v>
                </c:pt>
                <c:pt idx="696">
                  <c:v>159699.92000000001</c:v>
                </c:pt>
                <c:pt idx="697">
                  <c:v>159799.92000000001</c:v>
                </c:pt>
                <c:pt idx="698">
                  <c:v>159899.92000000001</c:v>
                </c:pt>
                <c:pt idx="699">
                  <c:v>159999.92000000001</c:v>
                </c:pt>
                <c:pt idx="700">
                  <c:v>160099.92000000001</c:v>
                </c:pt>
                <c:pt idx="701">
                  <c:v>160199.92000000001</c:v>
                </c:pt>
                <c:pt idx="702">
                  <c:v>160299.92000000001</c:v>
                </c:pt>
                <c:pt idx="703">
                  <c:v>160399.92000000001</c:v>
                </c:pt>
                <c:pt idx="704">
                  <c:v>160499.92000000001</c:v>
                </c:pt>
                <c:pt idx="705">
                  <c:v>160599.92000000001</c:v>
                </c:pt>
                <c:pt idx="706">
                  <c:v>160699.92000000001</c:v>
                </c:pt>
                <c:pt idx="707">
                  <c:v>160799.92000000001</c:v>
                </c:pt>
                <c:pt idx="708">
                  <c:v>160899.92000000001</c:v>
                </c:pt>
                <c:pt idx="709">
                  <c:v>160999.92000000001</c:v>
                </c:pt>
                <c:pt idx="710">
                  <c:v>161099.92000000001</c:v>
                </c:pt>
                <c:pt idx="711">
                  <c:v>161199.92000000001</c:v>
                </c:pt>
                <c:pt idx="712">
                  <c:v>161299.92000000001</c:v>
                </c:pt>
                <c:pt idx="713">
                  <c:v>161399.92000000001</c:v>
                </c:pt>
                <c:pt idx="714">
                  <c:v>161499.92000000001</c:v>
                </c:pt>
                <c:pt idx="715">
                  <c:v>161599.92000000001</c:v>
                </c:pt>
                <c:pt idx="716">
                  <c:v>161699.92000000001</c:v>
                </c:pt>
                <c:pt idx="717">
                  <c:v>161799.92000000001</c:v>
                </c:pt>
                <c:pt idx="718">
                  <c:v>161899.92000000001</c:v>
                </c:pt>
                <c:pt idx="719">
                  <c:v>161999.92000000001</c:v>
                </c:pt>
                <c:pt idx="720">
                  <c:v>162099.92000000001</c:v>
                </c:pt>
                <c:pt idx="721">
                  <c:v>162199.92000000001</c:v>
                </c:pt>
                <c:pt idx="722">
                  <c:v>162299.92000000001</c:v>
                </c:pt>
                <c:pt idx="723">
                  <c:v>162399.92000000001</c:v>
                </c:pt>
                <c:pt idx="724">
                  <c:v>162499.92000000001</c:v>
                </c:pt>
                <c:pt idx="725">
                  <c:v>162599.92000000001</c:v>
                </c:pt>
                <c:pt idx="726">
                  <c:v>162699.92000000001</c:v>
                </c:pt>
                <c:pt idx="727">
                  <c:v>162799.92000000001</c:v>
                </c:pt>
                <c:pt idx="728">
                  <c:v>162899.92000000001</c:v>
                </c:pt>
                <c:pt idx="729">
                  <c:v>162999.92000000001</c:v>
                </c:pt>
                <c:pt idx="730">
                  <c:v>163099.92000000001</c:v>
                </c:pt>
                <c:pt idx="731">
                  <c:v>163199.92000000001</c:v>
                </c:pt>
                <c:pt idx="732">
                  <c:v>163299.92000000001</c:v>
                </c:pt>
                <c:pt idx="733">
                  <c:v>163399.92000000001</c:v>
                </c:pt>
                <c:pt idx="734">
                  <c:v>163499.92000000001</c:v>
                </c:pt>
                <c:pt idx="735">
                  <c:v>163599.92000000001</c:v>
                </c:pt>
                <c:pt idx="736">
                  <c:v>163699.92000000001</c:v>
                </c:pt>
                <c:pt idx="737">
                  <c:v>163799.92000000001</c:v>
                </c:pt>
                <c:pt idx="738">
                  <c:v>163899.92000000001</c:v>
                </c:pt>
                <c:pt idx="739">
                  <c:v>163999.92000000001</c:v>
                </c:pt>
                <c:pt idx="740">
                  <c:v>164099.92000000001</c:v>
                </c:pt>
                <c:pt idx="741">
                  <c:v>164199.92000000001</c:v>
                </c:pt>
                <c:pt idx="742">
                  <c:v>164299.92000000001</c:v>
                </c:pt>
                <c:pt idx="743">
                  <c:v>164399.92000000001</c:v>
                </c:pt>
                <c:pt idx="744">
                  <c:v>164499.92000000001</c:v>
                </c:pt>
                <c:pt idx="745">
                  <c:v>164599.92000000001</c:v>
                </c:pt>
                <c:pt idx="746">
                  <c:v>164699.92000000001</c:v>
                </c:pt>
                <c:pt idx="747">
                  <c:v>164799.92000000001</c:v>
                </c:pt>
                <c:pt idx="748">
                  <c:v>164899.92000000001</c:v>
                </c:pt>
                <c:pt idx="749">
                  <c:v>164999.92000000001</c:v>
                </c:pt>
                <c:pt idx="750">
                  <c:v>165099.92000000001</c:v>
                </c:pt>
                <c:pt idx="751">
                  <c:v>165199.92000000001</c:v>
                </c:pt>
                <c:pt idx="752">
                  <c:v>165257.4</c:v>
                </c:pt>
                <c:pt idx="753">
                  <c:v>165299.92000000001</c:v>
                </c:pt>
                <c:pt idx="754">
                  <c:v>165399.92000000001</c:v>
                </c:pt>
                <c:pt idx="755">
                  <c:v>165457.4</c:v>
                </c:pt>
                <c:pt idx="756">
                  <c:v>165499.92000000001</c:v>
                </c:pt>
                <c:pt idx="757">
                  <c:v>165599.92000000001</c:v>
                </c:pt>
                <c:pt idx="758">
                  <c:v>165699.92000000001</c:v>
                </c:pt>
                <c:pt idx="759">
                  <c:v>165799.92000000001</c:v>
                </c:pt>
                <c:pt idx="760">
                  <c:v>165899.92000000001</c:v>
                </c:pt>
                <c:pt idx="761">
                  <c:v>165999.92000000001</c:v>
                </c:pt>
                <c:pt idx="762">
                  <c:v>166099.92000000001</c:v>
                </c:pt>
                <c:pt idx="763">
                  <c:v>166199.92000000001</c:v>
                </c:pt>
                <c:pt idx="764">
                  <c:v>166299.92000000001</c:v>
                </c:pt>
                <c:pt idx="765">
                  <c:v>166399.92000000001</c:v>
                </c:pt>
                <c:pt idx="766">
                  <c:v>166499.92000000001</c:v>
                </c:pt>
                <c:pt idx="767">
                  <c:v>166599.92000000001</c:v>
                </c:pt>
                <c:pt idx="768">
                  <c:v>166699.92000000001</c:v>
                </c:pt>
                <c:pt idx="769">
                  <c:v>166799.92000000001</c:v>
                </c:pt>
                <c:pt idx="770">
                  <c:v>166899.92000000001</c:v>
                </c:pt>
                <c:pt idx="771">
                  <c:v>166999.92000000001</c:v>
                </c:pt>
                <c:pt idx="772">
                  <c:v>167099.92000000001</c:v>
                </c:pt>
                <c:pt idx="773">
                  <c:v>167199.92000000001</c:v>
                </c:pt>
                <c:pt idx="774">
                  <c:v>167299.92000000001</c:v>
                </c:pt>
                <c:pt idx="775">
                  <c:v>167399.92000000001</c:v>
                </c:pt>
                <c:pt idx="776">
                  <c:v>167499.92000000001</c:v>
                </c:pt>
                <c:pt idx="777">
                  <c:v>167599.92000000001</c:v>
                </c:pt>
                <c:pt idx="778">
                  <c:v>167699.92000000001</c:v>
                </c:pt>
                <c:pt idx="779">
                  <c:v>167799.92</c:v>
                </c:pt>
                <c:pt idx="780">
                  <c:v>167899.92</c:v>
                </c:pt>
                <c:pt idx="781">
                  <c:v>167947</c:v>
                </c:pt>
                <c:pt idx="782">
                  <c:v>167999.92</c:v>
                </c:pt>
                <c:pt idx="783">
                  <c:v>168022</c:v>
                </c:pt>
                <c:pt idx="784">
                  <c:v>168099.92</c:v>
                </c:pt>
                <c:pt idx="785">
                  <c:v>168199.92</c:v>
                </c:pt>
                <c:pt idx="786">
                  <c:v>168244.4</c:v>
                </c:pt>
                <c:pt idx="787">
                  <c:v>168299.92</c:v>
                </c:pt>
                <c:pt idx="788">
                  <c:v>168399.92</c:v>
                </c:pt>
                <c:pt idx="789">
                  <c:v>168499.92</c:v>
                </c:pt>
                <c:pt idx="790">
                  <c:v>168599.92</c:v>
                </c:pt>
                <c:pt idx="791">
                  <c:v>168624.4</c:v>
                </c:pt>
                <c:pt idx="792">
                  <c:v>168699.92</c:v>
                </c:pt>
                <c:pt idx="793">
                  <c:v>168799.92</c:v>
                </c:pt>
                <c:pt idx="794">
                  <c:v>168899.92</c:v>
                </c:pt>
                <c:pt idx="795">
                  <c:v>168999.92</c:v>
                </c:pt>
                <c:pt idx="796">
                  <c:v>169099.92</c:v>
                </c:pt>
                <c:pt idx="797">
                  <c:v>169199.92</c:v>
                </c:pt>
                <c:pt idx="798">
                  <c:v>169299.92</c:v>
                </c:pt>
                <c:pt idx="799">
                  <c:v>169399.92</c:v>
                </c:pt>
                <c:pt idx="800">
                  <c:v>169499.92</c:v>
                </c:pt>
                <c:pt idx="801">
                  <c:v>169599.92</c:v>
                </c:pt>
                <c:pt idx="802">
                  <c:v>169699.92</c:v>
                </c:pt>
                <c:pt idx="803">
                  <c:v>169799.92</c:v>
                </c:pt>
                <c:pt idx="804">
                  <c:v>169899.92</c:v>
                </c:pt>
                <c:pt idx="805">
                  <c:v>169999.92</c:v>
                </c:pt>
                <c:pt idx="806">
                  <c:v>170099.92</c:v>
                </c:pt>
                <c:pt idx="807">
                  <c:v>170199.92</c:v>
                </c:pt>
                <c:pt idx="808">
                  <c:v>170299.92</c:v>
                </c:pt>
                <c:pt idx="809">
                  <c:v>170399.92</c:v>
                </c:pt>
                <c:pt idx="810">
                  <c:v>170499.92</c:v>
                </c:pt>
                <c:pt idx="811">
                  <c:v>170599.92</c:v>
                </c:pt>
                <c:pt idx="812">
                  <c:v>170699.92</c:v>
                </c:pt>
                <c:pt idx="813">
                  <c:v>170799.92</c:v>
                </c:pt>
                <c:pt idx="814">
                  <c:v>170899.92</c:v>
                </c:pt>
                <c:pt idx="815">
                  <c:v>170999.92</c:v>
                </c:pt>
                <c:pt idx="816">
                  <c:v>171099.92</c:v>
                </c:pt>
                <c:pt idx="817">
                  <c:v>171199.92</c:v>
                </c:pt>
                <c:pt idx="818">
                  <c:v>171299.92</c:v>
                </c:pt>
                <c:pt idx="819">
                  <c:v>171399.92</c:v>
                </c:pt>
                <c:pt idx="820">
                  <c:v>171499.92</c:v>
                </c:pt>
                <c:pt idx="821">
                  <c:v>171599.92</c:v>
                </c:pt>
                <c:pt idx="822">
                  <c:v>171699.92</c:v>
                </c:pt>
                <c:pt idx="823">
                  <c:v>171799.92</c:v>
                </c:pt>
                <c:pt idx="824">
                  <c:v>171899.92</c:v>
                </c:pt>
                <c:pt idx="825">
                  <c:v>171999.92</c:v>
                </c:pt>
                <c:pt idx="826">
                  <c:v>172099.92</c:v>
                </c:pt>
                <c:pt idx="827">
                  <c:v>172199.92</c:v>
                </c:pt>
                <c:pt idx="828">
                  <c:v>172299.92</c:v>
                </c:pt>
                <c:pt idx="829">
                  <c:v>172399.92</c:v>
                </c:pt>
                <c:pt idx="830">
                  <c:v>172499.92</c:v>
                </c:pt>
                <c:pt idx="831">
                  <c:v>172599.92</c:v>
                </c:pt>
                <c:pt idx="832">
                  <c:v>172699.92</c:v>
                </c:pt>
                <c:pt idx="833">
                  <c:v>172799.92</c:v>
                </c:pt>
                <c:pt idx="834">
                  <c:v>172899.92</c:v>
                </c:pt>
                <c:pt idx="835">
                  <c:v>172999.92</c:v>
                </c:pt>
                <c:pt idx="836">
                  <c:v>173099.92</c:v>
                </c:pt>
                <c:pt idx="837">
                  <c:v>173199.92</c:v>
                </c:pt>
                <c:pt idx="838">
                  <c:v>173299.92</c:v>
                </c:pt>
                <c:pt idx="839">
                  <c:v>173399.92</c:v>
                </c:pt>
                <c:pt idx="840">
                  <c:v>173499.92</c:v>
                </c:pt>
                <c:pt idx="841">
                  <c:v>173599.92</c:v>
                </c:pt>
                <c:pt idx="842">
                  <c:v>173699.92</c:v>
                </c:pt>
                <c:pt idx="843">
                  <c:v>173799.92</c:v>
                </c:pt>
                <c:pt idx="844">
                  <c:v>173899.92</c:v>
                </c:pt>
                <c:pt idx="845">
                  <c:v>173999.92</c:v>
                </c:pt>
                <c:pt idx="846">
                  <c:v>174099.92</c:v>
                </c:pt>
                <c:pt idx="847">
                  <c:v>174199.92</c:v>
                </c:pt>
                <c:pt idx="848">
                  <c:v>174233.5</c:v>
                </c:pt>
                <c:pt idx="849">
                  <c:v>174299.92</c:v>
                </c:pt>
                <c:pt idx="850">
                  <c:v>174313.5</c:v>
                </c:pt>
                <c:pt idx="851">
                  <c:v>174399.92</c:v>
                </c:pt>
                <c:pt idx="852">
                  <c:v>174499.92</c:v>
                </c:pt>
                <c:pt idx="853">
                  <c:v>174599.92</c:v>
                </c:pt>
                <c:pt idx="854">
                  <c:v>174699.92</c:v>
                </c:pt>
                <c:pt idx="855">
                  <c:v>174799.92</c:v>
                </c:pt>
                <c:pt idx="856">
                  <c:v>174899.92</c:v>
                </c:pt>
                <c:pt idx="857">
                  <c:v>174999.92</c:v>
                </c:pt>
                <c:pt idx="858">
                  <c:v>175099.92</c:v>
                </c:pt>
                <c:pt idx="859">
                  <c:v>175199.92</c:v>
                </c:pt>
                <c:pt idx="860">
                  <c:v>175299.92</c:v>
                </c:pt>
                <c:pt idx="861">
                  <c:v>175399.92</c:v>
                </c:pt>
                <c:pt idx="862">
                  <c:v>175499.92</c:v>
                </c:pt>
                <c:pt idx="863">
                  <c:v>175599.92</c:v>
                </c:pt>
                <c:pt idx="864">
                  <c:v>175699.92</c:v>
                </c:pt>
                <c:pt idx="865">
                  <c:v>175799.92</c:v>
                </c:pt>
                <c:pt idx="866">
                  <c:v>175899.92</c:v>
                </c:pt>
                <c:pt idx="867">
                  <c:v>175999.92</c:v>
                </c:pt>
                <c:pt idx="868">
                  <c:v>176099.92</c:v>
                </c:pt>
                <c:pt idx="869">
                  <c:v>176199.92</c:v>
                </c:pt>
                <c:pt idx="870">
                  <c:v>176299.92</c:v>
                </c:pt>
                <c:pt idx="871">
                  <c:v>176399.92</c:v>
                </c:pt>
                <c:pt idx="872">
                  <c:v>176499.92</c:v>
                </c:pt>
                <c:pt idx="873">
                  <c:v>176599.92</c:v>
                </c:pt>
                <c:pt idx="874">
                  <c:v>176699.92</c:v>
                </c:pt>
                <c:pt idx="875">
                  <c:v>176714</c:v>
                </c:pt>
                <c:pt idx="876">
                  <c:v>176794</c:v>
                </c:pt>
                <c:pt idx="877">
                  <c:v>176799.92</c:v>
                </c:pt>
                <c:pt idx="878">
                  <c:v>176899.92</c:v>
                </c:pt>
                <c:pt idx="879">
                  <c:v>176999.92</c:v>
                </c:pt>
                <c:pt idx="880">
                  <c:v>177099.92</c:v>
                </c:pt>
                <c:pt idx="881">
                  <c:v>177199.92</c:v>
                </c:pt>
                <c:pt idx="882">
                  <c:v>177299.92</c:v>
                </c:pt>
                <c:pt idx="883">
                  <c:v>177399.92</c:v>
                </c:pt>
                <c:pt idx="884">
                  <c:v>177499.92</c:v>
                </c:pt>
                <c:pt idx="885">
                  <c:v>177599.92</c:v>
                </c:pt>
                <c:pt idx="886">
                  <c:v>177699.92</c:v>
                </c:pt>
                <c:pt idx="887">
                  <c:v>177799.92</c:v>
                </c:pt>
                <c:pt idx="888">
                  <c:v>177899.92</c:v>
                </c:pt>
                <c:pt idx="889">
                  <c:v>177999.92</c:v>
                </c:pt>
                <c:pt idx="890">
                  <c:v>178099.92</c:v>
                </c:pt>
                <c:pt idx="891">
                  <c:v>178199.92</c:v>
                </c:pt>
                <c:pt idx="892">
                  <c:v>178299.92</c:v>
                </c:pt>
                <c:pt idx="893">
                  <c:v>178399.92</c:v>
                </c:pt>
                <c:pt idx="894">
                  <c:v>178499.92</c:v>
                </c:pt>
                <c:pt idx="895">
                  <c:v>178599.92</c:v>
                </c:pt>
                <c:pt idx="896">
                  <c:v>178699.92</c:v>
                </c:pt>
                <c:pt idx="897">
                  <c:v>178799.92</c:v>
                </c:pt>
                <c:pt idx="898">
                  <c:v>178864.3</c:v>
                </c:pt>
                <c:pt idx="899">
                  <c:v>178899.92</c:v>
                </c:pt>
                <c:pt idx="900">
                  <c:v>178999.92</c:v>
                </c:pt>
                <c:pt idx="901">
                  <c:v>179099.92</c:v>
                </c:pt>
                <c:pt idx="902">
                  <c:v>179104.3</c:v>
                </c:pt>
                <c:pt idx="903">
                  <c:v>179199.92</c:v>
                </c:pt>
                <c:pt idx="904">
                  <c:v>179299.92</c:v>
                </c:pt>
                <c:pt idx="905">
                  <c:v>179399.92</c:v>
                </c:pt>
                <c:pt idx="906">
                  <c:v>179499.92</c:v>
                </c:pt>
                <c:pt idx="907">
                  <c:v>179599.92</c:v>
                </c:pt>
                <c:pt idx="908">
                  <c:v>179699.92</c:v>
                </c:pt>
                <c:pt idx="909">
                  <c:v>179799.92</c:v>
                </c:pt>
                <c:pt idx="910">
                  <c:v>179899.92</c:v>
                </c:pt>
                <c:pt idx="911">
                  <c:v>179999.92</c:v>
                </c:pt>
                <c:pt idx="912">
                  <c:v>180099.92</c:v>
                </c:pt>
                <c:pt idx="913">
                  <c:v>180199.92</c:v>
                </c:pt>
                <c:pt idx="914">
                  <c:v>180299.92</c:v>
                </c:pt>
                <c:pt idx="915">
                  <c:v>180399.92</c:v>
                </c:pt>
                <c:pt idx="916">
                  <c:v>180499.92</c:v>
                </c:pt>
                <c:pt idx="917">
                  <c:v>180599.92</c:v>
                </c:pt>
                <c:pt idx="918">
                  <c:v>180699.92</c:v>
                </c:pt>
                <c:pt idx="919">
                  <c:v>180799.92</c:v>
                </c:pt>
                <c:pt idx="920">
                  <c:v>180899.92</c:v>
                </c:pt>
                <c:pt idx="921">
                  <c:v>180999.92</c:v>
                </c:pt>
                <c:pt idx="922">
                  <c:v>181099.92</c:v>
                </c:pt>
                <c:pt idx="923">
                  <c:v>181199.92</c:v>
                </c:pt>
                <c:pt idx="924">
                  <c:v>181299.92</c:v>
                </c:pt>
                <c:pt idx="925">
                  <c:v>181399.92</c:v>
                </c:pt>
                <c:pt idx="926">
                  <c:v>181499.92</c:v>
                </c:pt>
                <c:pt idx="927">
                  <c:v>181599.92</c:v>
                </c:pt>
                <c:pt idx="928">
                  <c:v>181699.92</c:v>
                </c:pt>
                <c:pt idx="929">
                  <c:v>181799.92</c:v>
                </c:pt>
                <c:pt idx="930">
                  <c:v>181899.92</c:v>
                </c:pt>
                <c:pt idx="931">
                  <c:v>181999.92</c:v>
                </c:pt>
                <c:pt idx="932">
                  <c:v>182099.92</c:v>
                </c:pt>
                <c:pt idx="933">
                  <c:v>182199.92</c:v>
                </c:pt>
                <c:pt idx="934">
                  <c:v>182250</c:v>
                </c:pt>
                <c:pt idx="935">
                  <c:v>182299.92</c:v>
                </c:pt>
                <c:pt idx="936">
                  <c:v>182399.92</c:v>
                </c:pt>
                <c:pt idx="937">
                  <c:v>182450</c:v>
                </c:pt>
                <c:pt idx="938">
                  <c:v>182499.92</c:v>
                </c:pt>
                <c:pt idx="939">
                  <c:v>182599.92</c:v>
                </c:pt>
                <c:pt idx="940">
                  <c:v>182699.92</c:v>
                </c:pt>
                <c:pt idx="941">
                  <c:v>182799.92</c:v>
                </c:pt>
                <c:pt idx="942">
                  <c:v>182899.92</c:v>
                </c:pt>
                <c:pt idx="943">
                  <c:v>182999.92</c:v>
                </c:pt>
                <c:pt idx="944">
                  <c:v>183099.92</c:v>
                </c:pt>
                <c:pt idx="945">
                  <c:v>183199.92</c:v>
                </c:pt>
                <c:pt idx="946">
                  <c:v>183299.92</c:v>
                </c:pt>
                <c:pt idx="947">
                  <c:v>183399.92</c:v>
                </c:pt>
                <c:pt idx="948">
                  <c:v>183499.92</c:v>
                </c:pt>
                <c:pt idx="949">
                  <c:v>183599.92</c:v>
                </c:pt>
                <c:pt idx="950">
                  <c:v>183699.92</c:v>
                </c:pt>
                <c:pt idx="951">
                  <c:v>183799.92</c:v>
                </c:pt>
                <c:pt idx="952">
                  <c:v>183899.92</c:v>
                </c:pt>
                <c:pt idx="953">
                  <c:v>183999.92</c:v>
                </c:pt>
                <c:pt idx="954">
                  <c:v>184099.92</c:v>
                </c:pt>
                <c:pt idx="955">
                  <c:v>184199.92</c:v>
                </c:pt>
                <c:pt idx="956">
                  <c:v>184299.92</c:v>
                </c:pt>
                <c:pt idx="957">
                  <c:v>184399.92</c:v>
                </c:pt>
                <c:pt idx="958">
                  <c:v>184499.92</c:v>
                </c:pt>
                <c:pt idx="959">
                  <c:v>184599.92</c:v>
                </c:pt>
                <c:pt idx="960">
                  <c:v>184699.92</c:v>
                </c:pt>
                <c:pt idx="961">
                  <c:v>184799.92</c:v>
                </c:pt>
                <c:pt idx="962">
                  <c:v>184899.92</c:v>
                </c:pt>
                <c:pt idx="963">
                  <c:v>184999.92</c:v>
                </c:pt>
                <c:pt idx="964">
                  <c:v>185099.92</c:v>
                </c:pt>
                <c:pt idx="965">
                  <c:v>185199.92</c:v>
                </c:pt>
                <c:pt idx="966">
                  <c:v>185299.92</c:v>
                </c:pt>
                <c:pt idx="967">
                  <c:v>185399.92</c:v>
                </c:pt>
                <c:pt idx="968">
                  <c:v>185499.92</c:v>
                </c:pt>
                <c:pt idx="969">
                  <c:v>185599.92</c:v>
                </c:pt>
                <c:pt idx="970">
                  <c:v>185699.92</c:v>
                </c:pt>
                <c:pt idx="971">
                  <c:v>185799.92</c:v>
                </c:pt>
                <c:pt idx="972">
                  <c:v>185899.92</c:v>
                </c:pt>
                <c:pt idx="973">
                  <c:v>185999.92</c:v>
                </c:pt>
                <c:pt idx="974">
                  <c:v>186099.92</c:v>
                </c:pt>
                <c:pt idx="975">
                  <c:v>186199.92</c:v>
                </c:pt>
                <c:pt idx="976">
                  <c:v>186299.92</c:v>
                </c:pt>
                <c:pt idx="977">
                  <c:v>186399.92</c:v>
                </c:pt>
                <c:pt idx="978">
                  <c:v>186499.92</c:v>
                </c:pt>
                <c:pt idx="979">
                  <c:v>186599.92</c:v>
                </c:pt>
                <c:pt idx="980">
                  <c:v>186699.92</c:v>
                </c:pt>
                <c:pt idx="981">
                  <c:v>186799.92</c:v>
                </c:pt>
                <c:pt idx="982">
                  <c:v>186876.3</c:v>
                </c:pt>
                <c:pt idx="983">
                  <c:v>186899.92</c:v>
                </c:pt>
                <c:pt idx="984">
                  <c:v>186996.3</c:v>
                </c:pt>
                <c:pt idx="985">
                  <c:v>186999.92</c:v>
                </c:pt>
                <c:pt idx="986">
                  <c:v>187099.92</c:v>
                </c:pt>
                <c:pt idx="987">
                  <c:v>187199.92</c:v>
                </c:pt>
                <c:pt idx="988">
                  <c:v>187299.92</c:v>
                </c:pt>
                <c:pt idx="989">
                  <c:v>187399.92</c:v>
                </c:pt>
                <c:pt idx="990">
                  <c:v>187499.92</c:v>
                </c:pt>
                <c:pt idx="991">
                  <c:v>187599.92</c:v>
                </c:pt>
                <c:pt idx="992">
                  <c:v>187699.92</c:v>
                </c:pt>
                <c:pt idx="993">
                  <c:v>187799.92</c:v>
                </c:pt>
                <c:pt idx="994">
                  <c:v>187899.92</c:v>
                </c:pt>
                <c:pt idx="995">
                  <c:v>187999.92</c:v>
                </c:pt>
                <c:pt idx="996">
                  <c:v>188099.92</c:v>
                </c:pt>
                <c:pt idx="997">
                  <c:v>188199.92</c:v>
                </c:pt>
                <c:pt idx="998">
                  <c:v>188299.92</c:v>
                </c:pt>
                <c:pt idx="999">
                  <c:v>188399.92</c:v>
                </c:pt>
                <c:pt idx="1000">
                  <c:v>188499.92</c:v>
                </c:pt>
                <c:pt idx="1001">
                  <c:v>188599.92</c:v>
                </c:pt>
                <c:pt idx="1002">
                  <c:v>188699.92</c:v>
                </c:pt>
                <c:pt idx="1003">
                  <c:v>188794.6</c:v>
                </c:pt>
                <c:pt idx="1004">
                  <c:v>188799.92</c:v>
                </c:pt>
                <c:pt idx="1005">
                  <c:v>188874.6</c:v>
                </c:pt>
                <c:pt idx="1006">
                  <c:v>188899.92</c:v>
                </c:pt>
                <c:pt idx="1007">
                  <c:v>188999.92</c:v>
                </c:pt>
                <c:pt idx="1008">
                  <c:v>189099.92</c:v>
                </c:pt>
                <c:pt idx="1009">
                  <c:v>189199.92</c:v>
                </c:pt>
                <c:pt idx="1010">
                  <c:v>189299.92</c:v>
                </c:pt>
                <c:pt idx="1011">
                  <c:v>189399.92</c:v>
                </c:pt>
                <c:pt idx="1012">
                  <c:v>189499.92</c:v>
                </c:pt>
                <c:pt idx="1013">
                  <c:v>189599.92</c:v>
                </c:pt>
                <c:pt idx="1014">
                  <c:v>189699.92</c:v>
                </c:pt>
                <c:pt idx="1015">
                  <c:v>189799.92</c:v>
                </c:pt>
                <c:pt idx="1016">
                  <c:v>189899.92</c:v>
                </c:pt>
                <c:pt idx="1017">
                  <c:v>189999.92</c:v>
                </c:pt>
                <c:pt idx="1018">
                  <c:v>190099.92</c:v>
                </c:pt>
                <c:pt idx="1019">
                  <c:v>190199.92</c:v>
                </c:pt>
                <c:pt idx="1020">
                  <c:v>190299.92</c:v>
                </c:pt>
                <c:pt idx="1021">
                  <c:v>190399.92</c:v>
                </c:pt>
                <c:pt idx="1022">
                  <c:v>190499.92</c:v>
                </c:pt>
                <c:pt idx="1023">
                  <c:v>190599.92</c:v>
                </c:pt>
                <c:pt idx="1024">
                  <c:v>190699.92</c:v>
                </c:pt>
                <c:pt idx="1025">
                  <c:v>190799.92</c:v>
                </c:pt>
                <c:pt idx="1026">
                  <c:v>190899.92</c:v>
                </c:pt>
                <c:pt idx="1027">
                  <c:v>190999.92</c:v>
                </c:pt>
                <c:pt idx="1028">
                  <c:v>191099.92</c:v>
                </c:pt>
                <c:pt idx="1029">
                  <c:v>191199.92</c:v>
                </c:pt>
                <c:pt idx="1030">
                  <c:v>191299.92</c:v>
                </c:pt>
                <c:pt idx="1031">
                  <c:v>191399.92</c:v>
                </c:pt>
                <c:pt idx="1032">
                  <c:v>191499.92</c:v>
                </c:pt>
                <c:pt idx="1033">
                  <c:v>191599.92</c:v>
                </c:pt>
                <c:pt idx="1034">
                  <c:v>191699.92</c:v>
                </c:pt>
                <c:pt idx="1035">
                  <c:v>191799.92</c:v>
                </c:pt>
                <c:pt idx="1036">
                  <c:v>191899.92</c:v>
                </c:pt>
                <c:pt idx="1037">
                  <c:v>191999.92</c:v>
                </c:pt>
                <c:pt idx="1038">
                  <c:v>192099.92</c:v>
                </c:pt>
                <c:pt idx="1039">
                  <c:v>192199.92</c:v>
                </c:pt>
                <c:pt idx="1040">
                  <c:v>192299.92</c:v>
                </c:pt>
                <c:pt idx="1041">
                  <c:v>192399.92</c:v>
                </c:pt>
                <c:pt idx="1042">
                  <c:v>192499.92</c:v>
                </c:pt>
                <c:pt idx="1043">
                  <c:v>192599.92</c:v>
                </c:pt>
                <c:pt idx="1044">
                  <c:v>192699.92</c:v>
                </c:pt>
                <c:pt idx="1045">
                  <c:v>192799.92</c:v>
                </c:pt>
                <c:pt idx="1046">
                  <c:v>192899.92</c:v>
                </c:pt>
                <c:pt idx="1047">
                  <c:v>192999.92</c:v>
                </c:pt>
                <c:pt idx="1048">
                  <c:v>193099.92</c:v>
                </c:pt>
                <c:pt idx="1049">
                  <c:v>193199.92</c:v>
                </c:pt>
                <c:pt idx="1050">
                  <c:v>193299.92</c:v>
                </c:pt>
                <c:pt idx="1051">
                  <c:v>193399.92</c:v>
                </c:pt>
                <c:pt idx="1052">
                  <c:v>193499.92</c:v>
                </c:pt>
                <c:pt idx="1053">
                  <c:v>193599.92</c:v>
                </c:pt>
                <c:pt idx="1054">
                  <c:v>193699.92</c:v>
                </c:pt>
                <c:pt idx="1055">
                  <c:v>193799.92</c:v>
                </c:pt>
                <c:pt idx="1056">
                  <c:v>193899.92</c:v>
                </c:pt>
                <c:pt idx="1057">
                  <c:v>193999.92</c:v>
                </c:pt>
                <c:pt idx="1058">
                  <c:v>194099.92</c:v>
                </c:pt>
                <c:pt idx="1059">
                  <c:v>194199.92</c:v>
                </c:pt>
                <c:pt idx="1060">
                  <c:v>194299.92</c:v>
                </c:pt>
                <c:pt idx="1061">
                  <c:v>194399.92</c:v>
                </c:pt>
                <c:pt idx="1062">
                  <c:v>194499.92</c:v>
                </c:pt>
                <c:pt idx="1063">
                  <c:v>194599.92</c:v>
                </c:pt>
                <c:pt idx="1064">
                  <c:v>194699.92</c:v>
                </c:pt>
                <c:pt idx="1065">
                  <c:v>194799.92</c:v>
                </c:pt>
                <c:pt idx="1066">
                  <c:v>194899.92</c:v>
                </c:pt>
                <c:pt idx="1067">
                  <c:v>194999.92</c:v>
                </c:pt>
                <c:pt idx="1068">
                  <c:v>195099.92</c:v>
                </c:pt>
                <c:pt idx="1069">
                  <c:v>195199.92</c:v>
                </c:pt>
                <c:pt idx="1070">
                  <c:v>195299.92</c:v>
                </c:pt>
                <c:pt idx="1071">
                  <c:v>195399.92</c:v>
                </c:pt>
                <c:pt idx="1072">
                  <c:v>195499.92</c:v>
                </c:pt>
                <c:pt idx="1073">
                  <c:v>195599.92</c:v>
                </c:pt>
                <c:pt idx="1074">
                  <c:v>195699.92</c:v>
                </c:pt>
                <c:pt idx="1075">
                  <c:v>195799.92</c:v>
                </c:pt>
                <c:pt idx="1076">
                  <c:v>195899.92</c:v>
                </c:pt>
                <c:pt idx="1077">
                  <c:v>195999.92</c:v>
                </c:pt>
                <c:pt idx="1078">
                  <c:v>196099.92</c:v>
                </c:pt>
                <c:pt idx="1079">
                  <c:v>196199.92</c:v>
                </c:pt>
                <c:pt idx="1080">
                  <c:v>196299.92</c:v>
                </c:pt>
                <c:pt idx="1081">
                  <c:v>196399.92</c:v>
                </c:pt>
                <c:pt idx="1082">
                  <c:v>196499.92</c:v>
                </c:pt>
                <c:pt idx="1083">
                  <c:v>196535.5</c:v>
                </c:pt>
                <c:pt idx="1084">
                  <c:v>196599.92</c:v>
                </c:pt>
                <c:pt idx="1085">
                  <c:v>196695.5</c:v>
                </c:pt>
                <c:pt idx="1086">
                  <c:v>196699.92</c:v>
                </c:pt>
                <c:pt idx="1087">
                  <c:v>196799.92</c:v>
                </c:pt>
                <c:pt idx="1088">
                  <c:v>196899.92</c:v>
                </c:pt>
                <c:pt idx="1089">
                  <c:v>196999.92</c:v>
                </c:pt>
                <c:pt idx="1090">
                  <c:v>197099.92</c:v>
                </c:pt>
                <c:pt idx="1091">
                  <c:v>197199.92</c:v>
                </c:pt>
                <c:pt idx="1092">
                  <c:v>197299.92</c:v>
                </c:pt>
                <c:pt idx="1093">
                  <c:v>197399.92</c:v>
                </c:pt>
                <c:pt idx="1094">
                  <c:v>197499.92</c:v>
                </c:pt>
                <c:pt idx="1095">
                  <c:v>197599.92</c:v>
                </c:pt>
                <c:pt idx="1096">
                  <c:v>197699.92</c:v>
                </c:pt>
                <c:pt idx="1097">
                  <c:v>197799.92</c:v>
                </c:pt>
                <c:pt idx="1098">
                  <c:v>197899.92</c:v>
                </c:pt>
                <c:pt idx="1099">
                  <c:v>197999.92</c:v>
                </c:pt>
                <c:pt idx="1100">
                  <c:v>198099.92</c:v>
                </c:pt>
                <c:pt idx="1101">
                  <c:v>198199.92</c:v>
                </c:pt>
                <c:pt idx="1102">
                  <c:v>198299.92</c:v>
                </c:pt>
                <c:pt idx="1103">
                  <c:v>198399.92</c:v>
                </c:pt>
                <c:pt idx="1104">
                  <c:v>198499.92</c:v>
                </c:pt>
                <c:pt idx="1105">
                  <c:v>198599.92</c:v>
                </c:pt>
                <c:pt idx="1106">
                  <c:v>198699.92</c:v>
                </c:pt>
                <c:pt idx="1107">
                  <c:v>198799.92</c:v>
                </c:pt>
                <c:pt idx="1108">
                  <c:v>198899.92</c:v>
                </c:pt>
                <c:pt idx="1109">
                  <c:v>198999.92</c:v>
                </c:pt>
                <c:pt idx="1110">
                  <c:v>199096.21</c:v>
                </c:pt>
                <c:pt idx="1111">
                  <c:v>199099.92</c:v>
                </c:pt>
                <c:pt idx="1112">
                  <c:v>199176.21</c:v>
                </c:pt>
                <c:pt idx="1113">
                  <c:v>199199.92</c:v>
                </c:pt>
                <c:pt idx="1114">
                  <c:v>199299.92</c:v>
                </c:pt>
                <c:pt idx="1115">
                  <c:v>199399.92</c:v>
                </c:pt>
                <c:pt idx="1116">
                  <c:v>199499.92</c:v>
                </c:pt>
                <c:pt idx="1117">
                  <c:v>199599.92</c:v>
                </c:pt>
                <c:pt idx="1118">
                  <c:v>199699.92</c:v>
                </c:pt>
                <c:pt idx="1119">
                  <c:v>199799.92</c:v>
                </c:pt>
                <c:pt idx="1120">
                  <c:v>199899.92</c:v>
                </c:pt>
                <c:pt idx="1121">
                  <c:v>199999.92</c:v>
                </c:pt>
                <c:pt idx="1122">
                  <c:v>200099.92</c:v>
                </c:pt>
                <c:pt idx="1123">
                  <c:v>200199.92</c:v>
                </c:pt>
                <c:pt idx="1124">
                  <c:v>200299.92</c:v>
                </c:pt>
                <c:pt idx="1125">
                  <c:v>200399.92</c:v>
                </c:pt>
                <c:pt idx="1126">
                  <c:v>200499.92</c:v>
                </c:pt>
                <c:pt idx="1127">
                  <c:v>200599.92</c:v>
                </c:pt>
                <c:pt idx="1128">
                  <c:v>200699.92</c:v>
                </c:pt>
                <c:pt idx="1129">
                  <c:v>200799.92</c:v>
                </c:pt>
                <c:pt idx="1130">
                  <c:v>200899.92</c:v>
                </c:pt>
                <c:pt idx="1131">
                  <c:v>200999.92</c:v>
                </c:pt>
                <c:pt idx="1132">
                  <c:v>201099.92</c:v>
                </c:pt>
                <c:pt idx="1133">
                  <c:v>201199.92</c:v>
                </c:pt>
                <c:pt idx="1134">
                  <c:v>201299.92</c:v>
                </c:pt>
                <c:pt idx="1135">
                  <c:v>201399.92</c:v>
                </c:pt>
                <c:pt idx="1136">
                  <c:v>201499.92</c:v>
                </c:pt>
                <c:pt idx="1137">
                  <c:v>201599.92</c:v>
                </c:pt>
                <c:pt idx="1138">
                  <c:v>201699.92</c:v>
                </c:pt>
                <c:pt idx="1139">
                  <c:v>201799.92</c:v>
                </c:pt>
                <c:pt idx="1140">
                  <c:v>201899.92</c:v>
                </c:pt>
                <c:pt idx="1141">
                  <c:v>201999.92</c:v>
                </c:pt>
                <c:pt idx="1142">
                  <c:v>202099.92</c:v>
                </c:pt>
                <c:pt idx="1143">
                  <c:v>202199.92</c:v>
                </c:pt>
                <c:pt idx="1144">
                  <c:v>202299.92</c:v>
                </c:pt>
                <c:pt idx="1145">
                  <c:v>202399.92</c:v>
                </c:pt>
                <c:pt idx="1146">
                  <c:v>202499.92</c:v>
                </c:pt>
                <c:pt idx="1147">
                  <c:v>202599.92</c:v>
                </c:pt>
                <c:pt idx="1148">
                  <c:v>202699.92</c:v>
                </c:pt>
                <c:pt idx="1149">
                  <c:v>202799.92</c:v>
                </c:pt>
                <c:pt idx="1150">
                  <c:v>202899.92</c:v>
                </c:pt>
                <c:pt idx="1151">
                  <c:v>202999.92</c:v>
                </c:pt>
                <c:pt idx="1152">
                  <c:v>203099.92</c:v>
                </c:pt>
                <c:pt idx="1153">
                  <c:v>203199.92</c:v>
                </c:pt>
                <c:pt idx="1154">
                  <c:v>203299.92</c:v>
                </c:pt>
                <c:pt idx="1155">
                  <c:v>203399.92</c:v>
                </c:pt>
                <c:pt idx="1156">
                  <c:v>203499.92</c:v>
                </c:pt>
                <c:pt idx="1157">
                  <c:v>203599.92</c:v>
                </c:pt>
                <c:pt idx="1158">
                  <c:v>203699.92</c:v>
                </c:pt>
                <c:pt idx="1159">
                  <c:v>203799.92</c:v>
                </c:pt>
                <c:pt idx="1160">
                  <c:v>203899.92</c:v>
                </c:pt>
                <c:pt idx="1161">
                  <c:v>203999.92</c:v>
                </c:pt>
                <c:pt idx="1162">
                  <c:v>204099.92</c:v>
                </c:pt>
                <c:pt idx="1163">
                  <c:v>204199.92</c:v>
                </c:pt>
                <c:pt idx="1164">
                  <c:v>204299.92</c:v>
                </c:pt>
                <c:pt idx="1165">
                  <c:v>204399.92</c:v>
                </c:pt>
                <c:pt idx="1166">
                  <c:v>204499.92</c:v>
                </c:pt>
                <c:pt idx="1167">
                  <c:v>204599.92</c:v>
                </c:pt>
                <c:pt idx="1168">
                  <c:v>204699.92</c:v>
                </c:pt>
                <c:pt idx="1169">
                  <c:v>204799.92</c:v>
                </c:pt>
                <c:pt idx="1170">
                  <c:v>204899.92</c:v>
                </c:pt>
                <c:pt idx="1171">
                  <c:v>204999.92</c:v>
                </c:pt>
                <c:pt idx="1172">
                  <c:v>205048.5</c:v>
                </c:pt>
                <c:pt idx="1173">
                  <c:v>205099.92</c:v>
                </c:pt>
                <c:pt idx="1174">
                  <c:v>205123.5</c:v>
                </c:pt>
                <c:pt idx="1175">
                  <c:v>205199.92</c:v>
                </c:pt>
                <c:pt idx="1176">
                  <c:v>205209.4</c:v>
                </c:pt>
                <c:pt idx="1177">
                  <c:v>205299.92</c:v>
                </c:pt>
                <c:pt idx="1178">
                  <c:v>205329.4</c:v>
                </c:pt>
                <c:pt idx="1179">
                  <c:v>205399.92</c:v>
                </c:pt>
                <c:pt idx="1180">
                  <c:v>205499.92</c:v>
                </c:pt>
                <c:pt idx="1181">
                  <c:v>205599.92</c:v>
                </c:pt>
                <c:pt idx="1182">
                  <c:v>205699.92</c:v>
                </c:pt>
                <c:pt idx="1183">
                  <c:v>205799.92</c:v>
                </c:pt>
                <c:pt idx="1184">
                  <c:v>205899.92</c:v>
                </c:pt>
                <c:pt idx="1185">
                  <c:v>205999.92</c:v>
                </c:pt>
                <c:pt idx="1186">
                  <c:v>206099.92</c:v>
                </c:pt>
                <c:pt idx="1187">
                  <c:v>206199.92</c:v>
                </c:pt>
                <c:pt idx="1188">
                  <c:v>206299.92</c:v>
                </c:pt>
                <c:pt idx="1189">
                  <c:v>206399.92</c:v>
                </c:pt>
                <c:pt idx="1190">
                  <c:v>206499.92</c:v>
                </c:pt>
                <c:pt idx="1191">
                  <c:v>206599.92</c:v>
                </c:pt>
                <c:pt idx="1192">
                  <c:v>206699.92</c:v>
                </c:pt>
                <c:pt idx="1193">
                  <c:v>206799.92</c:v>
                </c:pt>
                <c:pt idx="1194">
                  <c:v>206899.92</c:v>
                </c:pt>
                <c:pt idx="1195">
                  <c:v>206999.92</c:v>
                </c:pt>
                <c:pt idx="1196">
                  <c:v>207099.92</c:v>
                </c:pt>
                <c:pt idx="1197">
                  <c:v>207199.92</c:v>
                </c:pt>
                <c:pt idx="1198">
                  <c:v>207299.92</c:v>
                </c:pt>
                <c:pt idx="1199">
                  <c:v>207399.92</c:v>
                </c:pt>
                <c:pt idx="1200">
                  <c:v>207499.92</c:v>
                </c:pt>
                <c:pt idx="1201">
                  <c:v>207599.92</c:v>
                </c:pt>
                <c:pt idx="1202">
                  <c:v>207699.92</c:v>
                </c:pt>
                <c:pt idx="1203">
                  <c:v>207799.92</c:v>
                </c:pt>
                <c:pt idx="1204">
                  <c:v>207899.92</c:v>
                </c:pt>
                <c:pt idx="1205">
                  <c:v>207999.92</c:v>
                </c:pt>
                <c:pt idx="1206">
                  <c:v>208099.92</c:v>
                </c:pt>
                <c:pt idx="1207">
                  <c:v>208199.92</c:v>
                </c:pt>
                <c:pt idx="1208">
                  <c:v>208299.92</c:v>
                </c:pt>
                <c:pt idx="1209">
                  <c:v>208399.92</c:v>
                </c:pt>
                <c:pt idx="1210">
                  <c:v>208499.92</c:v>
                </c:pt>
                <c:pt idx="1211">
                  <c:v>208599.92</c:v>
                </c:pt>
                <c:pt idx="1212">
                  <c:v>208699.92</c:v>
                </c:pt>
                <c:pt idx="1213">
                  <c:v>208799.92</c:v>
                </c:pt>
                <c:pt idx="1214">
                  <c:v>208899.92</c:v>
                </c:pt>
                <c:pt idx="1215">
                  <c:v>208999.92</c:v>
                </c:pt>
                <c:pt idx="1216">
                  <c:v>209099.92</c:v>
                </c:pt>
                <c:pt idx="1217">
                  <c:v>209199.92</c:v>
                </c:pt>
                <c:pt idx="1218">
                  <c:v>209299.92</c:v>
                </c:pt>
                <c:pt idx="1219">
                  <c:v>209399.92</c:v>
                </c:pt>
                <c:pt idx="1220">
                  <c:v>209499.92</c:v>
                </c:pt>
                <c:pt idx="1221">
                  <c:v>209599.92</c:v>
                </c:pt>
                <c:pt idx="1222">
                  <c:v>209635</c:v>
                </c:pt>
                <c:pt idx="1223">
                  <c:v>209699.92</c:v>
                </c:pt>
                <c:pt idx="1224">
                  <c:v>209715</c:v>
                </c:pt>
                <c:pt idx="1225">
                  <c:v>209799.92</c:v>
                </c:pt>
                <c:pt idx="1226">
                  <c:v>209899.92</c:v>
                </c:pt>
                <c:pt idx="1227">
                  <c:v>209999.92</c:v>
                </c:pt>
                <c:pt idx="1228">
                  <c:v>210099.92</c:v>
                </c:pt>
                <c:pt idx="1229">
                  <c:v>210176.5</c:v>
                </c:pt>
                <c:pt idx="1230">
                  <c:v>210199.92</c:v>
                </c:pt>
                <c:pt idx="1231">
                  <c:v>210299.92</c:v>
                </c:pt>
                <c:pt idx="1232">
                  <c:v>210399.92</c:v>
                </c:pt>
                <c:pt idx="1233">
                  <c:v>210456.5</c:v>
                </c:pt>
                <c:pt idx="1234">
                  <c:v>210499.92</c:v>
                </c:pt>
                <c:pt idx="1235">
                  <c:v>210599.92</c:v>
                </c:pt>
                <c:pt idx="1236">
                  <c:v>210699.92</c:v>
                </c:pt>
                <c:pt idx="1237">
                  <c:v>210799.92</c:v>
                </c:pt>
                <c:pt idx="1238">
                  <c:v>210899.92</c:v>
                </c:pt>
                <c:pt idx="1239">
                  <c:v>210999.92</c:v>
                </c:pt>
                <c:pt idx="1240">
                  <c:v>211099.92</c:v>
                </c:pt>
                <c:pt idx="1241">
                  <c:v>211199.92</c:v>
                </c:pt>
                <c:pt idx="1242">
                  <c:v>211299.92</c:v>
                </c:pt>
                <c:pt idx="1243">
                  <c:v>211399.92</c:v>
                </c:pt>
                <c:pt idx="1244">
                  <c:v>211499.92</c:v>
                </c:pt>
                <c:pt idx="1245">
                  <c:v>211599.92</c:v>
                </c:pt>
                <c:pt idx="1246">
                  <c:v>211699.92</c:v>
                </c:pt>
                <c:pt idx="1247">
                  <c:v>211799.92</c:v>
                </c:pt>
                <c:pt idx="1248">
                  <c:v>211899.92</c:v>
                </c:pt>
                <c:pt idx="1249">
                  <c:v>211999.92</c:v>
                </c:pt>
                <c:pt idx="1250">
                  <c:v>212099.92</c:v>
                </c:pt>
                <c:pt idx="1251">
                  <c:v>212199.92</c:v>
                </c:pt>
                <c:pt idx="1252">
                  <c:v>212299.92</c:v>
                </c:pt>
                <c:pt idx="1253">
                  <c:v>212399.92</c:v>
                </c:pt>
                <c:pt idx="1254">
                  <c:v>212499.92</c:v>
                </c:pt>
                <c:pt idx="1255">
                  <c:v>212599.92</c:v>
                </c:pt>
                <c:pt idx="1256">
                  <c:v>212699.92</c:v>
                </c:pt>
                <c:pt idx="1257">
                  <c:v>212799.92</c:v>
                </c:pt>
                <c:pt idx="1258">
                  <c:v>212899.92</c:v>
                </c:pt>
                <c:pt idx="1259">
                  <c:v>212999.92</c:v>
                </c:pt>
                <c:pt idx="1260">
                  <c:v>213099.92</c:v>
                </c:pt>
                <c:pt idx="1261">
                  <c:v>213199.92</c:v>
                </c:pt>
                <c:pt idx="1262">
                  <c:v>213299.92</c:v>
                </c:pt>
                <c:pt idx="1263">
                  <c:v>213399.92</c:v>
                </c:pt>
                <c:pt idx="1264">
                  <c:v>213499.92</c:v>
                </c:pt>
                <c:pt idx="1265">
                  <c:v>213599.92</c:v>
                </c:pt>
                <c:pt idx="1266">
                  <c:v>213699.92</c:v>
                </c:pt>
                <c:pt idx="1267">
                  <c:v>213799.92</c:v>
                </c:pt>
                <c:pt idx="1268">
                  <c:v>213899.92</c:v>
                </c:pt>
                <c:pt idx="1269">
                  <c:v>213999.92</c:v>
                </c:pt>
                <c:pt idx="1270">
                  <c:v>214099.92</c:v>
                </c:pt>
                <c:pt idx="1271">
                  <c:v>214199.92</c:v>
                </c:pt>
                <c:pt idx="1272">
                  <c:v>214299.92</c:v>
                </c:pt>
                <c:pt idx="1273">
                  <c:v>214399.92</c:v>
                </c:pt>
                <c:pt idx="1274">
                  <c:v>214499.92</c:v>
                </c:pt>
                <c:pt idx="1275">
                  <c:v>214599.92</c:v>
                </c:pt>
                <c:pt idx="1276">
                  <c:v>214699.92</c:v>
                </c:pt>
                <c:pt idx="1277">
                  <c:v>214799.92</c:v>
                </c:pt>
                <c:pt idx="1278">
                  <c:v>214899.92</c:v>
                </c:pt>
                <c:pt idx="1279">
                  <c:v>214999.92</c:v>
                </c:pt>
                <c:pt idx="1280">
                  <c:v>215099.92</c:v>
                </c:pt>
                <c:pt idx="1281">
                  <c:v>215199.92</c:v>
                </c:pt>
                <c:pt idx="1282">
                  <c:v>215299.92</c:v>
                </c:pt>
                <c:pt idx="1283">
                  <c:v>215399.92</c:v>
                </c:pt>
                <c:pt idx="1284">
                  <c:v>215499.92</c:v>
                </c:pt>
                <c:pt idx="1285">
                  <c:v>215599.92</c:v>
                </c:pt>
                <c:pt idx="1286">
                  <c:v>215699.92</c:v>
                </c:pt>
                <c:pt idx="1287">
                  <c:v>215799.92</c:v>
                </c:pt>
                <c:pt idx="1288">
                  <c:v>215899.92</c:v>
                </c:pt>
                <c:pt idx="1289">
                  <c:v>215987.9</c:v>
                </c:pt>
                <c:pt idx="1290">
                  <c:v>215999.92</c:v>
                </c:pt>
                <c:pt idx="1291">
                  <c:v>216099.92</c:v>
                </c:pt>
                <c:pt idx="1292">
                  <c:v>216147.9</c:v>
                </c:pt>
                <c:pt idx="1293">
                  <c:v>216199.92</c:v>
                </c:pt>
                <c:pt idx="1294">
                  <c:v>216299.92</c:v>
                </c:pt>
                <c:pt idx="1295">
                  <c:v>216399.92</c:v>
                </c:pt>
                <c:pt idx="1296">
                  <c:v>216499.92</c:v>
                </c:pt>
                <c:pt idx="1297">
                  <c:v>216599.92</c:v>
                </c:pt>
                <c:pt idx="1298">
                  <c:v>216699.92</c:v>
                </c:pt>
                <c:pt idx="1299">
                  <c:v>216799.92</c:v>
                </c:pt>
                <c:pt idx="1300">
                  <c:v>216899.92</c:v>
                </c:pt>
                <c:pt idx="1301">
                  <c:v>216999.92</c:v>
                </c:pt>
                <c:pt idx="1302">
                  <c:v>217099.92</c:v>
                </c:pt>
                <c:pt idx="1303">
                  <c:v>217195.7</c:v>
                </c:pt>
                <c:pt idx="1304">
                  <c:v>217199.92</c:v>
                </c:pt>
                <c:pt idx="1305">
                  <c:v>217299.92</c:v>
                </c:pt>
                <c:pt idx="1306">
                  <c:v>217315.7</c:v>
                </c:pt>
                <c:pt idx="1307">
                  <c:v>217399.92</c:v>
                </c:pt>
                <c:pt idx="1308">
                  <c:v>217499.92</c:v>
                </c:pt>
                <c:pt idx="1309">
                  <c:v>217599.92</c:v>
                </c:pt>
                <c:pt idx="1310">
                  <c:v>217699.92</c:v>
                </c:pt>
                <c:pt idx="1311">
                  <c:v>217799.92</c:v>
                </c:pt>
                <c:pt idx="1312">
                  <c:v>217899.92</c:v>
                </c:pt>
                <c:pt idx="1313">
                  <c:v>217999.92</c:v>
                </c:pt>
                <c:pt idx="1314">
                  <c:v>218099.92</c:v>
                </c:pt>
                <c:pt idx="1315">
                  <c:v>218199.92</c:v>
                </c:pt>
                <c:pt idx="1316">
                  <c:v>218299.92</c:v>
                </c:pt>
                <c:pt idx="1317">
                  <c:v>218399.92</c:v>
                </c:pt>
                <c:pt idx="1318">
                  <c:v>218499.92</c:v>
                </c:pt>
                <c:pt idx="1319">
                  <c:v>218599.92</c:v>
                </c:pt>
                <c:pt idx="1320">
                  <c:v>218699.92</c:v>
                </c:pt>
                <c:pt idx="1321">
                  <c:v>218799.92</c:v>
                </c:pt>
                <c:pt idx="1322">
                  <c:v>218899.92</c:v>
                </c:pt>
                <c:pt idx="1323">
                  <c:v>218999.92</c:v>
                </c:pt>
                <c:pt idx="1324">
                  <c:v>219099.92</c:v>
                </c:pt>
                <c:pt idx="1325">
                  <c:v>219199.92</c:v>
                </c:pt>
                <c:pt idx="1326">
                  <c:v>219299.92</c:v>
                </c:pt>
                <c:pt idx="1327">
                  <c:v>219399.92</c:v>
                </c:pt>
                <c:pt idx="1328">
                  <c:v>219499.92</c:v>
                </c:pt>
                <c:pt idx="1329">
                  <c:v>219599.92</c:v>
                </c:pt>
                <c:pt idx="1330">
                  <c:v>219699.92</c:v>
                </c:pt>
                <c:pt idx="1331">
                  <c:v>219799.92</c:v>
                </c:pt>
                <c:pt idx="1332">
                  <c:v>219899.92</c:v>
                </c:pt>
                <c:pt idx="1333">
                  <c:v>219999.92</c:v>
                </c:pt>
                <c:pt idx="1334">
                  <c:v>220099.92</c:v>
                </c:pt>
                <c:pt idx="1335">
                  <c:v>220199.92</c:v>
                </c:pt>
                <c:pt idx="1336">
                  <c:v>220299.92</c:v>
                </c:pt>
                <c:pt idx="1337">
                  <c:v>220399.92</c:v>
                </c:pt>
                <c:pt idx="1338">
                  <c:v>220499.92</c:v>
                </c:pt>
                <c:pt idx="1339">
                  <c:v>220599.92</c:v>
                </c:pt>
                <c:pt idx="1340">
                  <c:v>220699.92</c:v>
                </c:pt>
                <c:pt idx="1341">
                  <c:v>220799.92</c:v>
                </c:pt>
                <c:pt idx="1342">
                  <c:v>220899.92</c:v>
                </c:pt>
                <c:pt idx="1343">
                  <c:v>220999.92</c:v>
                </c:pt>
                <c:pt idx="1344">
                  <c:v>221099.92</c:v>
                </c:pt>
                <c:pt idx="1345">
                  <c:v>221199.92</c:v>
                </c:pt>
                <c:pt idx="1346">
                  <c:v>221299.92</c:v>
                </c:pt>
                <c:pt idx="1347">
                  <c:v>221399.92</c:v>
                </c:pt>
                <c:pt idx="1348">
                  <c:v>221499.92</c:v>
                </c:pt>
                <c:pt idx="1349">
                  <c:v>221599.92</c:v>
                </c:pt>
                <c:pt idx="1350">
                  <c:v>221699.92</c:v>
                </c:pt>
                <c:pt idx="1351">
                  <c:v>221799.92</c:v>
                </c:pt>
                <c:pt idx="1352">
                  <c:v>221899.92</c:v>
                </c:pt>
                <c:pt idx="1353">
                  <c:v>221999.92</c:v>
                </c:pt>
                <c:pt idx="1354">
                  <c:v>222099.92</c:v>
                </c:pt>
                <c:pt idx="1355">
                  <c:v>222199.92</c:v>
                </c:pt>
                <c:pt idx="1356">
                  <c:v>222299.92</c:v>
                </c:pt>
                <c:pt idx="1357">
                  <c:v>222399.92</c:v>
                </c:pt>
                <c:pt idx="1358">
                  <c:v>222499.92</c:v>
                </c:pt>
                <c:pt idx="1359">
                  <c:v>222599.92</c:v>
                </c:pt>
                <c:pt idx="1360">
                  <c:v>222699.92</c:v>
                </c:pt>
                <c:pt idx="1361">
                  <c:v>222799.92</c:v>
                </c:pt>
                <c:pt idx="1362">
                  <c:v>222899.92</c:v>
                </c:pt>
                <c:pt idx="1363">
                  <c:v>222999.92</c:v>
                </c:pt>
                <c:pt idx="1364">
                  <c:v>223099.92</c:v>
                </c:pt>
                <c:pt idx="1365">
                  <c:v>223199.92</c:v>
                </c:pt>
                <c:pt idx="1366">
                  <c:v>223299.92</c:v>
                </c:pt>
                <c:pt idx="1367">
                  <c:v>223399.92</c:v>
                </c:pt>
                <c:pt idx="1368">
                  <c:v>223499.92</c:v>
                </c:pt>
                <c:pt idx="1369">
                  <c:v>223599.92</c:v>
                </c:pt>
                <c:pt idx="1370">
                  <c:v>223699.92</c:v>
                </c:pt>
                <c:pt idx="1371">
                  <c:v>223799.92</c:v>
                </c:pt>
                <c:pt idx="1372">
                  <c:v>223872</c:v>
                </c:pt>
                <c:pt idx="1373">
                  <c:v>223899.92</c:v>
                </c:pt>
                <c:pt idx="1374">
                  <c:v>223999.92</c:v>
                </c:pt>
                <c:pt idx="1375">
                  <c:v>224099.92</c:v>
                </c:pt>
                <c:pt idx="1376">
                  <c:v>224199.92</c:v>
                </c:pt>
                <c:pt idx="1377">
                  <c:v>224299.92</c:v>
                </c:pt>
                <c:pt idx="1378">
                  <c:v>224377.9</c:v>
                </c:pt>
                <c:pt idx="1379">
                  <c:v>224399.92</c:v>
                </c:pt>
                <c:pt idx="1380">
                  <c:v>224499.92</c:v>
                </c:pt>
                <c:pt idx="1381">
                  <c:v>224599.92</c:v>
                </c:pt>
                <c:pt idx="1382">
                  <c:v>224617.9</c:v>
                </c:pt>
                <c:pt idx="1383">
                  <c:v>224699.92</c:v>
                </c:pt>
                <c:pt idx="1384">
                  <c:v>224799.92</c:v>
                </c:pt>
                <c:pt idx="1385">
                  <c:v>224899.92</c:v>
                </c:pt>
                <c:pt idx="1386">
                  <c:v>224999.92</c:v>
                </c:pt>
                <c:pt idx="1387">
                  <c:v>225099.92</c:v>
                </c:pt>
                <c:pt idx="1388">
                  <c:v>225199.92</c:v>
                </c:pt>
                <c:pt idx="1389">
                  <c:v>225299.92</c:v>
                </c:pt>
              </c:numCache>
            </c:numRef>
          </c:xVal>
          <c:yVal>
            <c:numRef>
              <c:f>TS!$R$2:$R$1391</c:f>
              <c:numCache>
                <c:formatCode>0.0</c:formatCode>
                <c:ptCount val="1390"/>
                <c:pt idx="0">
                  <c:v>1825</c:v>
                </c:pt>
                <c:pt idx="1">
                  <c:v>1825</c:v>
                </c:pt>
                <c:pt idx="2">
                  <c:v>1825</c:v>
                </c:pt>
                <c:pt idx="3">
                  <c:v>1825</c:v>
                </c:pt>
                <c:pt idx="4">
                  <c:v>1825</c:v>
                </c:pt>
                <c:pt idx="5">
                  <c:v>1825</c:v>
                </c:pt>
                <c:pt idx="6">
                  <c:v>1825</c:v>
                </c:pt>
                <c:pt idx="7">
                  <c:v>1825</c:v>
                </c:pt>
                <c:pt idx="8">
                  <c:v>1825</c:v>
                </c:pt>
                <c:pt idx="9">
                  <c:v>1825</c:v>
                </c:pt>
                <c:pt idx="10">
                  <c:v>1825</c:v>
                </c:pt>
                <c:pt idx="11">
                  <c:v>1825</c:v>
                </c:pt>
                <c:pt idx="12">
                  <c:v>1825</c:v>
                </c:pt>
                <c:pt idx="13">
                  <c:v>1825</c:v>
                </c:pt>
                <c:pt idx="14">
                  <c:v>1825</c:v>
                </c:pt>
                <c:pt idx="15">
                  <c:v>1825</c:v>
                </c:pt>
                <c:pt idx="16">
                  <c:v>1825</c:v>
                </c:pt>
                <c:pt idx="17">
                  <c:v>1825</c:v>
                </c:pt>
                <c:pt idx="18">
                  <c:v>1825</c:v>
                </c:pt>
                <c:pt idx="19">
                  <c:v>1825</c:v>
                </c:pt>
                <c:pt idx="20">
                  <c:v>1825</c:v>
                </c:pt>
                <c:pt idx="21">
                  <c:v>1825</c:v>
                </c:pt>
                <c:pt idx="22">
                  <c:v>1825</c:v>
                </c:pt>
                <c:pt idx="23">
                  <c:v>1825</c:v>
                </c:pt>
                <c:pt idx="24">
                  <c:v>1825</c:v>
                </c:pt>
                <c:pt idx="25">
                  <c:v>1825</c:v>
                </c:pt>
                <c:pt idx="26">
                  <c:v>1825</c:v>
                </c:pt>
                <c:pt idx="27">
                  <c:v>1825</c:v>
                </c:pt>
                <c:pt idx="28">
                  <c:v>1825</c:v>
                </c:pt>
                <c:pt idx="29">
                  <c:v>1825</c:v>
                </c:pt>
                <c:pt idx="30">
                  <c:v>1825</c:v>
                </c:pt>
                <c:pt idx="31">
                  <c:v>1825</c:v>
                </c:pt>
                <c:pt idx="32">
                  <c:v>1825</c:v>
                </c:pt>
                <c:pt idx="33">
                  <c:v>1825</c:v>
                </c:pt>
                <c:pt idx="34">
                  <c:v>1825</c:v>
                </c:pt>
                <c:pt idx="35">
                  <c:v>1825</c:v>
                </c:pt>
                <c:pt idx="36">
                  <c:v>1825</c:v>
                </c:pt>
                <c:pt idx="37">
                  <c:v>1825</c:v>
                </c:pt>
                <c:pt idx="38">
                  <c:v>1825</c:v>
                </c:pt>
                <c:pt idx="39">
                  <c:v>1825</c:v>
                </c:pt>
                <c:pt idx="40">
                  <c:v>1825</c:v>
                </c:pt>
                <c:pt idx="41">
                  <c:v>1825</c:v>
                </c:pt>
                <c:pt idx="42">
                  <c:v>1825</c:v>
                </c:pt>
                <c:pt idx="43">
                  <c:v>1825</c:v>
                </c:pt>
                <c:pt idx="44">
                  <c:v>1825</c:v>
                </c:pt>
                <c:pt idx="45">
                  <c:v>1825</c:v>
                </c:pt>
                <c:pt idx="46">
                  <c:v>1825</c:v>
                </c:pt>
                <c:pt idx="47">
                  <c:v>1825</c:v>
                </c:pt>
                <c:pt idx="48">
                  <c:v>1825</c:v>
                </c:pt>
                <c:pt idx="49">
                  <c:v>1825</c:v>
                </c:pt>
                <c:pt idx="50">
                  <c:v>1825</c:v>
                </c:pt>
                <c:pt idx="51">
                  <c:v>1825</c:v>
                </c:pt>
                <c:pt idx="52">
                  <c:v>1825</c:v>
                </c:pt>
                <c:pt idx="53">
                  <c:v>1825</c:v>
                </c:pt>
                <c:pt idx="54">
                  <c:v>1825</c:v>
                </c:pt>
                <c:pt idx="55">
                  <c:v>1825</c:v>
                </c:pt>
                <c:pt idx="56">
                  <c:v>1825</c:v>
                </c:pt>
                <c:pt idx="57">
                  <c:v>1825</c:v>
                </c:pt>
                <c:pt idx="58">
                  <c:v>1825</c:v>
                </c:pt>
                <c:pt idx="59">
                  <c:v>1825</c:v>
                </c:pt>
                <c:pt idx="60">
                  <c:v>1825</c:v>
                </c:pt>
                <c:pt idx="61">
                  <c:v>1825</c:v>
                </c:pt>
                <c:pt idx="62">
                  <c:v>1825</c:v>
                </c:pt>
                <c:pt idx="63">
                  <c:v>1825</c:v>
                </c:pt>
                <c:pt idx="64">
                  <c:v>1825</c:v>
                </c:pt>
                <c:pt idx="65">
                  <c:v>1825</c:v>
                </c:pt>
                <c:pt idx="66">
                  <c:v>1825</c:v>
                </c:pt>
                <c:pt idx="67">
                  <c:v>1825</c:v>
                </c:pt>
                <c:pt idx="68">
                  <c:v>1825</c:v>
                </c:pt>
                <c:pt idx="69">
                  <c:v>1825</c:v>
                </c:pt>
                <c:pt idx="70">
                  <c:v>1825</c:v>
                </c:pt>
                <c:pt idx="71">
                  <c:v>1825</c:v>
                </c:pt>
                <c:pt idx="72">
                  <c:v>1825</c:v>
                </c:pt>
                <c:pt idx="73">
                  <c:v>1825</c:v>
                </c:pt>
                <c:pt idx="74">
                  <c:v>1825</c:v>
                </c:pt>
                <c:pt idx="75">
                  <c:v>1825</c:v>
                </c:pt>
                <c:pt idx="76">
                  <c:v>1825</c:v>
                </c:pt>
                <c:pt idx="77">
                  <c:v>1825</c:v>
                </c:pt>
                <c:pt idx="78">
                  <c:v>1825</c:v>
                </c:pt>
                <c:pt idx="79">
                  <c:v>1825</c:v>
                </c:pt>
                <c:pt idx="80">
                  <c:v>1825</c:v>
                </c:pt>
                <c:pt idx="81">
                  <c:v>1825</c:v>
                </c:pt>
                <c:pt idx="82">
                  <c:v>1825</c:v>
                </c:pt>
                <c:pt idx="83">
                  <c:v>1825</c:v>
                </c:pt>
                <c:pt idx="84">
                  <c:v>1825</c:v>
                </c:pt>
                <c:pt idx="85">
                  <c:v>1825</c:v>
                </c:pt>
                <c:pt idx="86">
                  <c:v>1825</c:v>
                </c:pt>
                <c:pt idx="87">
                  <c:v>1825</c:v>
                </c:pt>
                <c:pt idx="88">
                  <c:v>1825</c:v>
                </c:pt>
                <c:pt idx="89">
                  <c:v>1825</c:v>
                </c:pt>
                <c:pt idx="90">
                  <c:v>1825</c:v>
                </c:pt>
                <c:pt idx="91">
                  <c:v>1825</c:v>
                </c:pt>
                <c:pt idx="92">
                  <c:v>1825</c:v>
                </c:pt>
                <c:pt idx="93">
                  <c:v>1825</c:v>
                </c:pt>
                <c:pt idx="94">
                  <c:v>1825</c:v>
                </c:pt>
                <c:pt idx="95">
                  <c:v>1825</c:v>
                </c:pt>
                <c:pt idx="96">
                  <c:v>1825</c:v>
                </c:pt>
                <c:pt idx="97">
                  <c:v>1825</c:v>
                </c:pt>
                <c:pt idx="98">
                  <c:v>1825</c:v>
                </c:pt>
                <c:pt idx="99">
                  <c:v>1825</c:v>
                </c:pt>
                <c:pt idx="100">
                  <c:v>1825</c:v>
                </c:pt>
                <c:pt idx="101">
                  <c:v>1825</c:v>
                </c:pt>
                <c:pt idx="102">
                  <c:v>1825</c:v>
                </c:pt>
                <c:pt idx="103">
                  <c:v>1825</c:v>
                </c:pt>
                <c:pt idx="104">
                  <c:v>1825</c:v>
                </c:pt>
                <c:pt idx="105">
                  <c:v>1825</c:v>
                </c:pt>
                <c:pt idx="106">
                  <c:v>1825</c:v>
                </c:pt>
                <c:pt idx="107">
                  <c:v>1825</c:v>
                </c:pt>
                <c:pt idx="108">
                  <c:v>1825</c:v>
                </c:pt>
                <c:pt idx="109">
                  <c:v>1825</c:v>
                </c:pt>
                <c:pt idx="110">
                  <c:v>1825</c:v>
                </c:pt>
                <c:pt idx="111">
                  <c:v>1825</c:v>
                </c:pt>
                <c:pt idx="112">
                  <c:v>1825</c:v>
                </c:pt>
                <c:pt idx="113">
                  <c:v>1825</c:v>
                </c:pt>
                <c:pt idx="114">
                  <c:v>1825</c:v>
                </c:pt>
                <c:pt idx="115">
                  <c:v>1825</c:v>
                </c:pt>
                <c:pt idx="116">
                  <c:v>1825</c:v>
                </c:pt>
                <c:pt idx="117">
                  <c:v>1825</c:v>
                </c:pt>
                <c:pt idx="118">
                  <c:v>1825</c:v>
                </c:pt>
                <c:pt idx="119">
                  <c:v>1825</c:v>
                </c:pt>
                <c:pt idx="120">
                  <c:v>1825</c:v>
                </c:pt>
                <c:pt idx="121">
                  <c:v>1825</c:v>
                </c:pt>
                <c:pt idx="122">
                  <c:v>1825</c:v>
                </c:pt>
                <c:pt idx="123">
                  <c:v>1825</c:v>
                </c:pt>
                <c:pt idx="124">
                  <c:v>1825</c:v>
                </c:pt>
                <c:pt idx="125">
                  <c:v>1825</c:v>
                </c:pt>
                <c:pt idx="126">
                  <c:v>1825</c:v>
                </c:pt>
                <c:pt idx="127">
                  <c:v>1825</c:v>
                </c:pt>
                <c:pt idx="128">
                  <c:v>1825</c:v>
                </c:pt>
                <c:pt idx="129">
                  <c:v>1825</c:v>
                </c:pt>
                <c:pt idx="130">
                  <c:v>1825</c:v>
                </c:pt>
                <c:pt idx="131">
                  <c:v>1825</c:v>
                </c:pt>
                <c:pt idx="132">
                  <c:v>1825</c:v>
                </c:pt>
                <c:pt idx="133">
                  <c:v>1825</c:v>
                </c:pt>
                <c:pt idx="134">
                  <c:v>1825</c:v>
                </c:pt>
                <c:pt idx="135">
                  <c:v>1825</c:v>
                </c:pt>
                <c:pt idx="136">
                  <c:v>1825</c:v>
                </c:pt>
                <c:pt idx="137">
                  <c:v>1825</c:v>
                </c:pt>
                <c:pt idx="138">
                  <c:v>1825</c:v>
                </c:pt>
                <c:pt idx="139">
                  <c:v>1825</c:v>
                </c:pt>
                <c:pt idx="140">
                  <c:v>1825</c:v>
                </c:pt>
                <c:pt idx="141">
                  <c:v>1825</c:v>
                </c:pt>
                <c:pt idx="142">
                  <c:v>1825</c:v>
                </c:pt>
                <c:pt idx="143">
                  <c:v>1825</c:v>
                </c:pt>
                <c:pt idx="144">
                  <c:v>1825</c:v>
                </c:pt>
                <c:pt idx="145">
                  <c:v>1825</c:v>
                </c:pt>
                <c:pt idx="146">
                  <c:v>1825</c:v>
                </c:pt>
                <c:pt idx="147">
                  <c:v>1825</c:v>
                </c:pt>
                <c:pt idx="148">
                  <c:v>1825</c:v>
                </c:pt>
                <c:pt idx="149">
                  <c:v>1825</c:v>
                </c:pt>
                <c:pt idx="150">
                  <c:v>1825</c:v>
                </c:pt>
                <c:pt idx="151">
                  <c:v>1825</c:v>
                </c:pt>
                <c:pt idx="152">
                  <c:v>1825</c:v>
                </c:pt>
                <c:pt idx="153">
                  <c:v>1825</c:v>
                </c:pt>
                <c:pt idx="154">
                  <c:v>1825</c:v>
                </c:pt>
                <c:pt idx="155">
                  <c:v>1825</c:v>
                </c:pt>
                <c:pt idx="156">
                  <c:v>1825</c:v>
                </c:pt>
                <c:pt idx="157">
                  <c:v>1825</c:v>
                </c:pt>
                <c:pt idx="158">
                  <c:v>1825</c:v>
                </c:pt>
                <c:pt idx="159">
                  <c:v>1825</c:v>
                </c:pt>
                <c:pt idx="160">
                  <c:v>1825</c:v>
                </c:pt>
                <c:pt idx="161">
                  <c:v>1825</c:v>
                </c:pt>
                <c:pt idx="162">
                  <c:v>1825</c:v>
                </c:pt>
                <c:pt idx="163">
                  <c:v>1825</c:v>
                </c:pt>
                <c:pt idx="164">
                  <c:v>1825</c:v>
                </c:pt>
                <c:pt idx="165">
                  <c:v>1825</c:v>
                </c:pt>
                <c:pt idx="166">
                  <c:v>1825</c:v>
                </c:pt>
                <c:pt idx="167">
                  <c:v>1825</c:v>
                </c:pt>
                <c:pt idx="168">
                  <c:v>1825</c:v>
                </c:pt>
                <c:pt idx="169">
                  <c:v>1825</c:v>
                </c:pt>
                <c:pt idx="170">
                  <c:v>1825</c:v>
                </c:pt>
                <c:pt idx="171">
                  <c:v>1825</c:v>
                </c:pt>
                <c:pt idx="172">
                  <c:v>1825</c:v>
                </c:pt>
                <c:pt idx="173">
                  <c:v>1825</c:v>
                </c:pt>
                <c:pt idx="174">
                  <c:v>1825</c:v>
                </c:pt>
                <c:pt idx="175">
                  <c:v>1825</c:v>
                </c:pt>
                <c:pt idx="176">
                  <c:v>1825</c:v>
                </c:pt>
                <c:pt idx="177">
                  <c:v>1825</c:v>
                </c:pt>
                <c:pt idx="178">
                  <c:v>1825</c:v>
                </c:pt>
                <c:pt idx="179">
                  <c:v>1825</c:v>
                </c:pt>
                <c:pt idx="180">
                  <c:v>1825</c:v>
                </c:pt>
                <c:pt idx="181">
                  <c:v>1825</c:v>
                </c:pt>
                <c:pt idx="182">
                  <c:v>1825</c:v>
                </c:pt>
                <c:pt idx="183">
                  <c:v>1825</c:v>
                </c:pt>
                <c:pt idx="184">
                  <c:v>1825</c:v>
                </c:pt>
                <c:pt idx="185">
                  <c:v>1825</c:v>
                </c:pt>
                <c:pt idx="186">
                  <c:v>1825</c:v>
                </c:pt>
                <c:pt idx="187">
                  <c:v>1825</c:v>
                </c:pt>
                <c:pt idx="188">
                  <c:v>1825</c:v>
                </c:pt>
                <c:pt idx="189">
                  <c:v>1825</c:v>
                </c:pt>
                <c:pt idx="190">
                  <c:v>1825</c:v>
                </c:pt>
                <c:pt idx="191">
                  <c:v>1825</c:v>
                </c:pt>
                <c:pt idx="192">
                  <c:v>1825</c:v>
                </c:pt>
                <c:pt idx="193">
                  <c:v>1825</c:v>
                </c:pt>
                <c:pt idx="194">
                  <c:v>1825</c:v>
                </c:pt>
                <c:pt idx="195">
                  <c:v>1825</c:v>
                </c:pt>
                <c:pt idx="196">
                  <c:v>1825</c:v>
                </c:pt>
                <c:pt idx="197">
                  <c:v>1825</c:v>
                </c:pt>
                <c:pt idx="198">
                  <c:v>1825</c:v>
                </c:pt>
                <c:pt idx="199">
                  <c:v>1825</c:v>
                </c:pt>
                <c:pt idx="200">
                  <c:v>1825</c:v>
                </c:pt>
                <c:pt idx="201">
                  <c:v>1825</c:v>
                </c:pt>
                <c:pt idx="202">
                  <c:v>1825</c:v>
                </c:pt>
                <c:pt idx="203">
                  <c:v>1825</c:v>
                </c:pt>
                <c:pt idx="204">
                  <c:v>1825</c:v>
                </c:pt>
                <c:pt idx="205">
                  <c:v>1825</c:v>
                </c:pt>
                <c:pt idx="206">
                  <c:v>1825</c:v>
                </c:pt>
                <c:pt idx="207">
                  <c:v>1825</c:v>
                </c:pt>
                <c:pt idx="208">
                  <c:v>1825</c:v>
                </c:pt>
                <c:pt idx="209">
                  <c:v>1825</c:v>
                </c:pt>
                <c:pt idx="210">
                  <c:v>1825</c:v>
                </c:pt>
                <c:pt idx="211">
                  <c:v>1825</c:v>
                </c:pt>
                <c:pt idx="212">
                  <c:v>1825</c:v>
                </c:pt>
                <c:pt idx="213">
                  <c:v>1825</c:v>
                </c:pt>
                <c:pt idx="214">
                  <c:v>1825</c:v>
                </c:pt>
                <c:pt idx="215">
                  <c:v>1825</c:v>
                </c:pt>
                <c:pt idx="216">
                  <c:v>1825</c:v>
                </c:pt>
                <c:pt idx="217">
                  <c:v>1825</c:v>
                </c:pt>
                <c:pt idx="218">
                  <c:v>1825</c:v>
                </c:pt>
                <c:pt idx="219">
                  <c:v>1825</c:v>
                </c:pt>
                <c:pt idx="220">
                  <c:v>1825</c:v>
                </c:pt>
                <c:pt idx="221">
                  <c:v>1825</c:v>
                </c:pt>
                <c:pt idx="222">
                  <c:v>1825</c:v>
                </c:pt>
                <c:pt idx="223">
                  <c:v>1825</c:v>
                </c:pt>
                <c:pt idx="224">
                  <c:v>1825</c:v>
                </c:pt>
                <c:pt idx="225">
                  <c:v>1825</c:v>
                </c:pt>
                <c:pt idx="226">
                  <c:v>1825</c:v>
                </c:pt>
                <c:pt idx="227">
                  <c:v>1825</c:v>
                </c:pt>
                <c:pt idx="228">
                  <c:v>1825</c:v>
                </c:pt>
                <c:pt idx="229">
                  <c:v>1825</c:v>
                </c:pt>
                <c:pt idx="230">
                  <c:v>1825</c:v>
                </c:pt>
                <c:pt idx="231">
                  <c:v>1825</c:v>
                </c:pt>
                <c:pt idx="232">
                  <c:v>1825</c:v>
                </c:pt>
                <c:pt idx="233">
                  <c:v>1825</c:v>
                </c:pt>
                <c:pt idx="234">
                  <c:v>1825</c:v>
                </c:pt>
                <c:pt idx="235">
                  <c:v>1825</c:v>
                </c:pt>
                <c:pt idx="236">
                  <c:v>1825</c:v>
                </c:pt>
                <c:pt idx="237">
                  <c:v>1825</c:v>
                </c:pt>
                <c:pt idx="238">
                  <c:v>1825</c:v>
                </c:pt>
                <c:pt idx="239">
                  <c:v>1825</c:v>
                </c:pt>
                <c:pt idx="240">
                  <c:v>1825</c:v>
                </c:pt>
                <c:pt idx="241">
                  <c:v>1825</c:v>
                </c:pt>
                <c:pt idx="242">
                  <c:v>1825</c:v>
                </c:pt>
                <c:pt idx="243">
                  <c:v>1825</c:v>
                </c:pt>
                <c:pt idx="244">
                  <c:v>1825</c:v>
                </c:pt>
                <c:pt idx="245">
                  <c:v>1825</c:v>
                </c:pt>
                <c:pt idx="246">
                  <c:v>1825</c:v>
                </c:pt>
                <c:pt idx="247">
                  <c:v>1825</c:v>
                </c:pt>
                <c:pt idx="248">
                  <c:v>1825</c:v>
                </c:pt>
                <c:pt idx="249">
                  <c:v>1825</c:v>
                </c:pt>
                <c:pt idx="250">
                  <c:v>1825</c:v>
                </c:pt>
                <c:pt idx="251">
                  <c:v>1825</c:v>
                </c:pt>
                <c:pt idx="252">
                  <c:v>1825</c:v>
                </c:pt>
                <c:pt idx="253">
                  <c:v>1825</c:v>
                </c:pt>
                <c:pt idx="254">
                  <c:v>1825</c:v>
                </c:pt>
                <c:pt idx="255">
                  <c:v>1825</c:v>
                </c:pt>
                <c:pt idx="256">
                  <c:v>1825</c:v>
                </c:pt>
                <c:pt idx="257">
                  <c:v>1825</c:v>
                </c:pt>
                <c:pt idx="258">
                  <c:v>1825</c:v>
                </c:pt>
                <c:pt idx="259">
                  <c:v>1825</c:v>
                </c:pt>
                <c:pt idx="260">
                  <c:v>1825</c:v>
                </c:pt>
                <c:pt idx="261">
                  <c:v>1825</c:v>
                </c:pt>
                <c:pt idx="262">
                  <c:v>1825</c:v>
                </c:pt>
                <c:pt idx="263">
                  <c:v>1825</c:v>
                </c:pt>
                <c:pt idx="264">
                  <c:v>1825</c:v>
                </c:pt>
                <c:pt idx="265">
                  <c:v>1825</c:v>
                </c:pt>
                <c:pt idx="266">
                  <c:v>1825</c:v>
                </c:pt>
                <c:pt idx="267">
                  <c:v>1825</c:v>
                </c:pt>
                <c:pt idx="268">
                  <c:v>1825</c:v>
                </c:pt>
                <c:pt idx="269">
                  <c:v>1825</c:v>
                </c:pt>
                <c:pt idx="270">
                  <c:v>1825</c:v>
                </c:pt>
                <c:pt idx="271">
                  <c:v>1825</c:v>
                </c:pt>
                <c:pt idx="272">
                  <c:v>1825</c:v>
                </c:pt>
                <c:pt idx="273">
                  <c:v>1825</c:v>
                </c:pt>
                <c:pt idx="274">
                  <c:v>1825</c:v>
                </c:pt>
                <c:pt idx="275">
                  <c:v>1825</c:v>
                </c:pt>
                <c:pt idx="276">
                  <c:v>1825</c:v>
                </c:pt>
                <c:pt idx="277">
                  <c:v>1825</c:v>
                </c:pt>
                <c:pt idx="278">
                  <c:v>1825</c:v>
                </c:pt>
                <c:pt idx="279">
                  <c:v>1825</c:v>
                </c:pt>
                <c:pt idx="280">
                  <c:v>1825</c:v>
                </c:pt>
                <c:pt idx="281">
                  <c:v>1825</c:v>
                </c:pt>
                <c:pt idx="282">
                  <c:v>1825</c:v>
                </c:pt>
                <c:pt idx="283">
                  <c:v>1825</c:v>
                </c:pt>
                <c:pt idx="284">
                  <c:v>1825</c:v>
                </c:pt>
                <c:pt idx="285">
                  <c:v>1825</c:v>
                </c:pt>
                <c:pt idx="286">
                  <c:v>1825</c:v>
                </c:pt>
                <c:pt idx="287">
                  <c:v>1825</c:v>
                </c:pt>
                <c:pt idx="288">
                  <c:v>1825</c:v>
                </c:pt>
                <c:pt idx="289">
                  <c:v>1825</c:v>
                </c:pt>
                <c:pt idx="290">
                  <c:v>1825</c:v>
                </c:pt>
                <c:pt idx="291">
                  <c:v>1825</c:v>
                </c:pt>
                <c:pt idx="292">
                  <c:v>1825</c:v>
                </c:pt>
                <c:pt idx="293">
                  <c:v>1825</c:v>
                </c:pt>
                <c:pt idx="294">
                  <c:v>1825</c:v>
                </c:pt>
                <c:pt idx="295">
                  <c:v>1825</c:v>
                </c:pt>
                <c:pt idx="296">
                  <c:v>1825</c:v>
                </c:pt>
                <c:pt idx="297">
                  <c:v>1825</c:v>
                </c:pt>
                <c:pt idx="298">
                  <c:v>1825</c:v>
                </c:pt>
                <c:pt idx="299">
                  <c:v>1825</c:v>
                </c:pt>
                <c:pt idx="300">
                  <c:v>1825</c:v>
                </c:pt>
                <c:pt idx="301">
                  <c:v>1825</c:v>
                </c:pt>
                <c:pt idx="302">
                  <c:v>1825</c:v>
                </c:pt>
                <c:pt idx="303">
                  <c:v>1825</c:v>
                </c:pt>
                <c:pt idx="304">
                  <c:v>1825</c:v>
                </c:pt>
                <c:pt idx="305">
                  <c:v>1825</c:v>
                </c:pt>
                <c:pt idx="306">
                  <c:v>1825</c:v>
                </c:pt>
                <c:pt idx="307">
                  <c:v>1825</c:v>
                </c:pt>
                <c:pt idx="308">
                  <c:v>1825</c:v>
                </c:pt>
                <c:pt idx="309">
                  <c:v>1825</c:v>
                </c:pt>
                <c:pt idx="310">
                  <c:v>1825</c:v>
                </c:pt>
                <c:pt idx="311">
                  <c:v>1825</c:v>
                </c:pt>
                <c:pt idx="312">
                  <c:v>1825</c:v>
                </c:pt>
                <c:pt idx="313">
                  <c:v>1825</c:v>
                </c:pt>
                <c:pt idx="314">
                  <c:v>1825</c:v>
                </c:pt>
                <c:pt idx="315">
                  <c:v>1825</c:v>
                </c:pt>
                <c:pt idx="316">
                  <c:v>1825</c:v>
                </c:pt>
                <c:pt idx="317">
                  <c:v>1825</c:v>
                </c:pt>
                <c:pt idx="318">
                  <c:v>1825</c:v>
                </c:pt>
                <c:pt idx="319">
                  <c:v>1825</c:v>
                </c:pt>
                <c:pt idx="320">
                  <c:v>1825</c:v>
                </c:pt>
                <c:pt idx="321">
                  <c:v>1825</c:v>
                </c:pt>
                <c:pt idx="322">
                  <c:v>1825</c:v>
                </c:pt>
                <c:pt idx="323">
                  <c:v>1825</c:v>
                </c:pt>
                <c:pt idx="324">
                  <c:v>1825</c:v>
                </c:pt>
                <c:pt idx="325">
                  <c:v>1825</c:v>
                </c:pt>
                <c:pt idx="326">
                  <c:v>1825</c:v>
                </c:pt>
                <c:pt idx="327">
                  <c:v>1825</c:v>
                </c:pt>
                <c:pt idx="328">
                  <c:v>1825</c:v>
                </c:pt>
                <c:pt idx="329">
                  <c:v>1825</c:v>
                </c:pt>
                <c:pt idx="330">
                  <c:v>1825</c:v>
                </c:pt>
                <c:pt idx="331">
                  <c:v>1825</c:v>
                </c:pt>
                <c:pt idx="332">
                  <c:v>1825</c:v>
                </c:pt>
                <c:pt idx="333">
                  <c:v>1825</c:v>
                </c:pt>
                <c:pt idx="334">
                  <c:v>1825</c:v>
                </c:pt>
                <c:pt idx="335">
                  <c:v>1825</c:v>
                </c:pt>
                <c:pt idx="336">
                  <c:v>1825</c:v>
                </c:pt>
                <c:pt idx="337">
                  <c:v>1825</c:v>
                </c:pt>
                <c:pt idx="338">
                  <c:v>1825</c:v>
                </c:pt>
                <c:pt idx="339">
                  <c:v>1825</c:v>
                </c:pt>
                <c:pt idx="340">
                  <c:v>1825</c:v>
                </c:pt>
                <c:pt idx="341">
                  <c:v>1825</c:v>
                </c:pt>
                <c:pt idx="342">
                  <c:v>1825</c:v>
                </c:pt>
                <c:pt idx="343">
                  <c:v>1825</c:v>
                </c:pt>
                <c:pt idx="344">
                  <c:v>1825</c:v>
                </c:pt>
                <c:pt idx="345">
                  <c:v>1825</c:v>
                </c:pt>
                <c:pt idx="346">
                  <c:v>1825</c:v>
                </c:pt>
                <c:pt idx="347">
                  <c:v>1825</c:v>
                </c:pt>
                <c:pt idx="348">
                  <c:v>1825</c:v>
                </c:pt>
                <c:pt idx="349">
                  <c:v>1825</c:v>
                </c:pt>
                <c:pt idx="350">
                  <c:v>1825</c:v>
                </c:pt>
                <c:pt idx="351">
                  <c:v>1825</c:v>
                </c:pt>
                <c:pt idx="352">
                  <c:v>1825</c:v>
                </c:pt>
                <c:pt idx="353">
                  <c:v>1825</c:v>
                </c:pt>
                <c:pt idx="354">
                  <c:v>1825</c:v>
                </c:pt>
                <c:pt idx="355">
                  <c:v>1825</c:v>
                </c:pt>
                <c:pt idx="356">
                  <c:v>1825</c:v>
                </c:pt>
                <c:pt idx="357">
                  <c:v>1825</c:v>
                </c:pt>
                <c:pt idx="358">
                  <c:v>1825</c:v>
                </c:pt>
                <c:pt idx="359">
                  <c:v>1825</c:v>
                </c:pt>
                <c:pt idx="360">
                  <c:v>1825</c:v>
                </c:pt>
                <c:pt idx="361">
                  <c:v>1825</c:v>
                </c:pt>
                <c:pt idx="362">
                  <c:v>1825</c:v>
                </c:pt>
                <c:pt idx="363">
                  <c:v>1825</c:v>
                </c:pt>
                <c:pt idx="364">
                  <c:v>1825</c:v>
                </c:pt>
                <c:pt idx="365">
                  <c:v>1825</c:v>
                </c:pt>
                <c:pt idx="366">
                  <c:v>1825</c:v>
                </c:pt>
                <c:pt idx="367">
                  <c:v>1825</c:v>
                </c:pt>
                <c:pt idx="368">
                  <c:v>1825</c:v>
                </c:pt>
                <c:pt idx="369">
                  <c:v>1825</c:v>
                </c:pt>
                <c:pt idx="370">
                  <c:v>1825</c:v>
                </c:pt>
                <c:pt idx="371">
                  <c:v>1825</c:v>
                </c:pt>
                <c:pt idx="372">
                  <c:v>1825</c:v>
                </c:pt>
                <c:pt idx="373">
                  <c:v>1825</c:v>
                </c:pt>
                <c:pt idx="374">
                  <c:v>1825</c:v>
                </c:pt>
                <c:pt idx="375">
                  <c:v>1825</c:v>
                </c:pt>
                <c:pt idx="376">
                  <c:v>1825</c:v>
                </c:pt>
                <c:pt idx="377">
                  <c:v>1825</c:v>
                </c:pt>
                <c:pt idx="378">
                  <c:v>1825</c:v>
                </c:pt>
                <c:pt idx="379">
                  <c:v>1825</c:v>
                </c:pt>
                <c:pt idx="380">
                  <c:v>1825</c:v>
                </c:pt>
                <c:pt idx="381">
                  <c:v>1825</c:v>
                </c:pt>
                <c:pt idx="382">
                  <c:v>1825</c:v>
                </c:pt>
                <c:pt idx="383">
                  <c:v>1825</c:v>
                </c:pt>
                <c:pt idx="384">
                  <c:v>1825</c:v>
                </c:pt>
                <c:pt idx="385">
                  <c:v>1825</c:v>
                </c:pt>
                <c:pt idx="386">
                  <c:v>1825</c:v>
                </c:pt>
                <c:pt idx="387">
                  <c:v>1825</c:v>
                </c:pt>
                <c:pt idx="388">
                  <c:v>1825</c:v>
                </c:pt>
                <c:pt idx="389">
                  <c:v>1825</c:v>
                </c:pt>
                <c:pt idx="390">
                  <c:v>1825</c:v>
                </c:pt>
                <c:pt idx="391">
                  <c:v>1825</c:v>
                </c:pt>
                <c:pt idx="392">
                  <c:v>1825</c:v>
                </c:pt>
                <c:pt idx="393">
                  <c:v>1825</c:v>
                </c:pt>
                <c:pt idx="394">
                  <c:v>1825</c:v>
                </c:pt>
                <c:pt idx="395">
                  <c:v>1825</c:v>
                </c:pt>
                <c:pt idx="396">
                  <c:v>1825</c:v>
                </c:pt>
                <c:pt idx="397">
                  <c:v>1825</c:v>
                </c:pt>
                <c:pt idx="398">
                  <c:v>1825</c:v>
                </c:pt>
                <c:pt idx="399">
                  <c:v>1825</c:v>
                </c:pt>
                <c:pt idx="400">
                  <c:v>1825</c:v>
                </c:pt>
                <c:pt idx="401">
                  <c:v>1825</c:v>
                </c:pt>
                <c:pt idx="402">
                  <c:v>1825</c:v>
                </c:pt>
                <c:pt idx="403">
                  <c:v>1825</c:v>
                </c:pt>
                <c:pt idx="404">
                  <c:v>1825</c:v>
                </c:pt>
                <c:pt idx="405">
                  <c:v>1825</c:v>
                </c:pt>
                <c:pt idx="406">
                  <c:v>1825</c:v>
                </c:pt>
                <c:pt idx="407">
                  <c:v>1825</c:v>
                </c:pt>
                <c:pt idx="408">
                  <c:v>1825</c:v>
                </c:pt>
                <c:pt idx="409">
                  <c:v>1825</c:v>
                </c:pt>
                <c:pt idx="410">
                  <c:v>1825</c:v>
                </c:pt>
                <c:pt idx="411">
                  <c:v>1825</c:v>
                </c:pt>
                <c:pt idx="412">
                  <c:v>1825</c:v>
                </c:pt>
                <c:pt idx="413">
                  <c:v>1825</c:v>
                </c:pt>
                <c:pt idx="414">
                  <c:v>1825</c:v>
                </c:pt>
                <c:pt idx="415">
                  <c:v>1825</c:v>
                </c:pt>
                <c:pt idx="416">
                  <c:v>1825</c:v>
                </c:pt>
                <c:pt idx="417">
                  <c:v>1825</c:v>
                </c:pt>
                <c:pt idx="418">
                  <c:v>1825</c:v>
                </c:pt>
                <c:pt idx="419">
                  <c:v>1825</c:v>
                </c:pt>
                <c:pt idx="420">
                  <c:v>1825</c:v>
                </c:pt>
                <c:pt idx="421">
                  <c:v>1825</c:v>
                </c:pt>
                <c:pt idx="422">
                  <c:v>1825</c:v>
                </c:pt>
                <c:pt idx="423">
                  <c:v>1825</c:v>
                </c:pt>
                <c:pt idx="424">
                  <c:v>1825</c:v>
                </c:pt>
                <c:pt idx="425">
                  <c:v>1825</c:v>
                </c:pt>
                <c:pt idx="426">
                  <c:v>1825</c:v>
                </c:pt>
                <c:pt idx="427">
                  <c:v>1825</c:v>
                </c:pt>
                <c:pt idx="428">
                  <c:v>1825</c:v>
                </c:pt>
                <c:pt idx="429">
                  <c:v>1825</c:v>
                </c:pt>
                <c:pt idx="430">
                  <c:v>1825</c:v>
                </c:pt>
                <c:pt idx="431">
                  <c:v>1825</c:v>
                </c:pt>
                <c:pt idx="432">
                  <c:v>1825</c:v>
                </c:pt>
                <c:pt idx="433">
                  <c:v>1825</c:v>
                </c:pt>
                <c:pt idx="434">
                  <c:v>1825</c:v>
                </c:pt>
                <c:pt idx="435">
                  <c:v>1825</c:v>
                </c:pt>
                <c:pt idx="436">
                  <c:v>1825</c:v>
                </c:pt>
                <c:pt idx="437">
                  <c:v>1825</c:v>
                </c:pt>
                <c:pt idx="438">
                  <c:v>1825</c:v>
                </c:pt>
                <c:pt idx="439">
                  <c:v>1825</c:v>
                </c:pt>
                <c:pt idx="440">
                  <c:v>1825</c:v>
                </c:pt>
                <c:pt idx="441">
                  <c:v>1825</c:v>
                </c:pt>
                <c:pt idx="442">
                  <c:v>1825</c:v>
                </c:pt>
                <c:pt idx="443">
                  <c:v>1825</c:v>
                </c:pt>
                <c:pt idx="444">
                  <c:v>1825</c:v>
                </c:pt>
                <c:pt idx="445">
                  <c:v>1825</c:v>
                </c:pt>
                <c:pt idx="446">
                  <c:v>1825</c:v>
                </c:pt>
                <c:pt idx="447">
                  <c:v>1825</c:v>
                </c:pt>
                <c:pt idx="448">
                  <c:v>1825</c:v>
                </c:pt>
                <c:pt idx="449">
                  <c:v>1825</c:v>
                </c:pt>
                <c:pt idx="450">
                  <c:v>1825</c:v>
                </c:pt>
                <c:pt idx="451">
                  <c:v>1825</c:v>
                </c:pt>
                <c:pt idx="452">
                  <c:v>1825</c:v>
                </c:pt>
                <c:pt idx="453">
                  <c:v>1825</c:v>
                </c:pt>
                <c:pt idx="454">
                  <c:v>1825</c:v>
                </c:pt>
                <c:pt idx="455">
                  <c:v>1825</c:v>
                </c:pt>
                <c:pt idx="456">
                  <c:v>1825</c:v>
                </c:pt>
                <c:pt idx="457">
                  <c:v>1825</c:v>
                </c:pt>
                <c:pt idx="458">
                  <c:v>1825</c:v>
                </c:pt>
                <c:pt idx="459">
                  <c:v>1825</c:v>
                </c:pt>
                <c:pt idx="460">
                  <c:v>1825</c:v>
                </c:pt>
                <c:pt idx="461">
                  <c:v>1825</c:v>
                </c:pt>
                <c:pt idx="462">
                  <c:v>1825</c:v>
                </c:pt>
                <c:pt idx="463">
                  <c:v>1825</c:v>
                </c:pt>
                <c:pt idx="464">
                  <c:v>1825</c:v>
                </c:pt>
                <c:pt idx="465">
                  <c:v>1825</c:v>
                </c:pt>
                <c:pt idx="466">
                  <c:v>1825</c:v>
                </c:pt>
                <c:pt idx="467">
                  <c:v>1825</c:v>
                </c:pt>
                <c:pt idx="468">
                  <c:v>1825</c:v>
                </c:pt>
                <c:pt idx="469">
                  <c:v>1825</c:v>
                </c:pt>
                <c:pt idx="470">
                  <c:v>1825</c:v>
                </c:pt>
                <c:pt idx="471">
                  <c:v>1825</c:v>
                </c:pt>
                <c:pt idx="472">
                  <c:v>1825</c:v>
                </c:pt>
                <c:pt idx="473">
                  <c:v>1825</c:v>
                </c:pt>
                <c:pt idx="474">
                  <c:v>1825</c:v>
                </c:pt>
                <c:pt idx="475">
                  <c:v>1825</c:v>
                </c:pt>
                <c:pt idx="476">
                  <c:v>1825</c:v>
                </c:pt>
                <c:pt idx="477">
                  <c:v>1825</c:v>
                </c:pt>
                <c:pt idx="478">
                  <c:v>1825</c:v>
                </c:pt>
                <c:pt idx="479">
                  <c:v>1825</c:v>
                </c:pt>
                <c:pt idx="480">
                  <c:v>1825</c:v>
                </c:pt>
                <c:pt idx="481">
                  <c:v>1825</c:v>
                </c:pt>
                <c:pt idx="482">
                  <c:v>1825</c:v>
                </c:pt>
                <c:pt idx="483">
                  <c:v>1825</c:v>
                </c:pt>
                <c:pt idx="484">
                  <c:v>1825</c:v>
                </c:pt>
                <c:pt idx="485">
                  <c:v>1825</c:v>
                </c:pt>
                <c:pt idx="486">
                  <c:v>1825</c:v>
                </c:pt>
                <c:pt idx="487">
                  <c:v>1825</c:v>
                </c:pt>
                <c:pt idx="488">
                  <c:v>1825</c:v>
                </c:pt>
                <c:pt idx="489">
                  <c:v>1825</c:v>
                </c:pt>
                <c:pt idx="490">
                  <c:v>1825</c:v>
                </c:pt>
                <c:pt idx="491">
                  <c:v>1825</c:v>
                </c:pt>
                <c:pt idx="492">
                  <c:v>1825</c:v>
                </c:pt>
                <c:pt idx="493">
                  <c:v>1825</c:v>
                </c:pt>
                <c:pt idx="494">
                  <c:v>1825</c:v>
                </c:pt>
                <c:pt idx="495">
                  <c:v>1825</c:v>
                </c:pt>
                <c:pt idx="496">
                  <c:v>1825</c:v>
                </c:pt>
                <c:pt idx="497">
                  <c:v>1825</c:v>
                </c:pt>
                <c:pt idx="498">
                  <c:v>1825</c:v>
                </c:pt>
                <c:pt idx="499">
                  <c:v>1825</c:v>
                </c:pt>
                <c:pt idx="500">
                  <c:v>1825</c:v>
                </c:pt>
                <c:pt idx="501">
                  <c:v>1825</c:v>
                </c:pt>
                <c:pt idx="502">
                  <c:v>1825</c:v>
                </c:pt>
                <c:pt idx="503">
                  <c:v>1825</c:v>
                </c:pt>
                <c:pt idx="504">
                  <c:v>1825</c:v>
                </c:pt>
                <c:pt idx="505">
                  <c:v>1825</c:v>
                </c:pt>
                <c:pt idx="506">
                  <c:v>1825</c:v>
                </c:pt>
                <c:pt idx="507">
                  <c:v>1825</c:v>
                </c:pt>
                <c:pt idx="508">
                  <c:v>1825</c:v>
                </c:pt>
                <c:pt idx="509">
                  <c:v>1825</c:v>
                </c:pt>
                <c:pt idx="510">
                  <c:v>1825</c:v>
                </c:pt>
                <c:pt idx="511">
                  <c:v>1825</c:v>
                </c:pt>
                <c:pt idx="512">
                  <c:v>1825</c:v>
                </c:pt>
                <c:pt idx="513">
                  <c:v>1825</c:v>
                </c:pt>
                <c:pt idx="514">
                  <c:v>1825</c:v>
                </c:pt>
                <c:pt idx="515">
                  <c:v>1825</c:v>
                </c:pt>
                <c:pt idx="516">
                  <c:v>1825</c:v>
                </c:pt>
                <c:pt idx="517">
                  <c:v>1825</c:v>
                </c:pt>
                <c:pt idx="518">
                  <c:v>1825</c:v>
                </c:pt>
                <c:pt idx="519">
                  <c:v>1825</c:v>
                </c:pt>
                <c:pt idx="520">
                  <c:v>1825</c:v>
                </c:pt>
                <c:pt idx="521">
                  <c:v>1825</c:v>
                </c:pt>
                <c:pt idx="522">
                  <c:v>1825</c:v>
                </c:pt>
                <c:pt idx="523">
                  <c:v>1825</c:v>
                </c:pt>
                <c:pt idx="524">
                  <c:v>1825</c:v>
                </c:pt>
                <c:pt idx="525">
                  <c:v>1825</c:v>
                </c:pt>
                <c:pt idx="526">
                  <c:v>1825</c:v>
                </c:pt>
                <c:pt idx="527">
                  <c:v>1825</c:v>
                </c:pt>
                <c:pt idx="528">
                  <c:v>1825</c:v>
                </c:pt>
                <c:pt idx="529">
                  <c:v>1825</c:v>
                </c:pt>
                <c:pt idx="530">
                  <c:v>1825</c:v>
                </c:pt>
                <c:pt idx="531">
                  <c:v>1825</c:v>
                </c:pt>
                <c:pt idx="532">
                  <c:v>1825</c:v>
                </c:pt>
                <c:pt idx="533">
                  <c:v>1825</c:v>
                </c:pt>
                <c:pt idx="534">
                  <c:v>1825</c:v>
                </c:pt>
                <c:pt idx="535">
                  <c:v>1825</c:v>
                </c:pt>
                <c:pt idx="536">
                  <c:v>1825</c:v>
                </c:pt>
                <c:pt idx="537">
                  <c:v>1825</c:v>
                </c:pt>
                <c:pt idx="538">
                  <c:v>1825</c:v>
                </c:pt>
                <c:pt idx="539">
                  <c:v>1825</c:v>
                </c:pt>
                <c:pt idx="540">
                  <c:v>1825</c:v>
                </c:pt>
                <c:pt idx="541">
                  <c:v>1825</c:v>
                </c:pt>
                <c:pt idx="542">
                  <c:v>1825</c:v>
                </c:pt>
                <c:pt idx="543">
                  <c:v>1825</c:v>
                </c:pt>
                <c:pt idx="544">
                  <c:v>1825</c:v>
                </c:pt>
                <c:pt idx="545">
                  <c:v>1825</c:v>
                </c:pt>
                <c:pt idx="546">
                  <c:v>1825</c:v>
                </c:pt>
                <c:pt idx="547">
                  <c:v>1825</c:v>
                </c:pt>
                <c:pt idx="548">
                  <c:v>1825</c:v>
                </c:pt>
                <c:pt idx="549">
                  <c:v>1825</c:v>
                </c:pt>
                <c:pt idx="550">
                  <c:v>1825</c:v>
                </c:pt>
                <c:pt idx="551">
                  <c:v>1825</c:v>
                </c:pt>
                <c:pt idx="552">
                  <c:v>1825</c:v>
                </c:pt>
                <c:pt idx="553">
                  <c:v>1825</c:v>
                </c:pt>
                <c:pt idx="554">
                  <c:v>1825</c:v>
                </c:pt>
                <c:pt idx="555">
                  <c:v>1825</c:v>
                </c:pt>
                <c:pt idx="556">
                  <c:v>1825</c:v>
                </c:pt>
                <c:pt idx="557">
                  <c:v>1825</c:v>
                </c:pt>
                <c:pt idx="558">
                  <c:v>1825</c:v>
                </c:pt>
                <c:pt idx="559">
                  <c:v>1825</c:v>
                </c:pt>
                <c:pt idx="560">
                  <c:v>1825</c:v>
                </c:pt>
                <c:pt idx="561">
                  <c:v>1825</c:v>
                </c:pt>
                <c:pt idx="562">
                  <c:v>1825</c:v>
                </c:pt>
                <c:pt idx="563">
                  <c:v>1825</c:v>
                </c:pt>
                <c:pt idx="564">
                  <c:v>1825</c:v>
                </c:pt>
                <c:pt idx="565">
                  <c:v>1825</c:v>
                </c:pt>
                <c:pt idx="566">
                  <c:v>1825</c:v>
                </c:pt>
                <c:pt idx="567">
                  <c:v>1825</c:v>
                </c:pt>
                <c:pt idx="568">
                  <c:v>1825</c:v>
                </c:pt>
                <c:pt idx="569">
                  <c:v>1825</c:v>
                </c:pt>
                <c:pt idx="570">
                  <c:v>1825</c:v>
                </c:pt>
                <c:pt idx="571">
                  <c:v>1825</c:v>
                </c:pt>
                <c:pt idx="572">
                  <c:v>1825</c:v>
                </c:pt>
                <c:pt idx="573">
                  <c:v>1825</c:v>
                </c:pt>
                <c:pt idx="574">
                  <c:v>1825</c:v>
                </c:pt>
                <c:pt idx="575">
                  <c:v>1825</c:v>
                </c:pt>
                <c:pt idx="576">
                  <c:v>1825</c:v>
                </c:pt>
                <c:pt idx="577">
                  <c:v>1825</c:v>
                </c:pt>
                <c:pt idx="578">
                  <c:v>1825</c:v>
                </c:pt>
                <c:pt idx="579">
                  <c:v>1825</c:v>
                </c:pt>
                <c:pt idx="580">
                  <c:v>1825</c:v>
                </c:pt>
                <c:pt idx="581">
                  <c:v>1825</c:v>
                </c:pt>
                <c:pt idx="582">
                  <c:v>1825</c:v>
                </c:pt>
                <c:pt idx="583">
                  <c:v>1825</c:v>
                </c:pt>
                <c:pt idx="584">
                  <c:v>1825</c:v>
                </c:pt>
                <c:pt idx="585">
                  <c:v>1825</c:v>
                </c:pt>
                <c:pt idx="586">
                  <c:v>1825</c:v>
                </c:pt>
                <c:pt idx="587">
                  <c:v>1825</c:v>
                </c:pt>
                <c:pt idx="588">
                  <c:v>1825</c:v>
                </c:pt>
                <c:pt idx="589">
                  <c:v>1825</c:v>
                </c:pt>
                <c:pt idx="590">
                  <c:v>1825</c:v>
                </c:pt>
                <c:pt idx="591">
                  <c:v>1825</c:v>
                </c:pt>
                <c:pt idx="592">
                  <c:v>1825</c:v>
                </c:pt>
                <c:pt idx="593">
                  <c:v>1825</c:v>
                </c:pt>
                <c:pt idx="594">
                  <c:v>1825</c:v>
                </c:pt>
                <c:pt idx="595">
                  <c:v>1825</c:v>
                </c:pt>
                <c:pt idx="596">
                  <c:v>1825</c:v>
                </c:pt>
                <c:pt idx="597">
                  <c:v>1825</c:v>
                </c:pt>
                <c:pt idx="598">
                  <c:v>1825</c:v>
                </c:pt>
                <c:pt idx="599">
                  <c:v>1825</c:v>
                </c:pt>
                <c:pt idx="600">
                  <c:v>1825</c:v>
                </c:pt>
                <c:pt idx="601">
                  <c:v>1825</c:v>
                </c:pt>
                <c:pt idx="602">
                  <c:v>1825</c:v>
                </c:pt>
                <c:pt idx="603">
                  <c:v>1825</c:v>
                </c:pt>
                <c:pt idx="604">
                  <c:v>1825</c:v>
                </c:pt>
                <c:pt idx="605">
                  <c:v>1825</c:v>
                </c:pt>
                <c:pt idx="606">
                  <c:v>1825</c:v>
                </c:pt>
                <c:pt idx="607">
                  <c:v>1825</c:v>
                </c:pt>
                <c:pt idx="608">
                  <c:v>1825</c:v>
                </c:pt>
                <c:pt idx="609">
                  <c:v>1825</c:v>
                </c:pt>
                <c:pt idx="610">
                  <c:v>1825</c:v>
                </c:pt>
                <c:pt idx="611">
                  <c:v>1825</c:v>
                </c:pt>
                <c:pt idx="612">
                  <c:v>1825</c:v>
                </c:pt>
                <c:pt idx="613">
                  <c:v>1825</c:v>
                </c:pt>
                <c:pt idx="614">
                  <c:v>1825</c:v>
                </c:pt>
                <c:pt idx="615">
                  <c:v>1825</c:v>
                </c:pt>
                <c:pt idx="616">
                  <c:v>1825</c:v>
                </c:pt>
                <c:pt idx="617">
                  <c:v>1825</c:v>
                </c:pt>
                <c:pt idx="618">
                  <c:v>1825</c:v>
                </c:pt>
                <c:pt idx="619">
                  <c:v>1825</c:v>
                </c:pt>
                <c:pt idx="620">
                  <c:v>1825</c:v>
                </c:pt>
                <c:pt idx="621">
                  <c:v>1825</c:v>
                </c:pt>
                <c:pt idx="622">
                  <c:v>1825</c:v>
                </c:pt>
                <c:pt idx="623">
                  <c:v>1825</c:v>
                </c:pt>
                <c:pt idx="624">
                  <c:v>1825</c:v>
                </c:pt>
                <c:pt idx="625">
                  <c:v>1825</c:v>
                </c:pt>
                <c:pt idx="626">
                  <c:v>1825</c:v>
                </c:pt>
                <c:pt idx="627">
                  <c:v>1825</c:v>
                </c:pt>
                <c:pt idx="628">
                  <c:v>1825</c:v>
                </c:pt>
                <c:pt idx="629">
                  <c:v>1825</c:v>
                </c:pt>
                <c:pt idx="630">
                  <c:v>1825</c:v>
                </c:pt>
                <c:pt idx="631">
                  <c:v>1825</c:v>
                </c:pt>
                <c:pt idx="632">
                  <c:v>1825</c:v>
                </c:pt>
                <c:pt idx="633">
                  <c:v>1825</c:v>
                </c:pt>
                <c:pt idx="634">
                  <c:v>1825</c:v>
                </c:pt>
                <c:pt idx="635">
                  <c:v>1825</c:v>
                </c:pt>
                <c:pt idx="636">
                  <c:v>1825</c:v>
                </c:pt>
                <c:pt idx="637">
                  <c:v>1825</c:v>
                </c:pt>
                <c:pt idx="638">
                  <c:v>1825</c:v>
                </c:pt>
                <c:pt idx="639">
                  <c:v>1825</c:v>
                </c:pt>
                <c:pt idx="640">
                  <c:v>1825</c:v>
                </c:pt>
                <c:pt idx="641">
                  <c:v>1825</c:v>
                </c:pt>
                <c:pt idx="642">
                  <c:v>1825</c:v>
                </c:pt>
                <c:pt idx="643">
                  <c:v>1825</c:v>
                </c:pt>
                <c:pt idx="644">
                  <c:v>1825</c:v>
                </c:pt>
                <c:pt idx="645">
                  <c:v>1825</c:v>
                </c:pt>
                <c:pt idx="646">
                  <c:v>1825</c:v>
                </c:pt>
                <c:pt idx="647">
                  <c:v>1825</c:v>
                </c:pt>
                <c:pt idx="648">
                  <c:v>1825</c:v>
                </c:pt>
                <c:pt idx="649">
                  <c:v>1825</c:v>
                </c:pt>
                <c:pt idx="650">
                  <c:v>1825</c:v>
                </c:pt>
                <c:pt idx="651">
                  <c:v>1825</c:v>
                </c:pt>
                <c:pt idx="652">
                  <c:v>1825</c:v>
                </c:pt>
                <c:pt idx="653">
                  <c:v>1825</c:v>
                </c:pt>
                <c:pt idx="654">
                  <c:v>1825</c:v>
                </c:pt>
                <c:pt idx="655">
                  <c:v>1825</c:v>
                </c:pt>
                <c:pt idx="656">
                  <c:v>1825</c:v>
                </c:pt>
                <c:pt idx="657">
                  <c:v>1825</c:v>
                </c:pt>
                <c:pt idx="658">
                  <c:v>1825</c:v>
                </c:pt>
                <c:pt idx="659">
                  <c:v>1825</c:v>
                </c:pt>
                <c:pt idx="660">
                  <c:v>1825</c:v>
                </c:pt>
                <c:pt idx="661">
                  <c:v>1825</c:v>
                </c:pt>
                <c:pt idx="662">
                  <c:v>1825</c:v>
                </c:pt>
                <c:pt idx="663">
                  <c:v>1825</c:v>
                </c:pt>
                <c:pt idx="664">
                  <c:v>1825</c:v>
                </c:pt>
                <c:pt idx="665">
                  <c:v>1825</c:v>
                </c:pt>
                <c:pt idx="666">
                  <c:v>1825</c:v>
                </c:pt>
                <c:pt idx="667">
                  <c:v>1825</c:v>
                </c:pt>
                <c:pt idx="668">
                  <c:v>1825</c:v>
                </c:pt>
                <c:pt idx="669">
                  <c:v>1825</c:v>
                </c:pt>
                <c:pt idx="670">
                  <c:v>1825</c:v>
                </c:pt>
                <c:pt idx="671">
                  <c:v>1825</c:v>
                </c:pt>
                <c:pt idx="672">
                  <c:v>1825</c:v>
                </c:pt>
                <c:pt idx="673">
                  <c:v>1825</c:v>
                </c:pt>
                <c:pt idx="674">
                  <c:v>1825</c:v>
                </c:pt>
                <c:pt idx="675">
                  <c:v>1825</c:v>
                </c:pt>
                <c:pt idx="676">
                  <c:v>1825</c:v>
                </c:pt>
                <c:pt idx="677">
                  <c:v>1825</c:v>
                </c:pt>
                <c:pt idx="678">
                  <c:v>1825</c:v>
                </c:pt>
                <c:pt idx="679">
                  <c:v>1825</c:v>
                </c:pt>
                <c:pt idx="680">
                  <c:v>1825</c:v>
                </c:pt>
                <c:pt idx="681">
                  <c:v>1825</c:v>
                </c:pt>
                <c:pt idx="682">
                  <c:v>1825</c:v>
                </c:pt>
                <c:pt idx="683">
                  <c:v>1825</c:v>
                </c:pt>
                <c:pt idx="684">
                  <c:v>1825</c:v>
                </c:pt>
                <c:pt idx="685">
                  <c:v>1825</c:v>
                </c:pt>
                <c:pt idx="686">
                  <c:v>1825</c:v>
                </c:pt>
                <c:pt idx="687">
                  <c:v>1825</c:v>
                </c:pt>
                <c:pt idx="688">
                  <c:v>1825</c:v>
                </c:pt>
                <c:pt idx="689">
                  <c:v>1825</c:v>
                </c:pt>
                <c:pt idx="690">
                  <c:v>1825</c:v>
                </c:pt>
                <c:pt idx="691">
                  <c:v>1825</c:v>
                </c:pt>
                <c:pt idx="692">
                  <c:v>1825</c:v>
                </c:pt>
                <c:pt idx="693">
                  <c:v>1825</c:v>
                </c:pt>
                <c:pt idx="694">
                  <c:v>1825</c:v>
                </c:pt>
                <c:pt idx="695">
                  <c:v>1825</c:v>
                </c:pt>
                <c:pt idx="696">
                  <c:v>1825</c:v>
                </c:pt>
                <c:pt idx="697">
                  <c:v>1825</c:v>
                </c:pt>
                <c:pt idx="698">
                  <c:v>1825</c:v>
                </c:pt>
                <c:pt idx="699">
                  <c:v>1825</c:v>
                </c:pt>
                <c:pt idx="700">
                  <c:v>1825</c:v>
                </c:pt>
                <c:pt idx="701">
                  <c:v>1825</c:v>
                </c:pt>
                <c:pt idx="702">
                  <c:v>1825</c:v>
                </c:pt>
                <c:pt idx="703">
                  <c:v>1825</c:v>
                </c:pt>
                <c:pt idx="704">
                  <c:v>1825</c:v>
                </c:pt>
                <c:pt idx="705">
                  <c:v>1825</c:v>
                </c:pt>
                <c:pt idx="706">
                  <c:v>1825</c:v>
                </c:pt>
                <c:pt idx="707">
                  <c:v>1825</c:v>
                </c:pt>
                <c:pt idx="708">
                  <c:v>1825</c:v>
                </c:pt>
                <c:pt idx="709">
                  <c:v>1825</c:v>
                </c:pt>
                <c:pt idx="710">
                  <c:v>1825</c:v>
                </c:pt>
                <c:pt idx="711">
                  <c:v>1825</c:v>
                </c:pt>
                <c:pt idx="712">
                  <c:v>1825</c:v>
                </c:pt>
                <c:pt idx="713">
                  <c:v>1825</c:v>
                </c:pt>
                <c:pt idx="714">
                  <c:v>1825</c:v>
                </c:pt>
                <c:pt idx="715">
                  <c:v>1825</c:v>
                </c:pt>
                <c:pt idx="716">
                  <c:v>1825</c:v>
                </c:pt>
                <c:pt idx="717">
                  <c:v>1825</c:v>
                </c:pt>
                <c:pt idx="718">
                  <c:v>1825</c:v>
                </c:pt>
                <c:pt idx="719">
                  <c:v>1825</c:v>
                </c:pt>
                <c:pt idx="720">
                  <c:v>1825</c:v>
                </c:pt>
                <c:pt idx="721">
                  <c:v>1825</c:v>
                </c:pt>
                <c:pt idx="722">
                  <c:v>1825</c:v>
                </c:pt>
                <c:pt idx="723">
                  <c:v>1825</c:v>
                </c:pt>
                <c:pt idx="724">
                  <c:v>1825</c:v>
                </c:pt>
                <c:pt idx="725">
                  <c:v>1825</c:v>
                </c:pt>
                <c:pt idx="726">
                  <c:v>1825</c:v>
                </c:pt>
                <c:pt idx="727">
                  <c:v>1825</c:v>
                </c:pt>
                <c:pt idx="728">
                  <c:v>1825</c:v>
                </c:pt>
                <c:pt idx="729">
                  <c:v>1825</c:v>
                </c:pt>
                <c:pt idx="730">
                  <c:v>1825</c:v>
                </c:pt>
                <c:pt idx="731">
                  <c:v>1825</c:v>
                </c:pt>
                <c:pt idx="732">
                  <c:v>1825</c:v>
                </c:pt>
                <c:pt idx="733">
                  <c:v>1825</c:v>
                </c:pt>
                <c:pt idx="734">
                  <c:v>1825</c:v>
                </c:pt>
                <c:pt idx="735">
                  <c:v>1825</c:v>
                </c:pt>
                <c:pt idx="736">
                  <c:v>1825</c:v>
                </c:pt>
                <c:pt idx="737">
                  <c:v>1825</c:v>
                </c:pt>
                <c:pt idx="738">
                  <c:v>1825</c:v>
                </c:pt>
                <c:pt idx="739">
                  <c:v>1825</c:v>
                </c:pt>
                <c:pt idx="740">
                  <c:v>1825</c:v>
                </c:pt>
                <c:pt idx="741">
                  <c:v>1825</c:v>
                </c:pt>
                <c:pt idx="742">
                  <c:v>1825</c:v>
                </c:pt>
                <c:pt idx="743">
                  <c:v>1825</c:v>
                </c:pt>
                <c:pt idx="744">
                  <c:v>1825</c:v>
                </c:pt>
                <c:pt idx="745">
                  <c:v>1825</c:v>
                </c:pt>
                <c:pt idx="746">
                  <c:v>1825</c:v>
                </c:pt>
                <c:pt idx="747">
                  <c:v>1825</c:v>
                </c:pt>
                <c:pt idx="748">
                  <c:v>1825</c:v>
                </c:pt>
                <c:pt idx="749">
                  <c:v>1825</c:v>
                </c:pt>
                <c:pt idx="750">
                  <c:v>1825</c:v>
                </c:pt>
                <c:pt idx="751">
                  <c:v>1825</c:v>
                </c:pt>
                <c:pt idx="752">
                  <c:v>1825</c:v>
                </c:pt>
                <c:pt idx="753">
                  <c:v>1825</c:v>
                </c:pt>
                <c:pt idx="754">
                  <c:v>1825</c:v>
                </c:pt>
                <c:pt idx="755">
                  <c:v>1825</c:v>
                </c:pt>
                <c:pt idx="756">
                  <c:v>1825</c:v>
                </c:pt>
                <c:pt idx="757">
                  <c:v>1825</c:v>
                </c:pt>
                <c:pt idx="758">
                  <c:v>1825</c:v>
                </c:pt>
                <c:pt idx="759">
                  <c:v>1825</c:v>
                </c:pt>
                <c:pt idx="760">
                  <c:v>1825</c:v>
                </c:pt>
                <c:pt idx="761">
                  <c:v>1825</c:v>
                </c:pt>
                <c:pt idx="762">
                  <c:v>1825</c:v>
                </c:pt>
                <c:pt idx="763">
                  <c:v>1825</c:v>
                </c:pt>
                <c:pt idx="764">
                  <c:v>1825</c:v>
                </c:pt>
                <c:pt idx="765">
                  <c:v>1825</c:v>
                </c:pt>
                <c:pt idx="766">
                  <c:v>1825</c:v>
                </c:pt>
                <c:pt idx="767">
                  <c:v>1825</c:v>
                </c:pt>
                <c:pt idx="768">
                  <c:v>1825</c:v>
                </c:pt>
                <c:pt idx="769">
                  <c:v>1825</c:v>
                </c:pt>
                <c:pt idx="770">
                  <c:v>1825</c:v>
                </c:pt>
                <c:pt idx="771">
                  <c:v>1825</c:v>
                </c:pt>
                <c:pt idx="772">
                  <c:v>1825</c:v>
                </c:pt>
                <c:pt idx="773">
                  <c:v>1825</c:v>
                </c:pt>
                <c:pt idx="774">
                  <c:v>1825</c:v>
                </c:pt>
                <c:pt idx="775">
                  <c:v>1825</c:v>
                </c:pt>
                <c:pt idx="776">
                  <c:v>1825</c:v>
                </c:pt>
                <c:pt idx="777">
                  <c:v>1825</c:v>
                </c:pt>
                <c:pt idx="778">
                  <c:v>1825</c:v>
                </c:pt>
                <c:pt idx="779">
                  <c:v>1825</c:v>
                </c:pt>
                <c:pt idx="780">
                  <c:v>1825</c:v>
                </c:pt>
                <c:pt idx="781">
                  <c:v>1825</c:v>
                </c:pt>
                <c:pt idx="782">
                  <c:v>1825</c:v>
                </c:pt>
                <c:pt idx="783">
                  <c:v>1825</c:v>
                </c:pt>
                <c:pt idx="784">
                  <c:v>1825</c:v>
                </c:pt>
                <c:pt idx="785">
                  <c:v>1825</c:v>
                </c:pt>
                <c:pt idx="786">
                  <c:v>1825</c:v>
                </c:pt>
                <c:pt idx="787">
                  <c:v>1825</c:v>
                </c:pt>
                <c:pt idx="788">
                  <c:v>1825</c:v>
                </c:pt>
                <c:pt idx="789">
                  <c:v>1825</c:v>
                </c:pt>
                <c:pt idx="790">
                  <c:v>1825</c:v>
                </c:pt>
                <c:pt idx="791">
                  <c:v>1825</c:v>
                </c:pt>
                <c:pt idx="792">
                  <c:v>1825</c:v>
                </c:pt>
                <c:pt idx="793">
                  <c:v>1825</c:v>
                </c:pt>
                <c:pt idx="794">
                  <c:v>1825</c:v>
                </c:pt>
                <c:pt idx="795">
                  <c:v>1825</c:v>
                </c:pt>
                <c:pt idx="796">
                  <c:v>1825</c:v>
                </c:pt>
                <c:pt idx="797">
                  <c:v>1825</c:v>
                </c:pt>
                <c:pt idx="798">
                  <c:v>1825</c:v>
                </c:pt>
                <c:pt idx="799">
                  <c:v>1825</c:v>
                </c:pt>
                <c:pt idx="800">
                  <c:v>1825</c:v>
                </c:pt>
                <c:pt idx="801">
                  <c:v>1825</c:v>
                </c:pt>
                <c:pt idx="802">
                  <c:v>1825</c:v>
                </c:pt>
                <c:pt idx="803">
                  <c:v>1825</c:v>
                </c:pt>
                <c:pt idx="804">
                  <c:v>1825</c:v>
                </c:pt>
                <c:pt idx="805">
                  <c:v>1825</c:v>
                </c:pt>
                <c:pt idx="806">
                  <c:v>1825</c:v>
                </c:pt>
                <c:pt idx="807">
                  <c:v>1825</c:v>
                </c:pt>
                <c:pt idx="808">
                  <c:v>1825</c:v>
                </c:pt>
                <c:pt idx="809">
                  <c:v>1825</c:v>
                </c:pt>
                <c:pt idx="810">
                  <c:v>1825</c:v>
                </c:pt>
                <c:pt idx="811">
                  <c:v>1825</c:v>
                </c:pt>
                <c:pt idx="812">
                  <c:v>1825</c:v>
                </c:pt>
                <c:pt idx="813">
                  <c:v>1825</c:v>
                </c:pt>
                <c:pt idx="814">
                  <c:v>1825</c:v>
                </c:pt>
                <c:pt idx="815">
                  <c:v>1825</c:v>
                </c:pt>
                <c:pt idx="816">
                  <c:v>1825</c:v>
                </c:pt>
                <c:pt idx="817">
                  <c:v>1825</c:v>
                </c:pt>
                <c:pt idx="818">
                  <c:v>1825</c:v>
                </c:pt>
                <c:pt idx="819">
                  <c:v>1825</c:v>
                </c:pt>
                <c:pt idx="820">
                  <c:v>1825</c:v>
                </c:pt>
                <c:pt idx="821">
                  <c:v>1825</c:v>
                </c:pt>
                <c:pt idx="822">
                  <c:v>1825</c:v>
                </c:pt>
                <c:pt idx="823">
                  <c:v>1825</c:v>
                </c:pt>
                <c:pt idx="824">
                  <c:v>1825</c:v>
                </c:pt>
                <c:pt idx="825">
                  <c:v>1825</c:v>
                </c:pt>
                <c:pt idx="826">
                  <c:v>1825</c:v>
                </c:pt>
                <c:pt idx="827">
                  <c:v>1825</c:v>
                </c:pt>
                <c:pt idx="828">
                  <c:v>1825</c:v>
                </c:pt>
                <c:pt idx="829">
                  <c:v>1825</c:v>
                </c:pt>
                <c:pt idx="830">
                  <c:v>1825</c:v>
                </c:pt>
                <c:pt idx="831">
                  <c:v>1825</c:v>
                </c:pt>
                <c:pt idx="832">
                  <c:v>1825</c:v>
                </c:pt>
                <c:pt idx="833">
                  <c:v>1825</c:v>
                </c:pt>
                <c:pt idx="834">
                  <c:v>1825</c:v>
                </c:pt>
                <c:pt idx="835">
                  <c:v>1825</c:v>
                </c:pt>
                <c:pt idx="836">
                  <c:v>1825</c:v>
                </c:pt>
                <c:pt idx="837">
                  <c:v>1825</c:v>
                </c:pt>
                <c:pt idx="838">
                  <c:v>1825</c:v>
                </c:pt>
                <c:pt idx="839">
                  <c:v>1825</c:v>
                </c:pt>
                <c:pt idx="840">
                  <c:v>1825</c:v>
                </c:pt>
                <c:pt idx="841">
                  <c:v>1825</c:v>
                </c:pt>
                <c:pt idx="842">
                  <c:v>1825</c:v>
                </c:pt>
                <c:pt idx="843">
                  <c:v>1825</c:v>
                </c:pt>
                <c:pt idx="844">
                  <c:v>1825</c:v>
                </c:pt>
                <c:pt idx="845">
                  <c:v>1825</c:v>
                </c:pt>
                <c:pt idx="846">
                  <c:v>1825</c:v>
                </c:pt>
                <c:pt idx="847">
                  <c:v>1825</c:v>
                </c:pt>
                <c:pt idx="848">
                  <c:v>1825</c:v>
                </c:pt>
                <c:pt idx="849">
                  <c:v>1825</c:v>
                </c:pt>
                <c:pt idx="850">
                  <c:v>1825</c:v>
                </c:pt>
                <c:pt idx="851">
                  <c:v>1825</c:v>
                </c:pt>
                <c:pt idx="852">
                  <c:v>1825</c:v>
                </c:pt>
                <c:pt idx="853">
                  <c:v>1825</c:v>
                </c:pt>
                <c:pt idx="854">
                  <c:v>1825</c:v>
                </c:pt>
                <c:pt idx="855">
                  <c:v>1825</c:v>
                </c:pt>
                <c:pt idx="856">
                  <c:v>1825</c:v>
                </c:pt>
                <c:pt idx="857">
                  <c:v>1825</c:v>
                </c:pt>
                <c:pt idx="858">
                  <c:v>1825</c:v>
                </c:pt>
                <c:pt idx="859">
                  <c:v>1825</c:v>
                </c:pt>
                <c:pt idx="860">
                  <c:v>1825</c:v>
                </c:pt>
                <c:pt idx="861">
                  <c:v>1825</c:v>
                </c:pt>
                <c:pt idx="862">
                  <c:v>1825</c:v>
                </c:pt>
                <c:pt idx="863">
                  <c:v>1825</c:v>
                </c:pt>
                <c:pt idx="864">
                  <c:v>1825</c:v>
                </c:pt>
                <c:pt idx="865">
                  <c:v>1825</c:v>
                </c:pt>
                <c:pt idx="866">
                  <c:v>1825</c:v>
                </c:pt>
                <c:pt idx="867">
                  <c:v>1825</c:v>
                </c:pt>
                <c:pt idx="868">
                  <c:v>1825</c:v>
                </c:pt>
                <c:pt idx="869">
                  <c:v>1825</c:v>
                </c:pt>
                <c:pt idx="870">
                  <c:v>1825</c:v>
                </c:pt>
                <c:pt idx="871">
                  <c:v>1825</c:v>
                </c:pt>
                <c:pt idx="872">
                  <c:v>1825</c:v>
                </c:pt>
                <c:pt idx="873">
                  <c:v>1825</c:v>
                </c:pt>
                <c:pt idx="874">
                  <c:v>1825</c:v>
                </c:pt>
                <c:pt idx="875">
                  <c:v>1825</c:v>
                </c:pt>
                <c:pt idx="876">
                  <c:v>1825</c:v>
                </c:pt>
                <c:pt idx="877">
                  <c:v>1825</c:v>
                </c:pt>
                <c:pt idx="878">
                  <c:v>1825</c:v>
                </c:pt>
                <c:pt idx="879">
                  <c:v>1825</c:v>
                </c:pt>
                <c:pt idx="880">
                  <c:v>1825</c:v>
                </c:pt>
                <c:pt idx="881">
                  <c:v>1825</c:v>
                </c:pt>
                <c:pt idx="882">
                  <c:v>1825</c:v>
                </c:pt>
                <c:pt idx="883">
                  <c:v>1825</c:v>
                </c:pt>
                <c:pt idx="884">
                  <c:v>1825</c:v>
                </c:pt>
                <c:pt idx="885">
                  <c:v>1825</c:v>
                </c:pt>
                <c:pt idx="886">
                  <c:v>1825</c:v>
                </c:pt>
                <c:pt idx="887">
                  <c:v>1825</c:v>
                </c:pt>
                <c:pt idx="888">
                  <c:v>1825</c:v>
                </c:pt>
                <c:pt idx="889">
                  <c:v>1825</c:v>
                </c:pt>
                <c:pt idx="890">
                  <c:v>1825</c:v>
                </c:pt>
                <c:pt idx="891">
                  <c:v>1825</c:v>
                </c:pt>
                <c:pt idx="892">
                  <c:v>1825</c:v>
                </c:pt>
                <c:pt idx="893">
                  <c:v>1825</c:v>
                </c:pt>
                <c:pt idx="894">
                  <c:v>1825</c:v>
                </c:pt>
                <c:pt idx="895">
                  <c:v>1825</c:v>
                </c:pt>
                <c:pt idx="896">
                  <c:v>1825</c:v>
                </c:pt>
                <c:pt idx="897">
                  <c:v>1825</c:v>
                </c:pt>
                <c:pt idx="898">
                  <c:v>1825</c:v>
                </c:pt>
                <c:pt idx="899">
                  <c:v>1825</c:v>
                </c:pt>
                <c:pt idx="900">
                  <c:v>1825</c:v>
                </c:pt>
                <c:pt idx="901">
                  <c:v>1825</c:v>
                </c:pt>
                <c:pt idx="902">
                  <c:v>1825</c:v>
                </c:pt>
                <c:pt idx="903">
                  <c:v>1825</c:v>
                </c:pt>
                <c:pt idx="904">
                  <c:v>1825</c:v>
                </c:pt>
                <c:pt idx="905">
                  <c:v>1825</c:v>
                </c:pt>
                <c:pt idx="906">
                  <c:v>1825</c:v>
                </c:pt>
                <c:pt idx="907">
                  <c:v>1825</c:v>
                </c:pt>
                <c:pt idx="908">
                  <c:v>1825</c:v>
                </c:pt>
                <c:pt idx="909">
                  <c:v>1825</c:v>
                </c:pt>
                <c:pt idx="910">
                  <c:v>1825</c:v>
                </c:pt>
                <c:pt idx="911">
                  <c:v>1825</c:v>
                </c:pt>
                <c:pt idx="912">
                  <c:v>1825</c:v>
                </c:pt>
                <c:pt idx="913">
                  <c:v>1825</c:v>
                </c:pt>
                <c:pt idx="914">
                  <c:v>1825</c:v>
                </c:pt>
                <c:pt idx="915">
                  <c:v>1825</c:v>
                </c:pt>
                <c:pt idx="916">
                  <c:v>1825</c:v>
                </c:pt>
                <c:pt idx="917">
                  <c:v>1825</c:v>
                </c:pt>
                <c:pt idx="918">
                  <c:v>1825</c:v>
                </c:pt>
                <c:pt idx="919">
                  <c:v>1825</c:v>
                </c:pt>
                <c:pt idx="920">
                  <c:v>1825</c:v>
                </c:pt>
                <c:pt idx="921">
                  <c:v>1825</c:v>
                </c:pt>
                <c:pt idx="922">
                  <c:v>1825</c:v>
                </c:pt>
                <c:pt idx="923">
                  <c:v>1825</c:v>
                </c:pt>
                <c:pt idx="924">
                  <c:v>1825</c:v>
                </c:pt>
                <c:pt idx="925">
                  <c:v>1825</c:v>
                </c:pt>
                <c:pt idx="926">
                  <c:v>1825</c:v>
                </c:pt>
                <c:pt idx="927">
                  <c:v>1825</c:v>
                </c:pt>
                <c:pt idx="928">
                  <c:v>1825</c:v>
                </c:pt>
                <c:pt idx="929">
                  <c:v>1825</c:v>
                </c:pt>
                <c:pt idx="930">
                  <c:v>1825</c:v>
                </c:pt>
                <c:pt idx="931">
                  <c:v>1825</c:v>
                </c:pt>
                <c:pt idx="932">
                  <c:v>1825</c:v>
                </c:pt>
                <c:pt idx="933">
                  <c:v>1825</c:v>
                </c:pt>
                <c:pt idx="934">
                  <c:v>1825</c:v>
                </c:pt>
                <c:pt idx="935">
                  <c:v>1825</c:v>
                </c:pt>
                <c:pt idx="936">
                  <c:v>1825</c:v>
                </c:pt>
                <c:pt idx="937">
                  <c:v>1825</c:v>
                </c:pt>
                <c:pt idx="938">
                  <c:v>1825</c:v>
                </c:pt>
                <c:pt idx="939">
                  <c:v>1825</c:v>
                </c:pt>
                <c:pt idx="940">
                  <c:v>1825</c:v>
                </c:pt>
                <c:pt idx="941">
                  <c:v>1825</c:v>
                </c:pt>
                <c:pt idx="942">
                  <c:v>1825</c:v>
                </c:pt>
                <c:pt idx="943">
                  <c:v>1825</c:v>
                </c:pt>
                <c:pt idx="944">
                  <c:v>1825</c:v>
                </c:pt>
                <c:pt idx="945">
                  <c:v>1825</c:v>
                </c:pt>
                <c:pt idx="946">
                  <c:v>1825</c:v>
                </c:pt>
                <c:pt idx="947">
                  <c:v>1825</c:v>
                </c:pt>
                <c:pt idx="948">
                  <c:v>1825</c:v>
                </c:pt>
                <c:pt idx="949">
                  <c:v>1825</c:v>
                </c:pt>
                <c:pt idx="950">
                  <c:v>1825</c:v>
                </c:pt>
                <c:pt idx="951">
                  <c:v>1825</c:v>
                </c:pt>
                <c:pt idx="952">
                  <c:v>1825</c:v>
                </c:pt>
                <c:pt idx="953">
                  <c:v>1825</c:v>
                </c:pt>
                <c:pt idx="954">
                  <c:v>1825</c:v>
                </c:pt>
                <c:pt idx="955">
                  <c:v>1825</c:v>
                </c:pt>
                <c:pt idx="956">
                  <c:v>1825</c:v>
                </c:pt>
                <c:pt idx="957">
                  <c:v>1825</c:v>
                </c:pt>
                <c:pt idx="958">
                  <c:v>1825</c:v>
                </c:pt>
                <c:pt idx="959">
                  <c:v>1825</c:v>
                </c:pt>
                <c:pt idx="960">
                  <c:v>1825</c:v>
                </c:pt>
                <c:pt idx="961">
                  <c:v>1825</c:v>
                </c:pt>
                <c:pt idx="962">
                  <c:v>1825</c:v>
                </c:pt>
                <c:pt idx="963">
                  <c:v>1825</c:v>
                </c:pt>
                <c:pt idx="964">
                  <c:v>1825</c:v>
                </c:pt>
                <c:pt idx="965">
                  <c:v>1825</c:v>
                </c:pt>
                <c:pt idx="966">
                  <c:v>1825</c:v>
                </c:pt>
                <c:pt idx="967">
                  <c:v>1825</c:v>
                </c:pt>
                <c:pt idx="968">
                  <c:v>1825</c:v>
                </c:pt>
                <c:pt idx="969">
                  <c:v>1825</c:v>
                </c:pt>
                <c:pt idx="970">
                  <c:v>1825</c:v>
                </c:pt>
                <c:pt idx="971">
                  <c:v>1825</c:v>
                </c:pt>
                <c:pt idx="972">
                  <c:v>1825</c:v>
                </c:pt>
                <c:pt idx="973">
                  <c:v>1825</c:v>
                </c:pt>
                <c:pt idx="974">
                  <c:v>1825</c:v>
                </c:pt>
                <c:pt idx="975">
                  <c:v>1825</c:v>
                </c:pt>
                <c:pt idx="976">
                  <c:v>1825</c:v>
                </c:pt>
                <c:pt idx="977">
                  <c:v>1825</c:v>
                </c:pt>
                <c:pt idx="978">
                  <c:v>1825</c:v>
                </c:pt>
                <c:pt idx="979">
                  <c:v>1825</c:v>
                </c:pt>
                <c:pt idx="980">
                  <c:v>1825</c:v>
                </c:pt>
                <c:pt idx="981">
                  <c:v>1825</c:v>
                </c:pt>
                <c:pt idx="982">
                  <c:v>1825</c:v>
                </c:pt>
                <c:pt idx="983">
                  <c:v>1825</c:v>
                </c:pt>
                <c:pt idx="984">
                  <c:v>1825</c:v>
                </c:pt>
                <c:pt idx="985">
                  <c:v>1825</c:v>
                </c:pt>
                <c:pt idx="986">
                  <c:v>1825</c:v>
                </c:pt>
                <c:pt idx="987">
                  <c:v>1825</c:v>
                </c:pt>
                <c:pt idx="988">
                  <c:v>1825</c:v>
                </c:pt>
                <c:pt idx="989">
                  <c:v>1825</c:v>
                </c:pt>
                <c:pt idx="990">
                  <c:v>1825</c:v>
                </c:pt>
                <c:pt idx="991">
                  <c:v>1825</c:v>
                </c:pt>
                <c:pt idx="992">
                  <c:v>1825</c:v>
                </c:pt>
                <c:pt idx="993">
                  <c:v>1825</c:v>
                </c:pt>
                <c:pt idx="994">
                  <c:v>1825</c:v>
                </c:pt>
                <c:pt idx="995">
                  <c:v>1825</c:v>
                </c:pt>
                <c:pt idx="996">
                  <c:v>1825</c:v>
                </c:pt>
                <c:pt idx="997">
                  <c:v>1825</c:v>
                </c:pt>
                <c:pt idx="998">
                  <c:v>1825</c:v>
                </c:pt>
                <c:pt idx="999">
                  <c:v>1825</c:v>
                </c:pt>
                <c:pt idx="1000">
                  <c:v>1825</c:v>
                </c:pt>
                <c:pt idx="1001">
                  <c:v>1825</c:v>
                </c:pt>
                <c:pt idx="1002">
                  <c:v>1825</c:v>
                </c:pt>
                <c:pt idx="1003">
                  <c:v>1825</c:v>
                </c:pt>
                <c:pt idx="1004">
                  <c:v>1825</c:v>
                </c:pt>
                <c:pt idx="1005">
                  <c:v>1825</c:v>
                </c:pt>
                <c:pt idx="1006">
                  <c:v>1825</c:v>
                </c:pt>
                <c:pt idx="1007">
                  <c:v>1825</c:v>
                </c:pt>
                <c:pt idx="1008">
                  <c:v>1825</c:v>
                </c:pt>
                <c:pt idx="1009">
                  <c:v>1825</c:v>
                </c:pt>
                <c:pt idx="1010">
                  <c:v>1825</c:v>
                </c:pt>
                <c:pt idx="1011">
                  <c:v>1825</c:v>
                </c:pt>
                <c:pt idx="1012">
                  <c:v>1825</c:v>
                </c:pt>
                <c:pt idx="1013">
                  <c:v>1825</c:v>
                </c:pt>
                <c:pt idx="1014">
                  <c:v>1825</c:v>
                </c:pt>
                <c:pt idx="1015">
                  <c:v>1825</c:v>
                </c:pt>
                <c:pt idx="1016">
                  <c:v>1825</c:v>
                </c:pt>
                <c:pt idx="1017">
                  <c:v>1825</c:v>
                </c:pt>
                <c:pt idx="1018">
                  <c:v>1825</c:v>
                </c:pt>
                <c:pt idx="1019">
                  <c:v>1825</c:v>
                </c:pt>
                <c:pt idx="1020">
                  <c:v>1825</c:v>
                </c:pt>
                <c:pt idx="1021">
                  <c:v>1825</c:v>
                </c:pt>
                <c:pt idx="1022">
                  <c:v>1825</c:v>
                </c:pt>
                <c:pt idx="1023">
                  <c:v>1825</c:v>
                </c:pt>
                <c:pt idx="1024">
                  <c:v>1825</c:v>
                </c:pt>
                <c:pt idx="1025">
                  <c:v>1825</c:v>
                </c:pt>
                <c:pt idx="1026">
                  <c:v>1825</c:v>
                </c:pt>
                <c:pt idx="1027">
                  <c:v>1825</c:v>
                </c:pt>
                <c:pt idx="1028">
                  <c:v>1825</c:v>
                </c:pt>
                <c:pt idx="1029">
                  <c:v>1825</c:v>
                </c:pt>
                <c:pt idx="1030">
                  <c:v>1825</c:v>
                </c:pt>
                <c:pt idx="1031">
                  <c:v>1825</c:v>
                </c:pt>
                <c:pt idx="1032">
                  <c:v>1825</c:v>
                </c:pt>
                <c:pt idx="1033">
                  <c:v>1825</c:v>
                </c:pt>
                <c:pt idx="1034">
                  <c:v>1825</c:v>
                </c:pt>
                <c:pt idx="1035">
                  <c:v>1825</c:v>
                </c:pt>
                <c:pt idx="1036">
                  <c:v>1825</c:v>
                </c:pt>
                <c:pt idx="1037">
                  <c:v>1825</c:v>
                </c:pt>
                <c:pt idx="1038">
                  <c:v>1825</c:v>
                </c:pt>
                <c:pt idx="1039">
                  <c:v>1825</c:v>
                </c:pt>
                <c:pt idx="1040">
                  <c:v>1825</c:v>
                </c:pt>
                <c:pt idx="1041">
                  <c:v>1825</c:v>
                </c:pt>
                <c:pt idx="1042">
                  <c:v>1825</c:v>
                </c:pt>
                <c:pt idx="1043">
                  <c:v>1825</c:v>
                </c:pt>
                <c:pt idx="1044">
                  <c:v>1825</c:v>
                </c:pt>
                <c:pt idx="1045">
                  <c:v>1825</c:v>
                </c:pt>
                <c:pt idx="1046">
                  <c:v>1825</c:v>
                </c:pt>
                <c:pt idx="1047">
                  <c:v>1825</c:v>
                </c:pt>
                <c:pt idx="1048">
                  <c:v>1825</c:v>
                </c:pt>
                <c:pt idx="1049">
                  <c:v>1825</c:v>
                </c:pt>
                <c:pt idx="1050">
                  <c:v>1825</c:v>
                </c:pt>
                <c:pt idx="1051">
                  <c:v>1825</c:v>
                </c:pt>
                <c:pt idx="1052">
                  <c:v>1825</c:v>
                </c:pt>
                <c:pt idx="1053">
                  <c:v>1825</c:v>
                </c:pt>
                <c:pt idx="1054">
                  <c:v>1825</c:v>
                </c:pt>
                <c:pt idx="1055">
                  <c:v>1825</c:v>
                </c:pt>
                <c:pt idx="1056">
                  <c:v>1825</c:v>
                </c:pt>
                <c:pt idx="1057">
                  <c:v>1825</c:v>
                </c:pt>
                <c:pt idx="1058">
                  <c:v>1825</c:v>
                </c:pt>
                <c:pt idx="1059">
                  <c:v>1825</c:v>
                </c:pt>
                <c:pt idx="1060">
                  <c:v>1825</c:v>
                </c:pt>
                <c:pt idx="1061">
                  <c:v>1825</c:v>
                </c:pt>
                <c:pt idx="1062">
                  <c:v>1825</c:v>
                </c:pt>
                <c:pt idx="1063">
                  <c:v>1825</c:v>
                </c:pt>
                <c:pt idx="1064">
                  <c:v>1825</c:v>
                </c:pt>
                <c:pt idx="1065">
                  <c:v>1825</c:v>
                </c:pt>
                <c:pt idx="1066">
                  <c:v>1825</c:v>
                </c:pt>
                <c:pt idx="1067">
                  <c:v>1825</c:v>
                </c:pt>
                <c:pt idx="1068">
                  <c:v>1825</c:v>
                </c:pt>
                <c:pt idx="1069">
                  <c:v>1825</c:v>
                </c:pt>
                <c:pt idx="1070">
                  <c:v>1825</c:v>
                </c:pt>
                <c:pt idx="1071">
                  <c:v>1825</c:v>
                </c:pt>
                <c:pt idx="1072">
                  <c:v>1825</c:v>
                </c:pt>
                <c:pt idx="1073">
                  <c:v>1825</c:v>
                </c:pt>
                <c:pt idx="1074">
                  <c:v>1825</c:v>
                </c:pt>
                <c:pt idx="1075">
                  <c:v>1825</c:v>
                </c:pt>
                <c:pt idx="1076">
                  <c:v>1825</c:v>
                </c:pt>
                <c:pt idx="1077">
                  <c:v>1825</c:v>
                </c:pt>
                <c:pt idx="1078">
                  <c:v>1825</c:v>
                </c:pt>
                <c:pt idx="1079">
                  <c:v>1825</c:v>
                </c:pt>
                <c:pt idx="1080">
                  <c:v>1825</c:v>
                </c:pt>
                <c:pt idx="1081">
                  <c:v>1825</c:v>
                </c:pt>
                <c:pt idx="1082">
                  <c:v>1825</c:v>
                </c:pt>
                <c:pt idx="1083">
                  <c:v>1825</c:v>
                </c:pt>
                <c:pt idx="1084">
                  <c:v>1825</c:v>
                </c:pt>
                <c:pt idx="1085">
                  <c:v>1825</c:v>
                </c:pt>
                <c:pt idx="1086">
                  <c:v>1825</c:v>
                </c:pt>
                <c:pt idx="1087">
                  <c:v>1825</c:v>
                </c:pt>
                <c:pt idx="1088">
                  <c:v>1825</c:v>
                </c:pt>
                <c:pt idx="1089">
                  <c:v>1825</c:v>
                </c:pt>
                <c:pt idx="1090">
                  <c:v>1825</c:v>
                </c:pt>
                <c:pt idx="1091">
                  <c:v>1825</c:v>
                </c:pt>
                <c:pt idx="1092">
                  <c:v>1825</c:v>
                </c:pt>
                <c:pt idx="1093">
                  <c:v>1825</c:v>
                </c:pt>
                <c:pt idx="1094">
                  <c:v>1825</c:v>
                </c:pt>
                <c:pt idx="1095">
                  <c:v>1825</c:v>
                </c:pt>
                <c:pt idx="1096">
                  <c:v>1825</c:v>
                </c:pt>
                <c:pt idx="1097">
                  <c:v>1825</c:v>
                </c:pt>
                <c:pt idx="1098">
                  <c:v>1825</c:v>
                </c:pt>
                <c:pt idx="1099">
                  <c:v>1825</c:v>
                </c:pt>
                <c:pt idx="1100">
                  <c:v>1825</c:v>
                </c:pt>
                <c:pt idx="1101">
                  <c:v>1825</c:v>
                </c:pt>
                <c:pt idx="1102">
                  <c:v>1825</c:v>
                </c:pt>
                <c:pt idx="1103">
                  <c:v>1825</c:v>
                </c:pt>
                <c:pt idx="1104">
                  <c:v>1825</c:v>
                </c:pt>
                <c:pt idx="1105">
                  <c:v>1825</c:v>
                </c:pt>
                <c:pt idx="1106">
                  <c:v>1825</c:v>
                </c:pt>
                <c:pt idx="1107">
                  <c:v>1825</c:v>
                </c:pt>
                <c:pt idx="1108">
                  <c:v>1825</c:v>
                </c:pt>
                <c:pt idx="1109">
                  <c:v>1825</c:v>
                </c:pt>
                <c:pt idx="1110">
                  <c:v>1825</c:v>
                </c:pt>
                <c:pt idx="1111">
                  <c:v>1825</c:v>
                </c:pt>
                <c:pt idx="1112">
                  <c:v>1825</c:v>
                </c:pt>
                <c:pt idx="1113">
                  <c:v>1825</c:v>
                </c:pt>
                <c:pt idx="1114">
                  <c:v>1825</c:v>
                </c:pt>
                <c:pt idx="1115">
                  <c:v>1825</c:v>
                </c:pt>
                <c:pt idx="1116">
                  <c:v>1825</c:v>
                </c:pt>
                <c:pt idx="1117">
                  <c:v>1825</c:v>
                </c:pt>
                <c:pt idx="1118">
                  <c:v>1825</c:v>
                </c:pt>
                <c:pt idx="1119">
                  <c:v>1825</c:v>
                </c:pt>
                <c:pt idx="1120">
                  <c:v>1825</c:v>
                </c:pt>
                <c:pt idx="1121">
                  <c:v>1825</c:v>
                </c:pt>
                <c:pt idx="1122">
                  <c:v>1825</c:v>
                </c:pt>
                <c:pt idx="1123">
                  <c:v>1825</c:v>
                </c:pt>
                <c:pt idx="1124">
                  <c:v>1825</c:v>
                </c:pt>
                <c:pt idx="1125">
                  <c:v>1825</c:v>
                </c:pt>
                <c:pt idx="1126">
                  <c:v>1825</c:v>
                </c:pt>
                <c:pt idx="1127">
                  <c:v>1825</c:v>
                </c:pt>
                <c:pt idx="1128">
                  <c:v>1825</c:v>
                </c:pt>
                <c:pt idx="1129">
                  <c:v>1825</c:v>
                </c:pt>
                <c:pt idx="1130">
                  <c:v>1825</c:v>
                </c:pt>
                <c:pt idx="1131">
                  <c:v>1825</c:v>
                </c:pt>
                <c:pt idx="1132">
                  <c:v>1825</c:v>
                </c:pt>
                <c:pt idx="1133">
                  <c:v>1825</c:v>
                </c:pt>
                <c:pt idx="1134">
                  <c:v>1825</c:v>
                </c:pt>
                <c:pt idx="1135">
                  <c:v>1825</c:v>
                </c:pt>
                <c:pt idx="1136">
                  <c:v>1825</c:v>
                </c:pt>
                <c:pt idx="1137">
                  <c:v>1825</c:v>
                </c:pt>
                <c:pt idx="1138">
                  <c:v>1825</c:v>
                </c:pt>
                <c:pt idx="1139">
                  <c:v>1825</c:v>
                </c:pt>
                <c:pt idx="1140">
                  <c:v>1825</c:v>
                </c:pt>
                <c:pt idx="1141">
                  <c:v>1825</c:v>
                </c:pt>
                <c:pt idx="1142">
                  <c:v>1825</c:v>
                </c:pt>
                <c:pt idx="1143">
                  <c:v>1825</c:v>
                </c:pt>
                <c:pt idx="1144">
                  <c:v>1825</c:v>
                </c:pt>
                <c:pt idx="1145">
                  <c:v>1825</c:v>
                </c:pt>
                <c:pt idx="1146">
                  <c:v>1825</c:v>
                </c:pt>
                <c:pt idx="1147">
                  <c:v>1825</c:v>
                </c:pt>
                <c:pt idx="1148">
                  <c:v>1825</c:v>
                </c:pt>
                <c:pt idx="1149">
                  <c:v>1825</c:v>
                </c:pt>
                <c:pt idx="1150">
                  <c:v>1825</c:v>
                </c:pt>
                <c:pt idx="1151">
                  <c:v>1825</c:v>
                </c:pt>
                <c:pt idx="1152">
                  <c:v>1825</c:v>
                </c:pt>
                <c:pt idx="1153">
                  <c:v>1825</c:v>
                </c:pt>
                <c:pt idx="1154">
                  <c:v>1825</c:v>
                </c:pt>
                <c:pt idx="1155">
                  <c:v>1825</c:v>
                </c:pt>
                <c:pt idx="1156">
                  <c:v>1825</c:v>
                </c:pt>
                <c:pt idx="1157">
                  <c:v>1825</c:v>
                </c:pt>
                <c:pt idx="1158">
                  <c:v>1825</c:v>
                </c:pt>
                <c:pt idx="1159">
                  <c:v>1825</c:v>
                </c:pt>
                <c:pt idx="1160">
                  <c:v>1825</c:v>
                </c:pt>
                <c:pt idx="1161">
                  <c:v>1825</c:v>
                </c:pt>
                <c:pt idx="1162">
                  <c:v>1825</c:v>
                </c:pt>
                <c:pt idx="1163">
                  <c:v>1825</c:v>
                </c:pt>
                <c:pt idx="1164">
                  <c:v>1825</c:v>
                </c:pt>
                <c:pt idx="1165">
                  <c:v>1825</c:v>
                </c:pt>
                <c:pt idx="1166">
                  <c:v>1825</c:v>
                </c:pt>
                <c:pt idx="1167">
                  <c:v>1825</c:v>
                </c:pt>
                <c:pt idx="1168">
                  <c:v>1825</c:v>
                </c:pt>
                <c:pt idx="1169">
                  <c:v>1825</c:v>
                </c:pt>
                <c:pt idx="1170">
                  <c:v>1825</c:v>
                </c:pt>
                <c:pt idx="1171">
                  <c:v>1825</c:v>
                </c:pt>
                <c:pt idx="1172">
                  <c:v>1825</c:v>
                </c:pt>
                <c:pt idx="1173">
                  <c:v>1825</c:v>
                </c:pt>
                <c:pt idx="1174">
                  <c:v>1825</c:v>
                </c:pt>
                <c:pt idx="1175">
                  <c:v>1825</c:v>
                </c:pt>
                <c:pt idx="1176">
                  <c:v>1825</c:v>
                </c:pt>
                <c:pt idx="1177">
                  <c:v>1825</c:v>
                </c:pt>
                <c:pt idx="1178">
                  <c:v>1825</c:v>
                </c:pt>
                <c:pt idx="1179">
                  <c:v>1825</c:v>
                </c:pt>
                <c:pt idx="1180">
                  <c:v>1825</c:v>
                </c:pt>
                <c:pt idx="1181">
                  <c:v>1825</c:v>
                </c:pt>
                <c:pt idx="1182">
                  <c:v>1825</c:v>
                </c:pt>
                <c:pt idx="1183">
                  <c:v>1825</c:v>
                </c:pt>
                <c:pt idx="1184">
                  <c:v>1825</c:v>
                </c:pt>
                <c:pt idx="1185">
                  <c:v>1825</c:v>
                </c:pt>
                <c:pt idx="1186">
                  <c:v>1825</c:v>
                </c:pt>
                <c:pt idx="1187">
                  <c:v>1825</c:v>
                </c:pt>
                <c:pt idx="1188">
                  <c:v>1825</c:v>
                </c:pt>
                <c:pt idx="1189">
                  <c:v>1825</c:v>
                </c:pt>
                <c:pt idx="1190">
                  <c:v>1825</c:v>
                </c:pt>
                <c:pt idx="1191">
                  <c:v>1825</c:v>
                </c:pt>
                <c:pt idx="1192">
                  <c:v>1825</c:v>
                </c:pt>
                <c:pt idx="1193">
                  <c:v>1825</c:v>
                </c:pt>
                <c:pt idx="1194">
                  <c:v>1825</c:v>
                </c:pt>
                <c:pt idx="1195">
                  <c:v>1825</c:v>
                </c:pt>
                <c:pt idx="1196">
                  <c:v>1825</c:v>
                </c:pt>
                <c:pt idx="1197">
                  <c:v>1825</c:v>
                </c:pt>
                <c:pt idx="1198">
                  <c:v>1825</c:v>
                </c:pt>
                <c:pt idx="1199">
                  <c:v>1825</c:v>
                </c:pt>
                <c:pt idx="1200">
                  <c:v>1825</c:v>
                </c:pt>
                <c:pt idx="1201">
                  <c:v>1825</c:v>
                </c:pt>
                <c:pt idx="1202">
                  <c:v>1825</c:v>
                </c:pt>
                <c:pt idx="1203">
                  <c:v>1825</c:v>
                </c:pt>
                <c:pt idx="1204">
                  <c:v>1825</c:v>
                </c:pt>
                <c:pt idx="1205">
                  <c:v>1825</c:v>
                </c:pt>
                <c:pt idx="1206">
                  <c:v>1825</c:v>
                </c:pt>
                <c:pt idx="1207">
                  <c:v>1825</c:v>
                </c:pt>
                <c:pt idx="1208">
                  <c:v>1825</c:v>
                </c:pt>
                <c:pt idx="1209">
                  <c:v>1825</c:v>
                </c:pt>
                <c:pt idx="1210">
                  <c:v>1825</c:v>
                </c:pt>
                <c:pt idx="1211">
                  <c:v>1825</c:v>
                </c:pt>
                <c:pt idx="1212">
                  <c:v>1825</c:v>
                </c:pt>
                <c:pt idx="1213">
                  <c:v>1825</c:v>
                </c:pt>
                <c:pt idx="1214">
                  <c:v>1825</c:v>
                </c:pt>
                <c:pt idx="1215">
                  <c:v>1825</c:v>
                </c:pt>
                <c:pt idx="1216">
                  <c:v>1825</c:v>
                </c:pt>
                <c:pt idx="1217">
                  <c:v>1825</c:v>
                </c:pt>
                <c:pt idx="1218">
                  <c:v>1825</c:v>
                </c:pt>
                <c:pt idx="1219">
                  <c:v>1825</c:v>
                </c:pt>
                <c:pt idx="1220">
                  <c:v>1825</c:v>
                </c:pt>
                <c:pt idx="1221">
                  <c:v>1825</c:v>
                </c:pt>
                <c:pt idx="1222">
                  <c:v>1825</c:v>
                </c:pt>
                <c:pt idx="1223">
                  <c:v>1825</c:v>
                </c:pt>
                <c:pt idx="1224">
                  <c:v>1825</c:v>
                </c:pt>
                <c:pt idx="1225">
                  <c:v>1825</c:v>
                </c:pt>
                <c:pt idx="1226">
                  <c:v>1825</c:v>
                </c:pt>
                <c:pt idx="1227">
                  <c:v>1825</c:v>
                </c:pt>
                <c:pt idx="1228">
                  <c:v>1825</c:v>
                </c:pt>
                <c:pt idx="1229">
                  <c:v>1825</c:v>
                </c:pt>
                <c:pt idx="1230">
                  <c:v>1825</c:v>
                </c:pt>
                <c:pt idx="1231">
                  <c:v>1825</c:v>
                </c:pt>
                <c:pt idx="1232">
                  <c:v>1825</c:v>
                </c:pt>
                <c:pt idx="1233">
                  <c:v>1825</c:v>
                </c:pt>
                <c:pt idx="1234">
                  <c:v>1825</c:v>
                </c:pt>
                <c:pt idx="1235">
                  <c:v>1825</c:v>
                </c:pt>
                <c:pt idx="1236">
                  <c:v>1825</c:v>
                </c:pt>
                <c:pt idx="1237">
                  <c:v>1825</c:v>
                </c:pt>
                <c:pt idx="1238">
                  <c:v>1825</c:v>
                </c:pt>
                <c:pt idx="1239">
                  <c:v>1825</c:v>
                </c:pt>
                <c:pt idx="1240">
                  <c:v>1825</c:v>
                </c:pt>
                <c:pt idx="1241">
                  <c:v>1825</c:v>
                </c:pt>
                <c:pt idx="1242">
                  <c:v>1825</c:v>
                </c:pt>
                <c:pt idx="1243">
                  <c:v>1825</c:v>
                </c:pt>
                <c:pt idx="1244">
                  <c:v>1825</c:v>
                </c:pt>
                <c:pt idx="1245">
                  <c:v>1825</c:v>
                </c:pt>
                <c:pt idx="1246">
                  <c:v>1825</c:v>
                </c:pt>
                <c:pt idx="1247">
                  <c:v>1825</c:v>
                </c:pt>
                <c:pt idx="1248">
                  <c:v>1825</c:v>
                </c:pt>
                <c:pt idx="1249">
                  <c:v>1825</c:v>
                </c:pt>
                <c:pt idx="1250">
                  <c:v>1825</c:v>
                </c:pt>
                <c:pt idx="1251">
                  <c:v>1825</c:v>
                </c:pt>
                <c:pt idx="1252">
                  <c:v>1825</c:v>
                </c:pt>
                <c:pt idx="1253">
                  <c:v>1825</c:v>
                </c:pt>
                <c:pt idx="1254">
                  <c:v>1825</c:v>
                </c:pt>
                <c:pt idx="1255">
                  <c:v>1825</c:v>
                </c:pt>
                <c:pt idx="1256">
                  <c:v>1825</c:v>
                </c:pt>
                <c:pt idx="1257">
                  <c:v>1825</c:v>
                </c:pt>
                <c:pt idx="1258">
                  <c:v>1825</c:v>
                </c:pt>
                <c:pt idx="1259">
                  <c:v>1825</c:v>
                </c:pt>
                <c:pt idx="1260">
                  <c:v>1825</c:v>
                </c:pt>
                <c:pt idx="1261">
                  <c:v>1825</c:v>
                </c:pt>
                <c:pt idx="1262">
                  <c:v>1825</c:v>
                </c:pt>
                <c:pt idx="1263">
                  <c:v>1825</c:v>
                </c:pt>
                <c:pt idx="1264">
                  <c:v>1825</c:v>
                </c:pt>
                <c:pt idx="1265">
                  <c:v>1825</c:v>
                </c:pt>
                <c:pt idx="1266">
                  <c:v>1825</c:v>
                </c:pt>
                <c:pt idx="1267">
                  <c:v>1825</c:v>
                </c:pt>
                <c:pt idx="1268">
                  <c:v>1825</c:v>
                </c:pt>
                <c:pt idx="1269">
                  <c:v>1825</c:v>
                </c:pt>
                <c:pt idx="1270">
                  <c:v>1825</c:v>
                </c:pt>
                <c:pt idx="1271">
                  <c:v>1825</c:v>
                </c:pt>
                <c:pt idx="1272">
                  <c:v>1825</c:v>
                </c:pt>
                <c:pt idx="1273">
                  <c:v>1825</c:v>
                </c:pt>
                <c:pt idx="1274">
                  <c:v>1825</c:v>
                </c:pt>
                <c:pt idx="1275">
                  <c:v>1825</c:v>
                </c:pt>
                <c:pt idx="1276">
                  <c:v>1825</c:v>
                </c:pt>
                <c:pt idx="1277">
                  <c:v>1825</c:v>
                </c:pt>
                <c:pt idx="1278">
                  <c:v>1825</c:v>
                </c:pt>
                <c:pt idx="1279">
                  <c:v>1825</c:v>
                </c:pt>
                <c:pt idx="1280">
                  <c:v>1825</c:v>
                </c:pt>
                <c:pt idx="1281">
                  <c:v>1825</c:v>
                </c:pt>
                <c:pt idx="1282">
                  <c:v>1825</c:v>
                </c:pt>
                <c:pt idx="1283">
                  <c:v>1825</c:v>
                </c:pt>
                <c:pt idx="1284">
                  <c:v>1825</c:v>
                </c:pt>
                <c:pt idx="1285">
                  <c:v>1825</c:v>
                </c:pt>
                <c:pt idx="1286">
                  <c:v>1825</c:v>
                </c:pt>
                <c:pt idx="1287">
                  <c:v>1825</c:v>
                </c:pt>
                <c:pt idx="1288">
                  <c:v>1825</c:v>
                </c:pt>
                <c:pt idx="1289">
                  <c:v>1825</c:v>
                </c:pt>
                <c:pt idx="1290">
                  <c:v>1825</c:v>
                </c:pt>
                <c:pt idx="1291">
                  <c:v>1825</c:v>
                </c:pt>
                <c:pt idx="1292">
                  <c:v>1825</c:v>
                </c:pt>
                <c:pt idx="1293">
                  <c:v>1825</c:v>
                </c:pt>
                <c:pt idx="1294">
                  <c:v>1825</c:v>
                </c:pt>
                <c:pt idx="1295">
                  <c:v>1825</c:v>
                </c:pt>
                <c:pt idx="1296">
                  <c:v>1825</c:v>
                </c:pt>
                <c:pt idx="1297">
                  <c:v>1825</c:v>
                </c:pt>
                <c:pt idx="1298">
                  <c:v>1825</c:v>
                </c:pt>
                <c:pt idx="1299">
                  <c:v>1825</c:v>
                </c:pt>
                <c:pt idx="1300">
                  <c:v>1825</c:v>
                </c:pt>
                <c:pt idx="1301">
                  <c:v>1825</c:v>
                </c:pt>
                <c:pt idx="1302">
                  <c:v>1825</c:v>
                </c:pt>
                <c:pt idx="1303">
                  <c:v>1825</c:v>
                </c:pt>
                <c:pt idx="1304">
                  <c:v>1825</c:v>
                </c:pt>
                <c:pt idx="1305">
                  <c:v>1825</c:v>
                </c:pt>
                <c:pt idx="1306">
                  <c:v>1825</c:v>
                </c:pt>
                <c:pt idx="1307">
                  <c:v>1825</c:v>
                </c:pt>
                <c:pt idx="1308">
                  <c:v>1825</c:v>
                </c:pt>
                <c:pt idx="1309">
                  <c:v>1825</c:v>
                </c:pt>
                <c:pt idx="1310">
                  <c:v>1825</c:v>
                </c:pt>
                <c:pt idx="1311">
                  <c:v>1825</c:v>
                </c:pt>
                <c:pt idx="1312">
                  <c:v>1825</c:v>
                </c:pt>
                <c:pt idx="1313">
                  <c:v>1825</c:v>
                </c:pt>
                <c:pt idx="1314">
                  <c:v>1825</c:v>
                </c:pt>
                <c:pt idx="1315">
                  <c:v>1825</c:v>
                </c:pt>
                <c:pt idx="1316">
                  <c:v>1825</c:v>
                </c:pt>
                <c:pt idx="1317">
                  <c:v>1825</c:v>
                </c:pt>
                <c:pt idx="1318">
                  <c:v>1825</c:v>
                </c:pt>
                <c:pt idx="1319">
                  <c:v>1825</c:v>
                </c:pt>
                <c:pt idx="1320">
                  <c:v>1825</c:v>
                </c:pt>
                <c:pt idx="1321">
                  <c:v>1825</c:v>
                </c:pt>
                <c:pt idx="1322">
                  <c:v>1825</c:v>
                </c:pt>
                <c:pt idx="1323">
                  <c:v>1825</c:v>
                </c:pt>
                <c:pt idx="1324">
                  <c:v>1825</c:v>
                </c:pt>
                <c:pt idx="1325">
                  <c:v>1825</c:v>
                </c:pt>
                <c:pt idx="1326">
                  <c:v>1825</c:v>
                </c:pt>
                <c:pt idx="1327">
                  <c:v>1825</c:v>
                </c:pt>
                <c:pt idx="1328">
                  <c:v>1825</c:v>
                </c:pt>
                <c:pt idx="1329">
                  <c:v>1825</c:v>
                </c:pt>
                <c:pt idx="1330">
                  <c:v>1825</c:v>
                </c:pt>
                <c:pt idx="1331">
                  <c:v>1825</c:v>
                </c:pt>
                <c:pt idx="1332">
                  <c:v>1825</c:v>
                </c:pt>
                <c:pt idx="1333">
                  <c:v>1825</c:v>
                </c:pt>
                <c:pt idx="1334">
                  <c:v>1825</c:v>
                </c:pt>
                <c:pt idx="1335">
                  <c:v>1825</c:v>
                </c:pt>
                <c:pt idx="1336">
                  <c:v>1825</c:v>
                </c:pt>
                <c:pt idx="1337">
                  <c:v>1825</c:v>
                </c:pt>
                <c:pt idx="1338">
                  <c:v>1825</c:v>
                </c:pt>
                <c:pt idx="1339">
                  <c:v>1825</c:v>
                </c:pt>
                <c:pt idx="1340">
                  <c:v>1825</c:v>
                </c:pt>
                <c:pt idx="1341">
                  <c:v>1825</c:v>
                </c:pt>
                <c:pt idx="1342">
                  <c:v>1825</c:v>
                </c:pt>
                <c:pt idx="1343">
                  <c:v>1825</c:v>
                </c:pt>
                <c:pt idx="1344">
                  <c:v>1825</c:v>
                </c:pt>
                <c:pt idx="1345">
                  <c:v>1825</c:v>
                </c:pt>
                <c:pt idx="1346">
                  <c:v>1825</c:v>
                </c:pt>
                <c:pt idx="1347">
                  <c:v>1825</c:v>
                </c:pt>
                <c:pt idx="1348">
                  <c:v>1825</c:v>
                </c:pt>
                <c:pt idx="1349">
                  <c:v>1825</c:v>
                </c:pt>
                <c:pt idx="1350">
                  <c:v>1825</c:v>
                </c:pt>
                <c:pt idx="1351">
                  <c:v>1825</c:v>
                </c:pt>
                <c:pt idx="1352">
                  <c:v>1825</c:v>
                </c:pt>
                <c:pt idx="1353">
                  <c:v>1825</c:v>
                </c:pt>
                <c:pt idx="1354">
                  <c:v>1825</c:v>
                </c:pt>
                <c:pt idx="1355">
                  <c:v>1825</c:v>
                </c:pt>
                <c:pt idx="1356">
                  <c:v>1825</c:v>
                </c:pt>
                <c:pt idx="1357">
                  <c:v>1825</c:v>
                </c:pt>
                <c:pt idx="1358">
                  <c:v>1825</c:v>
                </c:pt>
                <c:pt idx="1359">
                  <c:v>1825</c:v>
                </c:pt>
                <c:pt idx="1360">
                  <c:v>1825</c:v>
                </c:pt>
                <c:pt idx="1361">
                  <c:v>1825</c:v>
                </c:pt>
                <c:pt idx="1362">
                  <c:v>1825</c:v>
                </c:pt>
                <c:pt idx="1363">
                  <c:v>1825</c:v>
                </c:pt>
                <c:pt idx="1364">
                  <c:v>1825</c:v>
                </c:pt>
                <c:pt idx="1365">
                  <c:v>1825</c:v>
                </c:pt>
                <c:pt idx="1366">
                  <c:v>1825</c:v>
                </c:pt>
                <c:pt idx="1367">
                  <c:v>1825</c:v>
                </c:pt>
                <c:pt idx="1368">
                  <c:v>1825</c:v>
                </c:pt>
                <c:pt idx="1369">
                  <c:v>1825</c:v>
                </c:pt>
                <c:pt idx="1370">
                  <c:v>1825</c:v>
                </c:pt>
                <c:pt idx="1371">
                  <c:v>1825</c:v>
                </c:pt>
                <c:pt idx="1372">
                  <c:v>1825</c:v>
                </c:pt>
                <c:pt idx="1373">
                  <c:v>1825</c:v>
                </c:pt>
                <c:pt idx="1374">
                  <c:v>1825</c:v>
                </c:pt>
                <c:pt idx="1375">
                  <c:v>1825</c:v>
                </c:pt>
                <c:pt idx="1376">
                  <c:v>1825</c:v>
                </c:pt>
                <c:pt idx="1377">
                  <c:v>1825</c:v>
                </c:pt>
                <c:pt idx="1378">
                  <c:v>1825</c:v>
                </c:pt>
                <c:pt idx="1379">
                  <c:v>1825</c:v>
                </c:pt>
                <c:pt idx="1380">
                  <c:v>1825</c:v>
                </c:pt>
                <c:pt idx="1381">
                  <c:v>1825</c:v>
                </c:pt>
                <c:pt idx="1382">
                  <c:v>1825</c:v>
                </c:pt>
                <c:pt idx="1383">
                  <c:v>1825</c:v>
                </c:pt>
                <c:pt idx="1384">
                  <c:v>1825</c:v>
                </c:pt>
                <c:pt idx="1385">
                  <c:v>1825</c:v>
                </c:pt>
                <c:pt idx="1386">
                  <c:v>1825</c:v>
                </c:pt>
                <c:pt idx="1387">
                  <c:v>1825</c:v>
                </c:pt>
                <c:pt idx="1388">
                  <c:v>1825</c:v>
                </c:pt>
                <c:pt idx="1389">
                  <c:v>1825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D-57BE-4E12-9C5F-2CC84E3F3372}"/>
            </c:ext>
          </c:extLst>
        </c:ser>
        <c:ser>
          <c:idx val="8"/>
          <c:order val="8"/>
          <c:tx>
            <c:strRef>
              <c:f>TS!$T$1</c:f>
              <c:strCache>
                <c:ptCount val="1"/>
                <c:pt idx="0">
                  <c:v>Maximum Test Pressure</c:v>
                </c:pt>
              </c:strCache>
            </c:strRef>
          </c:tx>
          <c:spPr>
            <a:ln w="28575"/>
          </c:spPr>
          <c:marker>
            <c:symbol val="none"/>
          </c:marker>
          <c:xVal>
            <c:numRef>
              <c:f>TS!$N$2:$N$1391</c:f>
              <c:numCache>
                <c:formatCode>#\+##</c:formatCode>
                <c:ptCount val="1390"/>
                <c:pt idx="0">
                  <c:v>95899.92</c:v>
                </c:pt>
                <c:pt idx="1">
                  <c:v>95999.92</c:v>
                </c:pt>
                <c:pt idx="2">
                  <c:v>96099.92</c:v>
                </c:pt>
                <c:pt idx="3">
                  <c:v>96199.92</c:v>
                </c:pt>
                <c:pt idx="4">
                  <c:v>96299.92</c:v>
                </c:pt>
                <c:pt idx="5">
                  <c:v>96399.92</c:v>
                </c:pt>
                <c:pt idx="6">
                  <c:v>96499.92</c:v>
                </c:pt>
                <c:pt idx="7">
                  <c:v>96599.92</c:v>
                </c:pt>
                <c:pt idx="8">
                  <c:v>96699.92</c:v>
                </c:pt>
                <c:pt idx="9">
                  <c:v>96799.92</c:v>
                </c:pt>
                <c:pt idx="10">
                  <c:v>96899.92</c:v>
                </c:pt>
                <c:pt idx="11">
                  <c:v>96999.92</c:v>
                </c:pt>
                <c:pt idx="12">
                  <c:v>97099.92</c:v>
                </c:pt>
                <c:pt idx="13">
                  <c:v>97199.92</c:v>
                </c:pt>
                <c:pt idx="14">
                  <c:v>97299.92</c:v>
                </c:pt>
                <c:pt idx="15">
                  <c:v>97399.92</c:v>
                </c:pt>
                <c:pt idx="16">
                  <c:v>97499.92</c:v>
                </c:pt>
                <c:pt idx="17">
                  <c:v>97599.92</c:v>
                </c:pt>
                <c:pt idx="18">
                  <c:v>97699.92</c:v>
                </c:pt>
                <c:pt idx="19">
                  <c:v>97799.92</c:v>
                </c:pt>
                <c:pt idx="20">
                  <c:v>97899.92</c:v>
                </c:pt>
                <c:pt idx="21">
                  <c:v>97999.92</c:v>
                </c:pt>
                <c:pt idx="22">
                  <c:v>98099.92</c:v>
                </c:pt>
                <c:pt idx="23">
                  <c:v>98199.92</c:v>
                </c:pt>
                <c:pt idx="24">
                  <c:v>98299.92</c:v>
                </c:pt>
                <c:pt idx="25">
                  <c:v>98399.92</c:v>
                </c:pt>
                <c:pt idx="26">
                  <c:v>98499.92</c:v>
                </c:pt>
                <c:pt idx="27">
                  <c:v>98599.92</c:v>
                </c:pt>
                <c:pt idx="28">
                  <c:v>98699.92</c:v>
                </c:pt>
                <c:pt idx="29">
                  <c:v>98799.92</c:v>
                </c:pt>
                <c:pt idx="30">
                  <c:v>98899.92</c:v>
                </c:pt>
                <c:pt idx="31">
                  <c:v>98999.92</c:v>
                </c:pt>
                <c:pt idx="32">
                  <c:v>99099.92</c:v>
                </c:pt>
                <c:pt idx="33">
                  <c:v>99199.92</c:v>
                </c:pt>
                <c:pt idx="34">
                  <c:v>99299.92</c:v>
                </c:pt>
                <c:pt idx="35">
                  <c:v>99399.92</c:v>
                </c:pt>
                <c:pt idx="36">
                  <c:v>99499.92</c:v>
                </c:pt>
                <c:pt idx="37">
                  <c:v>99596.6</c:v>
                </c:pt>
                <c:pt idx="38">
                  <c:v>99599.92</c:v>
                </c:pt>
                <c:pt idx="39">
                  <c:v>99676.6</c:v>
                </c:pt>
                <c:pt idx="40">
                  <c:v>99699.92</c:v>
                </c:pt>
                <c:pt idx="41">
                  <c:v>99799.92</c:v>
                </c:pt>
                <c:pt idx="42">
                  <c:v>99899.92</c:v>
                </c:pt>
                <c:pt idx="43">
                  <c:v>99999.92</c:v>
                </c:pt>
                <c:pt idx="44">
                  <c:v>100093.7</c:v>
                </c:pt>
                <c:pt idx="45">
                  <c:v>100099.92</c:v>
                </c:pt>
                <c:pt idx="46">
                  <c:v>100199.92</c:v>
                </c:pt>
                <c:pt idx="47">
                  <c:v>100299.92</c:v>
                </c:pt>
                <c:pt idx="48">
                  <c:v>100399.92</c:v>
                </c:pt>
                <c:pt idx="49">
                  <c:v>100499.92</c:v>
                </c:pt>
                <c:pt idx="50">
                  <c:v>100599.92</c:v>
                </c:pt>
                <c:pt idx="51">
                  <c:v>100699.92</c:v>
                </c:pt>
                <c:pt idx="52">
                  <c:v>100799.92</c:v>
                </c:pt>
                <c:pt idx="53">
                  <c:v>100899.92</c:v>
                </c:pt>
                <c:pt idx="54">
                  <c:v>100999.92</c:v>
                </c:pt>
                <c:pt idx="55">
                  <c:v>101099.92</c:v>
                </c:pt>
                <c:pt idx="56">
                  <c:v>101199.92</c:v>
                </c:pt>
                <c:pt idx="57">
                  <c:v>101299.92</c:v>
                </c:pt>
                <c:pt idx="58">
                  <c:v>101399.92</c:v>
                </c:pt>
                <c:pt idx="59">
                  <c:v>101499.92</c:v>
                </c:pt>
                <c:pt idx="60">
                  <c:v>101599.92</c:v>
                </c:pt>
                <c:pt idx="61">
                  <c:v>101699.92</c:v>
                </c:pt>
                <c:pt idx="62">
                  <c:v>101799.92</c:v>
                </c:pt>
                <c:pt idx="63">
                  <c:v>101899.92</c:v>
                </c:pt>
                <c:pt idx="64">
                  <c:v>101918.7</c:v>
                </c:pt>
                <c:pt idx="65">
                  <c:v>101999.92</c:v>
                </c:pt>
                <c:pt idx="66">
                  <c:v>102099.92</c:v>
                </c:pt>
                <c:pt idx="67">
                  <c:v>102199.92</c:v>
                </c:pt>
                <c:pt idx="68">
                  <c:v>102299.92</c:v>
                </c:pt>
                <c:pt idx="69">
                  <c:v>102399.92</c:v>
                </c:pt>
                <c:pt idx="70">
                  <c:v>102499.92</c:v>
                </c:pt>
                <c:pt idx="71">
                  <c:v>102599.92</c:v>
                </c:pt>
                <c:pt idx="72">
                  <c:v>102699.92</c:v>
                </c:pt>
                <c:pt idx="73">
                  <c:v>102799.92</c:v>
                </c:pt>
                <c:pt idx="74">
                  <c:v>102899.92</c:v>
                </c:pt>
                <c:pt idx="75">
                  <c:v>102999.92</c:v>
                </c:pt>
                <c:pt idx="76">
                  <c:v>103099.92</c:v>
                </c:pt>
                <c:pt idx="77">
                  <c:v>103199.92</c:v>
                </c:pt>
                <c:pt idx="78">
                  <c:v>103299.92</c:v>
                </c:pt>
                <c:pt idx="79">
                  <c:v>103399.92</c:v>
                </c:pt>
                <c:pt idx="80">
                  <c:v>103499.92</c:v>
                </c:pt>
                <c:pt idx="81">
                  <c:v>103599.92</c:v>
                </c:pt>
                <c:pt idx="82">
                  <c:v>103699.92</c:v>
                </c:pt>
                <c:pt idx="83">
                  <c:v>103799.92</c:v>
                </c:pt>
                <c:pt idx="84">
                  <c:v>103809.3</c:v>
                </c:pt>
                <c:pt idx="85">
                  <c:v>103899.92</c:v>
                </c:pt>
                <c:pt idx="86">
                  <c:v>103929.3</c:v>
                </c:pt>
                <c:pt idx="87">
                  <c:v>103999.92</c:v>
                </c:pt>
                <c:pt idx="88">
                  <c:v>104099.92</c:v>
                </c:pt>
                <c:pt idx="89">
                  <c:v>104199.92</c:v>
                </c:pt>
                <c:pt idx="90">
                  <c:v>104299.92</c:v>
                </c:pt>
                <c:pt idx="91">
                  <c:v>104399.92</c:v>
                </c:pt>
                <c:pt idx="92">
                  <c:v>104499.92</c:v>
                </c:pt>
                <c:pt idx="93">
                  <c:v>104599.92</c:v>
                </c:pt>
                <c:pt idx="94">
                  <c:v>104699.92</c:v>
                </c:pt>
                <c:pt idx="95">
                  <c:v>104799.92</c:v>
                </c:pt>
                <c:pt idx="96">
                  <c:v>104899.92</c:v>
                </c:pt>
                <c:pt idx="97">
                  <c:v>104999.92</c:v>
                </c:pt>
                <c:pt idx="98">
                  <c:v>105099.92</c:v>
                </c:pt>
                <c:pt idx="99">
                  <c:v>105199.92</c:v>
                </c:pt>
                <c:pt idx="100">
                  <c:v>105299.92</c:v>
                </c:pt>
                <c:pt idx="101">
                  <c:v>105399.92</c:v>
                </c:pt>
                <c:pt idx="102">
                  <c:v>105499.92</c:v>
                </c:pt>
                <c:pt idx="103">
                  <c:v>105599.92</c:v>
                </c:pt>
                <c:pt idx="104">
                  <c:v>105699.92</c:v>
                </c:pt>
                <c:pt idx="105">
                  <c:v>105799.92</c:v>
                </c:pt>
                <c:pt idx="106">
                  <c:v>105899.92</c:v>
                </c:pt>
                <c:pt idx="107">
                  <c:v>105999.92</c:v>
                </c:pt>
                <c:pt idx="108">
                  <c:v>106099.92</c:v>
                </c:pt>
                <c:pt idx="109">
                  <c:v>106199.92</c:v>
                </c:pt>
                <c:pt idx="110">
                  <c:v>106299.92</c:v>
                </c:pt>
                <c:pt idx="111">
                  <c:v>106399.92</c:v>
                </c:pt>
                <c:pt idx="112">
                  <c:v>106499.92</c:v>
                </c:pt>
                <c:pt idx="113">
                  <c:v>106599.92</c:v>
                </c:pt>
                <c:pt idx="114">
                  <c:v>106699.92</c:v>
                </c:pt>
                <c:pt idx="115">
                  <c:v>106799.92</c:v>
                </c:pt>
                <c:pt idx="116">
                  <c:v>106899.92</c:v>
                </c:pt>
                <c:pt idx="117">
                  <c:v>106999.92</c:v>
                </c:pt>
                <c:pt idx="118">
                  <c:v>107099.92</c:v>
                </c:pt>
                <c:pt idx="119">
                  <c:v>107199.92</c:v>
                </c:pt>
                <c:pt idx="120">
                  <c:v>107299.92</c:v>
                </c:pt>
                <c:pt idx="121">
                  <c:v>107399.92</c:v>
                </c:pt>
                <c:pt idx="122">
                  <c:v>107499.92</c:v>
                </c:pt>
                <c:pt idx="123">
                  <c:v>107599.92</c:v>
                </c:pt>
                <c:pt idx="124">
                  <c:v>107699.92</c:v>
                </c:pt>
                <c:pt idx="125">
                  <c:v>107799.92</c:v>
                </c:pt>
                <c:pt idx="126">
                  <c:v>107899.92</c:v>
                </c:pt>
                <c:pt idx="127">
                  <c:v>107999.92</c:v>
                </c:pt>
                <c:pt idx="128">
                  <c:v>108099.92</c:v>
                </c:pt>
                <c:pt idx="129">
                  <c:v>108159.1</c:v>
                </c:pt>
                <c:pt idx="130">
                  <c:v>108199.92</c:v>
                </c:pt>
                <c:pt idx="131">
                  <c:v>108299.92</c:v>
                </c:pt>
                <c:pt idx="132">
                  <c:v>108399.92</c:v>
                </c:pt>
                <c:pt idx="133">
                  <c:v>108499.92</c:v>
                </c:pt>
                <c:pt idx="134">
                  <c:v>108599.92</c:v>
                </c:pt>
                <c:pt idx="135">
                  <c:v>108699.92</c:v>
                </c:pt>
                <c:pt idx="136">
                  <c:v>108799.92</c:v>
                </c:pt>
                <c:pt idx="137">
                  <c:v>108899.92</c:v>
                </c:pt>
                <c:pt idx="138">
                  <c:v>108999.92</c:v>
                </c:pt>
                <c:pt idx="139">
                  <c:v>109036</c:v>
                </c:pt>
                <c:pt idx="140">
                  <c:v>109099.92</c:v>
                </c:pt>
                <c:pt idx="141">
                  <c:v>109199.92</c:v>
                </c:pt>
                <c:pt idx="142">
                  <c:v>109299.92</c:v>
                </c:pt>
                <c:pt idx="143">
                  <c:v>109399.92</c:v>
                </c:pt>
                <c:pt idx="144">
                  <c:v>109421</c:v>
                </c:pt>
                <c:pt idx="145">
                  <c:v>109499.92</c:v>
                </c:pt>
                <c:pt idx="146">
                  <c:v>109599.92</c:v>
                </c:pt>
                <c:pt idx="147">
                  <c:v>109699.92</c:v>
                </c:pt>
                <c:pt idx="148">
                  <c:v>109703</c:v>
                </c:pt>
                <c:pt idx="149">
                  <c:v>109799.92</c:v>
                </c:pt>
                <c:pt idx="150">
                  <c:v>109899.92</c:v>
                </c:pt>
                <c:pt idx="151">
                  <c:v>109999.92</c:v>
                </c:pt>
                <c:pt idx="152">
                  <c:v>110099.92</c:v>
                </c:pt>
                <c:pt idx="153">
                  <c:v>110199.92</c:v>
                </c:pt>
                <c:pt idx="154">
                  <c:v>110299.92</c:v>
                </c:pt>
                <c:pt idx="155">
                  <c:v>110399.92</c:v>
                </c:pt>
                <c:pt idx="156">
                  <c:v>110499.92</c:v>
                </c:pt>
                <c:pt idx="157">
                  <c:v>110599.92</c:v>
                </c:pt>
                <c:pt idx="158">
                  <c:v>110688.3</c:v>
                </c:pt>
                <c:pt idx="159">
                  <c:v>110699.92</c:v>
                </c:pt>
                <c:pt idx="160">
                  <c:v>110768.3</c:v>
                </c:pt>
                <c:pt idx="161">
                  <c:v>110799.92</c:v>
                </c:pt>
                <c:pt idx="162">
                  <c:v>110899.92</c:v>
                </c:pt>
                <c:pt idx="163">
                  <c:v>110999.92</c:v>
                </c:pt>
                <c:pt idx="164">
                  <c:v>111099.92</c:v>
                </c:pt>
                <c:pt idx="165">
                  <c:v>111199.92</c:v>
                </c:pt>
                <c:pt idx="166">
                  <c:v>111299.92</c:v>
                </c:pt>
                <c:pt idx="167">
                  <c:v>111399.92</c:v>
                </c:pt>
                <c:pt idx="168">
                  <c:v>111499.92</c:v>
                </c:pt>
                <c:pt idx="169">
                  <c:v>111599.92</c:v>
                </c:pt>
                <c:pt idx="170">
                  <c:v>111699.92</c:v>
                </c:pt>
                <c:pt idx="171">
                  <c:v>111799.92</c:v>
                </c:pt>
                <c:pt idx="172">
                  <c:v>111899.92</c:v>
                </c:pt>
                <c:pt idx="173">
                  <c:v>111999.92</c:v>
                </c:pt>
                <c:pt idx="174">
                  <c:v>112099.92</c:v>
                </c:pt>
                <c:pt idx="175">
                  <c:v>112199.92</c:v>
                </c:pt>
                <c:pt idx="176">
                  <c:v>112299.92</c:v>
                </c:pt>
                <c:pt idx="177">
                  <c:v>112399.92</c:v>
                </c:pt>
                <c:pt idx="178">
                  <c:v>112499.92</c:v>
                </c:pt>
                <c:pt idx="179">
                  <c:v>112599.92</c:v>
                </c:pt>
                <c:pt idx="180">
                  <c:v>112699.92</c:v>
                </c:pt>
                <c:pt idx="181">
                  <c:v>112799.92</c:v>
                </c:pt>
                <c:pt idx="182">
                  <c:v>112899.92</c:v>
                </c:pt>
                <c:pt idx="183">
                  <c:v>112999.92</c:v>
                </c:pt>
                <c:pt idx="184">
                  <c:v>113099.92</c:v>
                </c:pt>
                <c:pt idx="185">
                  <c:v>113199.92</c:v>
                </c:pt>
                <c:pt idx="186">
                  <c:v>113299.92</c:v>
                </c:pt>
                <c:pt idx="187">
                  <c:v>113399.92</c:v>
                </c:pt>
                <c:pt idx="188">
                  <c:v>113499.92</c:v>
                </c:pt>
                <c:pt idx="189">
                  <c:v>113599.92</c:v>
                </c:pt>
                <c:pt idx="190">
                  <c:v>113699.92</c:v>
                </c:pt>
                <c:pt idx="191">
                  <c:v>113799.92</c:v>
                </c:pt>
                <c:pt idx="192">
                  <c:v>113899.92</c:v>
                </c:pt>
                <c:pt idx="193">
                  <c:v>113999.92</c:v>
                </c:pt>
                <c:pt idx="194">
                  <c:v>114057.3</c:v>
                </c:pt>
                <c:pt idx="195">
                  <c:v>114099.92</c:v>
                </c:pt>
                <c:pt idx="196">
                  <c:v>114137.3</c:v>
                </c:pt>
                <c:pt idx="197">
                  <c:v>114199.92</c:v>
                </c:pt>
                <c:pt idx="198">
                  <c:v>114299.92</c:v>
                </c:pt>
                <c:pt idx="199">
                  <c:v>114399.92</c:v>
                </c:pt>
                <c:pt idx="200">
                  <c:v>114499.92</c:v>
                </c:pt>
                <c:pt idx="201">
                  <c:v>114599.92</c:v>
                </c:pt>
                <c:pt idx="202">
                  <c:v>114639.2</c:v>
                </c:pt>
                <c:pt idx="203">
                  <c:v>114699.92</c:v>
                </c:pt>
                <c:pt idx="204">
                  <c:v>114719.2</c:v>
                </c:pt>
                <c:pt idx="205">
                  <c:v>114799.92</c:v>
                </c:pt>
                <c:pt idx="206">
                  <c:v>114899.92</c:v>
                </c:pt>
                <c:pt idx="207">
                  <c:v>114983</c:v>
                </c:pt>
                <c:pt idx="208">
                  <c:v>114999.92</c:v>
                </c:pt>
                <c:pt idx="209">
                  <c:v>115063</c:v>
                </c:pt>
                <c:pt idx="210">
                  <c:v>115099.92</c:v>
                </c:pt>
                <c:pt idx="211">
                  <c:v>115199.92</c:v>
                </c:pt>
                <c:pt idx="212">
                  <c:v>115299.92</c:v>
                </c:pt>
                <c:pt idx="213">
                  <c:v>115399.92</c:v>
                </c:pt>
                <c:pt idx="214">
                  <c:v>115499.92</c:v>
                </c:pt>
                <c:pt idx="215">
                  <c:v>115599.92</c:v>
                </c:pt>
                <c:pt idx="216">
                  <c:v>115676.9</c:v>
                </c:pt>
                <c:pt idx="217">
                  <c:v>115699.92</c:v>
                </c:pt>
                <c:pt idx="218">
                  <c:v>115796.9</c:v>
                </c:pt>
                <c:pt idx="219">
                  <c:v>115799.92</c:v>
                </c:pt>
                <c:pt idx="220">
                  <c:v>115899.92</c:v>
                </c:pt>
                <c:pt idx="221">
                  <c:v>115999.92</c:v>
                </c:pt>
                <c:pt idx="222">
                  <c:v>116090.1</c:v>
                </c:pt>
                <c:pt idx="223">
                  <c:v>116099.92</c:v>
                </c:pt>
                <c:pt idx="224">
                  <c:v>116199.92</c:v>
                </c:pt>
                <c:pt idx="225">
                  <c:v>116299.92</c:v>
                </c:pt>
                <c:pt idx="226">
                  <c:v>116399.92</c:v>
                </c:pt>
                <c:pt idx="227">
                  <c:v>116499.92</c:v>
                </c:pt>
                <c:pt idx="228">
                  <c:v>116599.92</c:v>
                </c:pt>
                <c:pt idx="229">
                  <c:v>116699.92</c:v>
                </c:pt>
                <c:pt idx="230">
                  <c:v>116799.92</c:v>
                </c:pt>
                <c:pt idx="231">
                  <c:v>116899.92</c:v>
                </c:pt>
                <c:pt idx="232">
                  <c:v>116999.92</c:v>
                </c:pt>
                <c:pt idx="233">
                  <c:v>117099.92</c:v>
                </c:pt>
                <c:pt idx="234">
                  <c:v>117199.92</c:v>
                </c:pt>
                <c:pt idx="235">
                  <c:v>117299.92</c:v>
                </c:pt>
                <c:pt idx="236">
                  <c:v>117399.92</c:v>
                </c:pt>
                <c:pt idx="237">
                  <c:v>117499.92</c:v>
                </c:pt>
                <c:pt idx="238">
                  <c:v>117599.92</c:v>
                </c:pt>
                <c:pt idx="239">
                  <c:v>117699.92</c:v>
                </c:pt>
                <c:pt idx="240">
                  <c:v>117799.92</c:v>
                </c:pt>
                <c:pt idx="241">
                  <c:v>117899.92</c:v>
                </c:pt>
                <c:pt idx="242">
                  <c:v>117999.92</c:v>
                </c:pt>
                <c:pt idx="243">
                  <c:v>118099.92</c:v>
                </c:pt>
                <c:pt idx="244">
                  <c:v>118199.92</c:v>
                </c:pt>
                <c:pt idx="245">
                  <c:v>118299.92</c:v>
                </c:pt>
                <c:pt idx="246">
                  <c:v>118399.92</c:v>
                </c:pt>
                <c:pt idx="247">
                  <c:v>118499.92</c:v>
                </c:pt>
                <c:pt idx="248">
                  <c:v>118599.92</c:v>
                </c:pt>
                <c:pt idx="249">
                  <c:v>118690.1</c:v>
                </c:pt>
                <c:pt idx="250">
                  <c:v>118699.92</c:v>
                </c:pt>
                <c:pt idx="251">
                  <c:v>118799.92</c:v>
                </c:pt>
                <c:pt idx="252">
                  <c:v>118899.92</c:v>
                </c:pt>
                <c:pt idx="253">
                  <c:v>118999.92</c:v>
                </c:pt>
                <c:pt idx="254">
                  <c:v>119099.92</c:v>
                </c:pt>
                <c:pt idx="255">
                  <c:v>119199.92</c:v>
                </c:pt>
                <c:pt idx="256">
                  <c:v>119299.92</c:v>
                </c:pt>
                <c:pt idx="257">
                  <c:v>119399.92</c:v>
                </c:pt>
                <c:pt idx="258">
                  <c:v>119499.92</c:v>
                </c:pt>
                <c:pt idx="259">
                  <c:v>119599.92</c:v>
                </c:pt>
                <c:pt idx="260">
                  <c:v>119699.92</c:v>
                </c:pt>
                <c:pt idx="261">
                  <c:v>119799.92</c:v>
                </c:pt>
                <c:pt idx="262">
                  <c:v>119899.92</c:v>
                </c:pt>
                <c:pt idx="263">
                  <c:v>119999.92</c:v>
                </c:pt>
                <c:pt idx="264">
                  <c:v>120099.92</c:v>
                </c:pt>
                <c:pt idx="265">
                  <c:v>120199.92</c:v>
                </c:pt>
                <c:pt idx="266">
                  <c:v>120298.2</c:v>
                </c:pt>
                <c:pt idx="267">
                  <c:v>120299.92</c:v>
                </c:pt>
                <c:pt idx="268">
                  <c:v>120378.2</c:v>
                </c:pt>
                <c:pt idx="269">
                  <c:v>120399.92</c:v>
                </c:pt>
                <c:pt idx="270">
                  <c:v>120499.92</c:v>
                </c:pt>
                <c:pt idx="271">
                  <c:v>120599.92</c:v>
                </c:pt>
                <c:pt idx="272">
                  <c:v>120699.92</c:v>
                </c:pt>
                <c:pt idx="273">
                  <c:v>120799.92</c:v>
                </c:pt>
                <c:pt idx="274">
                  <c:v>120899.92</c:v>
                </c:pt>
                <c:pt idx="275">
                  <c:v>120999.92</c:v>
                </c:pt>
                <c:pt idx="276">
                  <c:v>121099.92</c:v>
                </c:pt>
                <c:pt idx="277">
                  <c:v>121199.92</c:v>
                </c:pt>
                <c:pt idx="278">
                  <c:v>121299.92</c:v>
                </c:pt>
                <c:pt idx="279">
                  <c:v>121399.92</c:v>
                </c:pt>
                <c:pt idx="280">
                  <c:v>121499.92</c:v>
                </c:pt>
                <c:pt idx="281">
                  <c:v>121599.92</c:v>
                </c:pt>
                <c:pt idx="282">
                  <c:v>121699.92</c:v>
                </c:pt>
                <c:pt idx="283">
                  <c:v>121799.92</c:v>
                </c:pt>
                <c:pt idx="284">
                  <c:v>121899.92</c:v>
                </c:pt>
                <c:pt idx="285">
                  <c:v>121999.92</c:v>
                </c:pt>
                <c:pt idx="286">
                  <c:v>122099.92</c:v>
                </c:pt>
                <c:pt idx="287">
                  <c:v>122199.92</c:v>
                </c:pt>
                <c:pt idx="288">
                  <c:v>122299.92</c:v>
                </c:pt>
                <c:pt idx="289">
                  <c:v>122399.92</c:v>
                </c:pt>
                <c:pt idx="290">
                  <c:v>122499.92</c:v>
                </c:pt>
                <c:pt idx="291">
                  <c:v>122599.92</c:v>
                </c:pt>
                <c:pt idx="292">
                  <c:v>122699.92</c:v>
                </c:pt>
                <c:pt idx="293">
                  <c:v>122799.92</c:v>
                </c:pt>
                <c:pt idx="294">
                  <c:v>122899.92</c:v>
                </c:pt>
                <c:pt idx="295">
                  <c:v>122999.92</c:v>
                </c:pt>
                <c:pt idx="296">
                  <c:v>123099.92</c:v>
                </c:pt>
                <c:pt idx="297">
                  <c:v>123199.92</c:v>
                </c:pt>
                <c:pt idx="298">
                  <c:v>123215.6</c:v>
                </c:pt>
                <c:pt idx="299">
                  <c:v>123295.6</c:v>
                </c:pt>
                <c:pt idx="300">
                  <c:v>123299.92</c:v>
                </c:pt>
                <c:pt idx="301">
                  <c:v>123399.92</c:v>
                </c:pt>
                <c:pt idx="302">
                  <c:v>123499.92</c:v>
                </c:pt>
                <c:pt idx="303">
                  <c:v>123599.92</c:v>
                </c:pt>
                <c:pt idx="304">
                  <c:v>123699.92</c:v>
                </c:pt>
                <c:pt idx="305">
                  <c:v>123799.92</c:v>
                </c:pt>
                <c:pt idx="306">
                  <c:v>123899.92</c:v>
                </c:pt>
                <c:pt idx="307">
                  <c:v>123999.92</c:v>
                </c:pt>
                <c:pt idx="308">
                  <c:v>124099.92</c:v>
                </c:pt>
                <c:pt idx="309">
                  <c:v>124199.92</c:v>
                </c:pt>
                <c:pt idx="310">
                  <c:v>124299.92</c:v>
                </c:pt>
                <c:pt idx="311">
                  <c:v>124399.92</c:v>
                </c:pt>
                <c:pt idx="312">
                  <c:v>124499.92</c:v>
                </c:pt>
                <c:pt idx="313">
                  <c:v>124599.92</c:v>
                </c:pt>
                <c:pt idx="314">
                  <c:v>124699.92</c:v>
                </c:pt>
                <c:pt idx="315">
                  <c:v>124799.92</c:v>
                </c:pt>
                <c:pt idx="316">
                  <c:v>124899.92</c:v>
                </c:pt>
                <c:pt idx="317">
                  <c:v>124999.92</c:v>
                </c:pt>
                <c:pt idx="318">
                  <c:v>125099.92</c:v>
                </c:pt>
                <c:pt idx="319">
                  <c:v>125156.3</c:v>
                </c:pt>
                <c:pt idx="320">
                  <c:v>125199.92</c:v>
                </c:pt>
                <c:pt idx="321">
                  <c:v>125236.3</c:v>
                </c:pt>
                <c:pt idx="322">
                  <c:v>125299.92</c:v>
                </c:pt>
                <c:pt idx="323">
                  <c:v>125399.92</c:v>
                </c:pt>
                <c:pt idx="324">
                  <c:v>125499.92</c:v>
                </c:pt>
                <c:pt idx="325">
                  <c:v>125599.92</c:v>
                </c:pt>
                <c:pt idx="326">
                  <c:v>125699.92</c:v>
                </c:pt>
                <c:pt idx="327">
                  <c:v>125723.1</c:v>
                </c:pt>
                <c:pt idx="328">
                  <c:v>125798.1</c:v>
                </c:pt>
                <c:pt idx="329">
                  <c:v>125799.92</c:v>
                </c:pt>
                <c:pt idx="330">
                  <c:v>125899.92</c:v>
                </c:pt>
                <c:pt idx="331">
                  <c:v>125915.7</c:v>
                </c:pt>
                <c:pt idx="332">
                  <c:v>125999.92</c:v>
                </c:pt>
                <c:pt idx="333">
                  <c:v>126075.7</c:v>
                </c:pt>
                <c:pt idx="334">
                  <c:v>126099.92</c:v>
                </c:pt>
                <c:pt idx="335">
                  <c:v>126199.92</c:v>
                </c:pt>
                <c:pt idx="336">
                  <c:v>126299.92</c:v>
                </c:pt>
                <c:pt idx="337">
                  <c:v>126399.92</c:v>
                </c:pt>
                <c:pt idx="338">
                  <c:v>126499.92</c:v>
                </c:pt>
                <c:pt idx="339">
                  <c:v>126599.92</c:v>
                </c:pt>
                <c:pt idx="340">
                  <c:v>126699.92</c:v>
                </c:pt>
                <c:pt idx="341">
                  <c:v>126799.92</c:v>
                </c:pt>
                <c:pt idx="342">
                  <c:v>126899.92</c:v>
                </c:pt>
                <c:pt idx="343">
                  <c:v>126999.92</c:v>
                </c:pt>
                <c:pt idx="344">
                  <c:v>127099.92</c:v>
                </c:pt>
                <c:pt idx="345">
                  <c:v>127199.92</c:v>
                </c:pt>
                <c:pt idx="346">
                  <c:v>127299.92</c:v>
                </c:pt>
                <c:pt idx="347">
                  <c:v>127399.92</c:v>
                </c:pt>
                <c:pt idx="348">
                  <c:v>127499.92</c:v>
                </c:pt>
                <c:pt idx="349">
                  <c:v>127599.92</c:v>
                </c:pt>
                <c:pt idx="350">
                  <c:v>127699.92</c:v>
                </c:pt>
                <c:pt idx="351">
                  <c:v>127799.92</c:v>
                </c:pt>
                <c:pt idx="352">
                  <c:v>127899.92</c:v>
                </c:pt>
                <c:pt idx="353">
                  <c:v>127999.92</c:v>
                </c:pt>
                <c:pt idx="354">
                  <c:v>128099.92</c:v>
                </c:pt>
                <c:pt idx="355">
                  <c:v>128199.92</c:v>
                </c:pt>
                <c:pt idx="356">
                  <c:v>128299.92</c:v>
                </c:pt>
                <c:pt idx="357">
                  <c:v>128399.92</c:v>
                </c:pt>
                <c:pt idx="358">
                  <c:v>128499.92</c:v>
                </c:pt>
                <c:pt idx="359">
                  <c:v>128599.92</c:v>
                </c:pt>
                <c:pt idx="360">
                  <c:v>128699.92</c:v>
                </c:pt>
                <c:pt idx="361">
                  <c:v>128799.92</c:v>
                </c:pt>
                <c:pt idx="362">
                  <c:v>128899.92</c:v>
                </c:pt>
                <c:pt idx="363">
                  <c:v>128999.92</c:v>
                </c:pt>
                <c:pt idx="364">
                  <c:v>129099.92</c:v>
                </c:pt>
                <c:pt idx="365">
                  <c:v>129199.92</c:v>
                </c:pt>
                <c:pt idx="366">
                  <c:v>129299.92</c:v>
                </c:pt>
                <c:pt idx="367">
                  <c:v>129399.92</c:v>
                </c:pt>
                <c:pt idx="368">
                  <c:v>129499.92</c:v>
                </c:pt>
                <c:pt idx="369">
                  <c:v>129599.92</c:v>
                </c:pt>
                <c:pt idx="370">
                  <c:v>129699.92</c:v>
                </c:pt>
                <c:pt idx="371">
                  <c:v>129799.92</c:v>
                </c:pt>
                <c:pt idx="372">
                  <c:v>129899.92</c:v>
                </c:pt>
                <c:pt idx="373">
                  <c:v>129918.1</c:v>
                </c:pt>
                <c:pt idx="374">
                  <c:v>129998.1</c:v>
                </c:pt>
                <c:pt idx="375">
                  <c:v>129999.92</c:v>
                </c:pt>
                <c:pt idx="376">
                  <c:v>130099.92</c:v>
                </c:pt>
                <c:pt idx="377">
                  <c:v>130199.92</c:v>
                </c:pt>
                <c:pt idx="378">
                  <c:v>130299.92</c:v>
                </c:pt>
                <c:pt idx="379">
                  <c:v>130399.92</c:v>
                </c:pt>
                <c:pt idx="380">
                  <c:v>130499.92</c:v>
                </c:pt>
                <c:pt idx="381">
                  <c:v>130599.92</c:v>
                </c:pt>
                <c:pt idx="382">
                  <c:v>130699.92</c:v>
                </c:pt>
                <c:pt idx="383">
                  <c:v>130799.92</c:v>
                </c:pt>
                <c:pt idx="384">
                  <c:v>130899.92</c:v>
                </c:pt>
                <c:pt idx="385">
                  <c:v>130999.92</c:v>
                </c:pt>
                <c:pt idx="386">
                  <c:v>131099.92000000001</c:v>
                </c:pt>
                <c:pt idx="387">
                  <c:v>131199.92000000001</c:v>
                </c:pt>
                <c:pt idx="388">
                  <c:v>131299.92000000001</c:v>
                </c:pt>
                <c:pt idx="389">
                  <c:v>131399.92000000001</c:v>
                </c:pt>
                <c:pt idx="390">
                  <c:v>131482.9</c:v>
                </c:pt>
                <c:pt idx="391">
                  <c:v>131499.92000000001</c:v>
                </c:pt>
                <c:pt idx="392">
                  <c:v>131562.9</c:v>
                </c:pt>
                <c:pt idx="393">
                  <c:v>131599.92000000001</c:v>
                </c:pt>
                <c:pt idx="394">
                  <c:v>131699.92000000001</c:v>
                </c:pt>
                <c:pt idx="395">
                  <c:v>131799.92000000001</c:v>
                </c:pt>
                <c:pt idx="396">
                  <c:v>131899.92000000001</c:v>
                </c:pt>
                <c:pt idx="397">
                  <c:v>131999.92000000001</c:v>
                </c:pt>
                <c:pt idx="398">
                  <c:v>132099.92000000001</c:v>
                </c:pt>
                <c:pt idx="399">
                  <c:v>132199.92000000001</c:v>
                </c:pt>
                <c:pt idx="400">
                  <c:v>132299.92000000001</c:v>
                </c:pt>
                <c:pt idx="401">
                  <c:v>132399.92000000001</c:v>
                </c:pt>
                <c:pt idx="402">
                  <c:v>132499.92000000001</c:v>
                </c:pt>
                <c:pt idx="403">
                  <c:v>132599.92000000001</c:v>
                </c:pt>
                <c:pt idx="404">
                  <c:v>132699.92000000001</c:v>
                </c:pt>
                <c:pt idx="405">
                  <c:v>132799.1</c:v>
                </c:pt>
                <c:pt idx="406">
                  <c:v>132799.92000000001</c:v>
                </c:pt>
                <c:pt idx="407">
                  <c:v>132899.92000000001</c:v>
                </c:pt>
                <c:pt idx="408">
                  <c:v>132999.92000000001</c:v>
                </c:pt>
                <c:pt idx="409">
                  <c:v>133039.1</c:v>
                </c:pt>
                <c:pt idx="410">
                  <c:v>133099.92000000001</c:v>
                </c:pt>
                <c:pt idx="411">
                  <c:v>133199.92000000001</c:v>
                </c:pt>
                <c:pt idx="412">
                  <c:v>133299.92000000001</c:v>
                </c:pt>
                <c:pt idx="413">
                  <c:v>133399.92000000001</c:v>
                </c:pt>
                <c:pt idx="414">
                  <c:v>133499.92000000001</c:v>
                </c:pt>
                <c:pt idx="415">
                  <c:v>133599.92000000001</c:v>
                </c:pt>
                <c:pt idx="416">
                  <c:v>133699.92000000001</c:v>
                </c:pt>
                <c:pt idx="417">
                  <c:v>133799.92000000001</c:v>
                </c:pt>
                <c:pt idx="418">
                  <c:v>133899.92000000001</c:v>
                </c:pt>
                <c:pt idx="419">
                  <c:v>133999.92000000001</c:v>
                </c:pt>
                <c:pt idx="420">
                  <c:v>134099.92000000001</c:v>
                </c:pt>
                <c:pt idx="421">
                  <c:v>134199.92000000001</c:v>
                </c:pt>
                <c:pt idx="422">
                  <c:v>134299.92000000001</c:v>
                </c:pt>
                <c:pt idx="423">
                  <c:v>134399.92000000001</c:v>
                </c:pt>
                <c:pt idx="424">
                  <c:v>134499.92000000001</c:v>
                </c:pt>
                <c:pt idx="425">
                  <c:v>134599.92000000001</c:v>
                </c:pt>
                <c:pt idx="426">
                  <c:v>134699.92000000001</c:v>
                </c:pt>
                <c:pt idx="427">
                  <c:v>134799.92000000001</c:v>
                </c:pt>
                <c:pt idx="428">
                  <c:v>134899.92000000001</c:v>
                </c:pt>
                <c:pt idx="429">
                  <c:v>134999.92000000001</c:v>
                </c:pt>
                <c:pt idx="430">
                  <c:v>135099.92000000001</c:v>
                </c:pt>
                <c:pt idx="431">
                  <c:v>135199.92000000001</c:v>
                </c:pt>
                <c:pt idx="432">
                  <c:v>135299.92000000001</c:v>
                </c:pt>
                <c:pt idx="433">
                  <c:v>135399.92000000001</c:v>
                </c:pt>
                <c:pt idx="434">
                  <c:v>135499.92000000001</c:v>
                </c:pt>
                <c:pt idx="435">
                  <c:v>135599.92000000001</c:v>
                </c:pt>
                <c:pt idx="436">
                  <c:v>135699.92000000001</c:v>
                </c:pt>
                <c:pt idx="437">
                  <c:v>135799.92000000001</c:v>
                </c:pt>
                <c:pt idx="438">
                  <c:v>135899.92000000001</c:v>
                </c:pt>
                <c:pt idx="439">
                  <c:v>135999.92000000001</c:v>
                </c:pt>
                <c:pt idx="440">
                  <c:v>136099.92000000001</c:v>
                </c:pt>
                <c:pt idx="441">
                  <c:v>136199.92000000001</c:v>
                </c:pt>
                <c:pt idx="442">
                  <c:v>136299.92000000001</c:v>
                </c:pt>
                <c:pt idx="443">
                  <c:v>136399.92000000001</c:v>
                </c:pt>
                <c:pt idx="444">
                  <c:v>136499.92000000001</c:v>
                </c:pt>
                <c:pt idx="445">
                  <c:v>136599.92000000001</c:v>
                </c:pt>
                <c:pt idx="446">
                  <c:v>136699.92000000001</c:v>
                </c:pt>
                <c:pt idx="447">
                  <c:v>136799.92000000001</c:v>
                </c:pt>
                <c:pt idx="448">
                  <c:v>136899.92000000001</c:v>
                </c:pt>
                <c:pt idx="449">
                  <c:v>136999.92000000001</c:v>
                </c:pt>
                <c:pt idx="450">
                  <c:v>137099.92000000001</c:v>
                </c:pt>
                <c:pt idx="451">
                  <c:v>137199.92000000001</c:v>
                </c:pt>
                <c:pt idx="452">
                  <c:v>137299.92000000001</c:v>
                </c:pt>
                <c:pt idx="453">
                  <c:v>137399.92000000001</c:v>
                </c:pt>
                <c:pt idx="454">
                  <c:v>137499.92000000001</c:v>
                </c:pt>
                <c:pt idx="455">
                  <c:v>137599.92000000001</c:v>
                </c:pt>
                <c:pt idx="456">
                  <c:v>137699.92000000001</c:v>
                </c:pt>
                <c:pt idx="457">
                  <c:v>137745.70000000001</c:v>
                </c:pt>
                <c:pt idx="458">
                  <c:v>137799.92000000001</c:v>
                </c:pt>
                <c:pt idx="459">
                  <c:v>137899.92000000001</c:v>
                </c:pt>
                <c:pt idx="460">
                  <c:v>137999.92000000001</c:v>
                </c:pt>
                <c:pt idx="461">
                  <c:v>138099.92000000001</c:v>
                </c:pt>
                <c:pt idx="462">
                  <c:v>138199.92000000001</c:v>
                </c:pt>
                <c:pt idx="463">
                  <c:v>138299.92000000001</c:v>
                </c:pt>
                <c:pt idx="464">
                  <c:v>138399.92000000001</c:v>
                </c:pt>
                <c:pt idx="465">
                  <c:v>138465.70000000001</c:v>
                </c:pt>
                <c:pt idx="466">
                  <c:v>138499.92000000001</c:v>
                </c:pt>
                <c:pt idx="467">
                  <c:v>138599.92000000001</c:v>
                </c:pt>
                <c:pt idx="468">
                  <c:v>138699.92000000001</c:v>
                </c:pt>
                <c:pt idx="469">
                  <c:v>138799.92000000001</c:v>
                </c:pt>
                <c:pt idx="470">
                  <c:v>138836.1</c:v>
                </c:pt>
                <c:pt idx="471">
                  <c:v>138899.92000000001</c:v>
                </c:pt>
                <c:pt idx="472">
                  <c:v>138916.1</c:v>
                </c:pt>
                <c:pt idx="473">
                  <c:v>138999.92000000001</c:v>
                </c:pt>
                <c:pt idx="474">
                  <c:v>139099.92000000001</c:v>
                </c:pt>
                <c:pt idx="475">
                  <c:v>139199.92000000001</c:v>
                </c:pt>
                <c:pt idx="476">
                  <c:v>139299.92000000001</c:v>
                </c:pt>
                <c:pt idx="477">
                  <c:v>139399.92000000001</c:v>
                </c:pt>
                <c:pt idx="478">
                  <c:v>139424.9</c:v>
                </c:pt>
                <c:pt idx="479">
                  <c:v>139499.92000000001</c:v>
                </c:pt>
                <c:pt idx="480">
                  <c:v>139584.9</c:v>
                </c:pt>
                <c:pt idx="481">
                  <c:v>139599.92000000001</c:v>
                </c:pt>
                <c:pt idx="482">
                  <c:v>139699.92000000001</c:v>
                </c:pt>
                <c:pt idx="483">
                  <c:v>139799.92000000001</c:v>
                </c:pt>
                <c:pt idx="484">
                  <c:v>139899.92000000001</c:v>
                </c:pt>
                <c:pt idx="485">
                  <c:v>139999.92000000001</c:v>
                </c:pt>
                <c:pt idx="486">
                  <c:v>140099.92000000001</c:v>
                </c:pt>
                <c:pt idx="487">
                  <c:v>140199.92000000001</c:v>
                </c:pt>
                <c:pt idx="488">
                  <c:v>140299.92000000001</c:v>
                </c:pt>
                <c:pt idx="489">
                  <c:v>140399.92000000001</c:v>
                </c:pt>
                <c:pt idx="490">
                  <c:v>140499.92000000001</c:v>
                </c:pt>
                <c:pt idx="491">
                  <c:v>140599.92000000001</c:v>
                </c:pt>
                <c:pt idx="492">
                  <c:v>140699.92000000001</c:v>
                </c:pt>
                <c:pt idx="493">
                  <c:v>140799.92000000001</c:v>
                </c:pt>
                <c:pt idx="494">
                  <c:v>140899.92000000001</c:v>
                </c:pt>
                <c:pt idx="495">
                  <c:v>140999.92000000001</c:v>
                </c:pt>
                <c:pt idx="496">
                  <c:v>141099.92000000001</c:v>
                </c:pt>
                <c:pt idx="497">
                  <c:v>141199.92000000001</c:v>
                </c:pt>
                <c:pt idx="498">
                  <c:v>141299.92000000001</c:v>
                </c:pt>
                <c:pt idx="499">
                  <c:v>141399.92000000001</c:v>
                </c:pt>
                <c:pt idx="500">
                  <c:v>141499.92000000001</c:v>
                </c:pt>
                <c:pt idx="501">
                  <c:v>141599.92000000001</c:v>
                </c:pt>
                <c:pt idx="502">
                  <c:v>141699.92000000001</c:v>
                </c:pt>
                <c:pt idx="503">
                  <c:v>141799.92000000001</c:v>
                </c:pt>
                <c:pt idx="504">
                  <c:v>141899.92000000001</c:v>
                </c:pt>
                <c:pt idx="505">
                  <c:v>141999.92000000001</c:v>
                </c:pt>
                <c:pt idx="506">
                  <c:v>142099.92000000001</c:v>
                </c:pt>
                <c:pt idx="507">
                  <c:v>142199.92000000001</c:v>
                </c:pt>
                <c:pt idx="508">
                  <c:v>142299.92000000001</c:v>
                </c:pt>
                <c:pt idx="509">
                  <c:v>142399.92000000001</c:v>
                </c:pt>
                <c:pt idx="510">
                  <c:v>142427</c:v>
                </c:pt>
                <c:pt idx="511">
                  <c:v>142499.92000000001</c:v>
                </c:pt>
                <c:pt idx="512">
                  <c:v>142507</c:v>
                </c:pt>
                <c:pt idx="513">
                  <c:v>142599.92000000001</c:v>
                </c:pt>
                <c:pt idx="514">
                  <c:v>142699.92000000001</c:v>
                </c:pt>
                <c:pt idx="515">
                  <c:v>142799.92000000001</c:v>
                </c:pt>
                <c:pt idx="516">
                  <c:v>142899.92000000001</c:v>
                </c:pt>
                <c:pt idx="517">
                  <c:v>142999.92000000001</c:v>
                </c:pt>
                <c:pt idx="518">
                  <c:v>143099.92000000001</c:v>
                </c:pt>
                <c:pt idx="519">
                  <c:v>143199.92000000001</c:v>
                </c:pt>
                <c:pt idx="520">
                  <c:v>143299.92000000001</c:v>
                </c:pt>
                <c:pt idx="521">
                  <c:v>143399.92000000001</c:v>
                </c:pt>
                <c:pt idx="522">
                  <c:v>143499.92000000001</c:v>
                </c:pt>
                <c:pt idx="523">
                  <c:v>143599.92000000001</c:v>
                </c:pt>
                <c:pt idx="524">
                  <c:v>143699.92000000001</c:v>
                </c:pt>
                <c:pt idx="525">
                  <c:v>143799.92000000001</c:v>
                </c:pt>
                <c:pt idx="526">
                  <c:v>143899.92000000001</c:v>
                </c:pt>
                <c:pt idx="527">
                  <c:v>143999.92000000001</c:v>
                </c:pt>
                <c:pt idx="528">
                  <c:v>144099.92000000001</c:v>
                </c:pt>
                <c:pt idx="529">
                  <c:v>144199.92000000001</c:v>
                </c:pt>
                <c:pt idx="530">
                  <c:v>144299.92000000001</c:v>
                </c:pt>
                <c:pt idx="531">
                  <c:v>144399.92000000001</c:v>
                </c:pt>
                <c:pt idx="532">
                  <c:v>144478.29999999999</c:v>
                </c:pt>
                <c:pt idx="533">
                  <c:v>144499.92000000001</c:v>
                </c:pt>
                <c:pt idx="534">
                  <c:v>144558.29999999999</c:v>
                </c:pt>
                <c:pt idx="535">
                  <c:v>144599.92000000001</c:v>
                </c:pt>
                <c:pt idx="536">
                  <c:v>144699.92000000001</c:v>
                </c:pt>
                <c:pt idx="537">
                  <c:v>144799.92000000001</c:v>
                </c:pt>
                <c:pt idx="538">
                  <c:v>144899.92000000001</c:v>
                </c:pt>
                <c:pt idx="539">
                  <c:v>144999.92000000001</c:v>
                </c:pt>
                <c:pt idx="540">
                  <c:v>145099.92000000001</c:v>
                </c:pt>
                <c:pt idx="541">
                  <c:v>145199.92000000001</c:v>
                </c:pt>
                <c:pt idx="542">
                  <c:v>145299.92000000001</c:v>
                </c:pt>
                <c:pt idx="543">
                  <c:v>145399.92000000001</c:v>
                </c:pt>
                <c:pt idx="544">
                  <c:v>145499.92000000001</c:v>
                </c:pt>
                <c:pt idx="545">
                  <c:v>145599.92000000001</c:v>
                </c:pt>
                <c:pt idx="546">
                  <c:v>145699.92000000001</c:v>
                </c:pt>
                <c:pt idx="547">
                  <c:v>145799.92000000001</c:v>
                </c:pt>
                <c:pt idx="548">
                  <c:v>145899.92000000001</c:v>
                </c:pt>
                <c:pt idx="549">
                  <c:v>145999.92000000001</c:v>
                </c:pt>
                <c:pt idx="550">
                  <c:v>146099.92000000001</c:v>
                </c:pt>
                <c:pt idx="551">
                  <c:v>146199.92000000001</c:v>
                </c:pt>
                <c:pt idx="552">
                  <c:v>146262.29999999999</c:v>
                </c:pt>
                <c:pt idx="553">
                  <c:v>146299.92000000001</c:v>
                </c:pt>
                <c:pt idx="554">
                  <c:v>146342.29999999999</c:v>
                </c:pt>
                <c:pt idx="555">
                  <c:v>146399.92000000001</c:v>
                </c:pt>
                <c:pt idx="556">
                  <c:v>146499.92000000001</c:v>
                </c:pt>
                <c:pt idx="557">
                  <c:v>146599.92000000001</c:v>
                </c:pt>
                <c:pt idx="558">
                  <c:v>146699.92000000001</c:v>
                </c:pt>
                <c:pt idx="559">
                  <c:v>146799.92000000001</c:v>
                </c:pt>
                <c:pt idx="560">
                  <c:v>146899.92000000001</c:v>
                </c:pt>
                <c:pt idx="561">
                  <c:v>146999.92000000001</c:v>
                </c:pt>
                <c:pt idx="562">
                  <c:v>147099.92000000001</c:v>
                </c:pt>
                <c:pt idx="563">
                  <c:v>147199.92000000001</c:v>
                </c:pt>
                <c:pt idx="564">
                  <c:v>147299.92000000001</c:v>
                </c:pt>
                <c:pt idx="565">
                  <c:v>147399.92000000001</c:v>
                </c:pt>
                <c:pt idx="566">
                  <c:v>147499.92000000001</c:v>
                </c:pt>
                <c:pt idx="567">
                  <c:v>147599.92000000001</c:v>
                </c:pt>
                <c:pt idx="568">
                  <c:v>147699.92000000001</c:v>
                </c:pt>
                <c:pt idx="569">
                  <c:v>147799.92000000001</c:v>
                </c:pt>
                <c:pt idx="570">
                  <c:v>147899.92000000001</c:v>
                </c:pt>
                <c:pt idx="571">
                  <c:v>147999.92000000001</c:v>
                </c:pt>
                <c:pt idx="572">
                  <c:v>148099.92000000001</c:v>
                </c:pt>
                <c:pt idx="573">
                  <c:v>148199.92000000001</c:v>
                </c:pt>
                <c:pt idx="574">
                  <c:v>148299.92000000001</c:v>
                </c:pt>
                <c:pt idx="575">
                  <c:v>148399.92000000001</c:v>
                </c:pt>
                <c:pt idx="576">
                  <c:v>148499.92000000001</c:v>
                </c:pt>
                <c:pt idx="577">
                  <c:v>148599.92000000001</c:v>
                </c:pt>
                <c:pt idx="578">
                  <c:v>148699.92000000001</c:v>
                </c:pt>
                <c:pt idx="579">
                  <c:v>148799.92000000001</c:v>
                </c:pt>
                <c:pt idx="580">
                  <c:v>148899.92000000001</c:v>
                </c:pt>
                <c:pt idx="581">
                  <c:v>148999.92000000001</c:v>
                </c:pt>
                <c:pt idx="582">
                  <c:v>149099.92000000001</c:v>
                </c:pt>
                <c:pt idx="583">
                  <c:v>149199.92000000001</c:v>
                </c:pt>
                <c:pt idx="584">
                  <c:v>149299.92000000001</c:v>
                </c:pt>
                <c:pt idx="585">
                  <c:v>149399.92000000001</c:v>
                </c:pt>
                <c:pt idx="586">
                  <c:v>149499.92000000001</c:v>
                </c:pt>
                <c:pt idx="587">
                  <c:v>149599.92000000001</c:v>
                </c:pt>
                <c:pt idx="588">
                  <c:v>149699.92000000001</c:v>
                </c:pt>
                <c:pt idx="589">
                  <c:v>149799.92000000001</c:v>
                </c:pt>
                <c:pt idx="590">
                  <c:v>149899.92000000001</c:v>
                </c:pt>
                <c:pt idx="591">
                  <c:v>149999.92000000001</c:v>
                </c:pt>
                <c:pt idx="592">
                  <c:v>150099.92000000001</c:v>
                </c:pt>
                <c:pt idx="593">
                  <c:v>150120.79999999999</c:v>
                </c:pt>
                <c:pt idx="594">
                  <c:v>150199.92000000001</c:v>
                </c:pt>
                <c:pt idx="595">
                  <c:v>150240.79999999999</c:v>
                </c:pt>
                <c:pt idx="596">
                  <c:v>150299.92000000001</c:v>
                </c:pt>
                <c:pt idx="597">
                  <c:v>150399.92000000001</c:v>
                </c:pt>
                <c:pt idx="598">
                  <c:v>150499.92000000001</c:v>
                </c:pt>
                <c:pt idx="599">
                  <c:v>150599.92000000001</c:v>
                </c:pt>
                <c:pt idx="600">
                  <c:v>150699.92000000001</c:v>
                </c:pt>
                <c:pt idx="601">
                  <c:v>150799.92000000001</c:v>
                </c:pt>
                <c:pt idx="602">
                  <c:v>150899.92000000001</c:v>
                </c:pt>
                <c:pt idx="603">
                  <c:v>150999.92000000001</c:v>
                </c:pt>
                <c:pt idx="604">
                  <c:v>151099.92000000001</c:v>
                </c:pt>
                <c:pt idx="605">
                  <c:v>151199.92000000001</c:v>
                </c:pt>
                <c:pt idx="606">
                  <c:v>151299.92000000001</c:v>
                </c:pt>
                <c:pt idx="607">
                  <c:v>151399.92000000001</c:v>
                </c:pt>
                <c:pt idx="608">
                  <c:v>151499.92000000001</c:v>
                </c:pt>
                <c:pt idx="609">
                  <c:v>151599.92000000001</c:v>
                </c:pt>
                <c:pt idx="610">
                  <c:v>151699.92000000001</c:v>
                </c:pt>
                <c:pt idx="611">
                  <c:v>151799.92000000001</c:v>
                </c:pt>
                <c:pt idx="612">
                  <c:v>151899.92000000001</c:v>
                </c:pt>
                <c:pt idx="613">
                  <c:v>151999.92000000001</c:v>
                </c:pt>
                <c:pt idx="614">
                  <c:v>152099.92000000001</c:v>
                </c:pt>
                <c:pt idx="615">
                  <c:v>152199.92000000001</c:v>
                </c:pt>
                <c:pt idx="616">
                  <c:v>152299.92000000001</c:v>
                </c:pt>
                <c:pt idx="617">
                  <c:v>152399.92000000001</c:v>
                </c:pt>
                <c:pt idx="618">
                  <c:v>152499.92000000001</c:v>
                </c:pt>
                <c:pt idx="619">
                  <c:v>152599.92000000001</c:v>
                </c:pt>
                <c:pt idx="620">
                  <c:v>152699.92000000001</c:v>
                </c:pt>
                <c:pt idx="621">
                  <c:v>152799.92000000001</c:v>
                </c:pt>
                <c:pt idx="622">
                  <c:v>152899.92000000001</c:v>
                </c:pt>
                <c:pt idx="623">
                  <c:v>152999.92000000001</c:v>
                </c:pt>
                <c:pt idx="624">
                  <c:v>153099.92000000001</c:v>
                </c:pt>
                <c:pt idx="625">
                  <c:v>153199.92000000001</c:v>
                </c:pt>
                <c:pt idx="626">
                  <c:v>153299.92000000001</c:v>
                </c:pt>
                <c:pt idx="627">
                  <c:v>153399.92000000001</c:v>
                </c:pt>
                <c:pt idx="628">
                  <c:v>153499.92000000001</c:v>
                </c:pt>
                <c:pt idx="629">
                  <c:v>153599.92000000001</c:v>
                </c:pt>
                <c:pt idx="630">
                  <c:v>153699.92000000001</c:v>
                </c:pt>
                <c:pt idx="631">
                  <c:v>153799.92000000001</c:v>
                </c:pt>
                <c:pt idx="632">
                  <c:v>153859</c:v>
                </c:pt>
                <c:pt idx="633">
                  <c:v>153899.92000000001</c:v>
                </c:pt>
                <c:pt idx="634">
                  <c:v>153999.92000000001</c:v>
                </c:pt>
                <c:pt idx="635">
                  <c:v>154099.92000000001</c:v>
                </c:pt>
                <c:pt idx="636">
                  <c:v>154199.92000000001</c:v>
                </c:pt>
                <c:pt idx="637">
                  <c:v>154299.92000000001</c:v>
                </c:pt>
                <c:pt idx="638">
                  <c:v>154399.92000000001</c:v>
                </c:pt>
                <c:pt idx="639">
                  <c:v>154499.92000000001</c:v>
                </c:pt>
                <c:pt idx="640">
                  <c:v>154599.92000000001</c:v>
                </c:pt>
                <c:pt idx="641">
                  <c:v>154699.92000000001</c:v>
                </c:pt>
                <c:pt idx="642">
                  <c:v>154799.92000000001</c:v>
                </c:pt>
                <c:pt idx="643">
                  <c:v>154899.92000000001</c:v>
                </c:pt>
                <c:pt idx="644">
                  <c:v>154999.92000000001</c:v>
                </c:pt>
                <c:pt idx="645">
                  <c:v>155099.92000000001</c:v>
                </c:pt>
                <c:pt idx="646">
                  <c:v>155199.92000000001</c:v>
                </c:pt>
                <c:pt idx="647">
                  <c:v>155299.92000000001</c:v>
                </c:pt>
                <c:pt idx="648">
                  <c:v>155399.92000000001</c:v>
                </c:pt>
                <c:pt idx="649">
                  <c:v>155499.92000000001</c:v>
                </c:pt>
                <c:pt idx="650">
                  <c:v>155569</c:v>
                </c:pt>
                <c:pt idx="651">
                  <c:v>155599.92000000001</c:v>
                </c:pt>
                <c:pt idx="652">
                  <c:v>155699.92000000001</c:v>
                </c:pt>
                <c:pt idx="653">
                  <c:v>155799.92000000001</c:v>
                </c:pt>
                <c:pt idx="654">
                  <c:v>155899.92000000001</c:v>
                </c:pt>
                <c:pt idx="655">
                  <c:v>155999.92000000001</c:v>
                </c:pt>
                <c:pt idx="656">
                  <c:v>156099.92000000001</c:v>
                </c:pt>
                <c:pt idx="657">
                  <c:v>156199.92000000001</c:v>
                </c:pt>
                <c:pt idx="658">
                  <c:v>156299.92000000001</c:v>
                </c:pt>
                <c:pt idx="659">
                  <c:v>156399.92000000001</c:v>
                </c:pt>
                <c:pt idx="660">
                  <c:v>156499.92000000001</c:v>
                </c:pt>
                <c:pt idx="661">
                  <c:v>156599.92000000001</c:v>
                </c:pt>
                <c:pt idx="662">
                  <c:v>156699.92000000001</c:v>
                </c:pt>
                <c:pt idx="663">
                  <c:v>156799.92000000001</c:v>
                </c:pt>
                <c:pt idx="664">
                  <c:v>156899.92000000001</c:v>
                </c:pt>
                <c:pt idx="665">
                  <c:v>156999.92000000001</c:v>
                </c:pt>
                <c:pt idx="666">
                  <c:v>157099.92000000001</c:v>
                </c:pt>
                <c:pt idx="667">
                  <c:v>157199.92000000001</c:v>
                </c:pt>
                <c:pt idx="668">
                  <c:v>157299.92000000001</c:v>
                </c:pt>
                <c:pt idx="669">
                  <c:v>157399.92000000001</c:v>
                </c:pt>
                <c:pt idx="670">
                  <c:v>157499.92000000001</c:v>
                </c:pt>
                <c:pt idx="671">
                  <c:v>157599.92000000001</c:v>
                </c:pt>
                <c:pt idx="672">
                  <c:v>157699.92000000001</c:v>
                </c:pt>
                <c:pt idx="673">
                  <c:v>157799.92000000001</c:v>
                </c:pt>
                <c:pt idx="674">
                  <c:v>157899.92000000001</c:v>
                </c:pt>
                <c:pt idx="675">
                  <c:v>157999.92000000001</c:v>
                </c:pt>
                <c:pt idx="676">
                  <c:v>158099.92000000001</c:v>
                </c:pt>
                <c:pt idx="677">
                  <c:v>158199.92000000001</c:v>
                </c:pt>
                <c:pt idx="678">
                  <c:v>158299.92000000001</c:v>
                </c:pt>
                <c:pt idx="679">
                  <c:v>158399.92000000001</c:v>
                </c:pt>
                <c:pt idx="680">
                  <c:v>158499.92000000001</c:v>
                </c:pt>
                <c:pt idx="681">
                  <c:v>158599.92000000001</c:v>
                </c:pt>
                <c:pt idx="682">
                  <c:v>158699.92000000001</c:v>
                </c:pt>
                <c:pt idx="683">
                  <c:v>158737.4</c:v>
                </c:pt>
                <c:pt idx="684">
                  <c:v>158799.92000000001</c:v>
                </c:pt>
                <c:pt idx="685">
                  <c:v>158897.4</c:v>
                </c:pt>
                <c:pt idx="686">
                  <c:v>158899.92000000001</c:v>
                </c:pt>
                <c:pt idx="687">
                  <c:v>158999.92000000001</c:v>
                </c:pt>
                <c:pt idx="688">
                  <c:v>159099.92000000001</c:v>
                </c:pt>
                <c:pt idx="689">
                  <c:v>159199.92000000001</c:v>
                </c:pt>
                <c:pt idx="690">
                  <c:v>159299.92000000001</c:v>
                </c:pt>
                <c:pt idx="691">
                  <c:v>159399.92000000001</c:v>
                </c:pt>
                <c:pt idx="692">
                  <c:v>159499.92000000001</c:v>
                </c:pt>
                <c:pt idx="693">
                  <c:v>159523.79999999999</c:v>
                </c:pt>
                <c:pt idx="694">
                  <c:v>159599.92000000001</c:v>
                </c:pt>
                <c:pt idx="695">
                  <c:v>159643.79999999999</c:v>
                </c:pt>
                <c:pt idx="696">
                  <c:v>159699.92000000001</c:v>
                </c:pt>
                <c:pt idx="697">
                  <c:v>159799.92000000001</c:v>
                </c:pt>
                <c:pt idx="698">
                  <c:v>159899.92000000001</c:v>
                </c:pt>
                <c:pt idx="699">
                  <c:v>159999.92000000001</c:v>
                </c:pt>
                <c:pt idx="700">
                  <c:v>160099.92000000001</c:v>
                </c:pt>
                <c:pt idx="701">
                  <c:v>160199.92000000001</c:v>
                </c:pt>
                <c:pt idx="702">
                  <c:v>160299.92000000001</c:v>
                </c:pt>
                <c:pt idx="703">
                  <c:v>160399.92000000001</c:v>
                </c:pt>
                <c:pt idx="704">
                  <c:v>160499.92000000001</c:v>
                </c:pt>
                <c:pt idx="705">
                  <c:v>160599.92000000001</c:v>
                </c:pt>
                <c:pt idx="706">
                  <c:v>160699.92000000001</c:v>
                </c:pt>
                <c:pt idx="707">
                  <c:v>160799.92000000001</c:v>
                </c:pt>
                <c:pt idx="708">
                  <c:v>160899.92000000001</c:v>
                </c:pt>
                <c:pt idx="709">
                  <c:v>160999.92000000001</c:v>
                </c:pt>
                <c:pt idx="710">
                  <c:v>161099.92000000001</c:v>
                </c:pt>
                <c:pt idx="711">
                  <c:v>161199.92000000001</c:v>
                </c:pt>
                <c:pt idx="712">
                  <c:v>161299.92000000001</c:v>
                </c:pt>
                <c:pt idx="713">
                  <c:v>161399.92000000001</c:v>
                </c:pt>
                <c:pt idx="714">
                  <c:v>161499.92000000001</c:v>
                </c:pt>
                <c:pt idx="715">
                  <c:v>161599.92000000001</c:v>
                </c:pt>
                <c:pt idx="716">
                  <c:v>161699.92000000001</c:v>
                </c:pt>
                <c:pt idx="717">
                  <c:v>161799.92000000001</c:v>
                </c:pt>
                <c:pt idx="718">
                  <c:v>161899.92000000001</c:v>
                </c:pt>
                <c:pt idx="719">
                  <c:v>161999.92000000001</c:v>
                </c:pt>
                <c:pt idx="720">
                  <c:v>162099.92000000001</c:v>
                </c:pt>
                <c:pt idx="721">
                  <c:v>162199.92000000001</c:v>
                </c:pt>
                <c:pt idx="722">
                  <c:v>162299.92000000001</c:v>
                </c:pt>
                <c:pt idx="723">
                  <c:v>162399.92000000001</c:v>
                </c:pt>
                <c:pt idx="724">
                  <c:v>162499.92000000001</c:v>
                </c:pt>
                <c:pt idx="725">
                  <c:v>162599.92000000001</c:v>
                </c:pt>
                <c:pt idx="726">
                  <c:v>162699.92000000001</c:v>
                </c:pt>
                <c:pt idx="727">
                  <c:v>162799.92000000001</c:v>
                </c:pt>
                <c:pt idx="728">
                  <c:v>162899.92000000001</c:v>
                </c:pt>
                <c:pt idx="729">
                  <c:v>162999.92000000001</c:v>
                </c:pt>
                <c:pt idx="730">
                  <c:v>163099.92000000001</c:v>
                </c:pt>
                <c:pt idx="731">
                  <c:v>163199.92000000001</c:v>
                </c:pt>
                <c:pt idx="732">
                  <c:v>163299.92000000001</c:v>
                </c:pt>
                <c:pt idx="733">
                  <c:v>163399.92000000001</c:v>
                </c:pt>
                <c:pt idx="734">
                  <c:v>163499.92000000001</c:v>
                </c:pt>
                <c:pt idx="735">
                  <c:v>163599.92000000001</c:v>
                </c:pt>
                <c:pt idx="736">
                  <c:v>163699.92000000001</c:v>
                </c:pt>
                <c:pt idx="737">
                  <c:v>163799.92000000001</c:v>
                </c:pt>
                <c:pt idx="738">
                  <c:v>163899.92000000001</c:v>
                </c:pt>
                <c:pt idx="739">
                  <c:v>163999.92000000001</c:v>
                </c:pt>
                <c:pt idx="740">
                  <c:v>164099.92000000001</c:v>
                </c:pt>
                <c:pt idx="741">
                  <c:v>164199.92000000001</c:v>
                </c:pt>
                <c:pt idx="742">
                  <c:v>164299.92000000001</c:v>
                </c:pt>
                <c:pt idx="743">
                  <c:v>164399.92000000001</c:v>
                </c:pt>
                <c:pt idx="744">
                  <c:v>164499.92000000001</c:v>
                </c:pt>
                <c:pt idx="745">
                  <c:v>164599.92000000001</c:v>
                </c:pt>
                <c:pt idx="746">
                  <c:v>164699.92000000001</c:v>
                </c:pt>
                <c:pt idx="747">
                  <c:v>164799.92000000001</c:v>
                </c:pt>
                <c:pt idx="748">
                  <c:v>164899.92000000001</c:v>
                </c:pt>
                <c:pt idx="749">
                  <c:v>164999.92000000001</c:v>
                </c:pt>
                <c:pt idx="750">
                  <c:v>165099.92000000001</c:v>
                </c:pt>
                <c:pt idx="751">
                  <c:v>165199.92000000001</c:v>
                </c:pt>
                <c:pt idx="752">
                  <c:v>165257.4</c:v>
                </c:pt>
                <c:pt idx="753">
                  <c:v>165299.92000000001</c:v>
                </c:pt>
                <c:pt idx="754">
                  <c:v>165399.92000000001</c:v>
                </c:pt>
                <c:pt idx="755">
                  <c:v>165457.4</c:v>
                </c:pt>
                <c:pt idx="756">
                  <c:v>165499.92000000001</c:v>
                </c:pt>
                <c:pt idx="757">
                  <c:v>165599.92000000001</c:v>
                </c:pt>
                <c:pt idx="758">
                  <c:v>165699.92000000001</c:v>
                </c:pt>
                <c:pt idx="759">
                  <c:v>165799.92000000001</c:v>
                </c:pt>
                <c:pt idx="760">
                  <c:v>165899.92000000001</c:v>
                </c:pt>
                <c:pt idx="761">
                  <c:v>165999.92000000001</c:v>
                </c:pt>
                <c:pt idx="762">
                  <c:v>166099.92000000001</c:v>
                </c:pt>
                <c:pt idx="763">
                  <c:v>166199.92000000001</c:v>
                </c:pt>
                <c:pt idx="764">
                  <c:v>166299.92000000001</c:v>
                </c:pt>
                <c:pt idx="765">
                  <c:v>166399.92000000001</c:v>
                </c:pt>
                <c:pt idx="766">
                  <c:v>166499.92000000001</c:v>
                </c:pt>
                <c:pt idx="767">
                  <c:v>166599.92000000001</c:v>
                </c:pt>
                <c:pt idx="768">
                  <c:v>166699.92000000001</c:v>
                </c:pt>
                <c:pt idx="769">
                  <c:v>166799.92000000001</c:v>
                </c:pt>
                <c:pt idx="770">
                  <c:v>166899.92000000001</c:v>
                </c:pt>
                <c:pt idx="771">
                  <c:v>166999.92000000001</c:v>
                </c:pt>
                <c:pt idx="772">
                  <c:v>167099.92000000001</c:v>
                </c:pt>
                <c:pt idx="773">
                  <c:v>167199.92000000001</c:v>
                </c:pt>
                <c:pt idx="774">
                  <c:v>167299.92000000001</c:v>
                </c:pt>
                <c:pt idx="775">
                  <c:v>167399.92000000001</c:v>
                </c:pt>
                <c:pt idx="776">
                  <c:v>167499.92000000001</c:v>
                </c:pt>
                <c:pt idx="777">
                  <c:v>167599.92000000001</c:v>
                </c:pt>
                <c:pt idx="778">
                  <c:v>167699.92000000001</c:v>
                </c:pt>
                <c:pt idx="779">
                  <c:v>167799.92</c:v>
                </c:pt>
                <c:pt idx="780">
                  <c:v>167899.92</c:v>
                </c:pt>
                <c:pt idx="781">
                  <c:v>167947</c:v>
                </c:pt>
                <c:pt idx="782">
                  <c:v>167999.92</c:v>
                </c:pt>
                <c:pt idx="783">
                  <c:v>168022</c:v>
                </c:pt>
                <c:pt idx="784">
                  <c:v>168099.92</c:v>
                </c:pt>
                <c:pt idx="785">
                  <c:v>168199.92</c:v>
                </c:pt>
                <c:pt idx="786">
                  <c:v>168244.4</c:v>
                </c:pt>
                <c:pt idx="787">
                  <c:v>168299.92</c:v>
                </c:pt>
                <c:pt idx="788">
                  <c:v>168399.92</c:v>
                </c:pt>
                <c:pt idx="789">
                  <c:v>168499.92</c:v>
                </c:pt>
                <c:pt idx="790">
                  <c:v>168599.92</c:v>
                </c:pt>
                <c:pt idx="791">
                  <c:v>168624.4</c:v>
                </c:pt>
                <c:pt idx="792">
                  <c:v>168699.92</c:v>
                </c:pt>
                <c:pt idx="793">
                  <c:v>168799.92</c:v>
                </c:pt>
                <c:pt idx="794">
                  <c:v>168899.92</c:v>
                </c:pt>
                <c:pt idx="795">
                  <c:v>168999.92</c:v>
                </c:pt>
                <c:pt idx="796">
                  <c:v>169099.92</c:v>
                </c:pt>
                <c:pt idx="797">
                  <c:v>169199.92</c:v>
                </c:pt>
                <c:pt idx="798">
                  <c:v>169299.92</c:v>
                </c:pt>
                <c:pt idx="799">
                  <c:v>169399.92</c:v>
                </c:pt>
                <c:pt idx="800">
                  <c:v>169499.92</c:v>
                </c:pt>
                <c:pt idx="801">
                  <c:v>169599.92</c:v>
                </c:pt>
                <c:pt idx="802">
                  <c:v>169699.92</c:v>
                </c:pt>
                <c:pt idx="803">
                  <c:v>169799.92</c:v>
                </c:pt>
                <c:pt idx="804">
                  <c:v>169899.92</c:v>
                </c:pt>
                <c:pt idx="805">
                  <c:v>169999.92</c:v>
                </c:pt>
                <c:pt idx="806">
                  <c:v>170099.92</c:v>
                </c:pt>
                <c:pt idx="807">
                  <c:v>170199.92</c:v>
                </c:pt>
                <c:pt idx="808">
                  <c:v>170299.92</c:v>
                </c:pt>
                <c:pt idx="809">
                  <c:v>170399.92</c:v>
                </c:pt>
                <c:pt idx="810">
                  <c:v>170499.92</c:v>
                </c:pt>
                <c:pt idx="811">
                  <c:v>170599.92</c:v>
                </c:pt>
                <c:pt idx="812">
                  <c:v>170699.92</c:v>
                </c:pt>
                <c:pt idx="813">
                  <c:v>170799.92</c:v>
                </c:pt>
                <c:pt idx="814">
                  <c:v>170899.92</c:v>
                </c:pt>
                <c:pt idx="815">
                  <c:v>170999.92</c:v>
                </c:pt>
                <c:pt idx="816">
                  <c:v>171099.92</c:v>
                </c:pt>
                <c:pt idx="817">
                  <c:v>171199.92</c:v>
                </c:pt>
                <c:pt idx="818">
                  <c:v>171299.92</c:v>
                </c:pt>
                <c:pt idx="819">
                  <c:v>171399.92</c:v>
                </c:pt>
                <c:pt idx="820">
                  <c:v>171499.92</c:v>
                </c:pt>
                <c:pt idx="821">
                  <c:v>171599.92</c:v>
                </c:pt>
                <c:pt idx="822">
                  <c:v>171699.92</c:v>
                </c:pt>
                <c:pt idx="823">
                  <c:v>171799.92</c:v>
                </c:pt>
                <c:pt idx="824">
                  <c:v>171899.92</c:v>
                </c:pt>
                <c:pt idx="825">
                  <c:v>171999.92</c:v>
                </c:pt>
                <c:pt idx="826">
                  <c:v>172099.92</c:v>
                </c:pt>
                <c:pt idx="827">
                  <c:v>172199.92</c:v>
                </c:pt>
                <c:pt idx="828">
                  <c:v>172299.92</c:v>
                </c:pt>
                <c:pt idx="829">
                  <c:v>172399.92</c:v>
                </c:pt>
                <c:pt idx="830">
                  <c:v>172499.92</c:v>
                </c:pt>
                <c:pt idx="831">
                  <c:v>172599.92</c:v>
                </c:pt>
                <c:pt idx="832">
                  <c:v>172699.92</c:v>
                </c:pt>
                <c:pt idx="833">
                  <c:v>172799.92</c:v>
                </c:pt>
                <c:pt idx="834">
                  <c:v>172899.92</c:v>
                </c:pt>
                <c:pt idx="835">
                  <c:v>172999.92</c:v>
                </c:pt>
                <c:pt idx="836">
                  <c:v>173099.92</c:v>
                </c:pt>
                <c:pt idx="837">
                  <c:v>173199.92</c:v>
                </c:pt>
                <c:pt idx="838">
                  <c:v>173299.92</c:v>
                </c:pt>
                <c:pt idx="839">
                  <c:v>173399.92</c:v>
                </c:pt>
                <c:pt idx="840">
                  <c:v>173499.92</c:v>
                </c:pt>
                <c:pt idx="841">
                  <c:v>173599.92</c:v>
                </c:pt>
                <c:pt idx="842">
                  <c:v>173699.92</c:v>
                </c:pt>
                <c:pt idx="843">
                  <c:v>173799.92</c:v>
                </c:pt>
                <c:pt idx="844">
                  <c:v>173899.92</c:v>
                </c:pt>
                <c:pt idx="845">
                  <c:v>173999.92</c:v>
                </c:pt>
                <c:pt idx="846">
                  <c:v>174099.92</c:v>
                </c:pt>
                <c:pt idx="847">
                  <c:v>174199.92</c:v>
                </c:pt>
                <c:pt idx="848">
                  <c:v>174233.5</c:v>
                </c:pt>
                <c:pt idx="849">
                  <c:v>174299.92</c:v>
                </c:pt>
                <c:pt idx="850">
                  <c:v>174313.5</c:v>
                </c:pt>
                <c:pt idx="851">
                  <c:v>174399.92</c:v>
                </c:pt>
                <c:pt idx="852">
                  <c:v>174499.92</c:v>
                </c:pt>
                <c:pt idx="853">
                  <c:v>174599.92</c:v>
                </c:pt>
                <c:pt idx="854">
                  <c:v>174699.92</c:v>
                </c:pt>
                <c:pt idx="855">
                  <c:v>174799.92</c:v>
                </c:pt>
                <c:pt idx="856">
                  <c:v>174899.92</c:v>
                </c:pt>
                <c:pt idx="857">
                  <c:v>174999.92</c:v>
                </c:pt>
                <c:pt idx="858">
                  <c:v>175099.92</c:v>
                </c:pt>
                <c:pt idx="859">
                  <c:v>175199.92</c:v>
                </c:pt>
                <c:pt idx="860">
                  <c:v>175299.92</c:v>
                </c:pt>
                <c:pt idx="861">
                  <c:v>175399.92</c:v>
                </c:pt>
                <c:pt idx="862">
                  <c:v>175499.92</c:v>
                </c:pt>
                <c:pt idx="863">
                  <c:v>175599.92</c:v>
                </c:pt>
                <c:pt idx="864">
                  <c:v>175699.92</c:v>
                </c:pt>
                <c:pt idx="865">
                  <c:v>175799.92</c:v>
                </c:pt>
                <c:pt idx="866">
                  <c:v>175899.92</c:v>
                </c:pt>
                <c:pt idx="867">
                  <c:v>175999.92</c:v>
                </c:pt>
                <c:pt idx="868">
                  <c:v>176099.92</c:v>
                </c:pt>
                <c:pt idx="869">
                  <c:v>176199.92</c:v>
                </c:pt>
                <c:pt idx="870">
                  <c:v>176299.92</c:v>
                </c:pt>
                <c:pt idx="871">
                  <c:v>176399.92</c:v>
                </c:pt>
                <c:pt idx="872">
                  <c:v>176499.92</c:v>
                </c:pt>
                <c:pt idx="873">
                  <c:v>176599.92</c:v>
                </c:pt>
                <c:pt idx="874">
                  <c:v>176699.92</c:v>
                </c:pt>
                <c:pt idx="875">
                  <c:v>176714</c:v>
                </c:pt>
                <c:pt idx="876">
                  <c:v>176794</c:v>
                </c:pt>
                <c:pt idx="877">
                  <c:v>176799.92</c:v>
                </c:pt>
                <c:pt idx="878">
                  <c:v>176899.92</c:v>
                </c:pt>
                <c:pt idx="879">
                  <c:v>176999.92</c:v>
                </c:pt>
                <c:pt idx="880">
                  <c:v>177099.92</c:v>
                </c:pt>
                <c:pt idx="881">
                  <c:v>177199.92</c:v>
                </c:pt>
                <c:pt idx="882">
                  <c:v>177299.92</c:v>
                </c:pt>
                <c:pt idx="883">
                  <c:v>177399.92</c:v>
                </c:pt>
                <c:pt idx="884">
                  <c:v>177499.92</c:v>
                </c:pt>
                <c:pt idx="885">
                  <c:v>177599.92</c:v>
                </c:pt>
                <c:pt idx="886">
                  <c:v>177699.92</c:v>
                </c:pt>
                <c:pt idx="887">
                  <c:v>177799.92</c:v>
                </c:pt>
                <c:pt idx="888">
                  <c:v>177899.92</c:v>
                </c:pt>
                <c:pt idx="889">
                  <c:v>177999.92</c:v>
                </c:pt>
                <c:pt idx="890">
                  <c:v>178099.92</c:v>
                </c:pt>
                <c:pt idx="891">
                  <c:v>178199.92</c:v>
                </c:pt>
                <c:pt idx="892">
                  <c:v>178299.92</c:v>
                </c:pt>
                <c:pt idx="893">
                  <c:v>178399.92</c:v>
                </c:pt>
                <c:pt idx="894">
                  <c:v>178499.92</c:v>
                </c:pt>
                <c:pt idx="895">
                  <c:v>178599.92</c:v>
                </c:pt>
                <c:pt idx="896">
                  <c:v>178699.92</c:v>
                </c:pt>
                <c:pt idx="897">
                  <c:v>178799.92</c:v>
                </c:pt>
                <c:pt idx="898">
                  <c:v>178864.3</c:v>
                </c:pt>
                <c:pt idx="899">
                  <c:v>178899.92</c:v>
                </c:pt>
                <c:pt idx="900">
                  <c:v>178999.92</c:v>
                </c:pt>
                <c:pt idx="901">
                  <c:v>179099.92</c:v>
                </c:pt>
                <c:pt idx="902">
                  <c:v>179104.3</c:v>
                </c:pt>
                <c:pt idx="903">
                  <c:v>179199.92</c:v>
                </c:pt>
                <c:pt idx="904">
                  <c:v>179299.92</c:v>
                </c:pt>
                <c:pt idx="905">
                  <c:v>179399.92</c:v>
                </c:pt>
                <c:pt idx="906">
                  <c:v>179499.92</c:v>
                </c:pt>
                <c:pt idx="907">
                  <c:v>179599.92</c:v>
                </c:pt>
                <c:pt idx="908">
                  <c:v>179699.92</c:v>
                </c:pt>
                <c:pt idx="909">
                  <c:v>179799.92</c:v>
                </c:pt>
                <c:pt idx="910">
                  <c:v>179899.92</c:v>
                </c:pt>
                <c:pt idx="911">
                  <c:v>179999.92</c:v>
                </c:pt>
                <c:pt idx="912">
                  <c:v>180099.92</c:v>
                </c:pt>
                <c:pt idx="913">
                  <c:v>180199.92</c:v>
                </c:pt>
                <c:pt idx="914">
                  <c:v>180299.92</c:v>
                </c:pt>
                <c:pt idx="915">
                  <c:v>180399.92</c:v>
                </c:pt>
                <c:pt idx="916">
                  <c:v>180499.92</c:v>
                </c:pt>
                <c:pt idx="917">
                  <c:v>180599.92</c:v>
                </c:pt>
                <c:pt idx="918">
                  <c:v>180699.92</c:v>
                </c:pt>
                <c:pt idx="919">
                  <c:v>180799.92</c:v>
                </c:pt>
                <c:pt idx="920">
                  <c:v>180899.92</c:v>
                </c:pt>
                <c:pt idx="921">
                  <c:v>180999.92</c:v>
                </c:pt>
                <c:pt idx="922">
                  <c:v>181099.92</c:v>
                </c:pt>
                <c:pt idx="923">
                  <c:v>181199.92</c:v>
                </c:pt>
                <c:pt idx="924">
                  <c:v>181299.92</c:v>
                </c:pt>
                <c:pt idx="925">
                  <c:v>181399.92</c:v>
                </c:pt>
                <c:pt idx="926">
                  <c:v>181499.92</c:v>
                </c:pt>
                <c:pt idx="927">
                  <c:v>181599.92</c:v>
                </c:pt>
                <c:pt idx="928">
                  <c:v>181699.92</c:v>
                </c:pt>
                <c:pt idx="929">
                  <c:v>181799.92</c:v>
                </c:pt>
                <c:pt idx="930">
                  <c:v>181899.92</c:v>
                </c:pt>
                <c:pt idx="931">
                  <c:v>181999.92</c:v>
                </c:pt>
                <c:pt idx="932">
                  <c:v>182099.92</c:v>
                </c:pt>
                <c:pt idx="933">
                  <c:v>182199.92</c:v>
                </c:pt>
                <c:pt idx="934">
                  <c:v>182250</c:v>
                </c:pt>
                <c:pt idx="935">
                  <c:v>182299.92</c:v>
                </c:pt>
                <c:pt idx="936">
                  <c:v>182399.92</c:v>
                </c:pt>
                <c:pt idx="937">
                  <c:v>182450</c:v>
                </c:pt>
                <c:pt idx="938">
                  <c:v>182499.92</c:v>
                </c:pt>
                <c:pt idx="939">
                  <c:v>182599.92</c:v>
                </c:pt>
                <c:pt idx="940">
                  <c:v>182699.92</c:v>
                </c:pt>
                <c:pt idx="941">
                  <c:v>182799.92</c:v>
                </c:pt>
                <c:pt idx="942">
                  <c:v>182899.92</c:v>
                </c:pt>
                <c:pt idx="943">
                  <c:v>182999.92</c:v>
                </c:pt>
                <c:pt idx="944">
                  <c:v>183099.92</c:v>
                </c:pt>
                <c:pt idx="945">
                  <c:v>183199.92</c:v>
                </c:pt>
                <c:pt idx="946">
                  <c:v>183299.92</c:v>
                </c:pt>
                <c:pt idx="947">
                  <c:v>183399.92</c:v>
                </c:pt>
                <c:pt idx="948">
                  <c:v>183499.92</c:v>
                </c:pt>
                <c:pt idx="949">
                  <c:v>183599.92</c:v>
                </c:pt>
                <c:pt idx="950">
                  <c:v>183699.92</c:v>
                </c:pt>
                <c:pt idx="951">
                  <c:v>183799.92</c:v>
                </c:pt>
                <c:pt idx="952">
                  <c:v>183899.92</c:v>
                </c:pt>
                <c:pt idx="953">
                  <c:v>183999.92</c:v>
                </c:pt>
                <c:pt idx="954">
                  <c:v>184099.92</c:v>
                </c:pt>
                <c:pt idx="955">
                  <c:v>184199.92</c:v>
                </c:pt>
                <c:pt idx="956">
                  <c:v>184299.92</c:v>
                </c:pt>
                <c:pt idx="957">
                  <c:v>184399.92</c:v>
                </c:pt>
                <c:pt idx="958">
                  <c:v>184499.92</c:v>
                </c:pt>
                <c:pt idx="959">
                  <c:v>184599.92</c:v>
                </c:pt>
                <c:pt idx="960">
                  <c:v>184699.92</c:v>
                </c:pt>
                <c:pt idx="961">
                  <c:v>184799.92</c:v>
                </c:pt>
                <c:pt idx="962">
                  <c:v>184899.92</c:v>
                </c:pt>
                <c:pt idx="963">
                  <c:v>184999.92</c:v>
                </c:pt>
                <c:pt idx="964">
                  <c:v>185099.92</c:v>
                </c:pt>
                <c:pt idx="965">
                  <c:v>185199.92</c:v>
                </c:pt>
                <c:pt idx="966">
                  <c:v>185299.92</c:v>
                </c:pt>
                <c:pt idx="967">
                  <c:v>185399.92</c:v>
                </c:pt>
                <c:pt idx="968">
                  <c:v>185499.92</c:v>
                </c:pt>
                <c:pt idx="969">
                  <c:v>185599.92</c:v>
                </c:pt>
                <c:pt idx="970">
                  <c:v>185699.92</c:v>
                </c:pt>
                <c:pt idx="971">
                  <c:v>185799.92</c:v>
                </c:pt>
                <c:pt idx="972">
                  <c:v>185899.92</c:v>
                </c:pt>
                <c:pt idx="973">
                  <c:v>185999.92</c:v>
                </c:pt>
                <c:pt idx="974">
                  <c:v>186099.92</c:v>
                </c:pt>
                <c:pt idx="975">
                  <c:v>186199.92</c:v>
                </c:pt>
                <c:pt idx="976">
                  <c:v>186299.92</c:v>
                </c:pt>
                <c:pt idx="977">
                  <c:v>186399.92</c:v>
                </c:pt>
                <c:pt idx="978">
                  <c:v>186499.92</c:v>
                </c:pt>
                <c:pt idx="979">
                  <c:v>186599.92</c:v>
                </c:pt>
                <c:pt idx="980">
                  <c:v>186699.92</c:v>
                </c:pt>
                <c:pt idx="981">
                  <c:v>186799.92</c:v>
                </c:pt>
                <c:pt idx="982">
                  <c:v>186876.3</c:v>
                </c:pt>
                <c:pt idx="983">
                  <c:v>186899.92</c:v>
                </c:pt>
                <c:pt idx="984">
                  <c:v>186996.3</c:v>
                </c:pt>
                <c:pt idx="985">
                  <c:v>186999.92</c:v>
                </c:pt>
                <c:pt idx="986">
                  <c:v>187099.92</c:v>
                </c:pt>
                <c:pt idx="987">
                  <c:v>187199.92</c:v>
                </c:pt>
                <c:pt idx="988">
                  <c:v>187299.92</c:v>
                </c:pt>
                <c:pt idx="989">
                  <c:v>187399.92</c:v>
                </c:pt>
                <c:pt idx="990">
                  <c:v>187499.92</c:v>
                </c:pt>
                <c:pt idx="991">
                  <c:v>187599.92</c:v>
                </c:pt>
                <c:pt idx="992">
                  <c:v>187699.92</c:v>
                </c:pt>
                <c:pt idx="993">
                  <c:v>187799.92</c:v>
                </c:pt>
                <c:pt idx="994">
                  <c:v>187899.92</c:v>
                </c:pt>
                <c:pt idx="995">
                  <c:v>187999.92</c:v>
                </c:pt>
                <c:pt idx="996">
                  <c:v>188099.92</c:v>
                </c:pt>
                <c:pt idx="997">
                  <c:v>188199.92</c:v>
                </c:pt>
                <c:pt idx="998">
                  <c:v>188299.92</c:v>
                </c:pt>
                <c:pt idx="999">
                  <c:v>188399.92</c:v>
                </c:pt>
                <c:pt idx="1000">
                  <c:v>188499.92</c:v>
                </c:pt>
                <c:pt idx="1001">
                  <c:v>188599.92</c:v>
                </c:pt>
                <c:pt idx="1002">
                  <c:v>188699.92</c:v>
                </c:pt>
                <c:pt idx="1003">
                  <c:v>188794.6</c:v>
                </c:pt>
                <c:pt idx="1004">
                  <c:v>188799.92</c:v>
                </c:pt>
                <c:pt idx="1005">
                  <c:v>188874.6</c:v>
                </c:pt>
                <c:pt idx="1006">
                  <c:v>188899.92</c:v>
                </c:pt>
                <c:pt idx="1007">
                  <c:v>188999.92</c:v>
                </c:pt>
                <c:pt idx="1008">
                  <c:v>189099.92</c:v>
                </c:pt>
                <c:pt idx="1009">
                  <c:v>189199.92</c:v>
                </c:pt>
                <c:pt idx="1010">
                  <c:v>189299.92</c:v>
                </c:pt>
                <c:pt idx="1011">
                  <c:v>189399.92</c:v>
                </c:pt>
                <c:pt idx="1012">
                  <c:v>189499.92</c:v>
                </c:pt>
                <c:pt idx="1013">
                  <c:v>189599.92</c:v>
                </c:pt>
                <c:pt idx="1014">
                  <c:v>189699.92</c:v>
                </c:pt>
                <c:pt idx="1015">
                  <c:v>189799.92</c:v>
                </c:pt>
                <c:pt idx="1016">
                  <c:v>189899.92</c:v>
                </c:pt>
                <c:pt idx="1017">
                  <c:v>189999.92</c:v>
                </c:pt>
                <c:pt idx="1018">
                  <c:v>190099.92</c:v>
                </c:pt>
                <c:pt idx="1019">
                  <c:v>190199.92</c:v>
                </c:pt>
                <c:pt idx="1020">
                  <c:v>190299.92</c:v>
                </c:pt>
                <c:pt idx="1021">
                  <c:v>190399.92</c:v>
                </c:pt>
                <c:pt idx="1022">
                  <c:v>190499.92</c:v>
                </c:pt>
                <c:pt idx="1023">
                  <c:v>190599.92</c:v>
                </c:pt>
                <c:pt idx="1024">
                  <c:v>190699.92</c:v>
                </c:pt>
                <c:pt idx="1025">
                  <c:v>190799.92</c:v>
                </c:pt>
                <c:pt idx="1026">
                  <c:v>190899.92</c:v>
                </c:pt>
                <c:pt idx="1027">
                  <c:v>190999.92</c:v>
                </c:pt>
                <c:pt idx="1028">
                  <c:v>191099.92</c:v>
                </c:pt>
                <c:pt idx="1029">
                  <c:v>191199.92</c:v>
                </c:pt>
                <c:pt idx="1030">
                  <c:v>191299.92</c:v>
                </c:pt>
                <c:pt idx="1031">
                  <c:v>191399.92</c:v>
                </c:pt>
                <c:pt idx="1032">
                  <c:v>191499.92</c:v>
                </c:pt>
                <c:pt idx="1033">
                  <c:v>191599.92</c:v>
                </c:pt>
                <c:pt idx="1034">
                  <c:v>191699.92</c:v>
                </c:pt>
                <c:pt idx="1035">
                  <c:v>191799.92</c:v>
                </c:pt>
                <c:pt idx="1036">
                  <c:v>191899.92</c:v>
                </c:pt>
                <c:pt idx="1037">
                  <c:v>191999.92</c:v>
                </c:pt>
                <c:pt idx="1038">
                  <c:v>192099.92</c:v>
                </c:pt>
                <c:pt idx="1039">
                  <c:v>192199.92</c:v>
                </c:pt>
                <c:pt idx="1040">
                  <c:v>192299.92</c:v>
                </c:pt>
                <c:pt idx="1041">
                  <c:v>192399.92</c:v>
                </c:pt>
                <c:pt idx="1042">
                  <c:v>192499.92</c:v>
                </c:pt>
                <c:pt idx="1043">
                  <c:v>192599.92</c:v>
                </c:pt>
                <c:pt idx="1044">
                  <c:v>192699.92</c:v>
                </c:pt>
                <c:pt idx="1045">
                  <c:v>192799.92</c:v>
                </c:pt>
                <c:pt idx="1046">
                  <c:v>192899.92</c:v>
                </c:pt>
                <c:pt idx="1047">
                  <c:v>192999.92</c:v>
                </c:pt>
                <c:pt idx="1048">
                  <c:v>193099.92</c:v>
                </c:pt>
                <c:pt idx="1049">
                  <c:v>193199.92</c:v>
                </c:pt>
                <c:pt idx="1050">
                  <c:v>193299.92</c:v>
                </c:pt>
                <c:pt idx="1051">
                  <c:v>193399.92</c:v>
                </c:pt>
                <c:pt idx="1052">
                  <c:v>193499.92</c:v>
                </c:pt>
                <c:pt idx="1053">
                  <c:v>193599.92</c:v>
                </c:pt>
                <c:pt idx="1054">
                  <c:v>193699.92</c:v>
                </c:pt>
                <c:pt idx="1055">
                  <c:v>193799.92</c:v>
                </c:pt>
                <c:pt idx="1056">
                  <c:v>193899.92</c:v>
                </c:pt>
                <c:pt idx="1057">
                  <c:v>193999.92</c:v>
                </c:pt>
                <c:pt idx="1058">
                  <c:v>194099.92</c:v>
                </c:pt>
                <c:pt idx="1059">
                  <c:v>194199.92</c:v>
                </c:pt>
                <c:pt idx="1060">
                  <c:v>194299.92</c:v>
                </c:pt>
                <c:pt idx="1061">
                  <c:v>194399.92</c:v>
                </c:pt>
                <c:pt idx="1062">
                  <c:v>194499.92</c:v>
                </c:pt>
                <c:pt idx="1063">
                  <c:v>194599.92</c:v>
                </c:pt>
                <c:pt idx="1064">
                  <c:v>194699.92</c:v>
                </c:pt>
                <c:pt idx="1065">
                  <c:v>194799.92</c:v>
                </c:pt>
                <c:pt idx="1066">
                  <c:v>194899.92</c:v>
                </c:pt>
                <c:pt idx="1067">
                  <c:v>194999.92</c:v>
                </c:pt>
                <c:pt idx="1068">
                  <c:v>195099.92</c:v>
                </c:pt>
                <c:pt idx="1069">
                  <c:v>195199.92</c:v>
                </c:pt>
                <c:pt idx="1070">
                  <c:v>195299.92</c:v>
                </c:pt>
                <c:pt idx="1071">
                  <c:v>195399.92</c:v>
                </c:pt>
                <c:pt idx="1072">
                  <c:v>195499.92</c:v>
                </c:pt>
                <c:pt idx="1073">
                  <c:v>195599.92</c:v>
                </c:pt>
                <c:pt idx="1074">
                  <c:v>195699.92</c:v>
                </c:pt>
                <c:pt idx="1075">
                  <c:v>195799.92</c:v>
                </c:pt>
                <c:pt idx="1076">
                  <c:v>195899.92</c:v>
                </c:pt>
                <c:pt idx="1077">
                  <c:v>195999.92</c:v>
                </c:pt>
                <c:pt idx="1078">
                  <c:v>196099.92</c:v>
                </c:pt>
                <c:pt idx="1079">
                  <c:v>196199.92</c:v>
                </c:pt>
                <c:pt idx="1080">
                  <c:v>196299.92</c:v>
                </c:pt>
                <c:pt idx="1081">
                  <c:v>196399.92</c:v>
                </c:pt>
                <c:pt idx="1082">
                  <c:v>196499.92</c:v>
                </c:pt>
                <c:pt idx="1083">
                  <c:v>196535.5</c:v>
                </c:pt>
                <c:pt idx="1084">
                  <c:v>196599.92</c:v>
                </c:pt>
                <c:pt idx="1085">
                  <c:v>196695.5</c:v>
                </c:pt>
                <c:pt idx="1086">
                  <c:v>196699.92</c:v>
                </c:pt>
                <c:pt idx="1087">
                  <c:v>196799.92</c:v>
                </c:pt>
                <c:pt idx="1088">
                  <c:v>196899.92</c:v>
                </c:pt>
                <c:pt idx="1089">
                  <c:v>196999.92</c:v>
                </c:pt>
                <c:pt idx="1090">
                  <c:v>197099.92</c:v>
                </c:pt>
                <c:pt idx="1091">
                  <c:v>197199.92</c:v>
                </c:pt>
                <c:pt idx="1092">
                  <c:v>197299.92</c:v>
                </c:pt>
                <c:pt idx="1093">
                  <c:v>197399.92</c:v>
                </c:pt>
                <c:pt idx="1094">
                  <c:v>197499.92</c:v>
                </c:pt>
                <c:pt idx="1095">
                  <c:v>197599.92</c:v>
                </c:pt>
                <c:pt idx="1096">
                  <c:v>197699.92</c:v>
                </c:pt>
                <c:pt idx="1097">
                  <c:v>197799.92</c:v>
                </c:pt>
                <c:pt idx="1098">
                  <c:v>197899.92</c:v>
                </c:pt>
                <c:pt idx="1099">
                  <c:v>197999.92</c:v>
                </c:pt>
                <c:pt idx="1100">
                  <c:v>198099.92</c:v>
                </c:pt>
                <c:pt idx="1101">
                  <c:v>198199.92</c:v>
                </c:pt>
                <c:pt idx="1102">
                  <c:v>198299.92</c:v>
                </c:pt>
                <c:pt idx="1103">
                  <c:v>198399.92</c:v>
                </c:pt>
                <c:pt idx="1104">
                  <c:v>198499.92</c:v>
                </c:pt>
                <c:pt idx="1105">
                  <c:v>198599.92</c:v>
                </c:pt>
                <c:pt idx="1106">
                  <c:v>198699.92</c:v>
                </c:pt>
                <c:pt idx="1107">
                  <c:v>198799.92</c:v>
                </c:pt>
                <c:pt idx="1108">
                  <c:v>198899.92</c:v>
                </c:pt>
                <c:pt idx="1109">
                  <c:v>198999.92</c:v>
                </c:pt>
                <c:pt idx="1110">
                  <c:v>199096.21</c:v>
                </c:pt>
                <c:pt idx="1111">
                  <c:v>199099.92</c:v>
                </c:pt>
                <c:pt idx="1112">
                  <c:v>199176.21</c:v>
                </c:pt>
                <c:pt idx="1113">
                  <c:v>199199.92</c:v>
                </c:pt>
                <c:pt idx="1114">
                  <c:v>199299.92</c:v>
                </c:pt>
                <c:pt idx="1115">
                  <c:v>199399.92</c:v>
                </c:pt>
                <c:pt idx="1116">
                  <c:v>199499.92</c:v>
                </c:pt>
                <c:pt idx="1117">
                  <c:v>199599.92</c:v>
                </c:pt>
                <c:pt idx="1118">
                  <c:v>199699.92</c:v>
                </c:pt>
                <c:pt idx="1119">
                  <c:v>199799.92</c:v>
                </c:pt>
                <c:pt idx="1120">
                  <c:v>199899.92</c:v>
                </c:pt>
                <c:pt idx="1121">
                  <c:v>199999.92</c:v>
                </c:pt>
                <c:pt idx="1122">
                  <c:v>200099.92</c:v>
                </c:pt>
                <c:pt idx="1123">
                  <c:v>200199.92</c:v>
                </c:pt>
                <c:pt idx="1124">
                  <c:v>200299.92</c:v>
                </c:pt>
                <c:pt idx="1125">
                  <c:v>200399.92</c:v>
                </c:pt>
                <c:pt idx="1126">
                  <c:v>200499.92</c:v>
                </c:pt>
                <c:pt idx="1127">
                  <c:v>200599.92</c:v>
                </c:pt>
                <c:pt idx="1128">
                  <c:v>200699.92</c:v>
                </c:pt>
                <c:pt idx="1129">
                  <c:v>200799.92</c:v>
                </c:pt>
                <c:pt idx="1130">
                  <c:v>200899.92</c:v>
                </c:pt>
                <c:pt idx="1131">
                  <c:v>200999.92</c:v>
                </c:pt>
                <c:pt idx="1132">
                  <c:v>201099.92</c:v>
                </c:pt>
                <c:pt idx="1133">
                  <c:v>201199.92</c:v>
                </c:pt>
                <c:pt idx="1134">
                  <c:v>201299.92</c:v>
                </c:pt>
                <c:pt idx="1135">
                  <c:v>201399.92</c:v>
                </c:pt>
                <c:pt idx="1136">
                  <c:v>201499.92</c:v>
                </c:pt>
                <c:pt idx="1137">
                  <c:v>201599.92</c:v>
                </c:pt>
                <c:pt idx="1138">
                  <c:v>201699.92</c:v>
                </c:pt>
                <c:pt idx="1139">
                  <c:v>201799.92</c:v>
                </c:pt>
                <c:pt idx="1140">
                  <c:v>201899.92</c:v>
                </c:pt>
                <c:pt idx="1141">
                  <c:v>201999.92</c:v>
                </c:pt>
                <c:pt idx="1142">
                  <c:v>202099.92</c:v>
                </c:pt>
                <c:pt idx="1143">
                  <c:v>202199.92</c:v>
                </c:pt>
                <c:pt idx="1144">
                  <c:v>202299.92</c:v>
                </c:pt>
                <c:pt idx="1145">
                  <c:v>202399.92</c:v>
                </c:pt>
                <c:pt idx="1146">
                  <c:v>202499.92</c:v>
                </c:pt>
                <c:pt idx="1147">
                  <c:v>202599.92</c:v>
                </c:pt>
                <c:pt idx="1148">
                  <c:v>202699.92</c:v>
                </c:pt>
                <c:pt idx="1149">
                  <c:v>202799.92</c:v>
                </c:pt>
                <c:pt idx="1150">
                  <c:v>202899.92</c:v>
                </c:pt>
                <c:pt idx="1151">
                  <c:v>202999.92</c:v>
                </c:pt>
                <c:pt idx="1152">
                  <c:v>203099.92</c:v>
                </c:pt>
                <c:pt idx="1153">
                  <c:v>203199.92</c:v>
                </c:pt>
                <c:pt idx="1154">
                  <c:v>203299.92</c:v>
                </c:pt>
                <c:pt idx="1155">
                  <c:v>203399.92</c:v>
                </c:pt>
                <c:pt idx="1156">
                  <c:v>203499.92</c:v>
                </c:pt>
                <c:pt idx="1157">
                  <c:v>203599.92</c:v>
                </c:pt>
                <c:pt idx="1158">
                  <c:v>203699.92</c:v>
                </c:pt>
                <c:pt idx="1159">
                  <c:v>203799.92</c:v>
                </c:pt>
                <c:pt idx="1160">
                  <c:v>203899.92</c:v>
                </c:pt>
                <c:pt idx="1161">
                  <c:v>203999.92</c:v>
                </c:pt>
                <c:pt idx="1162">
                  <c:v>204099.92</c:v>
                </c:pt>
                <c:pt idx="1163">
                  <c:v>204199.92</c:v>
                </c:pt>
                <c:pt idx="1164">
                  <c:v>204299.92</c:v>
                </c:pt>
                <c:pt idx="1165">
                  <c:v>204399.92</c:v>
                </c:pt>
                <c:pt idx="1166">
                  <c:v>204499.92</c:v>
                </c:pt>
                <c:pt idx="1167">
                  <c:v>204599.92</c:v>
                </c:pt>
                <c:pt idx="1168">
                  <c:v>204699.92</c:v>
                </c:pt>
                <c:pt idx="1169">
                  <c:v>204799.92</c:v>
                </c:pt>
                <c:pt idx="1170">
                  <c:v>204899.92</c:v>
                </c:pt>
                <c:pt idx="1171">
                  <c:v>204999.92</c:v>
                </c:pt>
                <c:pt idx="1172">
                  <c:v>205048.5</c:v>
                </c:pt>
                <c:pt idx="1173">
                  <c:v>205099.92</c:v>
                </c:pt>
                <c:pt idx="1174">
                  <c:v>205123.5</c:v>
                </c:pt>
                <c:pt idx="1175">
                  <c:v>205199.92</c:v>
                </c:pt>
                <c:pt idx="1176">
                  <c:v>205209.4</c:v>
                </c:pt>
                <c:pt idx="1177">
                  <c:v>205299.92</c:v>
                </c:pt>
                <c:pt idx="1178">
                  <c:v>205329.4</c:v>
                </c:pt>
                <c:pt idx="1179">
                  <c:v>205399.92</c:v>
                </c:pt>
                <c:pt idx="1180">
                  <c:v>205499.92</c:v>
                </c:pt>
                <c:pt idx="1181">
                  <c:v>205599.92</c:v>
                </c:pt>
                <c:pt idx="1182">
                  <c:v>205699.92</c:v>
                </c:pt>
                <c:pt idx="1183">
                  <c:v>205799.92</c:v>
                </c:pt>
                <c:pt idx="1184">
                  <c:v>205899.92</c:v>
                </c:pt>
                <c:pt idx="1185">
                  <c:v>205999.92</c:v>
                </c:pt>
                <c:pt idx="1186">
                  <c:v>206099.92</c:v>
                </c:pt>
                <c:pt idx="1187">
                  <c:v>206199.92</c:v>
                </c:pt>
                <c:pt idx="1188">
                  <c:v>206299.92</c:v>
                </c:pt>
                <c:pt idx="1189">
                  <c:v>206399.92</c:v>
                </c:pt>
                <c:pt idx="1190">
                  <c:v>206499.92</c:v>
                </c:pt>
                <c:pt idx="1191">
                  <c:v>206599.92</c:v>
                </c:pt>
                <c:pt idx="1192">
                  <c:v>206699.92</c:v>
                </c:pt>
                <c:pt idx="1193">
                  <c:v>206799.92</c:v>
                </c:pt>
                <c:pt idx="1194">
                  <c:v>206899.92</c:v>
                </c:pt>
                <c:pt idx="1195">
                  <c:v>206999.92</c:v>
                </c:pt>
                <c:pt idx="1196">
                  <c:v>207099.92</c:v>
                </c:pt>
                <c:pt idx="1197">
                  <c:v>207199.92</c:v>
                </c:pt>
                <c:pt idx="1198">
                  <c:v>207299.92</c:v>
                </c:pt>
                <c:pt idx="1199">
                  <c:v>207399.92</c:v>
                </c:pt>
                <c:pt idx="1200">
                  <c:v>207499.92</c:v>
                </c:pt>
                <c:pt idx="1201">
                  <c:v>207599.92</c:v>
                </c:pt>
                <c:pt idx="1202">
                  <c:v>207699.92</c:v>
                </c:pt>
                <c:pt idx="1203">
                  <c:v>207799.92</c:v>
                </c:pt>
                <c:pt idx="1204">
                  <c:v>207899.92</c:v>
                </c:pt>
                <c:pt idx="1205">
                  <c:v>207999.92</c:v>
                </c:pt>
                <c:pt idx="1206">
                  <c:v>208099.92</c:v>
                </c:pt>
                <c:pt idx="1207">
                  <c:v>208199.92</c:v>
                </c:pt>
                <c:pt idx="1208">
                  <c:v>208299.92</c:v>
                </c:pt>
                <c:pt idx="1209">
                  <c:v>208399.92</c:v>
                </c:pt>
                <c:pt idx="1210">
                  <c:v>208499.92</c:v>
                </c:pt>
                <c:pt idx="1211">
                  <c:v>208599.92</c:v>
                </c:pt>
                <c:pt idx="1212">
                  <c:v>208699.92</c:v>
                </c:pt>
                <c:pt idx="1213">
                  <c:v>208799.92</c:v>
                </c:pt>
                <c:pt idx="1214">
                  <c:v>208899.92</c:v>
                </c:pt>
                <c:pt idx="1215">
                  <c:v>208999.92</c:v>
                </c:pt>
                <c:pt idx="1216">
                  <c:v>209099.92</c:v>
                </c:pt>
                <c:pt idx="1217">
                  <c:v>209199.92</c:v>
                </c:pt>
                <c:pt idx="1218">
                  <c:v>209299.92</c:v>
                </c:pt>
                <c:pt idx="1219">
                  <c:v>209399.92</c:v>
                </c:pt>
                <c:pt idx="1220">
                  <c:v>209499.92</c:v>
                </c:pt>
                <c:pt idx="1221">
                  <c:v>209599.92</c:v>
                </c:pt>
                <c:pt idx="1222">
                  <c:v>209635</c:v>
                </c:pt>
                <c:pt idx="1223">
                  <c:v>209699.92</c:v>
                </c:pt>
                <c:pt idx="1224">
                  <c:v>209715</c:v>
                </c:pt>
                <c:pt idx="1225">
                  <c:v>209799.92</c:v>
                </c:pt>
                <c:pt idx="1226">
                  <c:v>209899.92</c:v>
                </c:pt>
                <c:pt idx="1227">
                  <c:v>209999.92</c:v>
                </c:pt>
                <c:pt idx="1228">
                  <c:v>210099.92</c:v>
                </c:pt>
                <c:pt idx="1229">
                  <c:v>210176.5</c:v>
                </c:pt>
                <c:pt idx="1230">
                  <c:v>210199.92</c:v>
                </c:pt>
                <c:pt idx="1231">
                  <c:v>210299.92</c:v>
                </c:pt>
                <c:pt idx="1232">
                  <c:v>210399.92</c:v>
                </c:pt>
                <c:pt idx="1233">
                  <c:v>210456.5</c:v>
                </c:pt>
                <c:pt idx="1234">
                  <c:v>210499.92</c:v>
                </c:pt>
                <c:pt idx="1235">
                  <c:v>210599.92</c:v>
                </c:pt>
                <c:pt idx="1236">
                  <c:v>210699.92</c:v>
                </c:pt>
                <c:pt idx="1237">
                  <c:v>210799.92</c:v>
                </c:pt>
                <c:pt idx="1238">
                  <c:v>210899.92</c:v>
                </c:pt>
                <c:pt idx="1239">
                  <c:v>210999.92</c:v>
                </c:pt>
                <c:pt idx="1240">
                  <c:v>211099.92</c:v>
                </c:pt>
                <c:pt idx="1241">
                  <c:v>211199.92</c:v>
                </c:pt>
                <c:pt idx="1242">
                  <c:v>211299.92</c:v>
                </c:pt>
                <c:pt idx="1243">
                  <c:v>211399.92</c:v>
                </c:pt>
                <c:pt idx="1244">
                  <c:v>211499.92</c:v>
                </c:pt>
                <c:pt idx="1245">
                  <c:v>211599.92</c:v>
                </c:pt>
                <c:pt idx="1246">
                  <c:v>211699.92</c:v>
                </c:pt>
                <c:pt idx="1247">
                  <c:v>211799.92</c:v>
                </c:pt>
                <c:pt idx="1248">
                  <c:v>211899.92</c:v>
                </c:pt>
                <c:pt idx="1249">
                  <c:v>211999.92</c:v>
                </c:pt>
                <c:pt idx="1250">
                  <c:v>212099.92</c:v>
                </c:pt>
                <c:pt idx="1251">
                  <c:v>212199.92</c:v>
                </c:pt>
                <c:pt idx="1252">
                  <c:v>212299.92</c:v>
                </c:pt>
                <c:pt idx="1253">
                  <c:v>212399.92</c:v>
                </c:pt>
                <c:pt idx="1254">
                  <c:v>212499.92</c:v>
                </c:pt>
                <c:pt idx="1255">
                  <c:v>212599.92</c:v>
                </c:pt>
                <c:pt idx="1256">
                  <c:v>212699.92</c:v>
                </c:pt>
                <c:pt idx="1257">
                  <c:v>212799.92</c:v>
                </c:pt>
                <c:pt idx="1258">
                  <c:v>212899.92</c:v>
                </c:pt>
                <c:pt idx="1259">
                  <c:v>212999.92</c:v>
                </c:pt>
                <c:pt idx="1260">
                  <c:v>213099.92</c:v>
                </c:pt>
                <c:pt idx="1261">
                  <c:v>213199.92</c:v>
                </c:pt>
                <c:pt idx="1262">
                  <c:v>213299.92</c:v>
                </c:pt>
                <c:pt idx="1263">
                  <c:v>213399.92</c:v>
                </c:pt>
                <c:pt idx="1264">
                  <c:v>213499.92</c:v>
                </c:pt>
                <c:pt idx="1265">
                  <c:v>213599.92</c:v>
                </c:pt>
                <c:pt idx="1266">
                  <c:v>213699.92</c:v>
                </c:pt>
                <c:pt idx="1267">
                  <c:v>213799.92</c:v>
                </c:pt>
                <c:pt idx="1268">
                  <c:v>213899.92</c:v>
                </c:pt>
                <c:pt idx="1269">
                  <c:v>213999.92</c:v>
                </c:pt>
                <c:pt idx="1270">
                  <c:v>214099.92</c:v>
                </c:pt>
                <c:pt idx="1271">
                  <c:v>214199.92</c:v>
                </c:pt>
                <c:pt idx="1272">
                  <c:v>214299.92</c:v>
                </c:pt>
                <c:pt idx="1273">
                  <c:v>214399.92</c:v>
                </c:pt>
                <c:pt idx="1274">
                  <c:v>214499.92</c:v>
                </c:pt>
                <c:pt idx="1275">
                  <c:v>214599.92</c:v>
                </c:pt>
                <c:pt idx="1276">
                  <c:v>214699.92</c:v>
                </c:pt>
                <c:pt idx="1277">
                  <c:v>214799.92</c:v>
                </c:pt>
                <c:pt idx="1278">
                  <c:v>214899.92</c:v>
                </c:pt>
                <c:pt idx="1279">
                  <c:v>214999.92</c:v>
                </c:pt>
                <c:pt idx="1280">
                  <c:v>215099.92</c:v>
                </c:pt>
                <c:pt idx="1281">
                  <c:v>215199.92</c:v>
                </c:pt>
                <c:pt idx="1282">
                  <c:v>215299.92</c:v>
                </c:pt>
                <c:pt idx="1283">
                  <c:v>215399.92</c:v>
                </c:pt>
                <c:pt idx="1284">
                  <c:v>215499.92</c:v>
                </c:pt>
                <c:pt idx="1285">
                  <c:v>215599.92</c:v>
                </c:pt>
                <c:pt idx="1286">
                  <c:v>215699.92</c:v>
                </c:pt>
                <c:pt idx="1287">
                  <c:v>215799.92</c:v>
                </c:pt>
                <c:pt idx="1288">
                  <c:v>215899.92</c:v>
                </c:pt>
                <c:pt idx="1289">
                  <c:v>215987.9</c:v>
                </c:pt>
                <c:pt idx="1290">
                  <c:v>215999.92</c:v>
                </c:pt>
                <c:pt idx="1291">
                  <c:v>216099.92</c:v>
                </c:pt>
                <c:pt idx="1292">
                  <c:v>216147.9</c:v>
                </c:pt>
                <c:pt idx="1293">
                  <c:v>216199.92</c:v>
                </c:pt>
                <c:pt idx="1294">
                  <c:v>216299.92</c:v>
                </c:pt>
                <c:pt idx="1295">
                  <c:v>216399.92</c:v>
                </c:pt>
                <c:pt idx="1296">
                  <c:v>216499.92</c:v>
                </c:pt>
                <c:pt idx="1297">
                  <c:v>216599.92</c:v>
                </c:pt>
                <c:pt idx="1298">
                  <c:v>216699.92</c:v>
                </c:pt>
                <c:pt idx="1299">
                  <c:v>216799.92</c:v>
                </c:pt>
                <c:pt idx="1300">
                  <c:v>216899.92</c:v>
                </c:pt>
                <c:pt idx="1301">
                  <c:v>216999.92</c:v>
                </c:pt>
                <c:pt idx="1302">
                  <c:v>217099.92</c:v>
                </c:pt>
                <c:pt idx="1303">
                  <c:v>217195.7</c:v>
                </c:pt>
                <c:pt idx="1304">
                  <c:v>217199.92</c:v>
                </c:pt>
                <c:pt idx="1305">
                  <c:v>217299.92</c:v>
                </c:pt>
                <c:pt idx="1306">
                  <c:v>217315.7</c:v>
                </c:pt>
                <c:pt idx="1307">
                  <c:v>217399.92</c:v>
                </c:pt>
                <c:pt idx="1308">
                  <c:v>217499.92</c:v>
                </c:pt>
                <c:pt idx="1309">
                  <c:v>217599.92</c:v>
                </c:pt>
                <c:pt idx="1310">
                  <c:v>217699.92</c:v>
                </c:pt>
                <c:pt idx="1311">
                  <c:v>217799.92</c:v>
                </c:pt>
                <c:pt idx="1312">
                  <c:v>217899.92</c:v>
                </c:pt>
                <c:pt idx="1313">
                  <c:v>217999.92</c:v>
                </c:pt>
                <c:pt idx="1314">
                  <c:v>218099.92</c:v>
                </c:pt>
                <c:pt idx="1315">
                  <c:v>218199.92</c:v>
                </c:pt>
                <c:pt idx="1316">
                  <c:v>218299.92</c:v>
                </c:pt>
                <c:pt idx="1317">
                  <c:v>218399.92</c:v>
                </c:pt>
                <c:pt idx="1318">
                  <c:v>218499.92</c:v>
                </c:pt>
                <c:pt idx="1319">
                  <c:v>218599.92</c:v>
                </c:pt>
                <c:pt idx="1320">
                  <c:v>218699.92</c:v>
                </c:pt>
                <c:pt idx="1321">
                  <c:v>218799.92</c:v>
                </c:pt>
                <c:pt idx="1322">
                  <c:v>218899.92</c:v>
                </c:pt>
                <c:pt idx="1323">
                  <c:v>218999.92</c:v>
                </c:pt>
                <c:pt idx="1324">
                  <c:v>219099.92</c:v>
                </c:pt>
                <c:pt idx="1325">
                  <c:v>219199.92</c:v>
                </c:pt>
                <c:pt idx="1326">
                  <c:v>219299.92</c:v>
                </c:pt>
                <c:pt idx="1327">
                  <c:v>219399.92</c:v>
                </c:pt>
                <c:pt idx="1328">
                  <c:v>219499.92</c:v>
                </c:pt>
                <c:pt idx="1329">
                  <c:v>219599.92</c:v>
                </c:pt>
                <c:pt idx="1330">
                  <c:v>219699.92</c:v>
                </c:pt>
                <c:pt idx="1331">
                  <c:v>219799.92</c:v>
                </c:pt>
                <c:pt idx="1332">
                  <c:v>219899.92</c:v>
                </c:pt>
                <c:pt idx="1333">
                  <c:v>219999.92</c:v>
                </c:pt>
                <c:pt idx="1334">
                  <c:v>220099.92</c:v>
                </c:pt>
                <c:pt idx="1335">
                  <c:v>220199.92</c:v>
                </c:pt>
                <c:pt idx="1336">
                  <c:v>220299.92</c:v>
                </c:pt>
                <c:pt idx="1337">
                  <c:v>220399.92</c:v>
                </c:pt>
                <c:pt idx="1338">
                  <c:v>220499.92</c:v>
                </c:pt>
                <c:pt idx="1339">
                  <c:v>220599.92</c:v>
                </c:pt>
                <c:pt idx="1340">
                  <c:v>220699.92</c:v>
                </c:pt>
                <c:pt idx="1341">
                  <c:v>220799.92</c:v>
                </c:pt>
                <c:pt idx="1342">
                  <c:v>220899.92</c:v>
                </c:pt>
                <c:pt idx="1343">
                  <c:v>220999.92</c:v>
                </c:pt>
                <c:pt idx="1344">
                  <c:v>221099.92</c:v>
                </c:pt>
                <c:pt idx="1345">
                  <c:v>221199.92</c:v>
                </c:pt>
                <c:pt idx="1346">
                  <c:v>221299.92</c:v>
                </c:pt>
                <c:pt idx="1347">
                  <c:v>221399.92</c:v>
                </c:pt>
                <c:pt idx="1348">
                  <c:v>221499.92</c:v>
                </c:pt>
                <c:pt idx="1349">
                  <c:v>221599.92</c:v>
                </c:pt>
                <c:pt idx="1350">
                  <c:v>221699.92</c:v>
                </c:pt>
                <c:pt idx="1351">
                  <c:v>221799.92</c:v>
                </c:pt>
                <c:pt idx="1352">
                  <c:v>221899.92</c:v>
                </c:pt>
                <c:pt idx="1353">
                  <c:v>221999.92</c:v>
                </c:pt>
                <c:pt idx="1354">
                  <c:v>222099.92</c:v>
                </c:pt>
                <c:pt idx="1355">
                  <c:v>222199.92</c:v>
                </c:pt>
                <c:pt idx="1356">
                  <c:v>222299.92</c:v>
                </c:pt>
                <c:pt idx="1357">
                  <c:v>222399.92</c:v>
                </c:pt>
                <c:pt idx="1358">
                  <c:v>222499.92</c:v>
                </c:pt>
                <c:pt idx="1359">
                  <c:v>222599.92</c:v>
                </c:pt>
                <c:pt idx="1360">
                  <c:v>222699.92</c:v>
                </c:pt>
                <c:pt idx="1361">
                  <c:v>222799.92</c:v>
                </c:pt>
                <c:pt idx="1362">
                  <c:v>222899.92</c:v>
                </c:pt>
                <c:pt idx="1363">
                  <c:v>222999.92</c:v>
                </c:pt>
                <c:pt idx="1364">
                  <c:v>223099.92</c:v>
                </c:pt>
                <c:pt idx="1365">
                  <c:v>223199.92</c:v>
                </c:pt>
                <c:pt idx="1366">
                  <c:v>223299.92</c:v>
                </c:pt>
                <c:pt idx="1367">
                  <c:v>223399.92</c:v>
                </c:pt>
                <c:pt idx="1368">
                  <c:v>223499.92</c:v>
                </c:pt>
                <c:pt idx="1369">
                  <c:v>223599.92</c:v>
                </c:pt>
                <c:pt idx="1370">
                  <c:v>223699.92</c:v>
                </c:pt>
                <c:pt idx="1371">
                  <c:v>223799.92</c:v>
                </c:pt>
                <c:pt idx="1372">
                  <c:v>223872</c:v>
                </c:pt>
                <c:pt idx="1373">
                  <c:v>223899.92</c:v>
                </c:pt>
                <c:pt idx="1374">
                  <c:v>223999.92</c:v>
                </c:pt>
                <c:pt idx="1375">
                  <c:v>224099.92</c:v>
                </c:pt>
                <c:pt idx="1376">
                  <c:v>224199.92</c:v>
                </c:pt>
                <c:pt idx="1377">
                  <c:v>224299.92</c:v>
                </c:pt>
                <c:pt idx="1378">
                  <c:v>224377.9</c:v>
                </c:pt>
                <c:pt idx="1379">
                  <c:v>224399.92</c:v>
                </c:pt>
                <c:pt idx="1380">
                  <c:v>224499.92</c:v>
                </c:pt>
                <c:pt idx="1381">
                  <c:v>224599.92</c:v>
                </c:pt>
                <c:pt idx="1382">
                  <c:v>224617.9</c:v>
                </c:pt>
                <c:pt idx="1383">
                  <c:v>224699.92</c:v>
                </c:pt>
                <c:pt idx="1384">
                  <c:v>224799.92</c:v>
                </c:pt>
                <c:pt idx="1385">
                  <c:v>224899.92</c:v>
                </c:pt>
                <c:pt idx="1386">
                  <c:v>224999.92</c:v>
                </c:pt>
                <c:pt idx="1387">
                  <c:v>225099.92</c:v>
                </c:pt>
                <c:pt idx="1388">
                  <c:v>225199.92</c:v>
                </c:pt>
                <c:pt idx="1389">
                  <c:v>225299.92</c:v>
                </c:pt>
              </c:numCache>
            </c:numRef>
          </c:xVal>
          <c:yVal>
            <c:numRef>
              <c:f>TS!$T$2:$T$1391</c:f>
              <c:numCache>
                <c:formatCode>0.0</c:formatCode>
                <c:ptCount val="1390"/>
                <c:pt idx="0">
                  <c:v>1889.9657164499999</c:v>
                </c:pt>
                <c:pt idx="1">
                  <c:v>1891.3438704299999</c:v>
                </c:pt>
                <c:pt idx="2">
                  <c:v>1892.8426551299999</c:v>
                </c:pt>
                <c:pt idx="3">
                  <c:v>1894.4966478899998</c:v>
                </c:pt>
                <c:pt idx="4">
                  <c:v>1895.4964009799999</c:v>
                </c:pt>
                <c:pt idx="5">
                  <c:v>1897.21378553</c:v>
                </c:pt>
                <c:pt idx="6">
                  <c:v>1898.42065602</c:v>
                </c:pt>
                <c:pt idx="7">
                  <c:v>1899.3771657699999</c:v>
                </c:pt>
                <c:pt idx="8">
                  <c:v>1899.7407478</c:v>
                </c:pt>
                <c:pt idx="9">
                  <c:v>1899.9650672099999</c:v>
                </c:pt>
                <c:pt idx="10">
                  <c:v>1900.03846823</c:v>
                </c:pt>
                <c:pt idx="11">
                  <c:v>1899.03048244</c:v>
                </c:pt>
                <c:pt idx="12">
                  <c:v>1897.7080941699999</c:v>
                </c:pt>
                <c:pt idx="13">
                  <c:v>1895.40636124</c:v>
                </c:pt>
                <c:pt idx="14">
                  <c:v>1896.0223838499999</c:v>
                </c:pt>
                <c:pt idx="15">
                  <c:v>1897.0553710499998</c:v>
                </c:pt>
                <c:pt idx="16">
                  <c:v>1898.0236665599998</c:v>
                </c:pt>
                <c:pt idx="17">
                  <c:v>1898.95755805</c:v>
                </c:pt>
                <c:pt idx="18">
                  <c:v>1900.2211041799999</c:v>
                </c:pt>
                <c:pt idx="19">
                  <c:v>1901.3197363299998</c:v>
                </c:pt>
                <c:pt idx="20">
                  <c:v>1904.8403421599999</c:v>
                </c:pt>
                <c:pt idx="21">
                  <c:v>1910.7057509399999</c:v>
                </c:pt>
                <c:pt idx="22">
                  <c:v>1921.4569638599999</c:v>
                </c:pt>
                <c:pt idx="23">
                  <c:v>1925.2084752599999</c:v>
                </c:pt>
                <c:pt idx="24">
                  <c:v>1929.6175194099999</c:v>
                </c:pt>
                <c:pt idx="25">
                  <c:v>1938.3249428899999</c:v>
                </c:pt>
                <c:pt idx="26">
                  <c:v>1943.7618613</c:v>
                </c:pt>
                <c:pt idx="27">
                  <c:v>1947.16621274</c:v>
                </c:pt>
                <c:pt idx="28">
                  <c:v>1950.58520972</c:v>
                </c:pt>
                <c:pt idx="29">
                  <c:v>1951.9789624999999</c:v>
                </c:pt>
                <c:pt idx="30">
                  <c:v>1954.6583163799999</c:v>
                </c:pt>
                <c:pt idx="31">
                  <c:v>1950.13652757</c:v>
                </c:pt>
                <c:pt idx="32">
                  <c:v>1948.12757545</c:v>
                </c:pt>
                <c:pt idx="33">
                  <c:v>1947.94090981</c:v>
                </c:pt>
                <c:pt idx="34">
                  <c:v>1946.7230768299999</c:v>
                </c:pt>
                <c:pt idx="35">
                  <c:v>1948.42078956</c:v>
                </c:pt>
                <c:pt idx="36">
                  <c:v>1951.5164580799999</c:v>
                </c:pt>
                <c:pt idx="37">
                  <c:v>1951.5164580799999</c:v>
                </c:pt>
                <c:pt idx="38">
                  <c:v>1954.33472794</c:v>
                </c:pt>
                <c:pt idx="39">
                  <c:v>1954.33472794</c:v>
                </c:pt>
                <c:pt idx="40">
                  <c:v>1956.4712869099999</c:v>
                </c:pt>
                <c:pt idx="41">
                  <c:v>1956.7732536799999</c:v>
                </c:pt>
                <c:pt idx="42">
                  <c:v>1958.8686924799999</c:v>
                </c:pt>
                <c:pt idx="43">
                  <c:v>1960.04206888</c:v>
                </c:pt>
                <c:pt idx="44">
                  <c:v>1960.04206888</c:v>
                </c:pt>
                <c:pt idx="45">
                  <c:v>1961.28416666</c:v>
                </c:pt>
                <c:pt idx="46">
                  <c:v>1961.79936036</c:v>
                </c:pt>
                <c:pt idx="47">
                  <c:v>1962.5453296399999</c:v>
                </c:pt>
                <c:pt idx="48">
                  <c:v>1962.76644263</c:v>
                </c:pt>
                <c:pt idx="49">
                  <c:v>1963.6501579799999</c:v>
                </c:pt>
                <c:pt idx="50">
                  <c:v>1964.0322419199999</c:v>
                </c:pt>
                <c:pt idx="51">
                  <c:v>1964.5605646099998</c:v>
                </c:pt>
                <c:pt idx="52">
                  <c:v>1964.80914882</c:v>
                </c:pt>
                <c:pt idx="53">
                  <c:v>1964.7448471</c:v>
                </c:pt>
                <c:pt idx="54">
                  <c:v>1965.5009556</c:v>
                </c:pt>
                <c:pt idx="55">
                  <c:v>1971.1733292299998</c:v>
                </c:pt>
                <c:pt idx="56">
                  <c:v>1965.2385057899999</c:v>
                </c:pt>
                <c:pt idx="57">
                  <c:v>1964.5325300999998</c:v>
                </c:pt>
                <c:pt idx="58">
                  <c:v>1965.0349414499999</c:v>
                </c:pt>
                <c:pt idx="59">
                  <c:v>1965.56712051</c:v>
                </c:pt>
                <c:pt idx="60">
                  <c:v>1965.81544474</c:v>
                </c:pt>
                <c:pt idx="61">
                  <c:v>1965.1804002599999</c:v>
                </c:pt>
                <c:pt idx="62">
                  <c:v>1964.72465532</c:v>
                </c:pt>
                <c:pt idx="63">
                  <c:v>1964.3202997599999</c:v>
                </c:pt>
                <c:pt idx="64">
                  <c:v>1964.3202997599999</c:v>
                </c:pt>
                <c:pt idx="65">
                  <c:v>1964.19958238</c:v>
                </c:pt>
                <c:pt idx="66">
                  <c:v>1964.17358438</c:v>
                </c:pt>
                <c:pt idx="67">
                  <c:v>1964.18974647</c:v>
                </c:pt>
                <c:pt idx="68">
                  <c:v>1963.83743024</c:v>
                </c:pt>
                <c:pt idx="69">
                  <c:v>1963.48056436</c:v>
                </c:pt>
                <c:pt idx="70">
                  <c:v>1963.1197987799999</c:v>
                </c:pt>
                <c:pt idx="71">
                  <c:v>1963.0120803999998</c:v>
                </c:pt>
                <c:pt idx="72">
                  <c:v>1963.14787662</c:v>
                </c:pt>
                <c:pt idx="73">
                  <c:v>1963.2090585799999</c:v>
                </c:pt>
                <c:pt idx="74">
                  <c:v>1963.20039258</c:v>
                </c:pt>
                <c:pt idx="75">
                  <c:v>1962.7852478499999</c:v>
                </c:pt>
                <c:pt idx="76">
                  <c:v>1962.5049027499999</c:v>
                </c:pt>
                <c:pt idx="77">
                  <c:v>1961.71222373</c:v>
                </c:pt>
                <c:pt idx="78">
                  <c:v>1961.52092178</c:v>
                </c:pt>
                <c:pt idx="79">
                  <c:v>1962.1117696599999</c:v>
                </c:pt>
                <c:pt idx="80">
                  <c:v>1962.46209271</c:v>
                </c:pt>
                <c:pt idx="81">
                  <c:v>1963.1169823299999</c:v>
                </c:pt>
                <c:pt idx="82">
                  <c:v>1963.4497133999998</c:v>
                </c:pt>
                <c:pt idx="83">
                  <c:v>1963.48030438</c:v>
                </c:pt>
                <c:pt idx="84">
                  <c:v>1963.48030438</c:v>
                </c:pt>
                <c:pt idx="85">
                  <c:v>1963.0289791</c:v>
                </c:pt>
                <c:pt idx="86">
                  <c:v>1963.0289791</c:v>
                </c:pt>
                <c:pt idx="87">
                  <c:v>1964.0149965799999</c:v>
                </c:pt>
                <c:pt idx="88">
                  <c:v>1963.99142506</c:v>
                </c:pt>
                <c:pt idx="89">
                  <c:v>1964.56364104</c:v>
                </c:pt>
                <c:pt idx="90">
                  <c:v>1965.3448809399999</c:v>
                </c:pt>
                <c:pt idx="91">
                  <c:v>1966.3959800799998</c:v>
                </c:pt>
                <c:pt idx="92">
                  <c:v>1967.39833297</c:v>
                </c:pt>
                <c:pt idx="93">
                  <c:v>1967.6379045399999</c:v>
                </c:pt>
                <c:pt idx="94">
                  <c:v>1968.28724792</c:v>
                </c:pt>
                <c:pt idx="95">
                  <c:v>1969.06315823</c:v>
                </c:pt>
                <c:pt idx="96">
                  <c:v>1969.1661969699999</c:v>
                </c:pt>
                <c:pt idx="97">
                  <c:v>1969.5127069799998</c:v>
                </c:pt>
                <c:pt idx="98">
                  <c:v>1969.6580357999999</c:v>
                </c:pt>
                <c:pt idx="99">
                  <c:v>1968.8660933899998</c:v>
                </c:pt>
                <c:pt idx="100">
                  <c:v>1969.2624762299999</c:v>
                </c:pt>
                <c:pt idx="101">
                  <c:v>1969.6734612799999</c:v>
                </c:pt>
                <c:pt idx="102">
                  <c:v>1969.7037489499999</c:v>
                </c:pt>
                <c:pt idx="103">
                  <c:v>1969.7433959</c:v>
                </c:pt>
                <c:pt idx="104">
                  <c:v>1969.83599211</c:v>
                </c:pt>
                <c:pt idx="105">
                  <c:v>1970.04458273</c:v>
                </c:pt>
                <c:pt idx="106">
                  <c:v>1970.2149562899999</c:v>
                </c:pt>
                <c:pt idx="107">
                  <c:v>1970.23670795</c:v>
                </c:pt>
                <c:pt idx="108">
                  <c:v>1970.2281719399998</c:v>
                </c:pt>
                <c:pt idx="109">
                  <c:v>1970.2710686399998</c:v>
                </c:pt>
                <c:pt idx="110">
                  <c:v>1970.0673743099999</c:v>
                </c:pt>
                <c:pt idx="111">
                  <c:v>1969.9223054699999</c:v>
                </c:pt>
                <c:pt idx="112">
                  <c:v>1969.8298392499998</c:v>
                </c:pt>
                <c:pt idx="113">
                  <c:v>1969.6641453299999</c:v>
                </c:pt>
                <c:pt idx="114">
                  <c:v>1969.4639173999999</c:v>
                </c:pt>
                <c:pt idx="115">
                  <c:v>1969.32235829</c:v>
                </c:pt>
                <c:pt idx="116">
                  <c:v>1969.14661181</c:v>
                </c:pt>
                <c:pt idx="117">
                  <c:v>1969.0301407699999</c:v>
                </c:pt>
                <c:pt idx="118">
                  <c:v>1969.02104147</c:v>
                </c:pt>
                <c:pt idx="119">
                  <c:v>1968.8996741399999</c:v>
                </c:pt>
                <c:pt idx="120">
                  <c:v>1968.9225523799998</c:v>
                </c:pt>
                <c:pt idx="121">
                  <c:v>1968.8971609999999</c:v>
                </c:pt>
                <c:pt idx="122">
                  <c:v>1968.8498879700001</c:v>
                </c:pt>
                <c:pt idx="123">
                  <c:v>1968.6977130099999</c:v>
                </c:pt>
                <c:pt idx="124">
                  <c:v>1968.5857482899999</c:v>
                </c:pt>
                <c:pt idx="125">
                  <c:v>1968.4159380199999</c:v>
                </c:pt>
                <c:pt idx="126">
                  <c:v>1968.4017691099998</c:v>
                </c:pt>
                <c:pt idx="127">
                  <c:v>1968.3473899599999</c:v>
                </c:pt>
                <c:pt idx="128">
                  <c:v>1968.5277727499999</c:v>
                </c:pt>
                <c:pt idx="129">
                  <c:v>1968.5277727499999</c:v>
                </c:pt>
                <c:pt idx="130">
                  <c:v>1968.83610903</c:v>
                </c:pt>
                <c:pt idx="131">
                  <c:v>1969.1813624699998</c:v>
                </c:pt>
                <c:pt idx="132">
                  <c:v>1968.26705614</c:v>
                </c:pt>
                <c:pt idx="133">
                  <c:v>1968.3859103299999</c:v>
                </c:pt>
                <c:pt idx="134">
                  <c:v>1968.3158890499999</c:v>
                </c:pt>
                <c:pt idx="135">
                  <c:v>1968.05863884</c:v>
                </c:pt>
                <c:pt idx="136">
                  <c:v>1967.60956672</c:v>
                </c:pt>
                <c:pt idx="137">
                  <c:v>1967.3576894299999</c:v>
                </c:pt>
                <c:pt idx="138">
                  <c:v>1967.1411260899999</c:v>
                </c:pt>
                <c:pt idx="139">
                  <c:v>1967.1411260899999</c:v>
                </c:pt>
                <c:pt idx="140">
                  <c:v>1967.0883068199998</c:v>
                </c:pt>
                <c:pt idx="141">
                  <c:v>1966.7318309099999</c:v>
                </c:pt>
                <c:pt idx="142">
                  <c:v>1966.6032274699999</c:v>
                </c:pt>
                <c:pt idx="143">
                  <c:v>1966.44693616</c:v>
                </c:pt>
                <c:pt idx="144">
                  <c:v>1966.44693616</c:v>
                </c:pt>
                <c:pt idx="145">
                  <c:v>1966.3620960199999</c:v>
                </c:pt>
                <c:pt idx="146">
                  <c:v>1965.8621544799998</c:v>
                </c:pt>
                <c:pt idx="147">
                  <c:v>1965.3717455399999</c:v>
                </c:pt>
                <c:pt idx="148">
                  <c:v>1965.3717455399999</c:v>
                </c:pt>
                <c:pt idx="149">
                  <c:v>1965.5564613299998</c:v>
                </c:pt>
                <c:pt idx="150">
                  <c:v>1965.4453632099999</c:v>
                </c:pt>
                <c:pt idx="151">
                  <c:v>1965.5684204099998</c:v>
                </c:pt>
                <c:pt idx="152">
                  <c:v>1965.6360152099999</c:v>
                </c:pt>
                <c:pt idx="153">
                  <c:v>1965.67674541</c:v>
                </c:pt>
                <c:pt idx="154">
                  <c:v>1965.9062644199998</c:v>
                </c:pt>
                <c:pt idx="155">
                  <c:v>1966.22131685</c:v>
                </c:pt>
                <c:pt idx="156">
                  <c:v>1967.8682901499999</c:v>
                </c:pt>
                <c:pt idx="157">
                  <c:v>1970.14662488</c:v>
                </c:pt>
                <c:pt idx="158">
                  <c:v>1970.14662488</c:v>
                </c:pt>
                <c:pt idx="159">
                  <c:v>1965.7681717099999</c:v>
                </c:pt>
                <c:pt idx="160">
                  <c:v>1965.7681717099999</c:v>
                </c:pt>
                <c:pt idx="161">
                  <c:v>1965.9843884099998</c:v>
                </c:pt>
                <c:pt idx="162">
                  <c:v>1966.17005746</c:v>
                </c:pt>
                <c:pt idx="163">
                  <c:v>1966.3154729399998</c:v>
                </c:pt>
                <c:pt idx="164">
                  <c:v>1966.4399166999999</c:v>
                </c:pt>
                <c:pt idx="165">
                  <c:v>1966.5548278599999</c:v>
                </c:pt>
                <c:pt idx="166">
                  <c:v>1966.63702487</c:v>
                </c:pt>
                <c:pt idx="167">
                  <c:v>1966.7036230799999</c:v>
                </c:pt>
                <c:pt idx="168">
                  <c:v>1966.5233702799999</c:v>
                </c:pt>
                <c:pt idx="169">
                  <c:v>1966.6203428199999</c:v>
                </c:pt>
                <c:pt idx="170">
                  <c:v>1967.0101828299998</c:v>
                </c:pt>
                <c:pt idx="171">
                  <c:v>1966.95428713</c:v>
                </c:pt>
                <c:pt idx="172">
                  <c:v>1967.0131726</c:v>
                </c:pt>
                <c:pt idx="173">
                  <c:v>1967.04809658</c:v>
                </c:pt>
                <c:pt idx="174">
                  <c:v>1967.0492664899998</c:v>
                </c:pt>
                <c:pt idx="175">
                  <c:v>1967.04385024</c:v>
                </c:pt>
                <c:pt idx="176">
                  <c:v>1967.0361375</c:v>
                </c:pt>
                <c:pt idx="177">
                  <c:v>1966.95030077</c:v>
                </c:pt>
                <c:pt idx="178">
                  <c:v>1966.8649839999998</c:v>
                </c:pt>
                <c:pt idx="179">
                  <c:v>1966.7978224999999</c:v>
                </c:pt>
                <c:pt idx="180">
                  <c:v>1966.7306610000001</c:v>
                </c:pt>
                <c:pt idx="181">
                  <c:v>1966.6174397099999</c:v>
                </c:pt>
                <c:pt idx="182">
                  <c:v>1966.49312594</c:v>
                </c:pt>
                <c:pt idx="183">
                  <c:v>1966.3583263099999</c:v>
                </c:pt>
                <c:pt idx="184">
                  <c:v>1966.2207102299999</c:v>
                </c:pt>
                <c:pt idx="185">
                  <c:v>1965.83429329</c:v>
                </c:pt>
                <c:pt idx="186">
                  <c:v>1965.3840079299998</c:v>
                </c:pt>
                <c:pt idx="187">
                  <c:v>1964.96751997</c:v>
                </c:pt>
                <c:pt idx="188">
                  <c:v>1964.5593080399999</c:v>
                </c:pt>
                <c:pt idx="189">
                  <c:v>1964.0016942699999</c:v>
                </c:pt>
                <c:pt idx="190">
                  <c:v>1963.1821073199999</c:v>
                </c:pt>
                <c:pt idx="191">
                  <c:v>1961.46285958</c:v>
                </c:pt>
                <c:pt idx="192">
                  <c:v>1962.71678645</c:v>
                </c:pt>
                <c:pt idx="193">
                  <c:v>1960.5266715999999</c:v>
                </c:pt>
                <c:pt idx="194">
                  <c:v>1960.5266715999999</c:v>
                </c:pt>
                <c:pt idx="195">
                  <c:v>1959.9177551099999</c:v>
                </c:pt>
                <c:pt idx="196">
                  <c:v>1959.9177551099999</c:v>
                </c:pt>
                <c:pt idx="197">
                  <c:v>1959.3901257</c:v>
                </c:pt>
                <c:pt idx="198">
                  <c:v>1958.5405543899999</c:v>
                </c:pt>
                <c:pt idx="199">
                  <c:v>1957.62737464</c:v>
                </c:pt>
                <c:pt idx="200">
                  <c:v>1956.66094232</c:v>
                </c:pt>
                <c:pt idx="201">
                  <c:v>1955.6502267399999</c:v>
                </c:pt>
                <c:pt idx="202">
                  <c:v>1955.6502267399999</c:v>
                </c:pt>
                <c:pt idx="203">
                  <c:v>1953.71268246</c:v>
                </c:pt>
                <c:pt idx="204">
                  <c:v>1953.71268246</c:v>
                </c:pt>
                <c:pt idx="205">
                  <c:v>1952.1892863199998</c:v>
                </c:pt>
                <c:pt idx="206">
                  <c:v>1950.97821282</c:v>
                </c:pt>
                <c:pt idx="207">
                  <c:v>1950.97821282</c:v>
                </c:pt>
                <c:pt idx="208">
                  <c:v>1949.7732488499998</c:v>
                </c:pt>
                <c:pt idx="209">
                  <c:v>1949.7732488499998</c:v>
                </c:pt>
                <c:pt idx="210">
                  <c:v>1949.5044295299999</c:v>
                </c:pt>
                <c:pt idx="211">
                  <c:v>1946.7816589899999</c:v>
                </c:pt>
                <c:pt idx="212">
                  <c:v>1943.9074067699999</c:v>
                </c:pt>
                <c:pt idx="213">
                  <c:v>1943.9251720699999</c:v>
                </c:pt>
                <c:pt idx="214">
                  <c:v>1950.87322423</c:v>
                </c:pt>
                <c:pt idx="215">
                  <c:v>1957.8392150099999</c:v>
                </c:pt>
                <c:pt idx="216">
                  <c:v>1957.8392150099999</c:v>
                </c:pt>
                <c:pt idx="217">
                  <c:v>1970.2741884</c:v>
                </c:pt>
                <c:pt idx="218">
                  <c:v>1970.2741884</c:v>
                </c:pt>
                <c:pt idx="219">
                  <c:v>1973.60968847</c:v>
                </c:pt>
                <c:pt idx="220">
                  <c:v>1975.64351201</c:v>
                </c:pt>
                <c:pt idx="221">
                  <c:v>1976.6831720299999</c:v>
                </c:pt>
                <c:pt idx="222">
                  <c:v>1976.6831720299999</c:v>
                </c:pt>
                <c:pt idx="223">
                  <c:v>1977.4636319899998</c:v>
                </c:pt>
                <c:pt idx="224">
                  <c:v>1978.26827009</c:v>
                </c:pt>
                <c:pt idx="225">
                  <c:v>1979.2554574799999</c:v>
                </c:pt>
                <c:pt idx="226">
                  <c:v>1979.9812783099999</c:v>
                </c:pt>
                <c:pt idx="227">
                  <c:v>1980.85715093</c:v>
                </c:pt>
                <c:pt idx="228">
                  <c:v>1980.8882185399998</c:v>
                </c:pt>
                <c:pt idx="229">
                  <c:v>1983.4406155199999</c:v>
                </c:pt>
                <c:pt idx="230">
                  <c:v>1988.45237997</c:v>
                </c:pt>
                <c:pt idx="231">
                  <c:v>1989.8279774799998</c:v>
                </c:pt>
                <c:pt idx="232">
                  <c:v>1999.3192406599999</c:v>
                </c:pt>
                <c:pt idx="233">
                  <c:v>1998.5573259399998</c:v>
                </c:pt>
                <c:pt idx="234">
                  <c:v>1998.3326165599999</c:v>
                </c:pt>
                <c:pt idx="235">
                  <c:v>1994.0642649199999</c:v>
                </c:pt>
                <c:pt idx="236">
                  <c:v>1988.2109018799999</c:v>
                </c:pt>
                <c:pt idx="237">
                  <c:v>1989.2119981999999</c:v>
                </c:pt>
                <c:pt idx="238">
                  <c:v>1987.73509515</c:v>
                </c:pt>
                <c:pt idx="239">
                  <c:v>1984.79030169</c:v>
                </c:pt>
                <c:pt idx="240">
                  <c:v>1979.47345071</c:v>
                </c:pt>
                <c:pt idx="241">
                  <c:v>1975.2599115200001</c:v>
                </c:pt>
                <c:pt idx="242">
                  <c:v>1972.0797928299999</c:v>
                </c:pt>
                <c:pt idx="243">
                  <c:v>1973.07612285</c:v>
                </c:pt>
                <c:pt idx="244">
                  <c:v>1976.4617557299998</c:v>
                </c:pt>
                <c:pt idx="245">
                  <c:v>1979.5837688899999</c:v>
                </c:pt>
                <c:pt idx="246">
                  <c:v>1974.0890049299999</c:v>
                </c:pt>
                <c:pt idx="247">
                  <c:v>1971.6365269299999</c:v>
                </c:pt>
                <c:pt idx="248">
                  <c:v>1968.70096276</c:v>
                </c:pt>
                <c:pt idx="249">
                  <c:v>1968.70096276</c:v>
                </c:pt>
                <c:pt idx="250">
                  <c:v>1965.8963851799999</c:v>
                </c:pt>
                <c:pt idx="251">
                  <c:v>1963.1003869399999</c:v>
                </c:pt>
                <c:pt idx="252">
                  <c:v>1962.33097613</c:v>
                </c:pt>
                <c:pt idx="253">
                  <c:v>1962.22109125</c:v>
                </c:pt>
                <c:pt idx="254">
                  <c:v>1962.67692285</c:v>
                </c:pt>
                <c:pt idx="255">
                  <c:v>1963.0681494199998</c:v>
                </c:pt>
                <c:pt idx="256">
                  <c:v>1962.95484147</c:v>
                </c:pt>
                <c:pt idx="257">
                  <c:v>1961.9420027199999</c:v>
                </c:pt>
                <c:pt idx="258">
                  <c:v>1961.7092339599999</c:v>
                </c:pt>
                <c:pt idx="259">
                  <c:v>1962.3359157499999</c:v>
                </c:pt>
                <c:pt idx="260">
                  <c:v>1964.7897369799998</c:v>
                </c:pt>
                <c:pt idx="261">
                  <c:v>1967.11040512</c:v>
                </c:pt>
                <c:pt idx="262">
                  <c:v>1969.00630927</c:v>
                </c:pt>
                <c:pt idx="263">
                  <c:v>1970.53321514</c:v>
                </c:pt>
                <c:pt idx="264">
                  <c:v>1964.1023065299999</c:v>
                </c:pt>
                <c:pt idx="265">
                  <c:v>1957.5580899699999</c:v>
                </c:pt>
                <c:pt idx="266">
                  <c:v>1957.5580899699999</c:v>
                </c:pt>
                <c:pt idx="267">
                  <c:v>1953.4282643399999</c:v>
                </c:pt>
                <c:pt idx="268">
                  <c:v>1953.4282643399999</c:v>
                </c:pt>
                <c:pt idx="269">
                  <c:v>1950.8920294499999</c:v>
                </c:pt>
                <c:pt idx="270">
                  <c:v>1949.8811405499998</c:v>
                </c:pt>
                <c:pt idx="271">
                  <c:v>1949.53480386</c:v>
                </c:pt>
                <c:pt idx="272">
                  <c:v>1949.1915435999999</c:v>
                </c:pt>
                <c:pt idx="273">
                  <c:v>1949.38336551</c:v>
                </c:pt>
                <c:pt idx="274">
                  <c:v>1949.70127772</c:v>
                </c:pt>
                <c:pt idx="275">
                  <c:v>1952.0765849899999</c:v>
                </c:pt>
                <c:pt idx="276">
                  <c:v>1956.7651942999998</c:v>
                </c:pt>
                <c:pt idx="277">
                  <c:v>1963.33432561</c:v>
                </c:pt>
                <c:pt idx="278">
                  <c:v>1964.33845503</c:v>
                </c:pt>
                <c:pt idx="279">
                  <c:v>1956.27660522</c:v>
                </c:pt>
                <c:pt idx="280">
                  <c:v>1948.8699050099999</c:v>
                </c:pt>
                <c:pt idx="281">
                  <c:v>1944.5069639799999</c:v>
                </c:pt>
                <c:pt idx="282">
                  <c:v>1941.4444429099999</c:v>
                </c:pt>
                <c:pt idx="283">
                  <c:v>1937.8291176999999</c:v>
                </c:pt>
                <c:pt idx="284">
                  <c:v>1936.5007932199999</c:v>
                </c:pt>
                <c:pt idx="285">
                  <c:v>1934.8763081899999</c:v>
                </c:pt>
                <c:pt idx="286">
                  <c:v>1933.8674558</c:v>
                </c:pt>
                <c:pt idx="287">
                  <c:v>1934.4716059899999</c:v>
                </c:pt>
                <c:pt idx="288">
                  <c:v>1935.4418080200001</c:v>
                </c:pt>
                <c:pt idx="289">
                  <c:v>1936.4856710499998</c:v>
                </c:pt>
                <c:pt idx="290">
                  <c:v>1937.6773760399999</c:v>
                </c:pt>
                <c:pt idx="291">
                  <c:v>1936.39524134</c:v>
                </c:pt>
                <c:pt idx="292">
                  <c:v>1934.21422579</c:v>
                </c:pt>
                <c:pt idx="293">
                  <c:v>1934.20707634</c:v>
                </c:pt>
                <c:pt idx="294">
                  <c:v>1936.0765491899999</c:v>
                </c:pt>
                <c:pt idx="295">
                  <c:v>1939.00084756</c:v>
                </c:pt>
                <c:pt idx="296">
                  <c:v>1943.8646400599998</c:v>
                </c:pt>
                <c:pt idx="297">
                  <c:v>1942.3727014999999</c:v>
                </c:pt>
                <c:pt idx="298">
                  <c:v>1942.3727014999999</c:v>
                </c:pt>
                <c:pt idx="299">
                  <c:v>1942.3727014999999</c:v>
                </c:pt>
                <c:pt idx="300">
                  <c:v>1939.4878767599998</c:v>
                </c:pt>
                <c:pt idx="301">
                  <c:v>1943.77763342</c:v>
                </c:pt>
                <c:pt idx="302">
                  <c:v>1948.66911379</c:v>
                </c:pt>
                <c:pt idx="303">
                  <c:v>1949.4516969199999</c:v>
                </c:pt>
                <c:pt idx="304">
                  <c:v>1946.6290940599999</c:v>
                </c:pt>
                <c:pt idx="305">
                  <c:v>1943.3136557799999</c:v>
                </c:pt>
                <c:pt idx="306">
                  <c:v>1939.6411782999999</c:v>
                </c:pt>
                <c:pt idx="307">
                  <c:v>1936.85003302</c:v>
                </c:pt>
                <c:pt idx="308">
                  <c:v>1934.36410426</c:v>
                </c:pt>
                <c:pt idx="309">
                  <c:v>1933.03257336</c:v>
                </c:pt>
                <c:pt idx="310">
                  <c:v>1931.9346778199999</c:v>
                </c:pt>
                <c:pt idx="311">
                  <c:v>1931.6539427499999</c:v>
                </c:pt>
                <c:pt idx="312">
                  <c:v>1931.91565595</c:v>
                </c:pt>
                <c:pt idx="313">
                  <c:v>1932.51854957</c:v>
                </c:pt>
                <c:pt idx="314">
                  <c:v>1932.6068127799999</c:v>
                </c:pt>
                <c:pt idx="315">
                  <c:v>1932.2794113</c:v>
                </c:pt>
                <c:pt idx="316">
                  <c:v>1932.21710276</c:v>
                </c:pt>
                <c:pt idx="317">
                  <c:v>1932.7496717899999</c:v>
                </c:pt>
                <c:pt idx="318">
                  <c:v>1933.6820467299999</c:v>
                </c:pt>
                <c:pt idx="319">
                  <c:v>1933.6820467299999</c:v>
                </c:pt>
                <c:pt idx="320">
                  <c:v>1935.9045290899999</c:v>
                </c:pt>
                <c:pt idx="321">
                  <c:v>1935.9045290899999</c:v>
                </c:pt>
                <c:pt idx="322">
                  <c:v>1938.4197055999998</c:v>
                </c:pt>
                <c:pt idx="323">
                  <c:v>1941.1130983999999</c:v>
                </c:pt>
                <c:pt idx="324">
                  <c:v>1946.78529871</c:v>
                </c:pt>
                <c:pt idx="325">
                  <c:v>1950.4497168099999</c:v>
                </c:pt>
                <c:pt idx="326">
                  <c:v>1942.8367224699998</c:v>
                </c:pt>
                <c:pt idx="327">
                  <c:v>1942.8367224699998</c:v>
                </c:pt>
                <c:pt idx="328">
                  <c:v>1942.8367224699998</c:v>
                </c:pt>
                <c:pt idx="329">
                  <c:v>1940.31747294</c:v>
                </c:pt>
                <c:pt idx="330">
                  <c:v>1939.2646839299998</c:v>
                </c:pt>
                <c:pt idx="331">
                  <c:v>1939.2646839299998</c:v>
                </c:pt>
                <c:pt idx="332">
                  <c:v>1938.86136829</c:v>
                </c:pt>
                <c:pt idx="333">
                  <c:v>1938.86136829</c:v>
                </c:pt>
                <c:pt idx="334">
                  <c:v>1938.1983759599998</c:v>
                </c:pt>
                <c:pt idx="335">
                  <c:v>1935.9826097499999</c:v>
                </c:pt>
                <c:pt idx="336">
                  <c:v>1935.6549916199999</c:v>
                </c:pt>
                <c:pt idx="337">
                  <c:v>1937.3520110699999</c:v>
                </c:pt>
                <c:pt idx="338">
                  <c:v>1936.9368663399998</c:v>
                </c:pt>
                <c:pt idx="339">
                  <c:v>1935.4449711099999</c:v>
                </c:pt>
                <c:pt idx="340">
                  <c:v>1933.8450975199999</c:v>
                </c:pt>
                <c:pt idx="341">
                  <c:v>1932.3872596699998</c:v>
                </c:pt>
                <c:pt idx="342">
                  <c:v>1931.38910979</c:v>
                </c:pt>
                <c:pt idx="343">
                  <c:v>1930.76429119</c:v>
                </c:pt>
                <c:pt idx="344">
                  <c:v>1930.3085462499998</c:v>
                </c:pt>
                <c:pt idx="345">
                  <c:v>1931.04433298</c:v>
                </c:pt>
                <c:pt idx="346">
                  <c:v>1932.5073270999999</c:v>
                </c:pt>
                <c:pt idx="347">
                  <c:v>1933.8649859899999</c:v>
                </c:pt>
                <c:pt idx="348">
                  <c:v>1936.6951715999999</c:v>
                </c:pt>
                <c:pt idx="349">
                  <c:v>1939.63272895</c:v>
                </c:pt>
                <c:pt idx="350">
                  <c:v>1940.9321956499998</c:v>
                </c:pt>
                <c:pt idx="351">
                  <c:v>1941.9671760299998</c:v>
                </c:pt>
                <c:pt idx="352">
                  <c:v>1943.9274685599999</c:v>
                </c:pt>
                <c:pt idx="353">
                  <c:v>1947.0129545299999</c:v>
                </c:pt>
                <c:pt idx="354">
                  <c:v>1945.12125339</c:v>
                </c:pt>
                <c:pt idx="355">
                  <c:v>1944.7573247199998</c:v>
                </c:pt>
                <c:pt idx="356">
                  <c:v>1942.56001709</c:v>
                </c:pt>
                <c:pt idx="357">
                  <c:v>1940.32930203</c:v>
                </c:pt>
                <c:pt idx="358">
                  <c:v>1939.08334788</c:v>
                </c:pt>
                <c:pt idx="359">
                  <c:v>1937.6718297999998</c:v>
                </c:pt>
                <c:pt idx="360">
                  <c:v>1936.1380777899999</c:v>
                </c:pt>
                <c:pt idx="361">
                  <c:v>1938.7386577299999</c:v>
                </c:pt>
                <c:pt idx="362">
                  <c:v>1940.4843801</c:v>
                </c:pt>
                <c:pt idx="363">
                  <c:v>1941.3745516199999</c:v>
                </c:pt>
                <c:pt idx="364">
                  <c:v>1942.1718669499999</c:v>
                </c:pt>
                <c:pt idx="365">
                  <c:v>1944.8967606599999</c:v>
                </c:pt>
                <c:pt idx="366">
                  <c:v>1946.31872127</c:v>
                </c:pt>
                <c:pt idx="367">
                  <c:v>1947.5814441299999</c:v>
                </c:pt>
                <c:pt idx="368">
                  <c:v>1948.2433532099999</c:v>
                </c:pt>
                <c:pt idx="369">
                  <c:v>1946.7076513499999</c:v>
                </c:pt>
                <c:pt idx="370">
                  <c:v>1944.00550589</c:v>
                </c:pt>
                <c:pt idx="371">
                  <c:v>1941.7561155999999</c:v>
                </c:pt>
                <c:pt idx="372">
                  <c:v>1939.6374519199999</c:v>
                </c:pt>
                <c:pt idx="373">
                  <c:v>1939.6374519199999</c:v>
                </c:pt>
                <c:pt idx="374">
                  <c:v>1939.6374519199999</c:v>
                </c:pt>
                <c:pt idx="375">
                  <c:v>1937.7701455699998</c:v>
                </c:pt>
                <c:pt idx="376">
                  <c:v>1936.5907462999999</c:v>
                </c:pt>
                <c:pt idx="377">
                  <c:v>1937.47883798</c:v>
                </c:pt>
                <c:pt idx="378">
                  <c:v>1938.76729886</c:v>
                </c:pt>
                <c:pt idx="379">
                  <c:v>1939.6437781</c:v>
                </c:pt>
                <c:pt idx="380">
                  <c:v>1940.6404114299999</c:v>
                </c:pt>
                <c:pt idx="381">
                  <c:v>1940.3186428499998</c:v>
                </c:pt>
                <c:pt idx="382">
                  <c:v>1938.72279895</c:v>
                </c:pt>
                <c:pt idx="383">
                  <c:v>1937.27180724</c:v>
                </c:pt>
                <c:pt idx="384">
                  <c:v>1936.34753501</c:v>
                </c:pt>
                <c:pt idx="385">
                  <c:v>1934.75892722</c:v>
                </c:pt>
                <c:pt idx="386">
                  <c:v>1932.49623462</c:v>
                </c:pt>
                <c:pt idx="387">
                  <c:v>1932.1379821799999</c:v>
                </c:pt>
                <c:pt idx="388">
                  <c:v>1930.7817965099998</c:v>
                </c:pt>
                <c:pt idx="389">
                  <c:v>1930.1279468099999</c:v>
                </c:pt>
                <c:pt idx="390">
                  <c:v>1930.1279468099999</c:v>
                </c:pt>
                <c:pt idx="391">
                  <c:v>1929.6280052699999</c:v>
                </c:pt>
                <c:pt idx="392">
                  <c:v>1929.6280052699999</c:v>
                </c:pt>
                <c:pt idx="393">
                  <c:v>1930.2646962899998</c:v>
                </c:pt>
                <c:pt idx="394">
                  <c:v>1930.9106599299998</c:v>
                </c:pt>
                <c:pt idx="395">
                  <c:v>1929.8592141499998</c:v>
                </c:pt>
                <c:pt idx="396">
                  <c:v>1927.5213006699998</c:v>
                </c:pt>
                <c:pt idx="397">
                  <c:v>1925.9951314099999</c:v>
                </c:pt>
                <c:pt idx="398">
                  <c:v>1923.8962262099999</c:v>
                </c:pt>
                <c:pt idx="399">
                  <c:v>1922.3912019899999</c:v>
                </c:pt>
                <c:pt idx="400">
                  <c:v>1919.9814907</c:v>
                </c:pt>
                <c:pt idx="401">
                  <c:v>1917.55817379</c:v>
                </c:pt>
                <c:pt idx="402">
                  <c:v>1913.5456858</c:v>
                </c:pt>
                <c:pt idx="403">
                  <c:v>1910.65388493</c:v>
                </c:pt>
                <c:pt idx="404">
                  <c:v>1908.8119699599999</c:v>
                </c:pt>
                <c:pt idx="405">
                  <c:v>1908.8119699599999</c:v>
                </c:pt>
                <c:pt idx="406">
                  <c:v>1906.39684242</c:v>
                </c:pt>
                <c:pt idx="407">
                  <c:v>1904.2229763199998</c:v>
                </c:pt>
                <c:pt idx="408">
                  <c:v>1902.4976190499999</c:v>
                </c:pt>
                <c:pt idx="409">
                  <c:v>1902.4976190499999</c:v>
                </c:pt>
                <c:pt idx="410">
                  <c:v>1901.72647504</c:v>
                </c:pt>
                <c:pt idx="411">
                  <c:v>1901.3180897899999</c:v>
                </c:pt>
                <c:pt idx="412">
                  <c:v>1901.1641382999999</c:v>
                </c:pt>
                <c:pt idx="413">
                  <c:v>1901.1581587599999</c:v>
                </c:pt>
                <c:pt idx="414">
                  <c:v>1900.72100239</c:v>
                </c:pt>
                <c:pt idx="415">
                  <c:v>1900.15502593</c:v>
                </c:pt>
                <c:pt idx="416">
                  <c:v>1900.5446059599999</c:v>
                </c:pt>
                <c:pt idx="417">
                  <c:v>1901.24217563</c:v>
                </c:pt>
                <c:pt idx="418">
                  <c:v>1902.9865547699999</c:v>
                </c:pt>
                <c:pt idx="419">
                  <c:v>1905.3046664399999</c:v>
                </c:pt>
                <c:pt idx="420">
                  <c:v>1907.6108623599998</c:v>
                </c:pt>
                <c:pt idx="421">
                  <c:v>1909.37140359</c:v>
                </c:pt>
                <c:pt idx="422">
                  <c:v>1911.20725236</c:v>
                </c:pt>
                <c:pt idx="423">
                  <c:v>1913.7248120199999</c:v>
                </c:pt>
                <c:pt idx="424">
                  <c:v>1916.3143861399999</c:v>
                </c:pt>
                <c:pt idx="425">
                  <c:v>1919.6841169099998</c:v>
                </c:pt>
                <c:pt idx="426">
                  <c:v>1922.50684976</c:v>
                </c:pt>
                <c:pt idx="427">
                  <c:v>1924.0756124099998</c:v>
                </c:pt>
                <c:pt idx="428">
                  <c:v>1926.2851390999999</c:v>
                </c:pt>
                <c:pt idx="429">
                  <c:v>1926.7390208499999</c:v>
                </c:pt>
                <c:pt idx="430">
                  <c:v>1929.48432299</c:v>
                </c:pt>
                <c:pt idx="431">
                  <c:v>1929.29445093</c:v>
                </c:pt>
                <c:pt idx="432">
                  <c:v>1928.9969471499999</c:v>
                </c:pt>
                <c:pt idx="433">
                  <c:v>1927.1658646799999</c:v>
                </c:pt>
                <c:pt idx="434">
                  <c:v>1926.9909414699998</c:v>
                </c:pt>
                <c:pt idx="435">
                  <c:v>1926.8748604</c:v>
                </c:pt>
                <c:pt idx="436">
                  <c:v>1926.1051462799999</c:v>
                </c:pt>
                <c:pt idx="437">
                  <c:v>1925.4356544499999</c:v>
                </c:pt>
                <c:pt idx="438">
                  <c:v>1925.50987874</c:v>
                </c:pt>
                <c:pt idx="439">
                  <c:v>1925.58826271</c:v>
                </c:pt>
                <c:pt idx="440">
                  <c:v>1925.67383946</c:v>
                </c:pt>
                <c:pt idx="441">
                  <c:v>1926.11732201</c:v>
                </c:pt>
                <c:pt idx="442">
                  <c:v>1927.3285254999998</c:v>
                </c:pt>
                <c:pt idx="443">
                  <c:v>1928.5896018199999</c:v>
                </c:pt>
                <c:pt idx="444">
                  <c:v>1929.8788859699998</c:v>
                </c:pt>
                <c:pt idx="445">
                  <c:v>1931.1858054299998</c:v>
                </c:pt>
                <c:pt idx="446">
                  <c:v>1932.1005017299999</c:v>
                </c:pt>
                <c:pt idx="447">
                  <c:v>1932.34102656</c:v>
                </c:pt>
                <c:pt idx="448">
                  <c:v>1932.61235902</c:v>
                </c:pt>
                <c:pt idx="449">
                  <c:v>1932.90609309</c:v>
                </c:pt>
                <c:pt idx="450">
                  <c:v>1932.5650859899999</c:v>
                </c:pt>
                <c:pt idx="451">
                  <c:v>1931.6558926</c:v>
                </c:pt>
                <c:pt idx="452">
                  <c:v>1931.0177283599999</c:v>
                </c:pt>
                <c:pt idx="453">
                  <c:v>1930.1783395999998</c:v>
                </c:pt>
                <c:pt idx="454">
                  <c:v>1929.4437661099998</c:v>
                </c:pt>
                <c:pt idx="455">
                  <c:v>1928.7750975500001</c:v>
                </c:pt>
                <c:pt idx="456">
                  <c:v>1927.9943776099999</c:v>
                </c:pt>
                <c:pt idx="457">
                  <c:v>1927.9943776099999</c:v>
                </c:pt>
                <c:pt idx="458">
                  <c:v>1926.9018983199999</c:v>
                </c:pt>
                <c:pt idx="459">
                  <c:v>1925.50814554</c:v>
                </c:pt>
                <c:pt idx="460">
                  <c:v>1925.1409671199999</c:v>
                </c:pt>
                <c:pt idx="461">
                  <c:v>1924.2201179599999</c:v>
                </c:pt>
                <c:pt idx="462">
                  <c:v>1922.6954652499999</c:v>
                </c:pt>
                <c:pt idx="463">
                  <c:v>1922.3658539399999</c:v>
                </c:pt>
                <c:pt idx="464">
                  <c:v>1921.00143557</c:v>
                </c:pt>
                <c:pt idx="465">
                  <c:v>1921.00143557</c:v>
                </c:pt>
                <c:pt idx="466">
                  <c:v>1916.6680455999999</c:v>
                </c:pt>
                <c:pt idx="467">
                  <c:v>1915.8229372799999</c:v>
                </c:pt>
                <c:pt idx="468">
                  <c:v>1910.8036767399999</c:v>
                </c:pt>
                <c:pt idx="469">
                  <c:v>1908.44123848</c:v>
                </c:pt>
                <c:pt idx="470">
                  <c:v>1908.44123848</c:v>
                </c:pt>
                <c:pt idx="471">
                  <c:v>1906.97568789</c:v>
                </c:pt>
                <c:pt idx="472">
                  <c:v>1906.97568789</c:v>
                </c:pt>
                <c:pt idx="473">
                  <c:v>1905.1831257899998</c:v>
                </c:pt>
                <c:pt idx="474">
                  <c:v>1903.5871519</c:v>
                </c:pt>
                <c:pt idx="475">
                  <c:v>1902.07562818</c:v>
                </c:pt>
                <c:pt idx="476">
                  <c:v>1902.1318705199999</c:v>
                </c:pt>
                <c:pt idx="477">
                  <c:v>1901.70892639</c:v>
                </c:pt>
                <c:pt idx="478">
                  <c:v>1901.70892639</c:v>
                </c:pt>
                <c:pt idx="479">
                  <c:v>1901.4109893099999</c:v>
                </c:pt>
                <c:pt idx="480">
                  <c:v>1901.4109893099999</c:v>
                </c:pt>
                <c:pt idx="481">
                  <c:v>1902.80859846</c:v>
                </c:pt>
                <c:pt idx="482">
                  <c:v>1901.0055505</c:v>
                </c:pt>
                <c:pt idx="483">
                  <c:v>1899.3738726899999</c:v>
                </c:pt>
                <c:pt idx="484">
                  <c:v>1898.9881490299999</c:v>
                </c:pt>
                <c:pt idx="485">
                  <c:v>1899.31641711</c:v>
                </c:pt>
                <c:pt idx="486">
                  <c:v>1899.12312198</c:v>
                </c:pt>
                <c:pt idx="487">
                  <c:v>1898.4707455</c:v>
                </c:pt>
                <c:pt idx="488">
                  <c:v>1897.4422212899999</c:v>
                </c:pt>
                <c:pt idx="489">
                  <c:v>1896.5428204799998</c:v>
                </c:pt>
                <c:pt idx="490">
                  <c:v>1895.5346613699999</c:v>
                </c:pt>
                <c:pt idx="491">
                  <c:v>1894.6687979799999</c:v>
                </c:pt>
                <c:pt idx="492">
                  <c:v>1893.5800884</c:v>
                </c:pt>
                <c:pt idx="493">
                  <c:v>1892.0298709899998</c:v>
                </c:pt>
                <c:pt idx="494">
                  <c:v>1890.5952146899999</c:v>
                </c:pt>
                <c:pt idx="495">
                  <c:v>1889.2765528</c:v>
                </c:pt>
                <c:pt idx="496">
                  <c:v>1889.0040937599999</c:v>
                </c:pt>
                <c:pt idx="497">
                  <c:v>1889.2159341299998</c:v>
                </c:pt>
                <c:pt idx="498">
                  <c:v>1890.32934181</c:v>
                </c:pt>
                <c:pt idx="499">
                  <c:v>1891.9559500099999</c:v>
                </c:pt>
                <c:pt idx="500">
                  <c:v>1893.74487239</c:v>
                </c:pt>
                <c:pt idx="501">
                  <c:v>1895.69680223</c:v>
                </c:pt>
                <c:pt idx="502">
                  <c:v>1897.6288869299999</c:v>
                </c:pt>
                <c:pt idx="503">
                  <c:v>1899.0422248699999</c:v>
                </c:pt>
                <c:pt idx="504">
                  <c:v>1899.7740252399999</c:v>
                </c:pt>
                <c:pt idx="505">
                  <c:v>1900.36942277</c:v>
                </c:pt>
                <c:pt idx="506">
                  <c:v>1900.5855094799999</c:v>
                </c:pt>
                <c:pt idx="507">
                  <c:v>1900.6462581399999</c:v>
                </c:pt>
                <c:pt idx="508">
                  <c:v>1900.9018618099999</c:v>
                </c:pt>
                <c:pt idx="509">
                  <c:v>1901.56000118</c:v>
                </c:pt>
                <c:pt idx="510">
                  <c:v>1901.56000118</c:v>
                </c:pt>
                <c:pt idx="511">
                  <c:v>1902.6463276099998</c:v>
                </c:pt>
                <c:pt idx="512">
                  <c:v>1902.6463276099998</c:v>
                </c:pt>
                <c:pt idx="513">
                  <c:v>1903.7276710899998</c:v>
                </c:pt>
                <c:pt idx="514">
                  <c:v>1904.7791602</c:v>
                </c:pt>
                <c:pt idx="515">
                  <c:v>1905.8556073899999</c:v>
                </c:pt>
                <c:pt idx="516">
                  <c:v>1906.4314197599999</c:v>
                </c:pt>
                <c:pt idx="517">
                  <c:v>1906.99085339</c:v>
                </c:pt>
                <c:pt idx="518">
                  <c:v>1908.0257471099999</c:v>
                </c:pt>
                <c:pt idx="519">
                  <c:v>1909.11844305</c:v>
                </c:pt>
                <c:pt idx="520">
                  <c:v>1912.0729857599999</c:v>
                </c:pt>
                <c:pt idx="521">
                  <c:v>1913.77516148</c:v>
                </c:pt>
                <c:pt idx="522">
                  <c:v>1915.2018017299999</c:v>
                </c:pt>
                <c:pt idx="523">
                  <c:v>1915.2007618099999</c:v>
                </c:pt>
                <c:pt idx="524">
                  <c:v>1915.01509276</c:v>
                </c:pt>
                <c:pt idx="525">
                  <c:v>1914.10022314</c:v>
                </c:pt>
                <c:pt idx="526">
                  <c:v>1912.1186989099999</c:v>
                </c:pt>
                <c:pt idx="527">
                  <c:v>1910.6759832299999</c:v>
                </c:pt>
                <c:pt idx="528">
                  <c:v>1909.33037008</c:v>
                </c:pt>
                <c:pt idx="529">
                  <c:v>1908.0792596599999</c:v>
                </c:pt>
                <c:pt idx="530">
                  <c:v>1907.0559783799999</c:v>
                </c:pt>
                <c:pt idx="531">
                  <c:v>1905.9360712</c:v>
                </c:pt>
                <c:pt idx="532">
                  <c:v>1905.9360712</c:v>
                </c:pt>
                <c:pt idx="533">
                  <c:v>1904.8149507799999</c:v>
                </c:pt>
                <c:pt idx="534">
                  <c:v>1904.8149507799999</c:v>
                </c:pt>
                <c:pt idx="535">
                  <c:v>1903.70032986</c:v>
                </c:pt>
                <c:pt idx="536">
                  <c:v>1903.33934763</c:v>
                </c:pt>
                <c:pt idx="537">
                  <c:v>1904.5111208199999</c:v>
                </c:pt>
                <c:pt idx="538">
                  <c:v>1905.43972605</c:v>
                </c:pt>
                <c:pt idx="539">
                  <c:v>1906.6057796799998</c:v>
                </c:pt>
                <c:pt idx="540">
                  <c:v>1907.5339082799999</c:v>
                </c:pt>
                <c:pt idx="541">
                  <c:v>1908.3479056599999</c:v>
                </c:pt>
                <c:pt idx="542">
                  <c:v>1908.9173918499998</c:v>
                </c:pt>
                <c:pt idx="543">
                  <c:v>1909.33777951</c:v>
                </c:pt>
                <c:pt idx="544">
                  <c:v>1909.4595368099999</c:v>
                </c:pt>
                <c:pt idx="545">
                  <c:v>1909.0271034099999</c:v>
                </c:pt>
                <c:pt idx="546">
                  <c:v>1907.3888394399999</c:v>
                </c:pt>
                <c:pt idx="547">
                  <c:v>1906.0183548699999</c:v>
                </c:pt>
                <c:pt idx="548">
                  <c:v>1903.9949305299999</c:v>
                </c:pt>
                <c:pt idx="549">
                  <c:v>1902.10803902</c:v>
                </c:pt>
                <c:pt idx="550">
                  <c:v>1900.31937662</c:v>
                </c:pt>
                <c:pt idx="551">
                  <c:v>1898.66568717</c:v>
                </c:pt>
                <c:pt idx="552">
                  <c:v>1898.66568717</c:v>
                </c:pt>
                <c:pt idx="553">
                  <c:v>1896.69486545</c:v>
                </c:pt>
                <c:pt idx="554">
                  <c:v>1896.69486545</c:v>
                </c:pt>
                <c:pt idx="555">
                  <c:v>1894.9581557199999</c:v>
                </c:pt>
                <c:pt idx="556">
                  <c:v>1893.0047526599999</c:v>
                </c:pt>
                <c:pt idx="557">
                  <c:v>1891.09047659</c:v>
                </c:pt>
                <c:pt idx="558">
                  <c:v>1890.2040747799999</c:v>
                </c:pt>
                <c:pt idx="559">
                  <c:v>1889.15618206</c:v>
                </c:pt>
                <c:pt idx="560">
                  <c:v>1888.4937096899998</c:v>
                </c:pt>
                <c:pt idx="561">
                  <c:v>1887.70189727</c:v>
                </c:pt>
                <c:pt idx="562">
                  <c:v>1887.1250016499998</c:v>
                </c:pt>
                <c:pt idx="563">
                  <c:v>1886.7424410799999</c:v>
                </c:pt>
                <c:pt idx="564">
                  <c:v>1886.8280178299999</c:v>
                </c:pt>
                <c:pt idx="565">
                  <c:v>1887.35196419</c:v>
                </c:pt>
                <c:pt idx="566">
                  <c:v>1888.3589533899999</c:v>
                </c:pt>
                <c:pt idx="567">
                  <c:v>1889.5574611899999</c:v>
                </c:pt>
                <c:pt idx="568">
                  <c:v>1890.6632427899999</c:v>
                </c:pt>
                <c:pt idx="569">
                  <c:v>1892.2564868899999</c:v>
                </c:pt>
                <c:pt idx="570">
                  <c:v>1893.6532727700001</c:v>
                </c:pt>
                <c:pt idx="571">
                  <c:v>1894.9089328399998</c:v>
                </c:pt>
                <c:pt idx="572">
                  <c:v>1896.1369917</c:v>
                </c:pt>
                <c:pt idx="573">
                  <c:v>1897.39581486</c:v>
                </c:pt>
                <c:pt idx="574">
                  <c:v>1898.66300071</c:v>
                </c:pt>
                <c:pt idx="575">
                  <c:v>1900.5816964399999</c:v>
                </c:pt>
                <c:pt idx="576">
                  <c:v>1899.25367527</c:v>
                </c:pt>
                <c:pt idx="577">
                  <c:v>1898.99716167</c:v>
                </c:pt>
                <c:pt idx="578">
                  <c:v>1899.98031937</c:v>
                </c:pt>
                <c:pt idx="579">
                  <c:v>1900.77889127</c:v>
                </c:pt>
                <c:pt idx="580">
                  <c:v>1901.4899799</c:v>
                </c:pt>
                <c:pt idx="581">
                  <c:v>1902.26879332</c:v>
                </c:pt>
                <c:pt idx="582">
                  <c:v>1903.1542852</c:v>
                </c:pt>
                <c:pt idx="583">
                  <c:v>1904.35664937</c:v>
                </c:pt>
                <c:pt idx="584">
                  <c:v>1905.2384582</c:v>
                </c:pt>
                <c:pt idx="585">
                  <c:v>1906.7846025899998</c:v>
                </c:pt>
                <c:pt idx="586">
                  <c:v>1905.1266667999998</c:v>
                </c:pt>
                <c:pt idx="587">
                  <c:v>1901.77907766</c:v>
                </c:pt>
                <c:pt idx="588">
                  <c:v>1899.3341824099998</c:v>
                </c:pt>
                <c:pt idx="589">
                  <c:v>1896.2679349599998</c:v>
                </c:pt>
                <c:pt idx="590">
                  <c:v>1894.0434160899999</c:v>
                </c:pt>
                <c:pt idx="591">
                  <c:v>1892.4713603599998</c:v>
                </c:pt>
                <c:pt idx="592">
                  <c:v>1891.8588474799999</c:v>
                </c:pt>
                <c:pt idx="593">
                  <c:v>1891.8588474799999</c:v>
                </c:pt>
                <c:pt idx="594">
                  <c:v>1891.73990663</c:v>
                </c:pt>
                <c:pt idx="595">
                  <c:v>1891.73990663</c:v>
                </c:pt>
                <c:pt idx="596">
                  <c:v>1892.0891030999999</c:v>
                </c:pt>
                <c:pt idx="597">
                  <c:v>1892.75798831</c:v>
                </c:pt>
                <c:pt idx="598">
                  <c:v>1893.52284947</c:v>
                </c:pt>
                <c:pt idx="599">
                  <c:v>1894.3526623</c:v>
                </c:pt>
                <c:pt idx="600">
                  <c:v>1895.28014095</c:v>
                </c:pt>
                <c:pt idx="601">
                  <c:v>1896.2193187</c:v>
                </c:pt>
                <c:pt idx="602">
                  <c:v>1897.4561735499999</c:v>
                </c:pt>
                <c:pt idx="603">
                  <c:v>1896.66137136</c:v>
                </c:pt>
                <c:pt idx="604">
                  <c:v>1896.1645062499999</c:v>
                </c:pt>
                <c:pt idx="605">
                  <c:v>1895.6443296</c:v>
                </c:pt>
                <c:pt idx="606">
                  <c:v>1895.5673321899999</c:v>
                </c:pt>
                <c:pt idx="607">
                  <c:v>1895.83827468</c:v>
                </c:pt>
                <c:pt idx="608">
                  <c:v>1896.52228206</c:v>
                </c:pt>
                <c:pt idx="609">
                  <c:v>1897.66658403</c:v>
                </c:pt>
                <c:pt idx="610">
                  <c:v>1898.3941380599999</c:v>
                </c:pt>
                <c:pt idx="611">
                  <c:v>1898.8469798900001</c:v>
                </c:pt>
                <c:pt idx="612">
                  <c:v>1899.5042959899999</c:v>
                </c:pt>
                <c:pt idx="613">
                  <c:v>1899.7931770999999</c:v>
                </c:pt>
                <c:pt idx="614">
                  <c:v>1900.87109751</c:v>
                </c:pt>
                <c:pt idx="615">
                  <c:v>1901.6929376199998</c:v>
                </c:pt>
                <c:pt idx="616">
                  <c:v>1901.7282515699999</c:v>
                </c:pt>
                <c:pt idx="617">
                  <c:v>1901.5177977599999</c:v>
                </c:pt>
                <c:pt idx="618">
                  <c:v>1901.8530853</c:v>
                </c:pt>
                <c:pt idx="619">
                  <c:v>1901.95495413</c:v>
                </c:pt>
                <c:pt idx="620">
                  <c:v>1901.77374807</c:v>
                </c:pt>
                <c:pt idx="621">
                  <c:v>1901.4666683599999</c:v>
                </c:pt>
                <c:pt idx="622">
                  <c:v>1900.5765401699998</c:v>
                </c:pt>
                <c:pt idx="623">
                  <c:v>1899.94747523</c:v>
                </c:pt>
                <c:pt idx="624">
                  <c:v>1899.72189925</c:v>
                </c:pt>
                <c:pt idx="625">
                  <c:v>1899.9560545699999</c:v>
                </c:pt>
                <c:pt idx="626">
                  <c:v>1900.2393027799999</c:v>
                </c:pt>
                <c:pt idx="627">
                  <c:v>1900.6401486099999</c:v>
                </c:pt>
                <c:pt idx="628">
                  <c:v>1901.0744451999999</c:v>
                </c:pt>
                <c:pt idx="629">
                  <c:v>1901.2056051099999</c:v>
                </c:pt>
                <c:pt idx="630">
                  <c:v>1901.29651145</c:v>
                </c:pt>
                <c:pt idx="631">
                  <c:v>1901.2881920899999</c:v>
                </c:pt>
                <c:pt idx="632">
                  <c:v>1901.2881920899999</c:v>
                </c:pt>
                <c:pt idx="633">
                  <c:v>1901.5930186399999</c:v>
                </c:pt>
                <c:pt idx="634">
                  <c:v>1901.98805825</c:v>
                </c:pt>
                <c:pt idx="635">
                  <c:v>1902.2551443699999</c:v>
                </c:pt>
                <c:pt idx="636">
                  <c:v>1902.1998986199999</c:v>
                </c:pt>
                <c:pt idx="637">
                  <c:v>1902.0469437199999</c:v>
                </c:pt>
                <c:pt idx="638">
                  <c:v>1901.0345815999999</c:v>
                </c:pt>
                <c:pt idx="639">
                  <c:v>1900.79617994</c:v>
                </c:pt>
                <c:pt idx="640">
                  <c:v>1905.9944800399999</c:v>
                </c:pt>
                <c:pt idx="641">
                  <c:v>1901.76048909</c:v>
                </c:pt>
                <c:pt idx="642">
                  <c:v>1902.09737984</c:v>
                </c:pt>
                <c:pt idx="643">
                  <c:v>1903.5889284299999</c:v>
                </c:pt>
                <c:pt idx="644">
                  <c:v>1902.68939763</c:v>
                </c:pt>
                <c:pt idx="645">
                  <c:v>1900.7781546599999</c:v>
                </c:pt>
                <c:pt idx="646">
                  <c:v>1899.9006788299998</c:v>
                </c:pt>
                <c:pt idx="647">
                  <c:v>1899.1166224799999</c:v>
                </c:pt>
                <c:pt idx="648">
                  <c:v>1897.89614637</c:v>
                </c:pt>
                <c:pt idx="649">
                  <c:v>1896.4569837499998</c:v>
                </c:pt>
                <c:pt idx="650">
                  <c:v>1896.4569837499998</c:v>
                </c:pt>
                <c:pt idx="651">
                  <c:v>1894.9947262399999</c:v>
                </c:pt>
                <c:pt idx="652">
                  <c:v>1893.9978762599999</c:v>
                </c:pt>
                <c:pt idx="653">
                  <c:v>1893.3642616699999</c:v>
                </c:pt>
                <c:pt idx="654">
                  <c:v>1891.6085733999998</c:v>
                </c:pt>
                <c:pt idx="655">
                  <c:v>1891.23888184</c:v>
                </c:pt>
                <c:pt idx="656">
                  <c:v>1892.3193153899999</c:v>
                </c:pt>
                <c:pt idx="657">
                  <c:v>1894.0044190899998</c:v>
                </c:pt>
                <c:pt idx="658">
                  <c:v>1891.73921335</c:v>
                </c:pt>
                <c:pt idx="659">
                  <c:v>1889.15934515</c:v>
                </c:pt>
                <c:pt idx="660">
                  <c:v>1887.1622654499999</c:v>
                </c:pt>
                <c:pt idx="661">
                  <c:v>1885.8752777899999</c:v>
                </c:pt>
                <c:pt idx="662">
                  <c:v>1883.6293538999998</c:v>
                </c:pt>
                <c:pt idx="663">
                  <c:v>1878.59618443</c:v>
                </c:pt>
                <c:pt idx="664">
                  <c:v>1873.7421411799999</c:v>
                </c:pt>
                <c:pt idx="665">
                  <c:v>1868.14979806</c:v>
                </c:pt>
                <c:pt idx="666">
                  <c:v>1862.60875766</c:v>
                </c:pt>
                <c:pt idx="667">
                  <c:v>1859.6692504600001</c:v>
                </c:pt>
                <c:pt idx="668">
                  <c:v>1856.7141877899999</c:v>
                </c:pt>
                <c:pt idx="669">
                  <c:v>1854.7227843199998</c:v>
                </c:pt>
                <c:pt idx="670">
                  <c:v>1852.8061250999999</c:v>
                </c:pt>
                <c:pt idx="671">
                  <c:v>1850.2717533999999</c:v>
                </c:pt>
                <c:pt idx="672">
                  <c:v>1847.191857</c:v>
                </c:pt>
                <c:pt idx="673">
                  <c:v>1849.07649535</c:v>
                </c:pt>
                <c:pt idx="674">
                  <c:v>1853.1516818499999</c:v>
                </c:pt>
                <c:pt idx="675">
                  <c:v>1856.4798591499998</c:v>
                </c:pt>
                <c:pt idx="676">
                  <c:v>1859.6456789399999</c:v>
                </c:pt>
                <c:pt idx="677">
                  <c:v>1863.1454430399999</c:v>
                </c:pt>
                <c:pt idx="678">
                  <c:v>1858.7037280699999</c:v>
                </c:pt>
                <c:pt idx="679">
                  <c:v>1858.3795330099999</c:v>
                </c:pt>
                <c:pt idx="680">
                  <c:v>1861.0548572</c:v>
                </c:pt>
                <c:pt idx="681">
                  <c:v>1865.57499947</c:v>
                </c:pt>
                <c:pt idx="682">
                  <c:v>1872.8226352499998</c:v>
                </c:pt>
                <c:pt idx="683">
                  <c:v>1872.8226352499998</c:v>
                </c:pt>
                <c:pt idx="684">
                  <c:v>1870.5038302999999</c:v>
                </c:pt>
                <c:pt idx="685">
                  <c:v>1870.5038302999999</c:v>
                </c:pt>
                <c:pt idx="686">
                  <c:v>1868.3557455499999</c:v>
                </c:pt>
                <c:pt idx="687">
                  <c:v>1862.2114648899999</c:v>
                </c:pt>
                <c:pt idx="688">
                  <c:v>1859.5500929599998</c:v>
                </c:pt>
                <c:pt idx="689">
                  <c:v>1856.24141416</c:v>
                </c:pt>
                <c:pt idx="690">
                  <c:v>1853.40503236</c:v>
                </c:pt>
                <c:pt idx="691">
                  <c:v>1851.3358515399998</c:v>
                </c:pt>
                <c:pt idx="692">
                  <c:v>1851.8412959899999</c:v>
                </c:pt>
                <c:pt idx="693">
                  <c:v>1851.8412959899999</c:v>
                </c:pt>
                <c:pt idx="694">
                  <c:v>1851.84445908</c:v>
                </c:pt>
                <c:pt idx="695">
                  <c:v>1851.84445908</c:v>
                </c:pt>
                <c:pt idx="696">
                  <c:v>1849.6525677</c:v>
                </c:pt>
                <c:pt idx="697">
                  <c:v>1847.7220428799999</c:v>
                </c:pt>
                <c:pt idx="698">
                  <c:v>1845.484655</c:v>
                </c:pt>
                <c:pt idx="699">
                  <c:v>1844.0979650099998</c:v>
                </c:pt>
                <c:pt idx="700">
                  <c:v>1843.1529377099998</c:v>
                </c:pt>
                <c:pt idx="701">
                  <c:v>1842.57279234</c:v>
                </c:pt>
                <c:pt idx="702">
                  <c:v>1842.7153047099998</c:v>
                </c:pt>
                <c:pt idx="703">
                  <c:v>1842.9311747699999</c:v>
                </c:pt>
                <c:pt idx="704">
                  <c:v>1842.43474296</c:v>
                </c:pt>
                <c:pt idx="705">
                  <c:v>1842.7880991099998</c:v>
                </c:pt>
                <c:pt idx="706">
                  <c:v>1843.3920759799998</c:v>
                </c:pt>
                <c:pt idx="707">
                  <c:v>1843.6634517699999</c:v>
                </c:pt>
                <c:pt idx="708">
                  <c:v>1844.2951165099998</c:v>
                </c:pt>
                <c:pt idx="709">
                  <c:v>1844.6538455799998</c:v>
                </c:pt>
                <c:pt idx="710">
                  <c:v>1845.7270863499998</c:v>
                </c:pt>
                <c:pt idx="711">
                  <c:v>1846.8242886099999</c:v>
                </c:pt>
                <c:pt idx="712">
                  <c:v>1848.26535775</c:v>
                </c:pt>
                <c:pt idx="713">
                  <c:v>1849.38790806</c:v>
                </c:pt>
                <c:pt idx="714">
                  <c:v>1850.3591500099999</c:v>
                </c:pt>
                <c:pt idx="715">
                  <c:v>1850.4251416</c:v>
                </c:pt>
                <c:pt idx="716">
                  <c:v>1848.9363228</c:v>
                </c:pt>
                <c:pt idx="717">
                  <c:v>1847.46531263</c:v>
                </c:pt>
                <c:pt idx="718">
                  <c:v>1845.8484536799999</c:v>
                </c:pt>
                <c:pt idx="719">
                  <c:v>1844.23007818</c:v>
                </c:pt>
                <c:pt idx="720">
                  <c:v>1843.352819</c:v>
                </c:pt>
                <c:pt idx="721">
                  <c:v>1842.6016934499999</c:v>
                </c:pt>
                <c:pt idx="722">
                  <c:v>1841.86023049</c:v>
                </c:pt>
                <c:pt idx="723">
                  <c:v>1841.7180647599998</c:v>
                </c:pt>
                <c:pt idx="724">
                  <c:v>1841.59561418</c:v>
                </c:pt>
                <c:pt idx="725">
                  <c:v>1841.5216931999998</c:v>
                </c:pt>
                <c:pt idx="726">
                  <c:v>1841.08531677</c:v>
                </c:pt>
                <c:pt idx="727">
                  <c:v>1841</c:v>
                </c:pt>
                <c:pt idx="728">
                  <c:v>1841.1232305199999</c:v>
                </c:pt>
                <c:pt idx="729">
                  <c:v>1842.04256313</c:v>
                </c:pt>
                <c:pt idx="730">
                  <c:v>1843.1708329999999</c:v>
                </c:pt>
                <c:pt idx="731">
                  <c:v>1844.40448143</c:v>
                </c:pt>
                <c:pt idx="732">
                  <c:v>1845.58613386</c:v>
                </c:pt>
                <c:pt idx="733">
                  <c:v>1846.5218452099998</c:v>
                </c:pt>
                <c:pt idx="734">
                  <c:v>1847.3862787099999</c:v>
                </c:pt>
                <c:pt idx="735">
                  <c:v>1848.07128268</c:v>
                </c:pt>
                <c:pt idx="736">
                  <c:v>1848.16387889</c:v>
                </c:pt>
                <c:pt idx="737">
                  <c:v>1848.3773658</c:v>
                </c:pt>
                <c:pt idx="738">
                  <c:v>1848.31904362</c:v>
                </c:pt>
                <c:pt idx="739">
                  <c:v>1848.21860468</c:v>
                </c:pt>
                <c:pt idx="740">
                  <c:v>1848.2764502299999</c:v>
                </c:pt>
                <c:pt idx="741">
                  <c:v>1847.51921515</c:v>
                </c:pt>
                <c:pt idx="742">
                  <c:v>1846.6222841499998</c:v>
                </c:pt>
                <c:pt idx="743">
                  <c:v>1845.3270204599999</c:v>
                </c:pt>
                <c:pt idx="744">
                  <c:v>1843.9047565399999</c:v>
                </c:pt>
                <c:pt idx="745">
                  <c:v>1843.1833553699998</c:v>
                </c:pt>
                <c:pt idx="746">
                  <c:v>1842.87250595</c:v>
                </c:pt>
                <c:pt idx="747">
                  <c:v>1843.1194436199999</c:v>
                </c:pt>
                <c:pt idx="748">
                  <c:v>1843.32196804</c:v>
                </c:pt>
                <c:pt idx="749">
                  <c:v>1843.67445759</c:v>
                </c:pt>
                <c:pt idx="750">
                  <c:v>1843.9799340899999</c:v>
                </c:pt>
                <c:pt idx="751">
                  <c:v>1844.2262651399999</c:v>
                </c:pt>
                <c:pt idx="752">
                  <c:v>1844.2262651399999</c:v>
                </c:pt>
                <c:pt idx="753">
                  <c:v>1843.6989390399999</c:v>
                </c:pt>
                <c:pt idx="754">
                  <c:v>1843.07407711</c:v>
                </c:pt>
                <c:pt idx="755">
                  <c:v>1843.07407711</c:v>
                </c:pt>
                <c:pt idx="756">
                  <c:v>1843.1333958799999</c:v>
                </c:pt>
                <c:pt idx="757">
                  <c:v>1842.9031402599999</c:v>
                </c:pt>
                <c:pt idx="758">
                  <c:v>1842.7976750399998</c:v>
                </c:pt>
                <c:pt idx="759">
                  <c:v>1842.88793143</c:v>
                </c:pt>
                <c:pt idx="760">
                  <c:v>1843.0608614599998</c:v>
                </c:pt>
                <c:pt idx="761">
                  <c:v>1843.36477808</c:v>
                </c:pt>
                <c:pt idx="762">
                  <c:v>1843.51023689</c:v>
                </c:pt>
                <c:pt idx="763">
                  <c:v>1843.5604996899999</c:v>
                </c:pt>
                <c:pt idx="764">
                  <c:v>1843.4602340699998</c:v>
                </c:pt>
                <c:pt idx="765">
                  <c:v>1843.37886033</c:v>
                </c:pt>
                <c:pt idx="766">
                  <c:v>1843.3288141799999</c:v>
                </c:pt>
                <c:pt idx="767">
                  <c:v>1843.1713962899998</c:v>
                </c:pt>
                <c:pt idx="768">
                  <c:v>1842.84221828</c:v>
                </c:pt>
                <c:pt idx="769">
                  <c:v>1842.5175899199999</c:v>
                </c:pt>
                <c:pt idx="770">
                  <c:v>1842.2000243499999</c:v>
                </c:pt>
                <c:pt idx="771">
                  <c:v>1842.6845837399999</c:v>
                </c:pt>
                <c:pt idx="772">
                  <c:v>1843.4573309599998</c:v>
                </c:pt>
                <c:pt idx="773">
                  <c:v>1844.3158282499999</c:v>
                </c:pt>
                <c:pt idx="774">
                  <c:v>1845.3113349999999</c:v>
                </c:pt>
                <c:pt idx="775">
                  <c:v>1846.3299366399999</c:v>
                </c:pt>
                <c:pt idx="776">
                  <c:v>1847.2749639399999</c:v>
                </c:pt>
                <c:pt idx="777">
                  <c:v>1848.1097163899999</c:v>
                </c:pt>
                <c:pt idx="778">
                  <c:v>1849.1056131099999</c:v>
                </c:pt>
                <c:pt idx="779">
                  <c:v>1850.1200984</c:v>
                </c:pt>
                <c:pt idx="780">
                  <c:v>1851.1981487999999</c:v>
                </c:pt>
                <c:pt idx="781">
                  <c:v>1851.1981487999999</c:v>
                </c:pt>
                <c:pt idx="782">
                  <c:v>1852.3758148699999</c:v>
                </c:pt>
                <c:pt idx="783">
                  <c:v>1852.3758148699999</c:v>
                </c:pt>
                <c:pt idx="784">
                  <c:v>1853.3274716599999</c:v>
                </c:pt>
                <c:pt idx="785">
                  <c:v>1854.0195384199999</c:v>
                </c:pt>
                <c:pt idx="786">
                  <c:v>1854.0195384199999</c:v>
                </c:pt>
                <c:pt idx="787">
                  <c:v>1854.26435292</c:v>
                </c:pt>
                <c:pt idx="788">
                  <c:v>1854.1248736499999</c:v>
                </c:pt>
                <c:pt idx="789">
                  <c:v>1853.99570692</c:v>
                </c:pt>
                <c:pt idx="790">
                  <c:v>1852.5431986599999</c:v>
                </c:pt>
                <c:pt idx="791">
                  <c:v>1852.5431986599999</c:v>
                </c:pt>
                <c:pt idx="792">
                  <c:v>1851.74532004</c:v>
                </c:pt>
                <c:pt idx="793">
                  <c:v>1850.90060169</c:v>
                </c:pt>
                <c:pt idx="794">
                  <c:v>1850.20896823</c:v>
                </c:pt>
                <c:pt idx="795">
                  <c:v>1849.3818418599999</c:v>
                </c:pt>
                <c:pt idx="796">
                  <c:v>1848.8610152599999</c:v>
                </c:pt>
                <c:pt idx="797">
                  <c:v>1848.4622059399999</c:v>
                </c:pt>
                <c:pt idx="798">
                  <c:v>1848.2385798099999</c:v>
                </c:pt>
                <c:pt idx="799">
                  <c:v>1848.11114628</c:v>
                </c:pt>
                <c:pt idx="800">
                  <c:v>1848.0981906099998</c:v>
                </c:pt>
                <c:pt idx="801">
                  <c:v>1848.4013272899999</c:v>
                </c:pt>
                <c:pt idx="802">
                  <c:v>1849.4620890199999</c:v>
                </c:pt>
                <c:pt idx="803">
                  <c:v>1850.8242108999998</c:v>
                </c:pt>
                <c:pt idx="804">
                  <c:v>1852.3947934099999</c:v>
                </c:pt>
                <c:pt idx="805">
                  <c:v>1854.1952848999999</c:v>
                </c:pt>
                <c:pt idx="806">
                  <c:v>1855.5390781899998</c:v>
                </c:pt>
                <c:pt idx="807">
                  <c:v>1856.9037998699998</c:v>
                </c:pt>
                <c:pt idx="808">
                  <c:v>1858.00364526</c:v>
                </c:pt>
                <c:pt idx="809">
                  <c:v>1858.65597841</c:v>
                </c:pt>
                <c:pt idx="810">
                  <c:v>1859.13507822</c:v>
                </c:pt>
                <c:pt idx="811">
                  <c:v>1858.93433033</c:v>
                </c:pt>
                <c:pt idx="812">
                  <c:v>1858.33646299</c:v>
                </c:pt>
                <c:pt idx="813">
                  <c:v>1859.43466184</c:v>
                </c:pt>
                <c:pt idx="814">
                  <c:v>1861.1328078699999</c:v>
                </c:pt>
                <c:pt idx="815">
                  <c:v>1862.9790991699999</c:v>
                </c:pt>
                <c:pt idx="816">
                  <c:v>1865.31935247</c:v>
                </c:pt>
                <c:pt idx="817">
                  <c:v>1868.0320271199998</c:v>
                </c:pt>
                <c:pt idx="818">
                  <c:v>1867.1789027499999</c:v>
                </c:pt>
                <c:pt idx="819">
                  <c:v>1864.43836691</c:v>
                </c:pt>
                <c:pt idx="820">
                  <c:v>1864.1701975399999</c:v>
                </c:pt>
                <c:pt idx="821">
                  <c:v>1865.1362398899998</c:v>
                </c:pt>
                <c:pt idx="822">
                  <c:v>1867.2275623399998</c:v>
                </c:pt>
                <c:pt idx="823">
                  <c:v>1869.9948761199998</c:v>
                </c:pt>
                <c:pt idx="824">
                  <c:v>1872.8231552099999</c:v>
                </c:pt>
                <c:pt idx="825">
                  <c:v>1874.60696465</c:v>
                </c:pt>
                <c:pt idx="826">
                  <c:v>1876.9668897699999</c:v>
                </c:pt>
                <c:pt idx="827">
                  <c:v>1877.92032309</c:v>
                </c:pt>
                <c:pt idx="828">
                  <c:v>1878.47113405</c:v>
                </c:pt>
                <c:pt idx="829">
                  <c:v>1880.5510173799998</c:v>
                </c:pt>
                <c:pt idx="830">
                  <c:v>1881.5907640599999</c:v>
                </c:pt>
                <c:pt idx="831">
                  <c:v>1881.2080735</c:v>
                </c:pt>
                <c:pt idx="832">
                  <c:v>1880.76922726</c:v>
                </c:pt>
                <c:pt idx="833">
                  <c:v>1881.42671668</c:v>
                </c:pt>
                <c:pt idx="834">
                  <c:v>1881.2205958699999</c:v>
                </c:pt>
                <c:pt idx="835">
                  <c:v>1878.9712055799998</c:v>
                </c:pt>
                <c:pt idx="836">
                  <c:v>1872.7611066499999</c:v>
                </c:pt>
                <c:pt idx="837">
                  <c:v>1870.2608789899998</c:v>
                </c:pt>
                <c:pt idx="838">
                  <c:v>1868.9937364699999</c:v>
                </c:pt>
                <c:pt idx="839">
                  <c:v>1870.4550407199999</c:v>
                </c:pt>
                <c:pt idx="840">
                  <c:v>1873.5534823599999</c:v>
                </c:pt>
                <c:pt idx="841">
                  <c:v>1876.70452662</c:v>
                </c:pt>
                <c:pt idx="842">
                  <c:v>1878.7120055199998</c:v>
                </c:pt>
                <c:pt idx="843">
                  <c:v>1878.7527357199999</c:v>
                </c:pt>
                <c:pt idx="844">
                  <c:v>1876.03031182</c:v>
                </c:pt>
                <c:pt idx="845">
                  <c:v>1871.5622955399999</c:v>
                </c:pt>
                <c:pt idx="846">
                  <c:v>1868.7441123399999</c:v>
                </c:pt>
                <c:pt idx="847">
                  <c:v>1869.4766059900001</c:v>
                </c:pt>
                <c:pt idx="848">
                  <c:v>1869.4766059900001</c:v>
                </c:pt>
                <c:pt idx="849">
                  <c:v>1870.15831688</c:v>
                </c:pt>
                <c:pt idx="850">
                  <c:v>1870.15831688</c:v>
                </c:pt>
                <c:pt idx="851">
                  <c:v>1872.54896297</c:v>
                </c:pt>
                <c:pt idx="852">
                  <c:v>1875.2729034199999</c:v>
                </c:pt>
                <c:pt idx="853">
                  <c:v>1879.0313476199999</c:v>
                </c:pt>
                <c:pt idx="854">
                  <c:v>1880.3637884499999</c:v>
                </c:pt>
                <c:pt idx="855">
                  <c:v>1882.0281370799999</c:v>
                </c:pt>
                <c:pt idx="856">
                  <c:v>1875.5241740899999</c:v>
                </c:pt>
                <c:pt idx="857">
                  <c:v>1872.46516275</c:v>
                </c:pt>
                <c:pt idx="858">
                  <c:v>1870.4470679999999</c:v>
                </c:pt>
                <c:pt idx="859">
                  <c:v>1869.2043635999999</c:v>
                </c:pt>
                <c:pt idx="860">
                  <c:v>1868.13289936</c:v>
                </c:pt>
                <c:pt idx="861">
                  <c:v>1867.86650652</c:v>
                </c:pt>
                <c:pt idx="862">
                  <c:v>1868.74965858</c:v>
                </c:pt>
                <c:pt idx="863">
                  <c:v>1870.12421617</c:v>
                </c:pt>
                <c:pt idx="864">
                  <c:v>1871.25231272</c:v>
                </c:pt>
                <c:pt idx="865">
                  <c:v>1873.3656034799999</c:v>
                </c:pt>
                <c:pt idx="866">
                  <c:v>1876.3603997599998</c:v>
                </c:pt>
                <c:pt idx="867">
                  <c:v>1879.1731233799999</c:v>
                </c:pt>
                <c:pt idx="868">
                  <c:v>1883.1118203799999</c:v>
                </c:pt>
                <c:pt idx="869">
                  <c:v>1882.3412829899999</c:v>
                </c:pt>
                <c:pt idx="870">
                  <c:v>1881.0866628399999</c:v>
                </c:pt>
                <c:pt idx="871">
                  <c:v>1879.2569669299999</c:v>
                </c:pt>
                <c:pt idx="872">
                  <c:v>1876.91125405</c:v>
                </c:pt>
                <c:pt idx="873">
                  <c:v>1874.80441946</c:v>
                </c:pt>
                <c:pt idx="874">
                  <c:v>1872.8741546199999</c:v>
                </c:pt>
                <c:pt idx="875">
                  <c:v>1872.8741546199999</c:v>
                </c:pt>
                <c:pt idx="876">
                  <c:v>1872.8741546199999</c:v>
                </c:pt>
                <c:pt idx="877">
                  <c:v>1871.4415781599998</c:v>
                </c:pt>
                <c:pt idx="878">
                  <c:v>1869.87840508</c:v>
                </c:pt>
                <c:pt idx="879">
                  <c:v>1868.5414145999998</c:v>
                </c:pt>
                <c:pt idx="880">
                  <c:v>1867.74015624</c:v>
                </c:pt>
                <c:pt idx="881">
                  <c:v>1867.63005471</c:v>
                </c:pt>
                <c:pt idx="882">
                  <c:v>1867.3905264699999</c:v>
                </c:pt>
                <c:pt idx="883">
                  <c:v>1867.7792832299999</c:v>
                </c:pt>
                <c:pt idx="884">
                  <c:v>1868.3707810599999</c:v>
                </c:pt>
                <c:pt idx="885">
                  <c:v>1869.35164227</c:v>
                </c:pt>
                <c:pt idx="886">
                  <c:v>1870.8623860499999</c:v>
                </c:pt>
                <c:pt idx="887">
                  <c:v>1872.4207494999998</c:v>
                </c:pt>
                <c:pt idx="888">
                  <c:v>1874.2157380799999</c:v>
                </c:pt>
                <c:pt idx="889">
                  <c:v>1875.2131513499999</c:v>
                </c:pt>
                <c:pt idx="890">
                  <c:v>1876.49129969</c:v>
                </c:pt>
                <c:pt idx="891">
                  <c:v>1878.1419127099998</c:v>
                </c:pt>
                <c:pt idx="892">
                  <c:v>1880.1236102599999</c:v>
                </c:pt>
                <c:pt idx="893">
                  <c:v>1881.4083447599999</c:v>
                </c:pt>
                <c:pt idx="894">
                  <c:v>1883.3100118</c:v>
                </c:pt>
                <c:pt idx="895">
                  <c:v>1886.3876117099999</c:v>
                </c:pt>
                <c:pt idx="896">
                  <c:v>1887.2705471199999</c:v>
                </c:pt>
                <c:pt idx="897">
                  <c:v>1884.30101223</c:v>
                </c:pt>
                <c:pt idx="898">
                  <c:v>1884.30101223</c:v>
                </c:pt>
                <c:pt idx="899">
                  <c:v>1881.1677332699999</c:v>
                </c:pt>
                <c:pt idx="900">
                  <c:v>1879.77887678</c:v>
                </c:pt>
                <c:pt idx="901">
                  <c:v>1877.5121544899998</c:v>
                </c:pt>
                <c:pt idx="902">
                  <c:v>1877.5121544899998</c:v>
                </c:pt>
                <c:pt idx="903">
                  <c:v>1875.3794952199999</c:v>
                </c:pt>
                <c:pt idx="904">
                  <c:v>1873.38003237</c:v>
                </c:pt>
                <c:pt idx="905">
                  <c:v>1873.2019027399999</c:v>
                </c:pt>
                <c:pt idx="906">
                  <c:v>1873.8281078999998</c:v>
                </c:pt>
                <c:pt idx="907">
                  <c:v>1874.2798231499999</c:v>
                </c:pt>
                <c:pt idx="908">
                  <c:v>1875.6309825399999</c:v>
                </c:pt>
                <c:pt idx="909">
                  <c:v>1877.1133884999999</c:v>
                </c:pt>
                <c:pt idx="910">
                  <c:v>1878.1220675699999</c:v>
                </c:pt>
                <c:pt idx="911">
                  <c:v>1879.48977902</c:v>
                </c:pt>
                <c:pt idx="912">
                  <c:v>1879.8132808</c:v>
                </c:pt>
                <c:pt idx="913">
                  <c:v>1881.1153472999999</c:v>
                </c:pt>
                <c:pt idx="914">
                  <c:v>1879.9078268599999</c:v>
                </c:pt>
                <c:pt idx="915">
                  <c:v>1880.1457518899999</c:v>
                </c:pt>
                <c:pt idx="916">
                  <c:v>1877.22669645</c:v>
                </c:pt>
                <c:pt idx="917">
                  <c:v>1873.5504059299999</c:v>
                </c:pt>
                <c:pt idx="918">
                  <c:v>1870.8940169499999</c:v>
                </c:pt>
                <c:pt idx="919">
                  <c:v>1868.03952321</c:v>
                </c:pt>
                <c:pt idx="920">
                  <c:v>1864.7875633799999</c:v>
                </c:pt>
                <c:pt idx="921">
                  <c:v>1859.87892433</c:v>
                </c:pt>
                <c:pt idx="922">
                  <c:v>1853.78724629</c:v>
                </c:pt>
                <c:pt idx="923">
                  <c:v>1850.2439788699999</c:v>
                </c:pt>
                <c:pt idx="924">
                  <c:v>1849.7085933899998</c:v>
                </c:pt>
                <c:pt idx="925">
                  <c:v>1851.2163907299998</c:v>
                </c:pt>
                <c:pt idx="926">
                  <c:v>1853.3839739799998</c:v>
                </c:pt>
                <c:pt idx="927">
                  <c:v>1855.4814059599998</c:v>
                </c:pt>
                <c:pt idx="928">
                  <c:v>1855.7306401199999</c:v>
                </c:pt>
                <c:pt idx="929">
                  <c:v>1855.4181441599999</c:v>
                </c:pt>
                <c:pt idx="930">
                  <c:v>1854.82816288</c:v>
                </c:pt>
                <c:pt idx="931">
                  <c:v>1855.0552120799998</c:v>
                </c:pt>
                <c:pt idx="932">
                  <c:v>1854.76815083</c:v>
                </c:pt>
                <c:pt idx="933">
                  <c:v>1852.4806301399999</c:v>
                </c:pt>
                <c:pt idx="934">
                  <c:v>1852.4806301399999</c:v>
                </c:pt>
                <c:pt idx="935">
                  <c:v>1850.5770132499999</c:v>
                </c:pt>
                <c:pt idx="936">
                  <c:v>1848.5980888199999</c:v>
                </c:pt>
                <c:pt idx="937">
                  <c:v>1848.5980888199999</c:v>
                </c:pt>
                <c:pt idx="938">
                  <c:v>1847.2980155</c:v>
                </c:pt>
                <c:pt idx="939">
                  <c:v>1846.2104324999998</c:v>
                </c:pt>
                <c:pt idx="940">
                  <c:v>1845.1804783999999</c:v>
                </c:pt>
                <c:pt idx="941">
                  <c:v>1844.3005327599999</c:v>
                </c:pt>
                <c:pt idx="942">
                  <c:v>1843.64416992</c:v>
                </c:pt>
                <c:pt idx="943">
                  <c:v>1843.2322749399998</c:v>
                </c:pt>
                <c:pt idx="944">
                  <c:v>1843.1017216499999</c:v>
                </c:pt>
                <c:pt idx="945">
                  <c:v>1843.6626285</c:v>
                </c:pt>
                <c:pt idx="946">
                  <c:v>1844.44157191</c:v>
                </c:pt>
                <c:pt idx="947">
                  <c:v>1845.48240184</c:v>
                </c:pt>
                <c:pt idx="948">
                  <c:v>1846.4496141</c:v>
                </c:pt>
                <c:pt idx="949">
                  <c:v>1847.1023805499999</c:v>
                </c:pt>
                <c:pt idx="950">
                  <c:v>1847.61757425</c:v>
                </c:pt>
                <c:pt idx="951">
                  <c:v>1848.0792987299999</c:v>
                </c:pt>
                <c:pt idx="952">
                  <c:v>1848.51459191</c:v>
                </c:pt>
                <c:pt idx="953">
                  <c:v>1848.4827010299998</c:v>
                </c:pt>
                <c:pt idx="954">
                  <c:v>1848.7098802199998</c:v>
                </c:pt>
                <c:pt idx="955">
                  <c:v>1849.00404759</c:v>
                </c:pt>
                <c:pt idx="956">
                  <c:v>1848.9676070599999</c:v>
                </c:pt>
                <c:pt idx="957">
                  <c:v>1848.6979211399998</c:v>
                </c:pt>
                <c:pt idx="958">
                  <c:v>1848.74341764</c:v>
                </c:pt>
                <c:pt idx="959">
                  <c:v>1848.8117923799998</c:v>
                </c:pt>
                <c:pt idx="960">
                  <c:v>1849.16259206</c:v>
                </c:pt>
                <c:pt idx="961">
                  <c:v>1849.70157393</c:v>
                </c:pt>
                <c:pt idx="962">
                  <c:v>1850.53935948</c:v>
                </c:pt>
                <c:pt idx="963">
                  <c:v>1851.3450808299999</c:v>
                </c:pt>
                <c:pt idx="964">
                  <c:v>1852.17701683</c:v>
                </c:pt>
                <c:pt idx="965">
                  <c:v>1852.9065640399999</c:v>
                </c:pt>
                <c:pt idx="966">
                  <c:v>1854.4140147399999</c:v>
                </c:pt>
                <c:pt idx="967">
                  <c:v>1855.4530681399999</c:v>
                </c:pt>
                <c:pt idx="968">
                  <c:v>1856.6177352099999</c:v>
                </c:pt>
                <c:pt idx="969">
                  <c:v>1857.78231562</c:v>
                </c:pt>
                <c:pt idx="970">
                  <c:v>1859.86497207</c:v>
                </c:pt>
                <c:pt idx="971">
                  <c:v>1862.3593501799999</c:v>
                </c:pt>
                <c:pt idx="972">
                  <c:v>1864.5952648399998</c:v>
                </c:pt>
                <c:pt idx="973">
                  <c:v>1866.79300577</c:v>
                </c:pt>
                <c:pt idx="974">
                  <c:v>1868.5082671499999</c:v>
                </c:pt>
                <c:pt idx="975">
                  <c:v>1869.8711689699999</c:v>
                </c:pt>
                <c:pt idx="976">
                  <c:v>1870.81519968</c:v>
                </c:pt>
                <c:pt idx="977">
                  <c:v>1871.6683240499999</c:v>
                </c:pt>
                <c:pt idx="978">
                  <c:v>1872.2953091499999</c:v>
                </c:pt>
                <c:pt idx="979">
                  <c:v>1872.9596880399999</c:v>
                </c:pt>
                <c:pt idx="980">
                  <c:v>1873.8921063099999</c:v>
                </c:pt>
                <c:pt idx="981">
                  <c:v>1874.7148130199998</c:v>
                </c:pt>
                <c:pt idx="982">
                  <c:v>1874.7148130199998</c:v>
                </c:pt>
                <c:pt idx="983">
                  <c:v>1875.39817045</c:v>
                </c:pt>
                <c:pt idx="984">
                  <c:v>1875.39817045</c:v>
                </c:pt>
                <c:pt idx="985">
                  <c:v>1876.0333015899998</c:v>
                </c:pt>
                <c:pt idx="986">
                  <c:v>1877.8154211599999</c:v>
                </c:pt>
                <c:pt idx="987">
                  <c:v>1877.04692028</c:v>
                </c:pt>
                <c:pt idx="988">
                  <c:v>1877.6315286399999</c:v>
                </c:pt>
                <c:pt idx="989">
                  <c:v>1878.22406639</c:v>
                </c:pt>
                <c:pt idx="990">
                  <c:v>1878.38477736</c:v>
                </c:pt>
                <c:pt idx="991">
                  <c:v>1879.77584368</c:v>
                </c:pt>
                <c:pt idx="992">
                  <c:v>1879.03472736</c:v>
                </c:pt>
                <c:pt idx="993">
                  <c:v>1878.06140557</c:v>
                </c:pt>
                <c:pt idx="994">
                  <c:v>1877.8110881599998</c:v>
                </c:pt>
                <c:pt idx="995">
                  <c:v>1877.4834266999999</c:v>
                </c:pt>
                <c:pt idx="996">
                  <c:v>1877.4200349099999</c:v>
                </c:pt>
                <c:pt idx="997">
                  <c:v>1877.4278776399999</c:v>
                </c:pt>
                <c:pt idx="998">
                  <c:v>1877.4689544799999</c:v>
                </c:pt>
                <c:pt idx="999">
                  <c:v>1877.5578243099999</c:v>
                </c:pt>
                <c:pt idx="1000">
                  <c:v>1877.7693613699998</c:v>
                </c:pt>
                <c:pt idx="1001">
                  <c:v>1878.1751034899999</c:v>
                </c:pt>
                <c:pt idx="1002">
                  <c:v>1879.1601243799998</c:v>
                </c:pt>
                <c:pt idx="1003">
                  <c:v>1879.1601243799998</c:v>
                </c:pt>
                <c:pt idx="1004">
                  <c:v>1878.57521271</c:v>
                </c:pt>
                <c:pt idx="1005">
                  <c:v>1878.57521271</c:v>
                </c:pt>
                <c:pt idx="1006">
                  <c:v>1878.4300138799999</c:v>
                </c:pt>
                <c:pt idx="1007">
                  <c:v>1877.22574319</c:v>
                </c:pt>
                <c:pt idx="1008">
                  <c:v>1875.8582050599998</c:v>
                </c:pt>
                <c:pt idx="1009">
                  <c:v>1874.5977786899998</c:v>
                </c:pt>
                <c:pt idx="1010">
                  <c:v>1872.67306009</c:v>
                </c:pt>
                <c:pt idx="1011">
                  <c:v>1870.6489858</c:v>
                </c:pt>
                <c:pt idx="1012">
                  <c:v>1868.52590246</c:v>
                </c:pt>
                <c:pt idx="1013">
                  <c:v>1867.4205974899999</c:v>
                </c:pt>
                <c:pt idx="1014">
                  <c:v>1868.2435641799998</c:v>
                </c:pt>
                <c:pt idx="1015">
                  <c:v>1869.99639267</c:v>
                </c:pt>
                <c:pt idx="1016">
                  <c:v>1871.47286242</c:v>
                </c:pt>
                <c:pt idx="1017">
                  <c:v>1872.67496661</c:v>
                </c:pt>
                <c:pt idx="1018">
                  <c:v>1873.8256814199999</c:v>
                </c:pt>
                <c:pt idx="1019">
                  <c:v>1873.0107307799999</c:v>
                </c:pt>
                <c:pt idx="1020">
                  <c:v>1871.72248655</c:v>
                </c:pt>
                <c:pt idx="1021">
                  <c:v>1870.1958839899999</c:v>
                </c:pt>
                <c:pt idx="1022">
                  <c:v>1868.7311999999999</c:v>
                </c:pt>
                <c:pt idx="1023">
                  <c:v>1867.1127811699998</c:v>
                </c:pt>
                <c:pt idx="1024">
                  <c:v>1865.5577108</c:v>
                </c:pt>
                <c:pt idx="1025">
                  <c:v>1863.94414493</c:v>
                </c:pt>
                <c:pt idx="1026">
                  <c:v>1861.9755330399998</c:v>
                </c:pt>
                <c:pt idx="1027">
                  <c:v>1860.3744462099999</c:v>
                </c:pt>
                <c:pt idx="1028">
                  <c:v>1858.6594881399999</c:v>
                </c:pt>
                <c:pt idx="1029">
                  <c:v>1859.41525</c:v>
                </c:pt>
                <c:pt idx="1030">
                  <c:v>1860.3484915399999</c:v>
                </c:pt>
                <c:pt idx="1031">
                  <c:v>1860.89904252</c:v>
                </c:pt>
                <c:pt idx="1032">
                  <c:v>1861.46380574</c:v>
                </c:pt>
                <c:pt idx="1033">
                  <c:v>1861.5328737599998</c:v>
                </c:pt>
                <c:pt idx="1034">
                  <c:v>1861.4577828699998</c:v>
                </c:pt>
                <c:pt idx="1035">
                  <c:v>1861.0168134599999</c:v>
                </c:pt>
                <c:pt idx="1036">
                  <c:v>1860.5443431399999</c:v>
                </c:pt>
                <c:pt idx="1037">
                  <c:v>1860.0710928799999</c:v>
                </c:pt>
                <c:pt idx="1038">
                  <c:v>1859.5617487299999</c:v>
                </c:pt>
                <c:pt idx="1039">
                  <c:v>1860.05549408</c:v>
                </c:pt>
                <c:pt idx="1040">
                  <c:v>1860.6886753699998</c:v>
                </c:pt>
                <c:pt idx="1041">
                  <c:v>1861.9073749499998</c:v>
                </c:pt>
                <c:pt idx="1042">
                  <c:v>1863.1070959899998</c:v>
                </c:pt>
                <c:pt idx="1043">
                  <c:v>1864.6190963399999</c:v>
                </c:pt>
                <c:pt idx="1044">
                  <c:v>1866.16857714</c:v>
                </c:pt>
                <c:pt idx="1045">
                  <c:v>1867.37306448</c:v>
                </c:pt>
                <c:pt idx="1046">
                  <c:v>1868.3355970999999</c:v>
                </c:pt>
                <c:pt idx="1047">
                  <c:v>1869.1879848599999</c:v>
                </c:pt>
                <c:pt idx="1048">
                  <c:v>1869.97620089</c:v>
                </c:pt>
                <c:pt idx="1049">
                  <c:v>1870.8915471399998</c:v>
                </c:pt>
                <c:pt idx="1050">
                  <c:v>1871.30357211</c:v>
                </c:pt>
                <c:pt idx="1051">
                  <c:v>1872.04226195</c:v>
                </c:pt>
                <c:pt idx="1052">
                  <c:v>1870.49711415</c:v>
                </c:pt>
                <c:pt idx="1053">
                  <c:v>1870.3009592399999</c:v>
                </c:pt>
                <c:pt idx="1054">
                  <c:v>1870.3770900499999</c:v>
                </c:pt>
                <c:pt idx="1055">
                  <c:v>1870.6352501899999</c:v>
                </c:pt>
                <c:pt idx="1056">
                  <c:v>1870.77841251</c:v>
                </c:pt>
                <c:pt idx="1057">
                  <c:v>1870.4793921799999</c:v>
                </c:pt>
                <c:pt idx="1058">
                  <c:v>1870.92478125</c:v>
                </c:pt>
                <c:pt idx="1059">
                  <c:v>1871.36549068</c:v>
                </c:pt>
                <c:pt idx="1060">
                  <c:v>1871.6708805199999</c:v>
                </c:pt>
                <c:pt idx="1061">
                  <c:v>1871.9796500999998</c:v>
                </c:pt>
                <c:pt idx="1062">
                  <c:v>1872.3934949299999</c:v>
                </c:pt>
                <c:pt idx="1063">
                  <c:v>1872.82228861</c:v>
                </c:pt>
                <c:pt idx="1064">
                  <c:v>1873.7511971499998</c:v>
                </c:pt>
                <c:pt idx="1065">
                  <c:v>1874.66766998</c:v>
                </c:pt>
                <c:pt idx="1066">
                  <c:v>1875.1268813199999</c:v>
                </c:pt>
                <c:pt idx="1067">
                  <c:v>1875.84134969</c:v>
                </c:pt>
                <c:pt idx="1068">
                  <c:v>1876.51695105</c:v>
                </c:pt>
                <c:pt idx="1069">
                  <c:v>1876.8564415999999</c:v>
                </c:pt>
                <c:pt idx="1070">
                  <c:v>1877.3176461199998</c:v>
                </c:pt>
                <c:pt idx="1071">
                  <c:v>1877.6983868299999</c:v>
                </c:pt>
                <c:pt idx="1072">
                  <c:v>1878.26431996</c:v>
                </c:pt>
                <c:pt idx="1073">
                  <c:v>1878.93788481</c:v>
                </c:pt>
                <c:pt idx="1074">
                  <c:v>1879.51157401</c:v>
                </c:pt>
                <c:pt idx="1075">
                  <c:v>1879.8666200299999</c:v>
                </c:pt>
                <c:pt idx="1076">
                  <c:v>1880.0853065399999</c:v>
                </c:pt>
                <c:pt idx="1077">
                  <c:v>1880.4507084299998</c:v>
                </c:pt>
                <c:pt idx="1078">
                  <c:v>1881.4512847899998</c:v>
                </c:pt>
                <c:pt idx="1079">
                  <c:v>1882.5671189499999</c:v>
                </c:pt>
                <c:pt idx="1080">
                  <c:v>1883.5236287</c:v>
                </c:pt>
                <c:pt idx="1081">
                  <c:v>1885.2521923899999</c:v>
                </c:pt>
                <c:pt idx="1082">
                  <c:v>1886.16446221</c:v>
                </c:pt>
                <c:pt idx="1083">
                  <c:v>1886.16446221</c:v>
                </c:pt>
                <c:pt idx="1084">
                  <c:v>1886.0619001</c:v>
                </c:pt>
                <c:pt idx="1085">
                  <c:v>1886.0619001</c:v>
                </c:pt>
                <c:pt idx="1086">
                  <c:v>1887.9327595099999</c:v>
                </c:pt>
                <c:pt idx="1087">
                  <c:v>1888.3934873999999</c:v>
                </c:pt>
                <c:pt idx="1088">
                  <c:v>1888.2554380199999</c:v>
                </c:pt>
                <c:pt idx="1089">
                  <c:v>1888.4575291399999</c:v>
                </c:pt>
                <c:pt idx="1090">
                  <c:v>1888.7008270899998</c:v>
                </c:pt>
                <c:pt idx="1091">
                  <c:v>1889.94920772</c:v>
                </c:pt>
                <c:pt idx="1092">
                  <c:v>1891.02153856</c:v>
                </c:pt>
                <c:pt idx="1093">
                  <c:v>1893.5509273099999</c:v>
                </c:pt>
                <c:pt idx="1094">
                  <c:v>1892.5855782399999</c:v>
                </c:pt>
                <c:pt idx="1095">
                  <c:v>1891.8972811899998</c:v>
                </c:pt>
                <c:pt idx="1096">
                  <c:v>1891.03349764</c:v>
                </c:pt>
                <c:pt idx="1097">
                  <c:v>1889.7246283299999</c:v>
                </c:pt>
                <c:pt idx="1098">
                  <c:v>1888.1147888399998</c:v>
                </c:pt>
                <c:pt idx="1099">
                  <c:v>1886.55031586</c:v>
                </c:pt>
                <c:pt idx="1100">
                  <c:v>1885.0926513299999</c:v>
                </c:pt>
                <c:pt idx="1101">
                  <c:v>1884.0559377499999</c:v>
                </c:pt>
                <c:pt idx="1102">
                  <c:v>1884.0094446599999</c:v>
                </c:pt>
                <c:pt idx="1103">
                  <c:v>1884.3794828599998</c:v>
                </c:pt>
                <c:pt idx="1104">
                  <c:v>1885.26155167</c:v>
                </c:pt>
                <c:pt idx="1105">
                  <c:v>1885.9245873299999</c:v>
                </c:pt>
                <c:pt idx="1106">
                  <c:v>1886.5004430299998</c:v>
                </c:pt>
                <c:pt idx="1107">
                  <c:v>1886.6347226999999</c:v>
                </c:pt>
                <c:pt idx="1108">
                  <c:v>1886.84946618</c:v>
                </c:pt>
                <c:pt idx="1109">
                  <c:v>1887.4764946099999</c:v>
                </c:pt>
                <c:pt idx="1110">
                  <c:v>1887.4764946099999</c:v>
                </c:pt>
                <c:pt idx="1111">
                  <c:v>1888.3442211899999</c:v>
                </c:pt>
                <c:pt idx="1112">
                  <c:v>1888.3442211899999</c:v>
                </c:pt>
                <c:pt idx="1113">
                  <c:v>1888.64376148</c:v>
                </c:pt>
                <c:pt idx="1114">
                  <c:v>1889.15722198</c:v>
                </c:pt>
                <c:pt idx="1115">
                  <c:v>1890.57935591</c:v>
                </c:pt>
                <c:pt idx="1116">
                  <c:v>1888.87852342</c:v>
                </c:pt>
                <c:pt idx="1117">
                  <c:v>1888.1293910499999</c:v>
                </c:pt>
                <c:pt idx="1118">
                  <c:v>1887.00146782</c:v>
                </c:pt>
                <c:pt idx="1119">
                  <c:v>1885.5467497299999</c:v>
                </c:pt>
                <c:pt idx="1120">
                  <c:v>1883.9604384299998</c:v>
                </c:pt>
                <c:pt idx="1121">
                  <c:v>1882.32724407</c:v>
                </c:pt>
                <c:pt idx="1122">
                  <c:v>1880.7775466199998</c:v>
                </c:pt>
                <c:pt idx="1123">
                  <c:v>1879.6671287099998</c:v>
                </c:pt>
                <c:pt idx="1124">
                  <c:v>1879.3284180999999</c:v>
                </c:pt>
                <c:pt idx="1125">
                  <c:v>1880.3763108199998</c:v>
                </c:pt>
                <c:pt idx="1126">
                  <c:v>1881.7528615899998</c:v>
                </c:pt>
                <c:pt idx="1127">
                  <c:v>1883.20649643</c:v>
                </c:pt>
                <c:pt idx="1128">
                  <c:v>1884.61667128</c:v>
                </c:pt>
                <c:pt idx="1129">
                  <c:v>1885.93303668</c:v>
                </c:pt>
                <c:pt idx="1130">
                  <c:v>1886.7439142999999</c:v>
                </c:pt>
                <c:pt idx="1131">
                  <c:v>1885.79815039</c:v>
                </c:pt>
                <c:pt idx="1132">
                  <c:v>1884.37324334</c:v>
                </c:pt>
                <c:pt idx="1133">
                  <c:v>1883.1744322299999</c:v>
                </c:pt>
                <c:pt idx="1134">
                  <c:v>1881.5109068699999</c:v>
                </c:pt>
                <c:pt idx="1135">
                  <c:v>1879.49831503</c:v>
                </c:pt>
                <c:pt idx="1136">
                  <c:v>1877.0835341299999</c:v>
                </c:pt>
                <c:pt idx="1137">
                  <c:v>1875.6394752199999</c:v>
                </c:pt>
                <c:pt idx="1138">
                  <c:v>1875.1472030899999</c:v>
                </c:pt>
                <c:pt idx="1139">
                  <c:v>1874.9171207899999</c:v>
                </c:pt>
                <c:pt idx="1140">
                  <c:v>1874.9111412499999</c:v>
                </c:pt>
                <c:pt idx="1141">
                  <c:v>1875.2801395299998</c:v>
                </c:pt>
                <c:pt idx="1142">
                  <c:v>1876.0423142299999</c:v>
                </c:pt>
                <c:pt idx="1143">
                  <c:v>1877.1546386599998</c:v>
                </c:pt>
                <c:pt idx="1144">
                  <c:v>1878.5100010599999</c:v>
                </c:pt>
                <c:pt idx="1145">
                  <c:v>1879.75032231</c:v>
                </c:pt>
                <c:pt idx="1146">
                  <c:v>1880.6624621399999</c:v>
                </c:pt>
                <c:pt idx="1147">
                  <c:v>1881.60211652</c:v>
                </c:pt>
                <c:pt idx="1148">
                  <c:v>1882.5797279799999</c:v>
                </c:pt>
                <c:pt idx="1149">
                  <c:v>1883.66289132</c:v>
                </c:pt>
                <c:pt idx="1150">
                  <c:v>1884.10143425</c:v>
                </c:pt>
                <c:pt idx="1151">
                  <c:v>1884.5236851</c:v>
                </c:pt>
                <c:pt idx="1152">
                  <c:v>1884.7193200499999</c:v>
                </c:pt>
                <c:pt idx="1153">
                  <c:v>1884.8267784499999</c:v>
                </c:pt>
                <c:pt idx="1154">
                  <c:v>1884.69756839</c:v>
                </c:pt>
                <c:pt idx="1155">
                  <c:v>1884.2741042999999</c:v>
                </c:pt>
                <c:pt idx="1156">
                  <c:v>1883.6714273299999</c:v>
                </c:pt>
                <c:pt idx="1157">
                  <c:v>1883.0715668099999</c:v>
                </c:pt>
                <c:pt idx="1158">
                  <c:v>1882.89681692</c:v>
                </c:pt>
                <c:pt idx="1159">
                  <c:v>1883.5296948999999</c:v>
                </c:pt>
                <c:pt idx="1160">
                  <c:v>1883.87954132</c:v>
                </c:pt>
                <c:pt idx="1161">
                  <c:v>1884.5916265399999</c:v>
                </c:pt>
                <c:pt idx="1162">
                  <c:v>1886.2669376599999</c:v>
                </c:pt>
                <c:pt idx="1163">
                  <c:v>1887.9245268099999</c:v>
                </c:pt>
                <c:pt idx="1164">
                  <c:v>1888.3761987299999</c:v>
                </c:pt>
                <c:pt idx="1165">
                  <c:v>1888.3627230999998</c:v>
                </c:pt>
                <c:pt idx="1166">
                  <c:v>1888.1439065999998</c:v>
                </c:pt>
                <c:pt idx="1167">
                  <c:v>1887.7273753099998</c:v>
                </c:pt>
                <c:pt idx="1168">
                  <c:v>1888.2851624</c:v>
                </c:pt>
                <c:pt idx="1169">
                  <c:v>1888.3267592</c:v>
                </c:pt>
                <c:pt idx="1170">
                  <c:v>1888.83133705</c:v>
                </c:pt>
                <c:pt idx="1171">
                  <c:v>1890.20589464</c:v>
                </c:pt>
                <c:pt idx="1172">
                  <c:v>1890.20589464</c:v>
                </c:pt>
                <c:pt idx="1173">
                  <c:v>1890.8451421299999</c:v>
                </c:pt>
                <c:pt idx="1174">
                  <c:v>1890.8451421299999</c:v>
                </c:pt>
                <c:pt idx="1175">
                  <c:v>1892.07415425</c:v>
                </c:pt>
                <c:pt idx="1176">
                  <c:v>1892.07415425</c:v>
                </c:pt>
                <c:pt idx="1177">
                  <c:v>1892.47006046</c:v>
                </c:pt>
                <c:pt idx="1178">
                  <c:v>1892.47006046</c:v>
                </c:pt>
                <c:pt idx="1179">
                  <c:v>1893.60201338</c:v>
                </c:pt>
                <c:pt idx="1180">
                  <c:v>1895.39652533</c:v>
                </c:pt>
                <c:pt idx="1181">
                  <c:v>1897.16863567</c:v>
                </c:pt>
                <c:pt idx="1182">
                  <c:v>1898.4307085799999</c:v>
                </c:pt>
                <c:pt idx="1183">
                  <c:v>1900.5306970299998</c:v>
                </c:pt>
                <c:pt idx="1184">
                  <c:v>1902.6024776499999</c:v>
                </c:pt>
                <c:pt idx="1185">
                  <c:v>1904.7386899799999</c:v>
                </c:pt>
                <c:pt idx="1186">
                  <c:v>1906.3737908599999</c:v>
                </c:pt>
                <c:pt idx="1187">
                  <c:v>1908.51884251</c:v>
                </c:pt>
                <c:pt idx="1188">
                  <c:v>1905.8837718899999</c:v>
                </c:pt>
                <c:pt idx="1189">
                  <c:v>1903.3328914599999</c:v>
                </c:pt>
                <c:pt idx="1190">
                  <c:v>1900.5856827999999</c:v>
                </c:pt>
                <c:pt idx="1191">
                  <c:v>1899.76479595</c:v>
                </c:pt>
                <c:pt idx="1192">
                  <c:v>1900.1813705699999</c:v>
                </c:pt>
                <c:pt idx="1193">
                  <c:v>1901.20976479</c:v>
                </c:pt>
                <c:pt idx="1194">
                  <c:v>1903.12330425</c:v>
                </c:pt>
                <c:pt idx="1195">
                  <c:v>1906.4255702099999</c:v>
                </c:pt>
                <c:pt idx="1196">
                  <c:v>1909.2347407699999</c:v>
                </c:pt>
                <c:pt idx="1197">
                  <c:v>1911.12193559</c:v>
                </c:pt>
                <c:pt idx="1198">
                  <c:v>1912.76223607</c:v>
                </c:pt>
                <c:pt idx="1199">
                  <c:v>1914.1793437199999</c:v>
                </c:pt>
                <c:pt idx="1200">
                  <c:v>1915.53990572</c:v>
                </c:pt>
                <c:pt idx="1201">
                  <c:v>1917.00532632</c:v>
                </c:pt>
                <c:pt idx="1202">
                  <c:v>1918.46437741</c:v>
                </c:pt>
                <c:pt idx="1203">
                  <c:v>1917.7331836599999</c:v>
                </c:pt>
                <c:pt idx="1204">
                  <c:v>1915.8992414099998</c:v>
                </c:pt>
                <c:pt idx="1205">
                  <c:v>1915.61322008</c:v>
                </c:pt>
                <c:pt idx="1206">
                  <c:v>1915.50762487</c:v>
                </c:pt>
                <c:pt idx="1207">
                  <c:v>1915.84425564</c:v>
                </c:pt>
                <c:pt idx="1208">
                  <c:v>1915.1816099499999</c:v>
                </c:pt>
                <c:pt idx="1209">
                  <c:v>1914.0475771899999</c:v>
                </c:pt>
                <c:pt idx="1210">
                  <c:v>1913.23986266</c:v>
                </c:pt>
                <c:pt idx="1211">
                  <c:v>1912.43288474</c:v>
                </c:pt>
                <c:pt idx="1212">
                  <c:v>1911.6826691199999</c:v>
                </c:pt>
                <c:pt idx="1213">
                  <c:v>1909.8064367899999</c:v>
                </c:pt>
                <c:pt idx="1214">
                  <c:v>1908.0907421099998</c:v>
                </c:pt>
                <c:pt idx="1215">
                  <c:v>1907.83648167</c:v>
                </c:pt>
                <c:pt idx="1216">
                  <c:v>1908.8943836199999</c:v>
                </c:pt>
                <c:pt idx="1217">
                  <c:v>1909.4984471499999</c:v>
                </c:pt>
                <c:pt idx="1218">
                  <c:v>1909.9900259999999</c:v>
                </c:pt>
                <c:pt idx="1219">
                  <c:v>1909.8205190399999</c:v>
                </c:pt>
                <c:pt idx="1220">
                  <c:v>1909.07831947</c:v>
                </c:pt>
                <c:pt idx="1221">
                  <c:v>1908.4977841299999</c:v>
                </c:pt>
                <c:pt idx="1222">
                  <c:v>1908.4977841299999</c:v>
                </c:pt>
                <c:pt idx="1223">
                  <c:v>1909.14951066</c:v>
                </c:pt>
                <c:pt idx="1224">
                  <c:v>1909.14951066</c:v>
                </c:pt>
                <c:pt idx="1225">
                  <c:v>1909.7006682599999</c:v>
                </c:pt>
                <c:pt idx="1226">
                  <c:v>1910.0082679299999</c:v>
                </c:pt>
                <c:pt idx="1227">
                  <c:v>1910.84388698</c:v>
                </c:pt>
                <c:pt idx="1228">
                  <c:v>1912.0141436199999</c:v>
                </c:pt>
                <c:pt idx="1229">
                  <c:v>1912.0141436199999</c:v>
                </c:pt>
                <c:pt idx="1230">
                  <c:v>1914.6151568599998</c:v>
                </c:pt>
                <c:pt idx="1231">
                  <c:v>1917.50526786</c:v>
                </c:pt>
                <c:pt idx="1232">
                  <c:v>1919.4201938799999</c:v>
                </c:pt>
                <c:pt idx="1233">
                  <c:v>1919.4201938799999</c:v>
                </c:pt>
                <c:pt idx="1234">
                  <c:v>1920.9033364499999</c:v>
                </c:pt>
                <c:pt idx="1235">
                  <c:v>1922.6904823</c:v>
                </c:pt>
                <c:pt idx="1236">
                  <c:v>1923.78920111</c:v>
                </c:pt>
                <c:pt idx="1237">
                  <c:v>1924.5050993699999</c:v>
                </c:pt>
                <c:pt idx="1238">
                  <c:v>1925.9533179599998</c:v>
                </c:pt>
                <c:pt idx="1239">
                  <c:v>1928.3370745799998</c:v>
                </c:pt>
                <c:pt idx="1240">
                  <c:v>1927.54790529</c:v>
                </c:pt>
                <c:pt idx="1241">
                  <c:v>1926.5099784699999</c:v>
                </c:pt>
                <c:pt idx="1242">
                  <c:v>1925.7391811</c:v>
                </c:pt>
                <c:pt idx="1243">
                  <c:v>1925.5080588799999</c:v>
                </c:pt>
                <c:pt idx="1244">
                  <c:v>1926.2541148199998</c:v>
                </c:pt>
                <c:pt idx="1245">
                  <c:v>1927.2011353</c:v>
                </c:pt>
                <c:pt idx="1246">
                  <c:v>1929.28383508</c:v>
                </c:pt>
                <c:pt idx="1247">
                  <c:v>1931.1334627899998</c:v>
                </c:pt>
                <c:pt idx="1248">
                  <c:v>1932.9212152599998</c:v>
                </c:pt>
                <c:pt idx="1249">
                  <c:v>1934.5258984799998</c:v>
                </c:pt>
                <c:pt idx="1250">
                  <c:v>1936.24640279</c:v>
                </c:pt>
                <c:pt idx="1251">
                  <c:v>1937.9881821299998</c:v>
                </c:pt>
                <c:pt idx="1252">
                  <c:v>1939.6443847199998</c:v>
                </c:pt>
                <c:pt idx="1253">
                  <c:v>1941.09563641</c:v>
                </c:pt>
                <c:pt idx="1254">
                  <c:v>1944.34906946</c:v>
                </c:pt>
                <c:pt idx="1255">
                  <c:v>1943.8716595199999</c:v>
                </c:pt>
                <c:pt idx="1256">
                  <c:v>1942.7374534399999</c:v>
                </c:pt>
                <c:pt idx="1257">
                  <c:v>1942.86757343</c:v>
                </c:pt>
                <c:pt idx="1258">
                  <c:v>1943.2809416299999</c:v>
                </c:pt>
                <c:pt idx="1259">
                  <c:v>1943.7390697199999</c:v>
                </c:pt>
                <c:pt idx="1260">
                  <c:v>1943.6998560699999</c:v>
                </c:pt>
                <c:pt idx="1261">
                  <c:v>1943.4044321299998</c:v>
                </c:pt>
                <c:pt idx="1262">
                  <c:v>1943.2016477299999</c:v>
                </c:pt>
                <c:pt idx="1263">
                  <c:v>1943.1581877399999</c:v>
                </c:pt>
                <c:pt idx="1264">
                  <c:v>1943.1535514299999</c:v>
                </c:pt>
                <c:pt idx="1265">
                  <c:v>1943.4418692499999</c:v>
                </c:pt>
                <c:pt idx="1266">
                  <c:v>1943.7396330099998</c:v>
                </c:pt>
                <c:pt idx="1267">
                  <c:v>1943.92629865</c:v>
                </c:pt>
                <c:pt idx="1268">
                  <c:v>1944.54661093</c:v>
                </c:pt>
                <c:pt idx="1269">
                  <c:v>1945.70213537</c:v>
                </c:pt>
                <c:pt idx="1270">
                  <c:v>1947.1836747299999</c:v>
                </c:pt>
                <c:pt idx="1271">
                  <c:v>1948.7615366799998</c:v>
                </c:pt>
                <c:pt idx="1272">
                  <c:v>1948.13052189</c:v>
                </c:pt>
                <c:pt idx="1273">
                  <c:v>1949.50169974</c:v>
                </c:pt>
                <c:pt idx="1274">
                  <c:v>1946.4705062599999</c:v>
                </c:pt>
                <c:pt idx="1275">
                  <c:v>1945.93594405</c:v>
                </c:pt>
                <c:pt idx="1276">
                  <c:v>1946.7281464399998</c:v>
                </c:pt>
                <c:pt idx="1277">
                  <c:v>1947.54539357</c:v>
                </c:pt>
                <c:pt idx="1278">
                  <c:v>1948.0677367199999</c:v>
                </c:pt>
                <c:pt idx="1279">
                  <c:v>1948.5266014199999</c:v>
                </c:pt>
                <c:pt idx="1280">
                  <c:v>1948.85590942</c:v>
                </c:pt>
                <c:pt idx="1281">
                  <c:v>1949.3257366099999</c:v>
                </c:pt>
                <c:pt idx="1282">
                  <c:v>1949.7991601899998</c:v>
                </c:pt>
                <c:pt idx="1283">
                  <c:v>1950.1720581699999</c:v>
                </c:pt>
                <c:pt idx="1284">
                  <c:v>1950.50933889</c:v>
                </c:pt>
                <c:pt idx="1285">
                  <c:v>1950.75311347</c:v>
                </c:pt>
                <c:pt idx="1286">
                  <c:v>1951.0108403099998</c:v>
                </c:pt>
                <c:pt idx="1287">
                  <c:v>1951.39669396</c:v>
                </c:pt>
                <c:pt idx="1288">
                  <c:v>1951.6491778699999</c:v>
                </c:pt>
                <c:pt idx="1289">
                  <c:v>1951.6491778699999</c:v>
                </c:pt>
                <c:pt idx="1290">
                  <c:v>1951.8797368</c:v>
                </c:pt>
                <c:pt idx="1291">
                  <c:v>1952.21870739</c:v>
                </c:pt>
                <c:pt idx="1292">
                  <c:v>1952.21870739</c:v>
                </c:pt>
                <c:pt idx="1293">
                  <c:v>1953.3342382399999</c:v>
                </c:pt>
                <c:pt idx="1294">
                  <c:v>1957.45639446</c:v>
                </c:pt>
                <c:pt idx="1295">
                  <c:v>1954.04693008</c:v>
                </c:pt>
                <c:pt idx="1296">
                  <c:v>1953.5570410999999</c:v>
                </c:pt>
                <c:pt idx="1297">
                  <c:v>1953.03430798</c:v>
                </c:pt>
                <c:pt idx="1298">
                  <c:v>1952.67185253</c:v>
                </c:pt>
                <c:pt idx="1299">
                  <c:v>1952.5016089599999</c:v>
                </c:pt>
                <c:pt idx="1300">
                  <c:v>1952.2897252599998</c:v>
                </c:pt>
                <c:pt idx="1301">
                  <c:v>1952.3575800399999</c:v>
                </c:pt>
                <c:pt idx="1302">
                  <c:v>1952.9365988299999</c:v>
                </c:pt>
                <c:pt idx="1303">
                  <c:v>1952.9365988299999</c:v>
                </c:pt>
                <c:pt idx="1304">
                  <c:v>1953.4772272399998</c:v>
                </c:pt>
                <c:pt idx="1305">
                  <c:v>1953.4278743699999</c:v>
                </c:pt>
                <c:pt idx="1306">
                  <c:v>1953.4278743699999</c:v>
                </c:pt>
                <c:pt idx="1307">
                  <c:v>1953.6783650999998</c:v>
                </c:pt>
                <c:pt idx="1308">
                  <c:v>1953.2627870699998</c:v>
                </c:pt>
                <c:pt idx="1309">
                  <c:v>1953.1373467199999</c:v>
                </c:pt>
                <c:pt idx="1310">
                  <c:v>1952.8103352099999</c:v>
                </c:pt>
                <c:pt idx="1311">
                  <c:v>1952.9256796699999</c:v>
                </c:pt>
                <c:pt idx="1312">
                  <c:v>1952.8956953099998</c:v>
                </c:pt>
                <c:pt idx="1313">
                  <c:v>1953.0221755799998</c:v>
                </c:pt>
                <c:pt idx="1314">
                  <c:v>1953.10142615</c:v>
                </c:pt>
                <c:pt idx="1315">
                  <c:v>1953.2181138399999</c:v>
                </c:pt>
                <c:pt idx="1316">
                  <c:v>1953.3426009299999</c:v>
                </c:pt>
                <c:pt idx="1317">
                  <c:v>1953.4536990499998</c:v>
                </c:pt>
                <c:pt idx="1318">
                  <c:v>1953.5829091099999</c:v>
                </c:pt>
                <c:pt idx="1319">
                  <c:v>1953.7433167699999</c:v>
                </c:pt>
                <c:pt idx="1320">
                  <c:v>1953.88062954</c:v>
                </c:pt>
                <c:pt idx="1321">
                  <c:v>1953.7693147699999</c:v>
                </c:pt>
                <c:pt idx="1322">
                  <c:v>1953.7772874899999</c:v>
                </c:pt>
                <c:pt idx="1323">
                  <c:v>1953.9851414999998</c:v>
                </c:pt>
                <c:pt idx="1324">
                  <c:v>1954.3145794899999</c:v>
                </c:pt>
                <c:pt idx="1325">
                  <c:v>1954.5186637899999</c:v>
                </c:pt>
                <c:pt idx="1326">
                  <c:v>1954.71364879</c:v>
                </c:pt>
                <c:pt idx="1327">
                  <c:v>1955.0334675199999</c:v>
                </c:pt>
                <c:pt idx="1328">
                  <c:v>1955.39375647</c:v>
                </c:pt>
                <c:pt idx="1329">
                  <c:v>1955.5136072499999</c:v>
                </c:pt>
                <c:pt idx="1330">
                  <c:v>1955.5090576</c:v>
                </c:pt>
                <c:pt idx="1331">
                  <c:v>1955.70027289</c:v>
                </c:pt>
                <c:pt idx="1332">
                  <c:v>1957.1094078199999</c:v>
                </c:pt>
                <c:pt idx="1333">
                  <c:v>1955.83719569</c:v>
                </c:pt>
                <c:pt idx="1334">
                  <c:v>1956.2414645899999</c:v>
                </c:pt>
                <c:pt idx="1335">
                  <c:v>1955.69866968</c:v>
                </c:pt>
                <c:pt idx="1336">
                  <c:v>1954.8024752899998</c:v>
                </c:pt>
                <c:pt idx="1337">
                  <c:v>1954.7860965499999</c:v>
                </c:pt>
                <c:pt idx="1338">
                  <c:v>1954.22774617</c:v>
                </c:pt>
                <c:pt idx="1339">
                  <c:v>1952.56703726</c:v>
                </c:pt>
                <c:pt idx="1340">
                  <c:v>1950.17491795</c:v>
                </c:pt>
                <c:pt idx="1341">
                  <c:v>1947.2811239</c:v>
                </c:pt>
                <c:pt idx="1342">
                  <c:v>1941.6121733399998</c:v>
                </c:pt>
                <c:pt idx="1343">
                  <c:v>1937.4709085899999</c:v>
                </c:pt>
                <c:pt idx="1344">
                  <c:v>1933.5964699799999</c:v>
                </c:pt>
                <c:pt idx="1345">
                  <c:v>1931.5163699999998</c:v>
                </c:pt>
                <c:pt idx="1346">
                  <c:v>1931.9829474399999</c:v>
                </c:pt>
                <c:pt idx="1347">
                  <c:v>1932.35194572</c:v>
                </c:pt>
                <c:pt idx="1348">
                  <c:v>1931.4863423099998</c:v>
                </c:pt>
                <c:pt idx="1349">
                  <c:v>1929.8365092299998</c:v>
                </c:pt>
                <c:pt idx="1350">
                  <c:v>1928.4868663899999</c:v>
                </c:pt>
                <c:pt idx="1351">
                  <c:v>1927.9339322599999</c:v>
                </c:pt>
                <c:pt idx="1352">
                  <c:v>1928.76781811</c:v>
                </c:pt>
                <c:pt idx="1353">
                  <c:v>1929.66396917</c:v>
                </c:pt>
                <c:pt idx="1354">
                  <c:v>1930.3724146699999</c:v>
                </c:pt>
                <c:pt idx="1355">
                  <c:v>1931.3229882099999</c:v>
                </c:pt>
                <c:pt idx="1356">
                  <c:v>1931.46151422</c:v>
                </c:pt>
                <c:pt idx="1357">
                  <c:v>1931.4464353799999</c:v>
                </c:pt>
                <c:pt idx="1358">
                  <c:v>1930.3091961999999</c:v>
                </c:pt>
                <c:pt idx="1359">
                  <c:v>1928.9735922799998</c:v>
                </c:pt>
                <c:pt idx="1360">
                  <c:v>1927.43793375</c:v>
                </c:pt>
                <c:pt idx="1361">
                  <c:v>1925.8140120099999</c:v>
                </c:pt>
                <c:pt idx="1362">
                  <c:v>1924.17704794</c:v>
                </c:pt>
                <c:pt idx="1363">
                  <c:v>1922.50554986</c:v>
                </c:pt>
                <c:pt idx="1364">
                  <c:v>1920.6567454199999</c:v>
                </c:pt>
                <c:pt idx="1365">
                  <c:v>1918.83666877</c:v>
                </c:pt>
                <c:pt idx="1366">
                  <c:v>1917.12266396</c:v>
                </c:pt>
                <c:pt idx="1367">
                  <c:v>1915.50281524</c:v>
                </c:pt>
                <c:pt idx="1368">
                  <c:v>1914.5772431099999</c:v>
                </c:pt>
                <c:pt idx="1369">
                  <c:v>1914.1801669899999</c:v>
                </c:pt>
                <c:pt idx="1370">
                  <c:v>1914.0657757899999</c:v>
                </c:pt>
                <c:pt idx="1371">
                  <c:v>1913.87157073</c:v>
                </c:pt>
                <c:pt idx="1372">
                  <c:v>1913.87157073</c:v>
                </c:pt>
                <c:pt idx="1373">
                  <c:v>1914.84874889</c:v>
                </c:pt>
                <c:pt idx="1374">
                  <c:v>1915.97277242</c:v>
                </c:pt>
                <c:pt idx="1375">
                  <c:v>1916.6940002699998</c:v>
                </c:pt>
                <c:pt idx="1376">
                  <c:v>1916.65101691</c:v>
                </c:pt>
                <c:pt idx="1377">
                  <c:v>1915.4523791199999</c:v>
                </c:pt>
                <c:pt idx="1378">
                  <c:v>1915.4523791199999</c:v>
                </c:pt>
                <c:pt idx="1379">
                  <c:v>1914.1991022</c:v>
                </c:pt>
                <c:pt idx="1380">
                  <c:v>1912.68957166</c:v>
                </c:pt>
                <c:pt idx="1381">
                  <c:v>1912.8042661699999</c:v>
                </c:pt>
                <c:pt idx="1382">
                  <c:v>1912.8042661699999</c:v>
                </c:pt>
                <c:pt idx="1383">
                  <c:v>1913.3562903699999</c:v>
                </c:pt>
                <c:pt idx="1384">
                  <c:v>1914.7314979099999</c:v>
                </c:pt>
                <c:pt idx="1385">
                  <c:v>1915.9226396099998</c:v>
                </c:pt>
                <c:pt idx="1386">
                  <c:v>1917.2210230599999</c:v>
                </c:pt>
                <c:pt idx="1387">
                  <c:v>1918.5125170399999</c:v>
                </c:pt>
                <c:pt idx="1388">
                  <c:v>1919.4979278999999</c:v>
                </c:pt>
                <c:pt idx="1389">
                  <c:v>1919.47556962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F89-4C6C-A1E9-CE833342D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299488"/>
        <c:axId val="711296864"/>
        <c:extLst/>
      </c:scatterChart>
      <c:valAx>
        <c:axId val="775855871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ELEVATION</a:t>
                </a:r>
              </a:p>
            </c:rich>
          </c:tx>
          <c:layout>
            <c:manualLayout>
              <c:xMode val="edge"/>
              <c:yMode val="edge"/>
              <c:x val="5.8671512214819302E-3"/>
              <c:y val="0.34857199582276116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773151"/>
        <c:crosses val="autoZero"/>
        <c:crossBetween val="midCat"/>
      </c:valAx>
      <c:valAx>
        <c:axId val="283773151"/>
        <c:scaling>
          <c:orientation val="minMax"/>
          <c:max val="230000"/>
          <c:min val="875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MILEPOST</a:t>
                </a:r>
              </a:p>
            </c:rich>
          </c:tx>
          <c:layout>
            <c:manualLayout>
              <c:xMode val="edge"/>
              <c:yMode val="edge"/>
              <c:x val="5.7940457322408628E-2"/>
              <c:y val="0.956229505752252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\+##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855871"/>
        <c:crosses val="autoZero"/>
        <c:crossBetween val="midCat"/>
        <c:majorUnit val="10000"/>
      </c:valAx>
      <c:valAx>
        <c:axId val="711296864"/>
        <c:scaling>
          <c:orientation val="minMax"/>
          <c:max val="3000"/>
          <c:min val="1800"/>
        </c:scaling>
        <c:delete val="0"/>
        <c:axPos val="r"/>
        <c:numFmt formatCode="0.0" sourceLinked="1"/>
        <c:majorTickMark val="out"/>
        <c:minorTickMark val="none"/>
        <c:tickLblPos val="nextTo"/>
        <c:crossAx val="711299488"/>
        <c:crosses val="max"/>
        <c:crossBetween val="midCat"/>
        <c:majorUnit val="100"/>
        <c:minorUnit val="50"/>
      </c:valAx>
      <c:valAx>
        <c:axId val="711299488"/>
        <c:scaling>
          <c:orientation val="minMax"/>
        </c:scaling>
        <c:delete val="1"/>
        <c:axPos val="b"/>
        <c:numFmt formatCode="#\+##" sourceLinked="1"/>
        <c:majorTickMark val="out"/>
        <c:minorTickMark val="none"/>
        <c:tickLblPos val="nextTo"/>
        <c:crossAx val="711296864"/>
        <c:crosses val="autoZero"/>
        <c:crossBetween val="midCat"/>
      </c:valAx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ayout>
        <c:manualLayout>
          <c:xMode val="edge"/>
          <c:yMode val="edge"/>
          <c:x val="6.1189084338159686E-2"/>
          <c:y val="0.96531785912998402"/>
          <c:w val="0.84925026679357385"/>
          <c:h val="3.40395725874658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Spread</a:t>
            </a:r>
            <a:r>
              <a:rPr lang="en-US" baseline="0"/>
              <a:t> 5 Test Section 5</a:t>
            </a:r>
            <a:endParaRPr lang="en-US"/>
          </a:p>
        </c:rich>
      </c:tx>
      <c:layout>
        <c:manualLayout>
          <c:xMode val="edge"/>
          <c:yMode val="edge"/>
          <c:x val="0.39887883445166156"/>
          <c:y val="4.0437160731823458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6551414721170654E-2"/>
          <c:y val="9.3789053282879037E-3"/>
          <c:w val="0.86484188428897979"/>
          <c:h val="0.9023426648184445"/>
        </c:manualLayout>
      </c:layout>
      <c:scatterChart>
        <c:scatterStyle val="smoothMarker"/>
        <c:varyColors val="0"/>
        <c:ser>
          <c:idx val="4"/>
          <c:order val="0"/>
          <c:tx>
            <c:v>Maximum Elevation</c:v>
          </c:tx>
          <c:spPr>
            <a:ln>
              <a:noFill/>
            </a:ln>
          </c:spPr>
          <c:marker>
            <c:symbol val="diamond"/>
            <c:size val="1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dLbl>
              <c:idx val="0"/>
              <c:layout>
                <c:manualLayout>
                  <c:x val="-0.13101859570318378"/>
                  <c:y val="-6.6592674805771371E-2"/>
                </c:manualLayout>
              </c:layout>
              <c:dLblPos val="r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B-4591-B69A-48DCEA3F99C7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dLblPos val="r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xVal>
            <c:numRef>
              <c:f>Inputs!$F$3</c:f>
              <c:numCache>
                <c:formatCode>#\+##</c:formatCode>
                <c:ptCount val="1"/>
                <c:pt idx="0">
                  <c:v>162799.92000000001</c:v>
                </c:pt>
              </c:numCache>
            </c:numRef>
          </c:xVal>
          <c:yVal>
            <c:numRef>
              <c:f>Inputs!$E$3</c:f>
              <c:numCache>
                <c:formatCode>#,##0.0\ "ft"</c:formatCode>
                <c:ptCount val="1"/>
                <c:pt idx="0">
                  <c:v>938.19100000000003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D45-47F9-B8D1-268662D506CC}"/>
            </c:ext>
          </c:extLst>
        </c:ser>
        <c:ser>
          <c:idx val="5"/>
          <c:order val="1"/>
          <c:tx>
            <c:v>Minimum Elevation</c:v>
          </c:tx>
          <c:spPr>
            <a:ln>
              <a:noFill/>
            </a:ln>
          </c:spPr>
          <c:marker>
            <c:symbol val="triangle"/>
            <c:size val="1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dLbl>
              <c:idx val="0"/>
              <c:layout>
                <c:manualLayout>
                  <c:x val="-9.7810112228569002E-2"/>
                  <c:y val="5.7396593461333426E-2"/>
                </c:manualLayout>
              </c:layout>
              <c:dLblPos val="r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D45-47F9-B8D1-268662D506CC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dLblPos val="l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xVal>
            <c:numRef>
              <c:f>Inputs!$F$4</c:f>
              <c:numCache>
                <c:formatCode>#\+##</c:formatCode>
                <c:ptCount val="1"/>
                <c:pt idx="0">
                  <c:v>116999.92</c:v>
                </c:pt>
              </c:numCache>
            </c:numRef>
          </c:xVal>
          <c:yVal>
            <c:numRef>
              <c:f>Inputs!$E$4</c:f>
              <c:numCache>
                <c:formatCode>#,##0.0\ "ft"</c:formatCode>
                <c:ptCount val="1"/>
                <c:pt idx="0">
                  <c:v>572.81079999999997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D45-47F9-B8D1-268662D506CC}"/>
            </c:ext>
          </c:extLst>
        </c:ser>
        <c:ser>
          <c:idx val="7"/>
          <c:order val="3"/>
          <c:tx>
            <c:v>Test Site</c:v>
          </c:tx>
          <c:marker>
            <c:symbol val="square"/>
            <c:size val="10"/>
            <c:spPr>
              <a:solidFill>
                <a:srgbClr val="FF0000">
                  <a:alpha val="96000"/>
                </a:srgbClr>
              </a:solidFill>
              <a:ln w="12700">
                <a:solidFill>
                  <a:srgbClr val="FF0000"/>
                </a:solidFill>
              </a:ln>
            </c:spPr>
          </c:marker>
          <c:dPt>
            <c:idx val="0"/>
            <c:bubble3D val="0"/>
            <c:extLst xmlns:c15="http://schemas.microsoft.com/office/drawing/2012/chart">
              <c:ext xmlns:c16="http://schemas.microsoft.com/office/drawing/2014/chart" uri="{C3380CC4-5D6E-409C-BE32-E72D297353CC}">
                <c16:uniqueId val="{00000007-9D45-47F9-B8D1-268662D506CC}"/>
              </c:ext>
            </c:extLst>
          </c:dPt>
          <c:dLbls>
            <c:dLbl>
              <c:idx val="0"/>
              <c:layout>
                <c:manualLayout>
                  <c:x val="1.5111880401328796E-2"/>
                  <c:y val="-1.628345291466763E-2"/>
                </c:manualLayout>
              </c:layout>
              <c:dLblPos val="r"/>
              <c:showLegendKey val="0"/>
              <c:showVal val="1"/>
              <c:showCatName val="1"/>
              <c:showSerName val="1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D45-47F9-B8D1-268662D506CC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Inputs!$B$5</c:f>
              <c:numCache>
                <c:formatCode>00\+00</c:formatCode>
                <c:ptCount val="1"/>
                <c:pt idx="0">
                  <c:v>95899.92</c:v>
                </c:pt>
              </c:numCache>
            </c:numRef>
          </c:xVal>
          <c:yVal>
            <c:numRef>
              <c:f>Inputs!$C$5</c:f>
              <c:numCache>
                <c:formatCode>#,##0.0\ "ft"</c:formatCode>
                <c:ptCount val="1"/>
                <c:pt idx="0">
                  <c:v>825.18449999999996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8-9D45-47F9-B8D1-268662D506CC}"/>
            </c:ext>
          </c:extLst>
        </c:ser>
        <c:ser>
          <c:idx val="0"/>
          <c:order val="5"/>
          <c:tx>
            <c:strRef>
              <c:f>TS!$O$1</c:f>
              <c:strCache>
                <c:ptCount val="1"/>
                <c:pt idx="0">
                  <c:v>Elevation</c:v>
                </c:pt>
              </c:strCache>
            </c:strRef>
          </c:tx>
          <c:spPr>
            <a:ln w="31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TS!$N$2:$N$1373</c:f>
              <c:numCache>
                <c:formatCode>#\+##</c:formatCode>
                <c:ptCount val="1372"/>
                <c:pt idx="0">
                  <c:v>95899.92</c:v>
                </c:pt>
                <c:pt idx="1">
                  <c:v>95999.92</c:v>
                </c:pt>
                <c:pt idx="2">
                  <c:v>96099.92</c:v>
                </c:pt>
                <c:pt idx="3">
                  <c:v>96199.92</c:v>
                </c:pt>
                <c:pt idx="4">
                  <c:v>96299.92</c:v>
                </c:pt>
                <c:pt idx="5">
                  <c:v>96399.92</c:v>
                </c:pt>
                <c:pt idx="6">
                  <c:v>96499.92</c:v>
                </c:pt>
                <c:pt idx="7">
                  <c:v>96599.92</c:v>
                </c:pt>
                <c:pt idx="8">
                  <c:v>96699.92</c:v>
                </c:pt>
                <c:pt idx="9">
                  <c:v>96799.92</c:v>
                </c:pt>
                <c:pt idx="10">
                  <c:v>96899.92</c:v>
                </c:pt>
                <c:pt idx="11">
                  <c:v>96999.92</c:v>
                </c:pt>
                <c:pt idx="12">
                  <c:v>97099.92</c:v>
                </c:pt>
                <c:pt idx="13">
                  <c:v>97199.92</c:v>
                </c:pt>
                <c:pt idx="14">
                  <c:v>97299.92</c:v>
                </c:pt>
                <c:pt idx="15">
                  <c:v>97399.92</c:v>
                </c:pt>
                <c:pt idx="16">
                  <c:v>97499.92</c:v>
                </c:pt>
                <c:pt idx="17">
                  <c:v>97599.92</c:v>
                </c:pt>
                <c:pt idx="18">
                  <c:v>97699.92</c:v>
                </c:pt>
                <c:pt idx="19">
                  <c:v>97799.92</c:v>
                </c:pt>
                <c:pt idx="20">
                  <c:v>97899.92</c:v>
                </c:pt>
                <c:pt idx="21">
                  <c:v>97999.92</c:v>
                </c:pt>
                <c:pt idx="22">
                  <c:v>98099.92</c:v>
                </c:pt>
                <c:pt idx="23">
                  <c:v>98199.92</c:v>
                </c:pt>
                <c:pt idx="24">
                  <c:v>98299.92</c:v>
                </c:pt>
                <c:pt idx="25">
                  <c:v>98399.92</c:v>
                </c:pt>
                <c:pt idx="26">
                  <c:v>98499.92</c:v>
                </c:pt>
                <c:pt idx="27">
                  <c:v>98599.92</c:v>
                </c:pt>
                <c:pt idx="28">
                  <c:v>98699.92</c:v>
                </c:pt>
                <c:pt idx="29">
                  <c:v>98799.92</c:v>
                </c:pt>
                <c:pt idx="30">
                  <c:v>98899.92</c:v>
                </c:pt>
                <c:pt idx="31">
                  <c:v>98999.92</c:v>
                </c:pt>
                <c:pt idx="32">
                  <c:v>99099.92</c:v>
                </c:pt>
                <c:pt idx="33">
                  <c:v>99199.92</c:v>
                </c:pt>
                <c:pt idx="34">
                  <c:v>99299.92</c:v>
                </c:pt>
                <c:pt idx="35">
                  <c:v>99399.92</c:v>
                </c:pt>
                <c:pt idx="36">
                  <c:v>99499.92</c:v>
                </c:pt>
                <c:pt idx="37">
                  <c:v>99596.6</c:v>
                </c:pt>
                <c:pt idx="38">
                  <c:v>99599.92</c:v>
                </c:pt>
                <c:pt idx="39">
                  <c:v>99676.6</c:v>
                </c:pt>
                <c:pt idx="40">
                  <c:v>99699.92</c:v>
                </c:pt>
                <c:pt idx="41">
                  <c:v>99799.92</c:v>
                </c:pt>
                <c:pt idx="42">
                  <c:v>99899.92</c:v>
                </c:pt>
                <c:pt idx="43">
                  <c:v>99999.92</c:v>
                </c:pt>
                <c:pt idx="44">
                  <c:v>100093.7</c:v>
                </c:pt>
                <c:pt idx="45">
                  <c:v>100099.92</c:v>
                </c:pt>
                <c:pt idx="46">
                  <c:v>100199.92</c:v>
                </c:pt>
                <c:pt idx="47">
                  <c:v>100299.92</c:v>
                </c:pt>
                <c:pt idx="48">
                  <c:v>100399.92</c:v>
                </c:pt>
                <c:pt idx="49">
                  <c:v>100499.92</c:v>
                </c:pt>
                <c:pt idx="50">
                  <c:v>100599.92</c:v>
                </c:pt>
                <c:pt idx="51">
                  <c:v>100699.92</c:v>
                </c:pt>
                <c:pt idx="52">
                  <c:v>100799.92</c:v>
                </c:pt>
                <c:pt idx="53">
                  <c:v>100899.92</c:v>
                </c:pt>
                <c:pt idx="54">
                  <c:v>100999.92</c:v>
                </c:pt>
                <c:pt idx="55">
                  <c:v>101099.92</c:v>
                </c:pt>
                <c:pt idx="56">
                  <c:v>101199.92</c:v>
                </c:pt>
                <c:pt idx="57">
                  <c:v>101299.92</c:v>
                </c:pt>
                <c:pt idx="58">
                  <c:v>101399.92</c:v>
                </c:pt>
                <c:pt idx="59">
                  <c:v>101499.92</c:v>
                </c:pt>
                <c:pt idx="60">
                  <c:v>101599.92</c:v>
                </c:pt>
                <c:pt idx="61">
                  <c:v>101699.92</c:v>
                </c:pt>
                <c:pt idx="62">
                  <c:v>101799.92</c:v>
                </c:pt>
                <c:pt idx="63">
                  <c:v>101899.92</c:v>
                </c:pt>
                <c:pt idx="64">
                  <c:v>101918.7</c:v>
                </c:pt>
                <c:pt idx="65">
                  <c:v>101999.92</c:v>
                </c:pt>
                <c:pt idx="66">
                  <c:v>102099.92</c:v>
                </c:pt>
                <c:pt idx="67">
                  <c:v>102199.92</c:v>
                </c:pt>
                <c:pt idx="68">
                  <c:v>102299.92</c:v>
                </c:pt>
                <c:pt idx="69">
                  <c:v>102399.92</c:v>
                </c:pt>
                <c:pt idx="70">
                  <c:v>102499.92</c:v>
                </c:pt>
                <c:pt idx="71">
                  <c:v>102599.92</c:v>
                </c:pt>
                <c:pt idx="72">
                  <c:v>102699.92</c:v>
                </c:pt>
                <c:pt idx="73">
                  <c:v>102799.92</c:v>
                </c:pt>
                <c:pt idx="74">
                  <c:v>102899.92</c:v>
                </c:pt>
                <c:pt idx="75">
                  <c:v>102999.92</c:v>
                </c:pt>
                <c:pt idx="76">
                  <c:v>103099.92</c:v>
                </c:pt>
                <c:pt idx="77">
                  <c:v>103199.92</c:v>
                </c:pt>
                <c:pt idx="78">
                  <c:v>103299.92</c:v>
                </c:pt>
                <c:pt idx="79">
                  <c:v>103399.92</c:v>
                </c:pt>
                <c:pt idx="80">
                  <c:v>103499.92</c:v>
                </c:pt>
                <c:pt idx="81">
                  <c:v>103599.92</c:v>
                </c:pt>
                <c:pt idx="82">
                  <c:v>103699.92</c:v>
                </c:pt>
                <c:pt idx="83">
                  <c:v>103799.92</c:v>
                </c:pt>
                <c:pt idx="84">
                  <c:v>103809.3</c:v>
                </c:pt>
                <c:pt idx="85">
                  <c:v>103899.92</c:v>
                </c:pt>
                <c:pt idx="86">
                  <c:v>103929.3</c:v>
                </c:pt>
                <c:pt idx="87">
                  <c:v>103999.92</c:v>
                </c:pt>
                <c:pt idx="88">
                  <c:v>104099.92</c:v>
                </c:pt>
                <c:pt idx="89">
                  <c:v>104199.92</c:v>
                </c:pt>
                <c:pt idx="90">
                  <c:v>104299.92</c:v>
                </c:pt>
                <c:pt idx="91">
                  <c:v>104399.92</c:v>
                </c:pt>
                <c:pt idx="92">
                  <c:v>104499.92</c:v>
                </c:pt>
                <c:pt idx="93">
                  <c:v>104599.92</c:v>
                </c:pt>
                <c:pt idx="94">
                  <c:v>104699.92</c:v>
                </c:pt>
                <c:pt idx="95">
                  <c:v>104799.92</c:v>
                </c:pt>
                <c:pt idx="96">
                  <c:v>104899.92</c:v>
                </c:pt>
                <c:pt idx="97">
                  <c:v>104999.92</c:v>
                </c:pt>
                <c:pt idx="98">
                  <c:v>105099.92</c:v>
                </c:pt>
                <c:pt idx="99">
                  <c:v>105199.92</c:v>
                </c:pt>
                <c:pt idx="100">
                  <c:v>105299.92</c:v>
                </c:pt>
                <c:pt idx="101">
                  <c:v>105399.92</c:v>
                </c:pt>
                <c:pt idx="102">
                  <c:v>105499.92</c:v>
                </c:pt>
                <c:pt idx="103">
                  <c:v>105599.92</c:v>
                </c:pt>
                <c:pt idx="104">
                  <c:v>105699.92</c:v>
                </c:pt>
                <c:pt idx="105">
                  <c:v>105799.92</c:v>
                </c:pt>
                <c:pt idx="106">
                  <c:v>105899.92</c:v>
                </c:pt>
                <c:pt idx="107">
                  <c:v>105999.92</c:v>
                </c:pt>
                <c:pt idx="108">
                  <c:v>106099.92</c:v>
                </c:pt>
                <c:pt idx="109">
                  <c:v>106199.92</c:v>
                </c:pt>
                <c:pt idx="110">
                  <c:v>106299.92</c:v>
                </c:pt>
                <c:pt idx="111">
                  <c:v>106399.92</c:v>
                </c:pt>
                <c:pt idx="112">
                  <c:v>106499.92</c:v>
                </c:pt>
                <c:pt idx="113">
                  <c:v>106599.92</c:v>
                </c:pt>
                <c:pt idx="114">
                  <c:v>106699.92</c:v>
                </c:pt>
                <c:pt idx="115">
                  <c:v>106799.92</c:v>
                </c:pt>
                <c:pt idx="116">
                  <c:v>106899.92</c:v>
                </c:pt>
                <c:pt idx="117">
                  <c:v>106999.92</c:v>
                </c:pt>
                <c:pt idx="118">
                  <c:v>107099.92</c:v>
                </c:pt>
                <c:pt idx="119">
                  <c:v>107199.92</c:v>
                </c:pt>
                <c:pt idx="120">
                  <c:v>107299.92</c:v>
                </c:pt>
                <c:pt idx="121">
                  <c:v>107399.92</c:v>
                </c:pt>
                <c:pt idx="122">
                  <c:v>107499.92</c:v>
                </c:pt>
                <c:pt idx="123">
                  <c:v>107599.92</c:v>
                </c:pt>
                <c:pt idx="124">
                  <c:v>107699.92</c:v>
                </c:pt>
                <c:pt idx="125">
                  <c:v>107799.92</c:v>
                </c:pt>
                <c:pt idx="126">
                  <c:v>107899.92</c:v>
                </c:pt>
                <c:pt idx="127">
                  <c:v>107999.92</c:v>
                </c:pt>
                <c:pt idx="128">
                  <c:v>108099.92</c:v>
                </c:pt>
                <c:pt idx="129">
                  <c:v>108159.1</c:v>
                </c:pt>
                <c:pt idx="130">
                  <c:v>108199.92</c:v>
                </c:pt>
                <c:pt idx="131">
                  <c:v>108299.92</c:v>
                </c:pt>
                <c:pt idx="132">
                  <c:v>108399.92</c:v>
                </c:pt>
                <c:pt idx="133">
                  <c:v>108499.92</c:v>
                </c:pt>
                <c:pt idx="134">
                  <c:v>108599.92</c:v>
                </c:pt>
                <c:pt idx="135">
                  <c:v>108699.92</c:v>
                </c:pt>
                <c:pt idx="136">
                  <c:v>108799.92</c:v>
                </c:pt>
                <c:pt idx="137">
                  <c:v>108899.92</c:v>
                </c:pt>
                <c:pt idx="138">
                  <c:v>108999.92</c:v>
                </c:pt>
                <c:pt idx="139">
                  <c:v>109036</c:v>
                </c:pt>
                <c:pt idx="140">
                  <c:v>109099.92</c:v>
                </c:pt>
                <c:pt idx="141">
                  <c:v>109199.92</c:v>
                </c:pt>
                <c:pt idx="142">
                  <c:v>109299.92</c:v>
                </c:pt>
                <c:pt idx="143">
                  <c:v>109399.92</c:v>
                </c:pt>
                <c:pt idx="144">
                  <c:v>109421</c:v>
                </c:pt>
                <c:pt idx="145">
                  <c:v>109499.92</c:v>
                </c:pt>
                <c:pt idx="146">
                  <c:v>109599.92</c:v>
                </c:pt>
                <c:pt idx="147">
                  <c:v>109699.92</c:v>
                </c:pt>
                <c:pt idx="148">
                  <c:v>109703</c:v>
                </c:pt>
                <c:pt idx="149">
                  <c:v>109799.92</c:v>
                </c:pt>
                <c:pt idx="150">
                  <c:v>109899.92</c:v>
                </c:pt>
                <c:pt idx="151">
                  <c:v>109999.92</c:v>
                </c:pt>
                <c:pt idx="152">
                  <c:v>110099.92</c:v>
                </c:pt>
                <c:pt idx="153">
                  <c:v>110199.92</c:v>
                </c:pt>
                <c:pt idx="154">
                  <c:v>110299.92</c:v>
                </c:pt>
                <c:pt idx="155">
                  <c:v>110399.92</c:v>
                </c:pt>
                <c:pt idx="156">
                  <c:v>110499.92</c:v>
                </c:pt>
                <c:pt idx="157">
                  <c:v>110599.92</c:v>
                </c:pt>
                <c:pt idx="158">
                  <c:v>110688.3</c:v>
                </c:pt>
                <c:pt idx="159">
                  <c:v>110699.92</c:v>
                </c:pt>
                <c:pt idx="160">
                  <c:v>110768.3</c:v>
                </c:pt>
                <c:pt idx="161">
                  <c:v>110799.92</c:v>
                </c:pt>
                <c:pt idx="162">
                  <c:v>110899.92</c:v>
                </c:pt>
                <c:pt idx="163">
                  <c:v>110999.92</c:v>
                </c:pt>
                <c:pt idx="164">
                  <c:v>111099.92</c:v>
                </c:pt>
                <c:pt idx="165">
                  <c:v>111199.92</c:v>
                </c:pt>
                <c:pt idx="166">
                  <c:v>111299.92</c:v>
                </c:pt>
                <c:pt idx="167">
                  <c:v>111399.92</c:v>
                </c:pt>
                <c:pt idx="168">
                  <c:v>111499.92</c:v>
                </c:pt>
                <c:pt idx="169">
                  <c:v>111599.92</c:v>
                </c:pt>
                <c:pt idx="170">
                  <c:v>111699.92</c:v>
                </c:pt>
                <c:pt idx="171">
                  <c:v>111799.92</c:v>
                </c:pt>
                <c:pt idx="172">
                  <c:v>111899.92</c:v>
                </c:pt>
                <c:pt idx="173">
                  <c:v>111999.92</c:v>
                </c:pt>
                <c:pt idx="174">
                  <c:v>112099.92</c:v>
                </c:pt>
                <c:pt idx="175">
                  <c:v>112199.92</c:v>
                </c:pt>
                <c:pt idx="176">
                  <c:v>112299.92</c:v>
                </c:pt>
                <c:pt idx="177">
                  <c:v>112399.92</c:v>
                </c:pt>
                <c:pt idx="178">
                  <c:v>112499.92</c:v>
                </c:pt>
                <c:pt idx="179">
                  <c:v>112599.92</c:v>
                </c:pt>
                <c:pt idx="180">
                  <c:v>112699.92</c:v>
                </c:pt>
                <c:pt idx="181">
                  <c:v>112799.92</c:v>
                </c:pt>
                <c:pt idx="182">
                  <c:v>112899.92</c:v>
                </c:pt>
                <c:pt idx="183">
                  <c:v>112999.92</c:v>
                </c:pt>
                <c:pt idx="184">
                  <c:v>113099.92</c:v>
                </c:pt>
                <c:pt idx="185">
                  <c:v>113199.92</c:v>
                </c:pt>
                <c:pt idx="186">
                  <c:v>113299.92</c:v>
                </c:pt>
                <c:pt idx="187">
                  <c:v>113399.92</c:v>
                </c:pt>
                <c:pt idx="188">
                  <c:v>113499.92</c:v>
                </c:pt>
                <c:pt idx="189">
                  <c:v>113599.92</c:v>
                </c:pt>
                <c:pt idx="190">
                  <c:v>113699.92</c:v>
                </c:pt>
                <c:pt idx="191">
                  <c:v>113799.92</c:v>
                </c:pt>
                <c:pt idx="192">
                  <c:v>113899.92</c:v>
                </c:pt>
                <c:pt idx="193">
                  <c:v>113999.92</c:v>
                </c:pt>
                <c:pt idx="194">
                  <c:v>114057.3</c:v>
                </c:pt>
                <c:pt idx="195">
                  <c:v>114099.92</c:v>
                </c:pt>
                <c:pt idx="196">
                  <c:v>114137.3</c:v>
                </c:pt>
                <c:pt idx="197">
                  <c:v>114199.92</c:v>
                </c:pt>
                <c:pt idx="198">
                  <c:v>114299.92</c:v>
                </c:pt>
                <c:pt idx="199">
                  <c:v>114399.92</c:v>
                </c:pt>
                <c:pt idx="200">
                  <c:v>114499.92</c:v>
                </c:pt>
                <c:pt idx="201">
                  <c:v>114599.92</c:v>
                </c:pt>
                <c:pt idx="202">
                  <c:v>114639.2</c:v>
                </c:pt>
                <c:pt idx="203">
                  <c:v>114699.92</c:v>
                </c:pt>
                <c:pt idx="204">
                  <c:v>114719.2</c:v>
                </c:pt>
                <c:pt idx="205">
                  <c:v>114799.92</c:v>
                </c:pt>
                <c:pt idx="206">
                  <c:v>114899.92</c:v>
                </c:pt>
                <c:pt idx="207">
                  <c:v>114983</c:v>
                </c:pt>
                <c:pt idx="208">
                  <c:v>114999.92</c:v>
                </c:pt>
                <c:pt idx="209">
                  <c:v>115063</c:v>
                </c:pt>
                <c:pt idx="210">
                  <c:v>115099.92</c:v>
                </c:pt>
                <c:pt idx="211">
                  <c:v>115199.92</c:v>
                </c:pt>
                <c:pt idx="212">
                  <c:v>115299.92</c:v>
                </c:pt>
                <c:pt idx="213">
                  <c:v>115399.92</c:v>
                </c:pt>
                <c:pt idx="214">
                  <c:v>115499.92</c:v>
                </c:pt>
                <c:pt idx="215">
                  <c:v>115599.92</c:v>
                </c:pt>
                <c:pt idx="216">
                  <c:v>115676.9</c:v>
                </c:pt>
                <c:pt idx="217">
                  <c:v>115699.92</c:v>
                </c:pt>
                <c:pt idx="218">
                  <c:v>115796.9</c:v>
                </c:pt>
                <c:pt idx="219">
                  <c:v>115799.92</c:v>
                </c:pt>
                <c:pt idx="220">
                  <c:v>115899.92</c:v>
                </c:pt>
                <c:pt idx="221">
                  <c:v>115999.92</c:v>
                </c:pt>
                <c:pt idx="222">
                  <c:v>116090.1</c:v>
                </c:pt>
                <c:pt idx="223">
                  <c:v>116099.92</c:v>
                </c:pt>
                <c:pt idx="224">
                  <c:v>116199.92</c:v>
                </c:pt>
                <c:pt idx="225">
                  <c:v>116299.92</c:v>
                </c:pt>
                <c:pt idx="226">
                  <c:v>116399.92</c:v>
                </c:pt>
                <c:pt idx="227">
                  <c:v>116499.92</c:v>
                </c:pt>
                <c:pt idx="228">
                  <c:v>116599.92</c:v>
                </c:pt>
                <c:pt idx="229">
                  <c:v>116699.92</c:v>
                </c:pt>
                <c:pt idx="230">
                  <c:v>116799.92</c:v>
                </c:pt>
                <c:pt idx="231">
                  <c:v>116899.92</c:v>
                </c:pt>
                <c:pt idx="232">
                  <c:v>116999.92</c:v>
                </c:pt>
                <c:pt idx="233">
                  <c:v>117099.92</c:v>
                </c:pt>
                <c:pt idx="234">
                  <c:v>117199.92</c:v>
                </c:pt>
                <c:pt idx="235">
                  <c:v>117299.92</c:v>
                </c:pt>
                <c:pt idx="236">
                  <c:v>117399.92</c:v>
                </c:pt>
                <c:pt idx="237">
                  <c:v>117499.92</c:v>
                </c:pt>
                <c:pt idx="238">
                  <c:v>117599.92</c:v>
                </c:pt>
                <c:pt idx="239">
                  <c:v>117699.92</c:v>
                </c:pt>
                <c:pt idx="240">
                  <c:v>117799.92</c:v>
                </c:pt>
                <c:pt idx="241">
                  <c:v>117899.92</c:v>
                </c:pt>
                <c:pt idx="242">
                  <c:v>117999.92</c:v>
                </c:pt>
                <c:pt idx="243">
                  <c:v>118099.92</c:v>
                </c:pt>
                <c:pt idx="244">
                  <c:v>118199.92</c:v>
                </c:pt>
                <c:pt idx="245">
                  <c:v>118299.92</c:v>
                </c:pt>
                <c:pt idx="246">
                  <c:v>118399.92</c:v>
                </c:pt>
                <c:pt idx="247">
                  <c:v>118499.92</c:v>
                </c:pt>
                <c:pt idx="248">
                  <c:v>118599.92</c:v>
                </c:pt>
                <c:pt idx="249">
                  <c:v>118690.1</c:v>
                </c:pt>
                <c:pt idx="250">
                  <c:v>118699.92</c:v>
                </c:pt>
                <c:pt idx="251">
                  <c:v>118799.92</c:v>
                </c:pt>
                <c:pt idx="252">
                  <c:v>118899.92</c:v>
                </c:pt>
                <c:pt idx="253">
                  <c:v>118999.92</c:v>
                </c:pt>
                <c:pt idx="254">
                  <c:v>119099.92</c:v>
                </c:pt>
                <c:pt idx="255">
                  <c:v>119199.92</c:v>
                </c:pt>
                <c:pt idx="256">
                  <c:v>119299.92</c:v>
                </c:pt>
                <c:pt idx="257">
                  <c:v>119399.92</c:v>
                </c:pt>
                <c:pt idx="258">
                  <c:v>119499.92</c:v>
                </c:pt>
                <c:pt idx="259">
                  <c:v>119599.92</c:v>
                </c:pt>
                <c:pt idx="260">
                  <c:v>119699.92</c:v>
                </c:pt>
                <c:pt idx="261">
                  <c:v>119799.92</c:v>
                </c:pt>
                <c:pt idx="262">
                  <c:v>119899.92</c:v>
                </c:pt>
                <c:pt idx="263">
                  <c:v>119999.92</c:v>
                </c:pt>
                <c:pt idx="264">
                  <c:v>120099.92</c:v>
                </c:pt>
                <c:pt idx="265">
                  <c:v>120199.92</c:v>
                </c:pt>
                <c:pt idx="266">
                  <c:v>120298.2</c:v>
                </c:pt>
                <c:pt idx="267">
                  <c:v>120299.92</c:v>
                </c:pt>
                <c:pt idx="268">
                  <c:v>120378.2</c:v>
                </c:pt>
                <c:pt idx="269">
                  <c:v>120399.92</c:v>
                </c:pt>
                <c:pt idx="270">
                  <c:v>120499.92</c:v>
                </c:pt>
                <c:pt idx="271">
                  <c:v>120599.92</c:v>
                </c:pt>
                <c:pt idx="272">
                  <c:v>120699.92</c:v>
                </c:pt>
                <c:pt idx="273">
                  <c:v>120799.92</c:v>
                </c:pt>
                <c:pt idx="274">
                  <c:v>120899.92</c:v>
                </c:pt>
                <c:pt idx="275">
                  <c:v>120999.92</c:v>
                </c:pt>
                <c:pt idx="276">
                  <c:v>121099.92</c:v>
                </c:pt>
                <c:pt idx="277">
                  <c:v>121199.92</c:v>
                </c:pt>
                <c:pt idx="278">
                  <c:v>121299.92</c:v>
                </c:pt>
                <c:pt idx="279">
                  <c:v>121399.92</c:v>
                </c:pt>
                <c:pt idx="280">
                  <c:v>121499.92</c:v>
                </c:pt>
                <c:pt idx="281">
                  <c:v>121599.92</c:v>
                </c:pt>
                <c:pt idx="282">
                  <c:v>121699.92</c:v>
                </c:pt>
                <c:pt idx="283">
                  <c:v>121799.92</c:v>
                </c:pt>
                <c:pt idx="284">
                  <c:v>121899.92</c:v>
                </c:pt>
                <c:pt idx="285">
                  <c:v>121999.92</c:v>
                </c:pt>
                <c:pt idx="286">
                  <c:v>122099.92</c:v>
                </c:pt>
                <c:pt idx="287">
                  <c:v>122199.92</c:v>
                </c:pt>
                <c:pt idx="288">
                  <c:v>122299.92</c:v>
                </c:pt>
                <c:pt idx="289">
                  <c:v>122399.92</c:v>
                </c:pt>
                <c:pt idx="290">
                  <c:v>122499.92</c:v>
                </c:pt>
                <c:pt idx="291">
                  <c:v>122599.92</c:v>
                </c:pt>
                <c:pt idx="292">
                  <c:v>122699.92</c:v>
                </c:pt>
                <c:pt idx="293">
                  <c:v>122799.92</c:v>
                </c:pt>
                <c:pt idx="294">
                  <c:v>122899.92</c:v>
                </c:pt>
                <c:pt idx="295">
                  <c:v>122999.92</c:v>
                </c:pt>
                <c:pt idx="296">
                  <c:v>123099.92</c:v>
                </c:pt>
                <c:pt idx="297">
                  <c:v>123199.92</c:v>
                </c:pt>
                <c:pt idx="298">
                  <c:v>123215.6</c:v>
                </c:pt>
                <c:pt idx="299">
                  <c:v>123295.6</c:v>
                </c:pt>
                <c:pt idx="300">
                  <c:v>123299.92</c:v>
                </c:pt>
                <c:pt idx="301">
                  <c:v>123399.92</c:v>
                </c:pt>
                <c:pt idx="302">
                  <c:v>123499.92</c:v>
                </c:pt>
                <c:pt idx="303">
                  <c:v>123599.92</c:v>
                </c:pt>
                <c:pt idx="304">
                  <c:v>123699.92</c:v>
                </c:pt>
                <c:pt idx="305">
                  <c:v>123799.92</c:v>
                </c:pt>
                <c:pt idx="306">
                  <c:v>123899.92</c:v>
                </c:pt>
                <c:pt idx="307">
                  <c:v>123999.92</c:v>
                </c:pt>
                <c:pt idx="308">
                  <c:v>124099.92</c:v>
                </c:pt>
                <c:pt idx="309">
                  <c:v>124199.92</c:v>
                </c:pt>
                <c:pt idx="310">
                  <c:v>124299.92</c:v>
                </c:pt>
                <c:pt idx="311">
                  <c:v>124399.92</c:v>
                </c:pt>
                <c:pt idx="312">
                  <c:v>124499.92</c:v>
                </c:pt>
                <c:pt idx="313">
                  <c:v>124599.92</c:v>
                </c:pt>
                <c:pt idx="314">
                  <c:v>124699.92</c:v>
                </c:pt>
                <c:pt idx="315">
                  <c:v>124799.92</c:v>
                </c:pt>
                <c:pt idx="316">
                  <c:v>124899.92</c:v>
                </c:pt>
                <c:pt idx="317">
                  <c:v>124999.92</c:v>
                </c:pt>
                <c:pt idx="318">
                  <c:v>125099.92</c:v>
                </c:pt>
                <c:pt idx="319">
                  <c:v>125156.3</c:v>
                </c:pt>
                <c:pt idx="320">
                  <c:v>125199.92</c:v>
                </c:pt>
                <c:pt idx="321">
                  <c:v>125236.3</c:v>
                </c:pt>
                <c:pt idx="322">
                  <c:v>125299.92</c:v>
                </c:pt>
                <c:pt idx="323">
                  <c:v>125399.92</c:v>
                </c:pt>
                <c:pt idx="324">
                  <c:v>125499.92</c:v>
                </c:pt>
                <c:pt idx="325">
                  <c:v>125599.92</c:v>
                </c:pt>
                <c:pt idx="326">
                  <c:v>125699.92</c:v>
                </c:pt>
                <c:pt idx="327">
                  <c:v>125723.1</c:v>
                </c:pt>
                <c:pt idx="328">
                  <c:v>125798.1</c:v>
                </c:pt>
                <c:pt idx="329">
                  <c:v>125799.92</c:v>
                </c:pt>
                <c:pt idx="330">
                  <c:v>125899.92</c:v>
                </c:pt>
                <c:pt idx="331">
                  <c:v>125915.7</c:v>
                </c:pt>
                <c:pt idx="332">
                  <c:v>125999.92</c:v>
                </c:pt>
                <c:pt idx="333">
                  <c:v>126075.7</c:v>
                </c:pt>
                <c:pt idx="334">
                  <c:v>126099.92</c:v>
                </c:pt>
                <c:pt idx="335">
                  <c:v>126199.92</c:v>
                </c:pt>
                <c:pt idx="336">
                  <c:v>126299.92</c:v>
                </c:pt>
                <c:pt idx="337">
                  <c:v>126399.92</c:v>
                </c:pt>
                <c:pt idx="338">
                  <c:v>126499.92</c:v>
                </c:pt>
                <c:pt idx="339">
                  <c:v>126599.92</c:v>
                </c:pt>
                <c:pt idx="340">
                  <c:v>126699.92</c:v>
                </c:pt>
                <c:pt idx="341">
                  <c:v>126799.92</c:v>
                </c:pt>
                <c:pt idx="342">
                  <c:v>126899.92</c:v>
                </c:pt>
                <c:pt idx="343">
                  <c:v>126999.92</c:v>
                </c:pt>
                <c:pt idx="344">
                  <c:v>127099.92</c:v>
                </c:pt>
                <c:pt idx="345">
                  <c:v>127199.92</c:v>
                </c:pt>
                <c:pt idx="346">
                  <c:v>127299.92</c:v>
                </c:pt>
                <c:pt idx="347">
                  <c:v>127399.92</c:v>
                </c:pt>
                <c:pt idx="348">
                  <c:v>127499.92</c:v>
                </c:pt>
                <c:pt idx="349">
                  <c:v>127599.92</c:v>
                </c:pt>
                <c:pt idx="350">
                  <c:v>127699.92</c:v>
                </c:pt>
                <c:pt idx="351">
                  <c:v>127799.92</c:v>
                </c:pt>
                <c:pt idx="352">
                  <c:v>127899.92</c:v>
                </c:pt>
                <c:pt idx="353">
                  <c:v>127999.92</c:v>
                </c:pt>
                <c:pt idx="354">
                  <c:v>128099.92</c:v>
                </c:pt>
                <c:pt idx="355">
                  <c:v>128199.92</c:v>
                </c:pt>
                <c:pt idx="356">
                  <c:v>128299.92</c:v>
                </c:pt>
                <c:pt idx="357">
                  <c:v>128399.92</c:v>
                </c:pt>
                <c:pt idx="358">
                  <c:v>128499.92</c:v>
                </c:pt>
                <c:pt idx="359">
                  <c:v>128599.92</c:v>
                </c:pt>
                <c:pt idx="360">
                  <c:v>128699.92</c:v>
                </c:pt>
                <c:pt idx="361">
                  <c:v>128799.92</c:v>
                </c:pt>
                <c:pt idx="362">
                  <c:v>128899.92</c:v>
                </c:pt>
                <c:pt idx="363">
                  <c:v>128999.92</c:v>
                </c:pt>
                <c:pt idx="364">
                  <c:v>129099.92</c:v>
                </c:pt>
                <c:pt idx="365">
                  <c:v>129199.92</c:v>
                </c:pt>
                <c:pt idx="366">
                  <c:v>129299.92</c:v>
                </c:pt>
                <c:pt idx="367">
                  <c:v>129399.92</c:v>
                </c:pt>
                <c:pt idx="368">
                  <c:v>129499.92</c:v>
                </c:pt>
                <c:pt idx="369">
                  <c:v>129599.92</c:v>
                </c:pt>
                <c:pt idx="370">
                  <c:v>129699.92</c:v>
                </c:pt>
                <c:pt idx="371">
                  <c:v>129799.92</c:v>
                </c:pt>
                <c:pt idx="372">
                  <c:v>129899.92</c:v>
                </c:pt>
                <c:pt idx="373">
                  <c:v>129918.1</c:v>
                </c:pt>
                <c:pt idx="374">
                  <c:v>129998.1</c:v>
                </c:pt>
                <c:pt idx="375">
                  <c:v>129999.92</c:v>
                </c:pt>
                <c:pt idx="376">
                  <c:v>130099.92</c:v>
                </c:pt>
                <c:pt idx="377">
                  <c:v>130199.92</c:v>
                </c:pt>
                <c:pt idx="378">
                  <c:v>130299.92</c:v>
                </c:pt>
                <c:pt idx="379">
                  <c:v>130399.92</c:v>
                </c:pt>
                <c:pt idx="380">
                  <c:v>130499.92</c:v>
                </c:pt>
                <c:pt idx="381">
                  <c:v>130599.92</c:v>
                </c:pt>
                <c:pt idx="382">
                  <c:v>130699.92</c:v>
                </c:pt>
                <c:pt idx="383">
                  <c:v>130799.92</c:v>
                </c:pt>
                <c:pt idx="384">
                  <c:v>130899.92</c:v>
                </c:pt>
                <c:pt idx="385">
                  <c:v>130999.92</c:v>
                </c:pt>
                <c:pt idx="386">
                  <c:v>131099.92000000001</c:v>
                </c:pt>
                <c:pt idx="387">
                  <c:v>131199.92000000001</c:v>
                </c:pt>
                <c:pt idx="388">
                  <c:v>131299.92000000001</c:v>
                </c:pt>
                <c:pt idx="389">
                  <c:v>131399.92000000001</c:v>
                </c:pt>
                <c:pt idx="390">
                  <c:v>131482.9</c:v>
                </c:pt>
                <c:pt idx="391">
                  <c:v>131499.92000000001</c:v>
                </c:pt>
                <c:pt idx="392">
                  <c:v>131562.9</c:v>
                </c:pt>
                <c:pt idx="393">
                  <c:v>131599.92000000001</c:v>
                </c:pt>
                <c:pt idx="394">
                  <c:v>131699.92000000001</c:v>
                </c:pt>
                <c:pt idx="395">
                  <c:v>131799.92000000001</c:v>
                </c:pt>
                <c:pt idx="396">
                  <c:v>131899.92000000001</c:v>
                </c:pt>
                <c:pt idx="397">
                  <c:v>131999.92000000001</c:v>
                </c:pt>
                <c:pt idx="398">
                  <c:v>132099.92000000001</c:v>
                </c:pt>
                <c:pt idx="399">
                  <c:v>132199.92000000001</c:v>
                </c:pt>
                <c:pt idx="400">
                  <c:v>132299.92000000001</c:v>
                </c:pt>
                <c:pt idx="401">
                  <c:v>132399.92000000001</c:v>
                </c:pt>
                <c:pt idx="402">
                  <c:v>132499.92000000001</c:v>
                </c:pt>
                <c:pt idx="403">
                  <c:v>132599.92000000001</c:v>
                </c:pt>
                <c:pt idx="404">
                  <c:v>132699.92000000001</c:v>
                </c:pt>
                <c:pt idx="405">
                  <c:v>132799.1</c:v>
                </c:pt>
                <c:pt idx="406">
                  <c:v>132799.92000000001</c:v>
                </c:pt>
                <c:pt idx="407">
                  <c:v>132899.92000000001</c:v>
                </c:pt>
                <c:pt idx="408">
                  <c:v>132999.92000000001</c:v>
                </c:pt>
                <c:pt idx="409">
                  <c:v>133039.1</c:v>
                </c:pt>
                <c:pt idx="410">
                  <c:v>133099.92000000001</c:v>
                </c:pt>
                <c:pt idx="411">
                  <c:v>133199.92000000001</c:v>
                </c:pt>
                <c:pt idx="412">
                  <c:v>133299.92000000001</c:v>
                </c:pt>
                <c:pt idx="413">
                  <c:v>133399.92000000001</c:v>
                </c:pt>
                <c:pt idx="414">
                  <c:v>133499.92000000001</c:v>
                </c:pt>
                <c:pt idx="415">
                  <c:v>133599.92000000001</c:v>
                </c:pt>
                <c:pt idx="416">
                  <c:v>133699.92000000001</c:v>
                </c:pt>
                <c:pt idx="417">
                  <c:v>133799.92000000001</c:v>
                </c:pt>
                <c:pt idx="418">
                  <c:v>133899.92000000001</c:v>
                </c:pt>
                <c:pt idx="419">
                  <c:v>133999.92000000001</c:v>
                </c:pt>
                <c:pt idx="420">
                  <c:v>134099.92000000001</c:v>
                </c:pt>
                <c:pt idx="421">
                  <c:v>134199.92000000001</c:v>
                </c:pt>
                <c:pt idx="422">
                  <c:v>134299.92000000001</c:v>
                </c:pt>
                <c:pt idx="423">
                  <c:v>134399.92000000001</c:v>
                </c:pt>
                <c:pt idx="424">
                  <c:v>134499.92000000001</c:v>
                </c:pt>
                <c:pt idx="425">
                  <c:v>134599.92000000001</c:v>
                </c:pt>
                <c:pt idx="426">
                  <c:v>134699.92000000001</c:v>
                </c:pt>
                <c:pt idx="427">
                  <c:v>134799.92000000001</c:v>
                </c:pt>
                <c:pt idx="428">
                  <c:v>134899.92000000001</c:v>
                </c:pt>
                <c:pt idx="429">
                  <c:v>134999.92000000001</c:v>
                </c:pt>
                <c:pt idx="430">
                  <c:v>135099.92000000001</c:v>
                </c:pt>
                <c:pt idx="431">
                  <c:v>135199.92000000001</c:v>
                </c:pt>
                <c:pt idx="432">
                  <c:v>135299.92000000001</c:v>
                </c:pt>
                <c:pt idx="433">
                  <c:v>135399.92000000001</c:v>
                </c:pt>
                <c:pt idx="434">
                  <c:v>135499.92000000001</c:v>
                </c:pt>
                <c:pt idx="435">
                  <c:v>135599.92000000001</c:v>
                </c:pt>
                <c:pt idx="436">
                  <c:v>135699.92000000001</c:v>
                </c:pt>
                <c:pt idx="437">
                  <c:v>135799.92000000001</c:v>
                </c:pt>
                <c:pt idx="438">
                  <c:v>135899.92000000001</c:v>
                </c:pt>
                <c:pt idx="439">
                  <c:v>135999.92000000001</c:v>
                </c:pt>
                <c:pt idx="440">
                  <c:v>136099.92000000001</c:v>
                </c:pt>
                <c:pt idx="441">
                  <c:v>136199.92000000001</c:v>
                </c:pt>
                <c:pt idx="442">
                  <c:v>136299.92000000001</c:v>
                </c:pt>
                <c:pt idx="443">
                  <c:v>136399.92000000001</c:v>
                </c:pt>
                <c:pt idx="444">
                  <c:v>136499.92000000001</c:v>
                </c:pt>
                <c:pt idx="445">
                  <c:v>136599.92000000001</c:v>
                </c:pt>
                <c:pt idx="446">
                  <c:v>136699.92000000001</c:v>
                </c:pt>
                <c:pt idx="447">
                  <c:v>136799.92000000001</c:v>
                </c:pt>
                <c:pt idx="448">
                  <c:v>136899.92000000001</c:v>
                </c:pt>
                <c:pt idx="449">
                  <c:v>136999.92000000001</c:v>
                </c:pt>
                <c:pt idx="450">
                  <c:v>137099.92000000001</c:v>
                </c:pt>
                <c:pt idx="451">
                  <c:v>137199.92000000001</c:v>
                </c:pt>
                <c:pt idx="452">
                  <c:v>137299.92000000001</c:v>
                </c:pt>
                <c:pt idx="453">
                  <c:v>137399.92000000001</c:v>
                </c:pt>
                <c:pt idx="454">
                  <c:v>137499.92000000001</c:v>
                </c:pt>
                <c:pt idx="455">
                  <c:v>137599.92000000001</c:v>
                </c:pt>
                <c:pt idx="456">
                  <c:v>137699.92000000001</c:v>
                </c:pt>
                <c:pt idx="457">
                  <c:v>137745.70000000001</c:v>
                </c:pt>
                <c:pt idx="458">
                  <c:v>137799.92000000001</c:v>
                </c:pt>
                <c:pt idx="459">
                  <c:v>137899.92000000001</c:v>
                </c:pt>
                <c:pt idx="460">
                  <c:v>137999.92000000001</c:v>
                </c:pt>
                <c:pt idx="461">
                  <c:v>138099.92000000001</c:v>
                </c:pt>
                <c:pt idx="462">
                  <c:v>138199.92000000001</c:v>
                </c:pt>
                <c:pt idx="463">
                  <c:v>138299.92000000001</c:v>
                </c:pt>
                <c:pt idx="464">
                  <c:v>138399.92000000001</c:v>
                </c:pt>
                <c:pt idx="465">
                  <c:v>138465.70000000001</c:v>
                </c:pt>
                <c:pt idx="466">
                  <c:v>138499.92000000001</c:v>
                </c:pt>
                <c:pt idx="467">
                  <c:v>138599.92000000001</c:v>
                </c:pt>
                <c:pt idx="468">
                  <c:v>138699.92000000001</c:v>
                </c:pt>
                <c:pt idx="469">
                  <c:v>138799.92000000001</c:v>
                </c:pt>
                <c:pt idx="470">
                  <c:v>138836.1</c:v>
                </c:pt>
                <c:pt idx="471">
                  <c:v>138899.92000000001</c:v>
                </c:pt>
                <c:pt idx="472">
                  <c:v>138916.1</c:v>
                </c:pt>
                <c:pt idx="473">
                  <c:v>138999.92000000001</c:v>
                </c:pt>
                <c:pt idx="474">
                  <c:v>139099.92000000001</c:v>
                </c:pt>
                <c:pt idx="475">
                  <c:v>139199.92000000001</c:v>
                </c:pt>
                <c:pt idx="476">
                  <c:v>139299.92000000001</c:v>
                </c:pt>
                <c:pt idx="477">
                  <c:v>139399.92000000001</c:v>
                </c:pt>
                <c:pt idx="478">
                  <c:v>139424.9</c:v>
                </c:pt>
                <c:pt idx="479">
                  <c:v>139499.92000000001</c:v>
                </c:pt>
                <c:pt idx="480">
                  <c:v>139584.9</c:v>
                </c:pt>
                <c:pt idx="481">
                  <c:v>139599.92000000001</c:v>
                </c:pt>
                <c:pt idx="482">
                  <c:v>139699.92000000001</c:v>
                </c:pt>
                <c:pt idx="483">
                  <c:v>139799.92000000001</c:v>
                </c:pt>
                <c:pt idx="484">
                  <c:v>139899.92000000001</c:v>
                </c:pt>
                <c:pt idx="485">
                  <c:v>139999.92000000001</c:v>
                </c:pt>
                <c:pt idx="486">
                  <c:v>140099.92000000001</c:v>
                </c:pt>
                <c:pt idx="487">
                  <c:v>140199.92000000001</c:v>
                </c:pt>
                <c:pt idx="488">
                  <c:v>140299.92000000001</c:v>
                </c:pt>
                <c:pt idx="489">
                  <c:v>140399.92000000001</c:v>
                </c:pt>
                <c:pt idx="490">
                  <c:v>140499.92000000001</c:v>
                </c:pt>
                <c:pt idx="491">
                  <c:v>140599.92000000001</c:v>
                </c:pt>
                <c:pt idx="492">
                  <c:v>140699.92000000001</c:v>
                </c:pt>
                <c:pt idx="493">
                  <c:v>140799.92000000001</c:v>
                </c:pt>
                <c:pt idx="494">
                  <c:v>140899.92000000001</c:v>
                </c:pt>
                <c:pt idx="495">
                  <c:v>140999.92000000001</c:v>
                </c:pt>
                <c:pt idx="496">
                  <c:v>141099.92000000001</c:v>
                </c:pt>
                <c:pt idx="497">
                  <c:v>141199.92000000001</c:v>
                </c:pt>
                <c:pt idx="498">
                  <c:v>141299.92000000001</c:v>
                </c:pt>
                <c:pt idx="499">
                  <c:v>141399.92000000001</c:v>
                </c:pt>
                <c:pt idx="500">
                  <c:v>141499.92000000001</c:v>
                </c:pt>
                <c:pt idx="501">
                  <c:v>141599.92000000001</c:v>
                </c:pt>
                <c:pt idx="502">
                  <c:v>141699.92000000001</c:v>
                </c:pt>
                <c:pt idx="503">
                  <c:v>141799.92000000001</c:v>
                </c:pt>
                <c:pt idx="504">
                  <c:v>141899.92000000001</c:v>
                </c:pt>
                <c:pt idx="505">
                  <c:v>141999.92000000001</c:v>
                </c:pt>
                <c:pt idx="506">
                  <c:v>142099.92000000001</c:v>
                </c:pt>
                <c:pt idx="507">
                  <c:v>142199.92000000001</c:v>
                </c:pt>
                <c:pt idx="508">
                  <c:v>142299.92000000001</c:v>
                </c:pt>
                <c:pt idx="509">
                  <c:v>142399.92000000001</c:v>
                </c:pt>
                <c:pt idx="510">
                  <c:v>142427</c:v>
                </c:pt>
                <c:pt idx="511">
                  <c:v>142499.92000000001</c:v>
                </c:pt>
                <c:pt idx="512">
                  <c:v>142507</c:v>
                </c:pt>
                <c:pt idx="513">
                  <c:v>142599.92000000001</c:v>
                </c:pt>
                <c:pt idx="514">
                  <c:v>142699.92000000001</c:v>
                </c:pt>
                <c:pt idx="515">
                  <c:v>142799.92000000001</c:v>
                </c:pt>
                <c:pt idx="516">
                  <c:v>142899.92000000001</c:v>
                </c:pt>
                <c:pt idx="517">
                  <c:v>142999.92000000001</c:v>
                </c:pt>
                <c:pt idx="518">
                  <c:v>143099.92000000001</c:v>
                </c:pt>
                <c:pt idx="519">
                  <c:v>143199.92000000001</c:v>
                </c:pt>
                <c:pt idx="520">
                  <c:v>143299.92000000001</c:v>
                </c:pt>
                <c:pt idx="521">
                  <c:v>143399.92000000001</c:v>
                </c:pt>
                <c:pt idx="522">
                  <c:v>143499.92000000001</c:v>
                </c:pt>
                <c:pt idx="523">
                  <c:v>143599.92000000001</c:v>
                </c:pt>
                <c:pt idx="524">
                  <c:v>143699.92000000001</c:v>
                </c:pt>
                <c:pt idx="525">
                  <c:v>143799.92000000001</c:v>
                </c:pt>
                <c:pt idx="526">
                  <c:v>143899.92000000001</c:v>
                </c:pt>
                <c:pt idx="527">
                  <c:v>143999.92000000001</c:v>
                </c:pt>
                <c:pt idx="528">
                  <c:v>144099.92000000001</c:v>
                </c:pt>
                <c:pt idx="529">
                  <c:v>144199.92000000001</c:v>
                </c:pt>
                <c:pt idx="530">
                  <c:v>144299.92000000001</c:v>
                </c:pt>
                <c:pt idx="531">
                  <c:v>144399.92000000001</c:v>
                </c:pt>
                <c:pt idx="532">
                  <c:v>144478.29999999999</c:v>
                </c:pt>
                <c:pt idx="533">
                  <c:v>144499.92000000001</c:v>
                </c:pt>
                <c:pt idx="534">
                  <c:v>144558.29999999999</c:v>
                </c:pt>
                <c:pt idx="535">
                  <c:v>144599.92000000001</c:v>
                </c:pt>
                <c:pt idx="536">
                  <c:v>144699.92000000001</c:v>
                </c:pt>
                <c:pt idx="537">
                  <c:v>144799.92000000001</c:v>
                </c:pt>
                <c:pt idx="538">
                  <c:v>144899.92000000001</c:v>
                </c:pt>
                <c:pt idx="539">
                  <c:v>144999.92000000001</c:v>
                </c:pt>
                <c:pt idx="540">
                  <c:v>145099.92000000001</c:v>
                </c:pt>
                <c:pt idx="541">
                  <c:v>145199.92000000001</c:v>
                </c:pt>
                <c:pt idx="542">
                  <c:v>145299.92000000001</c:v>
                </c:pt>
                <c:pt idx="543">
                  <c:v>145399.92000000001</c:v>
                </c:pt>
                <c:pt idx="544">
                  <c:v>145499.92000000001</c:v>
                </c:pt>
                <c:pt idx="545">
                  <c:v>145599.92000000001</c:v>
                </c:pt>
                <c:pt idx="546">
                  <c:v>145699.92000000001</c:v>
                </c:pt>
                <c:pt idx="547">
                  <c:v>145799.92000000001</c:v>
                </c:pt>
                <c:pt idx="548">
                  <c:v>145899.92000000001</c:v>
                </c:pt>
                <c:pt idx="549">
                  <c:v>145999.92000000001</c:v>
                </c:pt>
                <c:pt idx="550">
                  <c:v>146099.92000000001</c:v>
                </c:pt>
                <c:pt idx="551">
                  <c:v>146199.92000000001</c:v>
                </c:pt>
                <c:pt idx="552">
                  <c:v>146262.29999999999</c:v>
                </c:pt>
                <c:pt idx="553">
                  <c:v>146299.92000000001</c:v>
                </c:pt>
                <c:pt idx="554">
                  <c:v>146342.29999999999</c:v>
                </c:pt>
                <c:pt idx="555">
                  <c:v>146399.92000000001</c:v>
                </c:pt>
                <c:pt idx="556">
                  <c:v>146499.92000000001</c:v>
                </c:pt>
                <c:pt idx="557">
                  <c:v>146599.92000000001</c:v>
                </c:pt>
                <c:pt idx="558">
                  <c:v>146699.92000000001</c:v>
                </c:pt>
                <c:pt idx="559">
                  <c:v>146799.92000000001</c:v>
                </c:pt>
                <c:pt idx="560">
                  <c:v>146899.92000000001</c:v>
                </c:pt>
                <c:pt idx="561">
                  <c:v>146999.92000000001</c:v>
                </c:pt>
                <c:pt idx="562">
                  <c:v>147099.92000000001</c:v>
                </c:pt>
                <c:pt idx="563">
                  <c:v>147199.92000000001</c:v>
                </c:pt>
                <c:pt idx="564">
                  <c:v>147299.92000000001</c:v>
                </c:pt>
                <c:pt idx="565">
                  <c:v>147399.92000000001</c:v>
                </c:pt>
                <c:pt idx="566">
                  <c:v>147499.92000000001</c:v>
                </c:pt>
                <c:pt idx="567">
                  <c:v>147599.92000000001</c:v>
                </c:pt>
                <c:pt idx="568">
                  <c:v>147699.92000000001</c:v>
                </c:pt>
                <c:pt idx="569">
                  <c:v>147799.92000000001</c:v>
                </c:pt>
                <c:pt idx="570">
                  <c:v>147899.92000000001</c:v>
                </c:pt>
                <c:pt idx="571">
                  <c:v>147999.92000000001</c:v>
                </c:pt>
                <c:pt idx="572">
                  <c:v>148099.92000000001</c:v>
                </c:pt>
                <c:pt idx="573">
                  <c:v>148199.92000000001</c:v>
                </c:pt>
                <c:pt idx="574">
                  <c:v>148299.92000000001</c:v>
                </c:pt>
                <c:pt idx="575">
                  <c:v>148399.92000000001</c:v>
                </c:pt>
                <c:pt idx="576">
                  <c:v>148499.92000000001</c:v>
                </c:pt>
                <c:pt idx="577">
                  <c:v>148599.92000000001</c:v>
                </c:pt>
                <c:pt idx="578">
                  <c:v>148699.92000000001</c:v>
                </c:pt>
                <c:pt idx="579">
                  <c:v>148799.92000000001</c:v>
                </c:pt>
                <c:pt idx="580">
                  <c:v>148899.92000000001</c:v>
                </c:pt>
                <c:pt idx="581">
                  <c:v>148999.92000000001</c:v>
                </c:pt>
                <c:pt idx="582">
                  <c:v>149099.92000000001</c:v>
                </c:pt>
                <c:pt idx="583">
                  <c:v>149199.92000000001</c:v>
                </c:pt>
                <c:pt idx="584">
                  <c:v>149299.92000000001</c:v>
                </c:pt>
                <c:pt idx="585">
                  <c:v>149399.92000000001</c:v>
                </c:pt>
                <c:pt idx="586">
                  <c:v>149499.92000000001</c:v>
                </c:pt>
                <c:pt idx="587">
                  <c:v>149599.92000000001</c:v>
                </c:pt>
                <c:pt idx="588">
                  <c:v>149699.92000000001</c:v>
                </c:pt>
                <c:pt idx="589">
                  <c:v>149799.92000000001</c:v>
                </c:pt>
                <c:pt idx="590">
                  <c:v>149899.92000000001</c:v>
                </c:pt>
                <c:pt idx="591">
                  <c:v>149999.92000000001</c:v>
                </c:pt>
                <c:pt idx="592">
                  <c:v>150099.92000000001</c:v>
                </c:pt>
                <c:pt idx="593">
                  <c:v>150120.79999999999</c:v>
                </c:pt>
                <c:pt idx="594">
                  <c:v>150199.92000000001</c:v>
                </c:pt>
                <c:pt idx="595">
                  <c:v>150240.79999999999</c:v>
                </c:pt>
                <c:pt idx="596">
                  <c:v>150299.92000000001</c:v>
                </c:pt>
                <c:pt idx="597">
                  <c:v>150399.92000000001</c:v>
                </c:pt>
                <c:pt idx="598">
                  <c:v>150499.92000000001</c:v>
                </c:pt>
                <c:pt idx="599">
                  <c:v>150599.92000000001</c:v>
                </c:pt>
                <c:pt idx="600">
                  <c:v>150699.92000000001</c:v>
                </c:pt>
                <c:pt idx="601">
                  <c:v>150799.92000000001</c:v>
                </c:pt>
                <c:pt idx="602">
                  <c:v>150899.92000000001</c:v>
                </c:pt>
                <c:pt idx="603">
                  <c:v>150999.92000000001</c:v>
                </c:pt>
                <c:pt idx="604">
                  <c:v>151099.92000000001</c:v>
                </c:pt>
                <c:pt idx="605">
                  <c:v>151199.92000000001</c:v>
                </c:pt>
                <c:pt idx="606">
                  <c:v>151299.92000000001</c:v>
                </c:pt>
                <c:pt idx="607">
                  <c:v>151399.92000000001</c:v>
                </c:pt>
                <c:pt idx="608">
                  <c:v>151499.92000000001</c:v>
                </c:pt>
                <c:pt idx="609">
                  <c:v>151599.92000000001</c:v>
                </c:pt>
                <c:pt idx="610">
                  <c:v>151699.92000000001</c:v>
                </c:pt>
                <c:pt idx="611">
                  <c:v>151799.92000000001</c:v>
                </c:pt>
                <c:pt idx="612">
                  <c:v>151899.92000000001</c:v>
                </c:pt>
                <c:pt idx="613">
                  <c:v>151999.92000000001</c:v>
                </c:pt>
                <c:pt idx="614">
                  <c:v>152099.92000000001</c:v>
                </c:pt>
                <c:pt idx="615">
                  <c:v>152199.92000000001</c:v>
                </c:pt>
                <c:pt idx="616">
                  <c:v>152299.92000000001</c:v>
                </c:pt>
                <c:pt idx="617">
                  <c:v>152399.92000000001</c:v>
                </c:pt>
                <c:pt idx="618">
                  <c:v>152499.92000000001</c:v>
                </c:pt>
                <c:pt idx="619">
                  <c:v>152599.92000000001</c:v>
                </c:pt>
                <c:pt idx="620">
                  <c:v>152699.92000000001</c:v>
                </c:pt>
                <c:pt idx="621">
                  <c:v>152799.92000000001</c:v>
                </c:pt>
                <c:pt idx="622">
                  <c:v>152899.92000000001</c:v>
                </c:pt>
                <c:pt idx="623">
                  <c:v>152999.92000000001</c:v>
                </c:pt>
                <c:pt idx="624">
                  <c:v>153099.92000000001</c:v>
                </c:pt>
                <c:pt idx="625">
                  <c:v>153199.92000000001</c:v>
                </c:pt>
                <c:pt idx="626">
                  <c:v>153299.92000000001</c:v>
                </c:pt>
                <c:pt idx="627">
                  <c:v>153399.92000000001</c:v>
                </c:pt>
                <c:pt idx="628">
                  <c:v>153499.92000000001</c:v>
                </c:pt>
                <c:pt idx="629">
                  <c:v>153599.92000000001</c:v>
                </c:pt>
                <c:pt idx="630">
                  <c:v>153699.92000000001</c:v>
                </c:pt>
                <c:pt idx="631">
                  <c:v>153799.92000000001</c:v>
                </c:pt>
                <c:pt idx="632">
                  <c:v>153859</c:v>
                </c:pt>
                <c:pt idx="633">
                  <c:v>153899.92000000001</c:v>
                </c:pt>
                <c:pt idx="634">
                  <c:v>153999.92000000001</c:v>
                </c:pt>
                <c:pt idx="635">
                  <c:v>154099.92000000001</c:v>
                </c:pt>
                <c:pt idx="636">
                  <c:v>154199.92000000001</c:v>
                </c:pt>
                <c:pt idx="637">
                  <c:v>154299.92000000001</c:v>
                </c:pt>
                <c:pt idx="638">
                  <c:v>154399.92000000001</c:v>
                </c:pt>
                <c:pt idx="639">
                  <c:v>154499.92000000001</c:v>
                </c:pt>
                <c:pt idx="640">
                  <c:v>154599.92000000001</c:v>
                </c:pt>
                <c:pt idx="641">
                  <c:v>154699.92000000001</c:v>
                </c:pt>
                <c:pt idx="642">
                  <c:v>154799.92000000001</c:v>
                </c:pt>
                <c:pt idx="643">
                  <c:v>154899.92000000001</c:v>
                </c:pt>
                <c:pt idx="644">
                  <c:v>154999.92000000001</c:v>
                </c:pt>
                <c:pt idx="645">
                  <c:v>155099.92000000001</c:v>
                </c:pt>
                <c:pt idx="646">
                  <c:v>155199.92000000001</c:v>
                </c:pt>
                <c:pt idx="647">
                  <c:v>155299.92000000001</c:v>
                </c:pt>
                <c:pt idx="648">
                  <c:v>155399.92000000001</c:v>
                </c:pt>
                <c:pt idx="649">
                  <c:v>155499.92000000001</c:v>
                </c:pt>
                <c:pt idx="650">
                  <c:v>155569</c:v>
                </c:pt>
                <c:pt idx="651">
                  <c:v>155599.92000000001</c:v>
                </c:pt>
                <c:pt idx="652">
                  <c:v>155699.92000000001</c:v>
                </c:pt>
                <c:pt idx="653">
                  <c:v>155799.92000000001</c:v>
                </c:pt>
                <c:pt idx="654">
                  <c:v>155899.92000000001</c:v>
                </c:pt>
                <c:pt idx="655">
                  <c:v>155999.92000000001</c:v>
                </c:pt>
                <c:pt idx="656">
                  <c:v>156099.92000000001</c:v>
                </c:pt>
                <c:pt idx="657">
                  <c:v>156199.92000000001</c:v>
                </c:pt>
                <c:pt idx="658">
                  <c:v>156299.92000000001</c:v>
                </c:pt>
                <c:pt idx="659">
                  <c:v>156399.92000000001</c:v>
                </c:pt>
                <c:pt idx="660">
                  <c:v>156499.92000000001</c:v>
                </c:pt>
                <c:pt idx="661">
                  <c:v>156599.92000000001</c:v>
                </c:pt>
                <c:pt idx="662">
                  <c:v>156699.92000000001</c:v>
                </c:pt>
                <c:pt idx="663">
                  <c:v>156799.92000000001</c:v>
                </c:pt>
                <c:pt idx="664">
                  <c:v>156899.92000000001</c:v>
                </c:pt>
                <c:pt idx="665">
                  <c:v>156999.92000000001</c:v>
                </c:pt>
                <c:pt idx="666">
                  <c:v>157099.92000000001</c:v>
                </c:pt>
                <c:pt idx="667">
                  <c:v>157199.92000000001</c:v>
                </c:pt>
                <c:pt idx="668">
                  <c:v>157299.92000000001</c:v>
                </c:pt>
                <c:pt idx="669">
                  <c:v>157399.92000000001</c:v>
                </c:pt>
                <c:pt idx="670">
                  <c:v>157499.92000000001</c:v>
                </c:pt>
                <c:pt idx="671">
                  <c:v>157599.92000000001</c:v>
                </c:pt>
                <c:pt idx="672">
                  <c:v>157699.92000000001</c:v>
                </c:pt>
                <c:pt idx="673">
                  <c:v>157799.92000000001</c:v>
                </c:pt>
                <c:pt idx="674">
                  <c:v>157899.92000000001</c:v>
                </c:pt>
                <c:pt idx="675">
                  <c:v>157999.92000000001</c:v>
                </c:pt>
                <c:pt idx="676">
                  <c:v>158099.92000000001</c:v>
                </c:pt>
                <c:pt idx="677">
                  <c:v>158199.92000000001</c:v>
                </c:pt>
                <c:pt idx="678">
                  <c:v>158299.92000000001</c:v>
                </c:pt>
                <c:pt idx="679">
                  <c:v>158399.92000000001</c:v>
                </c:pt>
                <c:pt idx="680">
                  <c:v>158499.92000000001</c:v>
                </c:pt>
                <c:pt idx="681">
                  <c:v>158599.92000000001</c:v>
                </c:pt>
                <c:pt idx="682">
                  <c:v>158699.92000000001</c:v>
                </c:pt>
                <c:pt idx="683">
                  <c:v>158737.4</c:v>
                </c:pt>
                <c:pt idx="684">
                  <c:v>158799.92000000001</c:v>
                </c:pt>
                <c:pt idx="685">
                  <c:v>158897.4</c:v>
                </c:pt>
                <c:pt idx="686">
                  <c:v>158899.92000000001</c:v>
                </c:pt>
                <c:pt idx="687">
                  <c:v>158999.92000000001</c:v>
                </c:pt>
                <c:pt idx="688">
                  <c:v>159099.92000000001</c:v>
                </c:pt>
                <c:pt idx="689">
                  <c:v>159199.92000000001</c:v>
                </c:pt>
                <c:pt idx="690">
                  <c:v>159299.92000000001</c:v>
                </c:pt>
                <c:pt idx="691">
                  <c:v>159399.92000000001</c:v>
                </c:pt>
                <c:pt idx="692">
                  <c:v>159499.92000000001</c:v>
                </c:pt>
                <c:pt idx="693">
                  <c:v>159523.79999999999</c:v>
                </c:pt>
                <c:pt idx="694">
                  <c:v>159599.92000000001</c:v>
                </c:pt>
                <c:pt idx="695">
                  <c:v>159643.79999999999</c:v>
                </c:pt>
                <c:pt idx="696">
                  <c:v>159699.92000000001</c:v>
                </c:pt>
                <c:pt idx="697">
                  <c:v>159799.92000000001</c:v>
                </c:pt>
                <c:pt idx="698">
                  <c:v>159899.92000000001</c:v>
                </c:pt>
                <c:pt idx="699">
                  <c:v>159999.92000000001</c:v>
                </c:pt>
                <c:pt idx="700">
                  <c:v>160099.92000000001</c:v>
                </c:pt>
                <c:pt idx="701">
                  <c:v>160199.92000000001</c:v>
                </c:pt>
                <c:pt idx="702">
                  <c:v>160299.92000000001</c:v>
                </c:pt>
                <c:pt idx="703">
                  <c:v>160399.92000000001</c:v>
                </c:pt>
                <c:pt idx="704">
                  <c:v>160499.92000000001</c:v>
                </c:pt>
                <c:pt idx="705">
                  <c:v>160599.92000000001</c:v>
                </c:pt>
                <c:pt idx="706">
                  <c:v>160699.92000000001</c:v>
                </c:pt>
                <c:pt idx="707">
                  <c:v>160799.92000000001</c:v>
                </c:pt>
                <c:pt idx="708">
                  <c:v>160899.92000000001</c:v>
                </c:pt>
                <c:pt idx="709">
                  <c:v>160999.92000000001</c:v>
                </c:pt>
                <c:pt idx="710">
                  <c:v>161099.92000000001</c:v>
                </c:pt>
                <c:pt idx="711">
                  <c:v>161199.92000000001</c:v>
                </c:pt>
                <c:pt idx="712">
                  <c:v>161299.92000000001</c:v>
                </c:pt>
                <c:pt idx="713">
                  <c:v>161399.92000000001</c:v>
                </c:pt>
                <c:pt idx="714">
                  <c:v>161499.92000000001</c:v>
                </c:pt>
                <c:pt idx="715">
                  <c:v>161599.92000000001</c:v>
                </c:pt>
                <c:pt idx="716">
                  <c:v>161699.92000000001</c:v>
                </c:pt>
                <c:pt idx="717">
                  <c:v>161799.92000000001</c:v>
                </c:pt>
                <c:pt idx="718">
                  <c:v>161899.92000000001</c:v>
                </c:pt>
                <c:pt idx="719">
                  <c:v>161999.92000000001</c:v>
                </c:pt>
                <c:pt idx="720">
                  <c:v>162099.92000000001</c:v>
                </c:pt>
                <c:pt idx="721">
                  <c:v>162199.92000000001</c:v>
                </c:pt>
                <c:pt idx="722">
                  <c:v>162299.92000000001</c:v>
                </c:pt>
                <c:pt idx="723">
                  <c:v>162399.92000000001</c:v>
                </c:pt>
                <c:pt idx="724">
                  <c:v>162499.92000000001</c:v>
                </c:pt>
                <c:pt idx="725">
                  <c:v>162599.92000000001</c:v>
                </c:pt>
                <c:pt idx="726">
                  <c:v>162699.92000000001</c:v>
                </c:pt>
                <c:pt idx="727">
                  <c:v>162799.92000000001</c:v>
                </c:pt>
                <c:pt idx="728">
                  <c:v>162899.92000000001</c:v>
                </c:pt>
                <c:pt idx="729">
                  <c:v>162999.92000000001</c:v>
                </c:pt>
                <c:pt idx="730">
                  <c:v>163099.92000000001</c:v>
                </c:pt>
                <c:pt idx="731">
                  <c:v>163199.92000000001</c:v>
                </c:pt>
                <c:pt idx="732">
                  <c:v>163299.92000000001</c:v>
                </c:pt>
                <c:pt idx="733">
                  <c:v>163399.92000000001</c:v>
                </c:pt>
                <c:pt idx="734">
                  <c:v>163499.92000000001</c:v>
                </c:pt>
                <c:pt idx="735">
                  <c:v>163599.92000000001</c:v>
                </c:pt>
                <c:pt idx="736">
                  <c:v>163699.92000000001</c:v>
                </c:pt>
                <c:pt idx="737">
                  <c:v>163799.92000000001</c:v>
                </c:pt>
                <c:pt idx="738">
                  <c:v>163899.92000000001</c:v>
                </c:pt>
                <c:pt idx="739">
                  <c:v>163999.92000000001</c:v>
                </c:pt>
                <c:pt idx="740">
                  <c:v>164099.92000000001</c:v>
                </c:pt>
                <c:pt idx="741">
                  <c:v>164199.92000000001</c:v>
                </c:pt>
                <c:pt idx="742">
                  <c:v>164299.92000000001</c:v>
                </c:pt>
                <c:pt idx="743">
                  <c:v>164399.92000000001</c:v>
                </c:pt>
                <c:pt idx="744">
                  <c:v>164499.92000000001</c:v>
                </c:pt>
                <c:pt idx="745">
                  <c:v>164599.92000000001</c:v>
                </c:pt>
                <c:pt idx="746">
                  <c:v>164699.92000000001</c:v>
                </c:pt>
                <c:pt idx="747">
                  <c:v>164799.92000000001</c:v>
                </c:pt>
                <c:pt idx="748">
                  <c:v>164899.92000000001</c:v>
                </c:pt>
                <c:pt idx="749">
                  <c:v>164999.92000000001</c:v>
                </c:pt>
                <c:pt idx="750">
                  <c:v>165099.92000000001</c:v>
                </c:pt>
                <c:pt idx="751">
                  <c:v>165199.92000000001</c:v>
                </c:pt>
                <c:pt idx="752">
                  <c:v>165257.4</c:v>
                </c:pt>
                <c:pt idx="753">
                  <c:v>165299.92000000001</c:v>
                </c:pt>
                <c:pt idx="754">
                  <c:v>165399.92000000001</c:v>
                </c:pt>
                <c:pt idx="755">
                  <c:v>165457.4</c:v>
                </c:pt>
                <c:pt idx="756">
                  <c:v>165499.92000000001</c:v>
                </c:pt>
                <c:pt idx="757">
                  <c:v>165599.92000000001</c:v>
                </c:pt>
                <c:pt idx="758">
                  <c:v>165699.92000000001</c:v>
                </c:pt>
                <c:pt idx="759">
                  <c:v>165799.92000000001</c:v>
                </c:pt>
                <c:pt idx="760">
                  <c:v>165899.92000000001</c:v>
                </c:pt>
                <c:pt idx="761">
                  <c:v>165999.92000000001</c:v>
                </c:pt>
                <c:pt idx="762">
                  <c:v>166099.92000000001</c:v>
                </c:pt>
                <c:pt idx="763">
                  <c:v>166199.92000000001</c:v>
                </c:pt>
                <c:pt idx="764">
                  <c:v>166299.92000000001</c:v>
                </c:pt>
                <c:pt idx="765">
                  <c:v>166399.92000000001</c:v>
                </c:pt>
                <c:pt idx="766">
                  <c:v>166499.92000000001</c:v>
                </c:pt>
                <c:pt idx="767">
                  <c:v>166599.92000000001</c:v>
                </c:pt>
                <c:pt idx="768">
                  <c:v>166699.92000000001</c:v>
                </c:pt>
                <c:pt idx="769">
                  <c:v>166799.92000000001</c:v>
                </c:pt>
                <c:pt idx="770">
                  <c:v>166899.92000000001</c:v>
                </c:pt>
                <c:pt idx="771">
                  <c:v>166999.92000000001</c:v>
                </c:pt>
                <c:pt idx="772">
                  <c:v>167099.92000000001</c:v>
                </c:pt>
                <c:pt idx="773">
                  <c:v>167199.92000000001</c:v>
                </c:pt>
                <c:pt idx="774">
                  <c:v>167299.92000000001</c:v>
                </c:pt>
                <c:pt idx="775">
                  <c:v>167399.92000000001</c:v>
                </c:pt>
                <c:pt idx="776">
                  <c:v>167499.92000000001</c:v>
                </c:pt>
                <c:pt idx="777">
                  <c:v>167599.92000000001</c:v>
                </c:pt>
                <c:pt idx="778">
                  <c:v>167699.92000000001</c:v>
                </c:pt>
                <c:pt idx="779">
                  <c:v>167799.92</c:v>
                </c:pt>
                <c:pt idx="780">
                  <c:v>167899.92</c:v>
                </c:pt>
                <c:pt idx="781">
                  <c:v>167947</c:v>
                </c:pt>
                <c:pt idx="782">
                  <c:v>167999.92</c:v>
                </c:pt>
                <c:pt idx="783">
                  <c:v>168022</c:v>
                </c:pt>
                <c:pt idx="784">
                  <c:v>168099.92</c:v>
                </c:pt>
                <c:pt idx="785">
                  <c:v>168199.92</c:v>
                </c:pt>
                <c:pt idx="786">
                  <c:v>168244.4</c:v>
                </c:pt>
                <c:pt idx="787">
                  <c:v>168299.92</c:v>
                </c:pt>
                <c:pt idx="788">
                  <c:v>168399.92</c:v>
                </c:pt>
                <c:pt idx="789">
                  <c:v>168499.92</c:v>
                </c:pt>
                <c:pt idx="790">
                  <c:v>168599.92</c:v>
                </c:pt>
                <c:pt idx="791">
                  <c:v>168624.4</c:v>
                </c:pt>
                <c:pt idx="792">
                  <c:v>168699.92</c:v>
                </c:pt>
                <c:pt idx="793">
                  <c:v>168799.92</c:v>
                </c:pt>
                <c:pt idx="794">
                  <c:v>168899.92</c:v>
                </c:pt>
                <c:pt idx="795">
                  <c:v>168999.92</c:v>
                </c:pt>
                <c:pt idx="796">
                  <c:v>169099.92</c:v>
                </c:pt>
                <c:pt idx="797">
                  <c:v>169199.92</c:v>
                </c:pt>
                <c:pt idx="798">
                  <c:v>169299.92</c:v>
                </c:pt>
                <c:pt idx="799">
                  <c:v>169399.92</c:v>
                </c:pt>
                <c:pt idx="800">
                  <c:v>169499.92</c:v>
                </c:pt>
                <c:pt idx="801">
                  <c:v>169599.92</c:v>
                </c:pt>
                <c:pt idx="802">
                  <c:v>169699.92</c:v>
                </c:pt>
                <c:pt idx="803">
                  <c:v>169799.92</c:v>
                </c:pt>
                <c:pt idx="804">
                  <c:v>169899.92</c:v>
                </c:pt>
                <c:pt idx="805">
                  <c:v>169999.92</c:v>
                </c:pt>
                <c:pt idx="806">
                  <c:v>170099.92</c:v>
                </c:pt>
                <c:pt idx="807">
                  <c:v>170199.92</c:v>
                </c:pt>
                <c:pt idx="808">
                  <c:v>170299.92</c:v>
                </c:pt>
                <c:pt idx="809">
                  <c:v>170399.92</c:v>
                </c:pt>
                <c:pt idx="810">
                  <c:v>170499.92</c:v>
                </c:pt>
                <c:pt idx="811">
                  <c:v>170599.92</c:v>
                </c:pt>
                <c:pt idx="812">
                  <c:v>170699.92</c:v>
                </c:pt>
                <c:pt idx="813">
                  <c:v>170799.92</c:v>
                </c:pt>
                <c:pt idx="814">
                  <c:v>170899.92</c:v>
                </c:pt>
                <c:pt idx="815">
                  <c:v>170999.92</c:v>
                </c:pt>
                <c:pt idx="816">
                  <c:v>171099.92</c:v>
                </c:pt>
                <c:pt idx="817">
                  <c:v>171199.92</c:v>
                </c:pt>
                <c:pt idx="818">
                  <c:v>171299.92</c:v>
                </c:pt>
                <c:pt idx="819">
                  <c:v>171399.92</c:v>
                </c:pt>
                <c:pt idx="820">
                  <c:v>171499.92</c:v>
                </c:pt>
                <c:pt idx="821">
                  <c:v>171599.92</c:v>
                </c:pt>
                <c:pt idx="822">
                  <c:v>171699.92</c:v>
                </c:pt>
                <c:pt idx="823">
                  <c:v>171799.92</c:v>
                </c:pt>
                <c:pt idx="824">
                  <c:v>171899.92</c:v>
                </c:pt>
                <c:pt idx="825">
                  <c:v>171999.92</c:v>
                </c:pt>
                <c:pt idx="826">
                  <c:v>172099.92</c:v>
                </c:pt>
                <c:pt idx="827">
                  <c:v>172199.92</c:v>
                </c:pt>
                <c:pt idx="828">
                  <c:v>172299.92</c:v>
                </c:pt>
                <c:pt idx="829">
                  <c:v>172399.92</c:v>
                </c:pt>
                <c:pt idx="830">
                  <c:v>172499.92</c:v>
                </c:pt>
                <c:pt idx="831">
                  <c:v>172599.92</c:v>
                </c:pt>
                <c:pt idx="832">
                  <c:v>172699.92</c:v>
                </c:pt>
                <c:pt idx="833">
                  <c:v>172799.92</c:v>
                </c:pt>
                <c:pt idx="834">
                  <c:v>172899.92</c:v>
                </c:pt>
                <c:pt idx="835">
                  <c:v>172999.92</c:v>
                </c:pt>
                <c:pt idx="836">
                  <c:v>173099.92</c:v>
                </c:pt>
                <c:pt idx="837">
                  <c:v>173199.92</c:v>
                </c:pt>
                <c:pt idx="838">
                  <c:v>173299.92</c:v>
                </c:pt>
                <c:pt idx="839">
                  <c:v>173399.92</c:v>
                </c:pt>
                <c:pt idx="840">
                  <c:v>173499.92</c:v>
                </c:pt>
                <c:pt idx="841">
                  <c:v>173599.92</c:v>
                </c:pt>
                <c:pt idx="842">
                  <c:v>173699.92</c:v>
                </c:pt>
                <c:pt idx="843">
                  <c:v>173799.92</c:v>
                </c:pt>
                <c:pt idx="844">
                  <c:v>173899.92</c:v>
                </c:pt>
                <c:pt idx="845">
                  <c:v>173999.92</c:v>
                </c:pt>
                <c:pt idx="846">
                  <c:v>174099.92</c:v>
                </c:pt>
                <c:pt idx="847">
                  <c:v>174199.92</c:v>
                </c:pt>
                <c:pt idx="848">
                  <c:v>174233.5</c:v>
                </c:pt>
                <c:pt idx="849">
                  <c:v>174299.92</c:v>
                </c:pt>
                <c:pt idx="850">
                  <c:v>174313.5</c:v>
                </c:pt>
                <c:pt idx="851">
                  <c:v>174399.92</c:v>
                </c:pt>
                <c:pt idx="852">
                  <c:v>174499.92</c:v>
                </c:pt>
                <c:pt idx="853">
                  <c:v>174599.92</c:v>
                </c:pt>
                <c:pt idx="854">
                  <c:v>174699.92</c:v>
                </c:pt>
                <c:pt idx="855">
                  <c:v>174799.92</c:v>
                </c:pt>
                <c:pt idx="856">
                  <c:v>174899.92</c:v>
                </c:pt>
                <c:pt idx="857">
                  <c:v>174999.92</c:v>
                </c:pt>
                <c:pt idx="858">
                  <c:v>175099.92</c:v>
                </c:pt>
                <c:pt idx="859">
                  <c:v>175199.92</c:v>
                </c:pt>
                <c:pt idx="860">
                  <c:v>175299.92</c:v>
                </c:pt>
                <c:pt idx="861">
                  <c:v>175399.92</c:v>
                </c:pt>
                <c:pt idx="862">
                  <c:v>175499.92</c:v>
                </c:pt>
                <c:pt idx="863">
                  <c:v>175599.92</c:v>
                </c:pt>
                <c:pt idx="864">
                  <c:v>175699.92</c:v>
                </c:pt>
                <c:pt idx="865">
                  <c:v>175799.92</c:v>
                </c:pt>
                <c:pt idx="866">
                  <c:v>175899.92</c:v>
                </c:pt>
                <c:pt idx="867">
                  <c:v>175999.92</c:v>
                </c:pt>
                <c:pt idx="868">
                  <c:v>176099.92</c:v>
                </c:pt>
                <c:pt idx="869">
                  <c:v>176199.92</c:v>
                </c:pt>
                <c:pt idx="870">
                  <c:v>176299.92</c:v>
                </c:pt>
                <c:pt idx="871">
                  <c:v>176399.92</c:v>
                </c:pt>
                <c:pt idx="872">
                  <c:v>176499.92</c:v>
                </c:pt>
                <c:pt idx="873">
                  <c:v>176599.92</c:v>
                </c:pt>
                <c:pt idx="874">
                  <c:v>176699.92</c:v>
                </c:pt>
                <c:pt idx="875">
                  <c:v>176714</c:v>
                </c:pt>
                <c:pt idx="876">
                  <c:v>176794</c:v>
                </c:pt>
                <c:pt idx="877">
                  <c:v>176799.92</c:v>
                </c:pt>
                <c:pt idx="878">
                  <c:v>176899.92</c:v>
                </c:pt>
                <c:pt idx="879">
                  <c:v>176999.92</c:v>
                </c:pt>
                <c:pt idx="880">
                  <c:v>177099.92</c:v>
                </c:pt>
                <c:pt idx="881">
                  <c:v>177199.92</c:v>
                </c:pt>
                <c:pt idx="882">
                  <c:v>177299.92</c:v>
                </c:pt>
                <c:pt idx="883">
                  <c:v>177399.92</c:v>
                </c:pt>
                <c:pt idx="884">
                  <c:v>177499.92</c:v>
                </c:pt>
                <c:pt idx="885">
                  <c:v>177599.92</c:v>
                </c:pt>
                <c:pt idx="886">
                  <c:v>177699.92</c:v>
                </c:pt>
                <c:pt idx="887">
                  <c:v>177799.92</c:v>
                </c:pt>
                <c:pt idx="888">
                  <c:v>177899.92</c:v>
                </c:pt>
                <c:pt idx="889">
                  <c:v>177999.92</c:v>
                </c:pt>
                <c:pt idx="890">
                  <c:v>178099.92</c:v>
                </c:pt>
                <c:pt idx="891">
                  <c:v>178199.92</c:v>
                </c:pt>
                <c:pt idx="892">
                  <c:v>178299.92</c:v>
                </c:pt>
                <c:pt idx="893">
                  <c:v>178399.92</c:v>
                </c:pt>
                <c:pt idx="894">
                  <c:v>178499.92</c:v>
                </c:pt>
                <c:pt idx="895">
                  <c:v>178599.92</c:v>
                </c:pt>
                <c:pt idx="896">
                  <c:v>178699.92</c:v>
                </c:pt>
                <c:pt idx="897">
                  <c:v>178799.92</c:v>
                </c:pt>
                <c:pt idx="898">
                  <c:v>178864.3</c:v>
                </c:pt>
                <c:pt idx="899">
                  <c:v>178899.92</c:v>
                </c:pt>
                <c:pt idx="900">
                  <c:v>178999.92</c:v>
                </c:pt>
                <c:pt idx="901">
                  <c:v>179099.92</c:v>
                </c:pt>
                <c:pt idx="902">
                  <c:v>179104.3</c:v>
                </c:pt>
                <c:pt idx="903">
                  <c:v>179199.92</c:v>
                </c:pt>
                <c:pt idx="904">
                  <c:v>179299.92</c:v>
                </c:pt>
                <c:pt idx="905">
                  <c:v>179399.92</c:v>
                </c:pt>
                <c:pt idx="906">
                  <c:v>179499.92</c:v>
                </c:pt>
                <c:pt idx="907">
                  <c:v>179599.92</c:v>
                </c:pt>
                <c:pt idx="908">
                  <c:v>179699.92</c:v>
                </c:pt>
                <c:pt idx="909">
                  <c:v>179799.92</c:v>
                </c:pt>
                <c:pt idx="910">
                  <c:v>179899.92</c:v>
                </c:pt>
                <c:pt idx="911">
                  <c:v>179999.92</c:v>
                </c:pt>
                <c:pt idx="912">
                  <c:v>180099.92</c:v>
                </c:pt>
                <c:pt idx="913">
                  <c:v>180199.92</c:v>
                </c:pt>
                <c:pt idx="914">
                  <c:v>180299.92</c:v>
                </c:pt>
                <c:pt idx="915">
                  <c:v>180399.92</c:v>
                </c:pt>
                <c:pt idx="916">
                  <c:v>180499.92</c:v>
                </c:pt>
                <c:pt idx="917">
                  <c:v>180599.92</c:v>
                </c:pt>
                <c:pt idx="918">
                  <c:v>180699.92</c:v>
                </c:pt>
                <c:pt idx="919">
                  <c:v>180799.92</c:v>
                </c:pt>
                <c:pt idx="920">
                  <c:v>180899.92</c:v>
                </c:pt>
                <c:pt idx="921">
                  <c:v>180999.92</c:v>
                </c:pt>
                <c:pt idx="922">
                  <c:v>181099.92</c:v>
                </c:pt>
                <c:pt idx="923">
                  <c:v>181199.92</c:v>
                </c:pt>
                <c:pt idx="924">
                  <c:v>181299.92</c:v>
                </c:pt>
                <c:pt idx="925">
                  <c:v>181399.92</c:v>
                </c:pt>
                <c:pt idx="926">
                  <c:v>181499.92</c:v>
                </c:pt>
                <c:pt idx="927">
                  <c:v>181599.92</c:v>
                </c:pt>
                <c:pt idx="928">
                  <c:v>181699.92</c:v>
                </c:pt>
                <c:pt idx="929">
                  <c:v>181799.92</c:v>
                </c:pt>
                <c:pt idx="930">
                  <c:v>181899.92</c:v>
                </c:pt>
                <c:pt idx="931">
                  <c:v>181999.92</c:v>
                </c:pt>
                <c:pt idx="932">
                  <c:v>182099.92</c:v>
                </c:pt>
                <c:pt idx="933">
                  <c:v>182199.92</c:v>
                </c:pt>
                <c:pt idx="934">
                  <c:v>182250</c:v>
                </c:pt>
                <c:pt idx="935">
                  <c:v>182299.92</c:v>
                </c:pt>
                <c:pt idx="936">
                  <c:v>182399.92</c:v>
                </c:pt>
                <c:pt idx="937">
                  <c:v>182450</c:v>
                </c:pt>
                <c:pt idx="938">
                  <c:v>182499.92</c:v>
                </c:pt>
                <c:pt idx="939">
                  <c:v>182599.92</c:v>
                </c:pt>
                <c:pt idx="940">
                  <c:v>182699.92</c:v>
                </c:pt>
                <c:pt idx="941">
                  <c:v>182799.92</c:v>
                </c:pt>
                <c:pt idx="942">
                  <c:v>182899.92</c:v>
                </c:pt>
                <c:pt idx="943">
                  <c:v>182999.92</c:v>
                </c:pt>
                <c:pt idx="944">
                  <c:v>183099.92</c:v>
                </c:pt>
                <c:pt idx="945">
                  <c:v>183199.92</c:v>
                </c:pt>
                <c:pt idx="946">
                  <c:v>183299.92</c:v>
                </c:pt>
                <c:pt idx="947">
                  <c:v>183399.92</c:v>
                </c:pt>
                <c:pt idx="948">
                  <c:v>183499.92</c:v>
                </c:pt>
                <c:pt idx="949">
                  <c:v>183599.92</c:v>
                </c:pt>
                <c:pt idx="950">
                  <c:v>183699.92</c:v>
                </c:pt>
                <c:pt idx="951">
                  <c:v>183799.92</c:v>
                </c:pt>
                <c:pt idx="952">
                  <c:v>183899.92</c:v>
                </c:pt>
                <c:pt idx="953">
                  <c:v>183999.92</c:v>
                </c:pt>
                <c:pt idx="954">
                  <c:v>184099.92</c:v>
                </c:pt>
                <c:pt idx="955">
                  <c:v>184199.92</c:v>
                </c:pt>
                <c:pt idx="956">
                  <c:v>184299.92</c:v>
                </c:pt>
                <c:pt idx="957">
                  <c:v>184399.92</c:v>
                </c:pt>
                <c:pt idx="958">
                  <c:v>184499.92</c:v>
                </c:pt>
                <c:pt idx="959">
                  <c:v>184599.92</c:v>
                </c:pt>
                <c:pt idx="960">
                  <c:v>184699.92</c:v>
                </c:pt>
                <c:pt idx="961">
                  <c:v>184799.92</c:v>
                </c:pt>
                <c:pt idx="962">
                  <c:v>184899.92</c:v>
                </c:pt>
                <c:pt idx="963">
                  <c:v>184999.92</c:v>
                </c:pt>
                <c:pt idx="964">
                  <c:v>185099.92</c:v>
                </c:pt>
                <c:pt idx="965">
                  <c:v>185199.92</c:v>
                </c:pt>
                <c:pt idx="966">
                  <c:v>185299.92</c:v>
                </c:pt>
                <c:pt idx="967">
                  <c:v>185399.92</c:v>
                </c:pt>
                <c:pt idx="968">
                  <c:v>185499.92</c:v>
                </c:pt>
                <c:pt idx="969">
                  <c:v>185599.92</c:v>
                </c:pt>
                <c:pt idx="970">
                  <c:v>185699.92</c:v>
                </c:pt>
                <c:pt idx="971">
                  <c:v>185799.92</c:v>
                </c:pt>
                <c:pt idx="972">
                  <c:v>185899.92</c:v>
                </c:pt>
                <c:pt idx="973">
                  <c:v>185999.92</c:v>
                </c:pt>
                <c:pt idx="974">
                  <c:v>186099.92</c:v>
                </c:pt>
                <c:pt idx="975">
                  <c:v>186199.92</c:v>
                </c:pt>
                <c:pt idx="976">
                  <c:v>186299.92</c:v>
                </c:pt>
                <c:pt idx="977">
                  <c:v>186399.92</c:v>
                </c:pt>
                <c:pt idx="978">
                  <c:v>186499.92</c:v>
                </c:pt>
                <c:pt idx="979">
                  <c:v>186599.92</c:v>
                </c:pt>
                <c:pt idx="980">
                  <c:v>186699.92</c:v>
                </c:pt>
                <c:pt idx="981">
                  <c:v>186799.92</c:v>
                </c:pt>
                <c:pt idx="982">
                  <c:v>186876.3</c:v>
                </c:pt>
                <c:pt idx="983">
                  <c:v>186899.92</c:v>
                </c:pt>
                <c:pt idx="984">
                  <c:v>186996.3</c:v>
                </c:pt>
                <c:pt idx="985">
                  <c:v>186999.92</c:v>
                </c:pt>
                <c:pt idx="986">
                  <c:v>187099.92</c:v>
                </c:pt>
                <c:pt idx="987">
                  <c:v>187199.92</c:v>
                </c:pt>
                <c:pt idx="988">
                  <c:v>187299.92</c:v>
                </c:pt>
                <c:pt idx="989">
                  <c:v>187399.92</c:v>
                </c:pt>
                <c:pt idx="990">
                  <c:v>187499.92</c:v>
                </c:pt>
                <c:pt idx="991">
                  <c:v>187599.92</c:v>
                </c:pt>
                <c:pt idx="992">
                  <c:v>187699.92</c:v>
                </c:pt>
                <c:pt idx="993">
                  <c:v>187799.92</c:v>
                </c:pt>
                <c:pt idx="994">
                  <c:v>187899.92</c:v>
                </c:pt>
                <c:pt idx="995">
                  <c:v>187999.92</c:v>
                </c:pt>
                <c:pt idx="996">
                  <c:v>188099.92</c:v>
                </c:pt>
                <c:pt idx="997">
                  <c:v>188199.92</c:v>
                </c:pt>
                <c:pt idx="998">
                  <c:v>188299.92</c:v>
                </c:pt>
                <c:pt idx="999">
                  <c:v>188399.92</c:v>
                </c:pt>
                <c:pt idx="1000">
                  <c:v>188499.92</c:v>
                </c:pt>
                <c:pt idx="1001">
                  <c:v>188599.92</c:v>
                </c:pt>
                <c:pt idx="1002">
                  <c:v>188699.92</c:v>
                </c:pt>
                <c:pt idx="1003">
                  <c:v>188794.6</c:v>
                </c:pt>
                <c:pt idx="1004">
                  <c:v>188799.92</c:v>
                </c:pt>
                <c:pt idx="1005">
                  <c:v>188874.6</c:v>
                </c:pt>
                <c:pt idx="1006">
                  <c:v>188899.92</c:v>
                </c:pt>
                <c:pt idx="1007">
                  <c:v>188999.92</c:v>
                </c:pt>
                <c:pt idx="1008">
                  <c:v>189099.92</c:v>
                </c:pt>
                <c:pt idx="1009">
                  <c:v>189199.92</c:v>
                </c:pt>
                <c:pt idx="1010">
                  <c:v>189299.92</c:v>
                </c:pt>
                <c:pt idx="1011">
                  <c:v>189399.92</c:v>
                </c:pt>
                <c:pt idx="1012">
                  <c:v>189499.92</c:v>
                </c:pt>
                <c:pt idx="1013">
                  <c:v>189599.92</c:v>
                </c:pt>
                <c:pt idx="1014">
                  <c:v>189699.92</c:v>
                </c:pt>
                <c:pt idx="1015">
                  <c:v>189799.92</c:v>
                </c:pt>
                <c:pt idx="1016">
                  <c:v>189899.92</c:v>
                </c:pt>
                <c:pt idx="1017">
                  <c:v>189999.92</c:v>
                </c:pt>
                <c:pt idx="1018">
                  <c:v>190099.92</c:v>
                </c:pt>
                <c:pt idx="1019">
                  <c:v>190199.92</c:v>
                </c:pt>
                <c:pt idx="1020">
                  <c:v>190299.92</c:v>
                </c:pt>
                <c:pt idx="1021">
                  <c:v>190399.92</c:v>
                </c:pt>
                <c:pt idx="1022">
                  <c:v>190499.92</c:v>
                </c:pt>
                <c:pt idx="1023">
                  <c:v>190599.92</c:v>
                </c:pt>
                <c:pt idx="1024">
                  <c:v>190699.92</c:v>
                </c:pt>
                <c:pt idx="1025">
                  <c:v>190799.92</c:v>
                </c:pt>
                <c:pt idx="1026">
                  <c:v>190899.92</c:v>
                </c:pt>
                <c:pt idx="1027">
                  <c:v>190999.92</c:v>
                </c:pt>
                <c:pt idx="1028">
                  <c:v>191099.92</c:v>
                </c:pt>
                <c:pt idx="1029">
                  <c:v>191199.92</c:v>
                </c:pt>
                <c:pt idx="1030">
                  <c:v>191299.92</c:v>
                </c:pt>
                <c:pt idx="1031">
                  <c:v>191399.92</c:v>
                </c:pt>
                <c:pt idx="1032">
                  <c:v>191499.92</c:v>
                </c:pt>
                <c:pt idx="1033">
                  <c:v>191599.92</c:v>
                </c:pt>
                <c:pt idx="1034">
                  <c:v>191699.92</c:v>
                </c:pt>
                <c:pt idx="1035">
                  <c:v>191799.92</c:v>
                </c:pt>
                <c:pt idx="1036">
                  <c:v>191899.92</c:v>
                </c:pt>
                <c:pt idx="1037">
                  <c:v>191999.92</c:v>
                </c:pt>
                <c:pt idx="1038">
                  <c:v>192099.92</c:v>
                </c:pt>
                <c:pt idx="1039">
                  <c:v>192199.92</c:v>
                </c:pt>
                <c:pt idx="1040">
                  <c:v>192299.92</c:v>
                </c:pt>
                <c:pt idx="1041">
                  <c:v>192399.92</c:v>
                </c:pt>
                <c:pt idx="1042">
                  <c:v>192499.92</c:v>
                </c:pt>
                <c:pt idx="1043">
                  <c:v>192599.92</c:v>
                </c:pt>
                <c:pt idx="1044">
                  <c:v>192699.92</c:v>
                </c:pt>
                <c:pt idx="1045">
                  <c:v>192799.92</c:v>
                </c:pt>
                <c:pt idx="1046">
                  <c:v>192899.92</c:v>
                </c:pt>
                <c:pt idx="1047">
                  <c:v>192999.92</c:v>
                </c:pt>
                <c:pt idx="1048">
                  <c:v>193099.92</c:v>
                </c:pt>
                <c:pt idx="1049">
                  <c:v>193199.92</c:v>
                </c:pt>
                <c:pt idx="1050">
                  <c:v>193299.92</c:v>
                </c:pt>
                <c:pt idx="1051">
                  <c:v>193399.92</c:v>
                </c:pt>
                <c:pt idx="1052">
                  <c:v>193499.92</c:v>
                </c:pt>
                <c:pt idx="1053">
                  <c:v>193599.92</c:v>
                </c:pt>
                <c:pt idx="1054">
                  <c:v>193699.92</c:v>
                </c:pt>
                <c:pt idx="1055">
                  <c:v>193799.92</c:v>
                </c:pt>
                <c:pt idx="1056">
                  <c:v>193899.92</c:v>
                </c:pt>
                <c:pt idx="1057">
                  <c:v>193999.92</c:v>
                </c:pt>
                <c:pt idx="1058">
                  <c:v>194099.92</c:v>
                </c:pt>
                <c:pt idx="1059">
                  <c:v>194199.92</c:v>
                </c:pt>
                <c:pt idx="1060">
                  <c:v>194299.92</c:v>
                </c:pt>
                <c:pt idx="1061">
                  <c:v>194399.92</c:v>
                </c:pt>
                <c:pt idx="1062">
                  <c:v>194499.92</c:v>
                </c:pt>
                <c:pt idx="1063">
                  <c:v>194599.92</c:v>
                </c:pt>
                <c:pt idx="1064">
                  <c:v>194699.92</c:v>
                </c:pt>
                <c:pt idx="1065">
                  <c:v>194799.92</c:v>
                </c:pt>
                <c:pt idx="1066">
                  <c:v>194899.92</c:v>
                </c:pt>
                <c:pt idx="1067">
                  <c:v>194999.92</c:v>
                </c:pt>
                <c:pt idx="1068">
                  <c:v>195099.92</c:v>
                </c:pt>
                <c:pt idx="1069">
                  <c:v>195199.92</c:v>
                </c:pt>
                <c:pt idx="1070">
                  <c:v>195299.92</c:v>
                </c:pt>
                <c:pt idx="1071">
                  <c:v>195399.92</c:v>
                </c:pt>
                <c:pt idx="1072">
                  <c:v>195499.92</c:v>
                </c:pt>
                <c:pt idx="1073">
                  <c:v>195599.92</c:v>
                </c:pt>
                <c:pt idx="1074">
                  <c:v>195699.92</c:v>
                </c:pt>
                <c:pt idx="1075">
                  <c:v>195799.92</c:v>
                </c:pt>
                <c:pt idx="1076">
                  <c:v>195899.92</c:v>
                </c:pt>
                <c:pt idx="1077">
                  <c:v>195999.92</c:v>
                </c:pt>
                <c:pt idx="1078">
                  <c:v>196099.92</c:v>
                </c:pt>
                <c:pt idx="1079">
                  <c:v>196199.92</c:v>
                </c:pt>
                <c:pt idx="1080">
                  <c:v>196299.92</c:v>
                </c:pt>
                <c:pt idx="1081">
                  <c:v>196399.92</c:v>
                </c:pt>
                <c:pt idx="1082">
                  <c:v>196499.92</c:v>
                </c:pt>
                <c:pt idx="1083">
                  <c:v>196535.5</c:v>
                </c:pt>
                <c:pt idx="1084">
                  <c:v>196599.92</c:v>
                </c:pt>
                <c:pt idx="1085">
                  <c:v>196695.5</c:v>
                </c:pt>
                <c:pt idx="1086">
                  <c:v>196699.92</c:v>
                </c:pt>
                <c:pt idx="1087">
                  <c:v>196799.92</c:v>
                </c:pt>
                <c:pt idx="1088">
                  <c:v>196899.92</c:v>
                </c:pt>
                <c:pt idx="1089">
                  <c:v>196999.92</c:v>
                </c:pt>
                <c:pt idx="1090">
                  <c:v>197099.92</c:v>
                </c:pt>
                <c:pt idx="1091">
                  <c:v>197199.92</c:v>
                </c:pt>
                <c:pt idx="1092">
                  <c:v>197299.92</c:v>
                </c:pt>
                <c:pt idx="1093">
                  <c:v>197399.92</c:v>
                </c:pt>
                <c:pt idx="1094">
                  <c:v>197499.92</c:v>
                </c:pt>
                <c:pt idx="1095">
                  <c:v>197599.92</c:v>
                </c:pt>
                <c:pt idx="1096">
                  <c:v>197699.92</c:v>
                </c:pt>
                <c:pt idx="1097">
                  <c:v>197799.92</c:v>
                </c:pt>
                <c:pt idx="1098">
                  <c:v>197899.92</c:v>
                </c:pt>
                <c:pt idx="1099">
                  <c:v>197999.92</c:v>
                </c:pt>
                <c:pt idx="1100">
                  <c:v>198099.92</c:v>
                </c:pt>
                <c:pt idx="1101">
                  <c:v>198199.92</c:v>
                </c:pt>
                <c:pt idx="1102">
                  <c:v>198299.92</c:v>
                </c:pt>
                <c:pt idx="1103">
                  <c:v>198399.92</c:v>
                </c:pt>
                <c:pt idx="1104">
                  <c:v>198499.92</c:v>
                </c:pt>
                <c:pt idx="1105">
                  <c:v>198599.92</c:v>
                </c:pt>
                <c:pt idx="1106">
                  <c:v>198699.92</c:v>
                </c:pt>
                <c:pt idx="1107">
                  <c:v>198799.92</c:v>
                </c:pt>
                <c:pt idx="1108">
                  <c:v>198899.92</c:v>
                </c:pt>
                <c:pt idx="1109">
                  <c:v>198999.92</c:v>
                </c:pt>
                <c:pt idx="1110">
                  <c:v>199096.21</c:v>
                </c:pt>
                <c:pt idx="1111">
                  <c:v>199099.92</c:v>
                </c:pt>
                <c:pt idx="1112">
                  <c:v>199176.21</c:v>
                </c:pt>
                <c:pt idx="1113">
                  <c:v>199199.92</c:v>
                </c:pt>
                <c:pt idx="1114">
                  <c:v>199299.92</c:v>
                </c:pt>
                <c:pt idx="1115">
                  <c:v>199399.92</c:v>
                </c:pt>
                <c:pt idx="1116">
                  <c:v>199499.92</c:v>
                </c:pt>
                <c:pt idx="1117">
                  <c:v>199599.92</c:v>
                </c:pt>
                <c:pt idx="1118">
                  <c:v>199699.92</c:v>
                </c:pt>
                <c:pt idx="1119">
                  <c:v>199799.92</c:v>
                </c:pt>
                <c:pt idx="1120">
                  <c:v>199899.92</c:v>
                </c:pt>
                <c:pt idx="1121">
                  <c:v>199999.92</c:v>
                </c:pt>
                <c:pt idx="1122">
                  <c:v>200099.92</c:v>
                </c:pt>
                <c:pt idx="1123">
                  <c:v>200199.92</c:v>
                </c:pt>
                <c:pt idx="1124">
                  <c:v>200299.92</c:v>
                </c:pt>
                <c:pt idx="1125">
                  <c:v>200399.92</c:v>
                </c:pt>
                <c:pt idx="1126">
                  <c:v>200499.92</c:v>
                </c:pt>
                <c:pt idx="1127">
                  <c:v>200599.92</c:v>
                </c:pt>
                <c:pt idx="1128">
                  <c:v>200699.92</c:v>
                </c:pt>
                <c:pt idx="1129">
                  <c:v>200799.92</c:v>
                </c:pt>
                <c:pt idx="1130">
                  <c:v>200899.92</c:v>
                </c:pt>
                <c:pt idx="1131">
                  <c:v>200999.92</c:v>
                </c:pt>
                <c:pt idx="1132">
                  <c:v>201099.92</c:v>
                </c:pt>
                <c:pt idx="1133">
                  <c:v>201199.92</c:v>
                </c:pt>
                <c:pt idx="1134">
                  <c:v>201299.92</c:v>
                </c:pt>
                <c:pt idx="1135">
                  <c:v>201399.92</c:v>
                </c:pt>
                <c:pt idx="1136">
                  <c:v>201499.92</c:v>
                </c:pt>
                <c:pt idx="1137">
                  <c:v>201599.92</c:v>
                </c:pt>
                <c:pt idx="1138">
                  <c:v>201699.92</c:v>
                </c:pt>
                <c:pt idx="1139">
                  <c:v>201799.92</c:v>
                </c:pt>
                <c:pt idx="1140">
                  <c:v>201899.92</c:v>
                </c:pt>
                <c:pt idx="1141">
                  <c:v>201999.92</c:v>
                </c:pt>
                <c:pt idx="1142">
                  <c:v>202099.92</c:v>
                </c:pt>
                <c:pt idx="1143">
                  <c:v>202199.92</c:v>
                </c:pt>
                <c:pt idx="1144">
                  <c:v>202299.92</c:v>
                </c:pt>
                <c:pt idx="1145">
                  <c:v>202399.92</c:v>
                </c:pt>
                <c:pt idx="1146">
                  <c:v>202499.92</c:v>
                </c:pt>
                <c:pt idx="1147">
                  <c:v>202599.92</c:v>
                </c:pt>
                <c:pt idx="1148">
                  <c:v>202699.92</c:v>
                </c:pt>
                <c:pt idx="1149">
                  <c:v>202799.92</c:v>
                </c:pt>
                <c:pt idx="1150">
                  <c:v>202899.92</c:v>
                </c:pt>
                <c:pt idx="1151">
                  <c:v>202999.92</c:v>
                </c:pt>
                <c:pt idx="1152">
                  <c:v>203099.92</c:v>
                </c:pt>
                <c:pt idx="1153">
                  <c:v>203199.92</c:v>
                </c:pt>
                <c:pt idx="1154">
                  <c:v>203299.92</c:v>
                </c:pt>
                <c:pt idx="1155">
                  <c:v>203399.92</c:v>
                </c:pt>
                <c:pt idx="1156">
                  <c:v>203499.92</c:v>
                </c:pt>
                <c:pt idx="1157">
                  <c:v>203599.92</c:v>
                </c:pt>
                <c:pt idx="1158">
                  <c:v>203699.92</c:v>
                </c:pt>
                <c:pt idx="1159">
                  <c:v>203799.92</c:v>
                </c:pt>
                <c:pt idx="1160">
                  <c:v>203899.92</c:v>
                </c:pt>
                <c:pt idx="1161">
                  <c:v>203999.92</c:v>
                </c:pt>
                <c:pt idx="1162">
                  <c:v>204099.92</c:v>
                </c:pt>
                <c:pt idx="1163">
                  <c:v>204199.92</c:v>
                </c:pt>
                <c:pt idx="1164">
                  <c:v>204299.92</c:v>
                </c:pt>
                <c:pt idx="1165">
                  <c:v>204399.92</c:v>
                </c:pt>
                <c:pt idx="1166">
                  <c:v>204499.92</c:v>
                </c:pt>
                <c:pt idx="1167">
                  <c:v>204599.92</c:v>
                </c:pt>
                <c:pt idx="1168">
                  <c:v>204699.92</c:v>
                </c:pt>
                <c:pt idx="1169">
                  <c:v>204799.92</c:v>
                </c:pt>
                <c:pt idx="1170">
                  <c:v>204899.92</c:v>
                </c:pt>
                <c:pt idx="1171">
                  <c:v>204999.92</c:v>
                </c:pt>
                <c:pt idx="1172">
                  <c:v>205048.5</c:v>
                </c:pt>
                <c:pt idx="1173">
                  <c:v>205099.92</c:v>
                </c:pt>
                <c:pt idx="1174">
                  <c:v>205123.5</c:v>
                </c:pt>
                <c:pt idx="1175">
                  <c:v>205199.92</c:v>
                </c:pt>
                <c:pt idx="1176">
                  <c:v>205209.4</c:v>
                </c:pt>
                <c:pt idx="1177">
                  <c:v>205299.92</c:v>
                </c:pt>
                <c:pt idx="1178">
                  <c:v>205329.4</c:v>
                </c:pt>
                <c:pt idx="1179">
                  <c:v>205399.92</c:v>
                </c:pt>
                <c:pt idx="1180">
                  <c:v>205499.92</c:v>
                </c:pt>
                <c:pt idx="1181">
                  <c:v>205599.92</c:v>
                </c:pt>
                <c:pt idx="1182">
                  <c:v>205699.92</c:v>
                </c:pt>
                <c:pt idx="1183">
                  <c:v>205799.92</c:v>
                </c:pt>
                <c:pt idx="1184">
                  <c:v>205899.92</c:v>
                </c:pt>
                <c:pt idx="1185">
                  <c:v>205999.92</c:v>
                </c:pt>
                <c:pt idx="1186">
                  <c:v>206099.92</c:v>
                </c:pt>
                <c:pt idx="1187">
                  <c:v>206199.92</c:v>
                </c:pt>
                <c:pt idx="1188">
                  <c:v>206299.92</c:v>
                </c:pt>
                <c:pt idx="1189">
                  <c:v>206399.92</c:v>
                </c:pt>
                <c:pt idx="1190">
                  <c:v>206499.92</c:v>
                </c:pt>
                <c:pt idx="1191">
                  <c:v>206599.92</c:v>
                </c:pt>
                <c:pt idx="1192">
                  <c:v>206699.92</c:v>
                </c:pt>
                <c:pt idx="1193">
                  <c:v>206799.92</c:v>
                </c:pt>
                <c:pt idx="1194">
                  <c:v>206899.92</c:v>
                </c:pt>
                <c:pt idx="1195">
                  <c:v>206999.92</c:v>
                </c:pt>
                <c:pt idx="1196">
                  <c:v>207099.92</c:v>
                </c:pt>
                <c:pt idx="1197">
                  <c:v>207199.92</c:v>
                </c:pt>
                <c:pt idx="1198">
                  <c:v>207299.92</c:v>
                </c:pt>
                <c:pt idx="1199">
                  <c:v>207399.92</c:v>
                </c:pt>
                <c:pt idx="1200">
                  <c:v>207499.92</c:v>
                </c:pt>
                <c:pt idx="1201">
                  <c:v>207599.92</c:v>
                </c:pt>
                <c:pt idx="1202">
                  <c:v>207699.92</c:v>
                </c:pt>
                <c:pt idx="1203">
                  <c:v>207799.92</c:v>
                </c:pt>
                <c:pt idx="1204">
                  <c:v>207899.92</c:v>
                </c:pt>
                <c:pt idx="1205">
                  <c:v>207999.92</c:v>
                </c:pt>
                <c:pt idx="1206">
                  <c:v>208099.92</c:v>
                </c:pt>
                <c:pt idx="1207">
                  <c:v>208199.92</c:v>
                </c:pt>
                <c:pt idx="1208">
                  <c:v>208299.92</c:v>
                </c:pt>
                <c:pt idx="1209">
                  <c:v>208399.92</c:v>
                </c:pt>
                <c:pt idx="1210">
                  <c:v>208499.92</c:v>
                </c:pt>
                <c:pt idx="1211">
                  <c:v>208599.92</c:v>
                </c:pt>
                <c:pt idx="1212">
                  <c:v>208699.92</c:v>
                </c:pt>
                <c:pt idx="1213">
                  <c:v>208799.92</c:v>
                </c:pt>
                <c:pt idx="1214">
                  <c:v>208899.92</c:v>
                </c:pt>
                <c:pt idx="1215">
                  <c:v>208999.92</c:v>
                </c:pt>
                <c:pt idx="1216">
                  <c:v>209099.92</c:v>
                </c:pt>
                <c:pt idx="1217">
                  <c:v>209199.92</c:v>
                </c:pt>
                <c:pt idx="1218">
                  <c:v>209299.92</c:v>
                </c:pt>
                <c:pt idx="1219">
                  <c:v>209399.92</c:v>
                </c:pt>
                <c:pt idx="1220">
                  <c:v>209499.92</c:v>
                </c:pt>
                <c:pt idx="1221">
                  <c:v>209599.92</c:v>
                </c:pt>
                <c:pt idx="1222">
                  <c:v>209635</c:v>
                </c:pt>
                <c:pt idx="1223">
                  <c:v>209699.92</c:v>
                </c:pt>
                <c:pt idx="1224">
                  <c:v>209715</c:v>
                </c:pt>
                <c:pt idx="1225">
                  <c:v>209799.92</c:v>
                </c:pt>
                <c:pt idx="1226">
                  <c:v>209899.92</c:v>
                </c:pt>
                <c:pt idx="1227">
                  <c:v>209999.92</c:v>
                </c:pt>
                <c:pt idx="1228">
                  <c:v>210099.92</c:v>
                </c:pt>
                <c:pt idx="1229">
                  <c:v>210176.5</c:v>
                </c:pt>
                <c:pt idx="1230">
                  <c:v>210199.92</c:v>
                </c:pt>
                <c:pt idx="1231">
                  <c:v>210299.92</c:v>
                </c:pt>
                <c:pt idx="1232">
                  <c:v>210399.92</c:v>
                </c:pt>
                <c:pt idx="1233">
                  <c:v>210456.5</c:v>
                </c:pt>
                <c:pt idx="1234">
                  <c:v>210499.92</c:v>
                </c:pt>
                <c:pt idx="1235">
                  <c:v>210599.92</c:v>
                </c:pt>
                <c:pt idx="1236">
                  <c:v>210699.92</c:v>
                </c:pt>
                <c:pt idx="1237">
                  <c:v>210799.92</c:v>
                </c:pt>
                <c:pt idx="1238">
                  <c:v>210899.92</c:v>
                </c:pt>
                <c:pt idx="1239">
                  <c:v>210999.92</c:v>
                </c:pt>
                <c:pt idx="1240">
                  <c:v>211099.92</c:v>
                </c:pt>
                <c:pt idx="1241">
                  <c:v>211199.92</c:v>
                </c:pt>
                <c:pt idx="1242">
                  <c:v>211299.92</c:v>
                </c:pt>
                <c:pt idx="1243">
                  <c:v>211399.92</c:v>
                </c:pt>
                <c:pt idx="1244">
                  <c:v>211499.92</c:v>
                </c:pt>
                <c:pt idx="1245">
                  <c:v>211599.92</c:v>
                </c:pt>
                <c:pt idx="1246">
                  <c:v>211699.92</c:v>
                </c:pt>
                <c:pt idx="1247">
                  <c:v>211799.92</c:v>
                </c:pt>
                <c:pt idx="1248">
                  <c:v>211899.92</c:v>
                </c:pt>
                <c:pt idx="1249">
                  <c:v>211999.92</c:v>
                </c:pt>
                <c:pt idx="1250">
                  <c:v>212099.92</c:v>
                </c:pt>
                <c:pt idx="1251">
                  <c:v>212199.92</c:v>
                </c:pt>
                <c:pt idx="1252">
                  <c:v>212299.92</c:v>
                </c:pt>
                <c:pt idx="1253">
                  <c:v>212399.92</c:v>
                </c:pt>
                <c:pt idx="1254">
                  <c:v>212499.92</c:v>
                </c:pt>
                <c:pt idx="1255">
                  <c:v>212599.92</c:v>
                </c:pt>
                <c:pt idx="1256">
                  <c:v>212699.92</c:v>
                </c:pt>
                <c:pt idx="1257">
                  <c:v>212799.92</c:v>
                </c:pt>
                <c:pt idx="1258">
                  <c:v>212899.92</c:v>
                </c:pt>
                <c:pt idx="1259">
                  <c:v>212999.92</c:v>
                </c:pt>
                <c:pt idx="1260">
                  <c:v>213099.92</c:v>
                </c:pt>
                <c:pt idx="1261">
                  <c:v>213199.92</c:v>
                </c:pt>
                <c:pt idx="1262">
                  <c:v>213299.92</c:v>
                </c:pt>
                <c:pt idx="1263">
                  <c:v>213399.92</c:v>
                </c:pt>
                <c:pt idx="1264">
                  <c:v>213499.92</c:v>
                </c:pt>
                <c:pt idx="1265">
                  <c:v>213599.92</c:v>
                </c:pt>
                <c:pt idx="1266">
                  <c:v>213699.92</c:v>
                </c:pt>
                <c:pt idx="1267">
                  <c:v>213799.92</c:v>
                </c:pt>
                <c:pt idx="1268">
                  <c:v>213899.92</c:v>
                </c:pt>
                <c:pt idx="1269">
                  <c:v>213999.92</c:v>
                </c:pt>
                <c:pt idx="1270">
                  <c:v>214099.92</c:v>
                </c:pt>
                <c:pt idx="1271">
                  <c:v>214199.92</c:v>
                </c:pt>
                <c:pt idx="1272">
                  <c:v>214299.92</c:v>
                </c:pt>
                <c:pt idx="1273">
                  <c:v>214399.92</c:v>
                </c:pt>
                <c:pt idx="1274">
                  <c:v>214499.92</c:v>
                </c:pt>
                <c:pt idx="1275">
                  <c:v>214599.92</c:v>
                </c:pt>
                <c:pt idx="1276">
                  <c:v>214699.92</c:v>
                </c:pt>
                <c:pt idx="1277">
                  <c:v>214799.92</c:v>
                </c:pt>
                <c:pt idx="1278">
                  <c:v>214899.92</c:v>
                </c:pt>
                <c:pt idx="1279">
                  <c:v>214999.92</c:v>
                </c:pt>
                <c:pt idx="1280">
                  <c:v>215099.92</c:v>
                </c:pt>
                <c:pt idx="1281">
                  <c:v>215199.92</c:v>
                </c:pt>
                <c:pt idx="1282">
                  <c:v>215299.92</c:v>
                </c:pt>
                <c:pt idx="1283">
                  <c:v>215399.92</c:v>
                </c:pt>
                <c:pt idx="1284">
                  <c:v>215499.92</c:v>
                </c:pt>
                <c:pt idx="1285">
                  <c:v>215599.92</c:v>
                </c:pt>
                <c:pt idx="1286">
                  <c:v>215699.92</c:v>
                </c:pt>
                <c:pt idx="1287">
                  <c:v>215799.92</c:v>
                </c:pt>
                <c:pt idx="1288">
                  <c:v>215899.92</c:v>
                </c:pt>
                <c:pt idx="1289">
                  <c:v>215987.9</c:v>
                </c:pt>
                <c:pt idx="1290">
                  <c:v>215999.92</c:v>
                </c:pt>
                <c:pt idx="1291">
                  <c:v>216099.92</c:v>
                </c:pt>
                <c:pt idx="1292">
                  <c:v>216147.9</c:v>
                </c:pt>
                <c:pt idx="1293">
                  <c:v>216199.92</c:v>
                </c:pt>
                <c:pt idx="1294">
                  <c:v>216299.92</c:v>
                </c:pt>
                <c:pt idx="1295">
                  <c:v>216399.92</c:v>
                </c:pt>
                <c:pt idx="1296">
                  <c:v>216499.92</c:v>
                </c:pt>
                <c:pt idx="1297">
                  <c:v>216599.92</c:v>
                </c:pt>
                <c:pt idx="1298">
                  <c:v>216699.92</c:v>
                </c:pt>
                <c:pt idx="1299">
                  <c:v>216799.92</c:v>
                </c:pt>
                <c:pt idx="1300">
                  <c:v>216899.92</c:v>
                </c:pt>
                <c:pt idx="1301">
                  <c:v>216999.92</c:v>
                </c:pt>
                <c:pt idx="1302">
                  <c:v>217099.92</c:v>
                </c:pt>
                <c:pt idx="1303">
                  <c:v>217195.7</c:v>
                </c:pt>
                <c:pt idx="1304">
                  <c:v>217199.92</c:v>
                </c:pt>
                <c:pt idx="1305">
                  <c:v>217299.92</c:v>
                </c:pt>
                <c:pt idx="1306">
                  <c:v>217315.7</c:v>
                </c:pt>
                <c:pt idx="1307">
                  <c:v>217399.92</c:v>
                </c:pt>
                <c:pt idx="1308">
                  <c:v>217499.92</c:v>
                </c:pt>
                <c:pt idx="1309">
                  <c:v>217599.92</c:v>
                </c:pt>
                <c:pt idx="1310">
                  <c:v>217699.92</c:v>
                </c:pt>
                <c:pt idx="1311">
                  <c:v>217799.92</c:v>
                </c:pt>
                <c:pt idx="1312">
                  <c:v>217899.92</c:v>
                </c:pt>
                <c:pt idx="1313">
                  <c:v>217999.92</c:v>
                </c:pt>
                <c:pt idx="1314">
                  <c:v>218099.92</c:v>
                </c:pt>
                <c:pt idx="1315">
                  <c:v>218199.92</c:v>
                </c:pt>
                <c:pt idx="1316">
                  <c:v>218299.92</c:v>
                </c:pt>
                <c:pt idx="1317">
                  <c:v>218399.92</c:v>
                </c:pt>
                <c:pt idx="1318">
                  <c:v>218499.92</c:v>
                </c:pt>
                <c:pt idx="1319">
                  <c:v>218599.92</c:v>
                </c:pt>
                <c:pt idx="1320">
                  <c:v>218699.92</c:v>
                </c:pt>
                <c:pt idx="1321">
                  <c:v>218799.92</c:v>
                </c:pt>
                <c:pt idx="1322">
                  <c:v>218899.92</c:v>
                </c:pt>
                <c:pt idx="1323">
                  <c:v>218999.92</c:v>
                </c:pt>
                <c:pt idx="1324">
                  <c:v>219099.92</c:v>
                </c:pt>
                <c:pt idx="1325">
                  <c:v>219199.92</c:v>
                </c:pt>
                <c:pt idx="1326">
                  <c:v>219299.92</c:v>
                </c:pt>
                <c:pt idx="1327">
                  <c:v>219399.92</c:v>
                </c:pt>
                <c:pt idx="1328">
                  <c:v>219499.92</c:v>
                </c:pt>
                <c:pt idx="1329">
                  <c:v>219599.92</c:v>
                </c:pt>
                <c:pt idx="1330">
                  <c:v>219699.92</c:v>
                </c:pt>
                <c:pt idx="1331">
                  <c:v>219799.92</c:v>
                </c:pt>
                <c:pt idx="1332">
                  <c:v>219899.92</c:v>
                </c:pt>
                <c:pt idx="1333">
                  <c:v>219999.92</c:v>
                </c:pt>
                <c:pt idx="1334">
                  <c:v>220099.92</c:v>
                </c:pt>
                <c:pt idx="1335">
                  <c:v>220199.92</c:v>
                </c:pt>
                <c:pt idx="1336">
                  <c:v>220299.92</c:v>
                </c:pt>
                <c:pt idx="1337">
                  <c:v>220399.92</c:v>
                </c:pt>
                <c:pt idx="1338">
                  <c:v>220499.92</c:v>
                </c:pt>
                <c:pt idx="1339">
                  <c:v>220599.92</c:v>
                </c:pt>
                <c:pt idx="1340">
                  <c:v>220699.92</c:v>
                </c:pt>
                <c:pt idx="1341">
                  <c:v>220799.92</c:v>
                </c:pt>
                <c:pt idx="1342">
                  <c:v>220899.92</c:v>
                </c:pt>
                <c:pt idx="1343">
                  <c:v>220999.92</c:v>
                </c:pt>
                <c:pt idx="1344">
                  <c:v>221099.92</c:v>
                </c:pt>
                <c:pt idx="1345">
                  <c:v>221199.92</c:v>
                </c:pt>
                <c:pt idx="1346">
                  <c:v>221299.92</c:v>
                </c:pt>
                <c:pt idx="1347">
                  <c:v>221399.92</c:v>
                </c:pt>
                <c:pt idx="1348">
                  <c:v>221499.92</c:v>
                </c:pt>
                <c:pt idx="1349">
                  <c:v>221599.92</c:v>
                </c:pt>
                <c:pt idx="1350">
                  <c:v>221699.92</c:v>
                </c:pt>
                <c:pt idx="1351">
                  <c:v>221799.92</c:v>
                </c:pt>
                <c:pt idx="1352">
                  <c:v>221899.92</c:v>
                </c:pt>
                <c:pt idx="1353">
                  <c:v>221999.92</c:v>
                </c:pt>
                <c:pt idx="1354">
                  <c:v>222099.92</c:v>
                </c:pt>
                <c:pt idx="1355">
                  <c:v>222199.92</c:v>
                </c:pt>
                <c:pt idx="1356">
                  <c:v>222299.92</c:v>
                </c:pt>
                <c:pt idx="1357">
                  <c:v>222399.92</c:v>
                </c:pt>
                <c:pt idx="1358">
                  <c:v>222499.92</c:v>
                </c:pt>
                <c:pt idx="1359">
                  <c:v>222599.92</c:v>
                </c:pt>
                <c:pt idx="1360">
                  <c:v>222699.92</c:v>
                </c:pt>
                <c:pt idx="1361">
                  <c:v>222799.92</c:v>
                </c:pt>
                <c:pt idx="1362">
                  <c:v>222899.92</c:v>
                </c:pt>
                <c:pt idx="1363">
                  <c:v>222999.92</c:v>
                </c:pt>
                <c:pt idx="1364">
                  <c:v>223099.92</c:v>
                </c:pt>
                <c:pt idx="1365">
                  <c:v>223199.92</c:v>
                </c:pt>
                <c:pt idx="1366">
                  <c:v>223299.92</c:v>
                </c:pt>
                <c:pt idx="1367">
                  <c:v>223399.92</c:v>
                </c:pt>
                <c:pt idx="1368">
                  <c:v>223499.92</c:v>
                </c:pt>
                <c:pt idx="1369">
                  <c:v>223599.92</c:v>
                </c:pt>
                <c:pt idx="1370">
                  <c:v>223699.92</c:v>
                </c:pt>
                <c:pt idx="1371">
                  <c:v>223799.92</c:v>
                </c:pt>
              </c:numCache>
            </c:numRef>
          </c:xVal>
          <c:yVal>
            <c:numRef>
              <c:f>TS!$O$2:$O$1373</c:f>
              <c:numCache>
                <c:formatCode>0.0</c:formatCode>
                <c:ptCount val="1372"/>
                <c:pt idx="0">
                  <c:v>825.18449999999996</c:v>
                </c:pt>
                <c:pt idx="1">
                  <c:v>822.00390000000004</c:v>
                </c:pt>
                <c:pt idx="2">
                  <c:v>818.54489999999998</c:v>
                </c:pt>
                <c:pt idx="3">
                  <c:v>814.72770000000003</c:v>
                </c:pt>
                <c:pt idx="4">
                  <c:v>812.42039999999997</c:v>
                </c:pt>
                <c:pt idx="5">
                  <c:v>808.45690000000002</c:v>
                </c:pt>
                <c:pt idx="6">
                  <c:v>805.67160000000001</c:v>
                </c:pt>
                <c:pt idx="7">
                  <c:v>803.46410000000003</c:v>
                </c:pt>
                <c:pt idx="8">
                  <c:v>802.625</c:v>
                </c:pt>
                <c:pt idx="9">
                  <c:v>802.10730000000001</c:v>
                </c:pt>
                <c:pt idx="10">
                  <c:v>801.93790000000001</c:v>
                </c:pt>
                <c:pt idx="11">
                  <c:v>804.26419999999996</c:v>
                </c:pt>
                <c:pt idx="12">
                  <c:v>807.31610000000001</c:v>
                </c:pt>
                <c:pt idx="13">
                  <c:v>812.62819999999999</c:v>
                </c:pt>
                <c:pt idx="14">
                  <c:v>811.20650000000001</c:v>
                </c:pt>
                <c:pt idx="15">
                  <c:v>808.82249999999999</c:v>
                </c:pt>
                <c:pt idx="16">
                  <c:v>806.58780000000002</c:v>
                </c:pt>
                <c:pt idx="17">
                  <c:v>804.4325</c:v>
                </c:pt>
                <c:pt idx="18">
                  <c:v>801.51639999999998</c:v>
                </c:pt>
                <c:pt idx="19">
                  <c:v>798.98090000000002</c:v>
                </c:pt>
                <c:pt idx="20">
                  <c:v>790.85580000000004</c:v>
                </c:pt>
                <c:pt idx="21">
                  <c:v>777.31920000000002</c:v>
                </c:pt>
                <c:pt idx="22">
                  <c:v>752.5068</c:v>
                </c:pt>
                <c:pt idx="23">
                  <c:v>743.84879999999998</c:v>
                </c:pt>
                <c:pt idx="24">
                  <c:v>733.67330000000004</c:v>
                </c:pt>
                <c:pt idx="25">
                  <c:v>713.57770000000005</c:v>
                </c:pt>
                <c:pt idx="26">
                  <c:v>701.03</c:v>
                </c:pt>
                <c:pt idx="27">
                  <c:v>693.17319999999995</c:v>
                </c:pt>
                <c:pt idx="28">
                  <c:v>685.2826</c:v>
                </c:pt>
                <c:pt idx="29">
                  <c:v>682.06600000000003</c:v>
                </c:pt>
                <c:pt idx="30">
                  <c:v>675.88239999999996</c:v>
                </c:pt>
                <c:pt idx="31">
                  <c:v>686.31809999999996</c:v>
                </c:pt>
                <c:pt idx="32">
                  <c:v>690.95450000000005</c:v>
                </c:pt>
                <c:pt idx="33">
                  <c:v>691.38530000000003</c:v>
                </c:pt>
                <c:pt idx="34">
                  <c:v>694.19590000000005</c:v>
                </c:pt>
                <c:pt idx="35">
                  <c:v>690.27779999999996</c:v>
                </c:pt>
                <c:pt idx="36">
                  <c:v>683.13340000000005</c:v>
                </c:pt>
                <c:pt idx="37">
                  <c:v>683.13340000000005</c:v>
                </c:pt>
                <c:pt idx="38">
                  <c:v>676.62919999999997</c:v>
                </c:pt>
                <c:pt idx="39">
                  <c:v>676.62919999999997</c:v>
                </c:pt>
                <c:pt idx="40">
                  <c:v>671.69830000000002</c:v>
                </c:pt>
                <c:pt idx="41">
                  <c:v>671.00139999999999</c:v>
                </c:pt>
                <c:pt idx="42">
                  <c:v>666.16539999999998</c:v>
                </c:pt>
                <c:pt idx="43">
                  <c:v>663.45740000000001</c:v>
                </c:pt>
                <c:pt idx="44">
                  <c:v>663.45740000000001</c:v>
                </c:pt>
                <c:pt idx="45">
                  <c:v>660.59079999999994</c:v>
                </c:pt>
                <c:pt idx="46">
                  <c:v>659.40179999999998</c:v>
                </c:pt>
                <c:pt idx="47">
                  <c:v>657.68020000000001</c:v>
                </c:pt>
                <c:pt idx="48">
                  <c:v>657.16989999999998</c:v>
                </c:pt>
                <c:pt idx="49">
                  <c:v>655.13040000000001</c:v>
                </c:pt>
                <c:pt idx="50">
                  <c:v>654.24860000000001</c:v>
                </c:pt>
                <c:pt idx="51">
                  <c:v>653.02930000000003</c:v>
                </c:pt>
                <c:pt idx="52">
                  <c:v>652.4556</c:v>
                </c:pt>
                <c:pt idx="53">
                  <c:v>652.60400000000004</c:v>
                </c:pt>
                <c:pt idx="54">
                  <c:v>650.85900000000004</c:v>
                </c:pt>
                <c:pt idx="55">
                  <c:v>637.76790000000005</c:v>
                </c:pt>
                <c:pt idx="56">
                  <c:v>651.46469999999999</c:v>
                </c:pt>
                <c:pt idx="57">
                  <c:v>653.09400000000005</c:v>
                </c:pt>
                <c:pt idx="58">
                  <c:v>651.93449999999996</c:v>
                </c:pt>
                <c:pt idx="59">
                  <c:v>650.70630000000006</c:v>
                </c:pt>
                <c:pt idx="60">
                  <c:v>650.13319999999999</c:v>
                </c:pt>
                <c:pt idx="61">
                  <c:v>651.59879999999998</c:v>
                </c:pt>
                <c:pt idx="62">
                  <c:v>652.65060000000005</c:v>
                </c:pt>
                <c:pt idx="63">
                  <c:v>653.5838</c:v>
                </c:pt>
                <c:pt idx="64">
                  <c:v>653.5838</c:v>
                </c:pt>
                <c:pt idx="65">
                  <c:v>653.86239999999998</c:v>
                </c:pt>
                <c:pt idx="66">
                  <c:v>653.92240000000004</c:v>
                </c:pt>
                <c:pt idx="67">
                  <c:v>653.88509999999997</c:v>
                </c:pt>
                <c:pt idx="68">
                  <c:v>654.69820000000004</c:v>
                </c:pt>
                <c:pt idx="69">
                  <c:v>655.52179999999998</c:v>
                </c:pt>
                <c:pt idx="70">
                  <c:v>656.35440000000006</c:v>
                </c:pt>
                <c:pt idx="71">
                  <c:v>656.60299999999995</c:v>
                </c:pt>
                <c:pt idx="72">
                  <c:v>656.28959999999995</c:v>
                </c:pt>
                <c:pt idx="73">
                  <c:v>656.14840000000004</c:v>
                </c:pt>
                <c:pt idx="74">
                  <c:v>656.16840000000002</c:v>
                </c:pt>
                <c:pt idx="75">
                  <c:v>657.12649999999996</c:v>
                </c:pt>
                <c:pt idx="76">
                  <c:v>657.77350000000001</c:v>
                </c:pt>
                <c:pt idx="77">
                  <c:v>659.60289999999998</c:v>
                </c:pt>
                <c:pt idx="78">
                  <c:v>660.0444</c:v>
                </c:pt>
                <c:pt idx="79">
                  <c:v>658.68079999999998</c:v>
                </c:pt>
                <c:pt idx="80">
                  <c:v>657.8723</c:v>
                </c:pt>
                <c:pt idx="81">
                  <c:v>656.36090000000002</c:v>
                </c:pt>
                <c:pt idx="82">
                  <c:v>655.59299999999996</c:v>
                </c:pt>
                <c:pt idx="83">
                  <c:v>655.52239999999995</c:v>
                </c:pt>
                <c:pt idx="84">
                  <c:v>655.52239999999995</c:v>
                </c:pt>
                <c:pt idx="85">
                  <c:v>656.56399999999996</c:v>
                </c:pt>
                <c:pt idx="86">
                  <c:v>656.56399999999996</c:v>
                </c:pt>
                <c:pt idx="87">
                  <c:v>654.28840000000002</c:v>
                </c:pt>
                <c:pt idx="88">
                  <c:v>654.34280000000001</c:v>
                </c:pt>
                <c:pt idx="89">
                  <c:v>653.0222</c:v>
                </c:pt>
                <c:pt idx="90">
                  <c:v>651.2192</c:v>
                </c:pt>
                <c:pt idx="91">
                  <c:v>648.79340000000002</c:v>
                </c:pt>
                <c:pt idx="92">
                  <c:v>646.48009999999999</c:v>
                </c:pt>
                <c:pt idx="93">
                  <c:v>645.92719999999997</c:v>
                </c:pt>
                <c:pt idx="94">
                  <c:v>644.42859999999996</c:v>
                </c:pt>
                <c:pt idx="95">
                  <c:v>642.63789999999995</c:v>
                </c:pt>
                <c:pt idx="96">
                  <c:v>642.40009999999995</c:v>
                </c:pt>
                <c:pt idx="97">
                  <c:v>641.60040000000004</c:v>
                </c:pt>
                <c:pt idx="98">
                  <c:v>641.26499999999999</c:v>
                </c:pt>
                <c:pt idx="99">
                  <c:v>643.09270000000004</c:v>
                </c:pt>
                <c:pt idx="100">
                  <c:v>642.17790000000002</c:v>
                </c:pt>
                <c:pt idx="101">
                  <c:v>641.22940000000006</c:v>
                </c:pt>
                <c:pt idx="102">
                  <c:v>641.15949999999998</c:v>
                </c:pt>
                <c:pt idx="103">
                  <c:v>641.06799999999998</c:v>
                </c:pt>
                <c:pt idx="104">
                  <c:v>640.85429999999997</c:v>
                </c:pt>
                <c:pt idx="105">
                  <c:v>640.37289999999996</c:v>
                </c:pt>
                <c:pt idx="106">
                  <c:v>639.97969999999998</c:v>
                </c:pt>
                <c:pt idx="107">
                  <c:v>639.92949999999996</c:v>
                </c:pt>
                <c:pt idx="108">
                  <c:v>639.94920000000002</c:v>
                </c:pt>
                <c:pt idx="109">
                  <c:v>639.85019999999997</c:v>
                </c:pt>
                <c:pt idx="110">
                  <c:v>640.32029999999997</c:v>
                </c:pt>
                <c:pt idx="111">
                  <c:v>640.65509999999995</c:v>
                </c:pt>
                <c:pt idx="112">
                  <c:v>640.86850000000004</c:v>
                </c:pt>
                <c:pt idx="113">
                  <c:v>641.2509</c:v>
                </c:pt>
                <c:pt idx="114">
                  <c:v>641.71299999999997</c:v>
                </c:pt>
                <c:pt idx="115">
                  <c:v>642.03970000000004</c:v>
                </c:pt>
                <c:pt idx="116">
                  <c:v>642.44529999999997</c:v>
                </c:pt>
                <c:pt idx="117">
                  <c:v>642.71410000000003</c:v>
                </c:pt>
                <c:pt idx="118">
                  <c:v>642.73509999999999</c:v>
                </c:pt>
                <c:pt idx="119">
                  <c:v>643.01520000000005</c:v>
                </c:pt>
                <c:pt idx="120">
                  <c:v>642.9624</c:v>
                </c:pt>
                <c:pt idx="121">
                  <c:v>643.02099999999996</c:v>
                </c:pt>
                <c:pt idx="122">
                  <c:v>643.13009999999997</c:v>
                </c:pt>
                <c:pt idx="123">
                  <c:v>643.48130000000003</c:v>
                </c:pt>
                <c:pt idx="124">
                  <c:v>643.73969999999997</c:v>
                </c:pt>
                <c:pt idx="125">
                  <c:v>644.13160000000005</c:v>
                </c:pt>
                <c:pt idx="126">
                  <c:v>644.16430000000003</c:v>
                </c:pt>
                <c:pt idx="127">
                  <c:v>644.28980000000001</c:v>
                </c:pt>
                <c:pt idx="128">
                  <c:v>643.87350000000004</c:v>
                </c:pt>
                <c:pt idx="129">
                  <c:v>643.87350000000004</c:v>
                </c:pt>
                <c:pt idx="130">
                  <c:v>643.16189999999995</c:v>
                </c:pt>
                <c:pt idx="131">
                  <c:v>642.36509999999998</c:v>
                </c:pt>
                <c:pt idx="132">
                  <c:v>644.47519999999997</c:v>
                </c:pt>
                <c:pt idx="133">
                  <c:v>644.20090000000005</c:v>
                </c:pt>
                <c:pt idx="134">
                  <c:v>644.36249999999995</c:v>
                </c:pt>
                <c:pt idx="135">
                  <c:v>644.95619999999997</c:v>
                </c:pt>
                <c:pt idx="136">
                  <c:v>645.99260000000004</c:v>
                </c:pt>
                <c:pt idx="137">
                  <c:v>646.57389999999998</c:v>
                </c:pt>
                <c:pt idx="138">
                  <c:v>647.07370000000003</c:v>
                </c:pt>
                <c:pt idx="139">
                  <c:v>647.07370000000003</c:v>
                </c:pt>
                <c:pt idx="140">
                  <c:v>647.19560000000001</c:v>
                </c:pt>
                <c:pt idx="141">
                  <c:v>648.01829999999995</c:v>
                </c:pt>
                <c:pt idx="142">
                  <c:v>648.31510000000003</c:v>
                </c:pt>
                <c:pt idx="143">
                  <c:v>648.67579999999998</c:v>
                </c:pt>
                <c:pt idx="144">
                  <c:v>648.67579999999998</c:v>
                </c:pt>
                <c:pt idx="145">
                  <c:v>648.87159999999994</c:v>
                </c:pt>
                <c:pt idx="146">
                  <c:v>650.02539999999999</c:v>
                </c:pt>
                <c:pt idx="147">
                  <c:v>651.15719999999999</c:v>
                </c:pt>
                <c:pt idx="148">
                  <c:v>651.15719999999999</c:v>
                </c:pt>
                <c:pt idx="149">
                  <c:v>650.73090000000002</c:v>
                </c:pt>
                <c:pt idx="150">
                  <c:v>650.9873</c:v>
                </c:pt>
                <c:pt idx="151">
                  <c:v>650.70330000000001</c:v>
                </c:pt>
                <c:pt idx="152">
                  <c:v>650.54729999999995</c:v>
                </c:pt>
                <c:pt idx="153">
                  <c:v>650.45330000000001</c:v>
                </c:pt>
                <c:pt idx="154">
                  <c:v>649.92359999999996</c:v>
                </c:pt>
                <c:pt idx="155">
                  <c:v>649.19650000000001</c:v>
                </c:pt>
                <c:pt idx="156">
                  <c:v>645.39549999999997</c:v>
                </c:pt>
                <c:pt idx="157">
                  <c:v>640.13739999999996</c:v>
                </c:pt>
                <c:pt idx="158">
                  <c:v>640.13739999999996</c:v>
                </c:pt>
                <c:pt idx="159">
                  <c:v>650.2423</c:v>
                </c:pt>
                <c:pt idx="160">
                  <c:v>650.2423</c:v>
                </c:pt>
                <c:pt idx="161">
                  <c:v>649.74329999999998</c:v>
                </c:pt>
                <c:pt idx="162">
                  <c:v>649.31479999999999</c:v>
                </c:pt>
                <c:pt idx="163">
                  <c:v>648.97919999999999</c:v>
                </c:pt>
                <c:pt idx="164">
                  <c:v>648.69200000000001</c:v>
                </c:pt>
                <c:pt idx="165">
                  <c:v>648.42679999999996</c:v>
                </c:pt>
                <c:pt idx="166">
                  <c:v>648.23710000000005</c:v>
                </c:pt>
                <c:pt idx="167">
                  <c:v>648.08339999999998</c:v>
                </c:pt>
                <c:pt idx="168">
                  <c:v>648.49940000000004</c:v>
                </c:pt>
                <c:pt idx="169">
                  <c:v>648.27560000000005</c:v>
                </c:pt>
                <c:pt idx="170">
                  <c:v>647.3759</c:v>
                </c:pt>
                <c:pt idx="171">
                  <c:v>647.50490000000002</c:v>
                </c:pt>
                <c:pt idx="172">
                  <c:v>647.36900000000003</c:v>
                </c:pt>
                <c:pt idx="173">
                  <c:v>647.28840000000002</c:v>
                </c:pt>
                <c:pt idx="174">
                  <c:v>647.28570000000002</c:v>
                </c:pt>
                <c:pt idx="175">
                  <c:v>647.29819999999995</c:v>
                </c:pt>
                <c:pt idx="176">
                  <c:v>647.31600000000003</c:v>
                </c:pt>
                <c:pt idx="177">
                  <c:v>647.51409999999998</c:v>
                </c:pt>
                <c:pt idx="178">
                  <c:v>647.71100000000001</c:v>
                </c:pt>
                <c:pt idx="179">
                  <c:v>647.86599999999999</c:v>
                </c:pt>
                <c:pt idx="180">
                  <c:v>648.02099999999996</c:v>
                </c:pt>
                <c:pt idx="181">
                  <c:v>648.28229999999996</c:v>
                </c:pt>
                <c:pt idx="182">
                  <c:v>648.56920000000002</c:v>
                </c:pt>
                <c:pt idx="183">
                  <c:v>648.88030000000003</c:v>
                </c:pt>
                <c:pt idx="184">
                  <c:v>649.1979</c:v>
                </c:pt>
                <c:pt idx="185">
                  <c:v>650.08969999999999</c:v>
                </c:pt>
                <c:pt idx="186">
                  <c:v>651.12890000000004</c:v>
                </c:pt>
                <c:pt idx="187">
                  <c:v>652.09010000000001</c:v>
                </c:pt>
                <c:pt idx="188">
                  <c:v>653.03219999999999</c:v>
                </c:pt>
                <c:pt idx="189">
                  <c:v>654.31910000000005</c:v>
                </c:pt>
                <c:pt idx="190">
                  <c:v>656.2106</c:v>
                </c:pt>
                <c:pt idx="191">
                  <c:v>660.17840000000001</c:v>
                </c:pt>
                <c:pt idx="192">
                  <c:v>657.28449999999998</c:v>
                </c:pt>
                <c:pt idx="193">
                  <c:v>662.33900000000006</c:v>
                </c:pt>
                <c:pt idx="194">
                  <c:v>662.33900000000006</c:v>
                </c:pt>
                <c:pt idx="195">
                  <c:v>663.74429999999995</c:v>
                </c:pt>
                <c:pt idx="196">
                  <c:v>663.74429999999995</c:v>
                </c:pt>
                <c:pt idx="197">
                  <c:v>664.96199999999999</c:v>
                </c:pt>
                <c:pt idx="198">
                  <c:v>666.92269999999996</c:v>
                </c:pt>
                <c:pt idx="199">
                  <c:v>669.03020000000004</c:v>
                </c:pt>
                <c:pt idx="200">
                  <c:v>671.26059999999995</c:v>
                </c:pt>
                <c:pt idx="201">
                  <c:v>673.59320000000002</c:v>
                </c:pt>
                <c:pt idx="202">
                  <c:v>673.59320000000002</c:v>
                </c:pt>
                <c:pt idx="203">
                  <c:v>678.06479999999999</c:v>
                </c:pt>
                <c:pt idx="204">
                  <c:v>678.06479999999999</c:v>
                </c:pt>
                <c:pt idx="205">
                  <c:v>681.5806</c:v>
                </c:pt>
                <c:pt idx="206">
                  <c:v>684.37559999999996</c:v>
                </c:pt>
                <c:pt idx="207">
                  <c:v>684.37559999999996</c:v>
                </c:pt>
                <c:pt idx="208">
                  <c:v>687.15650000000005</c:v>
                </c:pt>
                <c:pt idx="209">
                  <c:v>687.15650000000005</c:v>
                </c:pt>
                <c:pt idx="210">
                  <c:v>687.77689999999996</c:v>
                </c:pt>
                <c:pt idx="211">
                  <c:v>694.0607</c:v>
                </c:pt>
                <c:pt idx="212">
                  <c:v>700.69410000000005</c:v>
                </c:pt>
                <c:pt idx="213">
                  <c:v>700.65309999999999</c:v>
                </c:pt>
                <c:pt idx="214">
                  <c:v>684.61789999999996</c:v>
                </c:pt>
                <c:pt idx="215">
                  <c:v>668.54129999999998</c:v>
                </c:pt>
                <c:pt idx="216">
                  <c:v>668.54129999999998</c:v>
                </c:pt>
                <c:pt idx="217">
                  <c:v>639.84299999999996</c:v>
                </c:pt>
                <c:pt idx="218">
                  <c:v>639.84299999999996</c:v>
                </c:pt>
                <c:pt idx="219">
                  <c:v>632.14509999999996</c:v>
                </c:pt>
                <c:pt idx="220">
                  <c:v>627.45129999999995</c:v>
                </c:pt>
                <c:pt idx="221">
                  <c:v>625.05190000000005</c:v>
                </c:pt>
                <c:pt idx="222">
                  <c:v>625.05190000000005</c:v>
                </c:pt>
                <c:pt idx="223">
                  <c:v>623.25070000000005</c:v>
                </c:pt>
                <c:pt idx="224">
                  <c:v>621.39369999999997</c:v>
                </c:pt>
                <c:pt idx="225">
                  <c:v>619.11540000000002</c:v>
                </c:pt>
                <c:pt idx="226">
                  <c:v>617.44029999999998</c:v>
                </c:pt>
                <c:pt idx="227">
                  <c:v>615.41890000000001</c:v>
                </c:pt>
                <c:pt idx="228">
                  <c:v>615.34720000000004</c:v>
                </c:pt>
                <c:pt idx="229">
                  <c:v>609.45659999999998</c:v>
                </c:pt>
                <c:pt idx="230">
                  <c:v>597.89009999999996</c:v>
                </c:pt>
                <c:pt idx="231">
                  <c:v>594.71540000000005</c:v>
                </c:pt>
                <c:pt idx="232">
                  <c:v>572.81079999999997</c:v>
                </c:pt>
                <c:pt idx="233">
                  <c:v>574.56920000000002</c:v>
                </c:pt>
                <c:pt idx="234">
                  <c:v>575.08780000000002</c:v>
                </c:pt>
                <c:pt idx="235">
                  <c:v>584.93859999999995</c:v>
                </c:pt>
                <c:pt idx="236">
                  <c:v>598.44740000000002</c:v>
                </c:pt>
                <c:pt idx="237">
                  <c:v>596.13699999999994</c:v>
                </c:pt>
                <c:pt idx="238">
                  <c:v>599.54549999999995</c:v>
                </c:pt>
                <c:pt idx="239">
                  <c:v>606.34169999999995</c:v>
                </c:pt>
                <c:pt idx="240">
                  <c:v>618.6123</c:v>
                </c:pt>
                <c:pt idx="241">
                  <c:v>628.33659999999998</c:v>
                </c:pt>
                <c:pt idx="242">
                  <c:v>635.67589999999996</c:v>
                </c:pt>
                <c:pt idx="243">
                  <c:v>633.37649999999996</c:v>
                </c:pt>
                <c:pt idx="244">
                  <c:v>625.56290000000001</c:v>
                </c:pt>
                <c:pt idx="245">
                  <c:v>618.35770000000002</c:v>
                </c:pt>
                <c:pt idx="246">
                  <c:v>631.03890000000001</c:v>
                </c:pt>
                <c:pt idx="247">
                  <c:v>636.69889999999998</c:v>
                </c:pt>
                <c:pt idx="248">
                  <c:v>643.47379999999998</c:v>
                </c:pt>
                <c:pt idx="249">
                  <c:v>643.47379999999998</c:v>
                </c:pt>
                <c:pt idx="250">
                  <c:v>649.94640000000004</c:v>
                </c:pt>
                <c:pt idx="251">
                  <c:v>656.39919999999995</c:v>
                </c:pt>
                <c:pt idx="252">
                  <c:v>658.17489999999998</c:v>
                </c:pt>
                <c:pt idx="253">
                  <c:v>658.42849999999999</c:v>
                </c:pt>
                <c:pt idx="254">
                  <c:v>657.37649999999996</c:v>
                </c:pt>
                <c:pt idx="255">
                  <c:v>656.47360000000003</c:v>
                </c:pt>
                <c:pt idx="256">
                  <c:v>656.73509999999999</c:v>
                </c:pt>
                <c:pt idx="257">
                  <c:v>659.07259999999997</c:v>
                </c:pt>
                <c:pt idx="258">
                  <c:v>659.60979999999995</c:v>
                </c:pt>
                <c:pt idx="259">
                  <c:v>658.1635</c:v>
                </c:pt>
                <c:pt idx="260">
                  <c:v>652.50040000000001</c:v>
                </c:pt>
                <c:pt idx="261">
                  <c:v>647.14459999999997</c:v>
                </c:pt>
                <c:pt idx="262">
                  <c:v>642.76909999999998</c:v>
                </c:pt>
                <c:pt idx="263">
                  <c:v>639.24519999999995</c:v>
                </c:pt>
                <c:pt idx="264">
                  <c:v>654.08690000000001</c:v>
                </c:pt>
                <c:pt idx="265">
                  <c:v>669.19010000000003</c:v>
                </c:pt>
                <c:pt idx="266">
                  <c:v>669.19010000000003</c:v>
                </c:pt>
                <c:pt idx="267">
                  <c:v>678.72119999999995</c:v>
                </c:pt>
                <c:pt idx="268">
                  <c:v>678.72119999999995</c:v>
                </c:pt>
                <c:pt idx="269">
                  <c:v>684.57449999999994</c:v>
                </c:pt>
                <c:pt idx="270">
                  <c:v>686.90750000000003</c:v>
                </c:pt>
                <c:pt idx="271">
                  <c:v>687.70680000000004</c:v>
                </c:pt>
                <c:pt idx="272">
                  <c:v>688.49900000000002</c:v>
                </c:pt>
                <c:pt idx="273">
                  <c:v>688.05629999999996</c:v>
                </c:pt>
                <c:pt idx="274">
                  <c:v>687.32259999999997</c:v>
                </c:pt>
                <c:pt idx="275">
                  <c:v>681.84069999999997</c:v>
                </c:pt>
                <c:pt idx="276">
                  <c:v>671.02</c:v>
                </c:pt>
                <c:pt idx="277">
                  <c:v>655.85929999999996</c:v>
                </c:pt>
                <c:pt idx="278">
                  <c:v>653.54190000000006</c:v>
                </c:pt>
                <c:pt idx="279">
                  <c:v>672.14760000000001</c:v>
                </c:pt>
                <c:pt idx="280">
                  <c:v>689.24130000000002</c:v>
                </c:pt>
                <c:pt idx="281">
                  <c:v>699.31039999999996</c:v>
                </c:pt>
                <c:pt idx="282">
                  <c:v>706.37829999999997</c:v>
                </c:pt>
                <c:pt idx="283">
                  <c:v>714.72199999999998</c:v>
                </c:pt>
                <c:pt idx="284">
                  <c:v>717.7876</c:v>
                </c:pt>
                <c:pt idx="285">
                  <c:v>721.5367</c:v>
                </c:pt>
                <c:pt idx="286">
                  <c:v>723.86500000000001</c:v>
                </c:pt>
                <c:pt idx="287">
                  <c:v>722.47069999999997</c:v>
                </c:pt>
                <c:pt idx="288">
                  <c:v>720.23159999999996</c:v>
                </c:pt>
                <c:pt idx="289">
                  <c:v>717.82249999999999</c:v>
                </c:pt>
                <c:pt idx="290">
                  <c:v>715.07219999999995</c:v>
                </c:pt>
                <c:pt idx="291">
                  <c:v>718.03120000000001</c:v>
                </c:pt>
                <c:pt idx="292">
                  <c:v>723.06470000000002</c:v>
                </c:pt>
                <c:pt idx="293">
                  <c:v>723.08119999999997</c:v>
                </c:pt>
                <c:pt idx="294">
                  <c:v>718.76670000000001</c:v>
                </c:pt>
                <c:pt idx="295">
                  <c:v>712.01779999999997</c:v>
                </c:pt>
                <c:pt idx="296">
                  <c:v>700.79280000000006</c:v>
                </c:pt>
                <c:pt idx="297">
                  <c:v>704.23599999999999</c:v>
                </c:pt>
                <c:pt idx="298">
                  <c:v>704.23599999999999</c:v>
                </c:pt>
                <c:pt idx="299">
                  <c:v>704.23599999999999</c:v>
                </c:pt>
                <c:pt idx="300">
                  <c:v>710.89380000000006</c:v>
                </c:pt>
                <c:pt idx="301">
                  <c:v>700.99360000000001</c:v>
                </c:pt>
                <c:pt idx="302">
                  <c:v>689.7047</c:v>
                </c:pt>
                <c:pt idx="303">
                  <c:v>687.89859999999999</c:v>
                </c:pt>
                <c:pt idx="304">
                  <c:v>694.41279999999995</c:v>
                </c:pt>
                <c:pt idx="305">
                  <c:v>702.06439999999998</c:v>
                </c:pt>
                <c:pt idx="306">
                  <c:v>710.54</c:v>
                </c:pt>
                <c:pt idx="307">
                  <c:v>716.98159999999996</c:v>
                </c:pt>
                <c:pt idx="308">
                  <c:v>722.71879999999999</c:v>
                </c:pt>
                <c:pt idx="309">
                  <c:v>725.79179999999997</c:v>
                </c:pt>
                <c:pt idx="310">
                  <c:v>728.32560000000001</c:v>
                </c:pt>
                <c:pt idx="311">
                  <c:v>728.97349999999994</c:v>
                </c:pt>
                <c:pt idx="312">
                  <c:v>728.36950000000002</c:v>
                </c:pt>
                <c:pt idx="313">
                  <c:v>726.97810000000004</c:v>
                </c:pt>
                <c:pt idx="314">
                  <c:v>726.77440000000001</c:v>
                </c:pt>
                <c:pt idx="315">
                  <c:v>727.53</c:v>
                </c:pt>
                <c:pt idx="316">
                  <c:v>727.67380000000003</c:v>
                </c:pt>
                <c:pt idx="317">
                  <c:v>726.44470000000001</c:v>
                </c:pt>
                <c:pt idx="318">
                  <c:v>724.29290000000003</c:v>
                </c:pt>
                <c:pt idx="319">
                  <c:v>724.29290000000003</c:v>
                </c:pt>
                <c:pt idx="320">
                  <c:v>719.16369999999995</c:v>
                </c:pt>
                <c:pt idx="321">
                  <c:v>719.16369999999995</c:v>
                </c:pt>
                <c:pt idx="322">
                  <c:v>713.35900000000004</c:v>
                </c:pt>
                <c:pt idx="323">
                  <c:v>707.14300000000003</c:v>
                </c:pt>
                <c:pt idx="324">
                  <c:v>694.05229999999995</c:v>
                </c:pt>
                <c:pt idx="325">
                  <c:v>685.59529999999995</c:v>
                </c:pt>
                <c:pt idx="326">
                  <c:v>703.16510000000005</c:v>
                </c:pt>
                <c:pt idx="327">
                  <c:v>703.16510000000005</c:v>
                </c:pt>
                <c:pt idx="328">
                  <c:v>703.16510000000005</c:v>
                </c:pt>
                <c:pt idx="329">
                  <c:v>708.97919999999999</c:v>
                </c:pt>
                <c:pt idx="330">
                  <c:v>711.40890000000002</c:v>
                </c:pt>
                <c:pt idx="331">
                  <c:v>711.40890000000002</c:v>
                </c:pt>
                <c:pt idx="332">
                  <c:v>712.33969999999999</c:v>
                </c:pt>
                <c:pt idx="333">
                  <c:v>712.33969999999999</c:v>
                </c:pt>
                <c:pt idx="334">
                  <c:v>713.86980000000005</c:v>
                </c:pt>
                <c:pt idx="335">
                  <c:v>718.98350000000005</c:v>
                </c:pt>
                <c:pt idx="336">
                  <c:v>719.7396</c:v>
                </c:pt>
                <c:pt idx="337">
                  <c:v>715.82309999999995</c:v>
                </c:pt>
                <c:pt idx="338">
                  <c:v>716.78120000000001</c:v>
                </c:pt>
                <c:pt idx="339">
                  <c:v>720.22429999999997</c:v>
                </c:pt>
                <c:pt idx="340">
                  <c:v>723.91660000000002</c:v>
                </c:pt>
                <c:pt idx="341">
                  <c:v>727.28110000000004</c:v>
                </c:pt>
                <c:pt idx="342">
                  <c:v>729.5847</c:v>
                </c:pt>
                <c:pt idx="343">
                  <c:v>731.02670000000001</c:v>
                </c:pt>
                <c:pt idx="344">
                  <c:v>732.07849999999996</c:v>
                </c:pt>
                <c:pt idx="345">
                  <c:v>730.38040000000001</c:v>
                </c:pt>
                <c:pt idx="346">
                  <c:v>727.00400000000002</c:v>
                </c:pt>
                <c:pt idx="347">
                  <c:v>723.87070000000006</c:v>
                </c:pt>
                <c:pt idx="348">
                  <c:v>717.33900000000006</c:v>
                </c:pt>
                <c:pt idx="349">
                  <c:v>710.55949999999996</c:v>
                </c:pt>
                <c:pt idx="350">
                  <c:v>707.56050000000005</c:v>
                </c:pt>
                <c:pt idx="351">
                  <c:v>705.17190000000005</c:v>
                </c:pt>
                <c:pt idx="352">
                  <c:v>700.64779999999996</c:v>
                </c:pt>
                <c:pt idx="353">
                  <c:v>693.52689999999996</c:v>
                </c:pt>
                <c:pt idx="354">
                  <c:v>697.89269999999999</c:v>
                </c:pt>
                <c:pt idx="355">
                  <c:v>698.73260000000005</c:v>
                </c:pt>
                <c:pt idx="356">
                  <c:v>703.80370000000005</c:v>
                </c:pt>
                <c:pt idx="357">
                  <c:v>708.95190000000002</c:v>
                </c:pt>
                <c:pt idx="358">
                  <c:v>711.82740000000001</c:v>
                </c:pt>
                <c:pt idx="359">
                  <c:v>715.08500000000004</c:v>
                </c:pt>
                <c:pt idx="360">
                  <c:v>718.62469999999996</c:v>
                </c:pt>
                <c:pt idx="361">
                  <c:v>712.62289999999996</c:v>
                </c:pt>
                <c:pt idx="362">
                  <c:v>708.59400000000005</c:v>
                </c:pt>
                <c:pt idx="363">
                  <c:v>706.53959999999995</c:v>
                </c:pt>
                <c:pt idx="364">
                  <c:v>704.69949999999994</c:v>
                </c:pt>
                <c:pt idx="365">
                  <c:v>698.41079999999999</c:v>
                </c:pt>
                <c:pt idx="366">
                  <c:v>695.12909999999999</c:v>
                </c:pt>
                <c:pt idx="367">
                  <c:v>692.21489999999994</c:v>
                </c:pt>
                <c:pt idx="368">
                  <c:v>690.68730000000005</c:v>
                </c:pt>
                <c:pt idx="369">
                  <c:v>694.23149999999998</c:v>
                </c:pt>
                <c:pt idx="370">
                  <c:v>700.46770000000004</c:v>
                </c:pt>
                <c:pt idx="371">
                  <c:v>705.65899999999999</c:v>
                </c:pt>
                <c:pt idx="372">
                  <c:v>710.54859999999996</c:v>
                </c:pt>
                <c:pt idx="373">
                  <c:v>710.54859999999996</c:v>
                </c:pt>
                <c:pt idx="374">
                  <c:v>710.54859999999996</c:v>
                </c:pt>
                <c:pt idx="375">
                  <c:v>714.85810000000004</c:v>
                </c:pt>
                <c:pt idx="376">
                  <c:v>717.58</c:v>
                </c:pt>
                <c:pt idx="377">
                  <c:v>715.53039999999999</c:v>
                </c:pt>
                <c:pt idx="378">
                  <c:v>712.55679999999995</c:v>
                </c:pt>
                <c:pt idx="379">
                  <c:v>710.53399999999999</c:v>
                </c:pt>
                <c:pt idx="380">
                  <c:v>708.23389999999995</c:v>
                </c:pt>
                <c:pt idx="381">
                  <c:v>708.97649999999999</c:v>
                </c:pt>
                <c:pt idx="382">
                  <c:v>712.65949999999998</c:v>
                </c:pt>
                <c:pt idx="383">
                  <c:v>716.00819999999999</c:v>
                </c:pt>
                <c:pt idx="384">
                  <c:v>718.1413</c:v>
                </c:pt>
                <c:pt idx="385">
                  <c:v>721.80759999999998</c:v>
                </c:pt>
                <c:pt idx="386">
                  <c:v>727.02959999999996</c:v>
                </c:pt>
                <c:pt idx="387">
                  <c:v>727.85640000000001</c:v>
                </c:pt>
                <c:pt idx="388">
                  <c:v>730.98630000000003</c:v>
                </c:pt>
                <c:pt idx="389">
                  <c:v>732.49530000000004</c:v>
                </c:pt>
                <c:pt idx="390">
                  <c:v>732.49530000000004</c:v>
                </c:pt>
                <c:pt idx="391">
                  <c:v>733.64909999999998</c:v>
                </c:pt>
                <c:pt idx="392">
                  <c:v>733.64909999999998</c:v>
                </c:pt>
                <c:pt idx="393">
                  <c:v>732.17970000000003</c:v>
                </c:pt>
                <c:pt idx="394">
                  <c:v>730.68889999999999</c:v>
                </c:pt>
                <c:pt idx="395">
                  <c:v>733.1155</c:v>
                </c:pt>
                <c:pt idx="396">
                  <c:v>738.51110000000006</c:v>
                </c:pt>
                <c:pt idx="397">
                  <c:v>742.03330000000005</c:v>
                </c:pt>
                <c:pt idx="398">
                  <c:v>746.87729999999999</c:v>
                </c:pt>
                <c:pt idx="399">
                  <c:v>750.35069999999996</c:v>
                </c:pt>
                <c:pt idx="400">
                  <c:v>755.91200000000003</c:v>
                </c:pt>
                <c:pt idx="401">
                  <c:v>761.50469999999996</c:v>
                </c:pt>
                <c:pt idx="402">
                  <c:v>770.76499999999999</c:v>
                </c:pt>
                <c:pt idx="403">
                  <c:v>777.43889999999999</c:v>
                </c:pt>
                <c:pt idx="404">
                  <c:v>781.68979999999999</c:v>
                </c:pt>
                <c:pt idx="405">
                  <c:v>781.68979999999999</c:v>
                </c:pt>
                <c:pt idx="406">
                  <c:v>787.2636</c:v>
                </c:pt>
                <c:pt idx="407">
                  <c:v>792.28060000000005</c:v>
                </c:pt>
                <c:pt idx="408">
                  <c:v>796.26250000000005</c:v>
                </c:pt>
                <c:pt idx="409">
                  <c:v>796.26250000000005</c:v>
                </c:pt>
                <c:pt idx="410">
                  <c:v>798.04219999999998</c:v>
                </c:pt>
                <c:pt idx="411">
                  <c:v>798.98469999999998</c:v>
                </c:pt>
                <c:pt idx="412">
                  <c:v>799.34</c:v>
                </c:pt>
                <c:pt idx="413">
                  <c:v>799.35379999999998</c:v>
                </c:pt>
                <c:pt idx="414">
                  <c:v>800.36270000000002</c:v>
                </c:pt>
                <c:pt idx="415">
                  <c:v>801.66890000000001</c:v>
                </c:pt>
                <c:pt idx="416">
                  <c:v>800.76980000000003</c:v>
                </c:pt>
                <c:pt idx="417">
                  <c:v>799.15989999999999</c:v>
                </c:pt>
                <c:pt idx="418">
                  <c:v>795.13409999999999</c:v>
                </c:pt>
                <c:pt idx="419">
                  <c:v>789.78420000000006</c:v>
                </c:pt>
                <c:pt idx="420">
                  <c:v>784.46180000000004</c:v>
                </c:pt>
                <c:pt idx="421">
                  <c:v>780.39869999999996</c:v>
                </c:pt>
                <c:pt idx="422">
                  <c:v>776.16179999999997</c:v>
                </c:pt>
                <c:pt idx="423">
                  <c:v>770.35159999999996</c:v>
                </c:pt>
                <c:pt idx="424">
                  <c:v>764.37519999999995</c:v>
                </c:pt>
                <c:pt idx="425">
                  <c:v>756.59829999999999</c:v>
                </c:pt>
                <c:pt idx="426">
                  <c:v>750.0838</c:v>
                </c:pt>
                <c:pt idx="427">
                  <c:v>746.4633</c:v>
                </c:pt>
                <c:pt idx="428">
                  <c:v>741.36400000000003</c:v>
                </c:pt>
                <c:pt idx="429">
                  <c:v>740.31650000000002</c:v>
                </c:pt>
                <c:pt idx="430">
                  <c:v>733.98069999999996</c:v>
                </c:pt>
                <c:pt idx="431">
                  <c:v>734.41890000000001</c:v>
                </c:pt>
                <c:pt idx="432">
                  <c:v>735.10550000000001</c:v>
                </c:pt>
                <c:pt idx="433">
                  <c:v>739.33140000000003</c:v>
                </c:pt>
                <c:pt idx="434">
                  <c:v>739.73509999999999</c:v>
                </c:pt>
                <c:pt idx="435">
                  <c:v>740.00300000000004</c:v>
                </c:pt>
                <c:pt idx="436">
                  <c:v>741.77940000000001</c:v>
                </c:pt>
                <c:pt idx="437">
                  <c:v>743.32449999999994</c:v>
                </c:pt>
                <c:pt idx="438">
                  <c:v>743.15319999999997</c:v>
                </c:pt>
                <c:pt idx="439">
                  <c:v>742.97230000000002</c:v>
                </c:pt>
                <c:pt idx="440">
                  <c:v>742.77480000000003</c:v>
                </c:pt>
                <c:pt idx="441">
                  <c:v>741.75130000000001</c:v>
                </c:pt>
                <c:pt idx="442">
                  <c:v>738.95600000000002</c:v>
                </c:pt>
                <c:pt idx="443">
                  <c:v>736.04560000000004</c:v>
                </c:pt>
                <c:pt idx="444">
                  <c:v>733.07010000000002</c:v>
                </c:pt>
                <c:pt idx="445">
                  <c:v>730.0539</c:v>
                </c:pt>
                <c:pt idx="446">
                  <c:v>727.94290000000001</c:v>
                </c:pt>
                <c:pt idx="447">
                  <c:v>727.38779999999997</c:v>
                </c:pt>
                <c:pt idx="448">
                  <c:v>726.76160000000004</c:v>
                </c:pt>
                <c:pt idx="449">
                  <c:v>726.08370000000002</c:v>
                </c:pt>
                <c:pt idx="450">
                  <c:v>726.87070000000006</c:v>
                </c:pt>
                <c:pt idx="451">
                  <c:v>728.96900000000005</c:v>
                </c:pt>
                <c:pt idx="452">
                  <c:v>730.44179999999994</c:v>
                </c:pt>
                <c:pt idx="453">
                  <c:v>732.37900000000002</c:v>
                </c:pt>
                <c:pt idx="454">
                  <c:v>734.07429999999999</c:v>
                </c:pt>
                <c:pt idx="455">
                  <c:v>735.61749999999995</c:v>
                </c:pt>
                <c:pt idx="456">
                  <c:v>737.41930000000002</c:v>
                </c:pt>
                <c:pt idx="457">
                  <c:v>737.41930000000002</c:v>
                </c:pt>
                <c:pt idx="458">
                  <c:v>739.94060000000002</c:v>
                </c:pt>
                <c:pt idx="459">
                  <c:v>743.15719999999999</c:v>
                </c:pt>
                <c:pt idx="460">
                  <c:v>744.00459999999998</c:v>
                </c:pt>
                <c:pt idx="461">
                  <c:v>746.12980000000005</c:v>
                </c:pt>
                <c:pt idx="462">
                  <c:v>749.64850000000001</c:v>
                </c:pt>
                <c:pt idx="463">
                  <c:v>750.40920000000006</c:v>
                </c:pt>
                <c:pt idx="464">
                  <c:v>753.55809999999997</c:v>
                </c:pt>
                <c:pt idx="465">
                  <c:v>753.55809999999997</c:v>
                </c:pt>
                <c:pt idx="466">
                  <c:v>763.55899999999997</c:v>
                </c:pt>
                <c:pt idx="467">
                  <c:v>765.50940000000003</c:v>
                </c:pt>
                <c:pt idx="468">
                  <c:v>777.09320000000002</c:v>
                </c:pt>
                <c:pt idx="469">
                  <c:v>782.54539999999997</c:v>
                </c:pt>
                <c:pt idx="470">
                  <c:v>782.54539999999997</c:v>
                </c:pt>
                <c:pt idx="471">
                  <c:v>785.92769999999996</c:v>
                </c:pt>
                <c:pt idx="472">
                  <c:v>785.92769999999996</c:v>
                </c:pt>
                <c:pt idx="473">
                  <c:v>790.06470000000002</c:v>
                </c:pt>
                <c:pt idx="474">
                  <c:v>793.74800000000005</c:v>
                </c:pt>
                <c:pt idx="475">
                  <c:v>797.2364</c:v>
                </c:pt>
                <c:pt idx="476">
                  <c:v>797.10659999999996</c:v>
                </c:pt>
                <c:pt idx="477">
                  <c:v>798.08270000000005</c:v>
                </c:pt>
                <c:pt idx="478">
                  <c:v>798.08270000000005</c:v>
                </c:pt>
                <c:pt idx="479">
                  <c:v>798.77030000000002</c:v>
                </c:pt>
                <c:pt idx="480">
                  <c:v>798.77030000000002</c:v>
                </c:pt>
                <c:pt idx="481">
                  <c:v>795.54480000000001</c:v>
                </c:pt>
                <c:pt idx="482">
                  <c:v>799.70600000000002</c:v>
                </c:pt>
                <c:pt idx="483">
                  <c:v>803.47170000000006</c:v>
                </c:pt>
                <c:pt idx="484">
                  <c:v>804.36189999999999</c:v>
                </c:pt>
                <c:pt idx="485">
                  <c:v>803.60429999999997</c:v>
                </c:pt>
                <c:pt idx="486">
                  <c:v>804.05039999999997</c:v>
                </c:pt>
                <c:pt idx="487">
                  <c:v>805.55600000000004</c:v>
                </c:pt>
                <c:pt idx="488">
                  <c:v>807.92970000000003</c:v>
                </c:pt>
                <c:pt idx="489">
                  <c:v>810.00540000000001</c:v>
                </c:pt>
                <c:pt idx="490">
                  <c:v>812.33209999999997</c:v>
                </c:pt>
                <c:pt idx="491">
                  <c:v>814.33040000000005</c:v>
                </c:pt>
                <c:pt idx="492">
                  <c:v>816.84299999999996</c:v>
                </c:pt>
                <c:pt idx="493">
                  <c:v>820.42070000000001</c:v>
                </c:pt>
                <c:pt idx="494">
                  <c:v>823.73170000000005</c:v>
                </c:pt>
                <c:pt idx="495">
                  <c:v>826.77499999999998</c:v>
                </c:pt>
                <c:pt idx="496">
                  <c:v>827.40380000000005</c:v>
                </c:pt>
                <c:pt idx="497">
                  <c:v>826.91489999999999</c:v>
                </c:pt>
                <c:pt idx="498">
                  <c:v>824.34529999999995</c:v>
                </c:pt>
                <c:pt idx="499">
                  <c:v>820.59130000000005</c:v>
                </c:pt>
                <c:pt idx="500">
                  <c:v>816.46270000000004</c:v>
                </c:pt>
                <c:pt idx="501">
                  <c:v>811.9579</c:v>
                </c:pt>
                <c:pt idx="502">
                  <c:v>807.49890000000005</c:v>
                </c:pt>
                <c:pt idx="503">
                  <c:v>804.23710000000005</c:v>
                </c:pt>
                <c:pt idx="504">
                  <c:v>802.54819999999995</c:v>
                </c:pt>
                <c:pt idx="505">
                  <c:v>801.17409999999995</c:v>
                </c:pt>
                <c:pt idx="506">
                  <c:v>800.67539999999997</c:v>
                </c:pt>
                <c:pt idx="507">
                  <c:v>800.53520000000003</c:v>
                </c:pt>
                <c:pt idx="508">
                  <c:v>799.94529999999997</c:v>
                </c:pt>
                <c:pt idx="509">
                  <c:v>798.42639999999994</c:v>
                </c:pt>
                <c:pt idx="510">
                  <c:v>798.42639999999994</c:v>
                </c:pt>
                <c:pt idx="511">
                  <c:v>795.91930000000002</c:v>
                </c:pt>
                <c:pt idx="512">
                  <c:v>795.91930000000002</c:v>
                </c:pt>
                <c:pt idx="513">
                  <c:v>793.42370000000005</c:v>
                </c:pt>
                <c:pt idx="514">
                  <c:v>790.99699999999996</c:v>
                </c:pt>
                <c:pt idx="515">
                  <c:v>788.5127</c:v>
                </c:pt>
                <c:pt idx="516">
                  <c:v>787.18380000000002</c:v>
                </c:pt>
                <c:pt idx="517">
                  <c:v>785.89269999999999</c:v>
                </c:pt>
                <c:pt idx="518">
                  <c:v>783.50429999999994</c:v>
                </c:pt>
                <c:pt idx="519">
                  <c:v>780.98249999999996</c:v>
                </c:pt>
                <c:pt idx="520">
                  <c:v>774.16380000000004</c:v>
                </c:pt>
                <c:pt idx="521">
                  <c:v>770.23540000000003</c:v>
                </c:pt>
                <c:pt idx="522">
                  <c:v>766.94290000000001</c:v>
                </c:pt>
                <c:pt idx="523">
                  <c:v>766.94529999999997</c:v>
                </c:pt>
                <c:pt idx="524">
                  <c:v>767.37379999999996</c:v>
                </c:pt>
                <c:pt idx="525">
                  <c:v>769.48519999999996</c:v>
                </c:pt>
                <c:pt idx="526">
                  <c:v>774.05830000000003</c:v>
                </c:pt>
                <c:pt idx="527">
                  <c:v>777.38789999999995</c:v>
                </c:pt>
                <c:pt idx="528">
                  <c:v>780.49339999999995</c:v>
                </c:pt>
                <c:pt idx="529">
                  <c:v>783.38080000000002</c:v>
                </c:pt>
                <c:pt idx="530">
                  <c:v>785.74239999999998</c:v>
                </c:pt>
                <c:pt idx="531">
                  <c:v>788.327</c:v>
                </c:pt>
                <c:pt idx="532">
                  <c:v>788.327</c:v>
                </c:pt>
                <c:pt idx="533">
                  <c:v>790.9144</c:v>
                </c:pt>
                <c:pt idx="534">
                  <c:v>790.9144</c:v>
                </c:pt>
                <c:pt idx="535">
                  <c:v>793.48680000000002</c:v>
                </c:pt>
                <c:pt idx="536">
                  <c:v>794.31989999999996</c:v>
                </c:pt>
                <c:pt idx="537">
                  <c:v>791.61559999999997</c:v>
                </c:pt>
                <c:pt idx="538">
                  <c:v>789.47249999999997</c:v>
                </c:pt>
                <c:pt idx="539">
                  <c:v>786.78139999999996</c:v>
                </c:pt>
                <c:pt idx="540">
                  <c:v>784.63940000000002</c:v>
                </c:pt>
                <c:pt idx="541">
                  <c:v>782.76080000000002</c:v>
                </c:pt>
                <c:pt idx="542">
                  <c:v>781.44650000000001</c:v>
                </c:pt>
                <c:pt idx="543">
                  <c:v>780.47630000000004</c:v>
                </c:pt>
                <c:pt idx="544">
                  <c:v>780.19529999999997</c:v>
                </c:pt>
                <c:pt idx="545">
                  <c:v>781.19330000000002</c:v>
                </c:pt>
                <c:pt idx="546">
                  <c:v>784.9742</c:v>
                </c:pt>
                <c:pt idx="547">
                  <c:v>788.13710000000003</c:v>
                </c:pt>
                <c:pt idx="548">
                  <c:v>792.80690000000004</c:v>
                </c:pt>
                <c:pt idx="549">
                  <c:v>797.16160000000002</c:v>
                </c:pt>
                <c:pt idx="550">
                  <c:v>801.28959999999995</c:v>
                </c:pt>
                <c:pt idx="551">
                  <c:v>805.10609999999997</c:v>
                </c:pt>
                <c:pt idx="552">
                  <c:v>805.10609999999997</c:v>
                </c:pt>
                <c:pt idx="553">
                  <c:v>809.65449999999998</c:v>
                </c:pt>
                <c:pt idx="554">
                  <c:v>809.65449999999998</c:v>
                </c:pt>
                <c:pt idx="555">
                  <c:v>813.6626</c:v>
                </c:pt>
                <c:pt idx="556">
                  <c:v>818.17079999999999</c:v>
                </c:pt>
                <c:pt idx="557">
                  <c:v>822.58870000000002</c:v>
                </c:pt>
                <c:pt idx="558">
                  <c:v>824.63440000000003</c:v>
                </c:pt>
                <c:pt idx="559">
                  <c:v>827.05280000000005</c:v>
                </c:pt>
                <c:pt idx="560">
                  <c:v>828.58169999999996</c:v>
                </c:pt>
                <c:pt idx="561">
                  <c:v>830.40909999999997</c:v>
                </c:pt>
                <c:pt idx="562">
                  <c:v>831.7405</c:v>
                </c:pt>
                <c:pt idx="563">
                  <c:v>832.62339999999995</c:v>
                </c:pt>
                <c:pt idx="564">
                  <c:v>832.42589999999996</c:v>
                </c:pt>
                <c:pt idx="565">
                  <c:v>831.21669999999995</c:v>
                </c:pt>
                <c:pt idx="566">
                  <c:v>828.89269999999999</c:v>
                </c:pt>
                <c:pt idx="567">
                  <c:v>826.12670000000003</c:v>
                </c:pt>
                <c:pt idx="568">
                  <c:v>823.57470000000001</c:v>
                </c:pt>
                <c:pt idx="569">
                  <c:v>819.89769999999999</c:v>
                </c:pt>
                <c:pt idx="570">
                  <c:v>816.67409999999995</c:v>
                </c:pt>
                <c:pt idx="571">
                  <c:v>813.77620000000002</c:v>
                </c:pt>
                <c:pt idx="572">
                  <c:v>810.94200000000001</c:v>
                </c:pt>
                <c:pt idx="573">
                  <c:v>808.03679999999997</c:v>
                </c:pt>
                <c:pt idx="574">
                  <c:v>805.1123</c:v>
                </c:pt>
                <c:pt idx="575">
                  <c:v>800.68420000000003</c:v>
                </c:pt>
                <c:pt idx="576">
                  <c:v>803.7491</c:v>
                </c:pt>
                <c:pt idx="577">
                  <c:v>804.34109999999998</c:v>
                </c:pt>
                <c:pt idx="578">
                  <c:v>802.07209999999998</c:v>
                </c:pt>
                <c:pt idx="579">
                  <c:v>800.22910000000002</c:v>
                </c:pt>
                <c:pt idx="580">
                  <c:v>798.58799999999997</c:v>
                </c:pt>
                <c:pt idx="581">
                  <c:v>796.79060000000004</c:v>
                </c:pt>
                <c:pt idx="582">
                  <c:v>794.74699999999996</c:v>
                </c:pt>
                <c:pt idx="583">
                  <c:v>791.97209999999995</c:v>
                </c:pt>
                <c:pt idx="584">
                  <c:v>789.93700000000001</c:v>
                </c:pt>
                <c:pt idx="585">
                  <c:v>786.36869999999999</c:v>
                </c:pt>
                <c:pt idx="586">
                  <c:v>790.19500000000005</c:v>
                </c:pt>
                <c:pt idx="587">
                  <c:v>797.92079999999999</c:v>
                </c:pt>
                <c:pt idx="588">
                  <c:v>803.56330000000003</c:v>
                </c:pt>
                <c:pt idx="589">
                  <c:v>810.63980000000004</c:v>
                </c:pt>
                <c:pt idx="590">
                  <c:v>815.77369999999996</c:v>
                </c:pt>
                <c:pt idx="591">
                  <c:v>819.40179999999998</c:v>
                </c:pt>
                <c:pt idx="592">
                  <c:v>820.81539999999995</c:v>
                </c:pt>
                <c:pt idx="593">
                  <c:v>820.81539999999995</c:v>
                </c:pt>
                <c:pt idx="594">
                  <c:v>821.08989999999994</c:v>
                </c:pt>
                <c:pt idx="595">
                  <c:v>821.08989999999994</c:v>
                </c:pt>
                <c:pt idx="596">
                  <c:v>820.28399999999999</c:v>
                </c:pt>
                <c:pt idx="597">
                  <c:v>818.74030000000005</c:v>
                </c:pt>
                <c:pt idx="598">
                  <c:v>816.9751</c:v>
                </c:pt>
                <c:pt idx="599">
                  <c:v>815.06</c:v>
                </c:pt>
                <c:pt idx="600">
                  <c:v>812.91949999999997</c:v>
                </c:pt>
                <c:pt idx="601">
                  <c:v>810.75199999999995</c:v>
                </c:pt>
                <c:pt idx="602">
                  <c:v>807.89750000000004</c:v>
                </c:pt>
                <c:pt idx="603">
                  <c:v>809.73180000000002</c:v>
                </c:pt>
                <c:pt idx="604">
                  <c:v>810.87850000000003</c:v>
                </c:pt>
                <c:pt idx="605">
                  <c:v>812.07899999999995</c:v>
                </c:pt>
                <c:pt idx="606">
                  <c:v>812.25670000000002</c:v>
                </c:pt>
                <c:pt idx="607">
                  <c:v>811.63139999999999</c:v>
                </c:pt>
                <c:pt idx="608">
                  <c:v>810.05280000000005</c:v>
                </c:pt>
                <c:pt idx="609">
                  <c:v>807.41189999999995</c:v>
                </c:pt>
                <c:pt idx="610">
                  <c:v>805.7328</c:v>
                </c:pt>
                <c:pt idx="611">
                  <c:v>804.68769999999995</c:v>
                </c:pt>
                <c:pt idx="612">
                  <c:v>803.17070000000001</c:v>
                </c:pt>
                <c:pt idx="613">
                  <c:v>802.50400000000002</c:v>
                </c:pt>
                <c:pt idx="614">
                  <c:v>800.0163</c:v>
                </c:pt>
                <c:pt idx="615">
                  <c:v>798.11959999999999</c:v>
                </c:pt>
                <c:pt idx="616">
                  <c:v>798.03809999999999</c:v>
                </c:pt>
                <c:pt idx="617">
                  <c:v>798.52380000000005</c:v>
                </c:pt>
                <c:pt idx="618">
                  <c:v>797.75</c:v>
                </c:pt>
                <c:pt idx="619">
                  <c:v>797.51490000000001</c:v>
                </c:pt>
                <c:pt idx="620">
                  <c:v>797.93309999999997</c:v>
                </c:pt>
                <c:pt idx="621">
                  <c:v>798.64179999999999</c:v>
                </c:pt>
                <c:pt idx="622">
                  <c:v>800.6961</c:v>
                </c:pt>
                <c:pt idx="623">
                  <c:v>802.14790000000005</c:v>
                </c:pt>
                <c:pt idx="624">
                  <c:v>802.66849999999999</c:v>
                </c:pt>
                <c:pt idx="625">
                  <c:v>802.12810000000002</c:v>
                </c:pt>
                <c:pt idx="626">
                  <c:v>801.47439999999995</c:v>
                </c:pt>
                <c:pt idx="627">
                  <c:v>800.54930000000002</c:v>
                </c:pt>
                <c:pt idx="628">
                  <c:v>799.54700000000003</c:v>
                </c:pt>
                <c:pt idx="629">
                  <c:v>799.24429999999995</c:v>
                </c:pt>
                <c:pt idx="630">
                  <c:v>799.03449999999998</c:v>
                </c:pt>
                <c:pt idx="631">
                  <c:v>799.05370000000005</c:v>
                </c:pt>
                <c:pt idx="632">
                  <c:v>799.05370000000005</c:v>
                </c:pt>
                <c:pt idx="633">
                  <c:v>798.35019999999997</c:v>
                </c:pt>
                <c:pt idx="634">
                  <c:v>797.43849999999998</c:v>
                </c:pt>
                <c:pt idx="635">
                  <c:v>796.82209999999998</c:v>
                </c:pt>
                <c:pt idx="636">
                  <c:v>796.94960000000003</c:v>
                </c:pt>
                <c:pt idx="637">
                  <c:v>797.30259999999998</c:v>
                </c:pt>
                <c:pt idx="638">
                  <c:v>799.63900000000001</c:v>
                </c:pt>
                <c:pt idx="639">
                  <c:v>800.18920000000003</c:v>
                </c:pt>
                <c:pt idx="640">
                  <c:v>788.19219999999996</c:v>
                </c:pt>
                <c:pt idx="641">
                  <c:v>797.96370000000002</c:v>
                </c:pt>
                <c:pt idx="642">
                  <c:v>797.18619999999999</c:v>
                </c:pt>
                <c:pt idx="643">
                  <c:v>793.74390000000005</c:v>
                </c:pt>
                <c:pt idx="644">
                  <c:v>795.81989999999996</c:v>
                </c:pt>
                <c:pt idx="645">
                  <c:v>800.23080000000004</c:v>
                </c:pt>
                <c:pt idx="646">
                  <c:v>802.2559</c:v>
                </c:pt>
                <c:pt idx="647">
                  <c:v>804.06539999999995</c:v>
                </c:pt>
                <c:pt idx="648">
                  <c:v>806.88210000000004</c:v>
                </c:pt>
                <c:pt idx="649">
                  <c:v>810.20349999999996</c:v>
                </c:pt>
                <c:pt idx="650">
                  <c:v>810.20349999999996</c:v>
                </c:pt>
                <c:pt idx="651">
                  <c:v>813.57820000000004</c:v>
                </c:pt>
                <c:pt idx="652">
                  <c:v>815.87879999999996</c:v>
                </c:pt>
                <c:pt idx="653">
                  <c:v>817.34109999999998</c:v>
                </c:pt>
                <c:pt idx="654">
                  <c:v>821.39300000000003</c:v>
                </c:pt>
                <c:pt idx="655">
                  <c:v>822.24620000000004</c:v>
                </c:pt>
                <c:pt idx="656">
                  <c:v>819.7527</c:v>
                </c:pt>
                <c:pt idx="657">
                  <c:v>815.86369999999999</c:v>
                </c:pt>
                <c:pt idx="658">
                  <c:v>821.0915</c:v>
                </c:pt>
                <c:pt idx="659">
                  <c:v>827.04549999999995</c:v>
                </c:pt>
                <c:pt idx="660">
                  <c:v>831.65449999999998</c:v>
                </c:pt>
                <c:pt idx="661">
                  <c:v>834.62469999999996</c:v>
                </c:pt>
                <c:pt idx="662">
                  <c:v>839.80799999999999</c:v>
                </c:pt>
                <c:pt idx="663">
                  <c:v>851.4239</c:v>
                </c:pt>
                <c:pt idx="664">
                  <c:v>862.62639999999999</c:v>
                </c:pt>
                <c:pt idx="665">
                  <c:v>875.53279999999995</c:v>
                </c:pt>
                <c:pt idx="666">
                  <c:v>888.32079999999996</c:v>
                </c:pt>
                <c:pt idx="667">
                  <c:v>895.10479999999995</c:v>
                </c:pt>
                <c:pt idx="668">
                  <c:v>901.92470000000003</c:v>
                </c:pt>
                <c:pt idx="669">
                  <c:v>906.52059999999994</c:v>
                </c:pt>
                <c:pt idx="670">
                  <c:v>910.94399999999996</c:v>
                </c:pt>
                <c:pt idx="671">
                  <c:v>916.79300000000001</c:v>
                </c:pt>
                <c:pt idx="672">
                  <c:v>923.90099999999995</c:v>
                </c:pt>
                <c:pt idx="673">
                  <c:v>919.55150000000003</c:v>
                </c:pt>
                <c:pt idx="674">
                  <c:v>910.14649999999995</c:v>
                </c:pt>
                <c:pt idx="675">
                  <c:v>902.46550000000002</c:v>
                </c:pt>
                <c:pt idx="676">
                  <c:v>895.15920000000006</c:v>
                </c:pt>
                <c:pt idx="677">
                  <c:v>887.08219999999994</c:v>
                </c:pt>
                <c:pt idx="678">
                  <c:v>897.33309999999994</c:v>
                </c:pt>
                <c:pt idx="679">
                  <c:v>898.08130000000006</c:v>
                </c:pt>
                <c:pt idx="680">
                  <c:v>891.90700000000004</c:v>
                </c:pt>
                <c:pt idx="681">
                  <c:v>881.4751</c:v>
                </c:pt>
                <c:pt idx="682">
                  <c:v>864.74850000000004</c:v>
                </c:pt>
                <c:pt idx="683">
                  <c:v>864.74850000000004</c:v>
                </c:pt>
                <c:pt idx="684">
                  <c:v>870.1</c:v>
                </c:pt>
                <c:pt idx="685">
                  <c:v>870.1</c:v>
                </c:pt>
                <c:pt idx="686">
                  <c:v>875.0575</c:v>
                </c:pt>
                <c:pt idx="687">
                  <c:v>889.23770000000002</c:v>
                </c:pt>
                <c:pt idx="688">
                  <c:v>895.37980000000005</c:v>
                </c:pt>
                <c:pt idx="689">
                  <c:v>903.01580000000001</c:v>
                </c:pt>
                <c:pt idx="690">
                  <c:v>909.56179999999995</c:v>
                </c:pt>
                <c:pt idx="691">
                  <c:v>914.33720000000005</c:v>
                </c:pt>
                <c:pt idx="692">
                  <c:v>913.17070000000001</c:v>
                </c:pt>
                <c:pt idx="693">
                  <c:v>913.17070000000001</c:v>
                </c:pt>
                <c:pt idx="694">
                  <c:v>913.16340000000002</c:v>
                </c:pt>
                <c:pt idx="695">
                  <c:v>913.16340000000002</c:v>
                </c:pt>
                <c:pt idx="696">
                  <c:v>918.22199999999998</c:v>
                </c:pt>
                <c:pt idx="697">
                  <c:v>922.67740000000003</c:v>
                </c:pt>
                <c:pt idx="698">
                  <c:v>927.84100000000001</c:v>
                </c:pt>
                <c:pt idx="699">
                  <c:v>931.04129999999998</c:v>
                </c:pt>
                <c:pt idx="700">
                  <c:v>933.22230000000002</c:v>
                </c:pt>
                <c:pt idx="701">
                  <c:v>934.56119999999999</c:v>
                </c:pt>
                <c:pt idx="702">
                  <c:v>934.23230000000001</c:v>
                </c:pt>
                <c:pt idx="703">
                  <c:v>933.73410000000001</c:v>
                </c:pt>
                <c:pt idx="704">
                  <c:v>934.87980000000005</c:v>
                </c:pt>
                <c:pt idx="705">
                  <c:v>934.0643</c:v>
                </c:pt>
                <c:pt idx="706">
                  <c:v>932.67039999999997</c:v>
                </c:pt>
                <c:pt idx="707">
                  <c:v>932.04409999999996</c:v>
                </c:pt>
                <c:pt idx="708">
                  <c:v>930.58630000000005</c:v>
                </c:pt>
                <c:pt idx="709">
                  <c:v>929.75840000000005</c:v>
                </c:pt>
                <c:pt idx="710">
                  <c:v>927.28150000000005</c:v>
                </c:pt>
                <c:pt idx="711">
                  <c:v>924.74929999999995</c:v>
                </c:pt>
                <c:pt idx="712">
                  <c:v>921.42349999999999</c:v>
                </c:pt>
                <c:pt idx="713">
                  <c:v>918.83280000000002</c:v>
                </c:pt>
                <c:pt idx="714">
                  <c:v>916.59130000000005</c:v>
                </c:pt>
                <c:pt idx="715">
                  <c:v>916.43899999999996</c:v>
                </c:pt>
                <c:pt idx="716">
                  <c:v>919.875</c:v>
                </c:pt>
                <c:pt idx="717">
                  <c:v>923.26990000000001</c:v>
                </c:pt>
                <c:pt idx="718">
                  <c:v>927.00139999999999</c:v>
                </c:pt>
                <c:pt idx="719">
                  <c:v>930.7364</c:v>
                </c:pt>
                <c:pt idx="720">
                  <c:v>932.76099999999997</c:v>
                </c:pt>
                <c:pt idx="721">
                  <c:v>934.49450000000002</c:v>
                </c:pt>
                <c:pt idx="722">
                  <c:v>936.20569999999998</c:v>
                </c:pt>
                <c:pt idx="723">
                  <c:v>936.53380000000004</c:v>
                </c:pt>
                <c:pt idx="724">
                  <c:v>936.81640000000004</c:v>
                </c:pt>
                <c:pt idx="725">
                  <c:v>936.98699999999997</c:v>
                </c:pt>
                <c:pt idx="726">
                  <c:v>937.9941</c:v>
                </c:pt>
                <c:pt idx="727">
                  <c:v>938.19100000000003</c:v>
                </c:pt>
                <c:pt idx="728">
                  <c:v>937.90660000000003</c:v>
                </c:pt>
                <c:pt idx="729">
                  <c:v>935.78489999999999</c:v>
                </c:pt>
                <c:pt idx="730">
                  <c:v>933.18100000000004</c:v>
                </c:pt>
                <c:pt idx="731">
                  <c:v>930.33389999999997</c:v>
                </c:pt>
                <c:pt idx="732">
                  <c:v>927.60680000000002</c:v>
                </c:pt>
                <c:pt idx="733">
                  <c:v>925.44730000000004</c:v>
                </c:pt>
                <c:pt idx="734">
                  <c:v>923.45230000000004</c:v>
                </c:pt>
                <c:pt idx="735">
                  <c:v>921.87139999999999</c:v>
                </c:pt>
                <c:pt idx="736">
                  <c:v>921.65769999999998</c:v>
                </c:pt>
                <c:pt idx="737">
                  <c:v>921.16499999999996</c:v>
                </c:pt>
                <c:pt idx="738">
                  <c:v>921.29960000000005</c:v>
                </c:pt>
                <c:pt idx="739">
                  <c:v>921.53139999999996</c:v>
                </c:pt>
                <c:pt idx="740">
                  <c:v>921.39790000000005</c:v>
                </c:pt>
                <c:pt idx="741">
                  <c:v>923.14549999999997</c:v>
                </c:pt>
                <c:pt idx="742">
                  <c:v>925.21550000000002</c:v>
                </c:pt>
                <c:pt idx="743">
                  <c:v>928.20479999999998</c:v>
                </c:pt>
                <c:pt idx="744">
                  <c:v>931.48720000000003</c:v>
                </c:pt>
                <c:pt idx="745">
                  <c:v>933.15210000000002</c:v>
                </c:pt>
                <c:pt idx="746">
                  <c:v>933.86950000000002</c:v>
                </c:pt>
                <c:pt idx="747">
                  <c:v>933.29960000000005</c:v>
                </c:pt>
                <c:pt idx="748">
                  <c:v>932.83219999999994</c:v>
                </c:pt>
                <c:pt idx="749">
                  <c:v>932.01869999999997</c:v>
                </c:pt>
                <c:pt idx="750">
                  <c:v>931.31370000000004</c:v>
                </c:pt>
                <c:pt idx="751">
                  <c:v>930.74519999999995</c:v>
                </c:pt>
                <c:pt idx="752">
                  <c:v>930.74519999999995</c:v>
                </c:pt>
                <c:pt idx="753">
                  <c:v>931.96220000000005</c:v>
                </c:pt>
                <c:pt idx="754">
                  <c:v>933.40430000000003</c:v>
                </c:pt>
                <c:pt idx="755">
                  <c:v>933.40430000000003</c:v>
                </c:pt>
                <c:pt idx="756">
                  <c:v>933.26739999999995</c:v>
                </c:pt>
                <c:pt idx="757">
                  <c:v>933.79880000000003</c:v>
                </c:pt>
                <c:pt idx="758">
                  <c:v>934.04219999999998</c:v>
                </c:pt>
                <c:pt idx="759">
                  <c:v>933.83389999999997</c:v>
                </c:pt>
                <c:pt idx="760">
                  <c:v>933.4348</c:v>
                </c:pt>
                <c:pt idx="761">
                  <c:v>932.73339999999996</c:v>
                </c:pt>
                <c:pt idx="762">
                  <c:v>932.39769999999999</c:v>
                </c:pt>
                <c:pt idx="763">
                  <c:v>932.2817</c:v>
                </c:pt>
                <c:pt idx="764">
                  <c:v>932.51310000000001</c:v>
                </c:pt>
                <c:pt idx="765">
                  <c:v>932.70090000000005</c:v>
                </c:pt>
                <c:pt idx="766">
                  <c:v>932.81640000000004</c:v>
                </c:pt>
                <c:pt idx="767">
                  <c:v>933.17970000000003</c:v>
                </c:pt>
                <c:pt idx="768">
                  <c:v>933.93939999999998</c:v>
                </c:pt>
                <c:pt idx="769">
                  <c:v>934.68859999999995</c:v>
                </c:pt>
                <c:pt idx="770">
                  <c:v>935.42150000000004</c:v>
                </c:pt>
                <c:pt idx="771">
                  <c:v>934.30319999999995</c:v>
                </c:pt>
                <c:pt idx="772">
                  <c:v>932.51980000000003</c:v>
                </c:pt>
                <c:pt idx="773">
                  <c:v>930.5385</c:v>
                </c:pt>
                <c:pt idx="774">
                  <c:v>928.24099999999999</c:v>
                </c:pt>
                <c:pt idx="775">
                  <c:v>925.89020000000005</c:v>
                </c:pt>
                <c:pt idx="776">
                  <c:v>923.70920000000001</c:v>
                </c:pt>
                <c:pt idx="777">
                  <c:v>921.78269999999998</c:v>
                </c:pt>
                <c:pt idx="778">
                  <c:v>919.48429999999996</c:v>
                </c:pt>
                <c:pt idx="779">
                  <c:v>917.14300000000003</c:v>
                </c:pt>
                <c:pt idx="780">
                  <c:v>914.65499999999997</c:v>
                </c:pt>
                <c:pt idx="781">
                  <c:v>914.65499999999997</c:v>
                </c:pt>
                <c:pt idx="782">
                  <c:v>911.93709999999999</c:v>
                </c:pt>
                <c:pt idx="783">
                  <c:v>911.93709999999999</c:v>
                </c:pt>
                <c:pt idx="784">
                  <c:v>909.74080000000004</c:v>
                </c:pt>
                <c:pt idx="785">
                  <c:v>908.14359999999999</c:v>
                </c:pt>
                <c:pt idx="786">
                  <c:v>908.14359999999999</c:v>
                </c:pt>
                <c:pt idx="787">
                  <c:v>907.57860000000005</c:v>
                </c:pt>
                <c:pt idx="788">
                  <c:v>907.90049999999997</c:v>
                </c:pt>
                <c:pt idx="789">
                  <c:v>908.19860000000006</c:v>
                </c:pt>
                <c:pt idx="790">
                  <c:v>911.55079999999998</c:v>
                </c:pt>
                <c:pt idx="791">
                  <c:v>911.55079999999998</c:v>
                </c:pt>
                <c:pt idx="792">
                  <c:v>913.3922</c:v>
                </c:pt>
                <c:pt idx="793">
                  <c:v>915.34169999999995</c:v>
                </c:pt>
                <c:pt idx="794">
                  <c:v>916.93790000000001</c:v>
                </c:pt>
                <c:pt idx="795">
                  <c:v>918.84680000000003</c:v>
                </c:pt>
                <c:pt idx="796">
                  <c:v>920.04880000000003</c:v>
                </c:pt>
                <c:pt idx="797">
                  <c:v>920.9692</c:v>
                </c:pt>
                <c:pt idx="798">
                  <c:v>921.48530000000005</c:v>
                </c:pt>
                <c:pt idx="799">
                  <c:v>921.77940000000001</c:v>
                </c:pt>
                <c:pt idx="800">
                  <c:v>921.80930000000001</c:v>
                </c:pt>
                <c:pt idx="801">
                  <c:v>921.10969999999998</c:v>
                </c:pt>
                <c:pt idx="802">
                  <c:v>918.66160000000002</c:v>
                </c:pt>
                <c:pt idx="803">
                  <c:v>915.51800000000003</c:v>
                </c:pt>
                <c:pt idx="804">
                  <c:v>911.89329999999995</c:v>
                </c:pt>
                <c:pt idx="805">
                  <c:v>907.73800000000006</c:v>
                </c:pt>
                <c:pt idx="806">
                  <c:v>904.63670000000002</c:v>
                </c:pt>
                <c:pt idx="807">
                  <c:v>901.48710000000005</c:v>
                </c:pt>
                <c:pt idx="808">
                  <c:v>898.94880000000001</c:v>
                </c:pt>
                <c:pt idx="809">
                  <c:v>897.44330000000002</c:v>
                </c:pt>
                <c:pt idx="810">
                  <c:v>896.33759999999995</c:v>
                </c:pt>
                <c:pt idx="811">
                  <c:v>896.80089999999996</c:v>
                </c:pt>
                <c:pt idx="812">
                  <c:v>898.1807</c:v>
                </c:pt>
                <c:pt idx="813">
                  <c:v>895.64620000000002</c:v>
                </c:pt>
                <c:pt idx="814">
                  <c:v>891.72709999999995</c:v>
                </c:pt>
                <c:pt idx="815">
                  <c:v>887.46609999999998</c:v>
                </c:pt>
                <c:pt idx="816">
                  <c:v>882.06510000000003</c:v>
                </c:pt>
                <c:pt idx="817">
                  <c:v>875.80460000000005</c:v>
                </c:pt>
                <c:pt idx="818">
                  <c:v>877.77350000000001</c:v>
                </c:pt>
                <c:pt idx="819">
                  <c:v>884.09829999999999</c:v>
                </c:pt>
                <c:pt idx="820">
                  <c:v>884.71720000000005</c:v>
                </c:pt>
                <c:pt idx="821">
                  <c:v>882.48770000000002</c:v>
                </c:pt>
                <c:pt idx="822">
                  <c:v>877.66120000000001</c:v>
                </c:pt>
                <c:pt idx="823">
                  <c:v>871.27459999999996</c:v>
                </c:pt>
                <c:pt idx="824">
                  <c:v>864.7473</c:v>
                </c:pt>
                <c:pt idx="825">
                  <c:v>860.63049999999998</c:v>
                </c:pt>
                <c:pt idx="826">
                  <c:v>855.18409999999994</c:v>
                </c:pt>
                <c:pt idx="827">
                  <c:v>852.9837</c:v>
                </c:pt>
                <c:pt idx="828">
                  <c:v>851.71249999999998</c:v>
                </c:pt>
                <c:pt idx="829">
                  <c:v>846.91240000000005</c:v>
                </c:pt>
                <c:pt idx="830">
                  <c:v>844.51279999999997</c:v>
                </c:pt>
                <c:pt idx="831">
                  <c:v>845.39599999999996</c:v>
                </c:pt>
                <c:pt idx="832">
                  <c:v>846.40880000000004</c:v>
                </c:pt>
                <c:pt idx="833">
                  <c:v>844.89139999999998</c:v>
                </c:pt>
                <c:pt idx="834">
                  <c:v>845.36710000000005</c:v>
                </c:pt>
                <c:pt idx="835">
                  <c:v>850.55840000000001</c:v>
                </c:pt>
                <c:pt idx="836">
                  <c:v>864.89049999999997</c:v>
                </c:pt>
                <c:pt idx="837">
                  <c:v>870.66070000000002</c:v>
                </c:pt>
                <c:pt idx="838">
                  <c:v>873.58510000000001</c:v>
                </c:pt>
                <c:pt idx="839">
                  <c:v>870.21259999999995</c:v>
                </c:pt>
                <c:pt idx="840">
                  <c:v>863.06179999999995</c:v>
                </c:pt>
                <c:pt idx="841">
                  <c:v>855.78959999999995</c:v>
                </c:pt>
                <c:pt idx="842">
                  <c:v>851.15660000000003</c:v>
                </c:pt>
                <c:pt idx="843">
                  <c:v>851.06259999999997</c:v>
                </c:pt>
                <c:pt idx="844">
                  <c:v>857.34559999999999</c:v>
                </c:pt>
                <c:pt idx="845">
                  <c:v>867.65719999999999</c:v>
                </c:pt>
                <c:pt idx="846">
                  <c:v>874.16120000000001</c:v>
                </c:pt>
                <c:pt idx="847">
                  <c:v>872.47069999999997</c:v>
                </c:pt>
                <c:pt idx="848">
                  <c:v>872.47069999999997</c:v>
                </c:pt>
                <c:pt idx="849">
                  <c:v>870.89739999999995</c:v>
                </c:pt>
                <c:pt idx="850">
                  <c:v>870.89739999999995</c:v>
                </c:pt>
                <c:pt idx="851">
                  <c:v>865.38009999999997</c:v>
                </c:pt>
                <c:pt idx="852">
                  <c:v>859.09360000000004</c:v>
                </c:pt>
                <c:pt idx="853">
                  <c:v>850.41959999999995</c:v>
                </c:pt>
                <c:pt idx="854">
                  <c:v>847.34450000000004</c:v>
                </c:pt>
                <c:pt idx="855">
                  <c:v>843.50340000000006</c:v>
                </c:pt>
                <c:pt idx="856">
                  <c:v>858.51369999999997</c:v>
                </c:pt>
                <c:pt idx="857">
                  <c:v>865.57349999999997</c:v>
                </c:pt>
                <c:pt idx="858">
                  <c:v>870.23099999999999</c:v>
                </c:pt>
                <c:pt idx="859">
                  <c:v>873.09900000000005</c:v>
                </c:pt>
                <c:pt idx="860">
                  <c:v>875.57180000000005</c:v>
                </c:pt>
                <c:pt idx="861">
                  <c:v>876.1866</c:v>
                </c:pt>
                <c:pt idx="862">
                  <c:v>874.14840000000004</c:v>
                </c:pt>
                <c:pt idx="863">
                  <c:v>870.97609999999997</c:v>
                </c:pt>
                <c:pt idx="864">
                  <c:v>868.37260000000003</c:v>
                </c:pt>
                <c:pt idx="865">
                  <c:v>863.49540000000002</c:v>
                </c:pt>
                <c:pt idx="866">
                  <c:v>856.5838</c:v>
                </c:pt>
                <c:pt idx="867">
                  <c:v>850.0924</c:v>
                </c:pt>
                <c:pt idx="868">
                  <c:v>841.00239999999997</c:v>
                </c:pt>
                <c:pt idx="869">
                  <c:v>842.78070000000002</c:v>
                </c:pt>
                <c:pt idx="870">
                  <c:v>845.67619999999999</c:v>
                </c:pt>
                <c:pt idx="871">
                  <c:v>849.89890000000003</c:v>
                </c:pt>
                <c:pt idx="872">
                  <c:v>855.3125</c:v>
                </c:pt>
                <c:pt idx="873">
                  <c:v>860.1748</c:v>
                </c:pt>
                <c:pt idx="874">
                  <c:v>864.62959999999998</c:v>
                </c:pt>
                <c:pt idx="875">
                  <c:v>864.62959999999998</c:v>
                </c:pt>
                <c:pt idx="876">
                  <c:v>864.62959999999998</c:v>
                </c:pt>
                <c:pt idx="877">
                  <c:v>867.93579999999997</c:v>
                </c:pt>
                <c:pt idx="878">
                  <c:v>871.54340000000002</c:v>
                </c:pt>
                <c:pt idx="879">
                  <c:v>874.62900000000002</c:v>
                </c:pt>
                <c:pt idx="880">
                  <c:v>876.47820000000002</c:v>
                </c:pt>
                <c:pt idx="881">
                  <c:v>876.73230000000001</c:v>
                </c:pt>
                <c:pt idx="882">
                  <c:v>877.28510000000006</c:v>
                </c:pt>
                <c:pt idx="883">
                  <c:v>876.38789999999995</c:v>
                </c:pt>
                <c:pt idx="884">
                  <c:v>875.02279999999996</c:v>
                </c:pt>
                <c:pt idx="885">
                  <c:v>872.75909999999999</c:v>
                </c:pt>
                <c:pt idx="886">
                  <c:v>869.27250000000004</c:v>
                </c:pt>
                <c:pt idx="887">
                  <c:v>865.67600000000004</c:v>
                </c:pt>
                <c:pt idx="888">
                  <c:v>861.53340000000003</c:v>
                </c:pt>
                <c:pt idx="889">
                  <c:v>859.23149999999998</c:v>
                </c:pt>
                <c:pt idx="890">
                  <c:v>856.2817</c:v>
                </c:pt>
                <c:pt idx="891">
                  <c:v>852.47230000000002</c:v>
                </c:pt>
                <c:pt idx="892">
                  <c:v>847.89880000000005</c:v>
                </c:pt>
                <c:pt idx="893">
                  <c:v>844.93380000000002</c:v>
                </c:pt>
                <c:pt idx="894">
                  <c:v>840.54499999999996</c:v>
                </c:pt>
                <c:pt idx="895">
                  <c:v>833.44230000000005</c:v>
                </c:pt>
                <c:pt idx="896">
                  <c:v>831.40459999999996</c:v>
                </c:pt>
                <c:pt idx="897">
                  <c:v>838.25789999999995</c:v>
                </c:pt>
                <c:pt idx="898">
                  <c:v>838.25789999999995</c:v>
                </c:pt>
                <c:pt idx="899">
                  <c:v>845.48910000000001</c:v>
                </c:pt>
                <c:pt idx="900">
                  <c:v>848.69439999999997</c:v>
                </c:pt>
                <c:pt idx="901">
                  <c:v>853.92570000000001</c:v>
                </c:pt>
                <c:pt idx="902">
                  <c:v>853.92570000000001</c:v>
                </c:pt>
                <c:pt idx="903">
                  <c:v>858.84760000000006</c:v>
                </c:pt>
                <c:pt idx="904">
                  <c:v>863.46209999999996</c:v>
                </c:pt>
                <c:pt idx="905">
                  <c:v>863.8732</c:v>
                </c:pt>
                <c:pt idx="906">
                  <c:v>862.428</c:v>
                </c:pt>
                <c:pt idx="907">
                  <c:v>861.38549999999998</c:v>
                </c:pt>
                <c:pt idx="908">
                  <c:v>858.2672</c:v>
                </c:pt>
                <c:pt idx="909">
                  <c:v>854.846</c:v>
                </c:pt>
                <c:pt idx="910">
                  <c:v>852.5181</c:v>
                </c:pt>
                <c:pt idx="911">
                  <c:v>849.36159999999995</c:v>
                </c:pt>
                <c:pt idx="912">
                  <c:v>848.61500000000001</c:v>
                </c:pt>
                <c:pt idx="913">
                  <c:v>845.61</c:v>
                </c:pt>
                <c:pt idx="914">
                  <c:v>848.39679999999998</c:v>
                </c:pt>
                <c:pt idx="915">
                  <c:v>847.84770000000003</c:v>
                </c:pt>
                <c:pt idx="916">
                  <c:v>854.58450000000005</c:v>
                </c:pt>
                <c:pt idx="917">
                  <c:v>863.06889999999999</c:v>
                </c:pt>
                <c:pt idx="918">
                  <c:v>869.19949999999994</c:v>
                </c:pt>
                <c:pt idx="919">
                  <c:v>875.78729999999996</c:v>
                </c:pt>
                <c:pt idx="920">
                  <c:v>883.29240000000004</c:v>
                </c:pt>
                <c:pt idx="921">
                  <c:v>894.62090000000001</c:v>
                </c:pt>
                <c:pt idx="922">
                  <c:v>908.67970000000003</c:v>
                </c:pt>
                <c:pt idx="923">
                  <c:v>916.85709999999995</c:v>
                </c:pt>
                <c:pt idx="924">
                  <c:v>918.09270000000004</c:v>
                </c:pt>
                <c:pt idx="925">
                  <c:v>914.61289999999997</c:v>
                </c:pt>
                <c:pt idx="926">
                  <c:v>909.61040000000003</c:v>
                </c:pt>
                <c:pt idx="927">
                  <c:v>904.76980000000003</c:v>
                </c:pt>
                <c:pt idx="928">
                  <c:v>904.19460000000004</c:v>
                </c:pt>
                <c:pt idx="929">
                  <c:v>904.91579999999999</c:v>
                </c:pt>
                <c:pt idx="930">
                  <c:v>906.27739999999994</c:v>
                </c:pt>
                <c:pt idx="931">
                  <c:v>905.75340000000006</c:v>
                </c:pt>
                <c:pt idx="932">
                  <c:v>906.41589999999997</c:v>
                </c:pt>
                <c:pt idx="933">
                  <c:v>911.6952</c:v>
                </c:pt>
                <c:pt idx="934">
                  <c:v>911.6952</c:v>
                </c:pt>
                <c:pt idx="935">
                  <c:v>916.08849999999995</c:v>
                </c:pt>
                <c:pt idx="936">
                  <c:v>920.65560000000005</c:v>
                </c:pt>
                <c:pt idx="937">
                  <c:v>920.65560000000005</c:v>
                </c:pt>
                <c:pt idx="938">
                  <c:v>923.65599999999995</c:v>
                </c:pt>
                <c:pt idx="939">
                  <c:v>926.16600000000005</c:v>
                </c:pt>
                <c:pt idx="940">
                  <c:v>928.54300000000001</c:v>
                </c:pt>
                <c:pt idx="941">
                  <c:v>930.57380000000001</c:v>
                </c:pt>
                <c:pt idx="942">
                  <c:v>932.08860000000004</c:v>
                </c:pt>
                <c:pt idx="943">
                  <c:v>933.03920000000005</c:v>
                </c:pt>
                <c:pt idx="944">
                  <c:v>933.34050000000002</c:v>
                </c:pt>
                <c:pt idx="945">
                  <c:v>932.04600000000005</c:v>
                </c:pt>
                <c:pt idx="946">
                  <c:v>930.24829999999997</c:v>
                </c:pt>
                <c:pt idx="947">
                  <c:v>927.84619999999995</c:v>
                </c:pt>
                <c:pt idx="948">
                  <c:v>925.61400000000003</c:v>
                </c:pt>
                <c:pt idx="949">
                  <c:v>924.10749999999996</c:v>
                </c:pt>
                <c:pt idx="950">
                  <c:v>922.91849999999999</c:v>
                </c:pt>
                <c:pt idx="951">
                  <c:v>921.85289999999998</c:v>
                </c:pt>
                <c:pt idx="952">
                  <c:v>920.84829999999999</c:v>
                </c:pt>
                <c:pt idx="953">
                  <c:v>920.92190000000005</c:v>
                </c:pt>
                <c:pt idx="954">
                  <c:v>920.39760000000001</c:v>
                </c:pt>
                <c:pt idx="955">
                  <c:v>919.71870000000001</c:v>
                </c:pt>
                <c:pt idx="956">
                  <c:v>919.80280000000005</c:v>
                </c:pt>
                <c:pt idx="957">
                  <c:v>920.42520000000002</c:v>
                </c:pt>
                <c:pt idx="958">
                  <c:v>920.3202</c:v>
                </c:pt>
                <c:pt idx="959">
                  <c:v>920.16240000000005</c:v>
                </c:pt>
                <c:pt idx="960">
                  <c:v>919.3528</c:v>
                </c:pt>
                <c:pt idx="961">
                  <c:v>918.10889999999995</c:v>
                </c:pt>
                <c:pt idx="962">
                  <c:v>916.17539999999997</c:v>
                </c:pt>
                <c:pt idx="963">
                  <c:v>914.31590000000006</c:v>
                </c:pt>
                <c:pt idx="964">
                  <c:v>912.39589999999998</c:v>
                </c:pt>
                <c:pt idx="965">
                  <c:v>910.71220000000005</c:v>
                </c:pt>
                <c:pt idx="966">
                  <c:v>907.23320000000001</c:v>
                </c:pt>
                <c:pt idx="967">
                  <c:v>904.83519999999999</c:v>
                </c:pt>
                <c:pt idx="968">
                  <c:v>902.14729999999997</c:v>
                </c:pt>
                <c:pt idx="969">
                  <c:v>899.45960000000002</c:v>
                </c:pt>
                <c:pt idx="970">
                  <c:v>894.65309999999999</c:v>
                </c:pt>
                <c:pt idx="971">
                  <c:v>888.89639999999997</c:v>
                </c:pt>
                <c:pt idx="972">
                  <c:v>883.73620000000005</c:v>
                </c:pt>
                <c:pt idx="973">
                  <c:v>878.66409999999996</c:v>
                </c:pt>
                <c:pt idx="974">
                  <c:v>874.70550000000003</c:v>
                </c:pt>
                <c:pt idx="975">
                  <c:v>871.56010000000003</c:v>
                </c:pt>
                <c:pt idx="976">
                  <c:v>869.38139999999999</c:v>
                </c:pt>
                <c:pt idx="977">
                  <c:v>867.41250000000002</c:v>
                </c:pt>
                <c:pt idx="978">
                  <c:v>865.96550000000002</c:v>
                </c:pt>
                <c:pt idx="979">
                  <c:v>864.43219999999997</c:v>
                </c:pt>
                <c:pt idx="980">
                  <c:v>862.28030000000001</c:v>
                </c:pt>
                <c:pt idx="981">
                  <c:v>860.38160000000005</c:v>
                </c:pt>
                <c:pt idx="982">
                  <c:v>860.38160000000005</c:v>
                </c:pt>
                <c:pt idx="983">
                  <c:v>858.80449999999996</c:v>
                </c:pt>
                <c:pt idx="984">
                  <c:v>858.80449999999996</c:v>
                </c:pt>
                <c:pt idx="985">
                  <c:v>857.33870000000002</c:v>
                </c:pt>
                <c:pt idx="986">
                  <c:v>853.22580000000005</c:v>
                </c:pt>
                <c:pt idx="987">
                  <c:v>854.99940000000004</c:v>
                </c:pt>
                <c:pt idx="988">
                  <c:v>853.65020000000004</c:v>
                </c:pt>
                <c:pt idx="989">
                  <c:v>852.28269999999998</c:v>
                </c:pt>
                <c:pt idx="990">
                  <c:v>851.91179999999997</c:v>
                </c:pt>
                <c:pt idx="991">
                  <c:v>848.70140000000004</c:v>
                </c:pt>
                <c:pt idx="992">
                  <c:v>850.41179999999997</c:v>
                </c:pt>
                <c:pt idx="993">
                  <c:v>852.65809999999999</c:v>
                </c:pt>
                <c:pt idx="994">
                  <c:v>853.23580000000004</c:v>
                </c:pt>
                <c:pt idx="995">
                  <c:v>853.99199999999996</c:v>
                </c:pt>
                <c:pt idx="996">
                  <c:v>854.13829999999996</c:v>
                </c:pt>
                <c:pt idx="997">
                  <c:v>854.12019999999995</c:v>
                </c:pt>
                <c:pt idx="998">
                  <c:v>854.02539999999999</c:v>
                </c:pt>
                <c:pt idx="999">
                  <c:v>853.82029999999997</c:v>
                </c:pt>
                <c:pt idx="1000">
                  <c:v>853.33209999999997</c:v>
                </c:pt>
                <c:pt idx="1001">
                  <c:v>852.39570000000003</c:v>
                </c:pt>
                <c:pt idx="1002">
                  <c:v>850.12239999999997</c:v>
                </c:pt>
                <c:pt idx="1003">
                  <c:v>850.12239999999997</c:v>
                </c:pt>
                <c:pt idx="1004">
                  <c:v>851.47230000000002</c:v>
                </c:pt>
                <c:pt idx="1005">
                  <c:v>851.47230000000002</c:v>
                </c:pt>
                <c:pt idx="1006">
                  <c:v>851.80740000000003</c:v>
                </c:pt>
                <c:pt idx="1007">
                  <c:v>854.58669999999995</c:v>
                </c:pt>
                <c:pt idx="1008">
                  <c:v>857.74279999999999</c:v>
                </c:pt>
                <c:pt idx="1009">
                  <c:v>860.65170000000001</c:v>
                </c:pt>
                <c:pt idx="1010">
                  <c:v>865.09370000000001</c:v>
                </c:pt>
                <c:pt idx="1011">
                  <c:v>869.76499999999999</c:v>
                </c:pt>
                <c:pt idx="1012">
                  <c:v>874.66480000000001</c:v>
                </c:pt>
                <c:pt idx="1013">
                  <c:v>877.21569999999997</c:v>
                </c:pt>
                <c:pt idx="1014">
                  <c:v>875.31640000000004</c:v>
                </c:pt>
                <c:pt idx="1015">
                  <c:v>871.27110000000005</c:v>
                </c:pt>
                <c:pt idx="1016">
                  <c:v>867.86360000000002</c:v>
                </c:pt>
                <c:pt idx="1017">
                  <c:v>865.08929999999998</c:v>
                </c:pt>
                <c:pt idx="1018">
                  <c:v>862.43359999999996</c:v>
                </c:pt>
                <c:pt idx="1019">
                  <c:v>864.31439999999998</c:v>
                </c:pt>
                <c:pt idx="1020">
                  <c:v>867.28750000000002</c:v>
                </c:pt>
                <c:pt idx="1021">
                  <c:v>870.8107</c:v>
                </c:pt>
                <c:pt idx="1022">
                  <c:v>874.19100000000003</c:v>
                </c:pt>
                <c:pt idx="1023">
                  <c:v>877.92610000000002</c:v>
                </c:pt>
                <c:pt idx="1024">
                  <c:v>881.51499999999999</c:v>
                </c:pt>
                <c:pt idx="1025">
                  <c:v>885.23889999999994</c:v>
                </c:pt>
                <c:pt idx="1026">
                  <c:v>889.78219999999999</c:v>
                </c:pt>
                <c:pt idx="1027">
                  <c:v>893.47730000000001</c:v>
                </c:pt>
                <c:pt idx="1028">
                  <c:v>897.43520000000001</c:v>
                </c:pt>
                <c:pt idx="1029">
                  <c:v>895.69100000000003</c:v>
                </c:pt>
                <c:pt idx="1030">
                  <c:v>893.53719999999998</c:v>
                </c:pt>
                <c:pt idx="1031">
                  <c:v>892.26660000000004</c:v>
                </c:pt>
                <c:pt idx="1032">
                  <c:v>890.96320000000003</c:v>
                </c:pt>
                <c:pt idx="1033">
                  <c:v>890.80380000000002</c:v>
                </c:pt>
                <c:pt idx="1034">
                  <c:v>890.97709999999995</c:v>
                </c:pt>
                <c:pt idx="1035">
                  <c:v>891.99480000000005</c:v>
                </c:pt>
                <c:pt idx="1036">
                  <c:v>893.08519999999999</c:v>
                </c:pt>
                <c:pt idx="1037">
                  <c:v>894.17740000000003</c:v>
                </c:pt>
                <c:pt idx="1038">
                  <c:v>895.35289999999998</c:v>
                </c:pt>
                <c:pt idx="1039">
                  <c:v>894.21339999999998</c:v>
                </c:pt>
                <c:pt idx="1040">
                  <c:v>892.75210000000004</c:v>
                </c:pt>
                <c:pt idx="1041">
                  <c:v>889.93949999999995</c:v>
                </c:pt>
                <c:pt idx="1042">
                  <c:v>887.17070000000001</c:v>
                </c:pt>
                <c:pt idx="1043">
                  <c:v>883.68119999999999</c:v>
                </c:pt>
                <c:pt idx="1044">
                  <c:v>880.10519999999997</c:v>
                </c:pt>
                <c:pt idx="1045">
                  <c:v>877.32539999999995</c:v>
                </c:pt>
                <c:pt idx="1046">
                  <c:v>875.10400000000004</c:v>
                </c:pt>
                <c:pt idx="1047">
                  <c:v>873.13679999999999</c:v>
                </c:pt>
                <c:pt idx="1048">
                  <c:v>871.31769999999995</c:v>
                </c:pt>
                <c:pt idx="1049">
                  <c:v>869.20519999999999</c:v>
                </c:pt>
                <c:pt idx="1050">
                  <c:v>868.25429999999994</c:v>
                </c:pt>
                <c:pt idx="1051">
                  <c:v>866.54949999999997</c:v>
                </c:pt>
                <c:pt idx="1052">
                  <c:v>870.1155</c:v>
                </c:pt>
                <c:pt idx="1053">
                  <c:v>870.56820000000005</c:v>
                </c:pt>
                <c:pt idx="1054">
                  <c:v>870.39250000000004</c:v>
                </c:pt>
                <c:pt idx="1055">
                  <c:v>869.79669999999999</c:v>
                </c:pt>
                <c:pt idx="1056">
                  <c:v>869.46630000000005</c:v>
                </c:pt>
                <c:pt idx="1057">
                  <c:v>870.15639999999996</c:v>
                </c:pt>
                <c:pt idx="1058">
                  <c:v>869.12850000000003</c:v>
                </c:pt>
                <c:pt idx="1059">
                  <c:v>868.1114</c:v>
                </c:pt>
                <c:pt idx="1060">
                  <c:v>867.40660000000003</c:v>
                </c:pt>
                <c:pt idx="1061">
                  <c:v>866.69399999999996</c:v>
                </c:pt>
                <c:pt idx="1062">
                  <c:v>865.73889999999994</c:v>
                </c:pt>
                <c:pt idx="1063">
                  <c:v>864.74929999999995</c:v>
                </c:pt>
                <c:pt idx="1064">
                  <c:v>862.60550000000001</c:v>
                </c:pt>
                <c:pt idx="1065">
                  <c:v>860.49040000000002</c:v>
                </c:pt>
                <c:pt idx="1066">
                  <c:v>859.43060000000003</c:v>
                </c:pt>
                <c:pt idx="1067">
                  <c:v>857.7817</c:v>
                </c:pt>
                <c:pt idx="1068">
                  <c:v>856.22249999999997</c:v>
                </c:pt>
                <c:pt idx="1069">
                  <c:v>855.43899999999996</c:v>
                </c:pt>
                <c:pt idx="1070">
                  <c:v>854.37459999999999</c:v>
                </c:pt>
                <c:pt idx="1071">
                  <c:v>853.49590000000001</c:v>
                </c:pt>
                <c:pt idx="1072">
                  <c:v>852.18979999999999</c:v>
                </c:pt>
                <c:pt idx="1073">
                  <c:v>850.63530000000003</c:v>
                </c:pt>
                <c:pt idx="1074">
                  <c:v>849.31129999999996</c:v>
                </c:pt>
                <c:pt idx="1075">
                  <c:v>848.49189999999999</c:v>
                </c:pt>
                <c:pt idx="1076">
                  <c:v>847.98720000000003</c:v>
                </c:pt>
                <c:pt idx="1077">
                  <c:v>847.14390000000003</c:v>
                </c:pt>
                <c:pt idx="1078">
                  <c:v>844.8347</c:v>
                </c:pt>
                <c:pt idx="1079">
                  <c:v>842.2595</c:v>
                </c:pt>
                <c:pt idx="1080">
                  <c:v>840.05200000000002</c:v>
                </c:pt>
                <c:pt idx="1081">
                  <c:v>836.06269999999995</c:v>
                </c:pt>
                <c:pt idx="1082">
                  <c:v>833.95730000000003</c:v>
                </c:pt>
                <c:pt idx="1083">
                  <c:v>833.95730000000003</c:v>
                </c:pt>
                <c:pt idx="1084">
                  <c:v>834.19399999999996</c:v>
                </c:pt>
                <c:pt idx="1085">
                  <c:v>834.19399999999996</c:v>
                </c:pt>
                <c:pt idx="1086">
                  <c:v>829.87630000000001</c:v>
                </c:pt>
                <c:pt idx="1087">
                  <c:v>828.81299999999999</c:v>
                </c:pt>
                <c:pt idx="1088">
                  <c:v>829.13160000000005</c:v>
                </c:pt>
                <c:pt idx="1089">
                  <c:v>828.66520000000003</c:v>
                </c:pt>
                <c:pt idx="1090">
                  <c:v>828.1037</c:v>
                </c:pt>
                <c:pt idx="1091">
                  <c:v>825.22260000000006</c:v>
                </c:pt>
                <c:pt idx="1092">
                  <c:v>822.74779999999998</c:v>
                </c:pt>
                <c:pt idx="1093">
                  <c:v>816.91030000000001</c:v>
                </c:pt>
                <c:pt idx="1094">
                  <c:v>819.13819999999998</c:v>
                </c:pt>
                <c:pt idx="1095">
                  <c:v>820.72670000000005</c:v>
                </c:pt>
                <c:pt idx="1096">
                  <c:v>822.72019999999998</c:v>
                </c:pt>
                <c:pt idx="1097">
                  <c:v>825.74090000000001</c:v>
                </c:pt>
                <c:pt idx="1098">
                  <c:v>829.45619999999997</c:v>
                </c:pt>
                <c:pt idx="1099">
                  <c:v>833.06679999999994</c:v>
                </c:pt>
                <c:pt idx="1100">
                  <c:v>836.43089999999995</c:v>
                </c:pt>
                <c:pt idx="1101">
                  <c:v>838.82349999999997</c:v>
                </c:pt>
                <c:pt idx="1102">
                  <c:v>838.93079999999998</c:v>
                </c:pt>
                <c:pt idx="1103">
                  <c:v>838.07680000000005</c:v>
                </c:pt>
                <c:pt idx="1104">
                  <c:v>836.04110000000003</c:v>
                </c:pt>
                <c:pt idx="1105">
                  <c:v>834.51089999999999</c:v>
                </c:pt>
                <c:pt idx="1106">
                  <c:v>833.18190000000004</c:v>
                </c:pt>
                <c:pt idx="1107">
                  <c:v>832.87199999999996</c:v>
                </c:pt>
                <c:pt idx="1108">
                  <c:v>832.37639999999999</c:v>
                </c:pt>
                <c:pt idx="1109">
                  <c:v>830.92930000000001</c:v>
                </c:pt>
                <c:pt idx="1110">
                  <c:v>830.92930000000001</c:v>
                </c:pt>
                <c:pt idx="1111">
                  <c:v>828.92669999999998</c:v>
                </c:pt>
                <c:pt idx="1112">
                  <c:v>828.92669999999998</c:v>
                </c:pt>
                <c:pt idx="1113">
                  <c:v>828.23540000000003</c:v>
                </c:pt>
                <c:pt idx="1114">
                  <c:v>827.05039999999997</c:v>
                </c:pt>
                <c:pt idx="1115">
                  <c:v>823.76829999999995</c:v>
                </c:pt>
                <c:pt idx="1116">
                  <c:v>827.69359999999995</c:v>
                </c:pt>
                <c:pt idx="1117">
                  <c:v>829.42250000000001</c:v>
                </c:pt>
                <c:pt idx="1118">
                  <c:v>832.02560000000005</c:v>
                </c:pt>
                <c:pt idx="1119">
                  <c:v>835.38289999999995</c:v>
                </c:pt>
                <c:pt idx="1120">
                  <c:v>839.04390000000001</c:v>
                </c:pt>
                <c:pt idx="1121">
                  <c:v>842.81309999999996</c:v>
                </c:pt>
                <c:pt idx="1122">
                  <c:v>846.38959999999997</c:v>
                </c:pt>
                <c:pt idx="1123">
                  <c:v>848.95230000000004</c:v>
                </c:pt>
                <c:pt idx="1124">
                  <c:v>849.73400000000004</c:v>
                </c:pt>
                <c:pt idx="1125">
                  <c:v>847.31560000000002</c:v>
                </c:pt>
                <c:pt idx="1126">
                  <c:v>844.13869999999997</c:v>
                </c:pt>
                <c:pt idx="1127">
                  <c:v>840.78390000000002</c:v>
                </c:pt>
                <c:pt idx="1128">
                  <c:v>837.52940000000001</c:v>
                </c:pt>
                <c:pt idx="1129">
                  <c:v>834.4914</c:v>
                </c:pt>
                <c:pt idx="1130">
                  <c:v>832.62</c:v>
                </c:pt>
                <c:pt idx="1131">
                  <c:v>834.80269999999996</c:v>
                </c:pt>
                <c:pt idx="1132">
                  <c:v>838.09119999999996</c:v>
                </c:pt>
                <c:pt idx="1133">
                  <c:v>840.85789999999997</c:v>
                </c:pt>
                <c:pt idx="1134">
                  <c:v>844.69709999999998</c:v>
                </c:pt>
                <c:pt idx="1135">
                  <c:v>849.34190000000001</c:v>
                </c:pt>
                <c:pt idx="1136">
                  <c:v>854.91489999999999</c:v>
                </c:pt>
                <c:pt idx="1137">
                  <c:v>858.24760000000003</c:v>
                </c:pt>
                <c:pt idx="1138">
                  <c:v>859.38369999999998</c:v>
                </c:pt>
                <c:pt idx="1139">
                  <c:v>859.91470000000004</c:v>
                </c:pt>
                <c:pt idx="1140">
                  <c:v>859.92849999999999</c:v>
                </c:pt>
                <c:pt idx="1141">
                  <c:v>859.07690000000002</c:v>
                </c:pt>
                <c:pt idx="1142">
                  <c:v>857.31790000000001</c:v>
                </c:pt>
                <c:pt idx="1143">
                  <c:v>854.75080000000003</c:v>
                </c:pt>
                <c:pt idx="1144">
                  <c:v>851.62279999999998</c:v>
                </c:pt>
                <c:pt idx="1145">
                  <c:v>848.76030000000003</c:v>
                </c:pt>
                <c:pt idx="1146">
                  <c:v>846.65520000000004</c:v>
                </c:pt>
                <c:pt idx="1147">
                  <c:v>844.48659999999995</c:v>
                </c:pt>
                <c:pt idx="1148">
                  <c:v>842.23040000000003</c:v>
                </c:pt>
                <c:pt idx="1149">
                  <c:v>839.73059999999998</c:v>
                </c:pt>
                <c:pt idx="1150">
                  <c:v>838.71849999999995</c:v>
                </c:pt>
                <c:pt idx="1151">
                  <c:v>837.74400000000003</c:v>
                </c:pt>
                <c:pt idx="1152">
                  <c:v>837.29250000000002</c:v>
                </c:pt>
                <c:pt idx="1153">
                  <c:v>837.04449999999997</c:v>
                </c:pt>
                <c:pt idx="1154">
                  <c:v>837.34270000000004</c:v>
                </c:pt>
                <c:pt idx="1155">
                  <c:v>838.32</c:v>
                </c:pt>
                <c:pt idx="1156">
                  <c:v>839.71090000000004</c:v>
                </c:pt>
                <c:pt idx="1157">
                  <c:v>841.09529999999995</c:v>
                </c:pt>
                <c:pt idx="1158">
                  <c:v>841.49860000000001</c:v>
                </c:pt>
                <c:pt idx="1159">
                  <c:v>840.03800000000001</c:v>
                </c:pt>
                <c:pt idx="1160">
                  <c:v>839.23059999999998</c:v>
                </c:pt>
                <c:pt idx="1161">
                  <c:v>837.58720000000005</c:v>
                </c:pt>
                <c:pt idx="1162">
                  <c:v>833.72080000000005</c:v>
                </c:pt>
                <c:pt idx="1163">
                  <c:v>829.89530000000002</c:v>
                </c:pt>
                <c:pt idx="1164">
                  <c:v>828.85289999999998</c:v>
                </c:pt>
                <c:pt idx="1165">
                  <c:v>828.88400000000001</c:v>
                </c:pt>
                <c:pt idx="1166">
                  <c:v>829.38900000000001</c:v>
                </c:pt>
                <c:pt idx="1167">
                  <c:v>830.35029999999995</c:v>
                </c:pt>
                <c:pt idx="1168">
                  <c:v>829.06299999999999</c:v>
                </c:pt>
                <c:pt idx="1169">
                  <c:v>828.96699999999998</c:v>
                </c:pt>
                <c:pt idx="1170">
                  <c:v>827.80250000000001</c:v>
                </c:pt>
                <c:pt idx="1171">
                  <c:v>824.63019999999995</c:v>
                </c:pt>
                <c:pt idx="1172">
                  <c:v>824.63019999999995</c:v>
                </c:pt>
                <c:pt idx="1173">
                  <c:v>823.1549</c:v>
                </c:pt>
                <c:pt idx="1174">
                  <c:v>823.1549</c:v>
                </c:pt>
                <c:pt idx="1175">
                  <c:v>820.31849999999997</c:v>
                </c:pt>
                <c:pt idx="1176">
                  <c:v>820.31849999999997</c:v>
                </c:pt>
                <c:pt idx="1177">
                  <c:v>819.40480000000002</c:v>
                </c:pt>
                <c:pt idx="1178">
                  <c:v>819.40480000000002</c:v>
                </c:pt>
                <c:pt idx="1179">
                  <c:v>816.79240000000004</c:v>
                </c:pt>
                <c:pt idx="1180">
                  <c:v>812.65089999999998</c:v>
                </c:pt>
                <c:pt idx="1181">
                  <c:v>808.56110000000001</c:v>
                </c:pt>
                <c:pt idx="1182">
                  <c:v>805.64840000000004</c:v>
                </c:pt>
                <c:pt idx="1183">
                  <c:v>800.80190000000005</c:v>
                </c:pt>
                <c:pt idx="1184">
                  <c:v>796.02049999999997</c:v>
                </c:pt>
                <c:pt idx="1185">
                  <c:v>791.09040000000005</c:v>
                </c:pt>
                <c:pt idx="1186">
                  <c:v>787.31679999999994</c:v>
                </c:pt>
                <c:pt idx="1187">
                  <c:v>782.36630000000002</c:v>
                </c:pt>
                <c:pt idx="1188">
                  <c:v>788.44770000000005</c:v>
                </c:pt>
                <c:pt idx="1189">
                  <c:v>794.33479999999997</c:v>
                </c:pt>
                <c:pt idx="1190">
                  <c:v>800.67499999999995</c:v>
                </c:pt>
                <c:pt idx="1191">
                  <c:v>802.56949999999995</c:v>
                </c:pt>
                <c:pt idx="1192">
                  <c:v>801.60810000000004</c:v>
                </c:pt>
                <c:pt idx="1193">
                  <c:v>799.23469999999998</c:v>
                </c:pt>
                <c:pt idx="1194">
                  <c:v>794.81849999999997</c:v>
                </c:pt>
                <c:pt idx="1195">
                  <c:v>787.19730000000004</c:v>
                </c:pt>
                <c:pt idx="1196">
                  <c:v>780.71410000000003</c:v>
                </c:pt>
                <c:pt idx="1197">
                  <c:v>776.3587</c:v>
                </c:pt>
                <c:pt idx="1198">
                  <c:v>772.57309999999995</c:v>
                </c:pt>
                <c:pt idx="1199">
                  <c:v>769.30259999999998</c:v>
                </c:pt>
                <c:pt idx="1200">
                  <c:v>766.1626</c:v>
                </c:pt>
                <c:pt idx="1201">
                  <c:v>762.78060000000005</c:v>
                </c:pt>
                <c:pt idx="1202">
                  <c:v>759.41330000000005</c:v>
                </c:pt>
                <c:pt idx="1203">
                  <c:v>761.10080000000005</c:v>
                </c:pt>
                <c:pt idx="1204">
                  <c:v>765.33330000000001</c:v>
                </c:pt>
                <c:pt idx="1205">
                  <c:v>765.99339999999995</c:v>
                </c:pt>
                <c:pt idx="1206">
                  <c:v>766.23710000000005</c:v>
                </c:pt>
                <c:pt idx="1207">
                  <c:v>765.46019999999999</c:v>
                </c:pt>
                <c:pt idx="1208">
                  <c:v>766.98950000000002</c:v>
                </c:pt>
                <c:pt idx="1209">
                  <c:v>769.60670000000005</c:v>
                </c:pt>
                <c:pt idx="1210">
                  <c:v>771.47080000000005</c:v>
                </c:pt>
                <c:pt idx="1211">
                  <c:v>773.33320000000003</c:v>
                </c:pt>
                <c:pt idx="1212">
                  <c:v>775.06460000000004</c:v>
                </c:pt>
                <c:pt idx="1213">
                  <c:v>779.39469999999994</c:v>
                </c:pt>
                <c:pt idx="1214">
                  <c:v>783.35429999999997</c:v>
                </c:pt>
                <c:pt idx="1215">
                  <c:v>783.94110000000001</c:v>
                </c:pt>
                <c:pt idx="1216">
                  <c:v>781.49959999999999</c:v>
                </c:pt>
                <c:pt idx="1217">
                  <c:v>780.10550000000001</c:v>
                </c:pt>
                <c:pt idx="1218">
                  <c:v>778.971</c:v>
                </c:pt>
                <c:pt idx="1219">
                  <c:v>779.36220000000003</c:v>
                </c:pt>
                <c:pt idx="1220">
                  <c:v>781.07510000000002</c:v>
                </c:pt>
                <c:pt idx="1221">
                  <c:v>782.41489999999999</c:v>
                </c:pt>
                <c:pt idx="1222">
                  <c:v>782.41489999999999</c:v>
                </c:pt>
                <c:pt idx="1223">
                  <c:v>780.91079999999999</c:v>
                </c:pt>
                <c:pt idx="1224">
                  <c:v>780.91079999999999</c:v>
                </c:pt>
                <c:pt idx="1225">
                  <c:v>779.63879999999995</c:v>
                </c:pt>
                <c:pt idx="1226">
                  <c:v>778.9289</c:v>
                </c:pt>
                <c:pt idx="1227">
                  <c:v>777.00040000000001</c:v>
                </c:pt>
                <c:pt idx="1228">
                  <c:v>774.29960000000005</c:v>
                </c:pt>
                <c:pt idx="1229">
                  <c:v>774.29960000000005</c:v>
                </c:pt>
                <c:pt idx="1230">
                  <c:v>768.29679999999996</c:v>
                </c:pt>
                <c:pt idx="1231">
                  <c:v>761.6268</c:v>
                </c:pt>
                <c:pt idx="1232">
                  <c:v>757.20740000000001</c:v>
                </c:pt>
                <c:pt idx="1233">
                  <c:v>757.20740000000001</c:v>
                </c:pt>
                <c:pt idx="1234">
                  <c:v>753.78449999999998</c:v>
                </c:pt>
                <c:pt idx="1235">
                  <c:v>749.66</c:v>
                </c:pt>
                <c:pt idx="1236">
                  <c:v>747.12429999999995</c:v>
                </c:pt>
                <c:pt idx="1237">
                  <c:v>745.47209999999995</c:v>
                </c:pt>
                <c:pt idx="1238">
                  <c:v>742.12980000000005</c:v>
                </c:pt>
                <c:pt idx="1239">
                  <c:v>736.62840000000006</c:v>
                </c:pt>
                <c:pt idx="1240">
                  <c:v>738.44970000000001</c:v>
                </c:pt>
                <c:pt idx="1241">
                  <c:v>740.8451</c:v>
                </c:pt>
                <c:pt idx="1242">
                  <c:v>742.62400000000002</c:v>
                </c:pt>
                <c:pt idx="1243">
                  <c:v>743.15740000000005</c:v>
                </c:pt>
                <c:pt idx="1244">
                  <c:v>741.43560000000002</c:v>
                </c:pt>
                <c:pt idx="1245">
                  <c:v>739.25</c:v>
                </c:pt>
                <c:pt idx="1246">
                  <c:v>734.4434</c:v>
                </c:pt>
                <c:pt idx="1247">
                  <c:v>730.17470000000003</c:v>
                </c:pt>
                <c:pt idx="1248">
                  <c:v>726.04880000000003</c:v>
                </c:pt>
                <c:pt idx="1249">
                  <c:v>722.34540000000004</c:v>
                </c:pt>
                <c:pt idx="1250">
                  <c:v>718.37469999999996</c:v>
                </c:pt>
                <c:pt idx="1251">
                  <c:v>714.35490000000004</c:v>
                </c:pt>
                <c:pt idx="1252">
                  <c:v>710.5326</c:v>
                </c:pt>
                <c:pt idx="1253">
                  <c:v>707.18330000000003</c:v>
                </c:pt>
                <c:pt idx="1254">
                  <c:v>699.6748</c:v>
                </c:pt>
                <c:pt idx="1255">
                  <c:v>700.77660000000003</c:v>
                </c:pt>
                <c:pt idx="1256">
                  <c:v>703.39419999999996</c:v>
                </c:pt>
                <c:pt idx="1257">
                  <c:v>703.09389999999996</c:v>
                </c:pt>
                <c:pt idx="1258">
                  <c:v>702.13990000000001</c:v>
                </c:pt>
                <c:pt idx="1259">
                  <c:v>701.08259999999996</c:v>
                </c:pt>
                <c:pt idx="1260">
                  <c:v>701.17309999999998</c:v>
                </c:pt>
                <c:pt idx="1261">
                  <c:v>701.85490000000004</c:v>
                </c:pt>
                <c:pt idx="1262">
                  <c:v>702.3229</c:v>
                </c:pt>
                <c:pt idx="1263">
                  <c:v>702.42319999999995</c:v>
                </c:pt>
                <c:pt idx="1264">
                  <c:v>702.43389999999999</c:v>
                </c:pt>
                <c:pt idx="1265">
                  <c:v>701.76850000000002</c:v>
                </c:pt>
                <c:pt idx="1266">
                  <c:v>701.08130000000006</c:v>
                </c:pt>
                <c:pt idx="1267">
                  <c:v>700.65049999999997</c:v>
                </c:pt>
                <c:pt idx="1268">
                  <c:v>699.21889999999996</c:v>
                </c:pt>
                <c:pt idx="1269">
                  <c:v>696.5521</c:v>
                </c:pt>
                <c:pt idx="1270">
                  <c:v>693.13289999999995</c:v>
                </c:pt>
                <c:pt idx="1271">
                  <c:v>689.4914</c:v>
                </c:pt>
                <c:pt idx="1272">
                  <c:v>690.94770000000005</c:v>
                </c:pt>
                <c:pt idx="1273">
                  <c:v>687.78319999999997</c:v>
                </c:pt>
                <c:pt idx="1274">
                  <c:v>694.77880000000005</c:v>
                </c:pt>
                <c:pt idx="1275">
                  <c:v>696.01250000000005</c:v>
                </c:pt>
                <c:pt idx="1276">
                  <c:v>694.18420000000003</c:v>
                </c:pt>
                <c:pt idx="1277">
                  <c:v>692.29809999999998</c:v>
                </c:pt>
                <c:pt idx="1278">
                  <c:v>691.09259999999995</c:v>
                </c:pt>
                <c:pt idx="1279">
                  <c:v>690.03359999999998</c:v>
                </c:pt>
                <c:pt idx="1280">
                  <c:v>689.27359999999999</c:v>
                </c:pt>
                <c:pt idx="1281">
                  <c:v>688.1893</c:v>
                </c:pt>
                <c:pt idx="1282">
                  <c:v>687.09670000000006</c:v>
                </c:pt>
                <c:pt idx="1283">
                  <c:v>686.23609999999996</c:v>
                </c:pt>
                <c:pt idx="1284">
                  <c:v>685.45770000000005</c:v>
                </c:pt>
                <c:pt idx="1285">
                  <c:v>684.89509999999996</c:v>
                </c:pt>
                <c:pt idx="1286">
                  <c:v>684.30029999999999</c:v>
                </c:pt>
                <c:pt idx="1287">
                  <c:v>683.40980000000002</c:v>
                </c:pt>
                <c:pt idx="1288">
                  <c:v>682.82709999999997</c:v>
                </c:pt>
                <c:pt idx="1289">
                  <c:v>682.82709999999997</c:v>
                </c:pt>
                <c:pt idx="1290">
                  <c:v>682.29499999999996</c:v>
                </c:pt>
                <c:pt idx="1291">
                  <c:v>681.5127</c:v>
                </c:pt>
                <c:pt idx="1292">
                  <c:v>681.5127</c:v>
                </c:pt>
                <c:pt idx="1293">
                  <c:v>678.93820000000005</c:v>
                </c:pt>
                <c:pt idx="1294">
                  <c:v>669.4248</c:v>
                </c:pt>
                <c:pt idx="1295">
                  <c:v>677.29340000000002</c:v>
                </c:pt>
                <c:pt idx="1296">
                  <c:v>678.42399999999998</c:v>
                </c:pt>
                <c:pt idx="1297">
                  <c:v>679.63040000000001</c:v>
                </c:pt>
                <c:pt idx="1298">
                  <c:v>680.46690000000001</c:v>
                </c:pt>
                <c:pt idx="1299">
                  <c:v>680.85979999999995</c:v>
                </c:pt>
                <c:pt idx="1300">
                  <c:v>681.34879999999998</c:v>
                </c:pt>
                <c:pt idx="1301">
                  <c:v>681.19219999999996</c:v>
                </c:pt>
                <c:pt idx="1302">
                  <c:v>679.85590000000002</c:v>
                </c:pt>
                <c:pt idx="1303">
                  <c:v>679.85590000000002</c:v>
                </c:pt>
                <c:pt idx="1304">
                  <c:v>678.60820000000001</c:v>
                </c:pt>
                <c:pt idx="1305">
                  <c:v>678.72209999999995</c:v>
                </c:pt>
                <c:pt idx="1306">
                  <c:v>678.72209999999995</c:v>
                </c:pt>
                <c:pt idx="1307">
                  <c:v>678.14400000000001</c:v>
                </c:pt>
                <c:pt idx="1308">
                  <c:v>679.10310000000004</c:v>
                </c:pt>
                <c:pt idx="1309">
                  <c:v>679.39260000000002</c:v>
                </c:pt>
                <c:pt idx="1310">
                  <c:v>680.14729999999997</c:v>
                </c:pt>
                <c:pt idx="1311">
                  <c:v>679.88109999999995</c:v>
                </c:pt>
                <c:pt idx="1312">
                  <c:v>679.95029999999997</c:v>
                </c:pt>
                <c:pt idx="1313">
                  <c:v>679.65840000000003</c:v>
                </c:pt>
                <c:pt idx="1314">
                  <c:v>679.47550000000001</c:v>
                </c:pt>
                <c:pt idx="1315">
                  <c:v>679.20619999999997</c:v>
                </c:pt>
                <c:pt idx="1316">
                  <c:v>678.91890000000001</c:v>
                </c:pt>
                <c:pt idx="1317">
                  <c:v>678.66250000000002</c:v>
                </c:pt>
                <c:pt idx="1318">
                  <c:v>678.36429999999996</c:v>
                </c:pt>
                <c:pt idx="1319">
                  <c:v>677.9941</c:v>
                </c:pt>
                <c:pt idx="1320">
                  <c:v>677.67719999999997</c:v>
                </c:pt>
                <c:pt idx="1321">
                  <c:v>677.93409999999994</c:v>
                </c:pt>
                <c:pt idx="1322">
                  <c:v>677.91570000000002</c:v>
                </c:pt>
                <c:pt idx="1323">
                  <c:v>677.43600000000004</c:v>
                </c:pt>
                <c:pt idx="1324">
                  <c:v>676.67570000000001</c:v>
                </c:pt>
                <c:pt idx="1325">
                  <c:v>676.2047</c:v>
                </c:pt>
                <c:pt idx="1326">
                  <c:v>675.75469999999996</c:v>
                </c:pt>
                <c:pt idx="1327">
                  <c:v>675.01660000000004</c:v>
                </c:pt>
                <c:pt idx="1328">
                  <c:v>674.18510000000003</c:v>
                </c:pt>
                <c:pt idx="1329">
                  <c:v>673.9085</c:v>
                </c:pt>
                <c:pt idx="1330">
                  <c:v>673.91899999999998</c:v>
                </c:pt>
                <c:pt idx="1331">
                  <c:v>673.47770000000003</c:v>
                </c:pt>
                <c:pt idx="1332">
                  <c:v>670.22559999999999</c:v>
                </c:pt>
                <c:pt idx="1333">
                  <c:v>673.1617</c:v>
                </c:pt>
                <c:pt idx="1334">
                  <c:v>672.2287</c:v>
                </c:pt>
                <c:pt idx="1335">
                  <c:v>673.48140000000001</c:v>
                </c:pt>
                <c:pt idx="1336">
                  <c:v>675.54970000000003</c:v>
                </c:pt>
                <c:pt idx="1337">
                  <c:v>675.58749999999998</c:v>
                </c:pt>
                <c:pt idx="1338">
                  <c:v>676.87609999999995</c:v>
                </c:pt>
                <c:pt idx="1339">
                  <c:v>680.7088</c:v>
                </c:pt>
                <c:pt idx="1340">
                  <c:v>686.22950000000003</c:v>
                </c:pt>
                <c:pt idx="1341">
                  <c:v>692.90800000000002</c:v>
                </c:pt>
                <c:pt idx="1342">
                  <c:v>705.99120000000005</c:v>
                </c:pt>
                <c:pt idx="1343">
                  <c:v>715.54870000000005</c:v>
                </c:pt>
                <c:pt idx="1344">
                  <c:v>724.49040000000002</c:v>
                </c:pt>
                <c:pt idx="1345">
                  <c:v>729.29100000000005</c:v>
                </c:pt>
                <c:pt idx="1346">
                  <c:v>728.21420000000001</c:v>
                </c:pt>
                <c:pt idx="1347">
                  <c:v>727.36260000000004</c:v>
                </c:pt>
                <c:pt idx="1348">
                  <c:v>729.36030000000005</c:v>
                </c:pt>
                <c:pt idx="1349">
                  <c:v>733.16790000000003</c:v>
                </c:pt>
                <c:pt idx="1350">
                  <c:v>736.28269999999998</c:v>
                </c:pt>
                <c:pt idx="1351">
                  <c:v>737.55880000000002</c:v>
                </c:pt>
                <c:pt idx="1352">
                  <c:v>735.63430000000005</c:v>
                </c:pt>
                <c:pt idx="1353">
                  <c:v>733.56610000000001</c:v>
                </c:pt>
                <c:pt idx="1354">
                  <c:v>731.93110000000001</c:v>
                </c:pt>
                <c:pt idx="1355">
                  <c:v>729.7373</c:v>
                </c:pt>
                <c:pt idx="1356">
                  <c:v>729.41759999999999</c:v>
                </c:pt>
                <c:pt idx="1357">
                  <c:v>729.45240000000001</c:v>
                </c:pt>
                <c:pt idx="1358">
                  <c:v>732.077</c:v>
                </c:pt>
                <c:pt idx="1359">
                  <c:v>735.15940000000001</c:v>
                </c:pt>
                <c:pt idx="1360">
                  <c:v>738.70349999999996</c:v>
                </c:pt>
                <c:pt idx="1361">
                  <c:v>742.45129999999995</c:v>
                </c:pt>
                <c:pt idx="1362">
                  <c:v>746.22919999999999</c:v>
                </c:pt>
                <c:pt idx="1363">
                  <c:v>750.08680000000004</c:v>
                </c:pt>
                <c:pt idx="1364">
                  <c:v>754.35360000000003</c:v>
                </c:pt>
                <c:pt idx="1365">
                  <c:v>758.55409999999995</c:v>
                </c:pt>
                <c:pt idx="1366">
                  <c:v>762.50980000000004</c:v>
                </c:pt>
                <c:pt idx="1367">
                  <c:v>766.2482</c:v>
                </c:pt>
                <c:pt idx="1368">
                  <c:v>768.38430000000005</c:v>
                </c:pt>
                <c:pt idx="1369">
                  <c:v>769.30070000000001</c:v>
                </c:pt>
                <c:pt idx="1370">
                  <c:v>769.56470000000002</c:v>
                </c:pt>
                <c:pt idx="1371">
                  <c:v>770.01289999999995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52-4717-A6BF-33D18BE0E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773151"/>
        <c:axId val="775855871"/>
        <c:extLst>
          <c:ext xmlns:c15="http://schemas.microsoft.com/office/drawing/2012/chart" uri="{02D57815-91ED-43cb-92C2-25804820EDAC}">
            <c15:filteredScatterSeries>
              <c15:ser>
                <c:idx val="6"/>
                <c:order val="2"/>
                <c:tx>
                  <c:v>Dewater Location</c:v>
                </c:tx>
                <c:spPr>
                  <a:ln w="19050">
                    <a:noFill/>
                  </a:ln>
                </c:spPr>
                <c:marker>
                  <c:symbol val="square"/>
                  <c:size val="10"/>
                  <c:spPr>
                    <a:solidFill>
                      <a:srgbClr val="FF0000">
                        <a:alpha val="96000"/>
                      </a:srgbClr>
                    </a:solidFill>
                    <a:ln w="12700">
                      <a:solidFill>
                        <a:srgbClr val="FF0000"/>
                      </a:solidFill>
                    </a:ln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dLblPos val="l"/>
                  <c:showLegendKey val="0"/>
                  <c:showVal val="1"/>
                  <c:showCatName val="1"/>
                  <c:showSerName val="1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0"/>
                    </c:ext>
                  </c:extLst>
                </c:dLbls>
                <c:xVal>
                  <c:numRef>
                    <c:extLst>
                      <c:ext uri="{02D57815-91ED-43cb-92C2-25804820EDAC}">
                        <c15:formulaRef>
                          <c15:sqref>Inputs!$F$6</c15:sqref>
                        </c15:formulaRef>
                      </c:ext>
                    </c:extLst>
                    <c:numCache>
                      <c:formatCode>#\+##</c:formatCode>
                      <c:ptCount val="1"/>
                      <c:pt idx="0">
                        <c:v>225299.92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Inputs!$C$5</c15:sqref>
                        </c15:formulaRef>
                      </c:ext>
                    </c:extLst>
                    <c:numCache>
                      <c:formatCode>#,##0.0\ "ft"</c:formatCode>
                      <c:ptCount val="1"/>
                      <c:pt idx="0">
                        <c:v>825.18449999999996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6-9D45-47F9-B8D1-268662D506CC}"/>
                  </c:ext>
                </c:extLst>
              </c15:ser>
            </c15:filteredScatterSeries>
            <c15:filteredScatterSeries>
              <c15:ser>
                <c:idx val="8"/>
                <c:order val="4"/>
                <c:tx>
                  <c:v>Fill Site</c:v>
                </c:tx>
                <c:marker>
                  <c:symbol val="circle"/>
                  <c:size val="10"/>
                  <c:spPr>
                    <a:solidFill>
                      <a:srgbClr val="FF0000"/>
                    </a:solidFill>
                    <a:ln>
                      <a:solidFill>
                        <a:srgbClr val="FF0000"/>
                      </a:solidFill>
                    </a:ln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1"/>
                  <c:showCatName val="1"/>
                  <c:showSerName val="1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Inputs!#REF!</c15:sqref>
                        </c15:formulaRef>
                      </c:ext>
                    </c:extLst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Inputs!$C$3</c15:sqref>
                        </c15:formulaRef>
                      </c:ext>
                    </c:extLst>
                    <c:numCache>
                      <c:formatCode>#,##0.0\ "ft"</c:formatCode>
                      <c:ptCount val="1"/>
                      <c:pt idx="0">
                        <c:v>825.18449999999996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D45-47F9-B8D1-268662D506CC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1"/>
          <c:order val="6"/>
          <c:tx>
            <c:strRef>
              <c:f>TS!$AB$1</c:f>
              <c:strCache>
                <c:ptCount val="1"/>
                <c:pt idx="0">
                  <c:v>Calc. Backpressure (psi)</c:v>
                </c:pt>
              </c:strCache>
              <c:extLst xmlns:c15="http://schemas.microsoft.com/office/drawing/2012/chart"/>
            </c:strRef>
          </c:tx>
          <c:spPr>
            <a:ln w="19050"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TS!$N$2:$N$1373</c:f>
              <c:numCache>
                <c:formatCode>#\+##</c:formatCode>
                <c:ptCount val="1372"/>
                <c:pt idx="0">
                  <c:v>95899.92</c:v>
                </c:pt>
                <c:pt idx="1">
                  <c:v>95999.92</c:v>
                </c:pt>
                <c:pt idx="2">
                  <c:v>96099.92</c:v>
                </c:pt>
                <c:pt idx="3">
                  <c:v>96199.92</c:v>
                </c:pt>
                <c:pt idx="4">
                  <c:v>96299.92</c:v>
                </c:pt>
                <c:pt idx="5">
                  <c:v>96399.92</c:v>
                </c:pt>
                <c:pt idx="6">
                  <c:v>96499.92</c:v>
                </c:pt>
                <c:pt idx="7">
                  <c:v>96599.92</c:v>
                </c:pt>
                <c:pt idx="8">
                  <c:v>96699.92</c:v>
                </c:pt>
                <c:pt idx="9">
                  <c:v>96799.92</c:v>
                </c:pt>
                <c:pt idx="10">
                  <c:v>96899.92</c:v>
                </c:pt>
                <c:pt idx="11">
                  <c:v>96999.92</c:v>
                </c:pt>
                <c:pt idx="12">
                  <c:v>97099.92</c:v>
                </c:pt>
                <c:pt idx="13">
                  <c:v>97199.92</c:v>
                </c:pt>
                <c:pt idx="14">
                  <c:v>97299.92</c:v>
                </c:pt>
                <c:pt idx="15">
                  <c:v>97399.92</c:v>
                </c:pt>
                <c:pt idx="16">
                  <c:v>97499.92</c:v>
                </c:pt>
                <c:pt idx="17">
                  <c:v>97599.92</c:v>
                </c:pt>
                <c:pt idx="18">
                  <c:v>97699.92</c:v>
                </c:pt>
                <c:pt idx="19">
                  <c:v>97799.92</c:v>
                </c:pt>
                <c:pt idx="20">
                  <c:v>97899.92</c:v>
                </c:pt>
                <c:pt idx="21">
                  <c:v>97999.92</c:v>
                </c:pt>
                <c:pt idx="22">
                  <c:v>98099.92</c:v>
                </c:pt>
                <c:pt idx="23">
                  <c:v>98199.92</c:v>
                </c:pt>
                <c:pt idx="24">
                  <c:v>98299.92</c:v>
                </c:pt>
                <c:pt idx="25">
                  <c:v>98399.92</c:v>
                </c:pt>
                <c:pt idx="26">
                  <c:v>98499.92</c:v>
                </c:pt>
                <c:pt idx="27">
                  <c:v>98599.92</c:v>
                </c:pt>
                <c:pt idx="28">
                  <c:v>98699.92</c:v>
                </c:pt>
                <c:pt idx="29">
                  <c:v>98799.92</c:v>
                </c:pt>
                <c:pt idx="30">
                  <c:v>98899.92</c:v>
                </c:pt>
                <c:pt idx="31">
                  <c:v>98999.92</c:v>
                </c:pt>
                <c:pt idx="32">
                  <c:v>99099.92</c:v>
                </c:pt>
                <c:pt idx="33">
                  <c:v>99199.92</c:v>
                </c:pt>
                <c:pt idx="34">
                  <c:v>99299.92</c:v>
                </c:pt>
                <c:pt idx="35">
                  <c:v>99399.92</c:v>
                </c:pt>
                <c:pt idx="36">
                  <c:v>99499.92</c:v>
                </c:pt>
                <c:pt idx="37">
                  <c:v>99596.6</c:v>
                </c:pt>
                <c:pt idx="38">
                  <c:v>99599.92</c:v>
                </c:pt>
                <c:pt idx="39">
                  <c:v>99676.6</c:v>
                </c:pt>
                <c:pt idx="40">
                  <c:v>99699.92</c:v>
                </c:pt>
                <c:pt idx="41">
                  <c:v>99799.92</c:v>
                </c:pt>
                <c:pt idx="42">
                  <c:v>99899.92</c:v>
                </c:pt>
                <c:pt idx="43">
                  <c:v>99999.92</c:v>
                </c:pt>
                <c:pt idx="44">
                  <c:v>100093.7</c:v>
                </c:pt>
                <c:pt idx="45">
                  <c:v>100099.92</c:v>
                </c:pt>
                <c:pt idx="46">
                  <c:v>100199.92</c:v>
                </c:pt>
                <c:pt idx="47">
                  <c:v>100299.92</c:v>
                </c:pt>
                <c:pt idx="48">
                  <c:v>100399.92</c:v>
                </c:pt>
                <c:pt idx="49">
                  <c:v>100499.92</c:v>
                </c:pt>
                <c:pt idx="50">
                  <c:v>100599.92</c:v>
                </c:pt>
                <c:pt idx="51">
                  <c:v>100699.92</c:v>
                </c:pt>
                <c:pt idx="52">
                  <c:v>100799.92</c:v>
                </c:pt>
                <c:pt idx="53">
                  <c:v>100899.92</c:v>
                </c:pt>
                <c:pt idx="54">
                  <c:v>100999.92</c:v>
                </c:pt>
                <c:pt idx="55">
                  <c:v>101099.92</c:v>
                </c:pt>
                <c:pt idx="56">
                  <c:v>101199.92</c:v>
                </c:pt>
                <c:pt idx="57">
                  <c:v>101299.92</c:v>
                </c:pt>
                <c:pt idx="58">
                  <c:v>101399.92</c:v>
                </c:pt>
                <c:pt idx="59">
                  <c:v>101499.92</c:v>
                </c:pt>
                <c:pt idx="60">
                  <c:v>101599.92</c:v>
                </c:pt>
                <c:pt idx="61">
                  <c:v>101699.92</c:v>
                </c:pt>
                <c:pt idx="62">
                  <c:v>101799.92</c:v>
                </c:pt>
                <c:pt idx="63">
                  <c:v>101899.92</c:v>
                </c:pt>
                <c:pt idx="64">
                  <c:v>101918.7</c:v>
                </c:pt>
                <c:pt idx="65">
                  <c:v>101999.92</c:v>
                </c:pt>
                <c:pt idx="66">
                  <c:v>102099.92</c:v>
                </c:pt>
                <c:pt idx="67">
                  <c:v>102199.92</c:v>
                </c:pt>
                <c:pt idx="68">
                  <c:v>102299.92</c:v>
                </c:pt>
                <c:pt idx="69">
                  <c:v>102399.92</c:v>
                </c:pt>
                <c:pt idx="70">
                  <c:v>102499.92</c:v>
                </c:pt>
                <c:pt idx="71">
                  <c:v>102599.92</c:v>
                </c:pt>
                <c:pt idx="72">
                  <c:v>102699.92</c:v>
                </c:pt>
                <c:pt idx="73">
                  <c:v>102799.92</c:v>
                </c:pt>
                <c:pt idx="74">
                  <c:v>102899.92</c:v>
                </c:pt>
                <c:pt idx="75">
                  <c:v>102999.92</c:v>
                </c:pt>
                <c:pt idx="76">
                  <c:v>103099.92</c:v>
                </c:pt>
                <c:pt idx="77">
                  <c:v>103199.92</c:v>
                </c:pt>
                <c:pt idx="78">
                  <c:v>103299.92</c:v>
                </c:pt>
                <c:pt idx="79">
                  <c:v>103399.92</c:v>
                </c:pt>
                <c:pt idx="80">
                  <c:v>103499.92</c:v>
                </c:pt>
                <c:pt idx="81">
                  <c:v>103599.92</c:v>
                </c:pt>
                <c:pt idx="82">
                  <c:v>103699.92</c:v>
                </c:pt>
                <c:pt idx="83">
                  <c:v>103799.92</c:v>
                </c:pt>
                <c:pt idx="84">
                  <c:v>103809.3</c:v>
                </c:pt>
                <c:pt idx="85">
                  <c:v>103899.92</c:v>
                </c:pt>
                <c:pt idx="86">
                  <c:v>103929.3</c:v>
                </c:pt>
                <c:pt idx="87">
                  <c:v>103999.92</c:v>
                </c:pt>
                <c:pt idx="88">
                  <c:v>104099.92</c:v>
                </c:pt>
                <c:pt idx="89">
                  <c:v>104199.92</c:v>
                </c:pt>
                <c:pt idx="90">
                  <c:v>104299.92</c:v>
                </c:pt>
                <c:pt idx="91">
                  <c:v>104399.92</c:v>
                </c:pt>
                <c:pt idx="92">
                  <c:v>104499.92</c:v>
                </c:pt>
                <c:pt idx="93">
                  <c:v>104599.92</c:v>
                </c:pt>
                <c:pt idx="94">
                  <c:v>104699.92</c:v>
                </c:pt>
                <c:pt idx="95">
                  <c:v>104799.92</c:v>
                </c:pt>
                <c:pt idx="96">
                  <c:v>104899.92</c:v>
                </c:pt>
                <c:pt idx="97">
                  <c:v>104999.92</c:v>
                </c:pt>
                <c:pt idx="98">
                  <c:v>105099.92</c:v>
                </c:pt>
                <c:pt idx="99">
                  <c:v>105199.92</c:v>
                </c:pt>
                <c:pt idx="100">
                  <c:v>105299.92</c:v>
                </c:pt>
                <c:pt idx="101">
                  <c:v>105399.92</c:v>
                </c:pt>
                <c:pt idx="102">
                  <c:v>105499.92</c:v>
                </c:pt>
                <c:pt idx="103">
                  <c:v>105599.92</c:v>
                </c:pt>
                <c:pt idx="104">
                  <c:v>105699.92</c:v>
                </c:pt>
                <c:pt idx="105">
                  <c:v>105799.92</c:v>
                </c:pt>
                <c:pt idx="106">
                  <c:v>105899.92</c:v>
                </c:pt>
                <c:pt idx="107">
                  <c:v>105999.92</c:v>
                </c:pt>
                <c:pt idx="108">
                  <c:v>106099.92</c:v>
                </c:pt>
                <c:pt idx="109">
                  <c:v>106199.92</c:v>
                </c:pt>
                <c:pt idx="110">
                  <c:v>106299.92</c:v>
                </c:pt>
                <c:pt idx="111">
                  <c:v>106399.92</c:v>
                </c:pt>
                <c:pt idx="112">
                  <c:v>106499.92</c:v>
                </c:pt>
                <c:pt idx="113">
                  <c:v>106599.92</c:v>
                </c:pt>
                <c:pt idx="114">
                  <c:v>106699.92</c:v>
                </c:pt>
                <c:pt idx="115">
                  <c:v>106799.92</c:v>
                </c:pt>
                <c:pt idx="116">
                  <c:v>106899.92</c:v>
                </c:pt>
                <c:pt idx="117">
                  <c:v>106999.92</c:v>
                </c:pt>
                <c:pt idx="118">
                  <c:v>107099.92</c:v>
                </c:pt>
                <c:pt idx="119">
                  <c:v>107199.92</c:v>
                </c:pt>
                <c:pt idx="120">
                  <c:v>107299.92</c:v>
                </c:pt>
                <c:pt idx="121">
                  <c:v>107399.92</c:v>
                </c:pt>
                <c:pt idx="122">
                  <c:v>107499.92</c:v>
                </c:pt>
                <c:pt idx="123">
                  <c:v>107599.92</c:v>
                </c:pt>
                <c:pt idx="124">
                  <c:v>107699.92</c:v>
                </c:pt>
                <c:pt idx="125">
                  <c:v>107799.92</c:v>
                </c:pt>
                <c:pt idx="126">
                  <c:v>107899.92</c:v>
                </c:pt>
                <c:pt idx="127">
                  <c:v>107999.92</c:v>
                </c:pt>
                <c:pt idx="128">
                  <c:v>108099.92</c:v>
                </c:pt>
                <c:pt idx="129">
                  <c:v>108159.1</c:v>
                </c:pt>
                <c:pt idx="130">
                  <c:v>108199.92</c:v>
                </c:pt>
                <c:pt idx="131">
                  <c:v>108299.92</c:v>
                </c:pt>
                <c:pt idx="132">
                  <c:v>108399.92</c:v>
                </c:pt>
                <c:pt idx="133">
                  <c:v>108499.92</c:v>
                </c:pt>
                <c:pt idx="134">
                  <c:v>108599.92</c:v>
                </c:pt>
                <c:pt idx="135">
                  <c:v>108699.92</c:v>
                </c:pt>
                <c:pt idx="136">
                  <c:v>108799.92</c:v>
                </c:pt>
                <c:pt idx="137">
                  <c:v>108899.92</c:v>
                </c:pt>
                <c:pt idx="138">
                  <c:v>108999.92</c:v>
                </c:pt>
                <c:pt idx="139">
                  <c:v>109036</c:v>
                </c:pt>
                <c:pt idx="140">
                  <c:v>109099.92</c:v>
                </c:pt>
                <c:pt idx="141">
                  <c:v>109199.92</c:v>
                </c:pt>
                <c:pt idx="142">
                  <c:v>109299.92</c:v>
                </c:pt>
                <c:pt idx="143">
                  <c:v>109399.92</c:v>
                </c:pt>
                <c:pt idx="144">
                  <c:v>109421</c:v>
                </c:pt>
                <c:pt idx="145">
                  <c:v>109499.92</c:v>
                </c:pt>
                <c:pt idx="146">
                  <c:v>109599.92</c:v>
                </c:pt>
                <c:pt idx="147">
                  <c:v>109699.92</c:v>
                </c:pt>
                <c:pt idx="148">
                  <c:v>109703</c:v>
                </c:pt>
                <c:pt idx="149">
                  <c:v>109799.92</c:v>
                </c:pt>
                <c:pt idx="150">
                  <c:v>109899.92</c:v>
                </c:pt>
                <c:pt idx="151">
                  <c:v>109999.92</c:v>
                </c:pt>
                <c:pt idx="152">
                  <c:v>110099.92</c:v>
                </c:pt>
                <c:pt idx="153">
                  <c:v>110199.92</c:v>
                </c:pt>
                <c:pt idx="154">
                  <c:v>110299.92</c:v>
                </c:pt>
                <c:pt idx="155">
                  <c:v>110399.92</c:v>
                </c:pt>
                <c:pt idx="156">
                  <c:v>110499.92</c:v>
                </c:pt>
                <c:pt idx="157">
                  <c:v>110599.92</c:v>
                </c:pt>
                <c:pt idx="158">
                  <c:v>110688.3</c:v>
                </c:pt>
                <c:pt idx="159">
                  <c:v>110699.92</c:v>
                </c:pt>
                <c:pt idx="160">
                  <c:v>110768.3</c:v>
                </c:pt>
                <c:pt idx="161">
                  <c:v>110799.92</c:v>
                </c:pt>
                <c:pt idx="162">
                  <c:v>110899.92</c:v>
                </c:pt>
                <c:pt idx="163">
                  <c:v>110999.92</c:v>
                </c:pt>
                <c:pt idx="164">
                  <c:v>111099.92</c:v>
                </c:pt>
                <c:pt idx="165">
                  <c:v>111199.92</c:v>
                </c:pt>
                <c:pt idx="166">
                  <c:v>111299.92</c:v>
                </c:pt>
                <c:pt idx="167">
                  <c:v>111399.92</c:v>
                </c:pt>
                <c:pt idx="168">
                  <c:v>111499.92</c:v>
                </c:pt>
                <c:pt idx="169">
                  <c:v>111599.92</c:v>
                </c:pt>
                <c:pt idx="170">
                  <c:v>111699.92</c:v>
                </c:pt>
                <c:pt idx="171">
                  <c:v>111799.92</c:v>
                </c:pt>
                <c:pt idx="172">
                  <c:v>111899.92</c:v>
                </c:pt>
                <c:pt idx="173">
                  <c:v>111999.92</c:v>
                </c:pt>
                <c:pt idx="174">
                  <c:v>112099.92</c:v>
                </c:pt>
                <c:pt idx="175">
                  <c:v>112199.92</c:v>
                </c:pt>
                <c:pt idx="176">
                  <c:v>112299.92</c:v>
                </c:pt>
                <c:pt idx="177">
                  <c:v>112399.92</c:v>
                </c:pt>
                <c:pt idx="178">
                  <c:v>112499.92</c:v>
                </c:pt>
                <c:pt idx="179">
                  <c:v>112599.92</c:v>
                </c:pt>
                <c:pt idx="180">
                  <c:v>112699.92</c:v>
                </c:pt>
                <c:pt idx="181">
                  <c:v>112799.92</c:v>
                </c:pt>
                <c:pt idx="182">
                  <c:v>112899.92</c:v>
                </c:pt>
                <c:pt idx="183">
                  <c:v>112999.92</c:v>
                </c:pt>
                <c:pt idx="184">
                  <c:v>113099.92</c:v>
                </c:pt>
                <c:pt idx="185">
                  <c:v>113199.92</c:v>
                </c:pt>
                <c:pt idx="186">
                  <c:v>113299.92</c:v>
                </c:pt>
                <c:pt idx="187">
                  <c:v>113399.92</c:v>
                </c:pt>
                <c:pt idx="188">
                  <c:v>113499.92</c:v>
                </c:pt>
                <c:pt idx="189">
                  <c:v>113599.92</c:v>
                </c:pt>
                <c:pt idx="190">
                  <c:v>113699.92</c:v>
                </c:pt>
                <c:pt idx="191">
                  <c:v>113799.92</c:v>
                </c:pt>
                <c:pt idx="192">
                  <c:v>113899.92</c:v>
                </c:pt>
                <c:pt idx="193">
                  <c:v>113999.92</c:v>
                </c:pt>
                <c:pt idx="194">
                  <c:v>114057.3</c:v>
                </c:pt>
                <c:pt idx="195">
                  <c:v>114099.92</c:v>
                </c:pt>
                <c:pt idx="196">
                  <c:v>114137.3</c:v>
                </c:pt>
                <c:pt idx="197">
                  <c:v>114199.92</c:v>
                </c:pt>
                <c:pt idx="198">
                  <c:v>114299.92</c:v>
                </c:pt>
                <c:pt idx="199">
                  <c:v>114399.92</c:v>
                </c:pt>
                <c:pt idx="200">
                  <c:v>114499.92</c:v>
                </c:pt>
                <c:pt idx="201">
                  <c:v>114599.92</c:v>
                </c:pt>
                <c:pt idx="202">
                  <c:v>114639.2</c:v>
                </c:pt>
                <c:pt idx="203">
                  <c:v>114699.92</c:v>
                </c:pt>
                <c:pt idx="204">
                  <c:v>114719.2</c:v>
                </c:pt>
                <c:pt idx="205">
                  <c:v>114799.92</c:v>
                </c:pt>
                <c:pt idx="206">
                  <c:v>114899.92</c:v>
                </c:pt>
                <c:pt idx="207">
                  <c:v>114983</c:v>
                </c:pt>
                <c:pt idx="208">
                  <c:v>114999.92</c:v>
                </c:pt>
                <c:pt idx="209">
                  <c:v>115063</c:v>
                </c:pt>
                <c:pt idx="210">
                  <c:v>115099.92</c:v>
                </c:pt>
                <c:pt idx="211">
                  <c:v>115199.92</c:v>
                </c:pt>
                <c:pt idx="212">
                  <c:v>115299.92</c:v>
                </c:pt>
                <c:pt idx="213">
                  <c:v>115399.92</c:v>
                </c:pt>
                <c:pt idx="214">
                  <c:v>115499.92</c:v>
                </c:pt>
                <c:pt idx="215">
                  <c:v>115599.92</c:v>
                </c:pt>
                <c:pt idx="216">
                  <c:v>115676.9</c:v>
                </c:pt>
                <c:pt idx="217">
                  <c:v>115699.92</c:v>
                </c:pt>
                <c:pt idx="218">
                  <c:v>115796.9</c:v>
                </c:pt>
                <c:pt idx="219">
                  <c:v>115799.92</c:v>
                </c:pt>
                <c:pt idx="220">
                  <c:v>115899.92</c:v>
                </c:pt>
                <c:pt idx="221">
                  <c:v>115999.92</c:v>
                </c:pt>
                <c:pt idx="222">
                  <c:v>116090.1</c:v>
                </c:pt>
                <c:pt idx="223">
                  <c:v>116099.92</c:v>
                </c:pt>
                <c:pt idx="224">
                  <c:v>116199.92</c:v>
                </c:pt>
                <c:pt idx="225">
                  <c:v>116299.92</c:v>
                </c:pt>
                <c:pt idx="226">
                  <c:v>116399.92</c:v>
                </c:pt>
                <c:pt idx="227">
                  <c:v>116499.92</c:v>
                </c:pt>
                <c:pt idx="228">
                  <c:v>116599.92</c:v>
                </c:pt>
                <c:pt idx="229">
                  <c:v>116699.92</c:v>
                </c:pt>
                <c:pt idx="230">
                  <c:v>116799.92</c:v>
                </c:pt>
                <c:pt idx="231">
                  <c:v>116899.92</c:v>
                </c:pt>
                <c:pt idx="232">
                  <c:v>116999.92</c:v>
                </c:pt>
                <c:pt idx="233">
                  <c:v>117099.92</c:v>
                </c:pt>
                <c:pt idx="234">
                  <c:v>117199.92</c:v>
                </c:pt>
                <c:pt idx="235">
                  <c:v>117299.92</c:v>
                </c:pt>
                <c:pt idx="236">
                  <c:v>117399.92</c:v>
                </c:pt>
                <c:pt idx="237">
                  <c:v>117499.92</c:v>
                </c:pt>
                <c:pt idx="238">
                  <c:v>117599.92</c:v>
                </c:pt>
                <c:pt idx="239">
                  <c:v>117699.92</c:v>
                </c:pt>
                <c:pt idx="240">
                  <c:v>117799.92</c:v>
                </c:pt>
                <c:pt idx="241">
                  <c:v>117899.92</c:v>
                </c:pt>
                <c:pt idx="242">
                  <c:v>117999.92</c:v>
                </c:pt>
                <c:pt idx="243">
                  <c:v>118099.92</c:v>
                </c:pt>
                <c:pt idx="244">
                  <c:v>118199.92</c:v>
                </c:pt>
                <c:pt idx="245">
                  <c:v>118299.92</c:v>
                </c:pt>
                <c:pt idx="246">
                  <c:v>118399.92</c:v>
                </c:pt>
                <c:pt idx="247">
                  <c:v>118499.92</c:v>
                </c:pt>
                <c:pt idx="248">
                  <c:v>118599.92</c:v>
                </c:pt>
                <c:pt idx="249">
                  <c:v>118690.1</c:v>
                </c:pt>
                <c:pt idx="250">
                  <c:v>118699.92</c:v>
                </c:pt>
                <c:pt idx="251">
                  <c:v>118799.92</c:v>
                </c:pt>
                <c:pt idx="252">
                  <c:v>118899.92</c:v>
                </c:pt>
                <c:pt idx="253">
                  <c:v>118999.92</c:v>
                </c:pt>
                <c:pt idx="254">
                  <c:v>119099.92</c:v>
                </c:pt>
                <c:pt idx="255">
                  <c:v>119199.92</c:v>
                </c:pt>
                <c:pt idx="256">
                  <c:v>119299.92</c:v>
                </c:pt>
                <c:pt idx="257">
                  <c:v>119399.92</c:v>
                </c:pt>
                <c:pt idx="258">
                  <c:v>119499.92</c:v>
                </c:pt>
                <c:pt idx="259">
                  <c:v>119599.92</c:v>
                </c:pt>
                <c:pt idx="260">
                  <c:v>119699.92</c:v>
                </c:pt>
                <c:pt idx="261">
                  <c:v>119799.92</c:v>
                </c:pt>
                <c:pt idx="262">
                  <c:v>119899.92</c:v>
                </c:pt>
                <c:pt idx="263">
                  <c:v>119999.92</c:v>
                </c:pt>
                <c:pt idx="264">
                  <c:v>120099.92</c:v>
                </c:pt>
                <c:pt idx="265">
                  <c:v>120199.92</c:v>
                </c:pt>
                <c:pt idx="266">
                  <c:v>120298.2</c:v>
                </c:pt>
                <c:pt idx="267">
                  <c:v>120299.92</c:v>
                </c:pt>
                <c:pt idx="268">
                  <c:v>120378.2</c:v>
                </c:pt>
                <c:pt idx="269">
                  <c:v>120399.92</c:v>
                </c:pt>
                <c:pt idx="270">
                  <c:v>120499.92</c:v>
                </c:pt>
                <c:pt idx="271">
                  <c:v>120599.92</c:v>
                </c:pt>
                <c:pt idx="272">
                  <c:v>120699.92</c:v>
                </c:pt>
                <c:pt idx="273">
                  <c:v>120799.92</c:v>
                </c:pt>
                <c:pt idx="274">
                  <c:v>120899.92</c:v>
                </c:pt>
                <c:pt idx="275">
                  <c:v>120999.92</c:v>
                </c:pt>
                <c:pt idx="276">
                  <c:v>121099.92</c:v>
                </c:pt>
                <c:pt idx="277">
                  <c:v>121199.92</c:v>
                </c:pt>
                <c:pt idx="278">
                  <c:v>121299.92</c:v>
                </c:pt>
                <c:pt idx="279">
                  <c:v>121399.92</c:v>
                </c:pt>
                <c:pt idx="280">
                  <c:v>121499.92</c:v>
                </c:pt>
                <c:pt idx="281">
                  <c:v>121599.92</c:v>
                </c:pt>
                <c:pt idx="282">
                  <c:v>121699.92</c:v>
                </c:pt>
                <c:pt idx="283">
                  <c:v>121799.92</c:v>
                </c:pt>
                <c:pt idx="284">
                  <c:v>121899.92</c:v>
                </c:pt>
                <c:pt idx="285">
                  <c:v>121999.92</c:v>
                </c:pt>
                <c:pt idx="286">
                  <c:v>122099.92</c:v>
                </c:pt>
                <c:pt idx="287">
                  <c:v>122199.92</c:v>
                </c:pt>
                <c:pt idx="288">
                  <c:v>122299.92</c:v>
                </c:pt>
                <c:pt idx="289">
                  <c:v>122399.92</c:v>
                </c:pt>
                <c:pt idx="290">
                  <c:v>122499.92</c:v>
                </c:pt>
                <c:pt idx="291">
                  <c:v>122599.92</c:v>
                </c:pt>
                <c:pt idx="292">
                  <c:v>122699.92</c:v>
                </c:pt>
                <c:pt idx="293">
                  <c:v>122799.92</c:v>
                </c:pt>
                <c:pt idx="294">
                  <c:v>122899.92</c:v>
                </c:pt>
                <c:pt idx="295">
                  <c:v>122999.92</c:v>
                </c:pt>
                <c:pt idx="296">
                  <c:v>123099.92</c:v>
                </c:pt>
                <c:pt idx="297">
                  <c:v>123199.92</c:v>
                </c:pt>
                <c:pt idx="298">
                  <c:v>123215.6</c:v>
                </c:pt>
                <c:pt idx="299">
                  <c:v>123295.6</c:v>
                </c:pt>
                <c:pt idx="300">
                  <c:v>123299.92</c:v>
                </c:pt>
                <c:pt idx="301">
                  <c:v>123399.92</c:v>
                </c:pt>
                <c:pt idx="302">
                  <c:v>123499.92</c:v>
                </c:pt>
                <c:pt idx="303">
                  <c:v>123599.92</c:v>
                </c:pt>
                <c:pt idx="304">
                  <c:v>123699.92</c:v>
                </c:pt>
                <c:pt idx="305">
                  <c:v>123799.92</c:v>
                </c:pt>
                <c:pt idx="306">
                  <c:v>123899.92</c:v>
                </c:pt>
                <c:pt idx="307">
                  <c:v>123999.92</c:v>
                </c:pt>
                <c:pt idx="308">
                  <c:v>124099.92</c:v>
                </c:pt>
                <c:pt idx="309">
                  <c:v>124199.92</c:v>
                </c:pt>
                <c:pt idx="310">
                  <c:v>124299.92</c:v>
                </c:pt>
                <c:pt idx="311">
                  <c:v>124399.92</c:v>
                </c:pt>
                <c:pt idx="312">
                  <c:v>124499.92</c:v>
                </c:pt>
                <c:pt idx="313">
                  <c:v>124599.92</c:v>
                </c:pt>
                <c:pt idx="314">
                  <c:v>124699.92</c:v>
                </c:pt>
                <c:pt idx="315">
                  <c:v>124799.92</c:v>
                </c:pt>
                <c:pt idx="316">
                  <c:v>124899.92</c:v>
                </c:pt>
                <c:pt idx="317">
                  <c:v>124999.92</c:v>
                </c:pt>
                <c:pt idx="318">
                  <c:v>125099.92</c:v>
                </c:pt>
                <c:pt idx="319">
                  <c:v>125156.3</c:v>
                </c:pt>
                <c:pt idx="320">
                  <c:v>125199.92</c:v>
                </c:pt>
                <c:pt idx="321">
                  <c:v>125236.3</c:v>
                </c:pt>
                <c:pt idx="322">
                  <c:v>125299.92</c:v>
                </c:pt>
                <c:pt idx="323">
                  <c:v>125399.92</c:v>
                </c:pt>
                <c:pt idx="324">
                  <c:v>125499.92</c:v>
                </c:pt>
                <c:pt idx="325">
                  <c:v>125599.92</c:v>
                </c:pt>
                <c:pt idx="326">
                  <c:v>125699.92</c:v>
                </c:pt>
                <c:pt idx="327">
                  <c:v>125723.1</c:v>
                </c:pt>
                <c:pt idx="328">
                  <c:v>125798.1</c:v>
                </c:pt>
                <c:pt idx="329">
                  <c:v>125799.92</c:v>
                </c:pt>
                <c:pt idx="330">
                  <c:v>125899.92</c:v>
                </c:pt>
                <c:pt idx="331">
                  <c:v>125915.7</c:v>
                </c:pt>
                <c:pt idx="332">
                  <c:v>125999.92</c:v>
                </c:pt>
                <c:pt idx="333">
                  <c:v>126075.7</c:v>
                </c:pt>
                <c:pt idx="334">
                  <c:v>126099.92</c:v>
                </c:pt>
                <c:pt idx="335">
                  <c:v>126199.92</c:v>
                </c:pt>
                <c:pt idx="336">
                  <c:v>126299.92</c:v>
                </c:pt>
                <c:pt idx="337">
                  <c:v>126399.92</c:v>
                </c:pt>
                <c:pt idx="338">
                  <c:v>126499.92</c:v>
                </c:pt>
                <c:pt idx="339">
                  <c:v>126599.92</c:v>
                </c:pt>
                <c:pt idx="340">
                  <c:v>126699.92</c:v>
                </c:pt>
                <c:pt idx="341">
                  <c:v>126799.92</c:v>
                </c:pt>
                <c:pt idx="342">
                  <c:v>126899.92</c:v>
                </c:pt>
                <c:pt idx="343">
                  <c:v>126999.92</c:v>
                </c:pt>
                <c:pt idx="344">
                  <c:v>127099.92</c:v>
                </c:pt>
                <c:pt idx="345">
                  <c:v>127199.92</c:v>
                </c:pt>
                <c:pt idx="346">
                  <c:v>127299.92</c:v>
                </c:pt>
                <c:pt idx="347">
                  <c:v>127399.92</c:v>
                </c:pt>
                <c:pt idx="348">
                  <c:v>127499.92</c:v>
                </c:pt>
                <c:pt idx="349">
                  <c:v>127599.92</c:v>
                </c:pt>
                <c:pt idx="350">
                  <c:v>127699.92</c:v>
                </c:pt>
                <c:pt idx="351">
                  <c:v>127799.92</c:v>
                </c:pt>
                <c:pt idx="352">
                  <c:v>127899.92</c:v>
                </c:pt>
                <c:pt idx="353">
                  <c:v>127999.92</c:v>
                </c:pt>
                <c:pt idx="354">
                  <c:v>128099.92</c:v>
                </c:pt>
                <c:pt idx="355">
                  <c:v>128199.92</c:v>
                </c:pt>
                <c:pt idx="356">
                  <c:v>128299.92</c:v>
                </c:pt>
                <c:pt idx="357">
                  <c:v>128399.92</c:v>
                </c:pt>
                <c:pt idx="358">
                  <c:v>128499.92</c:v>
                </c:pt>
                <c:pt idx="359">
                  <c:v>128599.92</c:v>
                </c:pt>
                <c:pt idx="360">
                  <c:v>128699.92</c:v>
                </c:pt>
                <c:pt idx="361">
                  <c:v>128799.92</c:v>
                </c:pt>
                <c:pt idx="362">
                  <c:v>128899.92</c:v>
                </c:pt>
                <c:pt idx="363">
                  <c:v>128999.92</c:v>
                </c:pt>
                <c:pt idx="364">
                  <c:v>129099.92</c:v>
                </c:pt>
                <c:pt idx="365">
                  <c:v>129199.92</c:v>
                </c:pt>
                <c:pt idx="366">
                  <c:v>129299.92</c:v>
                </c:pt>
                <c:pt idx="367">
                  <c:v>129399.92</c:v>
                </c:pt>
                <c:pt idx="368">
                  <c:v>129499.92</c:v>
                </c:pt>
                <c:pt idx="369">
                  <c:v>129599.92</c:v>
                </c:pt>
                <c:pt idx="370">
                  <c:v>129699.92</c:v>
                </c:pt>
                <c:pt idx="371">
                  <c:v>129799.92</c:v>
                </c:pt>
                <c:pt idx="372">
                  <c:v>129899.92</c:v>
                </c:pt>
                <c:pt idx="373">
                  <c:v>129918.1</c:v>
                </c:pt>
                <c:pt idx="374">
                  <c:v>129998.1</c:v>
                </c:pt>
                <c:pt idx="375">
                  <c:v>129999.92</c:v>
                </c:pt>
                <c:pt idx="376">
                  <c:v>130099.92</c:v>
                </c:pt>
                <c:pt idx="377">
                  <c:v>130199.92</c:v>
                </c:pt>
                <c:pt idx="378">
                  <c:v>130299.92</c:v>
                </c:pt>
                <c:pt idx="379">
                  <c:v>130399.92</c:v>
                </c:pt>
                <c:pt idx="380">
                  <c:v>130499.92</c:v>
                </c:pt>
                <c:pt idx="381">
                  <c:v>130599.92</c:v>
                </c:pt>
                <c:pt idx="382">
                  <c:v>130699.92</c:v>
                </c:pt>
                <c:pt idx="383">
                  <c:v>130799.92</c:v>
                </c:pt>
                <c:pt idx="384">
                  <c:v>130899.92</c:v>
                </c:pt>
                <c:pt idx="385">
                  <c:v>130999.92</c:v>
                </c:pt>
                <c:pt idx="386">
                  <c:v>131099.92000000001</c:v>
                </c:pt>
                <c:pt idx="387">
                  <c:v>131199.92000000001</c:v>
                </c:pt>
                <c:pt idx="388">
                  <c:v>131299.92000000001</c:v>
                </c:pt>
                <c:pt idx="389">
                  <c:v>131399.92000000001</c:v>
                </c:pt>
                <c:pt idx="390">
                  <c:v>131482.9</c:v>
                </c:pt>
                <c:pt idx="391">
                  <c:v>131499.92000000001</c:v>
                </c:pt>
                <c:pt idx="392">
                  <c:v>131562.9</c:v>
                </c:pt>
                <c:pt idx="393">
                  <c:v>131599.92000000001</c:v>
                </c:pt>
                <c:pt idx="394">
                  <c:v>131699.92000000001</c:v>
                </c:pt>
                <c:pt idx="395">
                  <c:v>131799.92000000001</c:v>
                </c:pt>
                <c:pt idx="396">
                  <c:v>131899.92000000001</c:v>
                </c:pt>
                <c:pt idx="397">
                  <c:v>131999.92000000001</c:v>
                </c:pt>
                <c:pt idx="398">
                  <c:v>132099.92000000001</c:v>
                </c:pt>
                <c:pt idx="399">
                  <c:v>132199.92000000001</c:v>
                </c:pt>
                <c:pt idx="400">
                  <c:v>132299.92000000001</c:v>
                </c:pt>
                <c:pt idx="401">
                  <c:v>132399.92000000001</c:v>
                </c:pt>
                <c:pt idx="402">
                  <c:v>132499.92000000001</c:v>
                </c:pt>
                <c:pt idx="403">
                  <c:v>132599.92000000001</c:v>
                </c:pt>
                <c:pt idx="404">
                  <c:v>132699.92000000001</c:v>
                </c:pt>
                <c:pt idx="405">
                  <c:v>132799.1</c:v>
                </c:pt>
                <c:pt idx="406">
                  <c:v>132799.92000000001</c:v>
                </c:pt>
                <c:pt idx="407">
                  <c:v>132899.92000000001</c:v>
                </c:pt>
                <c:pt idx="408">
                  <c:v>132999.92000000001</c:v>
                </c:pt>
                <c:pt idx="409">
                  <c:v>133039.1</c:v>
                </c:pt>
                <c:pt idx="410">
                  <c:v>133099.92000000001</c:v>
                </c:pt>
                <c:pt idx="411">
                  <c:v>133199.92000000001</c:v>
                </c:pt>
                <c:pt idx="412">
                  <c:v>133299.92000000001</c:v>
                </c:pt>
                <c:pt idx="413">
                  <c:v>133399.92000000001</c:v>
                </c:pt>
                <c:pt idx="414">
                  <c:v>133499.92000000001</c:v>
                </c:pt>
                <c:pt idx="415">
                  <c:v>133599.92000000001</c:v>
                </c:pt>
                <c:pt idx="416">
                  <c:v>133699.92000000001</c:v>
                </c:pt>
                <c:pt idx="417">
                  <c:v>133799.92000000001</c:v>
                </c:pt>
                <c:pt idx="418">
                  <c:v>133899.92000000001</c:v>
                </c:pt>
                <c:pt idx="419">
                  <c:v>133999.92000000001</c:v>
                </c:pt>
                <c:pt idx="420">
                  <c:v>134099.92000000001</c:v>
                </c:pt>
                <c:pt idx="421">
                  <c:v>134199.92000000001</c:v>
                </c:pt>
                <c:pt idx="422">
                  <c:v>134299.92000000001</c:v>
                </c:pt>
                <c:pt idx="423">
                  <c:v>134399.92000000001</c:v>
                </c:pt>
                <c:pt idx="424">
                  <c:v>134499.92000000001</c:v>
                </c:pt>
                <c:pt idx="425">
                  <c:v>134599.92000000001</c:v>
                </c:pt>
                <c:pt idx="426">
                  <c:v>134699.92000000001</c:v>
                </c:pt>
                <c:pt idx="427">
                  <c:v>134799.92000000001</c:v>
                </c:pt>
                <c:pt idx="428">
                  <c:v>134899.92000000001</c:v>
                </c:pt>
                <c:pt idx="429">
                  <c:v>134999.92000000001</c:v>
                </c:pt>
                <c:pt idx="430">
                  <c:v>135099.92000000001</c:v>
                </c:pt>
                <c:pt idx="431">
                  <c:v>135199.92000000001</c:v>
                </c:pt>
                <c:pt idx="432">
                  <c:v>135299.92000000001</c:v>
                </c:pt>
                <c:pt idx="433">
                  <c:v>135399.92000000001</c:v>
                </c:pt>
                <c:pt idx="434">
                  <c:v>135499.92000000001</c:v>
                </c:pt>
                <c:pt idx="435">
                  <c:v>135599.92000000001</c:v>
                </c:pt>
                <c:pt idx="436">
                  <c:v>135699.92000000001</c:v>
                </c:pt>
                <c:pt idx="437">
                  <c:v>135799.92000000001</c:v>
                </c:pt>
                <c:pt idx="438">
                  <c:v>135899.92000000001</c:v>
                </c:pt>
                <c:pt idx="439">
                  <c:v>135999.92000000001</c:v>
                </c:pt>
                <c:pt idx="440">
                  <c:v>136099.92000000001</c:v>
                </c:pt>
                <c:pt idx="441">
                  <c:v>136199.92000000001</c:v>
                </c:pt>
                <c:pt idx="442">
                  <c:v>136299.92000000001</c:v>
                </c:pt>
                <c:pt idx="443">
                  <c:v>136399.92000000001</c:v>
                </c:pt>
                <c:pt idx="444">
                  <c:v>136499.92000000001</c:v>
                </c:pt>
                <c:pt idx="445">
                  <c:v>136599.92000000001</c:v>
                </c:pt>
                <c:pt idx="446">
                  <c:v>136699.92000000001</c:v>
                </c:pt>
                <c:pt idx="447">
                  <c:v>136799.92000000001</c:v>
                </c:pt>
                <c:pt idx="448">
                  <c:v>136899.92000000001</c:v>
                </c:pt>
                <c:pt idx="449">
                  <c:v>136999.92000000001</c:v>
                </c:pt>
                <c:pt idx="450">
                  <c:v>137099.92000000001</c:v>
                </c:pt>
                <c:pt idx="451">
                  <c:v>137199.92000000001</c:v>
                </c:pt>
                <c:pt idx="452">
                  <c:v>137299.92000000001</c:v>
                </c:pt>
                <c:pt idx="453">
                  <c:v>137399.92000000001</c:v>
                </c:pt>
                <c:pt idx="454">
                  <c:v>137499.92000000001</c:v>
                </c:pt>
                <c:pt idx="455">
                  <c:v>137599.92000000001</c:v>
                </c:pt>
                <c:pt idx="456">
                  <c:v>137699.92000000001</c:v>
                </c:pt>
                <c:pt idx="457">
                  <c:v>137745.70000000001</c:v>
                </c:pt>
                <c:pt idx="458">
                  <c:v>137799.92000000001</c:v>
                </c:pt>
                <c:pt idx="459">
                  <c:v>137899.92000000001</c:v>
                </c:pt>
                <c:pt idx="460">
                  <c:v>137999.92000000001</c:v>
                </c:pt>
                <c:pt idx="461">
                  <c:v>138099.92000000001</c:v>
                </c:pt>
                <c:pt idx="462">
                  <c:v>138199.92000000001</c:v>
                </c:pt>
                <c:pt idx="463">
                  <c:v>138299.92000000001</c:v>
                </c:pt>
                <c:pt idx="464">
                  <c:v>138399.92000000001</c:v>
                </c:pt>
                <c:pt idx="465">
                  <c:v>138465.70000000001</c:v>
                </c:pt>
                <c:pt idx="466">
                  <c:v>138499.92000000001</c:v>
                </c:pt>
                <c:pt idx="467">
                  <c:v>138599.92000000001</c:v>
                </c:pt>
                <c:pt idx="468">
                  <c:v>138699.92000000001</c:v>
                </c:pt>
                <c:pt idx="469">
                  <c:v>138799.92000000001</c:v>
                </c:pt>
                <c:pt idx="470">
                  <c:v>138836.1</c:v>
                </c:pt>
                <c:pt idx="471">
                  <c:v>138899.92000000001</c:v>
                </c:pt>
                <c:pt idx="472">
                  <c:v>138916.1</c:v>
                </c:pt>
                <c:pt idx="473">
                  <c:v>138999.92000000001</c:v>
                </c:pt>
                <c:pt idx="474">
                  <c:v>139099.92000000001</c:v>
                </c:pt>
                <c:pt idx="475">
                  <c:v>139199.92000000001</c:v>
                </c:pt>
                <c:pt idx="476">
                  <c:v>139299.92000000001</c:v>
                </c:pt>
                <c:pt idx="477">
                  <c:v>139399.92000000001</c:v>
                </c:pt>
                <c:pt idx="478">
                  <c:v>139424.9</c:v>
                </c:pt>
                <c:pt idx="479">
                  <c:v>139499.92000000001</c:v>
                </c:pt>
                <c:pt idx="480">
                  <c:v>139584.9</c:v>
                </c:pt>
                <c:pt idx="481">
                  <c:v>139599.92000000001</c:v>
                </c:pt>
                <c:pt idx="482">
                  <c:v>139699.92000000001</c:v>
                </c:pt>
                <c:pt idx="483">
                  <c:v>139799.92000000001</c:v>
                </c:pt>
                <c:pt idx="484">
                  <c:v>139899.92000000001</c:v>
                </c:pt>
                <c:pt idx="485">
                  <c:v>139999.92000000001</c:v>
                </c:pt>
                <c:pt idx="486">
                  <c:v>140099.92000000001</c:v>
                </c:pt>
                <c:pt idx="487">
                  <c:v>140199.92000000001</c:v>
                </c:pt>
                <c:pt idx="488">
                  <c:v>140299.92000000001</c:v>
                </c:pt>
                <c:pt idx="489">
                  <c:v>140399.92000000001</c:v>
                </c:pt>
                <c:pt idx="490">
                  <c:v>140499.92000000001</c:v>
                </c:pt>
                <c:pt idx="491">
                  <c:v>140599.92000000001</c:v>
                </c:pt>
                <c:pt idx="492">
                  <c:v>140699.92000000001</c:v>
                </c:pt>
                <c:pt idx="493">
                  <c:v>140799.92000000001</c:v>
                </c:pt>
                <c:pt idx="494">
                  <c:v>140899.92000000001</c:v>
                </c:pt>
                <c:pt idx="495">
                  <c:v>140999.92000000001</c:v>
                </c:pt>
                <c:pt idx="496">
                  <c:v>141099.92000000001</c:v>
                </c:pt>
                <c:pt idx="497">
                  <c:v>141199.92000000001</c:v>
                </c:pt>
                <c:pt idx="498">
                  <c:v>141299.92000000001</c:v>
                </c:pt>
                <c:pt idx="499">
                  <c:v>141399.92000000001</c:v>
                </c:pt>
                <c:pt idx="500">
                  <c:v>141499.92000000001</c:v>
                </c:pt>
                <c:pt idx="501">
                  <c:v>141599.92000000001</c:v>
                </c:pt>
                <c:pt idx="502">
                  <c:v>141699.92000000001</c:v>
                </c:pt>
                <c:pt idx="503">
                  <c:v>141799.92000000001</c:v>
                </c:pt>
                <c:pt idx="504">
                  <c:v>141899.92000000001</c:v>
                </c:pt>
                <c:pt idx="505">
                  <c:v>141999.92000000001</c:v>
                </c:pt>
                <c:pt idx="506">
                  <c:v>142099.92000000001</c:v>
                </c:pt>
                <c:pt idx="507">
                  <c:v>142199.92000000001</c:v>
                </c:pt>
                <c:pt idx="508">
                  <c:v>142299.92000000001</c:v>
                </c:pt>
                <c:pt idx="509">
                  <c:v>142399.92000000001</c:v>
                </c:pt>
                <c:pt idx="510">
                  <c:v>142427</c:v>
                </c:pt>
                <c:pt idx="511">
                  <c:v>142499.92000000001</c:v>
                </c:pt>
                <c:pt idx="512">
                  <c:v>142507</c:v>
                </c:pt>
                <c:pt idx="513">
                  <c:v>142599.92000000001</c:v>
                </c:pt>
                <c:pt idx="514">
                  <c:v>142699.92000000001</c:v>
                </c:pt>
                <c:pt idx="515">
                  <c:v>142799.92000000001</c:v>
                </c:pt>
                <c:pt idx="516">
                  <c:v>142899.92000000001</c:v>
                </c:pt>
                <c:pt idx="517">
                  <c:v>142999.92000000001</c:v>
                </c:pt>
                <c:pt idx="518">
                  <c:v>143099.92000000001</c:v>
                </c:pt>
                <c:pt idx="519">
                  <c:v>143199.92000000001</c:v>
                </c:pt>
                <c:pt idx="520">
                  <c:v>143299.92000000001</c:v>
                </c:pt>
                <c:pt idx="521">
                  <c:v>143399.92000000001</c:v>
                </c:pt>
                <c:pt idx="522">
                  <c:v>143499.92000000001</c:v>
                </c:pt>
                <c:pt idx="523">
                  <c:v>143599.92000000001</c:v>
                </c:pt>
                <c:pt idx="524">
                  <c:v>143699.92000000001</c:v>
                </c:pt>
                <c:pt idx="525">
                  <c:v>143799.92000000001</c:v>
                </c:pt>
                <c:pt idx="526">
                  <c:v>143899.92000000001</c:v>
                </c:pt>
                <c:pt idx="527">
                  <c:v>143999.92000000001</c:v>
                </c:pt>
                <c:pt idx="528">
                  <c:v>144099.92000000001</c:v>
                </c:pt>
                <c:pt idx="529">
                  <c:v>144199.92000000001</c:v>
                </c:pt>
                <c:pt idx="530">
                  <c:v>144299.92000000001</c:v>
                </c:pt>
                <c:pt idx="531">
                  <c:v>144399.92000000001</c:v>
                </c:pt>
                <c:pt idx="532">
                  <c:v>144478.29999999999</c:v>
                </c:pt>
                <c:pt idx="533">
                  <c:v>144499.92000000001</c:v>
                </c:pt>
                <c:pt idx="534">
                  <c:v>144558.29999999999</c:v>
                </c:pt>
                <c:pt idx="535">
                  <c:v>144599.92000000001</c:v>
                </c:pt>
                <c:pt idx="536">
                  <c:v>144699.92000000001</c:v>
                </c:pt>
                <c:pt idx="537">
                  <c:v>144799.92000000001</c:v>
                </c:pt>
                <c:pt idx="538">
                  <c:v>144899.92000000001</c:v>
                </c:pt>
                <c:pt idx="539">
                  <c:v>144999.92000000001</c:v>
                </c:pt>
                <c:pt idx="540">
                  <c:v>145099.92000000001</c:v>
                </c:pt>
                <c:pt idx="541">
                  <c:v>145199.92000000001</c:v>
                </c:pt>
                <c:pt idx="542">
                  <c:v>145299.92000000001</c:v>
                </c:pt>
                <c:pt idx="543">
                  <c:v>145399.92000000001</c:v>
                </c:pt>
                <c:pt idx="544">
                  <c:v>145499.92000000001</c:v>
                </c:pt>
                <c:pt idx="545">
                  <c:v>145599.92000000001</c:v>
                </c:pt>
                <c:pt idx="546">
                  <c:v>145699.92000000001</c:v>
                </c:pt>
                <c:pt idx="547">
                  <c:v>145799.92000000001</c:v>
                </c:pt>
                <c:pt idx="548">
                  <c:v>145899.92000000001</c:v>
                </c:pt>
                <c:pt idx="549">
                  <c:v>145999.92000000001</c:v>
                </c:pt>
                <c:pt idx="550">
                  <c:v>146099.92000000001</c:v>
                </c:pt>
                <c:pt idx="551">
                  <c:v>146199.92000000001</c:v>
                </c:pt>
                <c:pt idx="552">
                  <c:v>146262.29999999999</c:v>
                </c:pt>
                <c:pt idx="553">
                  <c:v>146299.92000000001</c:v>
                </c:pt>
                <c:pt idx="554">
                  <c:v>146342.29999999999</c:v>
                </c:pt>
                <c:pt idx="555">
                  <c:v>146399.92000000001</c:v>
                </c:pt>
                <c:pt idx="556">
                  <c:v>146499.92000000001</c:v>
                </c:pt>
                <c:pt idx="557">
                  <c:v>146599.92000000001</c:v>
                </c:pt>
                <c:pt idx="558">
                  <c:v>146699.92000000001</c:v>
                </c:pt>
                <c:pt idx="559">
                  <c:v>146799.92000000001</c:v>
                </c:pt>
                <c:pt idx="560">
                  <c:v>146899.92000000001</c:v>
                </c:pt>
                <c:pt idx="561">
                  <c:v>146999.92000000001</c:v>
                </c:pt>
                <c:pt idx="562">
                  <c:v>147099.92000000001</c:v>
                </c:pt>
                <c:pt idx="563">
                  <c:v>147199.92000000001</c:v>
                </c:pt>
                <c:pt idx="564">
                  <c:v>147299.92000000001</c:v>
                </c:pt>
                <c:pt idx="565">
                  <c:v>147399.92000000001</c:v>
                </c:pt>
                <c:pt idx="566">
                  <c:v>147499.92000000001</c:v>
                </c:pt>
                <c:pt idx="567">
                  <c:v>147599.92000000001</c:v>
                </c:pt>
                <c:pt idx="568">
                  <c:v>147699.92000000001</c:v>
                </c:pt>
                <c:pt idx="569">
                  <c:v>147799.92000000001</c:v>
                </c:pt>
                <c:pt idx="570">
                  <c:v>147899.92000000001</c:v>
                </c:pt>
                <c:pt idx="571">
                  <c:v>147999.92000000001</c:v>
                </c:pt>
                <c:pt idx="572">
                  <c:v>148099.92000000001</c:v>
                </c:pt>
                <c:pt idx="573">
                  <c:v>148199.92000000001</c:v>
                </c:pt>
                <c:pt idx="574">
                  <c:v>148299.92000000001</c:v>
                </c:pt>
                <c:pt idx="575">
                  <c:v>148399.92000000001</c:v>
                </c:pt>
                <c:pt idx="576">
                  <c:v>148499.92000000001</c:v>
                </c:pt>
                <c:pt idx="577">
                  <c:v>148599.92000000001</c:v>
                </c:pt>
                <c:pt idx="578">
                  <c:v>148699.92000000001</c:v>
                </c:pt>
                <c:pt idx="579">
                  <c:v>148799.92000000001</c:v>
                </c:pt>
                <c:pt idx="580">
                  <c:v>148899.92000000001</c:v>
                </c:pt>
                <c:pt idx="581">
                  <c:v>148999.92000000001</c:v>
                </c:pt>
                <c:pt idx="582">
                  <c:v>149099.92000000001</c:v>
                </c:pt>
                <c:pt idx="583">
                  <c:v>149199.92000000001</c:v>
                </c:pt>
                <c:pt idx="584">
                  <c:v>149299.92000000001</c:v>
                </c:pt>
                <c:pt idx="585">
                  <c:v>149399.92000000001</c:v>
                </c:pt>
                <c:pt idx="586">
                  <c:v>149499.92000000001</c:v>
                </c:pt>
                <c:pt idx="587">
                  <c:v>149599.92000000001</c:v>
                </c:pt>
                <c:pt idx="588">
                  <c:v>149699.92000000001</c:v>
                </c:pt>
                <c:pt idx="589">
                  <c:v>149799.92000000001</c:v>
                </c:pt>
                <c:pt idx="590">
                  <c:v>149899.92000000001</c:v>
                </c:pt>
                <c:pt idx="591">
                  <c:v>149999.92000000001</c:v>
                </c:pt>
                <c:pt idx="592">
                  <c:v>150099.92000000001</c:v>
                </c:pt>
                <c:pt idx="593">
                  <c:v>150120.79999999999</c:v>
                </c:pt>
                <c:pt idx="594">
                  <c:v>150199.92000000001</c:v>
                </c:pt>
                <c:pt idx="595">
                  <c:v>150240.79999999999</c:v>
                </c:pt>
                <c:pt idx="596">
                  <c:v>150299.92000000001</c:v>
                </c:pt>
                <c:pt idx="597">
                  <c:v>150399.92000000001</c:v>
                </c:pt>
                <c:pt idx="598">
                  <c:v>150499.92000000001</c:v>
                </c:pt>
                <c:pt idx="599">
                  <c:v>150599.92000000001</c:v>
                </c:pt>
                <c:pt idx="600">
                  <c:v>150699.92000000001</c:v>
                </c:pt>
                <c:pt idx="601">
                  <c:v>150799.92000000001</c:v>
                </c:pt>
                <c:pt idx="602">
                  <c:v>150899.92000000001</c:v>
                </c:pt>
                <c:pt idx="603">
                  <c:v>150999.92000000001</c:v>
                </c:pt>
                <c:pt idx="604">
                  <c:v>151099.92000000001</c:v>
                </c:pt>
                <c:pt idx="605">
                  <c:v>151199.92000000001</c:v>
                </c:pt>
                <c:pt idx="606">
                  <c:v>151299.92000000001</c:v>
                </c:pt>
                <c:pt idx="607">
                  <c:v>151399.92000000001</c:v>
                </c:pt>
                <c:pt idx="608">
                  <c:v>151499.92000000001</c:v>
                </c:pt>
                <c:pt idx="609">
                  <c:v>151599.92000000001</c:v>
                </c:pt>
                <c:pt idx="610">
                  <c:v>151699.92000000001</c:v>
                </c:pt>
                <c:pt idx="611">
                  <c:v>151799.92000000001</c:v>
                </c:pt>
                <c:pt idx="612">
                  <c:v>151899.92000000001</c:v>
                </c:pt>
                <c:pt idx="613">
                  <c:v>151999.92000000001</c:v>
                </c:pt>
                <c:pt idx="614">
                  <c:v>152099.92000000001</c:v>
                </c:pt>
                <c:pt idx="615">
                  <c:v>152199.92000000001</c:v>
                </c:pt>
                <c:pt idx="616">
                  <c:v>152299.92000000001</c:v>
                </c:pt>
                <c:pt idx="617">
                  <c:v>152399.92000000001</c:v>
                </c:pt>
                <c:pt idx="618">
                  <c:v>152499.92000000001</c:v>
                </c:pt>
                <c:pt idx="619">
                  <c:v>152599.92000000001</c:v>
                </c:pt>
                <c:pt idx="620">
                  <c:v>152699.92000000001</c:v>
                </c:pt>
                <c:pt idx="621">
                  <c:v>152799.92000000001</c:v>
                </c:pt>
                <c:pt idx="622">
                  <c:v>152899.92000000001</c:v>
                </c:pt>
                <c:pt idx="623">
                  <c:v>152999.92000000001</c:v>
                </c:pt>
                <c:pt idx="624">
                  <c:v>153099.92000000001</c:v>
                </c:pt>
                <c:pt idx="625">
                  <c:v>153199.92000000001</c:v>
                </c:pt>
                <c:pt idx="626">
                  <c:v>153299.92000000001</c:v>
                </c:pt>
                <c:pt idx="627">
                  <c:v>153399.92000000001</c:v>
                </c:pt>
                <c:pt idx="628">
                  <c:v>153499.92000000001</c:v>
                </c:pt>
                <c:pt idx="629">
                  <c:v>153599.92000000001</c:v>
                </c:pt>
                <c:pt idx="630">
                  <c:v>153699.92000000001</c:v>
                </c:pt>
                <c:pt idx="631">
                  <c:v>153799.92000000001</c:v>
                </c:pt>
                <c:pt idx="632">
                  <c:v>153859</c:v>
                </c:pt>
                <c:pt idx="633">
                  <c:v>153899.92000000001</c:v>
                </c:pt>
                <c:pt idx="634">
                  <c:v>153999.92000000001</c:v>
                </c:pt>
                <c:pt idx="635">
                  <c:v>154099.92000000001</c:v>
                </c:pt>
                <c:pt idx="636">
                  <c:v>154199.92000000001</c:v>
                </c:pt>
                <c:pt idx="637">
                  <c:v>154299.92000000001</c:v>
                </c:pt>
                <c:pt idx="638">
                  <c:v>154399.92000000001</c:v>
                </c:pt>
                <c:pt idx="639">
                  <c:v>154499.92000000001</c:v>
                </c:pt>
                <c:pt idx="640">
                  <c:v>154599.92000000001</c:v>
                </c:pt>
                <c:pt idx="641">
                  <c:v>154699.92000000001</c:v>
                </c:pt>
                <c:pt idx="642">
                  <c:v>154799.92000000001</c:v>
                </c:pt>
                <c:pt idx="643">
                  <c:v>154899.92000000001</c:v>
                </c:pt>
                <c:pt idx="644">
                  <c:v>154999.92000000001</c:v>
                </c:pt>
                <c:pt idx="645">
                  <c:v>155099.92000000001</c:v>
                </c:pt>
                <c:pt idx="646">
                  <c:v>155199.92000000001</c:v>
                </c:pt>
                <c:pt idx="647">
                  <c:v>155299.92000000001</c:v>
                </c:pt>
                <c:pt idx="648">
                  <c:v>155399.92000000001</c:v>
                </c:pt>
                <c:pt idx="649">
                  <c:v>155499.92000000001</c:v>
                </c:pt>
                <c:pt idx="650">
                  <c:v>155569</c:v>
                </c:pt>
                <c:pt idx="651">
                  <c:v>155599.92000000001</c:v>
                </c:pt>
                <c:pt idx="652">
                  <c:v>155699.92000000001</c:v>
                </c:pt>
                <c:pt idx="653">
                  <c:v>155799.92000000001</c:v>
                </c:pt>
                <c:pt idx="654">
                  <c:v>155899.92000000001</c:v>
                </c:pt>
                <c:pt idx="655">
                  <c:v>155999.92000000001</c:v>
                </c:pt>
                <c:pt idx="656">
                  <c:v>156099.92000000001</c:v>
                </c:pt>
                <c:pt idx="657">
                  <c:v>156199.92000000001</c:v>
                </c:pt>
                <c:pt idx="658">
                  <c:v>156299.92000000001</c:v>
                </c:pt>
                <c:pt idx="659">
                  <c:v>156399.92000000001</c:v>
                </c:pt>
                <c:pt idx="660">
                  <c:v>156499.92000000001</c:v>
                </c:pt>
                <c:pt idx="661">
                  <c:v>156599.92000000001</c:v>
                </c:pt>
                <c:pt idx="662">
                  <c:v>156699.92000000001</c:v>
                </c:pt>
                <c:pt idx="663">
                  <c:v>156799.92000000001</c:v>
                </c:pt>
                <c:pt idx="664">
                  <c:v>156899.92000000001</c:v>
                </c:pt>
                <c:pt idx="665">
                  <c:v>156999.92000000001</c:v>
                </c:pt>
                <c:pt idx="666">
                  <c:v>157099.92000000001</c:v>
                </c:pt>
                <c:pt idx="667">
                  <c:v>157199.92000000001</c:v>
                </c:pt>
                <c:pt idx="668">
                  <c:v>157299.92000000001</c:v>
                </c:pt>
                <c:pt idx="669">
                  <c:v>157399.92000000001</c:v>
                </c:pt>
                <c:pt idx="670">
                  <c:v>157499.92000000001</c:v>
                </c:pt>
                <c:pt idx="671">
                  <c:v>157599.92000000001</c:v>
                </c:pt>
                <c:pt idx="672">
                  <c:v>157699.92000000001</c:v>
                </c:pt>
                <c:pt idx="673">
                  <c:v>157799.92000000001</c:v>
                </c:pt>
                <c:pt idx="674">
                  <c:v>157899.92000000001</c:v>
                </c:pt>
                <c:pt idx="675">
                  <c:v>157999.92000000001</c:v>
                </c:pt>
                <c:pt idx="676">
                  <c:v>158099.92000000001</c:v>
                </c:pt>
                <c:pt idx="677">
                  <c:v>158199.92000000001</c:v>
                </c:pt>
                <c:pt idx="678">
                  <c:v>158299.92000000001</c:v>
                </c:pt>
                <c:pt idx="679">
                  <c:v>158399.92000000001</c:v>
                </c:pt>
                <c:pt idx="680">
                  <c:v>158499.92000000001</c:v>
                </c:pt>
                <c:pt idx="681">
                  <c:v>158599.92000000001</c:v>
                </c:pt>
                <c:pt idx="682">
                  <c:v>158699.92000000001</c:v>
                </c:pt>
                <c:pt idx="683">
                  <c:v>158737.4</c:v>
                </c:pt>
                <c:pt idx="684">
                  <c:v>158799.92000000001</c:v>
                </c:pt>
                <c:pt idx="685">
                  <c:v>158897.4</c:v>
                </c:pt>
                <c:pt idx="686">
                  <c:v>158899.92000000001</c:v>
                </c:pt>
                <c:pt idx="687">
                  <c:v>158999.92000000001</c:v>
                </c:pt>
                <c:pt idx="688">
                  <c:v>159099.92000000001</c:v>
                </c:pt>
                <c:pt idx="689">
                  <c:v>159199.92000000001</c:v>
                </c:pt>
                <c:pt idx="690">
                  <c:v>159299.92000000001</c:v>
                </c:pt>
                <c:pt idx="691">
                  <c:v>159399.92000000001</c:v>
                </c:pt>
                <c:pt idx="692">
                  <c:v>159499.92000000001</c:v>
                </c:pt>
                <c:pt idx="693">
                  <c:v>159523.79999999999</c:v>
                </c:pt>
                <c:pt idx="694">
                  <c:v>159599.92000000001</c:v>
                </c:pt>
                <c:pt idx="695">
                  <c:v>159643.79999999999</c:v>
                </c:pt>
                <c:pt idx="696">
                  <c:v>159699.92000000001</c:v>
                </c:pt>
                <c:pt idx="697">
                  <c:v>159799.92000000001</c:v>
                </c:pt>
                <c:pt idx="698">
                  <c:v>159899.92000000001</c:v>
                </c:pt>
                <c:pt idx="699">
                  <c:v>159999.92000000001</c:v>
                </c:pt>
                <c:pt idx="700">
                  <c:v>160099.92000000001</c:v>
                </c:pt>
                <c:pt idx="701">
                  <c:v>160199.92000000001</c:v>
                </c:pt>
                <c:pt idx="702">
                  <c:v>160299.92000000001</c:v>
                </c:pt>
                <c:pt idx="703">
                  <c:v>160399.92000000001</c:v>
                </c:pt>
                <c:pt idx="704">
                  <c:v>160499.92000000001</c:v>
                </c:pt>
                <c:pt idx="705">
                  <c:v>160599.92000000001</c:v>
                </c:pt>
                <c:pt idx="706">
                  <c:v>160699.92000000001</c:v>
                </c:pt>
                <c:pt idx="707">
                  <c:v>160799.92000000001</c:v>
                </c:pt>
                <c:pt idx="708">
                  <c:v>160899.92000000001</c:v>
                </c:pt>
                <c:pt idx="709">
                  <c:v>160999.92000000001</c:v>
                </c:pt>
                <c:pt idx="710">
                  <c:v>161099.92000000001</c:v>
                </c:pt>
                <c:pt idx="711">
                  <c:v>161199.92000000001</c:v>
                </c:pt>
                <c:pt idx="712">
                  <c:v>161299.92000000001</c:v>
                </c:pt>
                <c:pt idx="713">
                  <c:v>161399.92000000001</c:v>
                </c:pt>
                <c:pt idx="714">
                  <c:v>161499.92000000001</c:v>
                </c:pt>
                <c:pt idx="715">
                  <c:v>161599.92000000001</c:v>
                </c:pt>
                <c:pt idx="716">
                  <c:v>161699.92000000001</c:v>
                </c:pt>
                <c:pt idx="717">
                  <c:v>161799.92000000001</c:v>
                </c:pt>
                <c:pt idx="718">
                  <c:v>161899.92000000001</c:v>
                </c:pt>
                <c:pt idx="719">
                  <c:v>161999.92000000001</c:v>
                </c:pt>
                <c:pt idx="720">
                  <c:v>162099.92000000001</c:v>
                </c:pt>
                <c:pt idx="721">
                  <c:v>162199.92000000001</c:v>
                </c:pt>
                <c:pt idx="722">
                  <c:v>162299.92000000001</c:v>
                </c:pt>
                <c:pt idx="723">
                  <c:v>162399.92000000001</c:v>
                </c:pt>
                <c:pt idx="724">
                  <c:v>162499.92000000001</c:v>
                </c:pt>
                <c:pt idx="725">
                  <c:v>162599.92000000001</c:v>
                </c:pt>
                <c:pt idx="726">
                  <c:v>162699.92000000001</c:v>
                </c:pt>
                <c:pt idx="727">
                  <c:v>162799.92000000001</c:v>
                </c:pt>
                <c:pt idx="728">
                  <c:v>162899.92000000001</c:v>
                </c:pt>
                <c:pt idx="729">
                  <c:v>162999.92000000001</c:v>
                </c:pt>
                <c:pt idx="730">
                  <c:v>163099.92000000001</c:v>
                </c:pt>
                <c:pt idx="731">
                  <c:v>163199.92000000001</c:v>
                </c:pt>
                <c:pt idx="732">
                  <c:v>163299.92000000001</c:v>
                </c:pt>
                <c:pt idx="733">
                  <c:v>163399.92000000001</c:v>
                </c:pt>
                <c:pt idx="734">
                  <c:v>163499.92000000001</c:v>
                </c:pt>
                <c:pt idx="735">
                  <c:v>163599.92000000001</c:v>
                </c:pt>
                <c:pt idx="736">
                  <c:v>163699.92000000001</c:v>
                </c:pt>
                <c:pt idx="737">
                  <c:v>163799.92000000001</c:v>
                </c:pt>
                <c:pt idx="738">
                  <c:v>163899.92000000001</c:v>
                </c:pt>
                <c:pt idx="739">
                  <c:v>163999.92000000001</c:v>
                </c:pt>
                <c:pt idx="740">
                  <c:v>164099.92000000001</c:v>
                </c:pt>
                <c:pt idx="741">
                  <c:v>164199.92000000001</c:v>
                </c:pt>
                <c:pt idx="742">
                  <c:v>164299.92000000001</c:v>
                </c:pt>
                <c:pt idx="743">
                  <c:v>164399.92000000001</c:v>
                </c:pt>
                <c:pt idx="744">
                  <c:v>164499.92000000001</c:v>
                </c:pt>
                <c:pt idx="745">
                  <c:v>164599.92000000001</c:v>
                </c:pt>
                <c:pt idx="746">
                  <c:v>164699.92000000001</c:v>
                </c:pt>
                <c:pt idx="747">
                  <c:v>164799.92000000001</c:v>
                </c:pt>
                <c:pt idx="748">
                  <c:v>164899.92000000001</c:v>
                </c:pt>
                <c:pt idx="749">
                  <c:v>164999.92000000001</c:v>
                </c:pt>
                <c:pt idx="750">
                  <c:v>165099.92000000001</c:v>
                </c:pt>
                <c:pt idx="751">
                  <c:v>165199.92000000001</c:v>
                </c:pt>
                <c:pt idx="752">
                  <c:v>165257.4</c:v>
                </c:pt>
                <c:pt idx="753">
                  <c:v>165299.92000000001</c:v>
                </c:pt>
                <c:pt idx="754">
                  <c:v>165399.92000000001</c:v>
                </c:pt>
                <c:pt idx="755">
                  <c:v>165457.4</c:v>
                </c:pt>
                <c:pt idx="756">
                  <c:v>165499.92000000001</c:v>
                </c:pt>
                <c:pt idx="757">
                  <c:v>165599.92000000001</c:v>
                </c:pt>
                <c:pt idx="758">
                  <c:v>165699.92000000001</c:v>
                </c:pt>
                <c:pt idx="759">
                  <c:v>165799.92000000001</c:v>
                </c:pt>
                <c:pt idx="760">
                  <c:v>165899.92000000001</c:v>
                </c:pt>
                <c:pt idx="761">
                  <c:v>165999.92000000001</c:v>
                </c:pt>
                <c:pt idx="762">
                  <c:v>166099.92000000001</c:v>
                </c:pt>
                <c:pt idx="763">
                  <c:v>166199.92000000001</c:v>
                </c:pt>
                <c:pt idx="764">
                  <c:v>166299.92000000001</c:v>
                </c:pt>
                <c:pt idx="765">
                  <c:v>166399.92000000001</c:v>
                </c:pt>
                <c:pt idx="766">
                  <c:v>166499.92000000001</c:v>
                </c:pt>
                <c:pt idx="767">
                  <c:v>166599.92000000001</c:v>
                </c:pt>
                <c:pt idx="768">
                  <c:v>166699.92000000001</c:v>
                </c:pt>
                <c:pt idx="769">
                  <c:v>166799.92000000001</c:v>
                </c:pt>
                <c:pt idx="770">
                  <c:v>166899.92000000001</c:v>
                </c:pt>
                <c:pt idx="771">
                  <c:v>166999.92000000001</c:v>
                </c:pt>
                <c:pt idx="772">
                  <c:v>167099.92000000001</c:v>
                </c:pt>
                <c:pt idx="773">
                  <c:v>167199.92000000001</c:v>
                </c:pt>
                <c:pt idx="774">
                  <c:v>167299.92000000001</c:v>
                </c:pt>
                <c:pt idx="775">
                  <c:v>167399.92000000001</c:v>
                </c:pt>
                <c:pt idx="776">
                  <c:v>167499.92000000001</c:v>
                </c:pt>
                <c:pt idx="777">
                  <c:v>167599.92000000001</c:v>
                </c:pt>
                <c:pt idx="778">
                  <c:v>167699.92000000001</c:v>
                </c:pt>
                <c:pt idx="779">
                  <c:v>167799.92</c:v>
                </c:pt>
                <c:pt idx="780">
                  <c:v>167899.92</c:v>
                </c:pt>
                <c:pt idx="781">
                  <c:v>167947</c:v>
                </c:pt>
                <c:pt idx="782">
                  <c:v>167999.92</c:v>
                </c:pt>
                <c:pt idx="783">
                  <c:v>168022</c:v>
                </c:pt>
                <c:pt idx="784">
                  <c:v>168099.92</c:v>
                </c:pt>
                <c:pt idx="785">
                  <c:v>168199.92</c:v>
                </c:pt>
                <c:pt idx="786">
                  <c:v>168244.4</c:v>
                </c:pt>
                <c:pt idx="787">
                  <c:v>168299.92</c:v>
                </c:pt>
                <c:pt idx="788">
                  <c:v>168399.92</c:v>
                </c:pt>
                <c:pt idx="789">
                  <c:v>168499.92</c:v>
                </c:pt>
                <c:pt idx="790">
                  <c:v>168599.92</c:v>
                </c:pt>
                <c:pt idx="791">
                  <c:v>168624.4</c:v>
                </c:pt>
                <c:pt idx="792">
                  <c:v>168699.92</c:v>
                </c:pt>
                <c:pt idx="793">
                  <c:v>168799.92</c:v>
                </c:pt>
                <c:pt idx="794">
                  <c:v>168899.92</c:v>
                </c:pt>
                <c:pt idx="795">
                  <c:v>168999.92</c:v>
                </c:pt>
                <c:pt idx="796">
                  <c:v>169099.92</c:v>
                </c:pt>
                <c:pt idx="797">
                  <c:v>169199.92</c:v>
                </c:pt>
                <c:pt idx="798">
                  <c:v>169299.92</c:v>
                </c:pt>
                <c:pt idx="799">
                  <c:v>169399.92</c:v>
                </c:pt>
                <c:pt idx="800">
                  <c:v>169499.92</c:v>
                </c:pt>
                <c:pt idx="801">
                  <c:v>169599.92</c:v>
                </c:pt>
                <c:pt idx="802">
                  <c:v>169699.92</c:v>
                </c:pt>
                <c:pt idx="803">
                  <c:v>169799.92</c:v>
                </c:pt>
                <c:pt idx="804">
                  <c:v>169899.92</c:v>
                </c:pt>
                <c:pt idx="805">
                  <c:v>169999.92</c:v>
                </c:pt>
                <c:pt idx="806">
                  <c:v>170099.92</c:v>
                </c:pt>
                <c:pt idx="807">
                  <c:v>170199.92</c:v>
                </c:pt>
                <c:pt idx="808">
                  <c:v>170299.92</c:v>
                </c:pt>
                <c:pt idx="809">
                  <c:v>170399.92</c:v>
                </c:pt>
                <c:pt idx="810">
                  <c:v>170499.92</c:v>
                </c:pt>
                <c:pt idx="811">
                  <c:v>170599.92</c:v>
                </c:pt>
                <c:pt idx="812">
                  <c:v>170699.92</c:v>
                </c:pt>
                <c:pt idx="813">
                  <c:v>170799.92</c:v>
                </c:pt>
                <c:pt idx="814">
                  <c:v>170899.92</c:v>
                </c:pt>
                <c:pt idx="815">
                  <c:v>170999.92</c:v>
                </c:pt>
                <c:pt idx="816">
                  <c:v>171099.92</c:v>
                </c:pt>
                <c:pt idx="817">
                  <c:v>171199.92</c:v>
                </c:pt>
                <c:pt idx="818">
                  <c:v>171299.92</c:v>
                </c:pt>
                <c:pt idx="819">
                  <c:v>171399.92</c:v>
                </c:pt>
                <c:pt idx="820">
                  <c:v>171499.92</c:v>
                </c:pt>
                <c:pt idx="821">
                  <c:v>171599.92</c:v>
                </c:pt>
                <c:pt idx="822">
                  <c:v>171699.92</c:v>
                </c:pt>
                <c:pt idx="823">
                  <c:v>171799.92</c:v>
                </c:pt>
                <c:pt idx="824">
                  <c:v>171899.92</c:v>
                </c:pt>
                <c:pt idx="825">
                  <c:v>171999.92</c:v>
                </c:pt>
                <c:pt idx="826">
                  <c:v>172099.92</c:v>
                </c:pt>
                <c:pt idx="827">
                  <c:v>172199.92</c:v>
                </c:pt>
                <c:pt idx="828">
                  <c:v>172299.92</c:v>
                </c:pt>
                <c:pt idx="829">
                  <c:v>172399.92</c:v>
                </c:pt>
                <c:pt idx="830">
                  <c:v>172499.92</c:v>
                </c:pt>
                <c:pt idx="831">
                  <c:v>172599.92</c:v>
                </c:pt>
                <c:pt idx="832">
                  <c:v>172699.92</c:v>
                </c:pt>
                <c:pt idx="833">
                  <c:v>172799.92</c:v>
                </c:pt>
                <c:pt idx="834">
                  <c:v>172899.92</c:v>
                </c:pt>
                <c:pt idx="835">
                  <c:v>172999.92</c:v>
                </c:pt>
                <c:pt idx="836">
                  <c:v>173099.92</c:v>
                </c:pt>
                <c:pt idx="837">
                  <c:v>173199.92</c:v>
                </c:pt>
                <c:pt idx="838">
                  <c:v>173299.92</c:v>
                </c:pt>
                <c:pt idx="839">
                  <c:v>173399.92</c:v>
                </c:pt>
                <c:pt idx="840">
                  <c:v>173499.92</c:v>
                </c:pt>
                <c:pt idx="841">
                  <c:v>173599.92</c:v>
                </c:pt>
                <c:pt idx="842">
                  <c:v>173699.92</c:v>
                </c:pt>
                <c:pt idx="843">
                  <c:v>173799.92</c:v>
                </c:pt>
                <c:pt idx="844">
                  <c:v>173899.92</c:v>
                </c:pt>
                <c:pt idx="845">
                  <c:v>173999.92</c:v>
                </c:pt>
                <c:pt idx="846">
                  <c:v>174099.92</c:v>
                </c:pt>
                <c:pt idx="847">
                  <c:v>174199.92</c:v>
                </c:pt>
                <c:pt idx="848">
                  <c:v>174233.5</c:v>
                </c:pt>
                <c:pt idx="849">
                  <c:v>174299.92</c:v>
                </c:pt>
                <c:pt idx="850">
                  <c:v>174313.5</c:v>
                </c:pt>
                <c:pt idx="851">
                  <c:v>174399.92</c:v>
                </c:pt>
                <c:pt idx="852">
                  <c:v>174499.92</c:v>
                </c:pt>
                <c:pt idx="853">
                  <c:v>174599.92</c:v>
                </c:pt>
                <c:pt idx="854">
                  <c:v>174699.92</c:v>
                </c:pt>
                <c:pt idx="855">
                  <c:v>174799.92</c:v>
                </c:pt>
                <c:pt idx="856">
                  <c:v>174899.92</c:v>
                </c:pt>
                <c:pt idx="857">
                  <c:v>174999.92</c:v>
                </c:pt>
                <c:pt idx="858">
                  <c:v>175099.92</c:v>
                </c:pt>
                <c:pt idx="859">
                  <c:v>175199.92</c:v>
                </c:pt>
                <c:pt idx="860">
                  <c:v>175299.92</c:v>
                </c:pt>
                <c:pt idx="861">
                  <c:v>175399.92</c:v>
                </c:pt>
                <c:pt idx="862">
                  <c:v>175499.92</c:v>
                </c:pt>
                <c:pt idx="863">
                  <c:v>175599.92</c:v>
                </c:pt>
                <c:pt idx="864">
                  <c:v>175699.92</c:v>
                </c:pt>
                <c:pt idx="865">
                  <c:v>175799.92</c:v>
                </c:pt>
                <c:pt idx="866">
                  <c:v>175899.92</c:v>
                </c:pt>
                <c:pt idx="867">
                  <c:v>175999.92</c:v>
                </c:pt>
                <c:pt idx="868">
                  <c:v>176099.92</c:v>
                </c:pt>
                <c:pt idx="869">
                  <c:v>176199.92</c:v>
                </c:pt>
                <c:pt idx="870">
                  <c:v>176299.92</c:v>
                </c:pt>
                <c:pt idx="871">
                  <c:v>176399.92</c:v>
                </c:pt>
                <c:pt idx="872">
                  <c:v>176499.92</c:v>
                </c:pt>
                <c:pt idx="873">
                  <c:v>176599.92</c:v>
                </c:pt>
                <c:pt idx="874">
                  <c:v>176699.92</c:v>
                </c:pt>
                <c:pt idx="875">
                  <c:v>176714</c:v>
                </c:pt>
                <c:pt idx="876">
                  <c:v>176794</c:v>
                </c:pt>
                <c:pt idx="877">
                  <c:v>176799.92</c:v>
                </c:pt>
                <c:pt idx="878">
                  <c:v>176899.92</c:v>
                </c:pt>
                <c:pt idx="879">
                  <c:v>176999.92</c:v>
                </c:pt>
                <c:pt idx="880">
                  <c:v>177099.92</c:v>
                </c:pt>
                <c:pt idx="881">
                  <c:v>177199.92</c:v>
                </c:pt>
                <c:pt idx="882">
                  <c:v>177299.92</c:v>
                </c:pt>
                <c:pt idx="883">
                  <c:v>177399.92</c:v>
                </c:pt>
                <c:pt idx="884">
                  <c:v>177499.92</c:v>
                </c:pt>
                <c:pt idx="885">
                  <c:v>177599.92</c:v>
                </c:pt>
                <c:pt idx="886">
                  <c:v>177699.92</c:v>
                </c:pt>
                <c:pt idx="887">
                  <c:v>177799.92</c:v>
                </c:pt>
                <c:pt idx="888">
                  <c:v>177899.92</c:v>
                </c:pt>
                <c:pt idx="889">
                  <c:v>177999.92</c:v>
                </c:pt>
                <c:pt idx="890">
                  <c:v>178099.92</c:v>
                </c:pt>
                <c:pt idx="891">
                  <c:v>178199.92</c:v>
                </c:pt>
                <c:pt idx="892">
                  <c:v>178299.92</c:v>
                </c:pt>
                <c:pt idx="893">
                  <c:v>178399.92</c:v>
                </c:pt>
                <c:pt idx="894">
                  <c:v>178499.92</c:v>
                </c:pt>
                <c:pt idx="895">
                  <c:v>178599.92</c:v>
                </c:pt>
                <c:pt idx="896">
                  <c:v>178699.92</c:v>
                </c:pt>
                <c:pt idx="897">
                  <c:v>178799.92</c:v>
                </c:pt>
                <c:pt idx="898">
                  <c:v>178864.3</c:v>
                </c:pt>
                <c:pt idx="899">
                  <c:v>178899.92</c:v>
                </c:pt>
                <c:pt idx="900">
                  <c:v>178999.92</c:v>
                </c:pt>
                <c:pt idx="901">
                  <c:v>179099.92</c:v>
                </c:pt>
                <c:pt idx="902">
                  <c:v>179104.3</c:v>
                </c:pt>
                <c:pt idx="903">
                  <c:v>179199.92</c:v>
                </c:pt>
                <c:pt idx="904">
                  <c:v>179299.92</c:v>
                </c:pt>
                <c:pt idx="905">
                  <c:v>179399.92</c:v>
                </c:pt>
                <c:pt idx="906">
                  <c:v>179499.92</c:v>
                </c:pt>
                <c:pt idx="907">
                  <c:v>179599.92</c:v>
                </c:pt>
                <c:pt idx="908">
                  <c:v>179699.92</c:v>
                </c:pt>
                <c:pt idx="909">
                  <c:v>179799.92</c:v>
                </c:pt>
                <c:pt idx="910">
                  <c:v>179899.92</c:v>
                </c:pt>
                <c:pt idx="911">
                  <c:v>179999.92</c:v>
                </c:pt>
                <c:pt idx="912">
                  <c:v>180099.92</c:v>
                </c:pt>
                <c:pt idx="913">
                  <c:v>180199.92</c:v>
                </c:pt>
                <c:pt idx="914">
                  <c:v>180299.92</c:v>
                </c:pt>
                <c:pt idx="915">
                  <c:v>180399.92</c:v>
                </c:pt>
                <c:pt idx="916">
                  <c:v>180499.92</c:v>
                </c:pt>
                <c:pt idx="917">
                  <c:v>180599.92</c:v>
                </c:pt>
                <c:pt idx="918">
                  <c:v>180699.92</c:v>
                </c:pt>
                <c:pt idx="919">
                  <c:v>180799.92</c:v>
                </c:pt>
                <c:pt idx="920">
                  <c:v>180899.92</c:v>
                </c:pt>
                <c:pt idx="921">
                  <c:v>180999.92</c:v>
                </c:pt>
                <c:pt idx="922">
                  <c:v>181099.92</c:v>
                </c:pt>
                <c:pt idx="923">
                  <c:v>181199.92</c:v>
                </c:pt>
                <c:pt idx="924">
                  <c:v>181299.92</c:v>
                </c:pt>
                <c:pt idx="925">
                  <c:v>181399.92</c:v>
                </c:pt>
                <c:pt idx="926">
                  <c:v>181499.92</c:v>
                </c:pt>
                <c:pt idx="927">
                  <c:v>181599.92</c:v>
                </c:pt>
                <c:pt idx="928">
                  <c:v>181699.92</c:v>
                </c:pt>
                <c:pt idx="929">
                  <c:v>181799.92</c:v>
                </c:pt>
                <c:pt idx="930">
                  <c:v>181899.92</c:v>
                </c:pt>
                <c:pt idx="931">
                  <c:v>181999.92</c:v>
                </c:pt>
                <c:pt idx="932">
                  <c:v>182099.92</c:v>
                </c:pt>
                <c:pt idx="933">
                  <c:v>182199.92</c:v>
                </c:pt>
                <c:pt idx="934">
                  <c:v>182250</c:v>
                </c:pt>
                <c:pt idx="935">
                  <c:v>182299.92</c:v>
                </c:pt>
                <c:pt idx="936">
                  <c:v>182399.92</c:v>
                </c:pt>
                <c:pt idx="937">
                  <c:v>182450</c:v>
                </c:pt>
                <c:pt idx="938">
                  <c:v>182499.92</c:v>
                </c:pt>
                <c:pt idx="939">
                  <c:v>182599.92</c:v>
                </c:pt>
                <c:pt idx="940">
                  <c:v>182699.92</c:v>
                </c:pt>
                <c:pt idx="941">
                  <c:v>182799.92</c:v>
                </c:pt>
                <c:pt idx="942">
                  <c:v>182899.92</c:v>
                </c:pt>
                <c:pt idx="943">
                  <c:v>182999.92</c:v>
                </c:pt>
                <c:pt idx="944">
                  <c:v>183099.92</c:v>
                </c:pt>
                <c:pt idx="945">
                  <c:v>183199.92</c:v>
                </c:pt>
                <c:pt idx="946">
                  <c:v>183299.92</c:v>
                </c:pt>
                <c:pt idx="947">
                  <c:v>183399.92</c:v>
                </c:pt>
                <c:pt idx="948">
                  <c:v>183499.92</c:v>
                </c:pt>
                <c:pt idx="949">
                  <c:v>183599.92</c:v>
                </c:pt>
                <c:pt idx="950">
                  <c:v>183699.92</c:v>
                </c:pt>
                <c:pt idx="951">
                  <c:v>183799.92</c:v>
                </c:pt>
                <c:pt idx="952">
                  <c:v>183899.92</c:v>
                </c:pt>
                <c:pt idx="953">
                  <c:v>183999.92</c:v>
                </c:pt>
                <c:pt idx="954">
                  <c:v>184099.92</c:v>
                </c:pt>
                <c:pt idx="955">
                  <c:v>184199.92</c:v>
                </c:pt>
                <c:pt idx="956">
                  <c:v>184299.92</c:v>
                </c:pt>
                <c:pt idx="957">
                  <c:v>184399.92</c:v>
                </c:pt>
                <c:pt idx="958">
                  <c:v>184499.92</c:v>
                </c:pt>
                <c:pt idx="959">
                  <c:v>184599.92</c:v>
                </c:pt>
                <c:pt idx="960">
                  <c:v>184699.92</c:v>
                </c:pt>
                <c:pt idx="961">
                  <c:v>184799.92</c:v>
                </c:pt>
                <c:pt idx="962">
                  <c:v>184899.92</c:v>
                </c:pt>
                <c:pt idx="963">
                  <c:v>184999.92</c:v>
                </c:pt>
                <c:pt idx="964">
                  <c:v>185099.92</c:v>
                </c:pt>
                <c:pt idx="965">
                  <c:v>185199.92</c:v>
                </c:pt>
                <c:pt idx="966">
                  <c:v>185299.92</c:v>
                </c:pt>
                <c:pt idx="967">
                  <c:v>185399.92</c:v>
                </c:pt>
                <c:pt idx="968">
                  <c:v>185499.92</c:v>
                </c:pt>
                <c:pt idx="969">
                  <c:v>185599.92</c:v>
                </c:pt>
                <c:pt idx="970">
                  <c:v>185699.92</c:v>
                </c:pt>
                <c:pt idx="971">
                  <c:v>185799.92</c:v>
                </c:pt>
                <c:pt idx="972">
                  <c:v>185899.92</c:v>
                </c:pt>
                <c:pt idx="973">
                  <c:v>185999.92</c:v>
                </c:pt>
                <c:pt idx="974">
                  <c:v>186099.92</c:v>
                </c:pt>
                <c:pt idx="975">
                  <c:v>186199.92</c:v>
                </c:pt>
                <c:pt idx="976">
                  <c:v>186299.92</c:v>
                </c:pt>
                <c:pt idx="977">
                  <c:v>186399.92</c:v>
                </c:pt>
                <c:pt idx="978">
                  <c:v>186499.92</c:v>
                </c:pt>
                <c:pt idx="979">
                  <c:v>186599.92</c:v>
                </c:pt>
                <c:pt idx="980">
                  <c:v>186699.92</c:v>
                </c:pt>
                <c:pt idx="981">
                  <c:v>186799.92</c:v>
                </c:pt>
                <c:pt idx="982">
                  <c:v>186876.3</c:v>
                </c:pt>
                <c:pt idx="983">
                  <c:v>186899.92</c:v>
                </c:pt>
                <c:pt idx="984">
                  <c:v>186996.3</c:v>
                </c:pt>
                <c:pt idx="985">
                  <c:v>186999.92</c:v>
                </c:pt>
                <c:pt idx="986">
                  <c:v>187099.92</c:v>
                </c:pt>
                <c:pt idx="987">
                  <c:v>187199.92</c:v>
                </c:pt>
                <c:pt idx="988">
                  <c:v>187299.92</c:v>
                </c:pt>
                <c:pt idx="989">
                  <c:v>187399.92</c:v>
                </c:pt>
                <c:pt idx="990">
                  <c:v>187499.92</c:v>
                </c:pt>
                <c:pt idx="991">
                  <c:v>187599.92</c:v>
                </c:pt>
                <c:pt idx="992">
                  <c:v>187699.92</c:v>
                </c:pt>
                <c:pt idx="993">
                  <c:v>187799.92</c:v>
                </c:pt>
                <c:pt idx="994">
                  <c:v>187899.92</c:v>
                </c:pt>
                <c:pt idx="995">
                  <c:v>187999.92</c:v>
                </c:pt>
                <c:pt idx="996">
                  <c:v>188099.92</c:v>
                </c:pt>
                <c:pt idx="997">
                  <c:v>188199.92</c:v>
                </c:pt>
                <c:pt idx="998">
                  <c:v>188299.92</c:v>
                </c:pt>
                <c:pt idx="999">
                  <c:v>188399.92</c:v>
                </c:pt>
                <c:pt idx="1000">
                  <c:v>188499.92</c:v>
                </c:pt>
                <c:pt idx="1001">
                  <c:v>188599.92</c:v>
                </c:pt>
                <c:pt idx="1002">
                  <c:v>188699.92</c:v>
                </c:pt>
                <c:pt idx="1003">
                  <c:v>188794.6</c:v>
                </c:pt>
                <c:pt idx="1004">
                  <c:v>188799.92</c:v>
                </c:pt>
                <c:pt idx="1005">
                  <c:v>188874.6</c:v>
                </c:pt>
                <c:pt idx="1006">
                  <c:v>188899.92</c:v>
                </c:pt>
                <c:pt idx="1007">
                  <c:v>188999.92</c:v>
                </c:pt>
                <c:pt idx="1008">
                  <c:v>189099.92</c:v>
                </c:pt>
                <c:pt idx="1009">
                  <c:v>189199.92</c:v>
                </c:pt>
                <c:pt idx="1010">
                  <c:v>189299.92</c:v>
                </c:pt>
                <c:pt idx="1011">
                  <c:v>189399.92</c:v>
                </c:pt>
                <c:pt idx="1012">
                  <c:v>189499.92</c:v>
                </c:pt>
                <c:pt idx="1013">
                  <c:v>189599.92</c:v>
                </c:pt>
                <c:pt idx="1014">
                  <c:v>189699.92</c:v>
                </c:pt>
                <c:pt idx="1015">
                  <c:v>189799.92</c:v>
                </c:pt>
                <c:pt idx="1016">
                  <c:v>189899.92</c:v>
                </c:pt>
                <c:pt idx="1017">
                  <c:v>189999.92</c:v>
                </c:pt>
                <c:pt idx="1018">
                  <c:v>190099.92</c:v>
                </c:pt>
                <c:pt idx="1019">
                  <c:v>190199.92</c:v>
                </c:pt>
                <c:pt idx="1020">
                  <c:v>190299.92</c:v>
                </c:pt>
                <c:pt idx="1021">
                  <c:v>190399.92</c:v>
                </c:pt>
                <c:pt idx="1022">
                  <c:v>190499.92</c:v>
                </c:pt>
                <c:pt idx="1023">
                  <c:v>190599.92</c:v>
                </c:pt>
                <c:pt idx="1024">
                  <c:v>190699.92</c:v>
                </c:pt>
                <c:pt idx="1025">
                  <c:v>190799.92</c:v>
                </c:pt>
                <c:pt idx="1026">
                  <c:v>190899.92</c:v>
                </c:pt>
                <c:pt idx="1027">
                  <c:v>190999.92</c:v>
                </c:pt>
                <c:pt idx="1028">
                  <c:v>191099.92</c:v>
                </c:pt>
                <c:pt idx="1029">
                  <c:v>191199.92</c:v>
                </c:pt>
                <c:pt idx="1030">
                  <c:v>191299.92</c:v>
                </c:pt>
                <c:pt idx="1031">
                  <c:v>191399.92</c:v>
                </c:pt>
                <c:pt idx="1032">
                  <c:v>191499.92</c:v>
                </c:pt>
                <c:pt idx="1033">
                  <c:v>191599.92</c:v>
                </c:pt>
                <c:pt idx="1034">
                  <c:v>191699.92</c:v>
                </c:pt>
                <c:pt idx="1035">
                  <c:v>191799.92</c:v>
                </c:pt>
                <c:pt idx="1036">
                  <c:v>191899.92</c:v>
                </c:pt>
                <c:pt idx="1037">
                  <c:v>191999.92</c:v>
                </c:pt>
                <c:pt idx="1038">
                  <c:v>192099.92</c:v>
                </c:pt>
                <c:pt idx="1039">
                  <c:v>192199.92</c:v>
                </c:pt>
                <c:pt idx="1040">
                  <c:v>192299.92</c:v>
                </c:pt>
                <c:pt idx="1041">
                  <c:v>192399.92</c:v>
                </c:pt>
                <c:pt idx="1042">
                  <c:v>192499.92</c:v>
                </c:pt>
                <c:pt idx="1043">
                  <c:v>192599.92</c:v>
                </c:pt>
                <c:pt idx="1044">
                  <c:v>192699.92</c:v>
                </c:pt>
                <c:pt idx="1045">
                  <c:v>192799.92</c:v>
                </c:pt>
                <c:pt idx="1046">
                  <c:v>192899.92</c:v>
                </c:pt>
                <c:pt idx="1047">
                  <c:v>192999.92</c:v>
                </c:pt>
                <c:pt idx="1048">
                  <c:v>193099.92</c:v>
                </c:pt>
                <c:pt idx="1049">
                  <c:v>193199.92</c:v>
                </c:pt>
                <c:pt idx="1050">
                  <c:v>193299.92</c:v>
                </c:pt>
                <c:pt idx="1051">
                  <c:v>193399.92</c:v>
                </c:pt>
                <c:pt idx="1052">
                  <c:v>193499.92</c:v>
                </c:pt>
                <c:pt idx="1053">
                  <c:v>193599.92</c:v>
                </c:pt>
                <c:pt idx="1054">
                  <c:v>193699.92</c:v>
                </c:pt>
                <c:pt idx="1055">
                  <c:v>193799.92</c:v>
                </c:pt>
                <c:pt idx="1056">
                  <c:v>193899.92</c:v>
                </c:pt>
                <c:pt idx="1057">
                  <c:v>193999.92</c:v>
                </c:pt>
                <c:pt idx="1058">
                  <c:v>194099.92</c:v>
                </c:pt>
                <c:pt idx="1059">
                  <c:v>194199.92</c:v>
                </c:pt>
                <c:pt idx="1060">
                  <c:v>194299.92</c:v>
                </c:pt>
                <c:pt idx="1061">
                  <c:v>194399.92</c:v>
                </c:pt>
                <c:pt idx="1062">
                  <c:v>194499.92</c:v>
                </c:pt>
                <c:pt idx="1063">
                  <c:v>194599.92</c:v>
                </c:pt>
                <c:pt idx="1064">
                  <c:v>194699.92</c:v>
                </c:pt>
                <c:pt idx="1065">
                  <c:v>194799.92</c:v>
                </c:pt>
                <c:pt idx="1066">
                  <c:v>194899.92</c:v>
                </c:pt>
                <c:pt idx="1067">
                  <c:v>194999.92</c:v>
                </c:pt>
                <c:pt idx="1068">
                  <c:v>195099.92</c:v>
                </c:pt>
                <c:pt idx="1069">
                  <c:v>195199.92</c:v>
                </c:pt>
                <c:pt idx="1070">
                  <c:v>195299.92</c:v>
                </c:pt>
                <c:pt idx="1071">
                  <c:v>195399.92</c:v>
                </c:pt>
                <c:pt idx="1072">
                  <c:v>195499.92</c:v>
                </c:pt>
                <c:pt idx="1073">
                  <c:v>195599.92</c:v>
                </c:pt>
                <c:pt idx="1074">
                  <c:v>195699.92</c:v>
                </c:pt>
                <c:pt idx="1075">
                  <c:v>195799.92</c:v>
                </c:pt>
                <c:pt idx="1076">
                  <c:v>195899.92</c:v>
                </c:pt>
                <c:pt idx="1077">
                  <c:v>195999.92</c:v>
                </c:pt>
                <c:pt idx="1078">
                  <c:v>196099.92</c:v>
                </c:pt>
                <c:pt idx="1079">
                  <c:v>196199.92</c:v>
                </c:pt>
                <c:pt idx="1080">
                  <c:v>196299.92</c:v>
                </c:pt>
                <c:pt idx="1081">
                  <c:v>196399.92</c:v>
                </c:pt>
                <c:pt idx="1082">
                  <c:v>196499.92</c:v>
                </c:pt>
                <c:pt idx="1083">
                  <c:v>196535.5</c:v>
                </c:pt>
                <c:pt idx="1084">
                  <c:v>196599.92</c:v>
                </c:pt>
                <c:pt idx="1085">
                  <c:v>196695.5</c:v>
                </c:pt>
                <c:pt idx="1086">
                  <c:v>196699.92</c:v>
                </c:pt>
                <c:pt idx="1087">
                  <c:v>196799.92</c:v>
                </c:pt>
                <c:pt idx="1088">
                  <c:v>196899.92</c:v>
                </c:pt>
                <c:pt idx="1089">
                  <c:v>196999.92</c:v>
                </c:pt>
                <c:pt idx="1090">
                  <c:v>197099.92</c:v>
                </c:pt>
                <c:pt idx="1091">
                  <c:v>197199.92</c:v>
                </c:pt>
                <c:pt idx="1092">
                  <c:v>197299.92</c:v>
                </c:pt>
                <c:pt idx="1093">
                  <c:v>197399.92</c:v>
                </c:pt>
                <c:pt idx="1094">
                  <c:v>197499.92</c:v>
                </c:pt>
                <c:pt idx="1095">
                  <c:v>197599.92</c:v>
                </c:pt>
                <c:pt idx="1096">
                  <c:v>197699.92</c:v>
                </c:pt>
                <c:pt idx="1097">
                  <c:v>197799.92</c:v>
                </c:pt>
                <c:pt idx="1098">
                  <c:v>197899.92</c:v>
                </c:pt>
                <c:pt idx="1099">
                  <c:v>197999.92</c:v>
                </c:pt>
                <c:pt idx="1100">
                  <c:v>198099.92</c:v>
                </c:pt>
                <c:pt idx="1101">
                  <c:v>198199.92</c:v>
                </c:pt>
                <c:pt idx="1102">
                  <c:v>198299.92</c:v>
                </c:pt>
                <c:pt idx="1103">
                  <c:v>198399.92</c:v>
                </c:pt>
                <c:pt idx="1104">
                  <c:v>198499.92</c:v>
                </c:pt>
                <c:pt idx="1105">
                  <c:v>198599.92</c:v>
                </c:pt>
                <c:pt idx="1106">
                  <c:v>198699.92</c:v>
                </c:pt>
                <c:pt idx="1107">
                  <c:v>198799.92</c:v>
                </c:pt>
                <c:pt idx="1108">
                  <c:v>198899.92</c:v>
                </c:pt>
                <c:pt idx="1109">
                  <c:v>198999.92</c:v>
                </c:pt>
                <c:pt idx="1110">
                  <c:v>199096.21</c:v>
                </c:pt>
                <c:pt idx="1111">
                  <c:v>199099.92</c:v>
                </c:pt>
                <c:pt idx="1112">
                  <c:v>199176.21</c:v>
                </c:pt>
                <c:pt idx="1113">
                  <c:v>199199.92</c:v>
                </c:pt>
                <c:pt idx="1114">
                  <c:v>199299.92</c:v>
                </c:pt>
                <c:pt idx="1115">
                  <c:v>199399.92</c:v>
                </c:pt>
                <c:pt idx="1116">
                  <c:v>199499.92</c:v>
                </c:pt>
                <c:pt idx="1117">
                  <c:v>199599.92</c:v>
                </c:pt>
                <c:pt idx="1118">
                  <c:v>199699.92</c:v>
                </c:pt>
                <c:pt idx="1119">
                  <c:v>199799.92</c:v>
                </c:pt>
                <c:pt idx="1120">
                  <c:v>199899.92</c:v>
                </c:pt>
                <c:pt idx="1121">
                  <c:v>199999.92</c:v>
                </c:pt>
                <c:pt idx="1122">
                  <c:v>200099.92</c:v>
                </c:pt>
                <c:pt idx="1123">
                  <c:v>200199.92</c:v>
                </c:pt>
                <c:pt idx="1124">
                  <c:v>200299.92</c:v>
                </c:pt>
                <c:pt idx="1125">
                  <c:v>200399.92</c:v>
                </c:pt>
                <c:pt idx="1126">
                  <c:v>200499.92</c:v>
                </c:pt>
                <c:pt idx="1127">
                  <c:v>200599.92</c:v>
                </c:pt>
                <c:pt idx="1128">
                  <c:v>200699.92</c:v>
                </c:pt>
                <c:pt idx="1129">
                  <c:v>200799.92</c:v>
                </c:pt>
                <c:pt idx="1130">
                  <c:v>200899.92</c:v>
                </c:pt>
                <c:pt idx="1131">
                  <c:v>200999.92</c:v>
                </c:pt>
                <c:pt idx="1132">
                  <c:v>201099.92</c:v>
                </c:pt>
                <c:pt idx="1133">
                  <c:v>201199.92</c:v>
                </c:pt>
                <c:pt idx="1134">
                  <c:v>201299.92</c:v>
                </c:pt>
                <c:pt idx="1135">
                  <c:v>201399.92</c:v>
                </c:pt>
                <c:pt idx="1136">
                  <c:v>201499.92</c:v>
                </c:pt>
                <c:pt idx="1137">
                  <c:v>201599.92</c:v>
                </c:pt>
                <c:pt idx="1138">
                  <c:v>201699.92</c:v>
                </c:pt>
                <c:pt idx="1139">
                  <c:v>201799.92</c:v>
                </c:pt>
                <c:pt idx="1140">
                  <c:v>201899.92</c:v>
                </c:pt>
                <c:pt idx="1141">
                  <c:v>201999.92</c:v>
                </c:pt>
                <c:pt idx="1142">
                  <c:v>202099.92</c:v>
                </c:pt>
                <c:pt idx="1143">
                  <c:v>202199.92</c:v>
                </c:pt>
                <c:pt idx="1144">
                  <c:v>202299.92</c:v>
                </c:pt>
                <c:pt idx="1145">
                  <c:v>202399.92</c:v>
                </c:pt>
                <c:pt idx="1146">
                  <c:v>202499.92</c:v>
                </c:pt>
                <c:pt idx="1147">
                  <c:v>202599.92</c:v>
                </c:pt>
                <c:pt idx="1148">
                  <c:v>202699.92</c:v>
                </c:pt>
                <c:pt idx="1149">
                  <c:v>202799.92</c:v>
                </c:pt>
                <c:pt idx="1150">
                  <c:v>202899.92</c:v>
                </c:pt>
                <c:pt idx="1151">
                  <c:v>202999.92</c:v>
                </c:pt>
                <c:pt idx="1152">
                  <c:v>203099.92</c:v>
                </c:pt>
                <c:pt idx="1153">
                  <c:v>203199.92</c:v>
                </c:pt>
                <c:pt idx="1154">
                  <c:v>203299.92</c:v>
                </c:pt>
                <c:pt idx="1155">
                  <c:v>203399.92</c:v>
                </c:pt>
                <c:pt idx="1156">
                  <c:v>203499.92</c:v>
                </c:pt>
                <c:pt idx="1157">
                  <c:v>203599.92</c:v>
                </c:pt>
                <c:pt idx="1158">
                  <c:v>203699.92</c:v>
                </c:pt>
                <c:pt idx="1159">
                  <c:v>203799.92</c:v>
                </c:pt>
                <c:pt idx="1160">
                  <c:v>203899.92</c:v>
                </c:pt>
                <c:pt idx="1161">
                  <c:v>203999.92</c:v>
                </c:pt>
                <c:pt idx="1162">
                  <c:v>204099.92</c:v>
                </c:pt>
                <c:pt idx="1163">
                  <c:v>204199.92</c:v>
                </c:pt>
                <c:pt idx="1164">
                  <c:v>204299.92</c:v>
                </c:pt>
                <c:pt idx="1165">
                  <c:v>204399.92</c:v>
                </c:pt>
                <c:pt idx="1166">
                  <c:v>204499.92</c:v>
                </c:pt>
                <c:pt idx="1167">
                  <c:v>204599.92</c:v>
                </c:pt>
                <c:pt idx="1168">
                  <c:v>204699.92</c:v>
                </c:pt>
                <c:pt idx="1169">
                  <c:v>204799.92</c:v>
                </c:pt>
                <c:pt idx="1170">
                  <c:v>204899.92</c:v>
                </c:pt>
                <c:pt idx="1171">
                  <c:v>204999.92</c:v>
                </c:pt>
                <c:pt idx="1172">
                  <c:v>205048.5</c:v>
                </c:pt>
                <c:pt idx="1173">
                  <c:v>205099.92</c:v>
                </c:pt>
                <c:pt idx="1174">
                  <c:v>205123.5</c:v>
                </c:pt>
                <c:pt idx="1175">
                  <c:v>205199.92</c:v>
                </c:pt>
                <c:pt idx="1176">
                  <c:v>205209.4</c:v>
                </c:pt>
                <c:pt idx="1177">
                  <c:v>205299.92</c:v>
                </c:pt>
                <c:pt idx="1178">
                  <c:v>205329.4</c:v>
                </c:pt>
                <c:pt idx="1179">
                  <c:v>205399.92</c:v>
                </c:pt>
                <c:pt idx="1180">
                  <c:v>205499.92</c:v>
                </c:pt>
                <c:pt idx="1181">
                  <c:v>205599.92</c:v>
                </c:pt>
                <c:pt idx="1182">
                  <c:v>205699.92</c:v>
                </c:pt>
                <c:pt idx="1183">
                  <c:v>205799.92</c:v>
                </c:pt>
                <c:pt idx="1184">
                  <c:v>205899.92</c:v>
                </c:pt>
                <c:pt idx="1185">
                  <c:v>205999.92</c:v>
                </c:pt>
                <c:pt idx="1186">
                  <c:v>206099.92</c:v>
                </c:pt>
                <c:pt idx="1187">
                  <c:v>206199.92</c:v>
                </c:pt>
                <c:pt idx="1188">
                  <c:v>206299.92</c:v>
                </c:pt>
                <c:pt idx="1189">
                  <c:v>206399.92</c:v>
                </c:pt>
                <c:pt idx="1190">
                  <c:v>206499.92</c:v>
                </c:pt>
                <c:pt idx="1191">
                  <c:v>206599.92</c:v>
                </c:pt>
                <c:pt idx="1192">
                  <c:v>206699.92</c:v>
                </c:pt>
                <c:pt idx="1193">
                  <c:v>206799.92</c:v>
                </c:pt>
                <c:pt idx="1194">
                  <c:v>206899.92</c:v>
                </c:pt>
                <c:pt idx="1195">
                  <c:v>206999.92</c:v>
                </c:pt>
                <c:pt idx="1196">
                  <c:v>207099.92</c:v>
                </c:pt>
                <c:pt idx="1197">
                  <c:v>207199.92</c:v>
                </c:pt>
                <c:pt idx="1198">
                  <c:v>207299.92</c:v>
                </c:pt>
                <c:pt idx="1199">
                  <c:v>207399.92</c:v>
                </c:pt>
                <c:pt idx="1200">
                  <c:v>207499.92</c:v>
                </c:pt>
                <c:pt idx="1201">
                  <c:v>207599.92</c:v>
                </c:pt>
                <c:pt idx="1202">
                  <c:v>207699.92</c:v>
                </c:pt>
                <c:pt idx="1203">
                  <c:v>207799.92</c:v>
                </c:pt>
                <c:pt idx="1204">
                  <c:v>207899.92</c:v>
                </c:pt>
                <c:pt idx="1205">
                  <c:v>207999.92</c:v>
                </c:pt>
                <c:pt idx="1206">
                  <c:v>208099.92</c:v>
                </c:pt>
                <c:pt idx="1207">
                  <c:v>208199.92</c:v>
                </c:pt>
                <c:pt idx="1208">
                  <c:v>208299.92</c:v>
                </c:pt>
                <c:pt idx="1209">
                  <c:v>208399.92</c:v>
                </c:pt>
                <c:pt idx="1210">
                  <c:v>208499.92</c:v>
                </c:pt>
                <c:pt idx="1211">
                  <c:v>208599.92</c:v>
                </c:pt>
                <c:pt idx="1212">
                  <c:v>208699.92</c:v>
                </c:pt>
                <c:pt idx="1213">
                  <c:v>208799.92</c:v>
                </c:pt>
                <c:pt idx="1214">
                  <c:v>208899.92</c:v>
                </c:pt>
                <c:pt idx="1215">
                  <c:v>208999.92</c:v>
                </c:pt>
                <c:pt idx="1216">
                  <c:v>209099.92</c:v>
                </c:pt>
                <c:pt idx="1217">
                  <c:v>209199.92</c:v>
                </c:pt>
                <c:pt idx="1218">
                  <c:v>209299.92</c:v>
                </c:pt>
                <c:pt idx="1219">
                  <c:v>209399.92</c:v>
                </c:pt>
                <c:pt idx="1220">
                  <c:v>209499.92</c:v>
                </c:pt>
                <c:pt idx="1221">
                  <c:v>209599.92</c:v>
                </c:pt>
                <c:pt idx="1222">
                  <c:v>209635</c:v>
                </c:pt>
                <c:pt idx="1223">
                  <c:v>209699.92</c:v>
                </c:pt>
                <c:pt idx="1224">
                  <c:v>209715</c:v>
                </c:pt>
                <c:pt idx="1225">
                  <c:v>209799.92</c:v>
                </c:pt>
                <c:pt idx="1226">
                  <c:v>209899.92</c:v>
                </c:pt>
                <c:pt idx="1227">
                  <c:v>209999.92</c:v>
                </c:pt>
                <c:pt idx="1228">
                  <c:v>210099.92</c:v>
                </c:pt>
                <c:pt idx="1229">
                  <c:v>210176.5</c:v>
                </c:pt>
                <c:pt idx="1230">
                  <c:v>210199.92</c:v>
                </c:pt>
                <c:pt idx="1231">
                  <c:v>210299.92</c:v>
                </c:pt>
                <c:pt idx="1232">
                  <c:v>210399.92</c:v>
                </c:pt>
                <c:pt idx="1233">
                  <c:v>210456.5</c:v>
                </c:pt>
                <c:pt idx="1234">
                  <c:v>210499.92</c:v>
                </c:pt>
                <c:pt idx="1235">
                  <c:v>210599.92</c:v>
                </c:pt>
                <c:pt idx="1236">
                  <c:v>210699.92</c:v>
                </c:pt>
                <c:pt idx="1237">
                  <c:v>210799.92</c:v>
                </c:pt>
                <c:pt idx="1238">
                  <c:v>210899.92</c:v>
                </c:pt>
                <c:pt idx="1239">
                  <c:v>210999.92</c:v>
                </c:pt>
                <c:pt idx="1240">
                  <c:v>211099.92</c:v>
                </c:pt>
                <c:pt idx="1241">
                  <c:v>211199.92</c:v>
                </c:pt>
                <c:pt idx="1242">
                  <c:v>211299.92</c:v>
                </c:pt>
                <c:pt idx="1243">
                  <c:v>211399.92</c:v>
                </c:pt>
                <c:pt idx="1244">
                  <c:v>211499.92</c:v>
                </c:pt>
                <c:pt idx="1245">
                  <c:v>211599.92</c:v>
                </c:pt>
                <c:pt idx="1246">
                  <c:v>211699.92</c:v>
                </c:pt>
                <c:pt idx="1247">
                  <c:v>211799.92</c:v>
                </c:pt>
                <c:pt idx="1248">
                  <c:v>211899.92</c:v>
                </c:pt>
                <c:pt idx="1249">
                  <c:v>211999.92</c:v>
                </c:pt>
                <c:pt idx="1250">
                  <c:v>212099.92</c:v>
                </c:pt>
                <c:pt idx="1251">
                  <c:v>212199.92</c:v>
                </c:pt>
                <c:pt idx="1252">
                  <c:v>212299.92</c:v>
                </c:pt>
                <c:pt idx="1253">
                  <c:v>212399.92</c:v>
                </c:pt>
                <c:pt idx="1254">
                  <c:v>212499.92</c:v>
                </c:pt>
                <c:pt idx="1255">
                  <c:v>212599.92</c:v>
                </c:pt>
                <c:pt idx="1256">
                  <c:v>212699.92</c:v>
                </c:pt>
                <c:pt idx="1257">
                  <c:v>212799.92</c:v>
                </c:pt>
                <c:pt idx="1258">
                  <c:v>212899.92</c:v>
                </c:pt>
                <c:pt idx="1259">
                  <c:v>212999.92</c:v>
                </c:pt>
                <c:pt idx="1260">
                  <c:v>213099.92</c:v>
                </c:pt>
                <c:pt idx="1261">
                  <c:v>213199.92</c:v>
                </c:pt>
                <c:pt idx="1262">
                  <c:v>213299.92</c:v>
                </c:pt>
                <c:pt idx="1263">
                  <c:v>213399.92</c:v>
                </c:pt>
                <c:pt idx="1264">
                  <c:v>213499.92</c:v>
                </c:pt>
                <c:pt idx="1265">
                  <c:v>213599.92</c:v>
                </c:pt>
                <c:pt idx="1266">
                  <c:v>213699.92</c:v>
                </c:pt>
                <c:pt idx="1267">
                  <c:v>213799.92</c:v>
                </c:pt>
                <c:pt idx="1268">
                  <c:v>213899.92</c:v>
                </c:pt>
                <c:pt idx="1269">
                  <c:v>213999.92</c:v>
                </c:pt>
                <c:pt idx="1270">
                  <c:v>214099.92</c:v>
                </c:pt>
                <c:pt idx="1271">
                  <c:v>214199.92</c:v>
                </c:pt>
                <c:pt idx="1272">
                  <c:v>214299.92</c:v>
                </c:pt>
                <c:pt idx="1273">
                  <c:v>214399.92</c:v>
                </c:pt>
                <c:pt idx="1274">
                  <c:v>214499.92</c:v>
                </c:pt>
                <c:pt idx="1275">
                  <c:v>214599.92</c:v>
                </c:pt>
                <c:pt idx="1276">
                  <c:v>214699.92</c:v>
                </c:pt>
                <c:pt idx="1277">
                  <c:v>214799.92</c:v>
                </c:pt>
                <c:pt idx="1278">
                  <c:v>214899.92</c:v>
                </c:pt>
                <c:pt idx="1279">
                  <c:v>214999.92</c:v>
                </c:pt>
                <c:pt idx="1280">
                  <c:v>215099.92</c:v>
                </c:pt>
                <c:pt idx="1281">
                  <c:v>215199.92</c:v>
                </c:pt>
                <c:pt idx="1282">
                  <c:v>215299.92</c:v>
                </c:pt>
                <c:pt idx="1283">
                  <c:v>215399.92</c:v>
                </c:pt>
                <c:pt idx="1284">
                  <c:v>215499.92</c:v>
                </c:pt>
                <c:pt idx="1285">
                  <c:v>215599.92</c:v>
                </c:pt>
                <c:pt idx="1286">
                  <c:v>215699.92</c:v>
                </c:pt>
                <c:pt idx="1287">
                  <c:v>215799.92</c:v>
                </c:pt>
                <c:pt idx="1288">
                  <c:v>215899.92</c:v>
                </c:pt>
                <c:pt idx="1289">
                  <c:v>215987.9</c:v>
                </c:pt>
                <c:pt idx="1290">
                  <c:v>215999.92</c:v>
                </c:pt>
                <c:pt idx="1291">
                  <c:v>216099.92</c:v>
                </c:pt>
                <c:pt idx="1292">
                  <c:v>216147.9</c:v>
                </c:pt>
                <c:pt idx="1293">
                  <c:v>216199.92</c:v>
                </c:pt>
                <c:pt idx="1294">
                  <c:v>216299.92</c:v>
                </c:pt>
                <c:pt idx="1295">
                  <c:v>216399.92</c:v>
                </c:pt>
                <c:pt idx="1296">
                  <c:v>216499.92</c:v>
                </c:pt>
                <c:pt idx="1297">
                  <c:v>216599.92</c:v>
                </c:pt>
                <c:pt idx="1298">
                  <c:v>216699.92</c:v>
                </c:pt>
                <c:pt idx="1299">
                  <c:v>216799.92</c:v>
                </c:pt>
                <c:pt idx="1300">
                  <c:v>216899.92</c:v>
                </c:pt>
                <c:pt idx="1301">
                  <c:v>216999.92</c:v>
                </c:pt>
                <c:pt idx="1302">
                  <c:v>217099.92</c:v>
                </c:pt>
                <c:pt idx="1303">
                  <c:v>217195.7</c:v>
                </c:pt>
                <c:pt idx="1304">
                  <c:v>217199.92</c:v>
                </c:pt>
                <c:pt idx="1305">
                  <c:v>217299.92</c:v>
                </c:pt>
                <c:pt idx="1306">
                  <c:v>217315.7</c:v>
                </c:pt>
                <c:pt idx="1307">
                  <c:v>217399.92</c:v>
                </c:pt>
                <c:pt idx="1308">
                  <c:v>217499.92</c:v>
                </c:pt>
                <c:pt idx="1309">
                  <c:v>217599.92</c:v>
                </c:pt>
                <c:pt idx="1310">
                  <c:v>217699.92</c:v>
                </c:pt>
                <c:pt idx="1311">
                  <c:v>217799.92</c:v>
                </c:pt>
                <c:pt idx="1312">
                  <c:v>217899.92</c:v>
                </c:pt>
                <c:pt idx="1313">
                  <c:v>217999.92</c:v>
                </c:pt>
                <c:pt idx="1314">
                  <c:v>218099.92</c:v>
                </c:pt>
                <c:pt idx="1315">
                  <c:v>218199.92</c:v>
                </c:pt>
                <c:pt idx="1316">
                  <c:v>218299.92</c:v>
                </c:pt>
                <c:pt idx="1317">
                  <c:v>218399.92</c:v>
                </c:pt>
                <c:pt idx="1318">
                  <c:v>218499.92</c:v>
                </c:pt>
                <c:pt idx="1319">
                  <c:v>218599.92</c:v>
                </c:pt>
                <c:pt idx="1320">
                  <c:v>218699.92</c:v>
                </c:pt>
                <c:pt idx="1321">
                  <c:v>218799.92</c:v>
                </c:pt>
                <c:pt idx="1322">
                  <c:v>218899.92</c:v>
                </c:pt>
                <c:pt idx="1323">
                  <c:v>218999.92</c:v>
                </c:pt>
                <c:pt idx="1324">
                  <c:v>219099.92</c:v>
                </c:pt>
                <c:pt idx="1325">
                  <c:v>219199.92</c:v>
                </c:pt>
                <c:pt idx="1326">
                  <c:v>219299.92</c:v>
                </c:pt>
                <c:pt idx="1327">
                  <c:v>219399.92</c:v>
                </c:pt>
                <c:pt idx="1328">
                  <c:v>219499.92</c:v>
                </c:pt>
                <c:pt idx="1329">
                  <c:v>219599.92</c:v>
                </c:pt>
                <c:pt idx="1330">
                  <c:v>219699.92</c:v>
                </c:pt>
                <c:pt idx="1331">
                  <c:v>219799.92</c:v>
                </c:pt>
                <c:pt idx="1332">
                  <c:v>219899.92</c:v>
                </c:pt>
                <c:pt idx="1333">
                  <c:v>219999.92</c:v>
                </c:pt>
                <c:pt idx="1334">
                  <c:v>220099.92</c:v>
                </c:pt>
                <c:pt idx="1335">
                  <c:v>220199.92</c:v>
                </c:pt>
                <c:pt idx="1336">
                  <c:v>220299.92</c:v>
                </c:pt>
                <c:pt idx="1337">
                  <c:v>220399.92</c:v>
                </c:pt>
                <c:pt idx="1338">
                  <c:v>220499.92</c:v>
                </c:pt>
                <c:pt idx="1339">
                  <c:v>220599.92</c:v>
                </c:pt>
                <c:pt idx="1340">
                  <c:v>220699.92</c:v>
                </c:pt>
                <c:pt idx="1341">
                  <c:v>220799.92</c:v>
                </c:pt>
                <c:pt idx="1342">
                  <c:v>220899.92</c:v>
                </c:pt>
                <c:pt idx="1343">
                  <c:v>220999.92</c:v>
                </c:pt>
                <c:pt idx="1344">
                  <c:v>221099.92</c:v>
                </c:pt>
                <c:pt idx="1345">
                  <c:v>221199.92</c:v>
                </c:pt>
                <c:pt idx="1346">
                  <c:v>221299.92</c:v>
                </c:pt>
                <c:pt idx="1347">
                  <c:v>221399.92</c:v>
                </c:pt>
                <c:pt idx="1348">
                  <c:v>221499.92</c:v>
                </c:pt>
                <c:pt idx="1349">
                  <c:v>221599.92</c:v>
                </c:pt>
                <c:pt idx="1350">
                  <c:v>221699.92</c:v>
                </c:pt>
                <c:pt idx="1351">
                  <c:v>221799.92</c:v>
                </c:pt>
                <c:pt idx="1352">
                  <c:v>221899.92</c:v>
                </c:pt>
                <c:pt idx="1353">
                  <c:v>221999.92</c:v>
                </c:pt>
                <c:pt idx="1354">
                  <c:v>222099.92</c:v>
                </c:pt>
                <c:pt idx="1355">
                  <c:v>222199.92</c:v>
                </c:pt>
                <c:pt idx="1356">
                  <c:v>222299.92</c:v>
                </c:pt>
                <c:pt idx="1357">
                  <c:v>222399.92</c:v>
                </c:pt>
                <c:pt idx="1358">
                  <c:v>222499.92</c:v>
                </c:pt>
                <c:pt idx="1359">
                  <c:v>222599.92</c:v>
                </c:pt>
                <c:pt idx="1360">
                  <c:v>222699.92</c:v>
                </c:pt>
                <c:pt idx="1361">
                  <c:v>222799.92</c:v>
                </c:pt>
                <c:pt idx="1362">
                  <c:v>222899.92</c:v>
                </c:pt>
                <c:pt idx="1363">
                  <c:v>222999.92</c:v>
                </c:pt>
                <c:pt idx="1364">
                  <c:v>223099.92</c:v>
                </c:pt>
                <c:pt idx="1365">
                  <c:v>223199.92</c:v>
                </c:pt>
                <c:pt idx="1366">
                  <c:v>223299.92</c:v>
                </c:pt>
                <c:pt idx="1367">
                  <c:v>223399.92</c:v>
                </c:pt>
                <c:pt idx="1368">
                  <c:v>223499.92</c:v>
                </c:pt>
                <c:pt idx="1369">
                  <c:v>223599.92</c:v>
                </c:pt>
                <c:pt idx="1370">
                  <c:v>223699.92</c:v>
                </c:pt>
                <c:pt idx="1371">
                  <c:v>223799.92</c:v>
                </c:pt>
              </c:numCache>
            </c:numRef>
          </c:xVal>
          <c:yVal>
            <c:numRef>
              <c:f>TS!$AB$2:$AB$1373</c:f>
              <c:numCache>
                <c:formatCode>0.0</c:formatCode>
                <c:ptCount val="1372"/>
                <c:pt idx="0">
                  <c:v>0</c:v>
                </c:pt>
                <c:pt idx="1">
                  <c:v>1.3771997999999623</c:v>
                </c:pt>
                <c:pt idx="2">
                  <c:v>2.8749467999999885</c:v>
                </c:pt>
                <c:pt idx="3">
                  <c:v>4.5277943999999701</c:v>
                </c:pt>
                <c:pt idx="4">
                  <c:v>5.5268552999999931</c:v>
                </c:pt>
                <c:pt idx="5">
                  <c:v>7.2430507999999731</c:v>
                </c:pt>
                <c:pt idx="6">
                  <c:v>8.4490856999999764</c:v>
                </c:pt>
                <c:pt idx="7">
                  <c:v>9.4049331999999684</c:v>
                </c:pt>
                <c:pt idx="8">
                  <c:v>9.768263499999982</c:v>
                </c:pt>
                <c:pt idx="9">
                  <c:v>9.9924275999999779</c:v>
                </c:pt>
                <c:pt idx="10">
                  <c:v>10.065777799999976</c:v>
                </c:pt>
                <c:pt idx="11">
                  <c:v>9.0584898999999997</c:v>
                </c:pt>
                <c:pt idx="12">
                  <c:v>7.7370171999999791</c:v>
                </c:pt>
                <c:pt idx="13">
                  <c:v>5.4368778999999847</c:v>
                </c:pt>
                <c:pt idx="14">
                  <c:v>6.0524739999999788</c:v>
                </c:pt>
                <c:pt idx="15">
                  <c:v>7.0847459999999858</c:v>
                </c:pt>
                <c:pt idx="16">
                  <c:v>8.0523710999999754</c:v>
                </c:pt>
                <c:pt idx="17">
                  <c:v>8.985615999999979</c:v>
                </c:pt>
                <c:pt idx="18">
                  <c:v>10.248287299999992</c:v>
                </c:pt>
                <c:pt idx="19">
                  <c:v>11.346158799999973</c:v>
                </c:pt>
                <c:pt idx="20">
                  <c:v>14.864327099999961</c:v>
                </c:pt>
                <c:pt idx="21">
                  <c:v>20.725674899999969</c:v>
                </c:pt>
                <c:pt idx="22">
                  <c:v>31.469444099999983</c:v>
                </c:pt>
                <c:pt idx="23">
                  <c:v>35.218358099999989</c:v>
                </c:pt>
                <c:pt idx="24">
                  <c:v>39.624349599999967</c:v>
                </c:pt>
                <c:pt idx="25">
                  <c:v>48.325744399999962</c:v>
                </c:pt>
                <c:pt idx="26">
                  <c:v>53.758898499999994</c:v>
                </c:pt>
                <c:pt idx="27">
                  <c:v>57.1608929</c:v>
                </c:pt>
                <c:pt idx="28">
                  <c:v>60.577522699999982</c:v>
                </c:pt>
                <c:pt idx="29">
                  <c:v>61.970310499999968</c:v>
                </c:pt>
                <c:pt idx="30">
                  <c:v>64.647809299999992</c:v>
                </c:pt>
                <c:pt idx="31">
                  <c:v>60.129151199999995</c:v>
                </c:pt>
                <c:pt idx="32">
                  <c:v>58.121589999999955</c:v>
                </c:pt>
                <c:pt idx="33">
                  <c:v>57.935053599999968</c:v>
                </c:pt>
                <c:pt idx="34">
                  <c:v>56.71806379999996</c:v>
                </c:pt>
                <c:pt idx="35">
                  <c:v>58.414601099999999</c:v>
                </c:pt>
                <c:pt idx="36">
                  <c:v>61.508126299999958</c:v>
                </c:pt>
                <c:pt idx="37">
                  <c:v>61.508126299999958</c:v>
                </c:pt>
                <c:pt idx="38">
                  <c:v>64.324444899999989</c:v>
                </c:pt>
                <c:pt idx="39">
                  <c:v>64.324444899999989</c:v>
                </c:pt>
                <c:pt idx="40">
                  <c:v>66.45952459999998</c:v>
                </c:pt>
                <c:pt idx="41">
                  <c:v>66.761282299999991</c:v>
                </c:pt>
                <c:pt idx="42">
                  <c:v>68.855270299999987</c:v>
                </c:pt>
                <c:pt idx="43">
                  <c:v>70.027834299999981</c:v>
                </c:pt>
                <c:pt idx="44">
                  <c:v>70.027834299999981</c:v>
                </c:pt>
                <c:pt idx="45">
                  <c:v>71.269072100000002</c:v>
                </c:pt>
                <c:pt idx="46">
                  <c:v>71.783909099999988</c:v>
                </c:pt>
                <c:pt idx="47">
                  <c:v>72.529361899999969</c:v>
                </c:pt>
                <c:pt idx="48">
                  <c:v>72.750321799999995</c:v>
                </c:pt>
                <c:pt idx="49">
                  <c:v>73.633425299999971</c:v>
                </c:pt>
                <c:pt idx="50">
                  <c:v>74.015244699999982</c:v>
                </c:pt>
                <c:pt idx="51">
                  <c:v>74.543201599999961</c:v>
                </c:pt>
                <c:pt idx="52">
                  <c:v>74.791613699999985</c:v>
                </c:pt>
                <c:pt idx="53">
                  <c:v>74.727356499999956</c:v>
                </c:pt>
                <c:pt idx="54">
                  <c:v>75.482941499999967</c:v>
                </c:pt>
                <c:pt idx="55">
                  <c:v>81.151387799999952</c:v>
                </c:pt>
                <c:pt idx="56">
                  <c:v>75.220673399999981</c:v>
                </c:pt>
                <c:pt idx="57">
                  <c:v>74.515186499999956</c:v>
                </c:pt>
                <c:pt idx="58">
                  <c:v>75.017250000000004</c:v>
                </c:pt>
                <c:pt idx="59">
                  <c:v>75.549060599999962</c:v>
                </c:pt>
                <c:pt idx="60">
                  <c:v>75.797212899999991</c:v>
                </c:pt>
                <c:pt idx="61">
                  <c:v>75.162608099999986</c:v>
                </c:pt>
                <c:pt idx="62">
                  <c:v>74.707178699999957</c:v>
                </c:pt>
                <c:pt idx="63">
                  <c:v>74.303103099999987</c:v>
                </c:pt>
                <c:pt idx="64">
                  <c:v>74.303103099999987</c:v>
                </c:pt>
                <c:pt idx="65">
                  <c:v>74.182469299999994</c:v>
                </c:pt>
                <c:pt idx="66">
                  <c:v>74.156489299999961</c:v>
                </c:pt>
                <c:pt idx="67">
                  <c:v>74.172640199999989</c:v>
                </c:pt>
                <c:pt idx="68">
                  <c:v>73.820567899999958</c:v>
                </c:pt>
                <c:pt idx="69">
                  <c:v>73.463949099999994</c:v>
                </c:pt>
                <c:pt idx="70">
                  <c:v>73.103433299999963</c:v>
                </c:pt>
                <c:pt idx="71">
                  <c:v>72.995789500000001</c:v>
                </c:pt>
                <c:pt idx="72">
                  <c:v>73.131491699999998</c:v>
                </c:pt>
                <c:pt idx="73">
                  <c:v>73.19263129999996</c:v>
                </c:pt>
                <c:pt idx="74">
                  <c:v>73.183971299999968</c:v>
                </c:pt>
                <c:pt idx="75">
                  <c:v>72.769114000000002</c:v>
                </c:pt>
                <c:pt idx="76">
                  <c:v>72.48896299999997</c:v>
                </c:pt>
                <c:pt idx="77">
                  <c:v>71.696832799999996</c:v>
                </c:pt>
                <c:pt idx="78">
                  <c:v>71.505663299999981</c:v>
                </c:pt>
                <c:pt idx="79">
                  <c:v>72.096102099999996</c:v>
                </c:pt>
                <c:pt idx="80">
                  <c:v>72.446182599999986</c:v>
                </c:pt>
                <c:pt idx="81">
                  <c:v>73.100618799999978</c:v>
                </c:pt>
                <c:pt idx="82">
                  <c:v>73.433119500000004</c:v>
                </c:pt>
                <c:pt idx="83">
                  <c:v>73.463689299999999</c:v>
                </c:pt>
                <c:pt idx="84">
                  <c:v>73.463689299999999</c:v>
                </c:pt>
                <c:pt idx="85">
                  <c:v>73.012676499999998</c:v>
                </c:pt>
                <c:pt idx="86">
                  <c:v>73.012676499999998</c:v>
                </c:pt>
                <c:pt idx="87">
                  <c:v>73.998011299999973</c:v>
                </c:pt>
                <c:pt idx="88">
                  <c:v>73.974456099999969</c:v>
                </c:pt>
                <c:pt idx="89">
                  <c:v>74.546275899999983</c:v>
                </c:pt>
                <c:pt idx="90">
                  <c:v>75.326974899999982</c:v>
                </c:pt>
                <c:pt idx="91">
                  <c:v>76.377346299999971</c:v>
                </c:pt>
                <c:pt idx="92">
                  <c:v>77.37900519999998</c:v>
                </c:pt>
                <c:pt idx="93">
                  <c:v>77.618410899999986</c:v>
                </c:pt>
                <c:pt idx="94">
                  <c:v>78.267304699999997</c:v>
                </c:pt>
                <c:pt idx="95">
                  <c:v>79.042677800000007</c:v>
                </c:pt>
                <c:pt idx="96">
                  <c:v>79.145645200000004</c:v>
                </c:pt>
                <c:pt idx="97">
                  <c:v>79.49191529999996</c:v>
                </c:pt>
                <c:pt idx="98">
                  <c:v>79.637143499999993</c:v>
                </c:pt>
                <c:pt idx="99">
                  <c:v>78.84574939999996</c:v>
                </c:pt>
                <c:pt idx="100">
                  <c:v>79.241857799999977</c:v>
                </c:pt>
                <c:pt idx="101">
                  <c:v>79.652558299999953</c:v>
                </c:pt>
                <c:pt idx="102">
                  <c:v>79.682824999999994</c:v>
                </c:pt>
                <c:pt idx="103">
                  <c:v>79.722444499999995</c:v>
                </c:pt>
                <c:pt idx="104">
                  <c:v>79.814976599999994</c:v>
                </c:pt>
                <c:pt idx="105">
                  <c:v>80.023422799999992</c:v>
                </c:pt>
                <c:pt idx="106">
                  <c:v>80.193678399999996</c:v>
                </c:pt>
                <c:pt idx="107">
                  <c:v>80.215414999999993</c:v>
                </c:pt>
                <c:pt idx="108">
                  <c:v>80.206884899999977</c:v>
                </c:pt>
                <c:pt idx="109">
                  <c:v>80.249751899999993</c:v>
                </c:pt>
                <c:pt idx="110">
                  <c:v>80.046198599999997</c:v>
                </c:pt>
                <c:pt idx="111">
                  <c:v>79.901230200000001</c:v>
                </c:pt>
                <c:pt idx="112">
                  <c:v>79.808827999999963</c:v>
                </c:pt>
                <c:pt idx="113">
                  <c:v>79.643248799999981</c:v>
                </c:pt>
                <c:pt idx="114">
                  <c:v>79.443159499999993</c:v>
                </c:pt>
                <c:pt idx="115">
                  <c:v>79.301698399999964</c:v>
                </c:pt>
                <c:pt idx="116">
                  <c:v>79.126073599999998</c:v>
                </c:pt>
                <c:pt idx="117">
                  <c:v>79.009683199999969</c:v>
                </c:pt>
                <c:pt idx="118">
                  <c:v>79.000590199999991</c:v>
                </c:pt>
                <c:pt idx="119">
                  <c:v>78.87930689999996</c:v>
                </c:pt>
                <c:pt idx="120">
                  <c:v>78.902169299999983</c:v>
                </c:pt>
                <c:pt idx="121">
                  <c:v>78.8767955</c:v>
                </c:pt>
                <c:pt idx="122">
                  <c:v>78.829555199999987</c:v>
                </c:pt>
                <c:pt idx="123">
                  <c:v>78.677485599999969</c:v>
                </c:pt>
                <c:pt idx="124">
                  <c:v>78.565598399999999</c:v>
                </c:pt>
                <c:pt idx="125">
                  <c:v>78.395905699999958</c:v>
                </c:pt>
                <c:pt idx="126">
                  <c:v>78.381746599999971</c:v>
                </c:pt>
                <c:pt idx="127">
                  <c:v>78.327405099999979</c:v>
                </c:pt>
                <c:pt idx="128">
                  <c:v>78.507662999999965</c:v>
                </c:pt>
                <c:pt idx="129">
                  <c:v>78.507662999999965</c:v>
                </c:pt>
                <c:pt idx="130">
                  <c:v>78.8157858</c:v>
                </c:pt>
                <c:pt idx="131">
                  <c:v>79.160800199999983</c:v>
                </c:pt>
                <c:pt idx="132">
                  <c:v>78.247126899999998</c:v>
                </c:pt>
                <c:pt idx="133">
                  <c:v>78.365898799999954</c:v>
                </c:pt>
                <c:pt idx="134">
                  <c:v>78.295925999999994</c:v>
                </c:pt>
                <c:pt idx="135">
                  <c:v>78.038853899999992</c:v>
                </c:pt>
                <c:pt idx="136">
                  <c:v>77.590092699999971</c:v>
                </c:pt>
                <c:pt idx="137">
                  <c:v>77.338389799999987</c:v>
                </c:pt>
                <c:pt idx="138">
                  <c:v>77.121976399999966</c:v>
                </c:pt>
                <c:pt idx="139">
                  <c:v>77.121976399999966</c:v>
                </c:pt>
                <c:pt idx="140">
                  <c:v>77.069193699999971</c:v>
                </c:pt>
                <c:pt idx="141">
                  <c:v>76.712964600000006</c:v>
                </c:pt>
                <c:pt idx="142">
                  <c:v>76.584450199999964</c:v>
                </c:pt>
                <c:pt idx="143">
                  <c:v>76.428267099999985</c:v>
                </c:pt>
                <c:pt idx="144">
                  <c:v>76.428267099999985</c:v>
                </c:pt>
                <c:pt idx="145">
                  <c:v>76.343485700000002</c:v>
                </c:pt>
                <c:pt idx="146">
                  <c:v>75.843890299999984</c:v>
                </c:pt>
                <c:pt idx="147">
                  <c:v>75.353820899999988</c:v>
                </c:pt>
                <c:pt idx="148">
                  <c:v>75.353820899999988</c:v>
                </c:pt>
                <c:pt idx="149">
                  <c:v>75.538408799999971</c:v>
                </c:pt>
                <c:pt idx="150">
                  <c:v>75.427387599999975</c:v>
                </c:pt>
                <c:pt idx="151">
                  <c:v>75.550359599999979</c:v>
                </c:pt>
                <c:pt idx="152">
                  <c:v>75.617907600000009</c:v>
                </c:pt>
                <c:pt idx="153">
                  <c:v>75.658609599999977</c:v>
                </c:pt>
                <c:pt idx="154">
                  <c:v>75.887969699999999</c:v>
                </c:pt>
                <c:pt idx="155">
                  <c:v>76.202803999999972</c:v>
                </c:pt>
                <c:pt idx="156">
                  <c:v>77.848636999999997</c:v>
                </c:pt>
                <c:pt idx="157">
                  <c:v>80.125394299999996</c:v>
                </c:pt>
                <c:pt idx="158">
                  <c:v>80.125394299999996</c:v>
                </c:pt>
                <c:pt idx="159">
                  <c:v>75.749972599999978</c:v>
                </c:pt>
                <c:pt idx="160">
                  <c:v>75.749972599999978</c:v>
                </c:pt>
                <c:pt idx="161">
                  <c:v>75.966039599999988</c:v>
                </c:pt>
                <c:pt idx="162">
                  <c:v>76.15158009999999</c:v>
                </c:pt>
                <c:pt idx="163">
                  <c:v>76.296894899999984</c:v>
                </c:pt>
                <c:pt idx="164">
                  <c:v>76.42125249999998</c:v>
                </c:pt>
                <c:pt idx="165">
                  <c:v>76.536084099999997</c:v>
                </c:pt>
                <c:pt idx="166">
                  <c:v>76.618224199999958</c:v>
                </c:pt>
                <c:pt idx="167">
                  <c:v>76.684776299999982</c:v>
                </c:pt>
                <c:pt idx="168">
                  <c:v>76.504648299999971</c:v>
                </c:pt>
                <c:pt idx="169">
                  <c:v>76.601553699999954</c:v>
                </c:pt>
                <c:pt idx="170">
                  <c:v>76.991123799999983</c:v>
                </c:pt>
                <c:pt idx="171">
                  <c:v>76.935266799999965</c:v>
                </c:pt>
                <c:pt idx="172">
                  <c:v>76.994111499999974</c:v>
                </c:pt>
                <c:pt idx="173">
                  <c:v>77.029011299999965</c:v>
                </c:pt>
                <c:pt idx="174">
                  <c:v>77.030180399999978</c:v>
                </c:pt>
                <c:pt idx="175">
                  <c:v>77.024767900000001</c:v>
                </c:pt>
                <c:pt idx="176">
                  <c:v>77.017060499999971</c:v>
                </c:pt>
                <c:pt idx="177">
                  <c:v>76.931283199999982</c:v>
                </c:pt>
                <c:pt idx="178">
                  <c:v>76.846025499999982</c:v>
                </c:pt>
                <c:pt idx="179">
                  <c:v>76.778910499999981</c:v>
                </c:pt>
                <c:pt idx="180">
                  <c:v>76.711795499999994</c:v>
                </c:pt>
                <c:pt idx="181">
                  <c:v>76.598652599999994</c:v>
                </c:pt>
                <c:pt idx="182">
                  <c:v>76.474424899999974</c:v>
                </c:pt>
                <c:pt idx="183">
                  <c:v>76.339718599999969</c:v>
                </c:pt>
                <c:pt idx="184">
                  <c:v>76.202197799999979</c:v>
                </c:pt>
                <c:pt idx="185">
                  <c:v>75.816048399999985</c:v>
                </c:pt>
                <c:pt idx="186">
                  <c:v>75.366074799999964</c:v>
                </c:pt>
                <c:pt idx="187">
                  <c:v>74.94987519999998</c:v>
                </c:pt>
                <c:pt idx="188">
                  <c:v>74.541945899999988</c:v>
                </c:pt>
                <c:pt idx="189">
                  <c:v>73.984718199999961</c:v>
                </c:pt>
                <c:pt idx="190">
                  <c:v>73.165698699999979</c:v>
                </c:pt>
                <c:pt idx="191">
                  <c:v>71.447641299999972</c:v>
                </c:pt>
                <c:pt idx="192">
                  <c:v>72.700699999999983</c:v>
                </c:pt>
                <c:pt idx="193">
                  <c:v>70.512101499999957</c:v>
                </c:pt>
                <c:pt idx="194">
                  <c:v>70.512101499999957</c:v>
                </c:pt>
                <c:pt idx="195">
                  <c:v>69.903606600000003</c:v>
                </c:pt>
                <c:pt idx="196">
                  <c:v>69.903606600000003</c:v>
                </c:pt>
                <c:pt idx="197">
                  <c:v>69.376342499999978</c:v>
                </c:pt>
                <c:pt idx="198">
                  <c:v>68.527359399999995</c:v>
                </c:pt>
                <c:pt idx="199">
                  <c:v>67.614811899999964</c:v>
                </c:pt>
                <c:pt idx="200">
                  <c:v>66.649048699999994</c:v>
                </c:pt>
                <c:pt idx="201">
                  <c:v>65.639032899999975</c:v>
                </c:pt>
                <c:pt idx="202">
                  <c:v>65.639032899999975</c:v>
                </c:pt>
                <c:pt idx="203">
                  <c:v>63.702830099999986</c:v>
                </c:pt>
                <c:pt idx="204">
                  <c:v>63.702830099999986</c:v>
                </c:pt>
                <c:pt idx="205">
                  <c:v>62.180488699999977</c:v>
                </c:pt>
                <c:pt idx="206">
                  <c:v>60.970253699999994</c:v>
                </c:pt>
                <c:pt idx="207">
                  <c:v>60.970253699999994</c:v>
                </c:pt>
                <c:pt idx="208">
                  <c:v>59.766123999999962</c:v>
                </c:pt>
                <c:pt idx="209">
                  <c:v>59.766123999999962</c:v>
                </c:pt>
                <c:pt idx="210">
                  <c:v>59.497490800000001</c:v>
                </c:pt>
                <c:pt idx="211">
                  <c:v>56.77660539999998</c:v>
                </c:pt>
                <c:pt idx="212">
                  <c:v>53.904343199999957</c:v>
                </c:pt>
                <c:pt idx="213">
                  <c:v>53.922096199999984</c:v>
                </c:pt>
                <c:pt idx="214">
                  <c:v>60.865337799999999</c:v>
                </c:pt>
                <c:pt idx="215">
                  <c:v>67.82650559999999</c:v>
                </c:pt>
                <c:pt idx="216">
                  <c:v>67.82650559999999</c:v>
                </c:pt>
                <c:pt idx="217">
                  <c:v>80.252869500000003</c:v>
                </c:pt>
                <c:pt idx="218">
                  <c:v>80.252869500000003</c:v>
                </c:pt>
                <c:pt idx="219">
                  <c:v>83.586060200000006</c:v>
                </c:pt>
                <c:pt idx="220">
                  <c:v>85.618475600000011</c:v>
                </c:pt>
                <c:pt idx="221">
                  <c:v>86.657415799999967</c:v>
                </c:pt>
                <c:pt idx="222">
                  <c:v>86.657415799999967</c:v>
                </c:pt>
                <c:pt idx="223">
                  <c:v>87.437335399999952</c:v>
                </c:pt>
                <c:pt idx="224">
                  <c:v>88.241416399999991</c:v>
                </c:pt>
                <c:pt idx="225">
                  <c:v>89.227920299999965</c:v>
                </c:pt>
                <c:pt idx="226">
                  <c:v>89.953238599999992</c:v>
                </c:pt>
                <c:pt idx="227">
                  <c:v>90.828504799999976</c:v>
                </c:pt>
                <c:pt idx="228">
                  <c:v>90.859550899999959</c:v>
                </c:pt>
                <c:pt idx="229">
                  <c:v>93.410180699999984</c:v>
                </c:pt>
                <c:pt idx="230">
                  <c:v>98.418475200000003</c:v>
                </c:pt>
                <c:pt idx="231">
                  <c:v>99.793120299999956</c:v>
                </c:pt>
                <c:pt idx="232">
                  <c:v>109.27781209999999</c:v>
                </c:pt>
                <c:pt idx="233">
                  <c:v>108.51642489999998</c:v>
                </c:pt>
                <c:pt idx="234">
                  <c:v>108.29187109999998</c:v>
                </c:pt>
                <c:pt idx="235">
                  <c:v>104.02647470000001</c:v>
                </c:pt>
                <c:pt idx="236">
                  <c:v>98.177164299999973</c:v>
                </c:pt>
                <c:pt idx="237">
                  <c:v>99.177567500000009</c:v>
                </c:pt>
                <c:pt idx="238">
                  <c:v>97.701687000000007</c:v>
                </c:pt>
                <c:pt idx="239">
                  <c:v>94.758932400000006</c:v>
                </c:pt>
                <c:pt idx="240">
                  <c:v>89.445762599999981</c:v>
                </c:pt>
                <c:pt idx="241">
                  <c:v>85.235140699999988</c:v>
                </c:pt>
                <c:pt idx="242">
                  <c:v>82.057223800000003</c:v>
                </c:pt>
                <c:pt idx="243">
                  <c:v>83.052864</c:v>
                </c:pt>
                <c:pt idx="244">
                  <c:v>86.436152799999974</c:v>
                </c:pt>
                <c:pt idx="245">
                  <c:v>89.556004399999978</c:v>
                </c:pt>
                <c:pt idx="246">
                  <c:v>84.065044799999981</c:v>
                </c:pt>
                <c:pt idx="247">
                  <c:v>81.614264799999987</c:v>
                </c:pt>
                <c:pt idx="248">
                  <c:v>78.680733099999983</c:v>
                </c:pt>
                <c:pt idx="249">
                  <c:v>78.680733099999983</c:v>
                </c:pt>
                <c:pt idx="250">
                  <c:v>75.878097299999965</c:v>
                </c:pt>
                <c:pt idx="251">
                  <c:v>73.084034900000006</c:v>
                </c:pt>
                <c:pt idx="252">
                  <c:v>72.315156799999983</c:v>
                </c:pt>
                <c:pt idx="253">
                  <c:v>72.205347999999987</c:v>
                </c:pt>
                <c:pt idx="254">
                  <c:v>72.660863999999989</c:v>
                </c:pt>
                <c:pt idx="255">
                  <c:v>73.051819699999967</c:v>
                </c:pt>
                <c:pt idx="256">
                  <c:v>72.938590199999979</c:v>
                </c:pt>
                <c:pt idx="257">
                  <c:v>71.926452699999999</c:v>
                </c:pt>
                <c:pt idx="258">
                  <c:v>71.693845100000004</c:v>
                </c:pt>
                <c:pt idx="259">
                  <c:v>72.320092999999986</c:v>
                </c:pt>
                <c:pt idx="260">
                  <c:v>74.772215299999971</c:v>
                </c:pt>
                <c:pt idx="261">
                  <c:v>77.091276699999995</c:v>
                </c:pt>
                <c:pt idx="262">
                  <c:v>78.985868199999985</c:v>
                </c:pt>
                <c:pt idx="263">
                  <c:v>80.511716899999996</c:v>
                </c:pt>
                <c:pt idx="264">
                  <c:v>74.085260799999972</c:v>
                </c:pt>
                <c:pt idx="265">
                  <c:v>67.545575199999973</c:v>
                </c:pt>
                <c:pt idx="266">
                  <c:v>67.545575199999973</c:v>
                </c:pt>
                <c:pt idx="267">
                  <c:v>63.418608900000002</c:v>
                </c:pt>
                <c:pt idx="268">
                  <c:v>63.418608900000002</c:v>
                </c:pt>
                <c:pt idx="269">
                  <c:v>60.884130000000006</c:v>
                </c:pt>
                <c:pt idx="270">
                  <c:v>59.873940999999967</c:v>
                </c:pt>
                <c:pt idx="271">
                  <c:v>59.52784409999996</c:v>
                </c:pt>
                <c:pt idx="272">
                  <c:v>59.18482149999997</c:v>
                </c:pt>
                <c:pt idx="273">
                  <c:v>59.376510599999996</c:v>
                </c:pt>
                <c:pt idx="274">
                  <c:v>59.694202699999998</c:v>
                </c:pt>
                <c:pt idx="275">
                  <c:v>62.067865399999995</c:v>
                </c:pt>
                <c:pt idx="276">
                  <c:v>66.753228499999992</c:v>
                </c:pt>
                <c:pt idx="277">
                  <c:v>73.317811599999999</c:v>
                </c:pt>
                <c:pt idx="278">
                  <c:v>74.321245799999957</c:v>
                </c:pt>
                <c:pt idx="279">
                  <c:v>66.264977699999974</c:v>
                </c:pt>
                <c:pt idx="280">
                  <c:v>58.863405599999972</c:v>
                </c:pt>
                <c:pt idx="281">
                  <c:v>54.503485300000001</c:v>
                </c:pt>
                <c:pt idx="282">
                  <c:v>51.443084599999992</c:v>
                </c:pt>
                <c:pt idx="283">
                  <c:v>47.830262499999989</c:v>
                </c:pt>
                <c:pt idx="284">
                  <c:v>46.502857699999979</c:v>
                </c:pt>
                <c:pt idx="285">
                  <c:v>44.879497399999984</c:v>
                </c:pt>
                <c:pt idx="286">
                  <c:v>43.871343499999981</c:v>
                </c:pt>
                <c:pt idx="287">
                  <c:v>44.475075399999994</c:v>
                </c:pt>
                <c:pt idx="288">
                  <c:v>45.444605699999997</c:v>
                </c:pt>
                <c:pt idx="289">
                  <c:v>46.487745999999987</c:v>
                </c:pt>
                <c:pt idx="290">
                  <c:v>47.6786259</c:v>
                </c:pt>
                <c:pt idx="291">
                  <c:v>46.397378899999978</c:v>
                </c:pt>
                <c:pt idx="292">
                  <c:v>44.217873399999974</c:v>
                </c:pt>
                <c:pt idx="293">
                  <c:v>44.210728899999992</c:v>
                </c:pt>
                <c:pt idx="294">
                  <c:v>46.078907399999977</c:v>
                </c:pt>
                <c:pt idx="295">
                  <c:v>49.001181099999997</c:v>
                </c:pt>
                <c:pt idx="296">
                  <c:v>53.861606099999953</c:v>
                </c:pt>
                <c:pt idx="297">
                  <c:v>52.370700499999984</c:v>
                </c:pt>
                <c:pt idx="298">
                  <c:v>52.370700499999984</c:v>
                </c:pt>
                <c:pt idx="299">
                  <c:v>52.370700499999984</c:v>
                </c:pt>
                <c:pt idx="300">
                  <c:v>49.487873099999959</c:v>
                </c:pt>
                <c:pt idx="301">
                  <c:v>53.774659699999972</c:v>
                </c:pt>
                <c:pt idx="302">
                  <c:v>58.662753399999978</c:v>
                </c:pt>
                <c:pt idx="303">
                  <c:v>59.444794699999989</c:v>
                </c:pt>
                <c:pt idx="304">
                  <c:v>56.624146100000004</c:v>
                </c:pt>
                <c:pt idx="305">
                  <c:v>53.311003299999989</c:v>
                </c:pt>
                <c:pt idx="306">
                  <c:v>49.641068499999996</c:v>
                </c:pt>
                <c:pt idx="307">
                  <c:v>46.851855700000002</c:v>
                </c:pt>
                <c:pt idx="308">
                  <c:v>44.36764809999999</c:v>
                </c:pt>
                <c:pt idx="309">
                  <c:v>43.037039099999994</c:v>
                </c:pt>
                <c:pt idx="310">
                  <c:v>41.939903699999981</c:v>
                </c:pt>
                <c:pt idx="311">
                  <c:v>41.659363000000006</c:v>
                </c:pt>
                <c:pt idx="312">
                  <c:v>41.920894999999973</c:v>
                </c:pt>
                <c:pt idx="313">
                  <c:v>42.523371199999964</c:v>
                </c:pt>
                <c:pt idx="314">
                  <c:v>42.611573299999975</c:v>
                </c:pt>
                <c:pt idx="315">
                  <c:v>42.284398499999995</c:v>
                </c:pt>
                <c:pt idx="316">
                  <c:v>42.222133099999972</c:v>
                </c:pt>
                <c:pt idx="317">
                  <c:v>42.754333399999979</c:v>
                </c:pt>
                <c:pt idx="318">
                  <c:v>43.686062799999966</c:v>
                </c:pt>
                <c:pt idx="319">
                  <c:v>43.686062799999966</c:v>
                </c:pt>
                <c:pt idx="320">
                  <c:v>45.9070064</c:v>
                </c:pt>
                <c:pt idx="321">
                  <c:v>45.9070064</c:v>
                </c:pt>
                <c:pt idx="322">
                  <c:v>48.420441499999967</c:v>
                </c:pt>
                <c:pt idx="323">
                  <c:v>51.111969499999965</c:v>
                </c:pt>
                <c:pt idx="324">
                  <c:v>56.780242600000001</c:v>
                </c:pt>
                <c:pt idx="325">
                  <c:v>60.442123600000002</c:v>
                </c:pt>
                <c:pt idx="326">
                  <c:v>52.834400199999955</c:v>
                </c:pt>
                <c:pt idx="327">
                  <c:v>52.834400199999955</c:v>
                </c:pt>
                <c:pt idx="328">
                  <c:v>52.834400199999955</c:v>
                </c:pt>
                <c:pt idx="329">
                  <c:v>50.316894899999987</c:v>
                </c:pt>
                <c:pt idx="330">
                  <c:v>49.264834799999974</c:v>
                </c:pt>
                <c:pt idx="331">
                  <c:v>49.264834799999974</c:v>
                </c:pt>
                <c:pt idx="332">
                  <c:v>48.861798399999984</c:v>
                </c:pt>
                <c:pt idx="333">
                  <c:v>48.861798399999984</c:v>
                </c:pt>
                <c:pt idx="334">
                  <c:v>48.199265099999955</c:v>
                </c:pt>
                <c:pt idx="335">
                  <c:v>45.985032999999959</c:v>
                </c:pt>
                <c:pt idx="336">
                  <c:v>45.657641699999985</c:v>
                </c:pt>
                <c:pt idx="337">
                  <c:v>47.353486199999999</c:v>
                </c:pt>
                <c:pt idx="338">
                  <c:v>46.938628899999976</c:v>
                </c:pt>
                <c:pt idx="339">
                  <c:v>45.447766599999994</c:v>
                </c:pt>
                <c:pt idx="340">
                  <c:v>43.849000699999976</c:v>
                </c:pt>
                <c:pt idx="341">
                  <c:v>42.392172199999962</c:v>
                </c:pt>
                <c:pt idx="342">
                  <c:v>41.394713399999979</c:v>
                </c:pt>
                <c:pt idx="343">
                  <c:v>40.770327399999978</c:v>
                </c:pt>
                <c:pt idx="344">
                  <c:v>40.314897999999999</c:v>
                </c:pt>
                <c:pt idx="345">
                  <c:v>41.050175299999978</c:v>
                </c:pt>
                <c:pt idx="346">
                  <c:v>42.512156499999975</c:v>
                </c:pt>
                <c:pt idx="347">
                  <c:v>43.868875399999958</c:v>
                </c:pt>
                <c:pt idx="348">
                  <c:v>46.69710149999996</c:v>
                </c:pt>
                <c:pt idx="349">
                  <c:v>49.632624999999997</c:v>
                </c:pt>
                <c:pt idx="350">
                  <c:v>50.93119199999996</c:v>
                </c:pt>
                <c:pt idx="351">
                  <c:v>51.965455799999958</c:v>
                </c:pt>
                <c:pt idx="352">
                  <c:v>53.924391100000001</c:v>
                </c:pt>
                <c:pt idx="353">
                  <c:v>57.007740800000001</c:v>
                </c:pt>
                <c:pt idx="354">
                  <c:v>55.117349399999988</c:v>
                </c:pt>
                <c:pt idx="355">
                  <c:v>54.75367269999996</c:v>
                </c:pt>
                <c:pt idx="356">
                  <c:v>52.557886399999958</c:v>
                </c:pt>
                <c:pt idx="357">
                  <c:v>50.328715799999969</c:v>
                </c:pt>
                <c:pt idx="358">
                  <c:v>49.083624299999975</c:v>
                </c:pt>
                <c:pt idx="359">
                  <c:v>47.673083499999969</c:v>
                </c:pt>
                <c:pt idx="360">
                  <c:v>46.140393400000001</c:v>
                </c:pt>
                <c:pt idx="361">
                  <c:v>48.739172799999999</c:v>
                </c:pt>
                <c:pt idx="362">
                  <c:v>50.483686499999962</c:v>
                </c:pt>
                <c:pt idx="363">
                  <c:v>51.373241700000001</c:v>
                </c:pt>
                <c:pt idx="364">
                  <c:v>52.170005000000003</c:v>
                </c:pt>
                <c:pt idx="365">
                  <c:v>54.893012099999986</c:v>
                </c:pt>
                <c:pt idx="366">
                  <c:v>56.313988199999983</c:v>
                </c:pt>
                <c:pt idx="367">
                  <c:v>57.575836800000005</c:v>
                </c:pt>
                <c:pt idx="368">
                  <c:v>58.237287599999959</c:v>
                </c:pt>
                <c:pt idx="369">
                  <c:v>56.702648999999987</c:v>
                </c:pt>
                <c:pt idx="370">
                  <c:v>54.002374399999965</c:v>
                </c:pt>
                <c:pt idx="371">
                  <c:v>51.754541499999988</c:v>
                </c:pt>
                <c:pt idx="372">
                  <c:v>49.637344699999993</c:v>
                </c:pt>
                <c:pt idx="373">
                  <c:v>49.637344699999993</c:v>
                </c:pt>
                <c:pt idx="374">
                  <c:v>49.637344699999993</c:v>
                </c:pt>
                <c:pt idx="375">
                  <c:v>47.771331199999963</c:v>
                </c:pt>
                <c:pt idx="376">
                  <c:v>46.592748499999963</c:v>
                </c:pt>
                <c:pt idx="377">
                  <c:v>47.480225299999987</c:v>
                </c:pt>
                <c:pt idx="378">
                  <c:v>48.767794100000003</c:v>
                </c:pt>
                <c:pt idx="379">
                  <c:v>49.643666499999988</c:v>
                </c:pt>
                <c:pt idx="380">
                  <c:v>50.639609800000002</c:v>
                </c:pt>
                <c:pt idx="381">
                  <c:v>50.318063999999985</c:v>
                </c:pt>
                <c:pt idx="382">
                  <c:v>48.723324999999988</c:v>
                </c:pt>
                <c:pt idx="383">
                  <c:v>47.273337899999987</c:v>
                </c:pt>
                <c:pt idx="384">
                  <c:v>46.349705599999979</c:v>
                </c:pt>
                <c:pt idx="385">
                  <c:v>44.762197699999987</c:v>
                </c:pt>
                <c:pt idx="386">
                  <c:v>42.501071699999997</c:v>
                </c:pt>
                <c:pt idx="387">
                  <c:v>42.143067299999977</c:v>
                </c:pt>
                <c:pt idx="388">
                  <c:v>40.787820599999968</c:v>
                </c:pt>
                <c:pt idx="389">
                  <c:v>40.134423599999963</c:v>
                </c:pt>
                <c:pt idx="390">
                  <c:v>40.134423599999963</c:v>
                </c:pt>
                <c:pt idx="391">
                  <c:v>39.634828199999994</c:v>
                </c:pt>
                <c:pt idx="392">
                  <c:v>39.634828199999994</c:v>
                </c:pt>
                <c:pt idx="393">
                  <c:v>40.271078399999972</c:v>
                </c:pt>
                <c:pt idx="394">
                  <c:v>40.916594799999984</c:v>
                </c:pt>
                <c:pt idx="395">
                  <c:v>39.865876999999983</c:v>
                </c:pt>
                <c:pt idx="396">
                  <c:v>37.529582199999957</c:v>
                </c:pt>
                <c:pt idx="397">
                  <c:v>36.004469599999958</c:v>
                </c:pt>
                <c:pt idx="398">
                  <c:v>33.907017599999982</c:v>
                </c:pt>
                <c:pt idx="399">
                  <c:v>32.4030354</c:v>
                </c:pt>
                <c:pt idx="400">
                  <c:v>29.994992499999967</c:v>
                </c:pt>
                <c:pt idx="401">
                  <c:v>27.573353399999998</c:v>
                </c:pt>
                <c:pt idx="402">
                  <c:v>23.563643499999987</c:v>
                </c:pt>
                <c:pt idx="403">
                  <c:v>20.673844799999987</c:v>
                </c:pt>
                <c:pt idx="404">
                  <c:v>18.833205099999986</c:v>
                </c:pt>
                <c:pt idx="405">
                  <c:v>18.833205099999986</c:v>
                </c:pt>
                <c:pt idx="406">
                  <c:v>16.419749699999983</c:v>
                </c:pt>
                <c:pt idx="407">
                  <c:v>14.247388699999959</c:v>
                </c:pt>
                <c:pt idx="408">
                  <c:v>12.523225999999962</c:v>
                </c:pt>
                <c:pt idx="409">
                  <c:v>12.523225999999962</c:v>
                </c:pt>
                <c:pt idx="410">
                  <c:v>11.75261589999999</c:v>
                </c:pt>
                <c:pt idx="411">
                  <c:v>11.344513399999991</c:v>
                </c:pt>
                <c:pt idx="412">
                  <c:v>11.190668499999967</c:v>
                </c:pt>
                <c:pt idx="413">
                  <c:v>11.184693099999992</c:v>
                </c:pt>
                <c:pt idx="414">
                  <c:v>10.747839399999974</c:v>
                </c:pt>
                <c:pt idx="415">
                  <c:v>10.182254799999978</c:v>
                </c:pt>
                <c:pt idx="416">
                  <c:v>10.571565099999967</c:v>
                </c:pt>
                <c:pt idx="417">
                  <c:v>11.268651799999985</c:v>
                </c:pt>
                <c:pt idx="418">
                  <c:v>13.011823199999986</c:v>
                </c:pt>
                <c:pt idx="419">
                  <c:v>15.328329899999957</c:v>
                </c:pt>
                <c:pt idx="420">
                  <c:v>17.632929099999963</c:v>
                </c:pt>
                <c:pt idx="421">
                  <c:v>19.392251399999999</c:v>
                </c:pt>
                <c:pt idx="422">
                  <c:v>21.226829099999993</c:v>
                </c:pt>
                <c:pt idx="423">
                  <c:v>23.742645699999997</c:v>
                </c:pt>
                <c:pt idx="424">
                  <c:v>26.330426900000003</c:v>
                </c:pt>
                <c:pt idx="425">
                  <c:v>29.697824599999983</c:v>
                </c:pt>
                <c:pt idx="426">
                  <c:v>32.518603099999986</c:v>
                </c:pt>
                <c:pt idx="427">
                  <c:v>34.086279599999976</c:v>
                </c:pt>
                <c:pt idx="428">
                  <c:v>36.294276499999967</c:v>
                </c:pt>
                <c:pt idx="429">
                  <c:v>36.747843999999972</c:v>
                </c:pt>
                <c:pt idx="430">
                  <c:v>39.491245399999997</c:v>
                </c:pt>
                <c:pt idx="431">
                  <c:v>39.301504799999975</c:v>
                </c:pt>
                <c:pt idx="432">
                  <c:v>39.00420699999998</c:v>
                </c:pt>
                <c:pt idx="433">
                  <c:v>37.174392299999965</c:v>
                </c:pt>
                <c:pt idx="434">
                  <c:v>36.999590199999986</c:v>
                </c:pt>
                <c:pt idx="435">
                  <c:v>36.883589499999964</c:v>
                </c:pt>
                <c:pt idx="436">
                  <c:v>36.11440829999998</c:v>
                </c:pt>
                <c:pt idx="437">
                  <c:v>35.445380000000007</c:v>
                </c:pt>
                <c:pt idx="438">
                  <c:v>35.519552899999994</c:v>
                </c:pt>
                <c:pt idx="439">
                  <c:v>35.59788259999997</c:v>
                </c:pt>
                <c:pt idx="440">
                  <c:v>35.683400099999972</c:v>
                </c:pt>
                <c:pt idx="441">
                  <c:v>36.126575599999974</c:v>
                </c:pt>
                <c:pt idx="442">
                  <c:v>37.336940499999976</c:v>
                </c:pt>
                <c:pt idx="443">
                  <c:v>38.597143699999968</c:v>
                </c:pt>
                <c:pt idx="444">
                  <c:v>39.885535199999971</c:v>
                </c:pt>
                <c:pt idx="445">
                  <c:v>41.191549799999983</c:v>
                </c:pt>
                <c:pt idx="446">
                  <c:v>42.105612799999975</c:v>
                </c:pt>
                <c:pt idx="447">
                  <c:v>42.345971099999993</c:v>
                </c:pt>
                <c:pt idx="448">
                  <c:v>42.617115699999964</c:v>
                </c:pt>
                <c:pt idx="449">
                  <c:v>42.910646399999969</c:v>
                </c:pt>
                <c:pt idx="450">
                  <c:v>42.569875399999958</c:v>
                </c:pt>
                <c:pt idx="451">
                  <c:v>41.661311499999961</c:v>
                </c:pt>
                <c:pt idx="452">
                  <c:v>41.023589100000002</c:v>
                </c:pt>
                <c:pt idx="453">
                  <c:v>40.184781499999971</c:v>
                </c:pt>
                <c:pt idx="454">
                  <c:v>39.450716599999986</c:v>
                </c:pt>
                <c:pt idx="455">
                  <c:v>38.782511</c:v>
                </c:pt>
                <c:pt idx="456">
                  <c:v>38.00233159999997</c:v>
                </c:pt>
                <c:pt idx="457">
                  <c:v>38.00233159999997</c:v>
                </c:pt>
                <c:pt idx="458">
                  <c:v>36.910608699999976</c:v>
                </c:pt>
                <c:pt idx="459">
                  <c:v>35.517820899999982</c:v>
                </c:pt>
                <c:pt idx="460">
                  <c:v>35.15089669999999</c:v>
                </c:pt>
                <c:pt idx="461">
                  <c:v>34.23068509999996</c:v>
                </c:pt>
                <c:pt idx="462">
                  <c:v>32.707087999999978</c:v>
                </c:pt>
                <c:pt idx="463">
                  <c:v>32.377704899999955</c:v>
                </c:pt>
                <c:pt idx="464">
                  <c:v>31.014231199999994</c:v>
                </c:pt>
                <c:pt idx="465">
                  <c:v>31.014231199999994</c:v>
                </c:pt>
                <c:pt idx="466">
                  <c:v>26.683841499999996</c:v>
                </c:pt>
                <c:pt idx="467">
                  <c:v>25.83931829999997</c:v>
                </c:pt>
                <c:pt idx="468">
                  <c:v>20.823532899999972</c:v>
                </c:pt>
                <c:pt idx="469">
                  <c:v>18.462730299999993</c:v>
                </c:pt>
                <c:pt idx="470">
                  <c:v>18.462730299999993</c:v>
                </c:pt>
                <c:pt idx="471">
                  <c:v>16.998194399999999</c:v>
                </c:pt>
                <c:pt idx="472">
                  <c:v>16.998194399999999</c:v>
                </c:pt>
                <c:pt idx="473">
                  <c:v>15.206873399999974</c:v>
                </c:pt>
                <c:pt idx="474">
                  <c:v>13.61200449999996</c:v>
                </c:pt>
                <c:pt idx="475">
                  <c:v>12.101527299999979</c:v>
                </c:pt>
                <c:pt idx="476">
                  <c:v>12.1577307</c:v>
                </c:pt>
                <c:pt idx="477">
                  <c:v>11.735079399999961</c:v>
                </c:pt>
                <c:pt idx="478">
                  <c:v>11.735079399999961</c:v>
                </c:pt>
                <c:pt idx="479">
                  <c:v>11.437348599999973</c:v>
                </c:pt>
                <c:pt idx="480">
                  <c:v>11.437348599999973</c:v>
                </c:pt>
                <c:pt idx="481">
                  <c:v>12.833990099999978</c:v>
                </c:pt>
                <c:pt idx="482">
                  <c:v>11.032190499999974</c:v>
                </c:pt>
                <c:pt idx="483">
                  <c:v>9.4016423999999574</c:v>
                </c:pt>
                <c:pt idx="484">
                  <c:v>9.0161857999999846</c:v>
                </c:pt>
                <c:pt idx="485">
                  <c:v>9.3442265999999954</c:v>
                </c:pt>
                <c:pt idx="486">
                  <c:v>9.1510652999999955</c:v>
                </c:pt>
                <c:pt idx="487">
                  <c:v>8.4991404999999638</c:v>
                </c:pt>
                <c:pt idx="488">
                  <c:v>7.4713283999999707</c:v>
                </c:pt>
                <c:pt idx="489">
                  <c:v>6.5725502999999774</c:v>
                </c:pt>
                <c:pt idx="490">
                  <c:v>5.5650891999999947</c:v>
                </c:pt>
                <c:pt idx="491">
                  <c:v>4.6998252999999579</c:v>
                </c:pt>
                <c:pt idx="492">
                  <c:v>3.6118694999999983</c:v>
                </c:pt>
                <c:pt idx="493">
                  <c:v>2.0627253999999766</c:v>
                </c:pt>
                <c:pt idx="494">
                  <c:v>0.6290623999999615</c:v>
                </c:pt>
                <c:pt idx="495">
                  <c:v>0</c:v>
                </c:pt>
                <c:pt idx="496">
                  <c:v>0</c:v>
                </c:pt>
                <c:pt idx="497">
                  <c:v>0.21169370000002505</c:v>
                </c:pt>
                <c:pt idx="498">
                  <c:v>1.3243305000000409</c:v>
                </c:pt>
                <c:pt idx="499">
                  <c:v>2.9498125000000002</c:v>
                </c:pt>
                <c:pt idx="500">
                  <c:v>4.7374963000000028</c:v>
                </c:pt>
                <c:pt idx="501">
                  <c:v>6.6880747000000218</c:v>
                </c:pt>
                <c:pt idx="502">
                  <c:v>8.6188216999999998</c:v>
                </c:pt>
                <c:pt idx="503">
                  <c:v>10.031181099999996</c:v>
                </c:pt>
                <c:pt idx="504">
                  <c:v>10.762474800000041</c:v>
                </c:pt>
                <c:pt idx="505">
                  <c:v>11.35746010000004</c:v>
                </c:pt>
                <c:pt idx="506">
                  <c:v>11.573397200000034</c:v>
                </c:pt>
                <c:pt idx="507">
                  <c:v>11.634103800000007</c:v>
                </c:pt>
                <c:pt idx="508">
                  <c:v>11.889530500000031</c:v>
                </c:pt>
                <c:pt idx="509">
                  <c:v>12.547214200000044</c:v>
                </c:pt>
                <c:pt idx="510">
                  <c:v>12.547214200000044</c:v>
                </c:pt>
                <c:pt idx="511">
                  <c:v>13.632788500000011</c:v>
                </c:pt>
                <c:pt idx="512">
                  <c:v>13.632788500000011</c:v>
                </c:pt>
                <c:pt idx="513">
                  <c:v>14.713383299999997</c:v>
                </c:pt>
                <c:pt idx="514">
                  <c:v>15.764144400000038</c:v>
                </c:pt>
                <c:pt idx="515">
                  <c:v>16.839846300000023</c:v>
                </c:pt>
                <c:pt idx="516">
                  <c:v>17.415260000000011</c:v>
                </c:pt>
                <c:pt idx="517">
                  <c:v>17.974306300000023</c:v>
                </c:pt>
                <c:pt idx="518">
                  <c:v>19.008483500000043</c:v>
                </c:pt>
                <c:pt idx="519">
                  <c:v>20.100422900000037</c:v>
                </c:pt>
                <c:pt idx="520">
                  <c:v>23.052920000000004</c:v>
                </c:pt>
                <c:pt idx="521">
                  <c:v>24.753917200000007</c:v>
                </c:pt>
                <c:pt idx="522">
                  <c:v>26.179569700000016</c:v>
                </c:pt>
                <c:pt idx="523">
                  <c:v>26.178530500000029</c:v>
                </c:pt>
                <c:pt idx="524">
                  <c:v>25.992990000000038</c:v>
                </c:pt>
                <c:pt idx="525">
                  <c:v>25.078753800000037</c:v>
                </c:pt>
                <c:pt idx="526">
                  <c:v>23.098601500000008</c:v>
                </c:pt>
                <c:pt idx="527">
                  <c:v>21.656884700000045</c:v>
                </c:pt>
                <c:pt idx="528">
                  <c:v>20.312203200000042</c:v>
                </c:pt>
                <c:pt idx="529">
                  <c:v>19.061959000000009</c:v>
                </c:pt>
                <c:pt idx="530">
                  <c:v>18.039386200000031</c:v>
                </c:pt>
                <c:pt idx="531">
                  <c:v>16.920254400000022</c:v>
                </c:pt>
                <c:pt idx="532">
                  <c:v>16.920254400000022</c:v>
                </c:pt>
                <c:pt idx="533">
                  <c:v>15.799910200000021</c:v>
                </c:pt>
                <c:pt idx="534">
                  <c:v>15.799910200000021</c:v>
                </c:pt>
                <c:pt idx="535">
                  <c:v>14.686061000000013</c:v>
                </c:pt>
                <c:pt idx="536">
                  <c:v>14.325328700000037</c:v>
                </c:pt>
                <c:pt idx="537">
                  <c:v>15.496290600000032</c:v>
                </c:pt>
                <c:pt idx="538">
                  <c:v>16.424252900000035</c:v>
                </c:pt>
                <c:pt idx="539">
                  <c:v>17.589499200000038</c:v>
                </c:pt>
                <c:pt idx="540">
                  <c:v>18.516985200000011</c:v>
                </c:pt>
                <c:pt idx="541">
                  <c:v>19.330419000000013</c:v>
                </c:pt>
                <c:pt idx="542">
                  <c:v>19.899510900000013</c:v>
                </c:pt>
                <c:pt idx="543">
                  <c:v>20.319607500000004</c:v>
                </c:pt>
                <c:pt idx="544">
                  <c:v>20.44128050000003</c:v>
                </c:pt>
                <c:pt idx="545">
                  <c:v>20.009146500000011</c:v>
                </c:pt>
                <c:pt idx="546">
                  <c:v>18.372016800000022</c:v>
                </c:pt>
                <c:pt idx="547">
                  <c:v>17.002481100000008</c:v>
                </c:pt>
                <c:pt idx="548">
                  <c:v>14.980457700000002</c:v>
                </c:pt>
                <c:pt idx="549">
                  <c:v>13.094872600000011</c:v>
                </c:pt>
                <c:pt idx="550">
                  <c:v>11.307448600000042</c:v>
                </c:pt>
                <c:pt idx="551">
                  <c:v>9.6549041000000333</c:v>
                </c:pt>
                <c:pt idx="552">
                  <c:v>9.6549041000000333</c:v>
                </c:pt>
                <c:pt idx="553">
                  <c:v>7.6854469000000272</c:v>
                </c:pt>
                <c:pt idx="554">
                  <c:v>7.6854469000000272</c:v>
                </c:pt>
                <c:pt idx="555">
                  <c:v>5.9499396000000209</c:v>
                </c:pt>
                <c:pt idx="556">
                  <c:v>3.9978890000000264</c:v>
                </c:pt>
                <c:pt idx="557">
                  <c:v>2.0849383000000126</c:v>
                </c:pt>
                <c:pt idx="558">
                  <c:v>1.199150200000008</c:v>
                </c:pt>
                <c:pt idx="559">
                  <c:v>0.15198299999999962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8.5517499999996055E-2</c:v>
                </c:pt>
                <c:pt idx="565">
                  <c:v>0.60910110000000028</c:v>
                </c:pt>
                <c:pt idx="566">
                  <c:v>1.615393099999981</c:v>
                </c:pt>
                <c:pt idx="567">
                  <c:v>2.8130710999999646</c:v>
                </c:pt>
                <c:pt idx="568">
                  <c:v>3.918087099999974</c:v>
                </c:pt>
                <c:pt idx="569">
                  <c:v>5.5102280999999831</c:v>
                </c:pt>
                <c:pt idx="570">
                  <c:v>6.9060468999999971</c:v>
                </c:pt>
                <c:pt idx="571">
                  <c:v>8.1608375999999687</c:v>
                </c:pt>
                <c:pt idx="572">
                  <c:v>9.3880461999999731</c:v>
                </c:pt>
                <c:pt idx="573">
                  <c:v>10.645997799999989</c:v>
                </c:pt>
                <c:pt idx="574">
                  <c:v>11.912306299999974</c:v>
                </c:pt>
                <c:pt idx="575">
                  <c:v>13.829673599999962</c:v>
                </c:pt>
                <c:pt idx="576">
                  <c:v>12.502571899999978</c:v>
                </c:pt>
                <c:pt idx="577">
                  <c:v>12.246235899999984</c:v>
                </c:pt>
                <c:pt idx="578">
                  <c:v>13.228712899999987</c:v>
                </c:pt>
                <c:pt idx="579">
                  <c:v>14.026731899999969</c:v>
                </c:pt>
                <c:pt idx="580">
                  <c:v>14.737328199999991</c:v>
                </c:pt>
                <c:pt idx="581">
                  <c:v>15.51560239999996</c:v>
                </c:pt>
                <c:pt idx="582">
                  <c:v>16.400481199999994</c:v>
                </c:pt>
                <c:pt idx="583">
                  <c:v>17.602012899999995</c:v>
                </c:pt>
                <c:pt idx="584">
                  <c:v>18.483211199999971</c:v>
                </c:pt>
                <c:pt idx="585">
                  <c:v>20.02828509999998</c:v>
                </c:pt>
                <c:pt idx="586">
                  <c:v>18.371497199999954</c:v>
                </c:pt>
                <c:pt idx="587">
                  <c:v>15.026225799999983</c:v>
                </c:pt>
                <c:pt idx="588">
                  <c:v>12.583023299999965</c:v>
                </c:pt>
                <c:pt idx="589">
                  <c:v>9.5188987999999615</c:v>
                </c:pt>
                <c:pt idx="590">
                  <c:v>7.2959200999999929</c:v>
                </c:pt>
                <c:pt idx="591">
                  <c:v>5.7249527999999854</c:v>
                </c:pt>
                <c:pt idx="592">
                  <c:v>5.1128639999999965</c:v>
                </c:pt>
                <c:pt idx="593">
                  <c:v>5.1128639999999965</c:v>
                </c:pt>
                <c:pt idx="594">
                  <c:v>4.9940055000000019</c:v>
                </c:pt>
                <c:pt idx="595">
                  <c:v>4.9940055000000019</c:v>
                </c:pt>
                <c:pt idx="596">
                  <c:v>5.3429601999999807</c:v>
                </c:pt>
                <c:pt idx="597">
                  <c:v>6.0113822999999567</c:v>
                </c:pt>
                <c:pt idx="598">
                  <c:v>6.7757138999999782</c:v>
                </c:pt>
                <c:pt idx="599">
                  <c:v>7.6049522000000005</c:v>
                </c:pt>
                <c:pt idx="600">
                  <c:v>8.5317886999999892</c:v>
                </c:pt>
                <c:pt idx="601">
                  <c:v>9.4703161999999974</c:v>
                </c:pt>
                <c:pt idx="602">
                  <c:v>10.706314699999961</c:v>
                </c:pt>
                <c:pt idx="603">
                  <c:v>9.9120627999999673</c:v>
                </c:pt>
                <c:pt idx="604">
                  <c:v>9.415541699999963</c:v>
                </c:pt>
                <c:pt idx="605">
                  <c:v>8.8957251999999976</c:v>
                </c:pt>
                <c:pt idx="606">
                  <c:v>8.818781099999967</c:v>
                </c:pt>
                <c:pt idx="607">
                  <c:v>9.089535999999983</c:v>
                </c:pt>
                <c:pt idx="608">
                  <c:v>9.7730697999999556</c:v>
                </c:pt>
                <c:pt idx="609">
                  <c:v>10.916579500000001</c:v>
                </c:pt>
                <c:pt idx="610">
                  <c:v>11.643629799999978</c:v>
                </c:pt>
                <c:pt idx="611">
                  <c:v>12.096158099999998</c:v>
                </c:pt>
                <c:pt idx="612">
                  <c:v>12.753019099999973</c:v>
                </c:pt>
                <c:pt idx="613">
                  <c:v>13.041700199999969</c:v>
                </c:pt>
                <c:pt idx="614">
                  <c:v>14.118874299999977</c:v>
                </c:pt>
                <c:pt idx="615">
                  <c:v>14.940145399999981</c:v>
                </c:pt>
                <c:pt idx="616">
                  <c:v>14.975434899999984</c:v>
                </c:pt>
                <c:pt idx="617">
                  <c:v>14.765126799999955</c:v>
                </c:pt>
                <c:pt idx="618">
                  <c:v>15.100182199999978</c:v>
                </c:pt>
                <c:pt idx="619">
                  <c:v>15.201980499999971</c:v>
                </c:pt>
                <c:pt idx="620">
                  <c:v>15.020899899999991</c:v>
                </c:pt>
                <c:pt idx="621">
                  <c:v>14.714032799999982</c:v>
                </c:pt>
                <c:pt idx="622">
                  <c:v>13.824520899999976</c:v>
                </c:pt>
                <c:pt idx="623">
                  <c:v>13.195891499999956</c:v>
                </c:pt>
                <c:pt idx="624">
                  <c:v>12.97047169999998</c:v>
                </c:pt>
                <c:pt idx="625">
                  <c:v>13.204464899999969</c:v>
                </c:pt>
                <c:pt idx="626">
                  <c:v>13.487517</c:v>
                </c:pt>
                <c:pt idx="627">
                  <c:v>13.88808529999997</c:v>
                </c:pt>
                <c:pt idx="628">
                  <c:v>14.322081199999966</c:v>
                </c:pt>
                <c:pt idx="629">
                  <c:v>14.453150299999997</c:v>
                </c:pt>
                <c:pt idx="630">
                  <c:v>14.543993699999985</c:v>
                </c:pt>
                <c:pt idx="631">
                  <c:v>14.535680099999956</c:v>
                </c:pt>
                <c:pt idx="632">
                  <c:v>14.535680099999956</c:v>
                </c:pt>
                <c:pt idx="633">
                  <c:v>14.840295599999989</c:v>
                </c:pt>
                <c:pt idx="634">
                  <c:v>15.235061699999987</c:v>
                </c:pt>
                <c:pt idx="635">
                  <c:v>15.501962899999986</c:v>
                </c:pt>
                <c:pt idx="636">
                  <c:v>15.446755399999963</c:v>
                </c:pt>
                <c:pt idx="637">
                  <c:v>15.293906399999983</c:v>
                </c:pt>
                <c:pt idx="638">
                  <c:v>14.282245199999972</c:v>
                </c:pt>
                <c:pt idx="639">
                  <c:v>14.044008599999964</c:v>
                </c:pt>
                <c:pt idx="640">
                  <c:v>19.238709599999996</c:v>
                </c:pt>
                <c:pt idx="641">
                  <c:v>15.007650099999969</c:v>
                </c:pt>
                <c:pt idx="642">
                  <c:v>15.344307599999983</c:v>
                </c:pt>
                <c:pt idx="643">
                  <c:v>16.834823499999953</c:v>
                </c:pt>
                <c:pt idx="644">
                  <c:v>15.935915499999993</c:v>
                </c:pt>
                <c:pt idx="645">
                  <c:v>14.025995799999958</c:v>
                </c:pt>
                <c:pt idx="646">
                  <c:v>13.149127499999977</c:v>
                </c:pt>
                <c:pt idx="647">
                  <c:v>12.365613999999997</c:v>
                </c:pt>
                <c:pt idx="648">
                  <c:v>11.145982899999961</c:v>
                </c:pt>
                <c:pt idx="649">
                  <c:v>9.7078166999999933</c:v>
                </c:pt>
                <c:pt idx="650">
                  <c:v>9.7078166999999933</c:v>
                </c:pt>
                <c:pt idx="651">
                  <c:v>8.2465715999999603</c:v>
                </c:pt>
                <c:pt idx="652">
                  <c:v>7.2504117999999957</c:v>
                </c:pt>
                <c:pt idx="653">
                  <c:v>6.6172358999999839</c:v>
                </c:pt>
                <c:pt idx="654">
                  <c:v>4.8627631999999643</c:v>
                </c:pt>
                <c:pt idx="655">
                  <c:v>4.493327599999958</c:v>
                </c:pt>
                <c:pt idx="656">
                  <c:v>5.573013099999975</c:v>
                </c:pt>
                <c:pt idx="657">
                  <c:v>7.2569500999999796</c:v>
                </c:pt>
                <c:pt idx="658">
                  <c:v>4.9933126999999784</c:v>
                </c:pt>
                <c:pt idx="659">
                  <c:v>2.4152307</c:v>
                </c:pt>
                <c:pt idx="660">
                  <c:v>0.41953369999998369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1.8833334999999658</c:v>
                </c:pt>
                <c:pt idx="674">
                  <c:v>5.9556985000000031</c:v>
                </c:pt>
                <c:pt idx="675">
                  <c:v>9.2815714999999717</c:v>
                </c:pt>
                <c:pt idx="676">
                  <c:v>12.445199399999956</c:v>
                </c:pt>
                <c:pt idx="677">
                  <c:v>15.942540400000004</c:v>
                </c:pt>
                <c:pt idx="678">
                  <c:v>11.503900700000004</c:v>
                </c:pt>
                <c:pt idx="679">
                  <c:v>11.179930099999956</c:v>
                </c:pt>
                <c:pt idx="680">
                  <c:v>13.853401999999964</c:v>
                </c:pt>
                <c:pt idx="681">
                  <c:v>18.37041469999998</c:v>
                </c:pt>
                <c:pt idx="682">
                  <c:v>25.613032499999964</c:v>
                </c:pt>
                <c:pt idx="683">
                  <c:v>25.613032499999964</c:v>
                </c:pt>
                <c:pt idx="684">
                  <c:v>23.29583299999997</c:v>
                </c:pt>
                <c:pt idx="685">
                  <c:v>23.29583299999997</c:v>
                </c:pt>
                <c:pt idx="686">
                  <c:v>21.149235499999978</c:v>
                </c:pt>
                <c:pt idx="687">
                  <c:v>15.009208899999972</c:v>
                </c:pt>
                <c:pt idx="688">
                  <c:v>12.349679599999961</c:v>
                </c:pt>
                <c:pt idx="689">
                  <c:v>9.043291599999975</c:v>
                </c:pt>
                <c:pt idx="690">
                  <c:v>6.2088736000000022</c:v>
                </c:pt>
                <c:pt idx="691">
                  <c:v>4.1411253999999573</c:v>
                </c:pt>
                <c:pt idx="692">
                  <c:v>4.6462198999999753</c:v>
                </c:pt>
                <c:pt idx="693">
                  <c:v>4.6462198999999753</c:v>
                </c:pt>
                <c:pt idx="694">
                  <c:v>4.6493807999999692</c:v>
                </c:pt>
                <c:pt idx="695">
                  <c:v>4.6493807999999692</c:v>
                </c:pt>
                <c:pt idx="696">
                  <c:v>2.4590069999999886</c:v>
                </c:pt>
                <c:pt idx="697">
                  <c:v>0.52981879999996506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0.1424136999999896</c:v>
                </c:pt>
                <c:pt idx="703">
                  <c:v>0.35813429999998836</c:v>
                </c:pt>
                <c:pt idx="704">
                  <c:v>0</c:v>
                </c:pt>
                <c:pt idx="705">
                  <c:v>0.35311150000001851</c:v>
                </c:pt>
                <c:pt idx="706">
                  <c:v>0.95667020000003178</c:v>
                </c:pt>
                <c:pt idx="707">
                  <c:v>1.2278581000000381</c:v>
                </c:pt>
                <c:pt idx="708">
                  <c:v>1.8590854999999977</c:v>
                </c:pt>
                <c:pt idx="709">
                  <c:v>2.2175661999999976</c:v>
                </c:pt>
                <c:pt idx="710">
                  <c:v>3.2900638999999976</c:v>
                </c:pt>
                <c:pt idx="711">
                  <c:v>4.3865065000000421</c:v>
                </c:pt>
                <c:pt idx="712">
                  <c:v>5.8265779000000242</c:v>
                </c:pt>
                <c:pt idx="713">
                  <c:v>6.9483510000000113</c:v>
                </c:pt>
                <c:pt idx="714">
                  <c:v>7.9189204999999996</c:v>
                </c:pt>
                <c:pt idx="715">
                  <c:v>7.9848664000000351</c:v>
                </c:pt>
                <c:pt idx="716">
                  <c:v>6.4970784000000199</c:v>
                </c:pt>
                <c:pt idx="717">
                  <c:v>5.0270867000000168</c:v>
                </c:pt>
                <c:pt idx="718">
                  <c:v>3.4113472000000242</c:v>
                </c:pt>
                <c:pt idx="719">
                  <c:v>1.7940922000000183</c:v>
                </c:pt>
                <c:pt idx="720">
                  <c:v>0.91744040000003391</c:v>
                </c:pt>
                <c:pt idx="721">
                  <c:v>0.16683490000001269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0.1231452000000022</c:v>
                </c:pt>
                <c:pt idx="729">
                  <c:v>1.0418413000000164</c:v>
                </c:pt>
                <c:pt idx="730">
                  <c:v>2.169329999999996</c:v>
                </c:pt>
                <c:pt idx="731">
                  <c:v>3.4021243000000259</c:v>
                </c:pt>
                <c:pt idx="732">
                  <c:v>4.582958600000004</c:v>
                </c:pt>
                <c:pt idx="733">
                  <c:v>5.5180220999999952</c:v>
                </c:pt>
                <c:pt idx="734">
                  <c:v>6.3818570999999977</c:v>
                </c:pt>
                <c:pt idx="735">
                  <c:v>7.0663868000000161</c:v>
                </c:pt>
                <c:pt idx="736">
                  <c:v>7.1589189000000228</c:v>
                </c:pt>
                <c:pt idx="737">
                  <c:v>7.3722580000000288</c:v>
                </c:pt>
                <c:pt idx="738">
                  <c:v>7.3139761999999893</c:v>
                </c:pt>
                <c:pt idx="739">
                  <c:v>7.2136068000000293</c:v>
                </c:pt>
                <c:pt idx="740">
                  <c:v>7.2714122999999917</c:v>
                </c:pt>
                <c:pt idx="741">
                  <c:v>6.5147015000000259</c:v>
                </c:pt>
                <c:pt idx="742">
                  <c:v>5.6183915000000049</c:v>
                </c:pt>
                <c:pt idx="743">
                  <c:v>4.3240246000000235</c:v>
                </c:pt>
                <c:pt idx="744">
                  <c:v>2.9027454000000006</c:v>
                </c:pt>
                <c:pt idx="745">
                  <c:v>2.1818437000000053</c:v>
                </c:pt>
                <c:pt idx="746">
                  <c:v>1.8712095000000062</c:v>
                </c:pt>
                <c:pt idx="747">
                  <c:v>2.1179761999999895</c:v>
                </c:pt>
                <c:pt idx="748">
                  <c:v>2.320360400000038</c:v>
                </c:pt>
                <c:pt idx="749">
                  <c:v>2.6726059000000277</c:v>
                </c:pt>
                <c:pt idx="750">
                  <c:v>2.9778708999999961</c:v>
                </c:pt>
                <c:pt idx="751">
                  <c:v>3.2240314000000332</c:v>
                </c:pt>
                <c:pt idx="752">
                  <c:v>3.2240314000000332</c:v>
                </c:pt>
                <c:pt idx="753">
                  <c:v>2.6970703999999905</c:v>
                </c:pt>
                <c:pt idx="754">
                  <c:v>2.0726410999999985</c:v>
                </c:pt>
                <c:pt idx="755">
                  <c:v>2.0726410999999985</c:v>
                </c:pt>
                <c:pt idx="756">
                  <c:v>2.131918800000034</c:v>
                </c:pt>
                <c:pt idx="757">
                  <c:v>1.9018226000000011</c:v>
                </c:pt>
                <c:pt idx="758">
                  <c:v>1.7964304000000222</c:v>
                </c:pt>
                <c:pt idx="759">
                  <c:v>1.8866243000000258</c:v>
                </c:pt>
                <c:pt idx="760">
                  <c:v>2.0594346000000154</c:v>
                </c:pt>
                <c:pt idx="761">
                  <c:v>2.3631408000000302</c:v>
                </c:pt>
                <c:pt idx="762">
                  <c:v>2.5084989000000193</c:v>
                </c:pt>
                <c:pt idx="763">
                  <c:v>2.5587269000000132</c:v>
                </c:pt>
                <c:pt idx="764">
                  <c:v>2.4585307000000096</c:v>
                </c:pt>
                <c:pt idx="765">
                  <c:v>2.3772132999999931</c:v>
                </c:pt>
                <c:pt idx="766">
                  <c:v>2.3272017999999943</c:v>
                </c:pt>
                <c:pt idx="767">
                  <c:v>2.1698929000000025</c:v>
                </c:pt>
                <c:pt idx="768">
                  <c:v>1.840942800000023</c:v>
                </c:pt>
                <c:pt idx="769">
                  <c:v>1.5165392000000344</c:v>
                </c:pt>
                <c:pt idx="770">
                  <c:v>1.1991934999999971</c:v>
                </c:pt>
                <c:pt idx="771">
                  <c:v>1.6834174000000364</c:v>
                </c:pt>
                <c:pt idx="772">
                  <c:v>2.4556295999999995</c:v>
                </c:pt>
                <c:pt idx="773">
                  <c:v>3.3135325000000138</c:v>
                </c:pt>
                <c:pt idx="774">
                  <c:v>4.3083500000000194</c:v>
                </c:pt>
                <c:pt idx="775">
                  <c:v>5.3262463999999916</c:v>
                </c:pt>
                <c:pt idx="776">
                  <c:v>6.2706194000000091</c:v>
                </c:pt>
                <c:pt idx="777">
                  <c:v>7.1047939000000229</c:v>
                </c:pt>
                <c:pt idx="778">
                  <c:v>8.1000011000000303</c:v>
                </c:pt>
                <c:pt idx="779">
                  <c:v>9.1137840000000008</c:v>
                </c:pt>
                <c:pt idx="780">
                  <c:v>10.191088000000025</c:v>
                </c:pt>
                <c:pt idx="781">
                  <c:v>10.191088000000025</c:v>
                </c:pt>
                <c:pt idx="782">
                  <c:v>11.367938700000019</c:v>
                </c:pt>
                <c:pt idx="783">
                  <c:v>11.367938700000019</c:v>
                </c:pt>
                <c:pt idx="784">
                  <c:v>12.318936599999997</c:v>
                </c:pt>
                <c:pt idx="785">
                  <c:v>13.010524200000017</c:v>
                </c:pt>
                <c:pt idx="786">
                  <c:v>13.010524200000017</c:v>
                </c:pt>
                <c:pt idx="787">
                  <c:v>13.25516919999999</c:v>
                </c:pt>
                <c:pt idx="788">
                  <c:v>13.115786500000029</c:v>
                </c:pt>
                <c:pt idx="789">
                  <c:v>12.986709199999989</c:v>
                </c:pt>
                <c:pt idx="790">
                  <c:v>11.535206600000022</c:v>
                </c:pt>
                <c:pt idx="791">
                  <c:v>11.535206600000022</c:v>
                </c:pt>
                <c:pt idx="792">
                  <c:v>10.737880400000012</c:v>
                </c:pt>
                <c:pt idx="793">
                  <c:v>9.8937469000000373</c:v>
                </c:pt>
                <c:pt idx="794">
                  <c:v>9.2025923000000081</c:v>
                </c:pt>
                <c:pt idx="795">
                  <c:v>8.3760386000000011</c:v>
                </c:pt>
                <c:pt idx="796">
                  <c:v>7.8555726000000012</c:v>
                </c:pt>
                <c:pt idx="797">
                  <c:v>7.4570394000000126</c:v>
                </c:pt>
                <c:pt idx="798">
                  <c:v>7.2335680999999905</c:v>
                </c:pt>
                <c:pt idx="799">
                  <c:v>7.1062228000000092</c:v>
                </c:pt>
                <c:pt idx="800">
                  <c:v>7.0932761000000104</c:v>
                </c:pt>
                <c:pt idx="801">
                  <c:v>7.3962029000000244</c:v>
                </c:pt>
                <c:pt idx="802">
                  <c:v>8.4562302000000038</c:v>
                </c:pt>
                <c:pt idx="803">
                  <c:v>9.8174090000000014</c:v>
                </c:pt>
                <c:pt idx="804">
                  <c:v>11.386904100000033</c:v>
                </c:pt>
                <c:pt idx="805">
                  <c:v>13.18614899999999</c:v>
                </c:pt>
                <c:pt idx="806">
                  <c:v>14.529011900000006</c:v>
                </c:pt>
                <c:pt idx="807">
                  <c:v>15.89278869999999</c:v>
                </c:pt>
                <c:pt idx="808">
                  <c:v>16.991872600000011</c:v>
                </c:pt>
                <c:pt idx="809">
                  <c:v>17.643754100000002</c:v>
                </c:pt>
                <c:pt idx="810">
                  <c:v>18.122522200000034</c:v>
                </c:pt>
                <c:pt idx="811">
                  <c:v>17.921913300000032</c:v>
                </c:pt>
                <c:pt idx="812">
                  <c:v>17.324459900000011</c:v>
                </c:pt>
                <c:pt idx="813">
                  <c:v>18.421898400000003</c:v>
                </c:pt>
                <c:pt idx="814">
                  <c:v>20.118868700000036</c:v>
                </c:pt>
                <c:pt idx="815">
                  <c:v>21.963881700000019</c:v>
                </c:pt>
                <c:pt idx="816">
                  <c:v>24.3025147</c:v>
                </c:pt>
                <c:pt idx="817">
                  <c:v>27.01331119999999</c:v>
                </c:pt>
                <c:pt idx="818">
                  <c:v>26.160777500000009</c:v>
                </c:pt>
                <c:pt idx="819">
                  <c:v>23.422139100000017</c:v>
                </c:pt>
                <c:pt idx="820">
                  <c:v>23.154155399999993</c:v>
                </c:pt>
                <c:pt idx="821">
                  <c:v>24.119528900000006</c:v>
                </c:pt>
                <c:pt idx="822">
                  <c:v>26.20940340000001</c:v>
                </c:pt>
                <c:pt idx="823">
                  <c:v>28.97480120000003</c:v>
                </c:pt>
                <c:pt idx="824">
                  <c:v>31.801122100000015</c:v>
                </c:pt>
                <c:pt idx="825">
                  <c:v>33.583696500000023</c:v>
                </c:pt>
                <c:pt idx="826">
                  <c:v>35.941987700000034</c:v>
                </c:pt>
                <c:pt idx="827">
                  <c:v>36.894760900000016</c:v>
                </c:pt>
                <c:pt idx="828">
                  <c:v>37.445190500000024</c:v>
                </c:pt>
                <c:pt idx="829">
                  <c:v>39.523633799999992</c:v>
                </c:pt>
                <c:pt idx="830">
                  <c:v>40.562660600000029</c:v>
                </c:pt>
                <c:pt idx="831">
                  <c:v>40.180235000000032</c:v>
                </c:pt>
                <c:pt idx="832">
                  <c:v>39.741692599999993</c:v>
                </c:pt>
                <c:pt idx="833">
                  <c:v>40.39872680000002</c:v>
                </c:pt>
                <c:pt idx="834">
                  <c:v>40.192748699999989</c:v>
                </c:pt>
                <c:pt idx="835">
                  <c:v>37.944915800000011</c:v>
                </c:pt>
                <c:pt idx="836">
                  <c:v>31.739116500000023</c:v>
                </c:pt>
                <c:pt idx="837">
                  <c:v>29.240619900000006</c:v>
                </c:pt>
                <c:pt idx="838">
                  <c:v>27.97435470000001</c:v>
                </c:pt>
                <c:pt idx="839">
                  <c:v>29.434647200000033</c:v>
                </c:pt>
                <c:pt idx="840">
                  <c:v>32.530943600000036</c:v>
                </c:pt>
                <c:pt idx="841">
                  <c:v>35.679806200000037</c:v>
                </c:pt>
                <c:pt idx="842">
                  <c:v>37.685895200000004</c:v>
                </c:pt>
                <c:pt idx="843">
                  <c:v>37.726597200000022</c:v>
                </c:pt>
                <c:pt idx="844">
                  <c:v>35.00605820000002</c:v>
                </c:pt>
                <c:pt idx="845">
                  <c:v>30.541135400000019</c:v>
                </c:pt>
                <c:pt idx="846">
                  <c:v>27.724903400000009</c:v>
                </c:pt>
                <c:pt idx="847">
                  <c:v>28.456889900000029</c:v>
                </c:pt>
                <c:pt idx="848">
                  <c:v>28.456889900000029</c:v>
                </c:pt>
                <c:pt idx="849">
                  <c:v>29.138128800000036</c:v>
                </c:pt>
                <c:pt idx="850">
                  <c:v>29.138128800000036</c:v>
                </c:pt>
                <c:pt idx="851">
                  <c:v>31.527119700000025</c:v>
                </c:pt>
                <c:pt idx="852">
                  <c:v>34.249174199999999</c:v>
                </c:pt>
                <c:pt idx="853">
                  <c:v>38.005016200000036</c:v>
                </c:pt>
                <c:pt idx="854">
                  <c:v>39.336534499999999</c:v>
                </c:pt>
                <c:pt idx="855">
                  <c:v>40.999730799999988</c:v>
                </c:pt>
                <c:pt idx="856">
                  <c:v>34.500270900000025</c:v>
                </c:pt>
                <c:pt idx="857">
                  <c:v>31.443377500000029</c:v>
                </c:pt>
                <c:pt idx="858">
                  <c:v>29.426680000000015</c:v>
                </c:pt>
                <c:pt idx="859">
                  <c:v>28.184835999999994</c:v>
                </c:pt>
                <c:pt idx="860">
                  <c:v>27.114113599999989</c:v>
                </c:pt>
                <c:pt idx="861">
                  <c:v>26.847905200000014</c:v>
                </c:pt>
                <c:pt idx="862">
                  <c:v>27.730445799999998</c:v>
                </c:pt>
                <c:pt idx="863">
                  <c:v>29.104051700000024</c:v>
                </c:pt>
                <c:pt idx="864">
                  <c:v>30.231367199999998</c:v>
                </c:pt>
                <c:pt idx="865">
                  <c:v>32.343194800000006</c:v>
                </c:pt>
                <c:pt idx="866">
                  <c:v>35.335917600000016</c:v>
                </c:pt>
                <c:pt idx="867">
                  <c:v>38.146693800000016</c:v>
                </c:pt>
                <c:pt idx="868">
                  <c:v>42.082663800000027</c:v>
                </c:pt>
                <c:pt idx="869">
                  <c:v>41.3126599</c:v>
                </c:pt>
                <c:pt idx="870">
                  <c:v>40.058908400000014</c:v>
                </c:pt>
                <c:pt idx="871">
                  <c:v>38.230479299999999</c:v>
                </c:pt>
                <c:pt idx="872">
                  <c:v>35.886390500000012</c:v>
                </c:pt>
                <c:pt idx="873">
                  <c:v>33.781014600000013</c:v>
                </c:pt>
                <c:pt idx="874">
                  <c:v>31.85208620000002</c:v>
                </c:pt>
                <c:pt idx="875">
                  <c:v>31.85208620000002</c:v>
                </c:pt>
                <c:pt idx="876">
                  <c:v>31.85208620000002</c:v>
                </c:pt>
                <c:pt idx="877">
                  <c:v>30.420501600000026</c:v>
                </c:pt>
                <c:pt idx="878">
                  <c:v>28.858410800000005</c:v>
                </c:pt>
                <c:pt idx="879">
                  <c:v>27.522346000000006</c:v>
                </c:pt>
                <c:pt idx="880">
                  <c:v>26.721642400000007</c:v>
                </c:pt>
                <c:pt idx="881">
                  <c:v>26.611617100000011</c:v>
                </c:pt>
                <c:pt idx="882">
                  <c:v>26.372254699999989</c:v>
                </c:pt>
                <c:pt idx="883">
                  <c:v>26.760742300000036</c:v>
                </c:pt>
                <c:pt idx="884">
                  <c:v>27.351830600000032</c:v>
                </c:pt>
                <c:pt idx="885">
                  <c:v>28.332012700000018</c:v>
                </c:pt>
                <c:pt idx="886">
                  <c:v>29.841710499999998</c:v>
                </c:pt>
                <c:pt idx="887">
                  <c:v>31.398994999999992</c:v>
                </c:pt>
                <c:pt idx="888">
                  <c:v>33.192740800000003</c:v>
                </c:pt>
                <c:pt idx="889">
                  <c:v>34.189463500000024</c:v>
                </c:pt>
                <c:pt idx="890">
                  <c:v>35.466726900000012</c:v>
                </c:pt>
                <c:pt idx="891">
                  <c:v>37.116197100000008</c:v>
                </c:pt>
                <c:pt idx="892">
                  <c:v>39.096522599999993</c:v>
                </c:pt>
                <c:pt idx="893">
                  <c:v>40.380367600000007</c:v>
                </c:pt>
                <c:pt idx="894">
                  <c:v>42.280718000000029</c:v>
                </c:pt>
                <c:pt idx="895">
                  <c:v>45.356187099999993</c:v>
                </c:pt>
                <c:pt idx="896">
                  <c:v>46.238511200000033</c:v>
                </c:pt>
                <c:pt idx="897">
                  <c:v>43.271032300000037</c:v>
                </c:pt>
                <c:pt idx="898">
                  <c:v>43.271032300000037</c:v>
                </c:pt>
                <c:pt idx="899">
                  <c:v>40.139922700000007</c:v>
                </c:pt>
                <c:pt idx="900">
                  <c:v>38.752027800000022</c:v>
                </c:pt>
                <c:pt idx="901">
                  <c:v>36.486874900000011</c:v>
                </c:pt>
                <c:pt idx="902">
                  <c:v>36.486874900000011</c:v>
                </c:pt>
                <c:pt idx="903">
                  <c:v>34.355692199999986</c:v>
                </c:pt>
                <c:pt idx="904">
                  <c:v>32.35761370000003</c:v>
                </c:pt>
                <c:pt idx="905">
                  <c:v>32.179607400000016</c:v>
                </c:pt>
                <c:pt idx="906">
                  <c:v>32.805379000000016</c:v>
                </c:pt>
                <c:pt idx="907">
                  <c:v>33.256781500000024</c:v>
                </c:pt>
                <c:pt idx="908">
                  <c:v>34.607005400000013</c:v>
                </c:pt>
                <c:pt idx="909">
                  <c:v>36.088385000000009</c:v>
                </c:pt>
                <c:pt idx="910">
                  <c:v>37.096365700000014</c:v>
                </c:pt>
                <c:pt idx="911">
                  <c:v>38.46313020000003</c:v>
                </c:pt>
                <c:pt idx="912">
                  <c:v>38.786408000000009</c:v>
                </c:pt>
                <c:pt idx="913">
                  <c:v>40.087573000000006</c:v>
                </c:pt>
                <c:pt idx="914">
                  <c:v>38.88088860000002</c:v>
                </c:pt>
                <c:pt idx="915">
                  <c:v>39.118648899999997</c:v>
                </c:pt>
                <c:pt idx="916">
                  <c:v>36.201614499999991</c:v>
                </c:pt>
                <c:pt idx="917">
                  <c:v>32.52786930000002</c:v>
                </c:pt>
                <c:pt idx="918">
                  <c:v>29.873319500000036</c:v>
                </c:pt>
                <c:pt idx="919">
                  <c:v>27.020802100000029</c:v>
                </c:pt>
                <c:pt idx="920">
                  <c:v>23.771093799999996</c:v>
                </c:pt>
                <c:pt idx="921">
                  <c:v>18.865853300000012</c:v>
                </c:pt>
                <c:pt idx="922">
                  <c:v>12.778392900000002</c:v>
                </c:pt>
                <c:pt idx="923">
                  <c:v>9.2375787000000376</c:v>
                </c:pt>
                <c:pt idx="924">
                  <c:v>8.7025638999999977</c:v>
                </c:pt>
                <c:pt idx="925">
                  <c:v>10.209317300000027</c:v>
                </c:pt>
                <c:pt idx="926">
                  <c:v>12.375399800000002</c:v>
                </c:pt>
                <c:pt idx="927">
                  <c:v>14.471379599999999</c:v>
                </c:pt>
                <c:pt idx="928">
                  <c:v>14.720441199999998</c:v>
                </c:pt>
                <c:pt idx="929">
                  <c:v>14.408161600000017</c:v>
                </c:pt>
                <c:pt idx="930">
                  <c:v>13.818588800000038</c:v>
                </c:pt>
                <c:pt idx="931">
                  <c:v>14.045480799999989</c:v>
                </c:pt>
                <c:pt idx="932">
                  <c:v>13.758618300000029</c:v>
                </c:pt>
                <c:pt idx="933">
                  <c:v>11.472681400000013</c:v>
                </c:pt>
                <c:pt idx="934">
                  <c:v>11.472681400000013</c:v>
                </c:pt>
                <c:pt idx="935">
                  <c:v>9.5703825000000329</c:v>
                </c:pt>
                <c:pt idx="936">
                  <c:v>7.5928281999999916</c:v>
                </c:pt>
                <c:pt idx="937">
                  <c:v>7.5928281999999916</c:v>
                </c:pt>
                <c:pt idx="938">
                  <c:v>6.2936550000000357</c:v>
                </c:pt>
                <c:pt idx="939">
                  <c:v>5.2068249999999905</c:v>
                </c:pt>
                <c:pt idx="940">
                  <c:v>4.1775840000000102</c:v>
                </c:pt>
                <c:pt idx="941">
                  <c:v>3.2982476000000109</c:v>
                </c:pt>
                <c:pt idx="942">
                  <c:v>2.642339199999995</c:v>
                </c:pt>
                <c:pt idx="943">
                  <c:v>2.2307293999999915</c:v>
                </c:pt>
                <c:pt idx="944">
                  <c:v>2.1002665000000049</c:v>
                </c:pt>
                <c:pt idx="945">
                  <c:v>2.6607849999999922</c:v>
                </c:pt>
                <c:pt idx="946">
                  <c:v>3.4391891000000254</c:v>
                </c:pt>
                <c:pt idx="947">
                  <c:v>4.4792984000000331</c:v>
                </c:pt>
                <c:pt idx="948">
                  <c:v>5.4458409999999988</c:v>
                </c:pt>
                <c:pt idx="949">
                  <c:v>6.0981555000000309</c:v>
                </c:pt>
                <c:pt idx="950">
                  <c:v>6.6129925000000158</c:v>
                </c:pt>
                <c:pt idx="951">
                  <c:v>7.0743973000000233</c:v>
                </c:pt>
                <c:pt idx="952">
                  <c:v>7.5093891000000159</c:v>
                </c:pt>
                <c:pt idx="953">
                  <c:v>7.4775202999999912</c:v>
                </c:pt>
                <c:pt idx="954">
                  <c:v>7.7045422000000086</c:v>
                </c:pt>
                <c:pt idx="955">
                  <c:v>7.9985059000000076</c:v>
                </c:pt>
                <c:pt idx="956">
                  <c:v>7.9620905999999927</c:v>
                </c:pt>
                <c:pt idx="957">
                  <c:v>7.6925914000000057</c:v>
                </c:pt>
                <c:pt idx="958">
                  <c:v>7.7380564000000138</c:v>
                </c:pt>
                <c:pt idx="959">
                  <c:v>7.8063837999999928</c:v>
                </c:pt>
                <c:pt idx="960">
                  <c:v>8.1569406000000129</c:v>
                </c:pt>
                <c:pt idx="961">
                  <c:v>8.6955493000000352</c:v>
                </c:pt>
                <c:pt idx="962">
                  <c:v>9.5327548000000277</c:v>
                </c:pt>
                <c:pt idx="963">
                  <c:v>10.337918299999989</c:v>
                </c:pt>
                <c:pt idx="964">
                  <c:v>11.16927830000002</c:v>
                </c:pt>
                <c:pt idx="965">
                  <c:v>11.89832039999999</c:v>
                </c:pt>
                <c:pt idx="966">
                  <c:v>13.404727400000009</c:v>
                </c:pt>
                <c:pt idx="967">
                  <c:v>14.443061400000019</c:v>
                </c:pt>
                <c:pt idx="968">
                  <c:v>15.606922100000025</c:v>
                </c:pt>
                <c:pt idx="969">
                  <c:v>16.770696200000003</c:v>
                </c:pt>
                <c:pt idx="970">
                  <c:v>18.851910700000015</c:v>
                </c:pt>
                <c:pt idx="971">
                  <c:v>21.344561800000026</c:v>
                </c:pt>
                <c:pt idx="972">
                  <c:v>23.578928399999992</c:v>
                </c:pt>
                <c:pt idx="973">
                  <c:v>25.77514770000003</c:v>
                </c:pt>
                <c:pt idx="974">
                  <c:v>27.489221499999999</c:v>
                </c:pt>
                <c:pt idx="975">
                  <c:v>28.851179699999999</c:v>
                </c:pt>
                <c:pt idx="976">
                  <c:v>29.79455680000002</c:v>
                </c:pt>
                <c:pt idx="977">
                  <c:v>30.647090500000004</c:v>
                </c:pt>
                <c:pt idx="978">
                  <c:v>31.273641500000004</c:v>
                </c:pt>
                <c:pt idx="979">
                  <c:v>31.937560400000027</c:v>
                </c:pt>
                <c:pt idx="980">
                  <c:v>32.869333100000006</c:v>
                </c:pt>
                <c:pt idx="981">
                  <c:v>33.691470199999991</c:v>
                </c:pt>
                <c:pt idx="982">
                  <c:v>33.691470199999991</c:v>
                </c:pt>
                <c:pt idx="983">
                  <c:v>34.374354500000031</c:v>
                </c:pt>
                <c:pt idx="984">
                  <c:v>34.374354500000031</c:v>
                </c:pt>
                <c:pt idx="985">
                  <c:v>35.009045900000004</c:v>
                </c:pt>
                <c:pt idx="986">
                  <c:v>36.789931599999989</c:v>
                </c:pt>
                <c:pt idx="987">
                  <c:v>36.021962799999997</c:v>
                </c:pt>
                <c:pt idx="988">
                  <c:v>36.606166399999992</c:v>
                </c:pt>
                <c:pt idx="989">
                  <c:v>37.198293900000024</c:v>
                </c:pt>
                <c:pt idx="990">
                  <c:v>37.358893600000023</c:v>
                </c:pt>
                <c:pt idx="991">
                  <c:v>38.7489968</c:v>
                </c:pt>
                <c:pt idx="992">
                  <c:v>38.008393600000026</c:v>
                </c:pt>
                <c:pt idx="993">
                  <c:v>37.035745700000014</c:v>
                </c:pt>
                <c:pt idx="994">
                  <c:v>36.785601599999993</c:v>
                </c:pt>
                <c:pt idx="995">
                  <c:v>36.458167000000032</c:v>
                </c:pt>
                <c:pt idx="996">
                  <c:v>36.394819100000028</c:v>
                </c:pt>
                <c:pt idx="997">
                  <c:v>36.402656400000033</c:v>
                </c:pt>
                <c:pt idx="998">
                  <c:v>36.44370480000002</c:v>
                </c:pt>
                <c:pt idx="999">
                  <c:v>36.532513100000024</c:v>
                </c:pt>
                <c:pt idx="1000">
                  <c:v>36.743903700000025</c:v>
                </c:pt>
                <c:pt idx="1001">
                  <c:v>37.149364900000002</c:v>
                </c:pt>
                <c:pt idx="1002">
                  <c:v>38.133703800000028</c:v>
                </c:pt>
                <c:pt idx="1003">
                  <c:v>38.133703800000028</c:v>
                </c:pt>
                <c:pt idx="1004">
                  <c:v>37.549197100000008</c:v>
                </c:pt>
                <c:pt idx="1005">
                  <c:v>37.549197100000008</c:v>
                </c:pt>
                <c:pt idx="1006">
                  <c:v>37.4040988</c:v>
                </c:pt>
                <c:pt idx="1007">
                  <c:v>36.200661900000036</c:v>
                </c:pt>
                <c:pt idx="1008">
                  <c:v>34.834070600000018</c:v>
                </c:pt>
                <c:pt idx="1009">
                  <c:v>33.574516900000013</c:v>
                </c:pt>
                <c:pt idx="1010">
                  <c:v>31.651130900000009</c:v>
                </c:pt>
                <c:pt idx="1011">
                  <c:v>29.62845800000002</c:v>
                </c:pt>
                <c:pt idx="1012">
                  <c:v>27.506844600000008</c:v>
                </c:pt>
                <c:pt idx="1013">
                  <c:v>26.402304900000026</c:v>
                </c:pt>
                <c:pt idx="1014">
                  <c:v>27.224701799999995</c:v>
                </c:pt>
                <c:pt idx="1015">
                  <c:v>28.976316699999995</c:v>
                </c:pt>
                <c:pt idx="1016">
                  <c:v>30.451764200000003</c:v>
                </c:pt>
                <c:pt idx="1017">
                  <c:v>31.653036100000023</c:v>
                </c:pt>
                <c:pt idx="1018">
                  <c:v>32.80295420000003</c:v>
                </c:pt>
                <c:pt idx="1019">
                  <c:v>31.988567800000023</c:v>
                </c:pt>
                <c:pt idx="1020">
                  <c:v>30.701215500000004</c:v>
                </c:pt>
                <c:pt idx="1021">
                  <c:v>29.175669900000013</c:v>
                </c:pt>
                <c:pt idx="1022">
                  <c:v>27.712</c:v>
                </c:pt>
                <c:pt idx="1023">
                  <c:v>26.094701700000005</c:v>
                </c:pt>
                <c:pt idx="1024">
                  <c:v>24.54070800000002</c:v>
                </c:pt>
                <c:pt idx="1025">
                  <c:v>22.928259300000036</c:v>
                </c:pt>
                <c:pt idx="1026">
                  <c:v>20.961010400000017</c:v>
                </c:pt>
                <c:pt idx="1027">
                  <c:v>19.361032100000006</c:v>
                </c:pt>
                <c:pt idx="1028">
                  <c:v>17.647261400000009</c:v>
                </c:pt>
                <c:pt idx="1029">
                  <c:v>18.4025</c:v>
                </c:pt>
                <c:pt idx="1030">
                  <c:v>19.335095400000021</c:v>
                </c:pt>
                <c:pt idx="1031">
                  <c:v>19.885265199999996</c:v>
                </c:pt>
                <c:pt idx="1032">
                  <c:v>20.4496374</c:v>
                </c:pt>
                <c:pt idx="1033">
                  <c:v>20.518657600000004</c:v>
                </c:pt>
                <c:pt idx="1034">
                  <c:v>20.443618700000034</c:v>
                </c:pt>
                <c:pt idx="1035">
                  <c:v>20.002954599999988</c:v>
                </c:pt>
                <c:pt idx="1036">
                  <c:v>19.530811400000019</c:v>
                </c:pt>
                <c:pt idx="1037">
                  <c:v>19.057888799999997</c:v>
                </c:pt>
                <c:pt idx="1038">
                  <c:v>18.548897300000021</c:v>
                </c:pt>
                <c:pt idx="1039">
                  <c:v>19.042300800000021</c:v>
                </c:pt>
                <c:pt idx="1040">
                  <c:v>19.675043699999996</c:v>
                </c:pt>
                <c:pt idx="1041">
                  <c:v>20.892899500000034</c:v>
                </c:pt>
                <c:pt idx="1042">
                  <c:v>22.091789900000009</c:v>
                </c:pt>
                <c:pt idx="1043">
                  <c:v>23.602743400000019</c:v>
                </c:pt>
                <c:pt idx="1044">
                  <c:v>25.151151400000028</c:v>
                </c:pt>
                <c:pt idx="1045">
                  <c:v>26.354804800000036</c:v>
                </c:pt>
                <c:pt idx="1046">
                  <c:v>27.316670999999996</c:v>
                </c:pt>
                <c:pt idx="1047">
                  <c:v>28.168468600000015</c:v>
                </c:pt>
                <c:pt idx="1048">
                  <c:v>28.956138900000038</c:v>
                </c:pt>
                <c:pt idx="1049">
                  <c:v>29.870851400000017</c:v>
                </c:pt>
                <c:pt idx="1050">
                  <c:v>30.282591100000037</c:v>
                </c:pt>
                <c:pt idx="1051">
                  <c:v>31.020769500000029</c:v>
                </c:pt>
                <c:pt idx="1052">
                  <c:v>29.476691500000015</c:v>
                </c:pt>
                <c:pt idx="1053">
                  <c:v>29.280672399999993</c:v>
                </c:pt>
                <c:pt idx="1054">
                  <c:v>29.356750499999997</c:v>
                </c:pt>
                <c:pt idx="1055">
                  <c:v>29.61473190000002</c:v>
                </c:pt>
                <c:pt idx="1056">
                  <c:v>29.757795099999992</c:v>
                </c:pt>
                <c:pt idx="1057">
                  <c:v>29.458981800000029</c:v>
                </c:pt>
                <c:pt idx="1058">
                  <c:v>29.904062499999998</c:v>
                </c:pt>
                <c:pt idx="1059">
                  <c:v>30.34446680000001</c:v>
                </c:pt>
                <c:pt idx="1060">
                  <c:v>30.649645200000002</c:v>
                </c:pt>
                <c:pt idx="1061">
                  <c:v>30.958201000000031</c:v>
                </c:pt>
                <c:pt idx="1062">
                  <c:v>31.371759300000036</c:v>
                </c:pt>
                <c:pt idx="1063">
                  <c:v>31.800256100000034</c:v>
                </c:pt>
                <c:pt idx="1064">
                  <c:v>32.728521500000014</c:v>
                </c:pt>
                <c:pt idx="1065">
                  <c:v>33.644359800000004</c:v>
                </c:pt>
                <c:pt idx="1066">
                  <c:v>34.103253200000005</c:v>
                </c:pt>
                <c:pt idx="1067">
                  <c:v>34.817226900000016</c:v>
                </c:pt>
                <c:pt idx="1068">
                  <c:v>35.492360500000025</c:v>
                </c:pt>
                <c:pt idx="1069">
                  <c:v>35.831616000000025</c:v>
                </c:pt>
                <c:pt idx="1070">
                  <c:v>36.292501200000018</c:v>
                </c:pt>
                <c:pt idx="1071">
                  <c:v>36.672978300000011</c:v>
                </c:pt>
                <c:pt idx="1072">
                  <c:v>37.238519600000018</c:v>
                </c:pt>
                <c:pt idx="1073">
                  <c:v>37.911618099999998</c:v>
                </c:pt>
                <c:pt idx="1074">
                  <c:v>38.484910100000029</c:v>
                </c:pt>
                <c:pt idx="1075">
                  <c:v>38.839710300000021</c:v>
                </c:pt>
                <c:pt idx="1076">
                  <c:v>39.058245399999997</c:v>
                </c:pt>
                <c:pt idx="1077">
                  <c:v>39.423394299999998</c:v>
                </c:pt>
                <c:pt idx="1078">
                  <c:v>40.423277900000016</c:v>
                </c:pt>
                <c:pt idx="1079">
                  <c:v>41.538339500000014</c:v>
                </c:pt>
                <c:pt idx="1080">
                  <c:v>42.494187000000004</c:v>
                </c:pt>
                <c:pt idx="1081">
                  <c:v>44.221553900000032</c:v>
                </c:pt>
                <c:pt idx="1082">
                  <c:v>45.133192100000002</c:v>
                </c:pt>
                <c:pt idx="1083">
                  <c:v>45.133192100000002</c:v>
                </c:pt>
                <c:pt idx="1084">
                  <c:v>45.030701000000029</c:v>
                </c:pt>
                <c:pt idx="1085">
                  <c:v>45.030701000000029</c:v>
                </c:pt>
                <c:pt idx="1086">
                  <c:v>46.900265100000006</c:v>
                </c:pt>
                <c:pt idx="1087">
                  <c:v>47.360674000000017</c:v>
                </c:pt>
                <c:pt idx="1088">
                  <c:v>47.222720199999991</c:v>
                </c:pt>
                <c:pt idx="1089">
                  <c:v>47.424671400000001</c:v>
                </c:pt>
                <c:pt idx="1090">
                  <c:v>47.66780090000001</c:v>
                </c:pt>
                <c:pt idx="1091">
                  <c:v>48.91531719999999</c:v>
                </c:pt>
                <c:pt idx="1092">
                  <c:v>49.986905600000021</c:v>
                </c:pt>
                <c:pt idx="1093">
                  <c:v>52.514543100000012</c:v>
                </c:pt>
                <c:pt idx="1094">
                  <c:v>51.549862400000023</c:v>
                </c:pt>
                <c:pt idx="1095">
                  <c:v>50.862041899999994</c:v>
                </c:pt>
                <c:pt idx="1096">
                  <c:v>49.998856400000022</c:v>
                </c:pt>
                <c:pt idx="1097">
                  <c:v>48.690893300000006</c:v>
                </c:pt>
                <c:pt idx="1098">
                  <c:v>47.082168400000029</c:v>
                </c:pt>
                <c:pt idx="1099">
                  <c:v>45.51877860000004</c:v>
                </c:pt>
                <c:pt idx="1100">
                  <c:v>44.062123300000032</c:v>
                </c:pt>
                <c:pt idx="1101">
                  <c:v>43.02612750000003</c:v>
                </c:pt>
                <c:pt idx="1102">
                  <c:v>42.979666600000023</c:v>
                </c:pt>
                <c:pt idx="1103">
                  <c:v>43.349448599999995</c:v>
                </c:pt>
                <c:pt idx="1104">
                  <c:v>44.230906699999998</c:v>
                </c:pt>
                <c:pt idx="1105">
                  <c:v>44.893483300000014</c:v>
                </c:pt>
                <c:pt idx="1106">
                  <c:v>45.468940299999993</c:v>
                </c:pt>
                <c:pt idx="1107">
                  <c:v>45.603127000000029</c:v>
                </c:pt>
                <c:pt idx="1108">
                  <c:v>45.817721800000015</c:v>
                </c:pt>
                <c:pt idx="1109">
                  <c:v>46.444316100000009</c:v>
                </c:pt>
                <c:pt idx="1110">
                  <c:v>46.444316100000009</c:v>
                </c:pt>
                <c:pt idx="1111">
                  <c:v>47.31144190000002</c:v>
                </c:pt>
                <c:pt idx="1112">
                  <c:v>47.31144190000002</c:v>
                </c:pt>
                <c:pt idx="1113">
                  <c:v>47.610774800000002</c:v>
                </c:pt>
                <c:pt idx="1114">
                  <c:v>48.123879800000026</c:v>
                </c:pt>
                <c:pt idx="1115">
                  <c:v>49.545029100000036</c:v>
                </c:pt>
                <c:pt idx="1116">
                  <c:v>47.845374200000037</c:v>
                </c:pt>
                <c:pt idx="1117">
                  <c:v>47.096760500000009</c:v>
                </c:pt>
                <c:pt idx="1118">
                  <c:v>45.969618199999992</c:v>
                </c:pt>
                <c:pt idx="1119">
                  <c:v>44.515907300000038</c:v>
                </c:pt>
                <c:pt idx="1120">
                  <c:v>42.930694300000006</c:v>
                </c:pt>
                <c:pt idx="1121">
                  <c:v>41.298630700000032</c:v>
                </c:pt>
                <c:pt idx="1122">
                  <c:v>39.750006200000023</c:v>
                </c:pt>
                <c:pt idx="1123">
                  <c:v>38.640357099999996</c:v>
                </c:pt>
                <c:pt idx="1124">
                  <c:v>38.301880999999995</c:v>
                </c:pt>
                <c:pt idx="1125">
                  <c:v>39.349048200000006</c:v>
                </c:pt>
                <c:pt idx="1126">
                  <c:v>40.724645900000027</c:v>
                </c:pt>
                <c:pt idx="1127">
                  <c:v>42.177274300000008</c:v>
                </c:pt>
                <c:pt idx="1128">
                  <c:v>43.58647280000001</c:v>
                </c:pt>
                <c:pt idx="1129">
                  <c:v>44.901926800000012</c:v>
                </c:pt>
                <c:pt idx="1130">
                  <c:v>45.712243000000008</c:v>
                </c:pt>
                <c:pt idx="1131">
                  <c:v>44.767133900000033</c:v>
                </c:pt>
                <c:pt idx="1132">
                  <c:v>43.343213400000032</c:v>
                </c:pt>
                <c:pt idx="1133">
                  <c:v>42.145232300000025</c:v>
                </c:pt>
                <c:pt idx="1134">
                  <c:v>40.482858700000023</c:v>
                </c:pt>
                <c:pt idx="1135">
                  <c:v>38.471660300000011</c:v>
                </c:pt>
                <c:pt idx="1136">
                  <c:v>36.058551300000019</c:v>
                </c:pt>
                <c:pt idx="1137">
                  <c:v>34.615492199999998</c:v>
                </c:pt>
                <c:pt idx="1138">
                  <c:v>34.123560900000022</c:v>
                </c:pt>
                <c:pt idx="1139">
                  <c:v>33.893637899999995</c:v>
                </c:pt>
                <c:pt idx="1140">
                  <c:v>33.887662500000019</c:v>
                </c:pt>
                <c:pt idx="1141">
                  <c:v>34.256405300000004</c:v>
                </c:pt>
                <c:pt idx="1142">
                  <c:v>35.018052300000008</c:v>
                </c:pt>
                <c:pt idx="1143">
                  <c:v>36.129606600000002</c:v>
                </c:pt>
                <c:pt idx="1144">
                  <c:v>37.484030600000018</c:v>
                </c:pt>
                <c:pt idx="1145">
                  <c:v>38.723493099999999</c:v>
                </c:pt>
                <c:pt idx="1146">
                  <c:v>39.6350014</c:v>
                </c:pt>
                <c:pt idx="1147">
                  <c:v>40.57400520000003</c:v>
                </c:pt>
                <c:pt idx="1148">
                  <c:v>41.550939800000002</c:v>
                </c:pt>
                <c:pt idx="1149">
                  <c:v>42.633353200000023</c:v>
                </c:pt>
                <c:pt idx="1150">
                  <c:v>43.071592500000037</c:v>
                </c:pt>
                <c:pt idx="1151">
                  <c:v>43.493551000000004</c:v>
                </c:pt>
                <c:pt idx="1152">
                  <c:v>43.689050500000008</c:v>
                </c:pt>
                <c:pt idx="1153">
                  <c:v>43.796434500000025</c:v>
                </c:pt>
                <c:pt idx="1154">
                  <c:v>43.667313899999996</c:v>
                </c:pt>
                <c:pt idx="1155">
                  <c:v>43.244142999999994</c:v>
                </c:pt>
                <c:pt idx="1156">
                  <c:v>42.641883299999996</c:v>
                </c:pt>
                <c:pt idx="1157">
                  <c:v>42.042438100000034</c:v>
                </c:pt>
                <c:pt idx="1158">
                  <c:v>41.867809200000011</c:v>
                </c:pt>
                <c:pt idx="1159">
                  <c:v>42.500249000000011</c:v>
                </c:pt>
                <c:pt idx="1160">
                  <c:v>42.84985320000002</c:v>
                </c:pt>
                <c:pt idx="1161">
                  <c:v>43.56144539999999</c:v>
                </c:pt>
                <c:pt idx="1162">
                  <c:v>45.235596599999987</c:v>
                </c:pt>
                <c:pt idx="1163">
                  <c:v>46.892038100000008</c:v>
                </c:pt>
                <c:pt idx="1164">
                  <c:v>47.343397300000021</c:v>
                </c:pt>
                <c:pt idx="1165">
                  <c:v>47.329931000000009</c:v>
                </c:pt>
                <c:pt idx="1166">
                  <c:v>47.111266000000008</c:v>
                </c:pt>
                <c:pt idx="1167">
                  <c:v>46.695023100000036</c:v>
                </c:pt>
                <c:pt idx="1168">
                  <c:v>47.252424000000019</c:v>
                </c:pt>
                <c:pt idx="1169">
                  <c:v>47.293992000000017</c:v>
                </c:pt>
                <c:pt idx="1170">
                  <c:v>47.798220500000006</c:v>
                </c:pt>
                <c:pt idx="1171">
                  <c:v>49.171826400000036</c:v>
                </c:pt>
                <c:pt idx="1172">
                  <c:v>49.171826400000036</c:v>
                </c:pt>
                <c:pt idx="1173">
                  <c:v>49.810631300000011</c:v>
                </c:pt>
                <c:pt idx="1174">
                  <c:v>49.810631300000011</c:v>
                </c:pt>
                <c:pt idx="1175">
                  <c:v>51.038792500000028</c:v>
                </c:pt>
                <c:pt idx="1176">
                  <c:v>51.038792500000028</c:v>
                </c:pt>
                <c:pt idx="1177">
                  <c:v>51.4344246</c:v>
                </c:pt>
                <c:pt idx="1178">
                  <c:v>51.4344246</c:v>
                </c:pt>
                <c:pt idx="1179">
                  <c:v>52.565593799999995</c:v>
                </c:pt>
                <c:pt idx="1180">
                  <c:v>54.358863300000024</c:v>
                </c:pt>
                <c:pt idx="1181">
                  <c:v>56.129746700000005</c:v>
                </c:pt>
                <c:pt idx="1182">
                  <c:v>57.390945799999997</c:v>
                </c:pt>
                <c:pt idx="1183">
                  <c:v>59.48948029999999</c:v>
                </c:pt>
                <c:pt idx="1184">
                  <c:v>61.559826500000028</c:v>
                </c:pt>
                <c:pt idx="1185">
                  <c:v>63.694559799999993</c:v>
                </c:pt>
                <c:pt idx="1186">
                  <c:v>65.328528600000041</c:v>
                </c:pt>
                <c:pt idx="1187">
                  <c:v>67.472095100000004</c:v>
                </c:pt>
                <c:pt idx="1188">
                  <c:v>64.838848899999988</c:v>
                </c:pt>
                <c:pt idx="1189">
                  <c:v>62.289734600000024</c:v>
                </c:pt>
                <c:pt idx="1190">
                  <c:v>59.544428000000032</c:v>
                </c:pt>
                <c:pt idx="1191">
                  <c:v>58.724109500000033</c:v>
                </c:pt>
                <c:pt idx="1192">
                  <c:v>59.140395699999999</c:v>
                </c:pt>
                <c:pt idx="1193">
                  <c:v>60.168077900000021</c:v>
                </c:pt>
                <c:pt idx="1194">
                  <c:v>62.080292500000027</c:v>
                </c:pt>
                <c:pt idx="1195">
                  <c:v>65.380272099999999</c:v>
                </c:pt>
                <c:pt idx="1196">
                  <c:v>68.187497699999994</c:v>
                </c:pt>
                <c:pt idx="1197">
                  <c:v>70.073385900000019</c:v>
                </c:pt>
                <c:pt idx="1198">
                  <c:v>71.712550700000037</c:v>
                </c:pt>
                <c:pt idx="1199">
                  <c:v>73.128677200000013</c:v>
                </c:pt>
                <c:pt idx="1200">
                  <c:v>74.488297200000019</c:v>
                </c:pt>
                <c:pt idx="1201">
                  <c:v>75.952703199999988</c:v>
                </c:pt>
                <c:pt idx="1202">
                  <c:v>77.410744099999988</c:v>
                </c:pt>
                <c:pt idx="1203">
                  <c:v>76.680056599999986</c:v>
                </c:pt>
                <c:pt idx="1204">
                  <c:v>74.847384100000014</c:v>
                </c:pt>
                <c:pt idx="1205">
                  <c:v>74.561560800000038</c:v>
                </c:pt>
                <c:pt idx="1206">
                  <c:v>74.456038699999993</c:v>
                </c:pt>
                <c:pt idx="1207">
                  <c:v>74.792436400000014</c:v>
                </c:pt>
                <c:pt idx="1208">
                  <c:v>74.130249500000005</c:v>
                </c:pt>
                <c:pt idx="1209">
                  <c:v>72.997001899999987</c:v>
                </c:pt>
                <c:pt idx="1210">
                  <c:v>72.189846599999996</c:v>
                </c:pt>
                <c:pt idx="1211">
                  <c:v>71.383427400000002</c:v>
                </c:pt>
                <c:pt idx="1212">
                  <c:v>70.6337312</c:v>
                </c:pt>
                <c:pt idx="1213">
                  <c:v>68.758797900000033</c:v>
                </c:pt>
                <c:pt idx="1214">
                  <c:v>67.044291100000024</c:v>
                </c:pt>
                <c:pt idx="1215">
                  <c:v>66.790206700000013</c:v>
                </c:pt>
                <c:pt idx="1216">
                  <c:v>67.847376200000014</c:v>
                </c:pt>
                <c:pt idx="1217">
                  <c:v>68.45102150000001</c:v>
                </c:pt>
                <c:pt idx="1218">
                  <c:v>68.942260000000005</c:v>
                </c:pt>
                <c:pt idx="1219">
                  <c:v>68.772870400000002</c:v>
                </c:pt>
                <c:pt idx="1220">
                  <c:v>68.031184699999997</c:v>
                </c:pt>
                <c:pt idx="1221">
                  <c:v>67.451051300000017</c:v>
                </c:pt>
                <c:pt idx="1222">
                  <c:v>67.451051300000017</c:v>
                </c:pt>
                <c:pt idx="1223">
                  <c:v>68.102326600000012</c:v>
                </c:pt>
                <c:pt idx="1224">
                  <c:v>68.102326600000012</c:v>
                </c:pt>
                <c:pt idx="1225">
                  <c:v>68.65310260000004</c:v>
                </c:pt>
                <c:pt idx="1226">
                  <c:v>68.96048930000002</c:v>
                </c:pt>
                <c:pt idx="1227">
                  <c:v>69.795529800000011</c:v>
                </c:pt>
                <c:pt idx="1228">
                  <c:v>70.964976199999995</c:v>
                </c:pt>
                <c:pt idx="1229">
                  <c:v>70.964976199999995</c:v>
                </c:pt>
                <c:pt idx="1230">
                  <c:v>73.564188600000023</c:v>
                </c:pt>
                <c:pt idx="1231">
                  <c:v>76.452298600000006</c:v>
                </c:pt>
                <c:pt idx="1232">
                  <c:v>78.365898800000011</c:v>
                </c:pt>
                <c:pt idx="1233">
                  <c:v>78.365898800000011</c:v>
                </c:pt>
                <c:pt idx="1234">
                  <c:v>79.848014500000019</c:v>
                </c:pt>
                <c:pt idx="1235">
                  <c:v>81.633923000000024</c:v>
                </c:pt>
                <c:pt idx="1236">
                  <c:v>82.731881100000038</c:v>
                </c:pt>
                <c:pt idx="1237">
                  <c:v>83.447283700000028</c:v>
                </c:pt>
                <c:pt idx="1238">
                  <c:v>84.894499599999989</c:v>
                </c:pt>
                <c:pt idx="1239">
                  <c:v>87.276605799999984</c:v>
                </c:pt>
                <c:pt idx="1240">
                  <c:v>86.487982900000006</c:v>
                </c:pt>
                <c:pt idx="1241">
                  <c:v>85.450774700000011</c:v>
                </c:pt>
                <c:pt idx="1242">
                  <c:v>84.680510999999996</c:v>
                </c:pt>
                <c:pt idx="1243">
                  <c:v>84.449548799999988</c:v>
                </c:pt>
                <c:pt idx="1244">
                  <c:v>85.195088200000001</c:v>
                </c:pt>
                <c:pt idx="1245">
                  <c:v>86.141453000000013</c:v>
                </c:pt>
                <c:pt idx="1246">
                  <c:v>88.222710800000016</c:v>
                </c:pt>
                <c:pt idx="1247">
                  <c:v>90.0710579</c:v>
                </c:pt>
                <c:pt idx="1248">
                  <c:v>91.857572599999997</c:v>
                </c:pt>
                <c:pt idx="1249">
                  <c:v>93.4611448</c:v>
                </c:pt>
                <c:pt idx="1250">
                  <c:v>95.180457900000036</c:v>
                </c:pt>
                <c:pt idx="1251">
                  <c:v>96.921031299999996</c:v>
                </c:pt>
                <c:pt idx="1252">
                  <c:v>98.576087200000018</c:v>
                </c:pt>
                <c:pt idx="1253">
                  <c:v>100.0263341</c:v>
                </c:pt>
                <c:pt idx="1254">
                  <c:v>103.2775146</c:v>
                </c:pt>
                <c:pt idx="1255">
                  <c:v>102.8004352</c:v>
                </c:pt>
                <c:pt idx="1256">
                  <c:v>101.66701440000003</c:v>
                </c:pt>
                <c:pt idx="1257">
                  <c:v>101.79704430000002</c:v>
                </c:pt>
                <c:pt idx="1258">
                  <c:v>102.21012630000001</c:v>
                </c:pt>
                <c:pt idx="1259">
                  <c:v>102.66793720000003</c:v>
                </c:pt>
                <c:pt idx="1260">
                  <c:v>102.62875070000003</c:v>
                </c:pt>
                <c:pt idx="1261">
                  <c:v>102.33353129999999</c:v>
                </c:pt>
                <c:pt idx="1262">
                  <c:v>102.13088730000001</c:v>
                </c:pt>
                <c:pt idx="1263">
                  <c:v>102.08745740000003</c:v>
                </c:pt>
                <c:pt idx="1264">
                  <c:v>102.08282430000001</c:v>
                </c:pt>
                <c:pt idx="1265">
                  <c:v>102.3709425</c:v>
                </c:pt>
                <c:pt idx="1266">
                  <c:v>102.66850009999999</c:v>
                </c:pt>
                <c:pt idx="1267">
                  <c:v>102.85503650000003</c:v>
                </c:pt>
                <c:pt idx="1268">
                  <c:v>103.47491930000002</c:v>
                </c:pt>
                <c:pt idx="1269">
                  <c:v>104.62964370000002</c:v>
                </c:pt>
                <c:pt idx="1270">
                  <c:v>106.11015730000004</c:v>
                </c:pt>
                <c:pt idx="1271">
                  <c:v>107.68692680000001</c:v>
                </c:pt>
                <c:pt idx="1272">
                  <c:v>107.05634889999999</c:v>
                </c:pt>
                <c:pt idx="1273">
                  <c:v>108.42657740000003</c:v>
                </c:pt>
                <c:pt idx="1274">
                  <c:v>105.39748259999999</c:v>
                </c:pt>
                <c:pt idx="1275">
                  <c:v>104.86329049999999</c:v>
                </c:pt>
                <c:pt idx="1276">
                  <c:v>105.65494440000001</c:v>
                </c:pt>
                <c:pt idx="1277">
                  <c:v>106.47162570000002</c:v>
                </c:pt>
                <c:pt idx="1278">
                  <c:v>106.99360720000003</c:v>
                </c:pt>
                <c:pt idx="1279">
                  <c:v>107.45215420000002</c:v>
                </c:pt>
                <c:pt idx="1280">
                  <c:v>107.78123420000001</c:v>
                </c:pt>
                <c:pt idx="1281">
                  <c:v>108.25073610000001</c:v>
                </c:pt>
                <c:pt idx="1282">
                  <c:v>108.72383189999999</c:v>
                </c:pt>
                <c:pt idx="1283">
                  <c:v>109.09647170000002</c:v>
                </c:pt>
                <c:pt idx="1284">
                  <c:v>109.4335189</c:v>
                </c:pt>
                <c:pt idx="1285">
                  <c:v>109.67712470000004</c:v>
                </c:pt>
                <c:pt idx="1286">
                  <c:v>109.93467310000001</c:v>
                </c:pt>
                <c:pt idx="1287">
                  <c:v>110.3202596</c:v>
                </c:pt>
                <c:pt idx="1288">
                  <c:v>110.57256870000002</c:v>
                </c:pt>
                <c:pt idx="1289">
                  <c:v>110.57256870000002</c:v>
                </c:pt>
                <c:pt idx="1290">
                  <c:v>110.80296800000004</c:v>
                </c:pt>
                <c:pt idx="1291">
                  <c:v>111.14170390000001</c:v>
                </c:pt>
                <c:pt idx="1292">
                  <c:v>111.14170390000001</c:v>
                </c:pt>
                <c:pt idx="1293">
                  <c:v>112.25646239999999</c:v>
                </c:pt>
                <c:pt idx="1294">
                  <c:v>116.37576460000001</c:v>
                </c:pt>
                <c:pt idx="1295">
                  <c:v>112.96866080000001</c:v>
                </c:pt>
                <c:pt idx="1296">
                  <c:v>112.47911100000002</c:v>
                </c:pt>
                <c:pt idx="1297">
                  <c:v>111.95673980000001</c:v>
                </c:pt>
                <c:pt idx="1298">
                  <c:v>111.5945353</c:v>
                </c:pt>
                <c:pt idx="1299">
                  <c:v>111.42440960000003</c:v>
                </c:pt>
                <c:pt idx="1300">
                  <c:v>111.21267260000002</c:v>
                </c:pt>
                <c:pt idx="1301">
                  <c:v>111.28048040000003</c:v>
                </c:pt>
                <c:pt idx="1302">
                  <c:v>111.8590983</c:v>
                </c:pt>
                <c:pt idx="1303">
                  <c:v>111.8590983</c:v>
                </c:pt>
                <c:pt idx="1304">
                  <c:v>112.39935240000001</c:v>
                </c:pt>
                <c:pt idx="1305">
                  <c:v>112.35003370000003</c:v>
                </c:pt>
                <c:pt idx="1306">
                  <c:v>112.35003370000003</c:v>
                </c:pt>
                <c:pt idx="1307">
                  <c:v>112.600351</c:v>
                </c:pt>
                <c:pt idx="1308">
                  <c:v>112.18506069999999</c:v>
                </c:pt>
                <c:pt idx="1309">
                  <c:v>112.05970720000001</c:v>
                </c:pt>
                <c:pt idx="1310">
                  <c:v>111.73292210000002</c:v>
                </c:pt>
                <c:pt idx="1311">
                  <c:v>111.84818670000004</c:v>
                </c:pt>
                <c:pt idx="1312">
                  <c:v>111.81822310000003</c:v>
                </c:pt>
                <c:pt idx="1313">
                  <c:v>111.94461579999999</c:v>
                </c:pt>
                <c:pt idx="1314">
                  <c:v>112.02381150000001</c:v>
                </c:pt>
                <c:pt idx="1315">
                  <c:v>112.14041840000003</c:v>
                </c:pt>
                <c:pt idx="1316">
                  <c:v>112.26481930000001</c:v>
                </c:pt>
                <c:pt idx="1317">
                  <c:v>112.37584050000001</c:v>
                </c:pt>
                <c:pt idx="1318">
                  <c:v>112.50496110000003</c:v>
                </c:pt>
                <c:pt idx="1319">
                  <c:v>112.66525770000001</c:v>
                </c:pt>
                <c:pt idx="1320">
                  <c:v>112.80247540000002</c:v>
                </c:pt>
                <c:pt idx="1321">
                  <c:v>112.69123770000003</c:v>
                </c:pt>
                <c:pt idx="1322">
                  <c:v>112.69920490000001</c:v>
                </c:pt>
                <c:pt idx="1323">
                  <c:v>112.906915</c:v>
                </c:pt>
                <c:pt idx="1324">
                  <c:v>113.23612490000001</c:v>
                </c:pt>
                <c:pt idx="1325">
                  <c:v>113.44006790000002</c:v>
                </c:pt>
                <c:pt idx="1326">
                  <c:v>113.63491790000003</c:v>
                </c:pt>
                <c:pt idx="1327">
                  <c:v>113.95451519999999</c:v>
                </c:pt>
                <c:pt idx="1328">
                  <c:v>114.3145547</c:v>
                </c:pt>
                <c:pt idx="1329">
                  <c:v>114.43432250000001</c:v>
                </c:pt>
                <c:pt idx="1330">
                  <c:v>114.42977600000002</c:v>
                </c:pt>
                <c:pt idx="1331">
                  <c:v>114.6208589</c:v>
                </c:pt>
                <c:pt idx="1332">
                  <c:v>116.02901820000002</c:v>
                </c:pt>
                <c:pt idx="1333">
                  <c:v>114.75768690000001</c:v>
                </c:pt>
                <c:pt idx="1334">
                  <c:v>115.16167590000001</c:v>
                </c:pt>
                <c:pt idx="1335">
                  <c:v>114.6192568</c:v>
                </c:pt>
                <c:pt idx="1336">
                  <c:v>113.7236829</c:v>
                </c:pt>
                <c:pt idx="1337">
                  <c:v>113.70731550000002</c:v>
                </c:pt>
                <c:pt idx="1338">
                  <c:v>113.14935170000004</c:v>
                </c:pt>
                <c:pt idx="1339">
                  <c:v>111.48979260000002</c:v>
                </c:pt>
                <c:pt idx="1340">
                  <c:v>109.0993295</c:v>
                </c:pt>
                <c:pt idx="1341">
                  <c:v>106.20753900000001</c:v>
                </c:pt>
                <c:pt idx="1342">
                  <c:v>100.54251339999999</c:v>
                </c:pt>
                <c:pt idx="1343">
                  <c:v>96.404115899999994</c:v>
                </c:pt>
                <c:pt idx="1344">
                  <c:v>92.532359800000009</c:v>
                </c:pt>
                <c:pt idx="1345">
                  <c:v>90.453699999999984</c:v>
                </c:pt>
                <c:pt idx="1346">
                  <c:v>90.919954400000009</c:v>
                </c:pt>
                <c:pt idx="1347">
                  <c:v>91.288697199999987</c:v>
                </c:pt>
                <c:pt idx="1348">
                  <c:v>90.423693099999994</c:v>
                </c:pt>
                <c:pt idx="1349">
                  <c:v>88.775002299999997</c:v>
                </c:pt>
                <c:pt idx="1350">
                  <c:v>87.426293900000019</c:v>
                </c:pt>
                <c:pt idx="1351">
                  <c:v>86.8737426</c:v>
                </c:pt>
                <c:pt idx="1352">
                  <c:v>87.707051099999987</c:v>
                </c:pt>
                <c:pt idx="1353">
                  <c:v>88.602581700000016</c:v>
                </c:pt>
                <c:pt idx="1354">
                  <c:v>89.3105367</c:v>
                </c:pt>
                <c:pt idx="1355">
                  <c:v>90.260452100000009</c:v>
                </c:pt>
                <c:pt idx="1356">
                  <c:v>90.398882200000017</c:v>
                </c:pt>
                <c:pt idx="1357">
                  <c:v>90.383813800000013</c:v>
                </c:pt>
                <c:pt idx="1358">
                  <c:v>89.24736200000001</c:v>
                </c:pt>
                <c:pt idx="1359">
                  <c:v>87.912682800000013</c:v>
                </c:pt>
                <c:pt idx="1360">
                  <c:v>86.378087500000035</c:v>
                </c:pt>
                <c:pt idx="1361">
                  <c:v>84.755290100000039</c:v>
                </c:pt>
                <c:pt idx="1362">
                  <c:v>83.119459400000011</c:v>
                </c:pt>
                <c:pt idx="1363">
                  <c:v>81.449118599999991</c:v>
                </c:pt>
                <c:pt idx="1364">
                  <c:v>79.601594199999994</c:v>
                </c:pt>
                <c:pt idx="1365">
                  <c:v>77.78277770000004</c:v>
                </c:pt>
                <c:pt idx="1366">
                  <c:v>76.06995959999999</c:v>
                </c:pt>
                <c:pt idx="1367">
                  <c:v>74.451232400000009</c:v>
                </c:pt>
                <c:pt idx="1368">
                  <c:v>73.526301099999984</c:v>
                </c:pt>
                <c:pt idx="1369">
                  <c:v>73.129499900000013</c:v>
                </c:pt>
                <c:pt idx="1370">
                  <c:v>73.015187900000001</c:v>
                </c:pt>
                <c:pt idx="1371">
                  <c:v>72.82111730000004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D652-4717-A6BF-33D18BE0E43E}"/>
            </c:ext>
          </c:extLst>
        </c:ser>
        <c:ser>
          <c:idx val="2"/>
          <c:order val="7"/>
          <c:tx>
            <c:strRef>
              <c:f>TS!$AD$1</c:f>
              <c:strCache>
                <c:ptCount val="1"/>
                <c:pt idx="0">
                  <c:v>Minimum backpressure</c:v>
                </c:pt>
              </c:strCache>
            </c:strRef>
          </c:tx>
          <c:spPr>
            <a:ln>
              <a:solidFill>
                <a:srgbClr val="FFC000"/>
              </a:solidFill>
              <a:prstDash val="solid"/>
            </a:ln>
          </c:spPr>
          <c:marker>
            <c:symbol val="none"/>
          </c:marker>
          <c:xVal>
            <c:numRef>
              <c:f>TS!$N$2:$N$1373</c:f>
              <c:numCache>
                <c:formatCode>#\+##</c:formatCode>
                <c:ptCount val="1372"/>
                <c:pt idx="0">
                  <c:v>95899.92</c:v>
                </c:pt>
                <c:pt idx="1">
                  <c:v>95999.92</c:v>
                </c:pt>
                <c:pt idx="2">
                  <c:v>96099.92</c:v>
                </c:pt>
                <c:pt idx="3">
                  <c:v>96199.92</c:v>
                </c:pt>
                <c:pt idx="4">
                  <c:v>96299.92</c:v>
                </c:pt>
                <c:pt idx="5">
                  <c:v>96399.92</c:v>
                </c:pt>
                <c:pt idx="6">
                  <c:v>96499.92</c:v>
                </c:pt>
                <c:pt idx="7">
                  <c:v>96599.92</c:v>
                </c:pt>
                <c:pt idx="8">
                  <c:v>96699.92</c:v>
                </c:pt>
                <c:pt idx="9">
                  <c:v>96799.92</c:v>
                </c:pt>
                <c:pt idx="10">
                  <c:v>96899.92</c:v>
                </c:pt>
                <c:pt idx="11">
                  <c:v>96999.92</c:v>
                </c:pt>
                <c:pt idx="12">
                  <c:v>97099.92</c:v>
                </c:pt>
                <c:pt idx="13">
                  <c:v>97199.92</c:v>
                </c:pt>
                <c:pt idx="14">
                  <c:v>97299.92</c:v>
                </c:pt>
                <c:pt idx="15">
                  <c:v>97399.92</c:v>
                </c:pt>
                <c:pt idx="16">
                  <c:v>97499.92</c:v>
                </c:pt>
                <c:pt idx="17">
                  <c:v>97599.92</c:v>
                </c:pt>
                <c:pt idx="18">
                  <c:v>97699.92</c:v>
                </c:pt>
                <c:pt idx="19">
                  <c:v>97799.92</c:v>
                </c:pt>
                <c:pt idx="20">
                  <c:v>97899.92</c:v>
                </c:pt>
                <c:pt idx="21">
                  <c:v>97999.92</c:v>
                </c:pt>
                <c:pt idx="22">
                  <c:v>98099.92</c:v>
                </c:pt>
                <c:pt idx="23">
                  <c:v>98199.92</c:v>
                </c:pt>
                <c:pt idx="24">
                  <c:v>98299.92</c:v>
                </c:pt>
                <c:pt idx="25">
                  <c:v>98399.92</c:v>
                </c:pt>
                <c:pt idx="26">
                  <c:v>98499.92</c:v>
                </c:pt>
                <c:pt idx="27">
                  <c:v>98599.92</c:v>
                </c:pt>
                <c:pt idx="28">
                  <c:v>98699.92</c:v>
                </c:pt>
                <c:pt idx="29">
                  <c:v>98799.92</c:v>
                </c:pt>
                <c:pt idx="30">
                  <c:v>98899.92</c:v>
                </c:pt>
                <c:pt idx="31">
                  <c:v>98999.92</c:v>
                </c:pt>
                <c:pt idx="32">
                  <c:v>99099.92</c:v>
                </c:pt>
                <c:pt idx="33">
                  <c:v>99199.92</c:v>
                </c:pt>
                <c:pt idx="34">
                  <c:v>99299.92</c:v>
                </c:pt>
                <c:pt idx="35">
                  <c:v>99399.92</c:v>
                </c:pt>
                <c:pt idx="36">
                  <c:v>99499.92</c:v>
                </c:pt>
                <c:pt idx="37">
                  <c:v>99596.6</c:v>
                </c:pt>
                <c:pt idx="38">
                  <c:v>99599.92</c:v>
                </c:pt>
                <c:pt idx="39">
                  <c:v>99676.6</c:v>
                </c:pt>
                <c:pt idx="40">
                  <c:v>99699.92</c:v>
                </c:pt>
                <c:pt idx="41">
                  <c:v>99799.92</c:v>
                </c:pt>
                <c:pt idx="42">
                  <c:v>99899.92</c:v>
                </c:pt>
                <c:pt idx="43">
                  <c:v>99999.92</c:v>
                </c:pt>
                <c:pt idx="44">
                  <c:v>100093.7</c:v>
                </c:pt>
                <c:pt idx="45">
                  <c:v>100099.92</c:v>
                </c:pt>
                <c:pt idx="46">
                  <c:v>100199.92</c:v>
                </c:pt>
                <c:pt idx="47">
                  <c:v>100299.92</c:v>
                </c:pt>
                <c:pt idx="48">
                  <c:v>100399.92</c:v>
                </c:pt>
                <c:pt idx="49">
                  <c:v>100499.92</c:v>
                </c:pt>
                <c:pt idx="50">
                  <c:v>100599.92</c:v>
                </c:pt>
                <c:pt idx="51">
                  <c:v>100699.92</c:v>
                </c:pt>
                <c:pt idx="52">
                  <c:v>100799.92</c:v>
                </c:pt>
                <c:pt idx="53">
                  <c:v>100899.92</c:v>
                </c:pt>
                <c:pt idx="54">
                  <c:v>100999.92</c:v>
                </c:pt>
                <c:pt idx="55">
                  <c:v>101099.92</c:v>
                </c:pt>
                <c:pt idx="56">
                  <c:v>101199.92</c:v>
                </c:pt>
                <c:pt idx="57">
                  <c:v>101299.92</c:v>
                </c:pt>
                <c:pt idx="58">
                  <c:v>101399.92</c:v>
                </c:pt>
                <c:pt idx="59">
                  <c:v>101499.92</c:v>
                </c:pt>
                <c:pt idx="60">
                  <c:v>101599.92</c:v>
                </c:pt>
                <c:pt idx="61">
                  <c:v>101699.92</c:v>
                </c:pt>
                <c:pt idx="62">
                  <c:v>101799.92</c:v>
                </c:pt>
                <c:pt idx="63">
                  <c:v>101899.92</c:v>
                </c:pt>
                <c:pt idx="64">
                  <c:v>101918.7</c:v>
                </c:pt>
                <c:pt idx="65">
                  <c:v>101999.92</c:v>
                </c:pt>
                <c:pt idx="66">
                  <c:v>102099.92</c:v>
                </c:pt>
                <c:pt idx="67">
                  <c:v>102199.92</c:v>
                </c:pt>
                <c:pt idx="68">
                  <c:v>102299.92</c:v>
                </c:pt>
                <c:pt idx="69">
                  <c:v>102399.92</c:v>
                </c:pt>
                <c:pt idx="70">
                  <c:v>102499.92</c:v>
                </c:pt>
                <c:pt idx="71">
                  <c:v>102599.92</c:v>
                </c:pt>
                <c:pt idx="72">
                  <c:v>102699.92</c:v>
                </c:pt>
                <c:pt idx="73">
                  <c:v>102799.92</c:v>
                </c:pt>
                <c:pt idx="74">
                  <c:v>102899.92</c:v>
                </c:pt>
                <c:pt idx="75">
                  <c:v>102999.92</c:v>
                </c:pt>
                <c:pt idx="76">
                  <c:v>103099.92</c:v>
                </c:pt>
                <c:pt idx="77">
                  <c:v>103199.92</c:v>
                </c:pt>
                <c:pt idx="78">
                  <c:v>103299.92</c:v>
                </c:pt>
                <c:pt idx="79">
                  <c:v>103399.92</c:v>
                </c:pt>
                <c:pt idx="80">
                  <c:v>103499.92</c:v>
                </c:pt>
                <c:pt idx="81">
                  <c:v>103599.92</c:v>
                </c:pt>
                <c:pt idx="82">
                  <c:v>103699.92</c:v>
                </c:pt>
                <c:pt idx="83">
                  <c:v>103799.92</c:v>
                </c:pt>
                <c:pt idx="84">
                  <c:v>103809.3</c:v>
                </c:pt>
                <c:pt idx="85">
                  <c:v>103899.92</c:v>
                </c:pt>
                <c:pt idx="86">
                  <c:v>103929.3</c:v>
                </c:pt>
                <c:pt idx="87">
                  <c:v>103999.92</c:v>
                </c:pt>
                <c:pt idx="88">
                  <c:v>104099.92</c:v>
                </c:pt>
                <c:pt idx="89">
                  <c:v>104199.92</c:v>
                </c:pt>
                <c:pt idx="90">
                  <c:v>104299.92</c:v>
                </c:pt>
                <c:pt idx="91">
                  <c:v>104399.92</c:v>
                </c:pt>
                <c:pt idx="92">
                  <c:v>104499.92</c:v>
                </c:pt>
                <c:pt idx="93">
                  <c:v>104599.92</c:v>
                </c:pt>
                <c:pt idx="94">
                  <c:v>104699.92</c:v>
                </c:pt>
                <c:pt idx="95">
                  <c:v>104799.92</c:v>
                </c:pt>
                <c:pt idx="96">
                  <c:v>104899.92</c:v>
                </c:pt>
                <c:pt idx="97">
                  <c:v>104999.92</c:v>
                </c:pt>
                <c:pt idx="98">
                  <c:v>105099.92</c:v>
                </c:pt>
                <c:pt idx="99">
                  <c:v>105199.92</c:v>
                </c:pt>
                <c:pt idx="100">
                  <c:v>105299.92</c:v>
                </c:pt>
                <c:pt idx="101">
                  <c:v>105399.92</c:v>
                </c:pt>
                <c:pt idx="102">
                  <c:v>105499.92</c:v>
                </c:pt>
                <c:pt idx="103">
                  <c:v>105599.92</c:v>
                </c:pt>
                <c:pt idx="104">
                  <c:v>105699.92</c:v>
                </c:pt>
                <c:pt idx="105">
                  <c:v>105799.92</c:v>
                </c:pt>
                <c:pt idx="106">
                  <c:v>105899.92</c:v>
                </c:pt>
                <c:pt idx="107">
                  <c:v>105999.92</c:v>
                </c:pt>
                <c:pt idx="108">
                  <c:v>106099.92</c:v>
                </c:pt>
                <c:pt idx="109">
                  <c:v>106199.92</c:v>
                </c:pt>
                <c:pt idx="110">
                  <c:v>106299.92</c:v>
                </c:pt>
                <c:pt idx="111">
                  <c:v>106399.92</c:v>
                </c:pt>
                <c:pt idx="112">
                  <c:v>106499.92</c:v>
                </c:pt>
                <c:pt idx="113">
                  <c:v>106599.92</c:v>
                </c:pt>
                <c:pt idx="114">
                  <c:v>106699.92</c:v>
                </c:pt>
                <c:pt idx="115">
                  <c:v>106799.92</c:v>
                </c:pt>
                <c:pt idx="116">
                  <c:v>106899.92</c:v>
                </c:pt>
                <c:pt idx="117">
                  <c:v>106999.92</c:v>
                </c:pt>
                <c:pt idx="118">
                  <c:v>107099.92</c:v>
                </c:pt>
                <c:pt idx="119">
                  <c:v>107199.92</c:v>
                </c:pt>
                <c:pt idx="120">
                  <c:v>107299.92</c:v>
                </c:pt>
                <c:pt idx="121">
                  <c:v>107399.92</c:v>
                </c:pt>
                <c:pt idx="122">
                  <c:v>107499.92</c:v>
                </c:pt>
                <c:pt idx="123">
                  <c:v>107599.92</c:v>
                </c:pt>
                <c:pt idx="124">
                  <c:v>107699.92</c:v>
                </c:pt>
                <c:pt idx="125">
                  <c:v>107799.92</c:v>
                </c:pt>
                <c:pt idx="126">
                  <c:v>107899.92</c:v>
                </c:pt>
                <c:pt idx="127">
                  <c:v>107999.92</c:v>
                </c:pt>
                <c:pt idx="128">
                  <c:v>108099.92</c:v>
                </c:pt>
                <c:pt idx="129">
                  <c:v>108159.1</c:v>
                </c:pt>
                <c:pt idx="130">
                  <c:v>108199.92</c:v>
                </c:pt>
                <c:pt idx="131">
                  <c:v>108299.92</c:v>
                </c:pt>
                <c:pt idx="132">
                  <c:v>108399.92</c:v>
                </c:pt>
                <c:pt idx="133">
                  <c:v>108499.92</c:v>
                </c:pt>
                <c:pt idx="134">
                  <c:v>108599.92</c:v>
                </c:pt>
                <c:pt idx="135">
                  <c:v>108699.92</c:v>
                </c:pt>
                <c:pt idx="136">
                  <c:v>108799.92</c:v>
                </c:pt>
                <c:pt idx="137">
                  <c:v>108899.92</c:v>
                </c:pt>
                <c:pt idx="138">
                  <c:v>108999.92</c:v>
                </c:pt>
                <c:pt idx="139">
                  <c:v>109036</c:v>
                </c:pt>
                <c:pt idx="140">
                  <c:v>109099.92</c:v>
                </c:pt>
                <c:pt idx="141">
                  <c:v>109199.92</c:v>
                </c:pt>
                <c:pt idx="142">
                  <c:v>109299.92</c:v>
                </c:pt>
                <c:pt idx="143">
                  <c:v>109399.92</c:v>
                </c:pt>
                <c:pt idx="144">
                  <c:v>109421</c:v>
                </c:pt>
                <c:pt idx="145">
                  <c:v>109499.92</c:v>
                </c:pt>
                <c:pt idx="146">
                  <c:v>109599.92</c:v>
                </c:pt>
                <c:pt idx="147">
                  <c:v>109699.92</c:v>
                </c:pt>
                <c:pt idx="148">
                  <c:v>109703</c:v>
                </c:pt>
                <c:pt idx="149">
                  <c:v>109799.92</c:v>
                </c:pt>
                <c:pt idx="150">
                  <c:v>109899.92</c:v>
                </c:pt>
                <c:pt idx="151">
                  <c:v>109999.92</c:v>
                </c:pt>
                <c:pt idx="152">
                  <c:v>110099.92</c:v>
                </c:pt>
                <c:pt idx="153">
                  <c:v>110199.92</c:v>
                </c:pt>
                <c:pt idx="154">
                  <c:v>110299.92</c:v>
                </c:pt>
                <c:pt idx="155">
                  <c:v>110399.92</c:v>
                </c:pt>
                <c:pt idx="156">
                  <c:v>110499.92</c:v>
                </c:pt>
                <c:pt idx="157">
                  <c:v>110599.92</c:v>
                </c:pt>
                <c:pt idx="158">
                  <c:v>110688.3</c:v>
                </c:pt>
                <c:pt idx="159">
                  <c:v>110699.92</c:v>
                </c:pt>
                <c:pt idx="160">
                  <c:v>110768.3</c:v>
                </c:pt>
                <c:pt idx="161">
                  <c:v>110799.92</c:v>
                </c:pt>
                <c:pt idx="162">
                  <c:v>110899.92</c:v>
                </c:pt>
                <c:pt idx="163">
                  <c:v>110999.92</c:v>
                </c:pt>
                <c:pt idx="164">
                  <c:v>111099.92</c:v>
                </c:pt>
                <c:pt idx="165">
                  <c:v>111199.92</c:v>
                </c:pt>
                <c:pt idx="166">
                  <c:v>111299.92</c:v>
                </c:pt>
                <c:pt idx="167">
                  <c:v>111399.92</c:v>
                </c:pt>
                <c:pt idx="168">
                  <c:v>111499.92</c:v>
                </c:pt>
                <c:pt idx="169">
                  <c:v>111599.92</c:v>
                </c:pt>
                <c:pt idx="170">
                  <c:v>111699.92</c:v>
                </c:pt>
                <c:pt idx="171">
                  <c:v>111799.92</c:v>
                </c:pt>
                <c:pt idx="172">
                  <c:v>111899.92</c:v>
                </c:pt>
                <c:pt idx="173">
                  <c:v>111999.92</c:v>
                </c:pt>
                <c:pt idx="174">
                  <c:v>112099.92</c:v>
                </c:pt>
                <c:pt idx="175">
                  <c:v>112199.92</c:v>
                </c:pt>
                <c:pt idx="176">
                  <c:v>112299.92</c:v>
                </c:pt>
                <c:pt idx="177">
                  <c:v>112399.92</c:v>
                </c:pt>
                <c:pt idx="178">
                  <c:v>112499.92</c:v>
                </c:pt>
                <c:pt idx="179">
                  <c:v>112599.92</c:v>
                </c:pt>
                <c:pt idx="180">
                  <c:v>112699.92</c:v>
                </c:pt>
                <c:pt idx="181">
                  <c:v>112799.92</c:v>
                </c:pt>
                <c:pt idx="182">
                  <c:v>112899.92</c:v>
                </c:pt>
                <c:pt idx="183">
                  <c:v>112999.92</c:v>
                </c:pt>
                <c:pt idx="184">
                  <c:v>113099.92</c:v>
                </c:pt>
                <c:pt idx="185">
                  <c:v>113199.92</c:v>
                </c:pt>
                <c:pt idx="186">
                  <c:v>113299.92</c:v>
                </c:pt>
                <c:pt idx="187">
                  <c:v>113399.92</c:v>
                </c:pt>
                <c:pt idx="188">
                  <c:v>113499.92</c:v>
                </c:pt>
                <c:pt idx="189">
                  <c:v>113599.92</c:v>
                </c:pt>
                <c:pt idx="190">
                  <c:v>113699.92</c:v>
                </c:pt>
                <c:pt idx="191">
                  <c:v>113799.92</c:v>
                </c:pt>
                <c:pt idx="192">
                  <c:v>113899.92</c:v>
                </c:pt>
                <c:pt idx="193">
                  <c:v>113999.92</c:v>
                </c:pt>
                <c:pt idx="194">
                  <c:v>114057.3</c:v>
                </c:pt>
                <c:pt idx="195">
                  <c:v>114099.92</c:v>
                </c:pt>
                <c:pt idx="196">
                  <c:v>114137.3</c:v>
                </c:pt>
                <c:pt idx="197">
                  <c:v>114199.92</c:v>
                </c:pt>
                <c:pt idx="198">
                  <c:v>114299.92</c:v>
                </c:pt>
                <c:pt idx="199">
                  <c:v>114399.92</c:v>
                </c:pt>
                <c:pt idx="200">
                  <c:v>114499.92</c:v>
                </c:pt>
                <c:pt idx="201">
                  <c:v>114599.92</c:v>
                </c:pt>
                <c:pt idx="202">
                  <c:v>114639.2</c:v>
                </c:pt>
                <c:pt idx="203">
                  <c:v>114699.92</c:v>
                </c:pt>
                <c:pt idx="204">
                  <c:v>114719.2</c:v>
                </c:pt>
                <c:pt idx="205">
                  <c:v>114799.92</c:v>
                </c:pt>
                <c:pt idx="206">
                  <c:v>114899.92</c:v>
                </c:pt>
                <c:pt idx="207">
                  <c:v>114983</c:v>
                </c:pt>
                <c:pt idx="208">
                  <c:v>114999.92</c:v>
                </c:pt>
                <c:pt idx="209">
                  <c:v>115063</c:v>
                </c:pt>
                <c:pt idx="210">
                  <c:v>115099.92</c:v>
                </c:pt>
                <c:pt idx="211">
                  <c:v>115199.92</c:v>
                </c:pt>
                <c:pt idx="212">
                  <c:v>115299.92</c:v>
                </c:pt>
                <c:pt idx="213">
                  <c:v>115399.92</c:v>
                </c:pt>
                <c:pt idx="214">
                  <c:v>115499.92</c:v>
                </c:pt>
                <c:pt idx="215">
                  <c:v>115599.92</c:v>
                </c:pt>
                <c:pt idx="216">
                  <c:v>115676.9</c:v>
                </c:pt>
                <c:pt idx="217">
                  <c:v>115699.92</c:v>
                </c:pt>
                <c:pt idx="218">
                  <c:v>115796.9</c:v>
                </c:pt>
                <c:pt idx="219">
                  <c:v>115799.92</c:v>
                </c:pt>
                <c:pt idx="220">
                  <c:v>115899.92</c:v>
                </c:pt>
                <c:pt idx="221">
                  <c:v>115999.92</c:v>
                </c:pt>
                <c:pt idx="222">
                  <c:v>116090.1</c:v>
                </c:pt>
                <c:pt idx="223">
                  <c:v>116099.92</c:v>
                </c:pt>
                <c:pt idx="224">
                  <c:v>116199.92</c:v>
                </c:pt>
                <c:pt idx="225">
                  <c:v>116299.92</c:v>
                </c:pt>
                <c:pt idx="226">
                  <c:v>116399.92</c:v>
                </c:pt>
                <c:pt idx="227">
                  <c:v>116499.92</c:v>
                </c:pt>
                <c:pt idx="228">
                  <c:v>116599.92</c:v>
                </c:pt>
                <c:pt idx="229">
                  <c:v>116699.92</c:v>
                </c:pt>
                <c:pt idx="230">
                  <c:v>116799.92</c:v>
                </c:pt>
                <c:pt idx="231">
                  <c:v>116899.92</c:v>
                </c:pt>
                <c:pt idx="232">
                  <c:v>116999.92</c:v>
                </c:pt>
                <c:pt idx="233">
                  <c:v>117099.92</c:v>
                </c:pt>
                <c:pt idx="234">
                  <c:v>117199.92</c:v>
                </c:pt>
                <c:pt idx="235">
                  <c:v>117299.92</c:v>
                </c:pt>
                <c:pt idx="236">
                  <c:v>117399.92</c:v>
                </c:pt>
                <c:pt idx="237">
                  <c:v>117499.92</c:v>
                </c:pt>
                <c:pt idx="238">
                  <c:v>117599.92</c:v>
                </c:pt>
                <c:pt idx="239">
                  <c:v>117699.92</c:v>
                </c:pt>
                <c:pt idx="240">
                  <c:v>117799.92</c:v>
                </c:pt>
                <c:pt idx="241">
                  <c:v>117899.92</c:v>
                </c:pt>
                <c:pt idx="242">
                  <c:v>117999.92</c:v>
                </c:pt>
                <c:pt idx="243">
                  <c:v>118099.92</c:v>
                </c:pt>
                <c:pt idx="244">
                  <c:v>118199.92</c:v>
                </c:pt>
                <c:pt idx="245">
                  <c:v>118299.92</c:v>
                </c:pt>
                <c:pt idx="246">
                  <c:v>118399.92</c:v>
                </c:pt>
                <c:pt idx="247">
                  <c:v>118499.92</c:v>
                </c:pt>
                <c:pt idx="248">
                  <c:v>118599.92</c:v>
                </c:pt>
                <c:pt idx="249">
                  <c:v>118690.1</c:v>
                </c:pt>
                <c:pt idx="250">
                  <c:v>118699.92</c:v>
                </c:pt>
                <c:pt idx="251">
                  <c:v>118799.92</c:v>
                </c:pt>
                <c:pt idx="252">
                  <c:v>118899.92</c:v>
                </c:pt>
                <c:pt idx="253">
                  <c:v>118999.92</c:v>
                </c:pt>
                <c:pt idx="254">
                  <c:v>119099.92</c:v>
                </c:pt>
                <c:pt idx="255">
                  <c:v>119199.92</c:v>
                </c:pt>
                <c:pt idx="256">
                  <c:v>119299.92</c:v>
                </c:pt>
                <c:pt idx="257">
                  <c:v>119399.92</c:v>
                </c:pt>
                <c:pt idx="258">
                  <c:v>119499.92</c:v>
                </c:pt>
                <c:pt idx="259">
                  <c:v>119599.92</c:v>
                </c:pt>
                <c:pt idx="260">
                  <c:v>119699.92</c:v>
                </c:pt>
                <c:pt idx="261">
                  <c:v>119799.92</c:v>
                </c:pt>
                <c:pt idx="262">
                  <c:v>119899.92</c:v>
                </c:pt>
                <c:pt idx="263">
                  <c:v>119999.92</c:v>
                </c:pt>
                <c:pt idx="264">
                  <c:v>120099.92</c:v>
                </c:pt>
                <c:pt idx="265">
                  <c:v>120199.92</c:v>
                </c:pt>
                <c:pt idx="266">
                  <c:v>120298.2</c:v>
                </c:pt>
                <c:pt idx="267">
                  <c:v>120299.92</c:v>
                </c:pt>
                <c:pt idx="268">
                  <c:v>120378.2</c:v>
                </c:pt>
                <c:pt idx="269">
                  <c:v>120399.92</c:v>
                </c:pt>
                <c:pt idx="270">
                  <c:v>120499.92</c:v>
                </c:pt>
                <c:pt idx="271">
                  <c:v>120599.92</c:v>
                </c:pt>
                <c:pt idx="272">
                  <c:v>120699.92</c:v>
                </c:pt>
                <c:pt idx="273">
                  <c:v>120799.92</c:v>
                </c:pt>
                <c:pt idx="274">
                  <c:v>120899.92</c:v>
                </c:pt>
                <c:pt idx="275">
                  <c:v>120999.92</c:v>
                </c:pt>
                <c:pt idx="276">
                  <c:v>121099.92</c:v>
                </c:pt>
                <c:pt idx="277">
                  <c:v>121199.92</c:v>
                </c:pt>
                <c:pt idx="278">
                  <c:v>121299.92</c:v>
                </c:pt>
                <c:pt idx="279">
                  <c:v>121399.92</c:v>
                </c:pt>
                <c:pt idx="280">
                  <c:v>121499.92</c:v>
                </c:pt>
                <c:pt idx="281">
                  <c:v>121599.92</c:v>
                </c:pt>
                <c:pt idx="282">
                  <c:v>121699.92</c:v>
                </c:pt>
                <c:pt idx="283">
                  <c:v>121799.92</c:v>
                </c:pt>
                <c:pt idx="284">
                  <c:v>121899.92</c:v>
                </c:pt>
                <c:pt idx="285">
                  <c:v>121999.92</c:v>
                </c:pt>
                <c:pt idx="286">
                  <c:v>122099.92</c:v>
                </c:pt>
                <c:pt idx="287">
                  <c:v>122199.92</c:v>
                </c:pt>
                <c:pt idx="288">
                  <c:v>122299.92</c:v>
                </c:pt>
                <c:pt idx="289">
                  <c:v>122399.92</c:v>
                </c:pt>
                <c:pt idx="290">
                  <c:v>122499.92</c:v>
                </c:pt>
                <c:pt idx="291">
                  <c:v>122599.92</c:v>
                </c:pt>
                <c:pt idx="292">
                  <c:v>122699.92</c:v>
                </c:pt>
                <c:pt idx="293">
                  <c:v>122799.92</c:v>
                </c:pt>
                <c:pt idx="294">
                  <c:v>122899.92</c:v>
                </c:pt>
                <c:pt idx="295">
                  <c:v>122999.92</c:v>
                </c:pt>
                <c:pt idx="296">
                  <c:v>123099.92</c:v>
                </c:pt>
                <c:pt idx="297">
                  <c:v>123199.92</c:v>
                </c:pt>
                <c:pt idx="298">
                  <c:v>123215.6</c:v>
                </c:pt>
                <c:pt idx="299">
                  <c:v>123295.6</c:v>
                </c:pt>
                <c:pt idx="300">
                  <c:v>123299.92</c:v>
                </c:pt>
                <c:pt idx="301">
                  <c:v>123399.92</c:v>
                </c:pt>
                <c:pt idx="302">
                  <c:v>123499.92</c:v>
                </c:pt>
                <c:pt idx="303">
                  <c:v>123599.92</c:v>
                </c:pt>
                <c:pt idx="304">
                  <c:v>123699.92</c:v>
                </c:pt>
                <c:pt idx="305">
                  <c:v>123799.92</c:v>
                </c:pt>
                <c:pt idx="306">
                  <c:v>123899.92</c:v>
                </c:pt>
                <c:pt idx="307">
                  <c:v>123999.92</c:v>
                </c:pt>
                <c:pt idx="308">
                  <c:v>124099.92</c:v>
                </c:pt>
                <c:pt idx="309">
                  <c:v>124199.92</c:v>
                </c:pt>
                <c:pt idx="310">
                  <c:v>124299.92</c:v>
                </c:pt>
                <c:pt idx="311">
                  <c:v>124399.92</c:v>
                </c:pt>
                <c:pt idx="312">
                  <c:v>124499.92</c:v>
                </c:pt>
                <c:pt idx="313">
                  <c:v>124599.92</c:v>
                </c:pt>
                <c:pt idx="314">
                  <c:v>124699.92</c:v>
                </c:pt>
                <c:pt idx="315">
                  <c:v>124799.92</c:v>
                </c:pt>
                <c:pt idx="316">
                  <c:v>124899.92</c:v>
                </c:pt>
                <c:pt idx="317">
                  <c:v>124999.92</c:v>
                </c:pt>
                <c:pt idx="318">
                  <c:v>125099.92</c:v>
                </c:pt>
                <c:pt idx="319">
                  <c:v>125156.3</c:v>
                </c:pt>
                <c:pt idx="320">
                  <c:v>125199.92</c:v>
                </c:pt>
                <c:pt idx="321">
                  <c:v>125236.3</c:v>
                </c:pt>
                <c:pt idx="322">
                  <c:v>125299.92</c:v>
                </c:pt>
                <c:pt idx="323">
                  <c:v>125399.92</c:v>
                </c:pt>
                <c:pt idx="324">
                  <c:v>125499.92</c:v>
                </c:pt>
                <c:pt idx="325">
                  <c:v>125599.92</c:v>
                </c:pt>
                <c:pt idx="326">
                  <c:v>125699.92</c:v>
                </c:pt>
                <c:pt idx="327">
                  <c:v>125723.1</c:v>
                </c:pt>
                <c:pt idx="328">
                  <c:v>125798.1</c:v>
                </c:pt>
                <c:pt idx="329">
                  <c:v>125799.92</c:v>
                </c:pt>
                <c:pt idx="330">
                  <c:v>125899.92</c:v>
                </c:pt>
                <c:pt idx="331">
                  <c:v>125915.7</c:v>
                </c:pt>
                <c:pt idx="332">
                  <c:v>125999.92</c:v>
                </c:pt>
                <c:pt idx="333">
                  <c:v>126075.7</c:v>
                </c:pt>
                <c:pt idx="334">
                  <c:v>126099.92</c:v>
                </c:pt>
                <c:pt idx="335">
                  <c:v>126199.92</c:v>
                </c:pt>
                <c:pt idx="336">
                  <c:v>126299.92</c:v>
                </c:pt>
                <c:pt idx="337">
                  <c:v>126399.92</c:v>
                </c:pt>
                <c:pt idx="338">
                  <c:v>126499.92</c:v>
                </c:pt>
                <c:pt idx="339">
                  <c:v>126599.92</c:v>
                </c:pt>
                <c:pt idx="340">
                  <c:v>126699.92</c:v>
                </c:pt>
                <c:pt idx="341">
                  <c:v>126799.92</c:v>
                </c:pt>
                <c:pt idx="342">
                  <c:v>126899.92</c:v>
                </c:pt>
                <c:pt idx="343">
                  <c:v>126999.92</c:v>
                </c:pt>
                <c:pt idx="344">
                  <c:v>127099.92</c:v>
                </c:pt>
                <c:pt idx="345">
                  <c:v>127199.92</c:v>
                </c:pt>
                <c:pt idx="346">
                  <c:v>127299.92</c:v>
                </c:pt>
                <c:pt idx="347">
                  <c:v>127399.92</c:v>
                </c:pt>
                <c:pt idx="348">
                  <c:v>127499.92</c:v>
                </c:pt>
                <c:pt idx="349">
                  <c:v>127599.92</c:v>
                </c:pt>
                <c:pt idx="350">
                  <c:v>127699.92</c:v>
                </c:pt>
                <c:pt idx="351">
                  <c:v>127799.92</c:v>
                </c:pt>
                <c:pt idx="352">
                  <c:v>127899.92</c:v>
                </c:pt>
                <c:pt idx="353">
                  <c:v>127999.92</c:v>
                </c:pt>
                <c:pt idx="354">
                  <c:v>128099.92</c:v>
                </c:pt>
                <c:pt idx="355">
                  <c:v>128199.92</c:v>
                </c:pt>
                <c:pt idx="356">
                  <c:v>128299.92</c:v>
                </c:pt>
                <c:pt idx="357">
                  <c:v>128399.92</c:v>
                </c:pt>
                <c:pt idx="358">
                  <c:v>128499.92</c:v>
                </c:pt>
                <c:pt idx="359">
                  <c:v>128599.92</c:v>
                </c:pt>
                <c:pt idx="360">
                  <c:v>128699.92</c:v>
                </c:pt>
                <c:pt idx="361">
                  <c:v>128799.92</c:v>
                </c:pt>
                <c:pt idx="362">
                  <c:v>128899.92</c:v>
                </c:pt>
                <c:pt idx="363">
                  <c:v>128999.92</c:v>
                </c:pt>
                <c:pt idx="364">
                  <c:v>129099.92</c:v>
                </c:pt>
                <c:pt idx="365">
                  <c:v>129199.92</c:v>
                </c:pt>
                <c:pt idx="366">
                  <c:v>129299.92</c:v>
                </c:pt>
                <c:pt idx="367">
                  <c:v>129399.92</c:v>
                </c:pt>
                <c:pt idx="368">
                  <c:v>129499.92</c:v>
                </c:pt>
                <c:pt idx="369">
                  <c:v>129599.92</c:v>
                </c:pt>
                <c:pt idx="370">
                  <c:v>129699.92</c:v>
                </c:pt>
                <c:pt idx="371">
                  <c:v>129799.92</c:v>
                </c:pt>
                <c:pt idx="372">
                  <c:v>129899.92</c:v>
                </c:pt>
                <c:pt idx="373">
                  <c:v>129918.1</c:v>
                </c:pt>
                <c:pt idx="374">
                  <c:v>129998.1</c:v>
                </c:pt>
                <c:pt idx="375">
                  <c:v>129999.92</c:v>
                </c:pt>
                <c:pt idx="376">
                  <c:v>130099.92</c:v>
                </c:pt>
                <c:pt idx="377">
                  <c:v>130199.92</c:v>
                </c:pt>
                <c:pt idx="378">
                  <c:v>130299.92</c:v>
                </c:pt>
                <c:pt idx="379">
                  <c:v>130399.92</c:v>
                </c:pt>
                <c:pt idx="380">
                  <c:v>130499.92</c:v>
                </c:pt>
                <c:pt idx="381">
                  <c:v>130599.92</c:v>
                </c:pt>
                <c:pt idx="382">
                  <c:v>130699.92</c:v>
                </c:pt>
                <c:pt idx="383">
                  <c:v>130799.92</c:v>
                </c:pt>
                <c:pt idx="384">
                  <c:v>130899.92</c:v>
                </c:pt>
                <c:pt idx="385">
                  <c:v>130999.92</c:v>
                </c:pt>
                <c:pt idx="386">
                  <c:v>131099.92000000001</c:v>
                </c:pt>
                <c:pt idx="387">
                  <c:v>131199.92000000001</c:v>
                </c:pt>
                <c:pt idx="388">
                  <c:v>131299.92000000001</c:v>
                </c:pt>
                <c:pt idx="389">
                  <c:v>131399.92000000001</c:v>
                </c:pt>
                <c:pt idx="390">
                  <c:v>131482.9</c:v>
                </c:pt>
                <c:pt idx="391">
                  <c:v>131499.92000000001</c:v>
                </c:pt>
                <c:pt idx="392">
                  <c:v>131562.9</c:v>
                </c:pt>
                <c:pt idx="393">
                  <c:v>131599.92000000001</c:v>
                </c:pt>
                <c:pt idx="394">
                  <c:v>131699.92000000001</c:v>
                </c:pt>
                <c:pt idx="395">
                  <c:v>131799.92000000001</c:v>
                </c:pt>
                <c:pt idx="396">
                  <c:v>131899.92000000001</c:v>
                </c:pt>
                <c:pt idx="397">
                  <c:v>131999.92000000001</c:v>
                </c:pt>
                <c:pt idx="398">
                  <c:v>132099.92000000001</c:v>
                </c:pt>
                <c:pt idx="399">
                  <c:v>132199.92000000001</c:v>
                </c:pt>
                <c:pt idx="400">
                  <c:v>132299.92000000001</c:v>
                </c:pt>
                <c:pt idx="401">
                  <c:v>132399.92000000001</c:v>
                </c:pt>
                <c:pt idx="402">
                  <c:v>132499.92000000001</c:v>
                </c:pt>
                <c:pt idx="403">
                  <c:v>132599.92000000001</c:v>
                </c:pt>
                <c:pt idx="404">
                  <c:v>132699.92000000001</c:v>
                </c:pt>
                <c:pt idx="405">
                  <c:v>132799.1</c:v>
                </c:pt>
                <c:pt idx="406">
                  <c:v>132799.92000000001</c:v>
                </c:pt>
                <c:pt idx="407">
                  <c:v>132899.92000000001</c:v>
                </c:pt>
                <c:pt idx="408">
                  <c:v>132999.92000000001</c:v>
                </c:pt>
                <c:pt idx="409">
                  <c:v>133039.1</c:v>
                </c:pt>
                <c:pt idx="410">
                  <c:v>133099.92000000001</c:v>
                </c:pt>
                <c:pt idx="411">
                  <c:v>133199.92000000001</c:v>
                </c:pt>
                <c:pt idx="412">
                  <c:v>133299.92000000001</c:v>
                </c:pt>
                <c:pt idx="413">
                  <c:v>133399.92000000001</c:v>
                </c:pt>
                <c:pt idx="414">
                  <c:v>133499.92000000001</c:v>
                </c:pt>
                <c:pt idx="415">
                  <c:v>133599.92000000001</c:v>
                </c:pt>
                <c:pt idx="416">
                  <c:v>133699.92000000001</c:v>
                </c:pt>
                <c:pt idx="417">
                  <c:v>133799.92000000001</c:v>
                </c:pt>
                <c:pt idx="418">
                  <c:v>133899.92000000001</c:v>
                </c:pt>
                <c:pt idx="419">
                  <c:v>133999.92000000001</c:v>
                </c:pt>
                <c:pt idx="420">
                  <c:v>134099.92000000001</c:v>
                </c:pt>
                <c:pt idx="421">
                  <c:v>134199.92000000001</c:v>
                </c:pt>
                <c:pt idx="422">
                  <c:v>134299.92000000001</c:v>
                </c:pt>
                <c:pt idx="423">
                  <c:v>134399.92000000001</c:v>
                </c:pt>
                <c:pt idx="424">
                  <c:v>134499.92000000001</c:v>
                </c:pt>
                <c:pt idx="425">
                  <c:v>134599.92000000001</c:v>
                </c:pt>
                <c:pt idx="426">
                  <c:v>134699.92000000001</c:v>
                </c:pt>
                <c:pt idx="427">
                  <c:v>134799.92000000001</c:v>
                </c:pt>
                <c:pt idx="428">
                  <c:v>134899.92000000001</c:v>
                </c:pt>
                <c:pt idx="429">
                  <c:v>134999.92000000001</c:v>
                </c:pt>
                <c:pt idx="430">
                  <c:v>135099.92000000001</c:v>
                </c:pt>
                <c:pt idx="431">
                  <c:v>135199.92000000001</c:v>
                </c:pt>
                <c:pt idx="432">
                  <c:v>135299.92000000001</c:v>
                </c:pt>
                <c:pt idx="433">
                  <c:v>135399.92000000001</c:v>
                </c:pt>
                <c:pt idx="434">
                  <c:v>135499.92000000001</c:v>
                </c:pt>
                <c:pt idx="435">
                  <c:v>135599.92000000001</c:v>
                </c:pt>
                <c:pt idx="436">
                  <c:v>135699.92000000001</c:v>
                </c:pt>
                <c:pt idx="437">
                  <c:v>135799.92000000001</c:v>
                </c:pt>
                <c:pt idx="438">
                  <c:v>135899.92000000001</c:v>
                </c:pt>
                <c:pt idx="439">
                  <c:v>135999.92000000001</c:v>
                </c:pt>
                <c:pt idx="440">
                  <c:v>136099.92000000001</c:v>
                </c:pt>
                <c:pt idx="441">
                  <c:v>136199.92000000001</c:v>
                </c:pt>
                <c:pt idx="442">
                  <c:v>136299.92000000001</c:v>
                </c:pt>
                <c:pt idx="443">
                  <c:v>136399.92000000001</c:v>
                </c:pt>
                <c:pt idx="444">
                  <c:v>136499.92000000001</c:v>
                </c:pt>
                <c:pt idx="445">
                  <c:v>136599.92000000001</c:v>
                </c:pt>
                <c:pt idx="446">
                  <c:v>136699.92000000001</c:v>
                </c:pt>
                <c:pt idx="447">
                  <c:v>136799.92000000001</c:v>
                </c:pt>
                <c:pt idx="448">
                  <c:v>136899.92000000001</c:v>
                </c:pt>
                <c:pt idx="449">
                  <c:v>136999.92000000001</c:v>
                </c:pt>
                <c:pt idx="450">
                  <c:v>137099.92000000001</c:v>
                </c:pt>
                <c:pt idx="451">
                  <c:v>137199.92000000001</c:v>
                </c:pt>
                <c:pt idx="452">
                  <c:v>137299.92000000001</c:v>
                </c:pt>
                <c:pt idx="453">
                  <c:v>137399.92000000001</c:v>
                </c:pt>
                <c:pt idx="454">
                  <c:v>137499.92000000001</c:v>
                </c:pt>
                <c:pt idx="455">
                  <c:v>137599.92000000001</c:v>
                </c:pt>
                <c:pt idx="456">
                  <c:v>137699.92000000001</c:v>
                </c:pt>
                <c:pt idx="457">
                  <c:v>137745.70000000001</c:v>
                </c:pt>
                <c:pt idx="458">
                  <c:v>137799.92000000001</c:v>
                </c:pt>
                <c:pt idx="459">
                  <c:v>137899.92000000001</c:v>
                </c:pt>
                <c:pt idx="460">
                  <c:v>137999.92000000001</c:v>
                </c:pt>
                <c:pt idx="461">
                  <c:v>138099.92000000001</c:v>
                </c:pt>
                <c:pt idx="462">
                  <c:v>138199.92000000001</c:v>
                </c:pt>
                <c:pt idx="463">
                  <c:v>138299.92000000001</c:v>
                </c:pt>
                <c:pt idx="464">
                  <c:v>138399.92000000001</c:v>
                </c:pt>
                <c:pt idx="465">
                  <c:v>138465.70000000001</c:v>
                </c:pt>
                <c:pt idx="466">
                  <c:v>138499.92000000001</c:v>
                </c:pt>
                <c:pt idx="467">
                  <c:v>138599.92000000001</c:v>
                </c:pt>
                <c:pt idx="468">
                  <c:v>138699.92000000001</c:v>
                </c:pt>
                <c:pt idx="469">
                  <c:v>138799.92000000001</c:v>
                </c:pt>
                <c:pt idx="470">
                  <c:v>138836.1</c:v>
                </c:pt>
                <c:pt idx="471">
                  <c:v>138899.92000000001</c:v>
                </c:pt>
                <c:pt idx="472">
                  <c:v>138916.1</c:v>
                </c:pt>
                <c:pt idx="473">
                  <c:v>138999.92000000001</c:v>
                </c:pt>
                <c:pt idx="474">
                  <c:v>139099.92000000001</c:v>
                </c:pt>
                <c:pt idx="475">
                  <c:v>139199.92000000001</c:v>
                </c:pt>
                <c:pt idx="476">
                  <c:v>139299.92000000001</c:v>
                </c:pt>
                <c:pt idx="477">
                  <c:v>139399.92000000001</c:v>
                </c:pt>
                <c:pt idx="478">
                  <c:v>139424.9</c:v>
                </c:pt>
                <c:pt idx="479">
                  <c:v>139499.92000000001</c:v>
                </c:pt>
                <c:pt idx="480">
                  <c:v>139584.9</c:v>
                </c:pt>
                <c:pt idx="481">
                  <c:v>139599.92000000001</c:v>
                </c:pt>
                <c:pt idx="482">
                  <c:v>139699.92000000001</c:v>
                </c:pt>
                <c:pt idx="483">
                  <c:v>139799.92000000001</c:v>
                </c:pt>
                <c:pt idx="484">
                  <c:v>139899.92000000001</c:v>
                </c:pt>
                <c:pt idx="485">
                  <c:v>139999.92000000001</c:v>
                </c:pt>
                <c:pt idx="486">
                  <c:v>140099.92000000001</c:v>
                </c:pt>
                <c:pt idx="487">
                  <c:v>140199.92000000001</c:v>
                </c:pt>
                <c:pt idx="488">
                  <c:v>140299.92000000001</c:v>
                </c:pt>
                <c:pt idx="489">
                  <c:v>140399.92000000001</c:v>
                </c:pt>
                <c:pt idx="490">
                  <c:v>140499.92000000001</c:v>
                </c:pt>
                <c:pt idx="491">
                  <c:v>140599.92000000001</c:v>
                </c:pt>
                <c:pt idx="492">
                  <c:v>140699.92000000001</c:v>
                </c:pt>
                <c:pt idx="493">
                  <c:v>140799.92000000001</c:v>
                </c:pt>
                <c:pt idx="494">
                  <c:v>140899.92000000001</c:v>
                </c:pt>
                <c:pt idx="495">
                  <c:v>140999.92000000001</c:v>
                </c:pt>
                <c:pt idx="496">
                  <c:v>141099.92000000001</c:v>
                </c:pt>
                <c:pt idx="497">
                  <c:v>141199.92000000001</c:v>
                </c:pt>
                <c:pt idx="498">
                  <c:v>141299.92000000001</c:v>
                </c:pt>
                <c:pt idx="499">
                  <c:v>141399.92000000001</c:v>
                </c:pt>
                <c:pt idx="500">
                  <c:v>141499.92000000001</c:v>
                </c:pt>
                <c:pt idx="501">
                  <c:v>141599.92000000001</c:v>
                </c:pt>
                <c:pt idx="502">
                  <c:v>141699.92000000001</c:v>
                </c:pt>
                <c:pt idx="503">
                  <c:v>141799.92000000001</c:v>
                </c:pt>
                <c:pt idx="504">
                  <c:v>141899.92000000001</c:v>
                </c:pt>
                <c:pt idx="505">
                  <c:v>141999.92000000001</c:v>
                </c:pt>
                <c:pt idx="506">
                  <c:v>142099.92000000001</c:v>
                </c:pt>
                <c:pt idx="507">
                  <c:v>142199.92000000001</c:v>
                </c:pt>
                <c:pt idx="508">
                  <c:v>142299.92000000001</c:v>
                </c:pt>
                <c:pt idx="509">
                  <c:v>142399.92000000001</c:v>
                </c:pt>
                <c:pt idx="510">
                  <c:v>142427</c:v>
                </c:pt>
                <c:pt idx="511">
                  <c:v>142499.92000000001</c:v>
                </c:pt>
                <c:pt idx="512">
                  <c:v>142507</c:v>
                </c:pt>
                <c:pt idx="513">
                  <c:v>142599.92000000001</c:v>
                </c:pt>
                <c:pt idx="514">
                  <c:v>142699.92000000001</c:v>
                </c:pt>
                <c:pt idx="515">
                  <c:v>142799.92000000001</c:v>
                </c:pt>
                <c:pt idx="516">
                  <c:v>142899.92000000001</c:v>
                </c:pt>
                <c:pt idx="517">
                  <c:v>142999.92000000001</c:v>
                </c:pt>
                <c:pt idx="518">
                  <c:v>143099.92000000001</c:v>
                </c:pt>
                <c:pt idx="519">
                  <c:v>143199.92000000001</c:v>
                </c:pt>
                <c:pt idx="520">
                  <c:v>143299.92000000001</c:v>
                </c:pt>
                <c:pt idx="521">
                  <c:v>143399.92000000001</c:v>
                </c:pt>
                <c:pt idx="522">
                  <c:v>143499.92000000001</c:v>
                </c:pt>
                <c:pt idx="523">
                  <c:v>143599.92000000001</c:v>
                </c:pt>
                <c:pt idx="524">
                  <c:v>143699.92000000001</c:v>
                </c:pt>
                <c:pt idx="525">
                  <c:v>143799.92000000001</c:v>
                </c:pt>
                <c:pt idx="526">
                  <c:v>143899.92000000001</c:v>
                </c:pt>
                <c:pt idx="527">
                  <c:v>143999.92000000001</c:v>
                </c:pt>
                <c:pt idx="528">
                  <c:v>144099.92000000001</c:v>
                </c:pt>
                <c:pt idx="529">
                  <c:v>144199.92000000001</c:v>
                </c:pt>
                <c:pt idx="530">
                  <c:v>144299.92000000001</c:v>
                </c:pt>
                <c:pt idx="531">
                  <c:v>144399.92000000001</c:v>
                </c:pt>
                <c:pt idx="532">
                  <c:v>144478.29999999999</c:v>
                </c:pt>
                <c:pt idx="533">
                  <c:v>144499.92000000001</c:v>
                </c:pt>
                <c:pt idx="534">
                  <c:v>144558.29999999999</c:v>
                </c:pt>
                <c:pt idx="535">
                  <c:v>144599.92000000001</c:v>
                </c:pt>
                <c:pt idx="536">
                  <c:v>144699.92000000001</c:v>
                </c:pt>
                <c:pt idx="537">
                  <c:v>144799.92000000001</c:v>
                </c:pt>
                <c:pt idx="538">
                  <c:v>144899.92000000001</c:v>
                </c:pt>
                <c:pt idx="539">
                  <c:v>144999.92000000001</c:v>
                </c:pt>
                <c:pt idx="540">
                  <c:v>145099.92000000001</c:v>
                </c:pt>
                <c:pt idx="541">
                  <c:v>145199.92000000001</c:v>
                </c:pt>
                <c:pt idx="542">
                  <c:v>145299.92000000001</c:v>
                </c:pt>
                <c:pt idx="543">
                  <c:v>145399.92000000001</c:v>
                </c:pt>
                <c:pt idx="544">
                  <c:v>145499.92000000001</c:v>
                </c:pt>
                <c:pt idx="545">
                  <c:v>145599.92000000001</c:v>
                </c:pt>
                <c:pt idx="546">
                  <c:v>145699.92000000001</c:v>
                </c:pt>
                <c:pt idx="547">
                  <c:v>145799.92000000001</c:v>
                </c:pt>
                <c:pt idx="548">
                  <c:v>145899.92000000001</c:v>
                </c:pt>
                <c:pt idx="549">
                  <c:v>145999.92000000001</c:v>
                </c:pt>
                <c:pt idx="550">
                  <c:v>146099.92000000001</c:v>
                </c:pt>
                <c:pt idx="551">
                  <c:v>146199.92000000001</c:v>
                </c:pt>
                <c:pt idx="552">
                  <c:v>146262.29999999999</c:v>
                </c:pt>
                <c:pt idx="553">
                  <c:v>146299.92000000001</c:v>
                </c:pt>
                <c:pt idx="554">
                  <c:v>146342.29999999999</c:v>
                </c:pt>
                <c:pt idx="555">
                  <c:v>146399.92000000001</c:v>
                </c:pt>
                <c:pt idx="556">
                  <c:v>146499.92000000001</c:v>
                </c:pt>
                <c:pt idx="557">
                  <c:v>146599.92000000001</c:v>
                </c:pt>
                <c:pt idx="558">
                  <c:v>146699.92000000001</c:v>
                </c:pt>
                <c:pt idx="559">
                  <c:v>146799.92000000001</c:v>
                </c:pt>
                <c:pt idx="560">
                  <c:v>146899.92000000001</c:v>
                </c:pt>
                <c:pt idx="561">
                  <c:v>146999.92000000001</c:v>
                </c:pt>
                <c:pt idx="562">
                  <c:v>147099.92000000001</c:v>
                </c:pt>
                <c:pt idx="563">
                  <c:v>147199.92000000001</c:v>
                </c:pt>
                <c:pt idx="564">
                  <c:v>147299.92000000001</c:v>
                </c:pt>
                <c:pt idx="565">
                  <c:v>147399.92000000001</c:v>
                </c:pt>
                <c:pt idx="566">
                  <c:v>147499.92000000001</c:v>
                </c:pt>
                <c:pt idx="567">
                  <c:v>147599.92000000001</c:v>
                </c:pt>
                <c:pt idx="568">
                  <c:v>147699.92000000001</c:v>
                </c:pt>
                <c:pt idx="569">
                  <c:v>147799.92000000001</c:v>
                </c:pt>
                <c:pt idx="570">
                  <c:v>147899.92000000001</c:v>
                </c:pt>
                <c:pt idx="571">
                  <c:v>147999.92000000001</c:v>
                </c:pt>
                <c:pt idx="572">
                  <c:v>148099.92000000001</c:v>
                </c:pt>
                <c:pt idx="573">
                  <c:v>148199.92000000001</c:v>
                </c:pt>
                <c:pt idx="574">
                  <c:v>148299.92000000001</c:v>
                </c:pt>
                <c:pt idx="575">
                  <c:v>148399.92000000001</c:v>
                </c:pt>
                <c:pt idx="576">
                  <c:v>148499.92000000001</c:v>
                </c:pt>
                <c:pt idx="577">
                  <c:v>148599.92000000001</c:v>
                </c:pt>
                <c:pt idx="578">
                  <c:v>148699.92000000001</c:v>
                </c:pt>
                <c:pt idx="579">
                  <c:v>148799.92000000001</c:v>
                </c:pt>
                <c:pt idx="580">
                  <c:v>148899.92000000001</c:v>
                </c:pt>
                <c:pt idx="581">
                  <c:v>148999.92000000001</c:v>
                </c:pt>
                <c:pt idx="582">
                  <c:v>149099.92000000001</c:v>
                </c:pt>
                <c:pt idx="583">
                  <c:v>149199.92000000001</c:v>
                </c:pt>
                <c:pt idx="584">
                  <c:v>149299.92000000001</c:v>
                </c:pt>
                <c:pt idx="585">
                  <c:v>149399.92000000001</c:v>
                </c:pt>
                <c:pt idx="586">
                  <c:v>149499.92000000001</c:v>
                </c:pt>
                <c:pt idx="587">
                  <c:v>149599.92000000001</c:v>
                </c:pt>
                <c:pt idx="588">
                  <c:v>149699.92000000001</c:v>
                </c:pt>
                <c:pt idx="589">
                  <c:v>149799.92000000001</c:v>
                </c:pt>
                <c:pt idx="590">
                  <c:v>149899.92000000001</c:v>
                </c:pt>
                <c:pt idx="591">
                  <c:v>149999.92000000001</c:v>
                </c:pt>
                <c:pt idx="592">
                  <c:v>150099.92000000001</c:v>
                </c:pt>
                <c:pt idx="593">
                  <c:v>150120.79999999999</c:v>
                </c:pt>
                <c:pt idx="594">
                  <c:v>150199.92000000001</c:v>
                </c:pt>
                <c:pt idx="595">
                  <c:v>150240.79999999999</c:v>
                </c:pt>
                <c:pt idx="596">
                  <c:v>150299.92000000001</c:v>
                </c:pt>
                <c:pt idx="597">
                  <c:v>150399.92000000001</c:v>
                </c:pt>
                <c:pt idx="598">
                  <c:v>150499.92000000001</c:v>
                </c:pt>
                <c:pt idx="599">
                  <c:v>150599.92000000001</c:v>
                </c:pt>
                <c:pt idx="600">
                  <c:v>150699.92000000001</c:v>
                </c:pt>
                <c:pt idx="601">
                  <c:v>150799.92000000001</c:v>
                </c:pt>
                <c:pt idx="602">
                  <c:v>150899.92000000001</c:v>
                </c:pt>
                <c:pt idx="603">
                  <c:v>150999.92000000001</c:v>
                </c:pt>
                <c:pt idx="604">
                  <c:v>151099.92000000001</c:v>
                </c:pt>
                <c:pt idx="605">
                  <c:v>151199.92000000001</c:v>
                </c:pt>
                <c:pt idx="606">
                  <c:v>151299.92000000001</c:v>
                </c:pt>
                <c:pt idx="607">
                  <c:v>151399.92000000001</c:v>
                </c:pt>
                <c:pt idx="608">
                  <c:v>151499.92000000001</c:v>
                </c:pt>
                <c:pt idx="609">
                  <c:v>151599.92000000001</c:v>
                </c:pt>
                <c:pt idx="610">
                  <c:v>151699.92000000001</c:v>
                </c:pt>
                <c:pt idx="611">
                  <c:v>151799.92000000001</c:v>
                </c:pt>
                <c:pt idx="612">
                  <c:v>151899.92000000001</c:v>
                </c:pt>
                <c:pt idx="613">
                  <c:v>151999.92000000001</c:v>
                </c:pt>
                <c:pt idx="614">
                  <c:v>152099.92000000001</c:v>
                </c:pt>
                <c:pt idx="615">
                  <c:v>152199.92000000001</c:v>
                </c:pt>
                <c:pt idx="616">
                  <c:v>152299.92000000001</c:v>
                </c:pt>
                <c:pt idx="617">
                  <c:v>152399.92000000001</c:v>
                </c:pt>
                <c:pt idx="618">
                  <c:v>152499.92000000001</c:v>
                </c:pt>
                <c:pt idx="619">
                  <c:v>152599.92000000001</c:v>
                </c:pt>
                <c:pt idx="620">
                  <c:v>152699.92000000001</c:v>
                </c:pt>
                <c:pt idx="621">
                  <c:v>152799.92000000001</c:v>
                </c:pt>
                <c:pt idx="622">
                  <c:v>152899.92000000001</c:v>
                </c:pt>
                <c:pt idx="623">
                  <c:v>152999.92000000001</c:v>
                </c:pt>
                <c:pt idx="624">
                  <c:v>153099.92000000001</c:v>
                </c:pt>
                <c:pt idx="625">
                  <c:v>153199.92000000001</c:v>
                </c:pt>
                <c:pt idx="626">
                  <c:v>153299.92000000001</c:v>
                </c:pt>
                <c:pt idx="627">
                  <c:v>153399.92000000001</c:v>
                </c:pt>
                <c:pt idx="628">
                  <c:v>153499.92000000001</c:v>
                </c:pt>
                <c:pt idx="629">
                  <c:v>153599.92000000001</c:v>
                </c:pt>
                <c:pt idx="630">
                  <c:v>153699.92000000001</c:v>
                </c:pt>
                <c:pt idx="631">
                  <c:v>153799.92000000001</c:v>
                </c:pt>
                <c:pt idx="632">
                  <c:v>153859</c:v>
                </c:pt>
                <c:pt idx="633">
                  <c:v>153899.92000000001</c:v>
                </c:pt>
                <c:pt idx="634">
                  <c:v>153999.92000000001</c:v>
                </c:pt>
                <c:pt idx="635">
                  <c:v>154099.92000000001</c:v>
                </c:pt>
                <c:pt idx="636">
                  <c:v>154199.92000000001</c:v>
                </c:pt>
                <c:pt idx="637">
                  <c:v>154299.92000000001</c:v>
                </c:pt>
                <c:pt idx="638">
                  <c:v>154399.92000000001</c:v>
                </c:pt>
                <c:pt idx="639">
                  <c:v>154499.92000000001</c:v>
                </c:pt>
                <c:pt idx="640">
                  <c:v>154599.92000000001</c:v>
                </c:pt>
                <c:pt idx="641">
                  <c:v>154699.92000000001</c:v>
                </c:pt>
                <c:pt idx="642">
                  <c:v>154799.92000000001</c:v>
                </c:pt>
                <c:pt idx="643">
                  <c:v>154899.92000000001</c:v>
                </c:pt>
                <c:pt idx="644">
                  <c:v>154999.92000000001</c:v>
                </c:pt>
                <c:pt idx="645">
                  <c:v>155099.92000000001</c:v>
                </c:pt>
                <c:pt idx="646">
                  <c:v>155199.92000000001</c:v>
                </c:pt>
                <c:pt idx="647">
                  <c:v>155299.92000000001</c:v>
                </c:pt>
                <c:pt idx="648">
                  <c:v>155399.92000000001</c:v>
                </c:pt>
                <c:pt idx="649">
                  <c:v>155499.92000000001</c:v>
                </c:pt>
                <c:pt idx="650">
                  <c:v>155569</c:v>
                </c:pt>
                <c:pt idx="651">
                  <c:v>155599.92000000001</c:v>
                </c:pt>
                <c:pt idx="652">
                  <c:v>155699.92000000001</c:v>
                </c:pt>
                <c:pt idx="653">
                  <c:v>155799.92000000001</c:v>
                </c:pt>
                <c:pt idx="654">
                  <c:v>155899.92000000001</c:v>
                </c:pt>
                <c:pt idx="655">
                  <c:v>155999.92000000001</c:v>
                </c:pt>
                <c:pt idx="656">
                  <c:v>156099.92000000001</c:v>
                </c:pt>
                <c:pt idx="657">
                  <c:v>156199.92000000001</c:v>
                </c:pt>
                <c:pt idx="658">
                  <c:v>156299.92000000001</c:v>
                </c:pt>
                <c:pt idx="659">
                  <c:v>156399.92000000001</c:v>
                </c:pt>
                <c:pt idx="660">
                  <c:v>156499.92000000001</c:v>
                </c:pt>
                <c:pt idx="661">
                  <c:v>156599.92000000001</c:v>
                </c:pt>
                <c:pt idx="662">
                  <c:v>156699.92000000001</c:v>
                </c:pt>
                <c:pt idx="663">
                  <c:v>156799.92000000001</c:v>
                </c:pt>
                <c:pt idx="664">
                  <c:v>156899.92000000001</c:v>
                </c:pt>
                <c:pt idx="665">
                  <c:v>156999.92000000001</c:v>
                </c:pt>
                <c:pt idx="666">
                  <c:v>157099.92000000001</c:v>
                </c:pt>
                <c:pt idx="667">
                  <c:v>157199.92000000001</c:v>
                </c:pt>
                <c:pt idx="668">
                  <c:v>157299.92000000001</c:v>
                </c:pt>
                <c:pt idx="669">
                  <c:v>157399.92000000001</c:v>
                </c:pt>
                <c:pt idx="670">
                  <c:v>157499.92000000001</c:v>
                </c:pt>
                <c:pt idx="671">
                  <c:v>157599.92000000001</c:v>
                </c:pt>
                <c:pt idx="672">
                  <c:v>157699.92000000001</c:v>
                </c:pt>
                <c:pt idx="673">
                  <c:v>157799.92000000001</c:v>
                </c:pt>
                <c:pt idx="674">
                  <c:v>157899.92000000001</c:v>
                </c:pt>
                <c:pt idx="675">
                  <c:v>157999.92000000001</c:v>
                </c:pt>
                <c:pt idx="676">
                  <c:v>158099.92000000001</c:v>
                </c:pt>
                <c:pt idx="677">
                  <c:v>158199.92000000001</c:v>
                </c:pt>
                <c:pt idx="678">
                  <c:v>158299.92000000001</c:v>
                </c:pt>
                <c:pt idx="679">
                  <c:v>158399.92000000001</c:v>
                </c:pt>
                <c:pt idx="680">
                  <c:v>158499.92000000001</c:v>
                </c:pt>
                <c:pt idx="681">
                  <c:v>158599.92000000001</c:v>
                </c:pt>
                <c:pt idx="682">
                  <c:v>158699.92000000001</c:v>
                </c:pt>
                <c:pt idx="683">
                  <c:v>158737.4</c:v>
                </c:pt>
                <c:pt idx="684">
                  <c:v>158799.92000000001</c:v>
                </c:pt>
                <c:pt idx="685">
                  <c:v>158897.4</c:v>
                </c:pt>
                <c:pt idx="686">
                  <c:v>158899.92000000001</c:v>
                </c:pt>
                <c:pt idx="687">
                  <c:v>158999.92000000001</c:v>
                </c:pt>
                <c:pt idx="688">
                  <c:v>159099.92000000001</c:v>
                </c:pt>
                <c:pt idx="689">
                  <c:v>159199.92000000001</c:v>
                </c:pt>
                <c:pt idx="690">
                  <c:v>159299.92000000001</c:v>
                </c:pt>
                <c:pt idx="691">
                  <c:v>159399.92000000001</c:v>
                </c:pt>
                <c:pt idx="692">
                  <c:v>159499.92000000001</c:v>
                </c:pt>
                <c:pt idx="693">
                  <c:v>159523.79999999999</c:v>
                </c:pt>
                <c:pt idx="694">
                  <c:v>159599.92000000001</c:v>
                </c:pt>
                <c:pt idx="695">
                  <c:v>159643.79999999999</c:v>
                </c:pt>
                <c:pt idx="696">
                  <c:v>159699.92000000001</c:v>
                </c:pt>
                <c:pt idx="697">
                  <c:v>159799.92000000001</c:v>
                </c:pt>
                <c:pt idx="698">
                  <c:v>159899.92000000001</c:v>
                </c:pt>
                <c:pt idx="699">
                  <c:v>159999.92000000001</c:v>
                </c:pt>
                <c:pt idx="700">
                  <c:v>160099.92000000001</c:v>
                </c:pt>
                <c:pt idx="701">
                  <c:v>160199.92000000001</c:v>
                </c:pt>
                <c:pt idx="702">
                  <c:v>160299.92000000001</c:v>
                </c:pt>
                <c:pt idx="703">
                  <c:v>160399.92000000001</c:v>
                </c:pt>
                <c:pt idx="704">
                  <c:v>160499.92000000001</c:v>
                </c:pt>
                <c:pt idx="705">
                  <c:v>160599.92000000001</c:v>
                </c:pt>
                <c:pt idx="706">
                  <c:v>160699.92000000001</c:v>
                </c:pt>
                <c:pt idx="707">
                  <c:v>160799.92000000001</c:v>
                </c:pt>
                <c:pt idx="708">
                  <c:v>160899.92000000001</c:v>
                </c:pt>
                <c:pt idx="709">
                  <c:v>160999.92000000001</c:v>
                </c:pt>
                <c:pt idx="710">
                  <c:v>161099.92000000001</c:v>
                </c:pt>
                <c:pt idx="711">
                  <c:v>161199.92000000001</c:v>
                </c:pt>
                <c:pt idx="712">
                  <c:v>161299.92000000001</c:v>
                </c:pt>
                <c:pt idx="713">
                  <c:v>161399.92000000001</c:v>
                </c:pt>
                <c:pt idx="714">
                  <c:v>161499.92000000001</c:v>
                </c:pt>
                <c:pt idx="715">
                  <c:v>161599.92000000001</c:v>
                </c:pt>
                <c:pt idx="716">
                  <c:v>161699.92000000001</c:v>
                </c:pt>
                <c:pt idx="717">
                  <c:v>161799.92000000001</c:v>
                </c:pt>
                <c:pt idx="718">
                  <c:v>161899.92000000001</c:v>
                </c:pt>
                <c:pt idx="719">
                  <c:v>161999.92000000001</c:v>
                </c:pt>
                <c:pt idx="720">
                  <c:v>162099.92000000001</c:v>
                </c:pt>
                <c:pt idx="721">
                  <c:v>162199.92000000001</c:v>
                </c:pt>
                <c:pt idx="722">
                  <c:v>162299.92000000001</c:v>
                </c:pt>
                <c:pt idx="723">
                  <c:v>162399.92000000001</c:v>
                </c:pt>
                <c:pt idx="724">
                  <c:v>162499.92000000001</c:v>
                </c:pt>
                <c:pt idx="725">
                  <c:v>162599.92000000001</c:v>
                </c:pt>
                <c:pt idx="726">
                  <c:v>162699.92000000001</c:v>
                </c:pt>
                <c:pt idx="727">
                  <c:v>162799.92000000001</c:v>
                </c:pt>
                <c:pt idx="728">
                  <c:v>162899.92000000001</c:v>
                </c:pt>
                <c:pt idx="729">
                  <c:v>162999.92000000001</c:v>
                </c:pt>
                <c:pt idx="730">
                  <c:v>163099.92000000001</c:v>
                </c:pt>
                <c:pt idx="731">
                  <c:v>163199.92000000001</c:v>
                </c:pt>
                <c:pt idx="732">
                  <c:v>163299.92000000001</c:v>
                </c:pt>
                <c:pt idx="733">
                  <c:v>163399.92000000001</c:v>
                </c:pt>
                <c:pt idx="734">
                  <c:v>163499.92000000001</c:v>
                </c:pt>
                <c:pt idx="735">
                  <c:v>163599.92000000001</c:v>
                </c:pt>
                <c:pt idx="736">
                  <c:v>163699.92000000001</c:v>
                </c:pt>
                <c:pt idx="737">
                  <c:v>163799.92000000001</c:v>
                </c:pt>
                <c:pt idx="738">
                  <c:v>163899.92000000001</c:v>
                </c:pt>
                <c:pt idx="739">
                  <c:v>163999.92000000001</c:v>
                </c:pt>
                <c:pt idx="740">
                  <c:v>164099.92000000001</c:v>
                </c:pt>
                <c:pt idx="741">
                  <c:v>164199.92000000001</c:v>
                </c:pt>
                <c:pt idx="742">
                  <c:v>164299.92000000001</c:v>
                </c:pt>
                <c:pt idx="743">
                  <c:v>164399.92000000001</c:v>
                </c:pt>
                <c:pt idx="744">
                  <c:v>164499.92000000001</c:v>
                </c:pt>
                <c:pt idx="745">
                  <c:v>164599.92000000001</c:v>
                </c:pt>
                <c:pt idx="746">
                  <c:v>164699.92000000001</c:v>
                </c:pt>
                <c:pt idx="747">
                  <c:v>164799.92000000001</c:v>
                </c:pt>
                <c:pt idx="748">
                  <c:v>164899.92000000001</c:v>
                </c:pt>
                <c:pt idx="749">
                  <c:v>164999.92000000001</c:v>
                </c:pt>
                <c:pt idx="750">
                  <c:v>165099.92000000001</c:v>
                </c:pt>
                <c:pt idx="751">
                  <c:v>165199.92000000001</c:v>
                </c:pt>
                <c:pt idx="752">
                  <c:v>165257.4</c:v>
                </c:pt>
                <c:pt idx="753">
                  <c:v>165299.92000000001</c:v>
                </c:pt>
                <c:pt idx="754">
                  <c:v>165399.92000000001</c:v>
                </c:pt>
                <c:pt idx="755">
                  <c:v>165457.4</c:v>
                </c:pt>
                <c:pt idx="756">
                  <c:v>165499.92000000001</c:v>
                </c:pt>
                <c:pt idx="757">
                  <c:v>165599.92000000001</c:v>
                </c:pt>
                <c:pt idx="758">
                  <c:v>165699.92000000001</c:v>
                </c:pt>
                <c:pt idx="759">
                  <c:v>165799.92000000001</c:v>
                </c:pt>
                <c:pt idx="760">
                  <c:v>165899.92000000001</c:v>
                </c:pt>
                <c:pt idx="761">
                  <c:v>165999.92000000001</c:v>
                </c:pt>
                <c:pt idx="762">
                  <c:v>166099.92000000001</c:v>
                </c:pt>
                <c:pt idx="763">
                  <c:v>166199.92000000001</c:v>
                </c:pt>
                <c:pt idx="764">
                  <c:v>166299.92000000001</c:v>
                </c:pt>
                <c:pt idx="765">
                  <c:v>166399.92000000001</c:v>
                </c:pt>
                <c:pt idx="766">
                  <c:v>166499.92000000001</c:v>
                </c:pt>
                <c:pt idx="767">
                  <c:v>166599.92000000001</c:v>
                </c:pt>
                <c:pt idx="768">
                  <c:v>166699.92000000001</c:v>
                </c:pt>
                <c:pt idx="769">
                  <c:v>166799.92000000001</c:v>
                </c:pt>
                <c:pt idx="770">
                  <c:v>166899.92000000001</c:v>
                </c:pt>
                <c:pt idx="771">
                  <c:v>166999.92000000001</c:v>
                </c:pt>
                <c:pt idx="772">
                  <c:v>167099.92000000001</c:v>
                </c:pt>
                <c:pt idx="773">
                  <c:v>167199.92000000001</c:v>
                </c:pt>
                <c:pt idx="774">
                  <c:v>167299.92000000001</c:v>
                </c:pt>
                <c:pt idx="775">
                  <c:v>167399.92000000001</c:v>
                </c:pt>
                <c:pt idx="776">
                  <c:v>167499.92000000001</c:v>
                </c:pt>
                <c:pt idx="777">
                  <c:v>167599.92000000001</c:v>
                </c:pt>
                <c:pt idx="778">
                  <c:v>167699.92000000001</c:v>
                </c:pt>
                <c:pt idx="779">
                  <c:v>167799.92</c:v>
                </c:pt>
                <c:pt idx="780">
                  <c:v>167899.92</c:v>
                </c:pt>
                <c:pt idx="781">
                  <c:v>167947</c:v>
                </c:pt>
                <c:pt idx="782">
                  <c:v>167999.92</c:v>
                </c:pt>
                <c:pt idx="783">
                  <c:v>168022</c:v>
                </c:pt>
                <c:pt idx="784">
                  <c:v>168099.92</c:v>
                </c:pt>
                <c:pt idx="785">
                  <c:v>168199.92</c:v>
                </c:pt>
                <c:pt idx="786">
                  <c:v>168244.4</c:v>
                </c:pt>
                <c:pt idx="787">
                  <c:v>168299.92</c:v>
                </c:pt>
                <c:pt idx="788">
                  <c:v>168399.92</c:v>
                </c:pt>
                <c:pt idx="789">
                  <c:v>168499.92</c:v>
                </c:pt>
                <c:pt idx="790">
                  <c:v>168599.92</c:v>
                </c:pt>
                <c:pt idx="791">
                  <c:v>168624.4</c:v>
                </c:pt>
                <c:pt idx="792">
                  <c:v>168699.92</c:v>
                </c:pt>
                <c:pt idx="793">
                  <c:v>168799.92</c:v>
                </c:pt>
                <c:pt idx="794">
                  <c:v>168899.92</c:v>
                </c:pt>
                <c:pt idx="795">
                  <c:v>168999.92</c:v>
                </c:pt>
                <c:pt idx="796">
                  <c:v>169099.92</c:v>
                </c:pt>
                <c:pt idx="797">
                  <c:v>169199.92</c:v>
                </c:pt>
                <c:pt idx="798">
                  <c:v>169299.92</c:v>
                </c:pt>
                <c:pt idx="799">
                  <c:v>169399.92</c:v>
                </c:pt>
                <c:pt idx="800">
                  <c:v>169499.92</c:v>
                </c:pt>
                <c:pt idx="801">
                  <c:v>169599.92</c:v>
                </c:pt>
                <c:pt idx="802">
                  <c:v>169699.92</c:v>
                </c:pt>
                <c:pt idx="803">
                  <c:v>169799.92</c:v>
                </c:pt>
                <c:pt idx="804">
                  <c:v>169899.92</c:v>
                </c:pt>
                <c:pt idx="805">
                  <c:v>169999.92</c:v>
                </c:pt>
                <c:pt idx="806">
                  <c:v>170099.92</c:v>
                </c:pt>
                <c:pt idx="807">
                  <c:v>170199.92</c:v>
                </c:pt>
                <c:pt idx="808">
                  <c:v>170299.92</c:v>
                </c:pt>
                <c:pt idx="809">
                  <c:v>170399.92</c:v>
                </c:pt>
                <c:pt idx="810">
                  <c:v>170499.92</c:v>
                </c:pt>
                <c:pt idx="811">
                  <c:v>170599.92</c:v>
                </c:pt>
                <c:pt idx="812">
                  <c:v>170699.92</c:v>
                </c:pt>
                <c:pt idx="813">
                  <c:v>170799.92</c:v>
                </c:pt>
                <c:pt idx="814">
                  <c:v>170899.92</c:v>
                </c:pt>
                <c:pt idx="815">
                  <c:v>170999.92</c:v>
                </c:pt>
                <c:pt idx="816">
                  <c:v>171099.92</c:v>
                </c:pt>
                <c:pt idx="817">
                  <c:v>171199.92</c:v>
                </c:pt>
                <c:pt idx="818">
                  <c:v>171299.92</c:v>
                </c:pt>
                <c:pt idx="819">
                  <c:v>171399.92</c:v>
                </c:pt>
                <c:pt idx="820">
                  <c:v>171499.92</c:v>
                </c:pt>
                <c:pt idx="821">
                  <c:v>171599.92</c:v>
                </c:pt>
                <c:pt idx="822">
                  <c:v>171699.92</c:v>
                </c:pt>
                <c:pt idx="823">
                  <c:v>171799.92</c:v>
                </c:pt>
                <c:pt idx="824">
                  <c:v>171899.92</c:v>
                </c:pt>
                <c:pt idx="825">
                  <c:v>171999.92</c:v>
                </c:pt>
                <c:pt idx="826">
                  <c:v>172099.92</c:v>
                </c:pt>
                <c:pt idx="827">
                  <c:v>172199.92</c:v>
                </c:pt>
                <c:pt idx="828">
                  <c:v>172299.92</c:v>
                </c:pt>
                <c:pt idx="829">
                  <c:v>172399.92</c:v>
                </c:pt>
                <c:pt idx="830">
                  <c:v>172499.92</c:v>
                </c:pt>
                <c:pt idx="831">
                  <c:v>172599.92</c:v>
                </c:pt>
                <c:pt idx="832">
                  <c:v>172699.92</c:v>
                </c:pt>
                <c:pt idx="833">
                  <c:v>172799.92</c:v>
                </c:pt>
                <c:pt idx="834">
                  <c:v>172899.92</c:v>
                </c:pt>
                <c:pt idx="835">
                  <c:v>172999.92</c:v>
                </c:pt>
                <c:pt idx="836">
                  <c:v>173099.92</c:v>
                </c:pt>
                <c:pt idx="837">
                  <c:v>173199.92</c:v>
                </c:pt>
                <c:pt idx="838">
                  <c:v>173299.92</c:v>
                </c:pt>
                <c:pt idx="839">
                  <c:v>173399.92</c:v>
                </c:pt>
                <c:pt idx="840">
                  <c:v>173499.92</c:v>
                </c:pt>
                <c:pt idx="841">
                  <c:v>173599.92</c:v>
                </c:pt>
                <c:pt idx="842">
                  <c:v>173699.92</c:v>
                </c:pt>
                <c:pt idx="843">
                  <c:v>173799.92</c:v>
                </c:pt>
                <c:pt idx="844">
                  <c:v>173899.92</c:v>
                </c:pt>
                <c:pt idx="845">
                  <c:v>173999.92</c:v>
                </c:pt>
                <c:pt idx="846">
                  <c:v>174099.92</c:v>
                </c:pt>
                <c:pt idx="847">
                  <c:v>174199.92</c:v>
                </c:pt>
                <c:pt idx="848">
                  <c:v>174233.5</c:v>
                </c:pt>
                <c:pt idx="849">
                  <c:v>174299.92</c:v>
                </c:pt>
                <c:pt idx="850">
                  <c:v>174313.5</c:v>
                </c:pt>
                <c:pt idx="851">
                  <c:v>174399.92</c:v>
                </c:pt>
                <c:pt idx="852">
                  <c:v>174499.92</c:v>
                </c:pt>
                <c:pt idx="853">
                  <c:v>174599.92</c:v>
                </c:pt>
                <c:pt idx="854">
                  <c:v>174699.92</c:v>
                </c:pt>
                <c:pt idx="855">
                  <c:v>174799.92</c:v>
                </c:pt>
                <c:pt idx="856">
                  <c:v>174899.92</c:v>
                </c:pt>
                <c:pt idx="857">
                  <c:v>174999.92</c:v>
                </c:pt>
                <c:pt idx="858">
                  <c:v>175099.92</c:v>
                </c:pt>
                <c:pt idx="859">
                  <c:v>175199.92</c:v>
                </c:pt>
                <c:pt idx="860">
                  <c:v>175299.92</c:v>
                </c:pt>
                <c:pt idx="861">
                  <c:v>175399.92</c:v>
                </c:pt>
                <c:pt idx="862">
                  <c:v>175499.92</c:v>
                </c:pt>
                <c:pt idx="863">
                  <c:v>175599.92</c:v>
                </c:pt>
                <c:pt idx="864">
                  <c:v>175699.92</c:v>
                </c:pt>
                <c:pt idx="865">
                  <c:v>175799.92</c:v>
                </c:pt>
                <c:pt idx="866">
                  <c:v>175899.92</c:v>
                </c:pt>
                <c:pt idx="867">
                  <c:v>175999.92</c:v>
                </c:pt>
                <c:pt idx="868">
                  <c:v>176099.92</c:v>
                </c:pt>
                <c:pt idx="869">
                  <c:v>176199.92</c:v>
                </c:pt>
                <c:pt idx="870">
                  <c:v>176299.92</c:v>
                </c:pt>
                <c:pt idx="871">
                  <c:v>176399.92</c:v>
                </c:pt>
                <c:pt idx="872">
                  <c:v>176499.92</c:v>
                </c:pt>
                <c:pt idx="873">
                  <c:v>176599.92</c:v>
                </c:pt>
                <c:pt idx="874">
                  <c:v>176699.92</c:v>
                </c:pt>
                <c:pt idx="875">
                  <c:v>176714</c:v>
                </c:pt>
                <c:pt idx="876">
                  <c:v>176794</c:v>
                </c:pt>
                <c:pt idx="877">
                  <c:v>176799.92</c:v>
                </c:pt>
                <c:pt idx="878">
                  <c:v>176899.92</c:v>
                </c:pt>
                <c:pt idx="879">
                  <c:v>176999.92</c:v>
                </c:pt>
                <c:pt idx="880">
                  <c:v>177099.92</c:v>
                </c:pt>
                <c:pt idx="881">
                  <c:v>177199.92</c:v>
                </c:pt>
                <c:pt idx="882">
                  <c:v>177299.92</c:v>
                </c:pt>
                <c:pt idx="883">
                  <c:v>177399.92</c:v>
                </c:pt>
                <c:pt idx="884">
                  <c:v>177499.92</c:v>
                </c:pt>
                <c:pt idx="885">
                  <c:v>177599.92</c:v>
                </c:pt>
                <c:pt idx="886">
                  <c:v>177699.92</c:v>
                </c:pt>
                <c:pt idx="887">
                  <c:v>177799.92</c:v>
                </c:pt>
                <c:pt idx="888">
                  <c:v>177899.92</c:v>
                </c:pt>
                <c:pt idx="889">
                  <c:v>177999.92</c:v>
                </c:pt>
                <c:pt idx="890">
                  <c:v>178099.92</c:v>
                </c:pt>
                <c:pt idx="891">
                  <c:v>178199.92</c:v>
                </c:pt>
                <c:pt idx="892">
                  <c:v>178299.92</c:v>
                </c:pt>
                <c:pt idx="893">
                  <c:v>178399.92</c:v>
                </c:pt>
                <c:pt idx="894">
                  <c:v>178499.92</c:v>
                </c:pt>
                <c:pt idx="895">
                  <c:v>178599.92</c:v>
                </c:pt>
                <c:pt idx="896">
                  <c:v>178699.92</c:v>
                </c:pt>
                <c:pt idx="897">
                  <c:v>178799.92</c:v>
                </c:pt>
                <c:pt idx="898">
                  <c:v>178864.3</c:v>
                </c:pt>
                <c:pt idx="899">
                  <c:v>178899.92</c:v>
                </c:pt>
                <c:pt idx="900">
                  <c:v>178999.92</c:v>
                </c:pt>
                <c:pt idx="901">
                  <c:v>179099.92</c:v>
                </c:pt>
                <c:pt idx="902">
                  <c:v>179104.3</c:v>
                </c:pt>
                <c:pt idx="903">
                  <c:v>179199.92</c:v>
                </c:pt>
                <c:pt idx="904">
                  <c:v>179299.92</c:v>
                </c:pt>
                <c:pt idx="905">
                  <c:v>179399.92</c:v>
                </c:pt>
                <c:pt idx="906">
                  <c:v>179499.92</c:v>
                </c:pt>
                <c:pt idx="907">
                  <c:v>179599.92</c:v>
                </c:pt>
                <c:pt idx="908">
                  <c:v>179699.92</c:v>
                </c:pt>
                <c:pt idx="909">
                  <c:v>179799.92</c:v>
                </c:pt>
                <c:pt idx="910">
                  <c:v>179899.92</c:v>
                </c:pt>
                <c:pt idx="911">
                  <c:v>179999.92</c:v>
                </c:pt>
                <c:pt idx="912">
                  <c:v>180099.92</c:v>
                </c:pt>
                <c:pt idx="913">
                  <c:v>180199.92</c:v>
                </c:pt>
                <c:pt idx="914">
                  <c:v>180299.92</c:v>
                </c:pt>
                <c:pt idx="915">
                  <c:v>180399.92</c:v>
                </c:pt>
                <c:pt idx="916">
                  <c:v>180499.92</c:v>
                </c:pt>
                <c:pt idx="917">
                  <c:v>180599.92</c:v>
                </c:pt>
                <c:pt idx="918">
                  <c:v>180699.92</c:v>
                </c:pt>
                <c:pt idx="919">
                  <c:v>180799.92</c:v>
                </c:pt>
                <c:pt idx="920">
                  <c:v>180899.92</c:v>
                </c:pt>
                <c:pt idx="921">
                  <c:v>180999.92</c:v>
                </c:pt>
                <c:pt idx="922">
                  <c:v>181099.92</c:v>
                </c:pt>
                <c:pt idx="923">
                  <c:v>181199.92</c:v>
                </c:pt>
                <c:pt idx="924">
                  <c:v>181299.92</c:v>
                </c:pt>
                <c:pt idx="925">
                  <c:v>181399.92</c:v>
                </c:pt>
                <c:pt idx="926">
                  <c:v>181499.92</c:v>
                </c:pt>
                <c:pt idx="927">
                  <c:v>181599.92</c:v>
                </c:pt>
                <c:pt idx="928">
                  <c:v>181699.92</c:v>
                </c:pt>
                <c:pt idx="929">
                  <c:v>181799.92</c:v>
                </c:pt>
                <c:pt idx="930">
                  <c:v>181899.92</c:v>
                </c:pt>
                <c:pt idx="931">
                  <c:v>181999.92</c:v>
                </c:pt>
                <c:pt idx="932">
                  <c:v>182099.92</c:v>
                </c:pt>
                <c:pt idx="933">
                  <c:v>182199.92</c:v>
                </c:pt>
                <c:pt idx="934">
                  <c:v>182250</c:v>
                </c:pt>
                <c:pt idx="935">
                  <c:v>182299.92</c:v>
                </c:pt>
                <c:pt idx="936">
                  <c:v>182399.92</c:v>
                </c:pt>
                <c:pt idx="937">
                  <c:v>182450</c:v>
                </c:pt>
                <c:pt idx="938">
                  <c:v>182499.92</c:v>
                </c:pt>
                <c:pt idx="939">
                  <c:v>182599.92</c:v>
                </c:pt>
                <c:pt idx="940">
                  <c:v>182699.92</c:v>
                </c:pt>
                <c:pt idx="941">
                  <c:v>182799.92</c:v>
                </c:pt>
                <c:pt idx="942">
                  <c:v>182899.92</c:v>
                </c:pt>
                <c:pt idx="943">
                  <c:v>182999.92</c:v>
                </c:pt>
                <c:pt idx="944">
                  <c:v>183099.92</c:v>
                </c:pt>
                <c:pt idx="945">
                  <c:v>183199.92</c:v>
                </c:pt>
                <c:pt idx="946">
                  <c:v>183299.92</c:v>
                </c:pt>
                <c:pt idx="947">
                  <c:v>183399.92</c:v>
                </c:pt>
                <c:pt idx="948">
                  <c:v>183499.92</c:v>
                </c:pt>
                <c:pt idx="949">
                  <c:v>183599.92</c:v>
                </c:pt>
                <c:pt idx="950">
                  <c:v>183699.92</c:v>
                </c:pt>
                <c:pt idx="951">
                  <c:v>183799.92</c:v>
                </c:pt>
                <c:pt idx="952">
                  <c:v>183899.92</c:v>
                </c:pt>
                <c:pt idx="953">
                  <c:v>183999.92</c:v>
                </c:pt>
                <c:pt idx="954">
                  <c:v>184099.92</c:v>
                </c:pt>
                <c:pt idx="955">
                  <c:v>184199.92</c:v>
                </c:pt>
                <c:pt idx="956">
                  <c:v>184299.92</c:v>
                </c:pt>
                <c:pt idx="957">
                  <c:v>184399.92</c:v>
                </c:pt>
                <c:pt idx="958">
                  <c:v>184499.92</c:v>
                </c:pt>
                <c:pt idx="959">
                  <c:v>184599.92</c:v>
                </c:pt>
                <c:pt idx="960">
                  <c:v>184699.92</c:v>
                </c:pt>
                <c:pt idx="961">
                  <c:v>184799.92</c:v>
                </c:pt>
                <c:pt idx="962">
                  <c:v>184899.92</c:v>
                </c:pt>
                <c:pt idx="963">
                  <c:v>184999.92</c:v>
                </c:pt>
                <c:pt idx="964">
                  <c:v>185099.92</c:v>
                </c:pt>
                <c:pt idx="965">
                  <c:v>185199.92</c:v>
                </c:pt>
                <c:pt idx="966">
                  <c:v>185299.92</c:v>
                </c:pt>
                <c:pt idx="967">
                  <c:v>185399.92</c:v>
                </c:pt>
                <c:pt idx="968">
                  <c:v>185499.92</c:v>
                </c:pt>
                <c:pt idx="969">
                  <c:v>185599.92</c:v>
                </c:pt>
                <c:pt idx="970">
                  <c:v>185699.92</c:v>
                </c:pt>
                <c:pt idx="971">
                  <c:v>185799.92</c:v>
                </c:pt>
                <c:pt idx="972">
                  <c:v>185899.92</c:v>
                </c:pt>
                <c:pt idx="973">
                  <c:v>185999.92</c:v>
                </c:pt>
                <c:pt idx="974">
                  <c:v>186099.92</c:v>
                </c:pt>
                <c:pt idx="975">
                  <c:v>186199.92</c:v>
                </c:pt>
                <c:pt idx="976">
                  <c:v>186299.92</c:v>
                </c:pt>
                <c:pt idx="977">
                  <c:v>186399.92</c:v>
                </c:pt>
                <c:pt idx="978">
                  <c:v>186499.92</c:v>
                </c:pt>
                <c:pt idx="979">
                  <c:v>186599.92</c:v>
                </c:pt>
                <c:pt idx="980">
                  <c:v>186699.92</c:v>
                </c:pt>
                <c:pt idx="981">
                  <c:v>186799.92</c:v>
                </c:pt>
                <c:pt idx="982">
                  <c:v>186876.3</c:v>
                </c:pt>
                <c:pt idx="983">
                  <c:v>186899.92</c:v>
                </c:pt>
                <c:pt idx="984">
                  <c:v>186996.3</c:v>
                </c:pt>
                <c:pt idx="985">
                  <c:v>186999.92</c:v>
                </c:pt>
                <c:pt idx="986">
                  <c:v>187099.92</c:v>
                </c:pt>
                <c:pt idx="987">
                  <c:v>187199.92</c:v>
                </c:pt>
                <c:pt idx="988">
                  <c:v>187299.92</c:v>
                </c:pt>
                <c:pt idx="989">
                  <c:v>187399.92</c:v>
                </c:pt>
                <c:pt idx="990">
                  <c:v>187499.92</c:v>
                </c:pt>
                <c:pt idx="991">
                  <c:v>187599.92</c:v>
                </c:pt>
                <c:pt idx="992">
                  <c:v>187699.92</c:v>
                </c:pt>
                <c:pt idx="993">
                  <c:v>187799.92</c:v>
                </c:pt>
                <c:pt idx="994">
                  <c:v>187899.92</c:v>
                </c:pt>
                <c:pt idx="995">
                  <c:v>187999.92</c:v>
                </c:pt>
                <c:pt idx="996">
                  <c:v>188099.92</c:v>
                </c:pt>
                <c:pt idx="997">
                  <c:v>188199.92</c:v>
                </c:pt>
                <c:pt idx="998">
                  <c:v>188299.92</c:v>
                </c:pt>
                <c:pt idx="999">
                  <c:v>188399.92</c:v>
                </c:pt>
                <c:pt idx="1000">
                  <c:v>188499.92</c:v>
                </c:pt>
                <c:pt idx="1001">
                  <c:v>188599.92</c:v>
                </c:pt>
                <c:pt idx="1002">
                  <c:v>188699.92</c:v>
                </c:pt>
                <c:pt idx="1003">
                  <c:v>188794.6</c:v>
                </c:pt>
                <c:pt idx="1004">
                  <c:v>188799.92</c:v>
                </c:pt>
                <c:pt idx="1005">
                  <c:v>188874.6</c:v>
                </c:pt>
                <c:pt idx="1006">
                  <c:v>188899.92</c:v>
                </c:pt>
                <c:pt idx="1007">
                  <c:v>188999.92</c:v>
                </c:pt>
                <c:pt idx="1008">
                  <c:v>189099.92</c:v>
                </c:pt>
                <c:pt idx="1009">
                  <c:v>189199.92</c:v>
                </c:pt>
                <c:pt idx="1010">
                  <c:v>189299.92</c:v>
                </c:pt>
                <c:pt idx="1011">
                  <c:v>189399.92</c:v>
                </c:pt>
                <c:pt idx="1012">
                  <c:v>189499.92</c:v>
                </c:pt>
                <c:pt idx="1013">
                  <c:v>189599.92</c:v>
                </c:pt>
                <c:pt idx="1014">
                  <c:v>189699.92</c:v>
                </c:pt>
                <c:pt idx="1015">
                  <c:v>189799.92</c:v>
                </c:pt>
                <c:pt idx="1016">
                  <c:v>189899.92</c:v>
                </c:pt>
                <c:pt idx="1017">
                  <c:v>189999.92</c:v>
                </c:pt>
                <c:pt idx="1018">
                  <c:v>190099.92</c:v>
                </c:pt>
                <c:pt idx="1019">
                  <c:v>190199.92</c:v>
                </c:pt>
                <c:pt idx="1020">
                  <c:v>190299.92</c:v>
                </c:pt>
                <c:pt idx="1021">
                  <c:v>190399.92</c:v>
                </c:pt>
                <c:pt idx="1022">
                  <c:v>190499.92</c:v>
                </c:pt>
                <c:pt idx="1023">
                  <c:v>190599.92</c:v>
                </c:pt>
                <c:pt idx="1024">
                  <c:v>190699.92</c:v>
                </c:pt>
                <c:pt idx="1025">
                  <c:v>190799.92</c:v>
                </c:pt>
                <c:pt idx="1026">
                  <c:v>190899.92</c:v>
                </c:pt>
                <c:pt idx="1027">
                  <c:v>190999.92</c:v>
                </c:pt>
                <c:pt idx="1028">
                  <c:v>191099.92</c:v>
                </c:pt>
                <c:pt idx="1029">
                  <c:v>191199.92</c:v>
                </c:pt>
                <c:pt idx="1030">
                  <c:v>191299.92</c:v>
                </c:pt>
                <c:pt idx="1031">
                  <c:v>191399.92</c:v>
                </c:pt>
                <c:pt idx="1032">
                  <c:v>191499.92</c:v>
                </c:pt>
                <c:pt idx="1033">
                  <c:v>191599.92</c:v>
                </c:pt>
                <c:pt idx="1034">
                  <c:v>191699.92</c:v>
                </c:pt>
                <c:pt idx="1035">
                  <c:v>191799.92</c:v>
                </c:pt>
                <c:pt idx="1036">
                  <c:v>191899.92</c:v>
                </c:pt>
                <c:pt idx="1037">
                  <c:v>191999.92</c:v>
                </c:pt>
                <c:pt idx="1038">
                  <c:v>192099.92</c:v>
                </c:pt>
                <c:pt idx="1039">
                  <c:v>192199.92</c:v>
                </c:pt>
                <c:pt idx="1040">
                  <c:v>192299.92</c:v>
                </c:pt>
                <c:pt idx="1041">
                  <c:v>192399.92</c:v>
                </c:pt>
                <c:pt idx="1042">
                  <c:v>192499.92</c:v>
                </c:pt>
                <c:pt idx="1043">
                  <c:v>192599.92</c:v>
                </c:pt>
                <c:pt idx="1044">
                  <c:v>192699.92</c:v>
                </c:pt>
                <c:pt idx="1045">
                  <c:v>192799.92</c:v>
                </c:pt>
                <c:pt idx="1046">
                  <c:v>192899.92</c:v>
                </c:pt>
                <c:pt idx="1047">
                  <c:v>192999.92</c:v>
                </c:pt>
                <c:pt idx="1048">
                  <c:v>193099.92</c:v>
                </c:pt>
                <c:pt idx="1049">
                  <c:v>193199.92</c:v>
                </c:pt>
                <c:pt idx="1050">
                  <c:v>193299.92</c:v>
                </c:pt>
                <c:pt idx="1051">
                  <c:v>193399.92</c:v>
                </c:pt>
                <c:pt idx="1052">
                  <c:v>193499.92</c:v>
                </c:pt>
                <c:pt idx="1053">
                  <c:v>193599.92</c:v>
                </c:pt>
                <c:pt idx="1054">
                  <c:v>193699.92</c:v>
                </c:pt>
                <c:pt idx="1055">
                  <c:v>193799.92</c:v>
                </c:pt>
                <c:pt idx="1056">
                  <c:v>193899.92</c:v>
                </c:pt>
                <c:pt idx="1057">
                  <c:v>193999.92</c:v>
                </c:pt>
                <c:pt idx="1058">
                  <c:v>194099.92</c:v>
                </c:pt>
                <c:pt idx="1059">
                  <c:v>194199.92</c:v>
                </c:pt>
                <c:pt idx="1060">
                  <c:v>194299.92</c:v>
                </c:pt>
                <c:pt idx="1061">
                  <c:v>194399.92</c:v>
                </c:pt>
                <c:pt idx="1062">
                  <c:v>194499.92</c:v>
                </c:pt>
                <c:pt idx="1063">
                  <c:v>194599.92</c:v>
                </c:pt>
                <c:pt idx="1064">
                  <c:v>194699.92</c:v>
                </c:pt>
                <c:pt idx="1065">
                  <c:v>194799.92</c:v>
                </c:pt>
                <c:pt idx="1066">
                  <c:v>194899.92</c:v>
                </c:pt>
                <c:pt idx="1067">
                  <c:v>194999.92</c:v>
                </c:pt>
                <c:pt idx="1068">
                  <c:v>195099.92</c:v>
                </c:pt>
                <c:pt idx="1069">
                  <c:v>195199.92</c:v>
                </c:pt>
                <c:pt idx="1070">
                  <c:v>195299.92</c:v>
                </c:pt>
                <c:pt idx="1071">
                  <c:v>195399.92</c:v>
                </c:pt>
                <c:pt idx="1072">
                  <c:v>195499.92</c:v>
                </c:pt>
                <c:pt idx="1073">
                  <c:v>195599.92</c:v>
                </c:pt>
                <c:pt idx="1074">
                  <c:v>195699.92</c:v>
                </c:pt>
                <c:pt idx="1075">
                  <c:v>195799.92</c:v>
                </c:pt>
                <c:pt idx="1076">
                  <c:v>195899.92</c:v>
                </c:pt>
                <c:pt idx="1077">
                  <c:v>195999.92</c:v>
                </c:pt>
                <c:pt idx="1078">
                  <c:v>196099.92</c:v>
                </c:pt>
                <c:pt idx="1079">
                  <c:v>196199.92</c:v>
                </c:pt>
                <c:pt idx="1080">
                  <c:v>196299.92</c:v>
                </c:pt>
                <c:pt idx="1081">
                  <c:v>196399.92</c:v>
                </c:pt>
                <c:pt idx="1082">
                  <c:v>196499.92</c:v>
                </c:pt>
                <c:pt idx="1083">
                  <c:v>196535.5</c:v>
                </c:pt>
                <c:pt idx="1084">
                  <c:v>196599.92</c:v>
                </c:pt>
                <c:pt idx="1085">
                  <c:v>196695.5</c:v>
                </c:pt>
                <c:pt idx="1086">
                  <c:v>196699.92</c:v>
                </c:pt>
                <c:pt idx="1087">
                  <c:v>196799.92</c:v>
                </c:pt>
                <c:pt idx="1088">
                  <c:v>196899.92</c:v>
                </c:pt>
                <c:pt idx="1089">
                  <c:v>196999.92</c:v>
                </c:pt>
                <c:pt idx="1090">
                  <c:v>197099.92</c:v>
                </c:pt>
                <c:pt idx="1091">
                  <c:v>197199.92</c:v>
                </c:pt>
                <c:pt idx="1092">
                  <c:v>197299.92</c:v>
                </c:pt>
                <c:pt idx="1093">
                  <c:v>197399.92</c:v>
                </c:pt>
                <c:pt idx="1094">
                  <c:v>197499.92</c:v>
                </c:pt>
                <c:pt idx="1095">
                  <c:v>197599.92</c:v>
                </c:pt>
                <c:pt idx="1096">
                  <c:v>197699.92</c:v>
                </c:pt>
                <c:pt idx="1097">
                  <c:v>197799.92</c:v>
                </c:pt>
                <c:pt idx="1098">
                  <c:v>197899.92</c:v>
                </c:pt>
                <c:pt idx="1099">
                  <c:v>197999.92</c:v>
                </c:pt>
                <c:pt idx="1100">
                  <c:v>198099.92</c:v>
                </c:pt>
                <c:pt idx="1101">
                  <c:v>198199.92</c:v>
                </c:pt>
                <c:pt idx="1102">
                  <c:v>198299.92</c:v>
                </c:pt>
                <c:pt idx="1103">
                  <c:v>198399.92</c:v>
                </c:pt>
                <c:pt idx="1104">
                  <c:v>198499.92</c:v>
                </c:pt>
                <c:pt idx="1105">
                  <c:v>198599.92</c:v>
                </c:pt>
                <c:pt idx="1106">
                  <c:v>198699.92</c:v>
                </c:pt>
                <c:pt idx="1107">
                  <c:v>198799.92</c:v>
                </c:pt>
                <c:pt idx="1108">
                  <c:v>198899.92</c:v>
                </c:pt>
                <c:pt idx="1109">
                  <c:v>198999.92</c:v>
                </c:pt>
                <c:pt idx="1110">
                  <c:v>199096.21</c:v>
                </c:pt>
                <c:pt idx="1111">
                  <c:v>199099.92</c:v>
                </c:pt>
                <c:pt idx="1112">
                  <c:v>199176.21</c:v>
                </c:pt>
                <c:pt idx="1113">
                  <c:v>199199.92</c:v>
                </c:pt>
                <c:pt idx="1114">
                  <c:v>199299.92</c:v>
                </c:pt>
                <c:pt idx="1115">
                  <c:v>199399.92</c:v>
                </c:pt>
                <c:pt idx="1116">
                  <c:v>199499.92</c:v>
                </c:pt>
                <c:pt idx="1117">
                  <c:v>199599.92</c:v>
                </c:pt>
                <c:pt idx="1118">
                  <c:v>199699.92</c:v>
                </c:pt>
                <c:pt idx="1119">
                  <c:v>199799.92</c:v>
                </c:pt>
                <c:pt idx="1120">
                  <c:v>199899.92</c:v>
                </c:pt>
                <c:pt idx="1121">
                  <c:v>199999.92</c:v>
                </c:pt>
                <c:pt idx="1122">
                  <c:v>200099.92</c:v>
                </c:pt>
                <c:pt idx="1123">
                  <c:v>200199.92</c:v>
                </c:pt>
                <c:pt idx="1124">
                  <c:v>200299.92</c:v>
                </c:pt>
                <c:pt idx="1125">
                  <c:v>200399.92</c:v>
                </c:pt>
                <c:pt idx="1126">
                  <c:v>200499.92</c:v>
                </c:pt>
                <c:pt idx="1127">
                  <c:v>200599.92</c:v>
                </c:pt>
                <c:pt idx="1128">
                  <c:v>200699.92</c:v>
                </c:pt>
                <c:pt idx="1129">
                  <c:v>200799.92</c:v>
                </c:pt>
                <c:pt idx="1130">
                  <c:v>200899.92</c:v>
                </c:pt>
                <c:pt idx="1131">
                  <c:v>200999.92</c:v>
                </c:pt>
                <c:pt idx="1132">
                  <c:v>201099.92</c:v>
                </c:pt>
                <c:pt idx="1133">
                  <c:v>201199.92</c:v>
                </c:pt>
                <c:pt idx="1134">
                  <c:v>201299.92</c:v>
                </c:pt>
                <c:pt idx="1135">
                  <c:v>201399.92</c:v>
                </c:pt>
                <c:pt idx="1136">
                  <c:v>201499.92</c:v>
                </c:pt>
                <c:pt idx="1137">
                  <c:v>201599.92</c:v>
                </c:pt>
                <c:pt idx="1138">
                  <c:v>201699.92</c:v>
                </c:pt>
                <c:pt idx="1139">
                  <c:v>201799.92</c:v>
                </c:pt>
                <c:pt idx="1140">
                  <c:v>201899.92</c:v>
                </c:pt>
                <c:pt idx="1141">
                  <c:v>201999.92</c:v>
                </c:pt>
                <c:pt idx="1142">
                  <c:v>202099.92</c:v>
                </c:pt>
                <c:pt idx="1143">
                  <c:v>202199.92</c:v>
                </c:pt>
                <c:pt idx="1144">
                  <c:v>202299.92</c:v>
                </c:pt>
                <c:pt idx="1145">
                  <c:v>202399.92</c:v>
                </c:pt>
                <c:pt idx="1146">
                  <c:v>202499.92</c:v>
                </c:pt>
                <c:pt idx="1147">
                  <c:v>202599.92</c:v>
                </c:pt>
                <c:pt idx="1148">
                  <c:v>202699.92</c:v>
                </c:pt>
                <c:pt idx="1149">
                  <c:v>202799.92</c:v>
                </c:pt>
                <c:pt idx="1150">
                  <c:v>202899.92</c:v>
                </c:pt>
                <c:pt idx="1151">
                  <c:v>202999.92</c:v>
                </c:pt>
                <c:pt idx="1152">
                  <c:v>203099.92</c:v>
                </c:pt>
                <c:pt idx="1153">
                  <c:v>203199.92</c:v>
                </c:pt>
                <c:pt idx="1154">
                  <c:v>203299.92</c:v>
                </c:pt>
                <c:pt idx="1155">
                  <c:v>203399.92</c:v>
                </c:pt>
                <c:pt idx="1156">
                  <c:v>203499.92</c:v>
                </c:pt>
                <c:pt idx="1157">
                  <c:v>203599.92</c:v>
                </c:pt>
                <c:pt idx="1158">
                  <c:v>203699.92</c:v>
                </c:pt>
                <c:pt idx="1159">
                  <c:v>203799.92</c:v>
                </c:pt>
                <c:pt idx="1160">
                  <c:v>203899.92</c:v>
                </c:pt>
                <c:pt idx="1161">
                  <c:v>203999.92</c:v>
                </c:pt>
                <c:pt idx="1162">
                  <c:v>204099.92</c:v>
                </c:pt>
                <c:pt idx="1163">
                  <c:v>204199.92</c:v>
                </c:pt>
                <c:pt idx="1164">
                  <c:v>204299.92</c:v>
                </c:pt>
                <c:pt idx="1165">
                  <c:v>204399.92</c:v>
                </c:pt>
                <c:pt idx="1166">
                  <c:v>204499.92</c:v>
                </c:pt>
                <c:pt idx="1167">
                  <c:v>204599.92</c:v>
                </c:pt>
                <c:pt idx="1168">
                  <c:v>204699.92</c:v>
                </c:pt>
                <c:pt idx="1169">
                  <c:v>204799.92</c:v>
                </c:pt>
                <c:pt idx="1170">
                  <c:v>204899.92</c:v>
                </c:pt>
                <c:pt idx="1171">
                  <c:v>204999.92</c:v>
                </c:pt>
                <c:pt idx="1172">
                  <c:v>205048.5</c:v>
                </c:pt>
                <c:pt idx="1173">
                  <c:v>205099.92</c:v>
                </c:pt>
                <c:pt idx="1174">
                  <c:v>205123.5</c:v>
                </c:pt>
                <c:pt idx="1175">
                  <c:v>205199.92</c:v>
                </c:pt>
                <c:pt idx="1176">
                  <c:v>205209.4</c:v>
                </c:pt>
                <c:pt idx="1177">
                  <c:v>205299.92</c:v>
                </c:pt>
                <c:pt idx="1178">
                  <c:v>205329.4</c:v>
                </c:pt>
                <c:pt idx="1179">
                  <c:v>205399.92</c:v>
                </c:pt>
                <c:pt idx="1180">
                  <c:v>205499.92</c:v>
                </c:pt>
                <c:pt idx="1181">
                  <c:v>205599.92</c:v>
                </c:pt>
                <c:pt idx="1182">
                  <c:v>205699.92</c:v>
                </c:pt>
                <c:pt idx="1183">
                  <c:v>205799.92</c:v>
                </c:pt>
                <c:pt idx="1184">
                  <c:v>205899.92</c:v>
                </c:pt>
                <c:pt idx="1185">
                  <c:v>205999.92</c:v>
                </c:pt>
                <c:pt idx="1186">
                  <c:v>206099.92</c:v>
                </c:pt>
                <c:pt idx="1187">
                  <c:v>206199.92</c:v>
                </c:pt>
                <c:pt idx="1188">
                  <c:v>206299.92</c:v>
                </c:pt>
                <c:pt idx="1189">
                  <c:v>206399.92</c:v>
                </c:pt>
                <c:pt idx="1190">
                  <c:v>206499.92</c:v>
                </c:pt>
                <c:pt idx="1191">
                  <c:v>206599.92</c:v>
                </c:pt>
                <c:pt idx="1192">
                  <c:v>206699.92</c:v>
                </c:pt>
                <c:pt idx="1193">
                  <c:v>206799.92</c:v>
                </c:pt>
                <c:pt idx="1194">
                  <c:v>206899.92</c:v>
                </c:pt>
                <c:pt idx="1195">
                  <c:v>206999.92</c:v>
                </c:pt>
                <c:pt idx="1196">
                  <c:v>207099.92</c:v>
                </c:pt>
                <c:pt idx="1197">
                  <c:v>207199.92</c:v>
                </c:pt>
                <c:pt idx="1198">
                  <c:v>207299.92</c:v>
                </c:pt>
                <c:pt idx="1199">
                  <c:v>207399.92</c:v>
                </c:pt>
                <c:pt idx="1200">
                  <c:v>207499.92</c:v>
                </c:pt>
                <c:pt idx="1201">
                  <c:v>207599.92</c:v>
                </c:pt>
                <c:pt idx="1202">
                  <c:v>207699.92</c:v>
                </c:pt>
                <c:pt idx="1203">
                  <c:v>207799.92</c:v>
                </c:pt>
                <c:pt idx="1204">
                  <c:v>207899.92</c:v>
                </c:pt>
                <c:pt idx="1205">
                  <c:v>207999.92</c:v>
                </c:pt>
                <c:pt idx="1206">
                  <c:v>208099.92</c:v>
                </c:pt>
                <c:pt idx="1207">
                  <c:v>208199.92</c:v>
                </c:pt>
                <c:pt idx="1208">
                  <c:v>208299.92</c:v>
                </c:pt>
                <c:pt idx="1209">
                  <c:v>208399.92</c:v>
                </c:pt>
                <c:pt idx="1210">
                  <c:v>208499.92</c:v>
                </c:pt>
                <c:pt idx="1211">
                  <c:v>208599.92</c:v>
                </c:pt>
                <c:pt idx="1212">
                  <c:v>208699.92</c:v>
                </c:pt>
                <c:pt idx="1213">
                  <c:v>208799.92</c:v>
                </c:pt>
                <c:pt idx="1214">
                  <c:v>208899.92</c:v>
                </c:pt>
                <c:pt idx="1215">
                  <c:v>208999.92</c:v>
                </c:pt>
                <c:pt idx="1216">
                  <c:v>209099.92</c:v>
                </c:pt>
                <c:pt idx="1217">
                  <c:v>209199.92</c:v>
                </c:pt>
                <c:pt idx="1218">
                  <c:v>209299.92</c:v>
                </c:pt>
                <c:pt idx="1219">
                  <c:v>209399.92</c:v>
                </c:pt>
                <c:pt idx="1220">
                  <c:v>209499.92</c:v>
                </c:pt>
                <c:pt idx="1221">
                  <c:v>209599.92</c:v>
                </c:pt>
                <c:pt idx="1222">
                  <c:v>209635</c:v>
                </c:pt>
                <c:pt idx="1223">
                  <c:v>209699.92</c:v>
                </c:pt>
                <c:pt idx="1224">
                  <c:v>209715</c:v>
                </c:pt>
                <c:pt idx="1225">
                  <c:v>209799.92</c:v>
                </c:pt>
                <c:pt idx="1226">
                  <c:v>209899.92</c:v>
                </c:pt>
                <c:pt idx="1227">
                  <c:v>209999.92</c:v>
                </c:pt>
                <c:pt idx="1228">
                  <c:v>210099.92</c:v>
                </c:pt>
                <c:pt idx="1229">
                  <c:v>210176.5</c:v>
                </c:pt>
                <c:pt idx="1230">
                  <c:v>210199.92</c:v>
                </c:pt>
                <c:pt idx="1231">
                  <c:v>210299.92</c:v>
                </c:pt>
                <c:pt idx="1232">
                  <c:v>210399.92</c:v>
                </c:pt>
                <c:pt idx="1233">
                  <c:v>210456.5</c:v>
                </c:pt>
                <c:pt idx="1234">
                  <c:v>210499.92</c:v>
                </c:pt>
                <c:pt idx="1235">
                  <c:v>210599.92</c:v>
                </c:pt>
                <c:pt idx="1236">
                  <c:v>210699.92</c:v>
                </c:pt>
                <c:pt idx="1237">
                  <c:v>210799.92</c:v>
                </c:pt>
                <c:pt idx="1238">
                  <c:v>210899.92</c:v>
                </c:pt>
                <c:pt idx="1239">
                  <c:v>210999.92</c:v>
                </c:pt>
                <c:pt idx="1240">
                  <c:v>211099.92</c:v>
                </c:pt>
                <c:pt idx="1241">
                  <c:v>211199.92</c:v>
                </c:pt>
                <c:pt idx="1242">
                  <c:v>211299.92</c:v>
                </c:pt>
                <c:pt idx="1243">
                  <c:v>211399.92</c:v>
                </c:pt>
                <c:pt idx="1244">
                  <c:v>211499.92</c:v>
                </c:pt>
                <c:pt idx="1245">
                  <c:v>211599.92</c:v>
                </c:pt>
                <c:pt idx="1246">
                  <c:v>211699.92</c:v>
                </c:pt>
                <c:pt idx="1247">
                  <c:v>211799.92</c:v>
                </c:pt>
                <c:pt idx="1248">
                  <c:v>211899.92</c:v>
                </c:pt>
                <c:pt idx="1249">
                  <c:v>211999.92</c:v>
                </c:pt>
                <c:pt idx="1250">
                  <c:v>212099.92</c:v>
                </c:pt>
                <c:pt idx="1251">
                  <c:v>212199.92</c:v>
                </c:pt>
                <c:pt idx="1252">
                  <c:v>212299.92</c:v>
                </c:pt>
                <c:pt idx="1253">
                  <c:v>212399.92</c:v>
                </c:pt>
                <c:pt idx="1254">
                  <c:v>212499.92</c:v>
                </c:pt>
                <c:pt idx="1255">
                  <c:v>212599.92</c:v>
                </c:pt>
                <c:pt idx="1256">
                  <c:v>212699.92</c:v>
                </c:pt>
                <c:pt idx="1257">
                  <c:v>212799.92</c:v>
                </c:pt>
                <c:pt idx="1258">
                  <c:v>212899.92</c:v>
                </c:pt>
                <c:pt idx="1259">
                  <c:v>212999.92</c:v>
                </c:pt>
                <c:pt idx="1260">
                  <c:v>213099.92</c:v>
                </c:pt>
                <c:pt idx="1261">
                  <c:v>213199.92</c:v>
                </c:pt>
                <c:pt idx="1262">
                  <c:v>213299.92</c:v>
                </c:pt>
                <c:pt idx="1263">
                  <c:v>213399.92</c:v>
                </c:pt>
                <c:pt idx="1264">
                  <c:v>213499.92</c:v>
                </c:pt>
                <c:pt idx="1265">
                  <c:v>213599.92</c:v>
                </c:pt>
                <c:pt idx="1266">
                  <c:v>213699.92</c:v>
                </c:pt>
                <c:pt idx="1267">
                  <c:v>213799.92</c:v>
                </c:pt>
                <c:pt idx="1268">
                  <c:v>213899.92</c:v>
                </c:pt>
                <c:pt idx="1269">
                  <c:v>213999.92</c:v>
                </c:pt>
                <c:pt idx="1270">
                  <c:v>214099.92</c:v>
                </c:pt>
                <c:pt idx="1271">
                  <c:v>214199.92</c:v>
                </c:pt>
                <c:pt idx="1272">
                  <c:v>214299.92</c:v>
                </c:pt>
                <c:pt idx="1273">
                  <c:v>214399.92</c:v>
                </c:pt>
                <c:pt idx="1274">
                  <c:v>214499.92</c:v>
                </c:pt>
                <c:pt idx="1275">
                  <c:v>214599.92</c:v>
                </c:pt>
                <c:pt idx="1276">
                  <c:v>214699.92</c:v>
                </c:pt>
                <c:pt idx="1277">
                  <c:v>214799.92</c:v>
                </c:pt>
                <c:pt idx="1278">
                  <c:v>214899.92</c:v>
                </c:pt>
                <c:pt idx="1279">
                  <c:v>214999.92</c:v>
                </c:pt>
                <c:pt idx="1280">
                  <c:v>215099.92</c:v>
                </c:pt>
                <c:pt idx="1281">
                  <c:v>215199.92</c:v>
                </c:pt>
                <c:pt idx="1282">
                  <c:v>215299.92</c:v>
                </c:pt>
                <c:pt idx="1283">
                  <c:v>215399.92</c:v>
                </c:pt>
                <c:pt idx="1284">
                  <c:v>215499.92</c:v>
                </c:pt>
                <c:pt idx="1285">
                  <c:v>215599.92</c:v>
                </c:pt>
                <c:pt idx="1286">
                  <c:v>215699.92</c:v>
                </c:pt>
                <c:pt idx="1287">
                  <c:v>215799.92</c:v>
                </c:pt>
                <c:pt idx="1288">
                  <c:v>215899.92</c:v>
                </c:pt>
                <c:pt idx="1289">
                  <c:v>215987.9</c:v>
                </c:pt>
                <c:pt idx="1290">
                  <c:v>215999.92</c:v>
                </c:pt>
                <c:pt idx="1291">
                  <c:v>216099.92</c:v>
                </c:pt>
                <c:pt idx="1292">
                  <c:v>216147.9</c:v>
                </c:pt>
                <c:pt idx="1293">
                  <c:v>216199.92</c:v>
                </c:pt>
                <c:pt idx="1294">
                  <c:v>216299.92</c:v>
                </c:pt>
                <c:pt idx="1295">
                  <c:v>216399.92</c:v>
                </c:pt>
                <c:pt idx="1296">
                  <c:v>216499.92</c:v>
                </c:pt>
                <c:pt idx="1297">
                  <c:v>216599.92</c:v>
                </c:pt>
                <c:pt idx="1298">
                  <c:v>216699.92</c:v>
                </c:pt>
                <c:pt idx="1299">
                  <c:v>216799.92</c:v>
                </c:pt>
                <c:pt idx="1300">
                  <c:v>216899.92</c:v>
                </c:pt>
                <c:pt idx="1301">
                  <c:v>216999.92</c:v>
                </c:pt>
                <c:pt idx="1302">
                  <c:v>217099.92</c:v>
                </c:pt>
                <c:pt idx="1303">
                  <c:v>217195.7</c:v>
                </c:pt>
                <c:pt idx="1304">
                  <c:v>217199.92</c:v>
                </c:pt>
                <c:pt idx="1305">
                  <c:v>217299.92</c:v>
                </c:pt>
                <c:pt idx="1306">
                  <c:v>217315.7</c:v>
                </c:pt>
                <c:pt idx="1307">
                  <c:v>217399.92</c:v>
                </c:pt>
                <c:pt idx="1308">
                  <c:v>217499.92</c:v>
                </c:pt>
                <c:pt idx="1309">
                  <c:v>217599.92</c:v>
                </c:pt>
                <c:pt idx="1310">
                  <c:v>217699.92</c:v>
                </c:pt>
                <c:pt idx="1311">
                  <c:v>217799.92</c:v>
                </c:pt>
                <c:pt idx="1312">
                  <c:v>217899.92</c:v>
                </c:pt>
                <c:pt idx="1313">
                  <c:v>217999.92</c:v>
                </c:pt>
                <c:pt idx="1314">
                  <c:v>218099.92</c:v>
                </c:pt>
                <c:pt idx="1315">
                  <c:v>218199.92</c:v>
                </c:pt>
                <c:pt idx="1316">
                  <c:v>218299.92</c:v>
                </c:pt>
                <c:pt idx="1317">
                  <c:v>218399.92</c:v>
                </c:pt>
                <c:pt idx="1318">
                  <c:v>218499.92</c:v>
                </c:pt>
                <c:pt idx="1319">
                  <c:v>218599.92</c:v>
                </c:pt>
                <c:pt idx="1320">
                  <c:v>218699.92</c:v>
                </c:pt>
                <c:pt idx="1321">
                  <c:v>218799.92</c:v>
                </c:pt>
                <c:pt idx="1322">
                  <c:v>218899.92</c:v>
                </c:pt>
                <c:pt idx="1323">
                  <c:v>218999.92</c:v>
                </c:pt>
                <c:pt idx="1324">
                  <c:v>219099.92</c:v>
                </c:pt>
                <c:pt idx="1325">
                  <c:v>219199.92</c:v>
                </c:pt>
                <c:pt idx="1326">
                  <c:v>219299.92</c:v>
                </c:pt>
                <c:pt idx="1327">
                  <c:v>219399.92</c:v>
                </c:pt>
                <c:pt idx="1328">
                  <c:v>219499.92</c:v>
                </c:pt>
                <c:pt idx="1329">
                  <c:v>219599.92</c:v>
                </c:pt>
                <c:pt idx="1330">
                  <c:v>219699.92</c:v>
                </c:pt>
                <c:pt idx="1331">
                  <c:v>219799.92</c:v>
                </c:pt>
                <c:pt idx="1332">
                  <c:v>219899.92</c:v>
                </c:pt>
                <c:pt idx="1333">
                  <c:v>219999.92</c:v>
                </c:pt>
                <c:pt idx="1334">
                  <c:v>220099.92</c:v>
                </c:pt>
                <c:pt idx="1335">
                  <c:v>220199.92</c:v>
                </c:pt>
                <c:pt idx="1336">
                  <c:v>220299.92</c:v>
                </c:pt>
                <c:pt idx="1337">
                  <c:v>220399.92</c:v>
                </c:pt>
                <c:pt idx="1338">
                  <c:v>220499.92</c:v>
                </c:pt>
                <c:pt idx="1339">
                  <c:v>220599.92</c:v>
                </c:pt>
                <c:pt idx="1340">
                  <c:v>220699.92</c:v>
                </c:pt>
                <c:pt idx="1341">
                  <c:v>220799.92</c:v>
                </c:pt>
                <c:pt idx="1342">
                  <c:v>220899.92</c:v>
                </c:pt>
                <c:pt idx="1343">
                  <c:v>220999.92</c:v>
                </c:pt>
                <c:pt idx="1344">
                  <c:v>221099.92</c:v>
                </c:pt>
                <c:pt idx="1345">
                  <c:v>221199.92</c:v>
                </c:pt>
                <c:pt idx="1346">
                  <c:v>221299.92</c:v>
                </c:pt>
                <c:pt idx="1347">
                  <c:v>221399.92</c:v>
                </c:pt>
                <c:pt idx="1348">
                  <c:v>221499.92</c:v>
                </c:pt>
                <c:pt idx="1349">
                  <c:v>221599.92</c:v>
                </c:pt>
                <c:pt idx="1350">
                  <c:v>221699.92</c:v>
                </c:pt>
                <c:pt idx="1351">
                  <c:v>221799.92</c:v>
                </c:pt>
                <c:pt idx="1352">
                  <c:v>221899.92</c:v>
                </c:pt>
                <c:pt idx="1353">
                  <c:v>221999.92</c:v>
                </c:pt>
                <c:pt idx="1354">
                  <c:v>222099.92</c:v>
                </c:pt>
                <c:pt idx="1355">
                  <c:v>222199.92</c:v>
                </c:pt>
                <c:pt idx="1356">
                  <c:v>222299.92</c:v>
                </c:pt>
                <c:pt idx="1357">
                  <c:v>222399.92</c:v>
                </c:pt>
                <c:pt idx="1358">
                  <c:v>222499.92</c:v>
                </c:pt>
                <c:pt idx="1359">
                  <c:v>222599.92</c:v>
                </c:pt>
                <c:pt idx="1360">
                  <c:v>222699.92</c:v>
                </c:pt>
                <c:pt idx="1361">
                  <c:v>222799.92</c:v>
                </c:pt>
                <c:pt idx="1362">
                  <c:v>222899.92</c:v>
                </c:pt>
                <c:pt idx="1363">
                  <c:v>222999.92</c:v>
                </c:pt>
                <c:pt idx="1364">
                  <c:v>223099.92</c:v>
                </c:pt>
                <c:pt idx="1365">
                  <c:v>223199.92</c:v>
                </c:pt>
                <c:pt idx="1366">
                  <c:v>223299.92</c:v>
                </c:pt>
                <c:pt idx="1367">
                  <c:v>223399.92</c:v>
                </c:pt>
                <c:pt idx="1368">
                  <c:v>223499.92</c:v>
                </c:pt>
                <c:pt idx="1369">
                  <c:v>223599.92</c:v>
                </c:pt>
                <c:pt idx="1370">
                  <c:v>223699.92</c:v>
                </c:pt>
                <c:pt idx="1371">
                  <c:v>223799.92</c:v>
                </c:pt>
              </c:numCache>
            </c:numRef>
          </c:xVal>
          <c:yVal>
            <c:numRef>
              <c:f>TS!$AD$2:$AD$1373</c:f>
              <c:numCache>
                <c:formatCode>0.0</c:formatCode>
                <c:ptCount val="1372"/>
                <c:pt idx="0">
                  <c:v>95</c:v>
                </c:pt>
                <c:pt idx="1">
                  <c:v>95.073542641267835</c:v>
                </c:pt>
                <c:pt idx="2">
                  <c:v>95.147199234330259</c:v>
                </c:pt>
                <c:pt idx="3">
                  <c:v>95.220970044239181</c:v>
                </c:pt>
                <c:pt idx="4">
                  <c:v>95.29485533686919</c:v>
                </c:pt>
                <c:pt idx="5">
                  <c:v>95.368855378920728</c:v>
                </c:pt>
                <c:pt idx="6">
                  <c:v>95.44297043792325</c:v>
                </c:pt>
                <c:pt idx="7">
                  <c:v>95.517200782238532</c:v>
                </c:pt>
                <c:pt idx="8">
                  <c:v>95.591546681063861</c:v>
                </c:pt>
                <c:pt idx="9">
                  <c:v>95.666008404435274</c:v>
                </c:pt>
                <c:pt idx="10">
                  <c:v>95.740586223230864</c:v>
                </c:pt>
                <c:pt idx="11">
                  <c:v>95.815280409174051</c:v>
                </c:pt>
                <c:pt idx="12">
                  <c:v>95.890091234836902</c:v>
                </c:pt>
                <c:pt idx="13">
                  <c:v>95.965018973643396</c:v>
                </c:pt>
                <c:pt idx="14">
                  <c:v>96.040063899872791</c:v>
                </c:pt>
                <c:pt idx="15">
                  <c:v>96.115226288662967</c:v>
                </c:pt>
                <c:pt idx="16">
                  <c:v>96.190506416013818</c:v>
                </c:pt>
                <c:pt idx="17">
                  <c:v>96.265904558790538</c:v>
                </c:pt>
                <c:pt idx="18">
                  <c:v>96.341420994727102</c:v>
                </c:pt>
                <c:pt idx="19">
                  <c:v>96.417056002429703</c:v>
                </c:pt>
                <c:pt idx="20">
                  <c:v>96.492809861380053</c:v>
                </c:pt>
                <c:pt idx="21">
                  <c:v>96.568682851938931</c:v>
                </c:pt>
                <c:pt idx="22">
                  <c:v>96.644675255349597</c:v>
                </c:pt>
                <c:pt idx="23">
                  <c:v>96.720787353741287</c:v>
                </c:pt>
                <c:pt idx="24">
                  <c:v>96.797019430132693</c:v>
                </c:pt>
                <c:pt idx="25">
                  <c:v>96.873371768435476</c:v>
                </c:pt>
                <c:pt idx="26">
                  <c:v>96.949844653457774</c:v>
                </c:pt>
                <c:pt idx="27">
                  <c:v>97.026438370907798</c:v>
                </c:pt>
                <c:pt idx="28">
                  <c:v>97.103153207397327</c:v>
                </c:pt>
                <c:pt idx="29">
                  <c:v>97.179989450445277</c:v>
                </c:pt>
                <c:pt idx="30">
                  <c:v>97.25694738848135</c:v>
                </c:pt>
                <c:pt idx="31">
                  <c:v>97.334027310849635</c:v>
                </c:pt>
                <c:pt idx="32">
                  <c:v>97.41122950781218</c:v>
                </c:pt>
                <c:pt idx="33">
                  <c:v>97.488554270552655</c:v>
                </c:pt>
                <c:pt idx="34">
                  <c:v>97.566001891180107</c:v>
                </c:pt>
                <c:pt idx="35">
                  <c:v>97.643572662732481</c:v>
                </c:pt>
                <c:pt idx="36">
                  <c:v>97.721266879180419</c:v>
                </c:pt>
                <c:pt idx="37">
                  <c:v>97.794563246896018</c:v>
                </c:pt>
                <c:pt idx="38">
                  <c:v>97.79714868966839</c:v>
                </c:pt>
                <c:pt idx="39">
                  <c:v>97.855363695322438</c:v>
                </c:pt>
                <c:pt idx="40">
                  <c:v>97.873549581217333</c:v>
                </c:pt>
                <c:pt idx="41">
                  <c:v>97.95161035656983</c:v>
                </c:pt>
                <c:pt idx="42">
                  <c:v>98.029795748808482</c:v>
                </c:pt>
                <c:pt idx="43">
                  <c:v>98.108106056580908</c:v>
                </c:pt>
                <c:pt idx="44">
                  <c:v>98.179766439799081</c:v>
                </c:pt>
                <c:pt idx="45">
                  <c:v>98.184648598702282</c:v>
                </c:pt>
                <c:pt idx="46">
                  <c:v>98.263206606901861</c:v>
                </c:pt>
                <c:pt idx="47">
                  <c:v>98.341890425040745</c:v>
                </c:pt>
                <c:pt idx="48">
                  <c:v>98.420700355586376</c:v>
                </c:pt>
                <c:pt idx="49">
                  <c:v>98.499636701976527</c:v>
                </c:pt>
                <c:pt idx="50">
                  <c:v>98.57869976862321</c:v>
                </c:pt>
                <c:pt idx="51">
                  <c:v>98.657889860916598</c:v>
                </c:pt>
                <c:pt idx="52">
                  <c:v>98.737207285228948</c:v>
                </c:pt>
                <c:pt idx="53">
                  <c:v>98.816652348918566</c:v>
                </c:pt>
                <c:pt idx="54">
                  <c:v>98.896225360333801</c:v>
                </c:pt>
                <c:pt idx="55">
                  <c:v>98.975926628816978</c:v>
                </c:pt>
                <c:pt idx="56">
                  <c:v>99.055756464708395</c:v>
                </c:pt>
                <c:pt idx="57">
                  <c:v>99.135715179350456</c:v>
                </c:pt>
                <c:pt idx="58">
                  <c:v>99.215803085091594</c:v>
                </c:pt>
                <c:pt idx="59">
                  <c:v>99.296020495290435</c:v>
                </c:pt>
                <c:pt idx="60">
                  <c:v>99.37636772431982</c:v>
                </c:pt>
                <c:pt idx="61">
                  <c:v>99.45684508757094</c:v>
                </c:pt>
                <c:pt idx="62">
                  <c:v>99.537452901457485</c:v>
                </c:pt>
                <c:pt idx="63">
                  <c:v>99.61819148341975</c:v>
                </c:pt>
                <c:pt idx="64">
                  <c:v>99.632978459346958</c:v>
                </c:pt>
                <c:pt idx="65">
                  <c:v>99.698670296231214</c:v>
                </c:pt>
                <c:pt idx="66">
                  <c:v>99.779670735430429</c:v>
                </c:pt>
                <c:pt idx="67">
                  <c:v>99.860802899677211</c:v>
                </c:pt>
                <c:pt idx="68">
                  <c:v>99.942067110555158</c:v>
                </c:pt>
                <c:pt idx="69">
                  <c:v>100.02346369069549</c:v>
                </c:pt>
                <c:pt idx="70">
                  <c:v>100.1049929637814</c:v>
                </c:pt>
                <c:pt idx="71">
                  <c:v>100.18665525455219</c:v>
                </c:pt>
                <c:pt idx="72">
                  <c:v>100.26845088880773</c:v>
                </c:pt>
                <c:pt idx="73">
                  <c:v>100.35038019341273</c:v>
                </c:pt>
                <c:pt idx="74">
                  <c:v>100.43244349630106</c:v>
                </c:pt>
                <c:pt idx="75">
                  <c:v>100.51464112648019</c:v>
                </c:pt>
                <c:pt idx="76">
                  <c:v>100.59697341403557</c:v>
                </c:pt>
                <c:pt idx="77">
                  <c:v>100.67944069013501</c:v>
                </c:pt>
                <c:pt idx="78">
                  <c:v>100.76204328703321</c:v>
                </c:pt>
                <c:pt idx="79">
                  <c:v>100.84478153807606</c:v>
                </c:pt>
                <c:pt idx="80">
                  <c:v>100.92765577770533</c:v>
                </c:pt>
                <c:pt idx="81">
                  <c:v>101.01066634146299</c:v>
                </c:pt>
                <c:pt idx="82">
                  <c:v>101.09381356599586</c:v>
                </c:pt>
                <c:pt idx="83">
                  <c:v>101.17709778906011</c:v>
                </c:pt>
                <c:pt idx="84">
                  <c:v>101.18471580687206</c:v>
                </c:pt>
                <c:pt idx="85">
                  <c:v>101.26031796657506</c:v>
                </c:pt>
                <c:pt idx="86">
                  <c:v>101.28422220362931</c:v>
                </c:pt>
                <c:pt idx="87">
                  <c:v>101.34324506478531</c:v>
                </c:pt>
                <c:pt idx="88">
                  <c:v>101.42694094381396</c:v>
                </c:pt>
                <c:pt idx="89">
                  <c:v>101.51077518016739</c:v>
                </c:pt>
                <c:pt idx="90">
                  <c:v>101.59474811720629</c:v>
                </c:pt>
                <c:pt idx="91">
                  <c:v>101.67886009942852</c:v>
                </c:pt>
                <c:pt idx="92">
                  <c:v>101.76311147247364</c:v>
                </c:pt>
                <c:pt idx="93">
                  <c:v>101.84750258312788</c:v>
                </c:pt>
                <c:pt idx="94">
                  <c:v>101.93203377932868</c:v>
                </c:pt>
                <c:pt idx="95">
                  <c:v>102.01670541016956</c:v>
                </c:pt>
                <c:pt idx="96">
                  <c:v>102.10151782590499</c:v>
                </c:pt>
                <c:pt idx="97">
                  <c:v>102.1864713779551</c:v>
                </c:pt>
                <c:pt idx="98">
                  <c:v>102.27156641891061</c:v>
                </c:pt>
                <c:pt idx="99">
                  <c:v>102.35680330253767</c:v>
                </c:pt>
                <c:pt idx="100">
                  <c:v>102.44218238378284</c:v>
                </c:pt>
                <c:pt idx="101">
                  <c:v>102.52770401877787</c:v>
                </c:pt>
                <c:pt idx="102">
                  <c:v>102.61336856484483</c:v>
                </c:pt>
                <c:pt idx="103">
                  <c:v>102.69917638050092</c:v>
                </c:pt>
                <c:pt idx="104">
                  <c:v>102.78512782546359</c:v>
                </c:pt>
                <c:pt idx="105">
                  <c:v>102.8712232606555</c:v>
                </c:pt>
                <c:pt idx="106">
                  <c:v>102.95746304820962</c:v>
                </c:pt>
                <c:pt idx="107">
                  <c:v>103.04384755147427</c:v>
                </c:pt>
                <c:pt idx="108">
                  <c:v>103.13037713501821</c:v>
                </c:pt>
                <c:pt idx="109">
                  <c:v>103.21705216463586</c:v>
                </c:pt>
                <c:pt idx="110">
                  <c:v>103.30387300735234</c:v>
                </c:pt>
                <c:pt idx="111">
                  <c:v>103.39084003142871</c:v>
                </c:pt>
                <c:pt idx="112">
                  <c:v>103.47795360636715</c:v>
                </c:pt>
                <c:pt idx="113">
                  <c:v>103.56521410291626</c:v>
                </c:pt>
                <c:pt idx="114">
                  <c:v>103.6526218930762</c:v>
                </c:pt>
                <c:pt idx="115">
                  <c:v>103.74017735010408</c:v>
                </c:pt>
                <c:pt idx="116">
                  <c:v>103.82788084851927</c:v>
                </c:pt>
                <c:pt idx="117">
                  <c:v>103.91573276410868</c:v>
                </c:pt>
                <c:pt idx="118">
                  <c:v>104.00373347393214</c:v>
                </c:pt>
                <c:pt idx="119">
                  <c:v>104.09188335632783</c:v>
                </c:pt>
                <c:pt idx="120">
                  <c:v>104.18018279091766</c:v>
                </c:pt>
                <c:pt idx="121">
                  <c:v>104.26863215861277</c:v>
                </c:pt>
                <c:pt idx="122">
                  <c:v>104.35723184161897</c:v>
                </c:pt>
                <c:pt idx="123">
                  <c:v>104.44598222344226</c:v>
                </c:pt>
                <c:pt idx="124">
                  <c:v>104.53488368889431</c:v>
                </c:pt>
                <c:pt idx="125">
                  <c:v>104.62393662409818</c:v>
                </c:pt>
                <c:pt idx="126">
                  <c:v>104.71314141649367</c:v>
                </c:pt>
                <c:pt idx="127">
                  <c:v>104.80249845484316</c:v>
                </c:pt>
                <c:pt idx="128">
                  <c:v>104.89200812923713</c:v>
                </c:pt>
                <c:pt idx="129">
                  <c:v>104.9436873184835</c:v>
                </c:pt>
                <c:pt idx="130">
                  <c:v>104.98030518962869</c:v>
                </c:pt>
                <c:pt idx="131">
                  <c:v>105.07011897401513</c:v>
                </c:pt>
                <c:pt idx="132">
                  <c:v>105.16008656673554</c:v>
                </c:pt>
                <c:pt idx="133">
                  <c:v>105.25020836322942</c:v>
                </c:pt>
                <c:pt idx="134">
                  <c:v>105.34048476029292</c:v>
                </c:pt>
                <c:pt idx="135">
                  <c:v>105.43091615608483</c:v>
                </c:pt>
                <c:pt idx="136">
                  <c:v>105.5215029501323</c:v>
                </c:pt>
                <c:pt idx="137">
                  <c:v>105.61224554333677</c:v>
                </c:pt>
                <c:pt idx="138">
                  <c:v>105.70314433797984</c:v>
                </c:pt>
                <c:pt idx="139">
                  <c:v>105.73513445056545</c:v>
                </c:pt>
                <c:pt idx="140">
                  <c:v>105.79335421127927</c:v>
                </c:pt>
                <c:pt idx="141">
                  <c:v>105.88456516260007</c:v>
                </c:pt>
                <c:pt idx="142">
                  <c:v>105.97593352676768</c:v>
                </c:pt>
                <c:pt idx="143">
                  <c:v>106.0674597116312</c:v>
                </c:pt>
                <c:pt idx="144">
                  <c:v>106.08677361067555</c:v>
                </c:pt>
                <c:pt idx="145">
                  <c:v>106.15914412644993</c:v>
                </c:pt>
                <c:pt idx="146">
                  <c:v>106.25098718189946</c:v>
                </c:pt>
                <c:pt idx="147">
                  <c:v>106.34298929007775</c:v>
                </c:pt>
                <c:pt idx="148">
                  <c:v>106.34575255001738</c:v>
                </c:pt>
                <c:pt idx="149">
                  <c:v>106.43507780765123</c:v>
                </c:pt>
                <c:pt idx="150">
                  <c:v>106.52739913650804</c:v>
                </c:pt>
                <c:pt idx="151">
                  <c:v>106.61988076265345</c:v>
                </c:pt>
                <c:pt idx="152">
                  <c:v>106.71252310393587</c:v>
                </c:pt>
                <c:pt idx="153">
                  <c:v>106.80532657965722</c:v>
                </c:pt>
                <c:pt idx="154">
                  <c:v>106.89829161057936</c:v>
                </c:pt>
                <c:pt idx="155">
                  <c:v>106.99141861893035</c:v>
                </c:pt>
                <c:pt idx="156">
                  <c:v>107.08470802841084</c:v>
                </c:pt>
                <c:pt idx="157">
                  <c:v>107.17816026420054</c:v>
                </c:pt>
                <c:pt idx="158">
                  <c:v>107.25876027121366</c:v>
                </c:pt>
                <c:pt idx="159">
                  <c:v>107.2696463554618</c:v>
                </c:pt>
                <c:pt idx="160">
                  <c:v>107.33210284851572</c:v>
                </c:pt>
                <c:pt idx="161">
                  <c:v>107.36177145263083</c:v>
                </c:pt>
                <c:pt idx="162">
                  <c:v>107.45570810957275</c:v>
                </c:pt>
                <c:pt idx="163">
                  <c:v>107.54980929105338</c:v>
                </c:pt>
                <c:pt idx="164">
                  <c:v>107.64407542968412</c:v>
                </c:pt>
                <c:pt idx="165">
                  <c:v>107.73850695959449</c:v>
                </c:pt>
                <c:pt idx="166">
                  <c:v>107.83310431643868</c:v>
                </c:pt>
                <c:pt idx="167">
                  <c:v>107.92786793740233</c:v>
                </c:pt>
                <c:pt idx="168">
                  <c:v>108.02279826120918</c:v>
                </c:pt>
                <c:pt idx="169">
                  <c:v>108.11789572812792</c:v>
                </c:pt>
                <c:pt idx="170">
                  <c:v>108.21316077997892</c:v>
                </c:pt>
                <c:pt idx="171">
                  <c:v>108.30859386014117</c:v>
                </c:pt>
                <c:pt idx="172">
                  <c:v>108.40419541355908</c:v>
                </c:pt>
                <c:pt idx="173">
                  <c:v>108.49996588674937</c:v>
                </c:pt>
                <c:pt idx="174">
                  <c:v>108.59590572780816</c:v>
                </c:pt>
                <c:pt idx="175">
                  <c:v>108.69201538641778</c:v>
                </c:pt>
                <c:pt idx="176">
                  <c:v>108.78829531385395</c:v>
                </c:pt>
                <c:pt idx="177">
                  <c:v>108.88474596299272</c:v>
                </c:pt>
                <c:pt idx="178">
                  <c:v>108.98136778831767</c:v>
                </c:pt>
                <c:pt idx="179">
                  <c:v>109.07816124592701</c:v>
                </c:pt>
                <c:pt idx="180">
                  <c:v>109.1751267935407</c:v>
                </c:pt>
                <c:pt idx="181">
                  <c:v>109.27226489050776</c:v>
                </c:pt>
                <c:pt idx="182">
                  <c:v>109.3695759978135</c:v>
                </c:pt>
                <c:pt idx="183">
                  <c:v>109.46706057808673</c:v>
                </c:pt>
                <c:pt idx="184">
                  <c:v>109.56471909560722</c:v>
                </c:pt>
                <c:pt idx="185">
                  <c:v>109.66255201631296</c:v>
                </c:pt>
                <c:pt idx="186">
                  <c:v>109.76055980780762</c:v>
                </c:pt>
                <c:pt idx="187">
                  <c:v>109.85874293936804</c:v>
                </c:pt>
                <c:pt idx="188">
                  <c:v>109.95710188195162</c:v>
                </c:pt>
                <c:pt idx="189">
                  <c:v>110.05563710820392</c:v>
                </c:pt>
                <c:pt idx="190">
                  <c:v>110.15434909246625</c:v>
                </c:pt>
                <c:pt idx="191">
                  <c:v>110.2532383107832</c:v>
                </c:pt>
                <c:pt idx="192">
                  <c:v>110.35230524091037</c:v>
                </c:pt>
                <c:pt idx="193">
                  <c:v>110.45155036232202</c:v>
                </c:pt>
                <c:pt idx="194">
                  <c:v>110.50711066404135</c:v>
                </c:pt>
                <c:pt idx="195">
                  <c:v>110.549505837458</c:v>
                </c:pt>
                <c:pt idx="196">
                  <c:v>110.58575828345474</c:v>
                </c:pt>
                <c:pt idx="197">
                  <c:v>110.64814790533273</c:v>
                </c:pt>
                <c:pt idx="198">
                  <c:v>110.74792611160596</c:v>
                </c:pt>
                <c:pt idx="199">
                  <c:v>110.84788443252899</c:v>
                </c:pt>
                <c:pt idx="200">
                  <c:v>110.94802335624338</c:v>
                </c:pt>
                <c:pt idx="201">
                  <c:v>111.04834337265628</c:v>
                </c:pt>
                <c:pt idx="202">
                  <c:v>111.0867837788132</c:v>
                </c:pt>
                <c:pt idx="203">
                  <c:v>111.14782891698802</c:v>
                </c:pt>
                <c:pt idx="204">
                  <c:v>111.1667273086497</c:v>
                </c:pt>
                <c:pt idx="205">
                  <c:v>111.24801114080255</c:v>
                </c:pt>
                <c:pt idx="206">
                  <c:v>111.34887463954608</c:v>
                </c:pt>
                <c:pt idx="207">
                  <c:v>111.43065123013082</c:v>
                </c:pt>
                <c:pt idx="208">
                  <c:v>111.44776053301274</c:v>
                </c:pt>
                <c:pt idx="209">
                  <c:v>111.50995026199708</c:v>
                </c:pt>
                <c:pt idx="210">
                  <c:v>111.54734327725861</c:v>
                </c:pt>
                <c:pt idx="211">
                  <c:v>111.6487505352074</c:v>
                </c:pt>
                <c:pt idx="212">
                  <c:v>111.75034233881719</c:v>
                </c:pt>
                <c:pt idx="213">
                  <c:v>111.85211919231401</c:v>
                </c:pt>
                <c:pt idx="214">
                  <c:v>111.95408160176244</c:v>
                </c:pt>
                <c:pt idx="215">
                  <c:v>112.05623007507404</c:v>
                </c:pt>
                <c:pt idx="216">
                  <c:v>112.13296432083889</c:v>
                </c:pt>
                <c:pt idx="217">
                  <c:v>112.15653755429146</c:v>
                </c:pt>
                <c:pt idx="218">
                  <c:v>112.25339840578263</c:v>
                </c:pt>
                <c:pt idx="219">
                  <c:v>112.25649706536957</c:v>
                </c:pt>
                <c:pt idx="220">
                  <c:v>112.35919839336989</c:v>
                </c:pt>
                <c:pt idx="221">
                  <c:v>112.46208781242331</c:v>
                </c:pt>
                <c:pt idx="222">
                  <c:v>112.5526431559495</c:v>
                </c:pt>
                <c:pt idx="223">
                  <c:v>112.56277335343968</c:v>
                </c:pt>
                <c:pt idx="224">
                  <c:v>112.66603611636916</c:v>
                </c:pt>
                <c:pt idx="225">
                  <c:v>112.76948851551798</c:v>
                </c:pt>
                <c:pt idx="226">
                  <c:v>112.87313107375049</c:v>
                </c:pt>
                <c:pt idx="227">
                  <c:v>112.97696431585506</c:v>
                </c:pt>
                <c:pt idx="228">
                  <c:v>113.0809887685528</c:v>
                </c:pt>
                <c:pt idx="229">
                  <c:v>113.18520496050658</c:v>
                </c:pt>
                <c:pt idx="230">
                  <c:v>113.28961342232999</c:v>
                </c:pt>
                <c:pt idx="231">
                  <c:v>113.3942146865962</c:v>
                </c:pt>
                <c:pt idx="232">
                  <c:v>113.49900928784719</c:v>
                </c:pt>
                <c:pt idx="233">
                  <c:v>113.60399776260275</c:v>
                </c:pt>
                <c:pt idx="234">
                  <c:v>113.70918064936967</c:v>
                </c:pt>
                <c:pt idx="235">
                  <c:v>113.81455848865096</c:v>
                </c:pt>
                <c:pt idx="236">
                  <c:v>113.92013182295507</c:v>
                </c:pt>
                <c:pt idx="237">
                  <c:v>114.02590119680522</c:v>
                </c:pt>
                <c:pt idx="238">
                  <c:v>114.13186715674881</c:v>
                </c:pt>
                <c:pt idx="239">
                  <c:v>114.23803025136675</c:v>
                </c:pt>
                <c:pt idx="240">
                  <c:v>114.34439103128292</c:v>
                </c:pt>
                <c:pt idx="241">
                  <c:v>114.45095004917385</c:v>
                </c:pt>
                <c:pt idx="242">
                  <c:v>114.55770785977809</c:v>
                </c:pt>
                <c:pt idx="243">
                  <c:v>114.66466501990593</c:v>
                </c:pt>
                <c:pt idx="244">
                  <c:v>114.7718220884491</c:v>
                </c:pt>
                <c:pt idx="245">
                  <c:v>114.87917962639044</c:v>
                </c:pt>
                <c:pt idx="246">
                  <c:v>114.98673819681379</c:v>
                </c:pt>
                <c:pt idx="247">
                  <c:v>115.09449836491373</c:v>
                </c:pt>
                <c:pt idx="248">
                  <c:v>115.20246069800552</c:v>
                </c:pt>
                <c:pt idx="249">
                  <c:v>115.29748481253074</c:v>
                </c:pt>
                <c:pt idx="250">
                  <c:v>115.30811515204795</c:v>
                </c:pt>
                <c:pt idx="251">
                  <c:v>115.41647880451086</c:v>
                </c:pt>
                <c:pt idx="252">
                  <c:v>115.52504632340613</c:v>
                </c:pt>
                <c:pt idx="253">
                  <c:v>115.63381828458171</c:v>
                </c:pt>
                <c:pt idx="254">
                  <c:v>115.74279526605626</c:v>
                </c:pt>
                <c:pt idx="255">
                  <c:v>115.85197784802949</c:v>
                </c:pt>
                <c:pt idx="256">
                  <c:v>115.96136661289245</c:v>
                </c:pt>
                <c:pt idx="257">
                  <c:v>116.07096214523784</c:v>
                </c:pt>
                <c:pt idx="258">
                  <c:v>116.18076503187051</c:v>
                </c:pt>
                <c:pt idx="259">
                  <c:v>116.29077586181782</c:v>
                </c:pt>
                <c:pt idx="260">
                  <c:v>116.40099522634023</c:v>
                </c:pt>
                <c:pt idx="261">
                  <c:v>116.51142371894196</c:v>
                </c:pt>
                <c:pt idx="262">
                  <c:v>116.62206193538148</c:v>
                </c:pt>
                <c:pt idx="263">
                  <c:v>116.7329104736824</c:v>
                </c:pt>
                <c:pt idx="264">
                  <c:v>116.84396993414411</c:v>
                </c:pt>
                <c:pt idx="265">
                  <c:v>116.95524091935269</c:v>
                </c:pt>
                <c:pt idx="266">
                  <c:v>117.0619847367838</c:v>
                </c:pt>
                <c:pt idx="267">
                  <c:v>117.06390395021575</c:v>
                </c:pt>
                <c:pt idx="268">
                  <c:v>117.14906767901677</c:v>
                </c:pt>
                <c:pt idx="269">
                  <c:v>117.17334403086247</c:v>
                </c:pt>
                <c:pt idx="270">
                  <c:v>117.28524352922665</c:v>
                </c:pt>
                <c:pt idx="271">
                  <c:v>117.397356957938</c:v>
                </c:pt>
                <c:pt idx="272">
                  <c:v>117.5096849310741</c:v>
                </c:pt>
                <c:pt idx="273">
                  <c:v>117.62222806506504</c:v>
                </c:pt>
                <c:pt idx="274">
                  <c:v>117.73498697870473</c:v>
                </c:pt>
                <c:pt idx="275">
                  <c:v>117.84796229316208</c:v>
                </c:pt>
                <c:pt idx="276">
                  <c:v>117.9611546319926</c:v>
                </c:pt>
                <c:pt idx="277">
                  <c:v>118.0745646211498</c:v>
                </c:pt>
                <c:pt idx="278">
                  <c:v>118.18819288899667</c:v>
                </c:pt>
                <c:pt idx="279">
                  <c:v>118.30204006631736</c:v>
                </c:pt>
                <c:pt idx="280">
                  <c:v>118.4161067863288</c:v>
                </c:pt>
                <c:pt idx="281">
                  <c:v>118.5303936846925</c:v>
                </c:pt>
                <c:pt idx="282">
                  <c:v>118.64490139952632</c:v>
                </c:pt>
                <c:pt idx="283">
                  <c:v>118.75963057141632</c:v>
                </c:pt>
                <c:pt idx="284">
                  <c:v>118.87458184342876</c:v>
                </c:pt>
                <c:pt idx="285">
                  <c:v>118.98975586112211</c:v>
                </c:pt>
                <c:pt idx="286">
                  <c:v>119.10515327255905</c:v>
                </c:pt>
                <c:pt idx="287">
                  <c:v>119.22077472831877</c:v>
                </c:pt>
                <c:pt idx="288">
                  <c:v>119.33662088150905</c:v>
                </c:pt>
                <c:pt idx="289">
                  <c:v>119.45269238777865</c:v>
                </c:pt>
                <c:pt idx="290">
                  <c:v>119.56898990532969</c:v>
                </c:pt>
                <c:pt idx="291">
                  <c:v>119.68551409492999</c:v>
                </c:pt>
                <c:pt idx="292">
                  <c:v>119.80226561992566</c:v>
                </c:pt>
                <c:pt idx="293">
                  <c:v>119.91924514625374</c:v>
                </c:pt>
                <c:pt idx="294">
                  <c:v>120.03645334245472</c:v>
                </c:pt>
                <c:pt idx="295">
                  <c:v>120</c:v>
                </c:pt>
                <c:pt idx="296">
                  <c:v>120</c:v>
                </c:pt>
                <c:pt idx="297">
                  <c:v>120</c:v>
                </c:pt>
                <c:pt idx="298">
                  <c:v>120</c:v>
                </c:pt>
                <c:pt idx="299">
                  <c:v>120</c:v>
                </c:pt>
                <c:pt idx="300">
                  <c:v>120</c:v>
                </c:pt>
                <c:pt idx="301">
                  <c:v>120</c:v>
                </c:pt>
                <c:pt idx="302">
                  <c:v>120</c:v>
                </c:pt>
                <c:pt idx="303">
                  <c:v>120</c:v>
                </c:pt>
                <c:pt idx="304">
                  <c:v>120</c:v>
                </c:pt>
                <c:pt idx="305">
                  <c:v>120</c:v>
                </c:pt>
                <c:pt idx="306">
                  <c:v>120</c:v>
                </c:pt>
                <c:pt idx="307">
                  <c:v>120</c:v>
                </c:pt>
                <c:pt idx="308">
                  <c:v>120</c:v>
                </c:pt>
                <c:pt idx="309">
                  <c:v>120</c:v>
                </c:pt>
                <c:pt idx="310">
                  <c:v>120</c:v>
                </c:pt>
                <c:pt idx="311">
                  <c:v>120</c:v>
                </c:pt>
                <c:pt idx="312">
                  <c:v>120</c:v>
                </c:pt>
                <c:pt idx="313">
                  <c:v>120</c:v>
                </c:pt>
                <c:pt idx="314">
                  <c:v>120</c:v>
                </c:pt>
                <c:pt idx="315">
                  <c:v>120</c:v>
                </c:pt>
                <c:pt idx="316">
                  <c:v>120</c:v>
                </c:pt>
                <c:pt idx="317">
                  <c:v>120</c:v>
                </c:pt>
                <c:pt idx="318">
                  <c:v>120</c:v>
                </c:pt>
                <c:pt idx="319">
                  <c:v>120</c:v>
                </c:pt>
                <c:pt idx="320">
                  <c:v>120</c:v>
                </c:pt>
                <c:pt idx="321">
                  <c:v>120</c:v>
                </c:pt>
                <c:pt idx="322">
                  <c:v>120</c:v>
                </c:pt>
                <c:pt idx="323">
                  <c:v>120</c:v>
                </c:pt>
                <c:pt idx="324">
                  <c:v>120</c:v>
                </c:pt>
                <c:pt idx="325">
                  <c:v>120</c:v>
                </c:pt>
                <c:pt idx="326">
                  <c:v>120</c:v>
                </c:pt>
                <c:pt idx="327">
                  <c:v>120</c:v>
                </c:pt>
                <c:pt idx="328">
                  <c:v>120</c:v>
                </c:pt>
                <c:pt idx="329">
                  <c:v>120</c:v>
                </c:pt>
                <c:pt idx="330">
                  <c:v>120</c:v>
                </c:pt>
                <c:pt idx="331">
                  <c:v>120</c:v>
                </c:pt>
                <c:pt idx="332">
                  <c:v>120</c:v>
                </c:pt>
                <c:pt idx="333">
                  <c:v>120</c:v>
                </c:pt>
                <c:pt idx="334">
                  <c:v>120</c:v>
                </c:pt>
                <c:pt idx="335">
                  <c:v>120</c:v>
                </c:pt>
                <c:pt idx="336">
                  <c:v>120</c:v>
                </c:pt>
                <c:pt idx="337">
                  <c:v>120</c:v>
                </c:pt>
                <c:pt idx="338">
                  <c:v>120</c:v>
                </c:pt>
                <c:pt idx="339">
                  <c:v>120</c:v>
                </c:pt>
                <c:pt idx="340">
                  <c:v>120</c:v>
                </c:pt>
                <c:pt idx="341">
                  <c:v>120</c:v>
                </c:pt>
                <c:pt idx="342">
                  <c:v>120</c:v>
                </c:pt>
                <c:pt idx="343">
                  <c:v>120</c:v>
                </c:pt>
                <c:pt idx="344">
                  <c:v>120</c:v>
                </c:pt>
                <c:pt idx="345">
                  <c:v>120</c:v>
                </c:pt>
                <c:pt idx="346">
                  <c:v>120</c:v>
                </c:pt>
                <c:pt idx="347">
                  <c:v>120</c:v>
                </c:pt>
                <c:pt idx="348">
                  <c:v>120</c:v>
                </c:pt>
                <c:pt idx="349">
                  <c:v>120</c:v>
                </c:pt>
                <c:pt idx="350">
                  <c:v>120</c:v>
                </c:pt>
                <c:pt idx="351">
                  <c:v>120</c:v>
                </c:pt>
                <c:pt idx="352">
                  <c:v>120</c:v>
                </c:pt>
                <c:pt idx="353">
                  <c:v>120</c:v>
                </c:pt>
                <c:pt idx="354">
                  <c:v>120</c:v>
                </c:pt>
                <c:pt idx="355">
                  <c:v>120</c:v>
                </c:pt>
                <c:pt idx="356">
                  <c:v>120</c:v>
                </c:pt>
                <c:pt idx="357">
                  <c:v>120</c:v>
                </c:pt>
                <c:pt idx="358">
                  <c:v>120</c:v>
                </c:pt>
                <c:pt idx="359">
                  <c:v>120</c:v>
                </c:pt>
                <c:pt idx="360">
                  <c:v>120</c:v>
                </c:pt>
                <c:pt idx="361">
                  <c:v>120</c:v>
                </c:pt>
                <c:pt idx="362">
                  <c:v>120</c:v>
                </c:pt>
                <c:pt idx="363">
                  <c:v>120</c:v>
                </c:pt>
                <c:pt idx="364">
                  <c:v>120</c:v>
                </c:pt>
                <c:pt idx="365">
                  <c:v>120</c:v>
                </c:pt>
                <c:pt idx="366">
                  <c:v>120</c:v>
                </c:pt>
                <c:pt idx="367">
                  <c:v>120</c:v>
                </c:pt>
                <c:pt idx="368">
                  <c:v>120</c:v>
                </c:pt>
                <c:pt idx="369">
                  <c:v>120</c:v>
                </c:pt>
                <c:pt idx="370">
                  <c:v>120</c:v>
                </c:pt>
                <c:pt idx="371">
                  <c:v>120</c:v>
                </c:pt>
                <c:pt idx="372">
                  <c:v>120</c:v>
                </c:pt>
                <c:pt idx="373">
                  <c:v>120</c:v>
                </c:pt>
                <c:pt idx="374">
                  <c:v>120</c:v>
                </c:pt>
                <c:pt idx="375">
                  <c:v>120</c:v>
                </c:pt>
                <c:pt idx="376">
                  <c:v>120</c:v>
                </c:pt>
                <c:pt idx="377">
                  <c:v>120</c:v>
                </c:pt>
                <c:pt idx="378">
                  <c:v>120</c:v>
                </c:pt>
                <c:pt idx="379">
                  <c:v>120</c:v>
                </c:pt>
                <c:pt idx="380">
                  <c:v>120</c:v>
                </c:pt>
                <c:pt idx="381">
                  <c:v>120</c:v>
                </c:pt>
                <c:pt idx="382">
                  <c:v>120</c:v>
                </c:pt>
                <c:pt idx="383">
                  <c:v>120</c:v>
                </c:pt>
                <c:pt idx="384">
                  <c:v>120</c:v>
                </c:pt>
                <c:pt idx="385">
                  <c:v>120</c:v>
                </c:pt>
                <c:pt idx="386">
                  <c:v>120</c:v>
                </c:pt>
                <c:pt idx="387">
                  <c:v>120</c:v>
                </c:pt>
                <c:pt idx="388">
                  <c:v>120</c:v>
                </c:pt>
                <c:pt idx="389">
                  <c:v>120</c:v>
                </c:pt>
                <c:pt idx="390">
                  <c:v>120</c:v>
                </c:pt>
                <c:pt idx="391">
                  <c:v>120</c:v>
                </c:pt>
                <c:pt idx="392">
                  <c:v>120</c:v>
                </c:pt>
                <c:pt idx="393">
                  <c:v>120</c:v>
                </c:pt>
                <c:pt idx="394">
                  <c:v>120</c:v>
                </c:pt>
                <c:pt idx="395">
                  <c:v>120</c:v>
                </c:pt>
                <c:pt idx="396">
                  <c:v>120</c:v>
                </c:pt>
                <c:pt idx="397">
                  <c:v>120</c:v>
                </c:pt>
                <c:pt idx="398">
                  <c:v>120</c:v>
                </c:pt>
                <c:pt idx="399">
                  <c:v>120</c:v>
                </c:pt>
                <c:pt idx="400">
                  <c:v>120</c:v>
                </c:pt>
                <c:pt idx="401">
                  <c:v>120</c:v>
                </c:pt>
                <c:pt idx="402">
                  <c:v>120</c:v>
                </c:pt>
                <c:pt idx="403">
                  <c:v>120</c:v>
                </c:pt>
                <c:pt idx="404">
                  <c:v>120</c:v>
                </c:pt>
                <c:pt idx="405">
                  <c:v>120</c:v>
                </c:pt>
                <c:pt idx="406">
                  <c:v>120</c:v>
                </c:pt>
                <c:pt idx="407">
                  <c:v>120</c:v>
                </c:pt>
                <c:pt idx="408">
                  <c:v>120</c:v>
                </c:pt>
                <c:pt idx="409">
                  <c:v>120</c:v>
                </c:pt>
                <c:pt idx="410">
                  <c:v>120</c:v>
                </c:pt>
                <c:pt idx="411">
                  <c:v>120</c:v>
                </c:pt>
                <c:pt idx="412">
                  <c:v>120</c:v>
                </c:pt>
                <c:pt idx="413">
                  <c:v>120</c:v>
                </c:pt>
                <c:pt idx="414">
                  <c:v>120</c:v>
                </c:pt>
                <c:pt idx="415">
                  <c:v>120</c:v>
                </c:pt>
                <c:pt idx="416">
                  <c:v>120</c:v>
                </c:pt>
                <c:pt idx="417">
                  <c:v>120</c:v>
                </c:pt>
                <c:pt idx="418">
                  <c:v>120</c:v>
                </c:pt>
                <c:pt idx="419">
                  <c:v>120</c:v>
                </c:pt>
                <c:pt idx="420">
                  <c:v>120</c:v>
                </c:pt>
                <c:pt idx="421">
                  <c:v>120</c:v>
                </c:pt>
                <c:pt idx="422">
                  <c:v>120</c:v>
                </c:pt>
                <c:pt idx="423">
                  <c:v>120</c:v>
                </c:pt>
                <c:pt idx="424">
                  <c:v>120</c:v>
                </c:pt>
                <c:pt idx="425">
                  <c:v>120</c:v>
                </c:pt>
                <c:pt idx="426">
                  <c:v>120</c:v>
                </c:pt>
                <c:pt idx="427">
                  <c:v>120</c:v>
                </c:pt>
                <c:pt idx="428">
                  <c:v>120</c:v>
                </c:pt>
                <c:pt idx="429">
                  <c:v>120</c:v>
                </c:pt>
                <c:pt idx="430">
                  <c:v>120</c:v>
                </c:pt>
                <c:pt idx="431">
                  <c:v>120</c:v>
                </c:pt>
                <c:pt idx="432">
                  <c:v>120</c:v>
                </c:pt>
                <c:pt idx="433">
                  <c:v>120</c:v>
                </c:pt>
                <c:pt idx="434">
                  <c:v>120</c:v>
                </c:pt>
                <c:pt idx="435">
                  <c:v>120</c:v>
                </c:pt>
                <c:pt idx="436">
                  <c:v>120</c:v>
                </c:pt>
                <c:pt idx="437">
                  <c:v>120</c:v>
                </c:pt>
                <c:pt idx="438">
                  <c:v>120</c:v>
                </c:pt>
                <c:pt idx="439">
                  <c:v>120</c:v>
                </c:pt>
                <c:pt idx="440">
                  <c:v>120</c:v>
                </c:pt>
                <c:pt idx="441">
                  <c:v>120</c:v>
                </c:pt>
                <c:pt idx="442">
                  <c:v>120</c:v>
                </c:pt>
                <c:pt idx="443">
                  <c:v>120</c:v>
                </c:pt>
                <c:pt idx="444">
                  <c:v>120</c:v>
                </c:pt>
                <c:pt idx="445">
                  <c:v>120</c:v>
                </c:pt>
                <c:pt idx="446">
                  <c:v>120</c:v>
                </c:pt>
                <c:pt idx="447">
                  <c:v>120</c:v>
                </c:pt>
                <c:pt idx="448">
                  <c:v>120</c:v>
                </c:pt>
                <c:pt idx="449">
                  <c:v>120</c:v>
                </c:pt>
                <c:pt idx="450">
                  <c:v>120</c:v>
                </c:pt>
                <c:pt idx="451">
                  <c:v>120</c:v>
                </c:pt>
                <c:pt idx="452">
                  <c:v>120</c:v>
                </c:pt>
                <c:pt idx="453">
                  <c:v>120</c:v>
                </c:pt>
                <c:pt idx="454">
                  <c:v>120</c:v>
                </c:pt>
                <c:pt idx="455">
                  <c:v>120</c:v>
                </c:pt>
                <c:pt idx="456">
                  <c:v>120</c:v>
                </c:pt>
                <c:pt idx="457">
                  <c:v>120</c:v>
                </c:pt>
                <c:pt idx="458">
                  <c:v>120</c:v>
                </c:pt>
                <c:pt idx="459">
                  <c:v>120</c:v>
                </c:pt>
                <c:pt idx="460">
                  <c:v>120</c:v>
                </c:pt>
                <c:pt idx="461">
                  <c:v>120</c:v>
                </c:pt>
                <c:pt idx="462">
                  <c:v>120</c:v>
                </c:pt>
                <c:pt idx="463">
                  <c:v>120</c:v>
                </c:pt>
                <c:pt idx="464">
                  <c:v>120</c:v>
                </c:pt>
                <c:pt idx="465">
                  <c:v>120</c:v>
                </c:pt>
                <c:pt idx="466">
                  <c:v>120</c:v>
                </c:pt>
                <c:pt idx="467">
                  <c:v>120</c:v>
                </c:pt>
                <c:pt idx="468">
                  <c:v>120</c:v>
                </c:pt>
                <c:pt idx="469">
                  <c:v>120</c:v>
                </c:pt>
                <c:pt idx="470">
                  <c:v>120</c:v>
                </c:pt>
                <c:pt idx="471">
                  <c:v>120</c:v>
                </c:pt>
                <c:pt idx="472">
                  <c:v>120</c:v>
                </c:pt>
                <c:pt idx="473">
                  <c:v>120</c:v>
                </c:pt>
                <c:pt idx="474">
                  <c:v>120</c:v>
                </c:pt>
                <c:pt idx="475">
                  <c:v>120</c:v>
                </c:pt>
                <c:pt idx="476">
                  <c:v>120</c:v>
                </c:pt>
                <c:pt idx="477">
                  <c:v>120</c:v>
                </c:pt>
                <c:pt idx="478">
                  <c:v>120</c:v>
                </c:pt>
                <c:pt idx="479">
                  <c:v>120</c:v>
                </c:pt>
                <c:pt idx="480">
                  <c:v>120</c:v>
                </c:pt>
                <c:pt idx="481">
                  <c:v>120</c:v>
                </c:pt>
                <c:pt idx="482">
                  <c:v>120</c:v>
                </c:pt>
                <c:pt idx="483">
                  <c:v>120</c:v>
                </c:pt>
                <c:pt idx="484">
                  <c:v>120</c:v>
                </c:pt>
                <c:pt idx="485">
                  <c:v>120</c:v>
                </c:pt>
                <c:pt idx="486">
                  <c:v>120</c:v>
                </c:pt>
                <c:pt idx="487">
                  <c:v>120</c:v>
                </c:pt>
                <c:pt idx="488">
                  <c:v>120</c:v>
                </c:pt>
                <c:pt idx="489">
                  <c:v>120</c:v>
                </c:pt>
                <c:pt idx="490">
                  <c:v>120</c:v>
                </c:pt>
                <c:pt idx="491">
                  <c:v>120</c:v>
                </c:pt>
                <c:pt idx="492">
                  <c:v>120</c:v>
                </c:pt>
                <c:pt idx="493">
                  <c:v>120</c:v>
                </c:pt>
                <c:pt idx="494">
                  <c:v>120</c:v>
                </c:pt>
                <c:pt idx="495">
                  <c:v>120</c:v>
                </c:pt>
                <c:pt idx="496">
                  <c:v>120</c:v>
                </c:pt>
                <c:pt idx="497">
                  <c:v>120</c:v>
                </c:pt>
                <c:pt idx="498">
                  <c:v>120</c:v>
                </c:pt>
                <c:pt idx="499">
                  <c:v>120</c:v>
                </c:pt>
                <c:pt idx="500">
                  <c:v>120</c:v>
                </c:pt>
                <c:pt idx="501">
                  <c:v>120</c:v>
                </c:pt>
                <c:pt idx="502">
                  <c:v>120</c:v>
                </c:pt>
                <c:pt idx="503">
                  <c:v>120</c:v>
                </c:pt>
                <c:pt idx="504">
                  <c:v>120</c:v>
                </c:pt>
                <c:pt idx="505">
                  <c:v>120</c:v>
                </c:pt>
                <c:pt idx="506">
                  <c:v>120</c:v>
                </c:pt>
                <c:pt idx="507">
                  <c:v>120</c:v>
                </c:pt>
                <c:pt idx="508">
                  <c:v>120</c:v>
                </c:pt>
                <c:pt idx="509">
                  <c:v>120</c:v>
                </c:pt>
                <c:pt idx="510">
                  <c:v>120</c:v>
                </c:pt>
                <c:pt idx="511">
                  <c:v>120</c:v>
                </c:pt>
                <c:pt idx="512">
                  <c:v>120</c:v>
                </c:pt>
                <c:pt idx="513">
                  <c:v>120</c:v>
                </c:pt>
                <c:pt idx="514">
                  <c:v>120</c:v>
                </c:pt>
                <c:pt idx="515">
                  <c:v>120</c:v>
                </c:pt>
                <c:pt idx="516">
                  <c:v>120</c:v>
                </c:pt>
                <c:pt idx="517">
                  <c:v>120</c:v>
                </c:pt>
                <c:pt idx="518">
                  <c:v>120</c:v>
                </c:pt>
                <c:pt idx="519">
                  <c:v>120</c:v>
                </c:pt>
                <c:pt idx="520">
                  <c:v>120</c:v>
                </c:pt>
                <c:pt idx="521">
                  <c:v>120</c:v>
                </c:pt>
                <c:pt idx="522">
                  <c:v>120</c:v>
                </c:pt>
                <c:pt idx="523">
                  <c:v>120</c:v>
                </c:pt>
                <c:pt idx="524">
                  <c:v>120</c:v>
                </c:pt>
                <c:pt idx="525">
                  <c:v>120</c:v>
                </c:pt>
                <c:pt idx="526">
                  <c:v>120</c:v>
                </c:pt>
                <c:pt idx="527">
                  <c:v>120</c:v>
                </c:pt>
                <c:pt idx="528">
                  <c:v>120</c:v>
                </c:pt>
                <c:pt idx="529">
                  <c:v>120</c:v>
                </c:pt>
                <c:pt idx="530">
                  <c:v>120</c:v>
                </c:pt>
                <c:pt idx="531">
                  <c:v>120</c:v>
                </c:pt>
                <c:pt idx="532">
                  <c:v>120</c:v>
                </c:pt>
                <c:pt idx="533">
                  <c:v>120</c:v>
                </c:pt>
                <c:pt idx="534">
                  <c:v>120</c:v>
                </c:pt>
                <c:pt idx="535">
                  <c:v>120</c:v>
                </c:pt>
                <c:pt idx="536">
                  <c:v>120</c:v>
                </c:pt>
                <c:pt idx="537">
                  <c:v>120</c:v>
                </c:pt>
                <c:pt idx="538">
                  <c:v>120</c:v>
                </c:pt>
                <c:pt idx="539">
                  <c:v>120</c:v>
                </c:pt>
                <c:pt idx="540">
                  <c:v>120</c:v>
                </c:pt>
                <c:pt idx="541">
                  <c:v>120</c:v>
                </c:pt>
                <c:pt idx="542">
                  <c:v>120</c:v>
                </c:pt>
                <c:pt idx="543">
                  <c:v>120</c:v>
                </c:pt>
                <c:pt idx="544">
                  <c:v>120</c:v>
                </c:pt>
                <c:pt idx="545">
                  <c:v>120</c:v>
                </c:pt>
                <c:pt idx="546">
                  <c:v>120</c:v>
                </c:pt>
                <c:pt idx="547">
                  <c:v>120</c:v>
                </c:pt>
                <c:pt idx="548">
                  <c:v>120</c:v>
                </c:pt>
                <c:pt idx="549">
                  <c:v>120</c:v>
                </c:pt>
                <c:pt idx="550">
                  <c:v>120</c:v>
                </c:pt>
                <c:pt idx="551">
                  <c:v>120</c:v>
                </c:pt>
                <c:pt idx="552">
                  <c:v>120</c:v>
                </c:pt>
                <c:pt idx="553">
                  <c:v>120</c:v>
                </c:pt>
                <c:pt idx="554">
                  <c:v>120</c:v>
                </c:pt>
                <c:pt idx="555">
                  <c:v>120</c:v>
                </c:pt>
                <c:pt idx="556">
                  <c:v>120</c:v>
                </c:pt>
                <c:pt idx="557">
                  <c:v>120</c:v>
                </c:pt>
                <c:pt idx="558">
                  <c:v>120</c:v>
                </c:pt>
                <c:pt idx="559">
                  <c:v>120</c:v>
                </c:pt>
                <c:pt idx="560">
                  <c:v>120</c:v>
                </c:pt>
                <c:pt idx="561">
                  <c:v>120</c:v>
                </c:pt>
                <c:pt idx="562">
                  <c:v>120</c:v>
                </c:pt>
                <c:pt idx="563">
                  <c:v>120</c:v>
                </c:pt>
                <c:pt idx="564">
                  <c:v>120</c:v>
                </c:pt>
                <c:pt idx="565">
                  <c:v>120</c:v>
                </c:pt>
                <c:pt idx="566">
                  <c:v>120</c:v>
                </c:pt>
                <c:pt idx="567">
                  <c:v>120</c:v>
                </c:pt>
                <c:pt idx="568">
                  <c:v>120</c:v>
                </c:pt>
                <c:pt idx="569">
                  <c:v>120</c:v>
                </c:pt>
                <c:pt idx="570">
                  <c:v>120</c:v>
                </c:pt>
                <c:pt idx="571">
                  <c:v>120</c:v>
                </c:pt>
                <c:pt idx="572">
                  <c:v>120</c:v>
                </c:pt>
                <c:pt idx="573">
                  <c:v>120</c:v>
                </c:pt>
                <c:pt idx="574">
                  <c:v>120</c:v>
                </c:pt>
                <c:pt idx="575">
                  <c:v>120</c:v>
                </c:pt>
                <c:pt idx="576">
                  <c:v>120</c:v>
                </c:pt>
                <c:pt idx="577">
                  <c:v>120</c:v>
                </c:pt>
                <c:pt idx="578">
                  <c:v>120</c:v>
                </c:pt>
                <c:pt idx="579">
                  <c:v>120</c:v>
                </c:pt>
                <c:pt idx="580">
                  <c:v>120</c:v>
                </c:pt>
                <c:pt idx="581">
                  <c:v>120</c:v>
                </c:pt>
                <c:pt idx="582">
                  <c:v>120</c:v>
                </c:pt>
                <c:pt idx="583">
                  <c:v>120</c:v>
                </c:pt>
                <c:pt idx="584">
                  <c:v>120</c:v>
                </c:pt>
                <c:pt idx="585">
                  <c:v>120</c:v>
                </c:pt>
                <c:pt idx="586">
                  <c:v>120</c:v>
                </c:pt>
                <c:pt idx="587">
                  <c:v>120</c:v>
                </c:pt>
                <c:pt idx="588">
                  <c:v>120</c:v>
                </c:pt>
                <c:pt idx="589">
                  <c:v>120</c:v>
                </c:pt>
                <c:pt idx="590">
                  <c:v>120</c:v>
                </c:pt>
                <c:pt idx="591">
                  <c:v>120</c:v>
                </c:pt>
                <c:pt idx="592">
                  <c:v>120</c:v>
                </c:pt>
                <c:pt idx="593">
                  <c:v>120</c:v>
                </c:pt>
                <c:pt idx="594">
                  <c:v>120</c:v>
                </c:pt>
                <c:pt idx="595">
                  <c:v>120</c:v>
                </c:pt>
                <c:pt idx="596">
                  <c:v>120</c:v>
                </c:pt>
                <c:pt idx="597">
                  <c:v>120</c:v>
                </c:pt>
                <c:pt idx="598">
                  <c:v>120</c:v>
                </c:pt>
                <c:pt idx="599">
                  <c:v>120</c:v>
                </c:pt>
                <c:pt idx="600">
                  <c:v>120</c:v>
                </c:pt>
                <c:pt idx="601">
                  <c:v>120</c:v>
                </c:pt>
                <c:pt idx="602">
                  <c:v>120</c:v>
                </c:pt>
                <c:pt idx="603">
                  <c:v>120</c:v>
                </c:pt>
                <c:pt idx="604">
                  <c:v>120</c:v>
                </c:pt>
                <c:pt idx="605">
                  <c:v>120</c:v>
                </c:pt>
                <c:pt idx="606">
                  <c:v>120</c:v>
                </c:pt>
                <c:pt idx="607">
                  <c:v>120</c:v>
                </c:pt>
                <c:pt idx="608">
                  <c:v>120</c:v>
                </c:pt>
                <c:pt idx="609">
                  <c:v>120</c:v>
                </c:pt>
                <c:pt idx="610">
                  <c:v>120</c:v>
                </c:pt>
                <c:pt idx="611">
                  <c:v>120</c:v>
                </c:pt>
                <c:pt idx="612">
                  <c:v>120</c:v>
                </c:pt>
                <c:pt idx="613">
                  <c:v>120</c:v>
                </c:pt>
                <c:pt idx="614">
                  <c:v>120</c:v>
                </c:pt>
                <c:pt idx="615">
                  <c:v>120</c:v>
                </c:pt>
                <c:pt idx="616">
                  <c:v>120</c:v>
                </c:pt>
                <c:pt idx="617">
                  <c:v>120</c:v>
                </c:pt>
                <c:pt idx="618">
                  <c:v>120</c:v>
                </c:pt>
                <c:pt idx="619">
                  <c:v>120</c:v>
                </c:pt>
                <c:pt idx="620">
                  <c:v>120</c:v>
                </c:pt>
                <c:pt idx="621">
                  <c:v>120</c:v>
                </c:pt>
                <c:pt idx="622">
                  <c:v>120</c:v>
                </c:pt>
                <c:pt idx="623">
                  <c:v>120</c:v>
                </c:pt>
                <c:pt idx="624">
                  <c:v>120</c:v>
                </c:pt>
                <c:pt idx="625">
                  <c:v>120</c:v>
                </c:pt>
                <c:pt idx="626">
                  <c:v>120</c:v>
                </c:pt>
                <c:pt idx="627">
                  <c:v>120</c:v>
                </c:pt>
                <c:pt idx="628">
                  <c:v>120</c:v>
                </c:pt>
                <c:pt idx="629">
                  <c:v>120</c:v>
                </c:pt>
                <c:pt idx="630">
                  <c:v>120</c:v>
                </c:pt>
                <c:pt idx="631">
                  <c:v>120</c:v>
                </c:pt>
                <c:pt idx="632">
                  <c:v>120</c:v>
                </c:pt>
                <c:pt idx="633">
                  <c:v>120</c:v>
                </c:pt>
                <c:pt idx="634">
                  <c:v>120</c:v>
                </c:pt>
                <c:pt idx="635">
                  <c:v>120</c:v>
                </c:pt>
                <c:pt idx="636">
                  <c:v>120</c:v>
                </c:pt>
                <c:pt idx="637">
                  <c:v>120</c:v>
                </c:pt>
                <c:pt idx="638">
                  <c:v>120</c:v>
                </c:pt>
                <c:pt idx="639">
                  <c:v>120</c:v>
                </c:pt>
                <c:pt idx="640">
                  <c:v>120</c:v>
                </c:pt>
                <c:pt idx="641">
                  <c:v>120</c:v>
                </c:pt>
                <c:pt idx="642">
                  <c:v>120</c:v>
                </c:pt>
                <c:pt idx="643">
                  <c:v>120</c:v>
                </c:pt>
                <c:pt idx="644">
                  <c:v>120</c:v>
                </c:pt>
                <c:pt idx="645">
                  <c:v>120</c:v>
                </c:pt>
                <c:pt idx="646">
                  <c:v>120</c:v>
                </c:pt>
                <c:pt idx="647">
                  <c:v>120</c:v>
                </c:pt>
                <c:pt idx="648">
                  <c:v>120</c:v>
                </c:pt>
                <c:pt idx="649">
                  <c:v>120</c:v>
                </c:pt>
                <c:pt idx="650">
                  <c:v>120</c:v>
                </c:pt>
                <c:pt idx="651">
                  <c:v>120</c:v>
                </c:pt>
                <c:pt idx="652">
                  <c:v>120</c:v>
                </c:pt>
                <c:pt idx="653">
                  <c:v>120</c:v>
                </c:pt>
                <c:pt idx="654">
                  <c:v>120</c:v>
                </c:pt>
                <c:pt idx="655">
                  <c:v>120</c:v>
                </c:pt>
                <c:pt idx="656">
                  <c:v>120</c:v>
                </c:pt>
                <c:pt idx="657">
                  <c:v>120</c:v>
                </c:pt>
                <c:pt idx="658">
                  <c:v>120</c:v>
                </c:pt>
                <c:pt idx="659">
                  <c:v>120</c:v>
                </c:pt>
                <c:pt idx="660">
                  <c:v>120</c:v>
                </c:pt>
                <c:pt idx="661">
                  <c:v>120</c:v>
                </c:pt>
                <c:pt idx="662">
                  <c:v>120</c:v>
                </c:pt>
                <c:pt idx="663">
                  <c:v>120</c:v>
                </c:pt>
                <c:pt idx="664">
                  <c:v>120</c:v>
                </c:pt>
                <c:pt idx="665">
                  <c:v>120</c:v>
                </c:pt>
                <c:pt idx="666">
                  <c:v>120</c:v>
                </c:pt>
                <c:pt idx="667">
                  <c:v>120</c:v>
                </c:pt>
                <c:pt idx="668">
                  <c:v>120</c:v>
                </c:pt>
                <c:pt idx="669">
                  <c:v>120</c:v>
                </c:pt>
                <c:pt idx="670">
                  <c:v>120</c:v>
                </c:pt>
                <c:pt idx="671">
                  <c:v>120</c:v>
                </c:pt>
                <c:pt idx="672">
                  <c:v>120</c:v>
                </c:pt>
                <c:pt idx="673">
                  <c:v>120</c:v>
                </c:pt>
                <c:pt idx="674">
                  <c:v>120</c:v>
                </c:pt>
                <c:pt idx="675">
                  <c:v>120</c:v>
                </c:pt>
                <c:pt idx="676">
                  <c:v>120</c:v>
                </c:pt>
                <c:pt idx="677">
                  <c:v>120</c:v>
                </c:pt>
                <c:pt idx="678">
                  <c:v>120</c:v>
                </c:pt>
                <c:pt idx="679">
                  <c:v>120</c:v>
                </c:pt>
                <c:pt idx="680">
                  <c:v>120</c:v>
                </c:pt>
                <c:pt idx="681">
                  <c:v>120</c:v>
                </c:pt>
                <c:pt idx="682">
                  <c:v>120</c:v>
                </c:pt>
                <c:pt idx="683">
                  <c:v>120</c:v>
                </c:pt>
                <c:pt idx="684">
                  <c:v>120</c:v>
                </c:pt>
                <c:pt idx="685">
                  <c:v>120</c:v>
                </c:pt>
                <c:pt idx="686">
                  <c:v>120</c:v>
                </c:pt>
                <c:pt idx="687">
                  <c:v>120</c:v>
                </c:pt>
                <c:pt idx="688">
                  <c:v>120</c:v>
                </c:pt>
                <c:pt idx="689">
                  <c:v>120</c:v>
                </c:pt>
                <c:pt idx="690">
                  <c:v>120</c:v>
                </c:pt>
                <c:pt idx="691">
                  <c:v>120</c:v>
                </c:pt>
                <c:pt idx="692">
                  <c:v>120</c:v>
                </c:pt>
                <c:pt idx="693">
                  <c:v>120</c:v>
                </c:pt>
                <c:pt idx="694">
                  <c:v>120</c:v>
                </c:pt>
                <c:pt idx="695">
                  <c:v>120</c:v>
                </c:pt>
                <c:pt idx="696">
                  <c:v>120</c:v>
                </c:pt>
                <c:pt idx="697">
                  <c:v>120</c:v>
                </c:pt>
                <c:pt idx="698">
                  <c:v>120</c:v>
                </c:pt>
                <c:pt idx="699">
                  <c:v>120</c:v>
                </c:pt>
                <c:pt idx="700">
                  <c:v>120</c:v>
                </c:pt>
                <c:pt idx="701">
                  <c:v>120</c:v>
                </c:pt>
                <c:pt idx="702">
                  <c:v>120</c:v>
                </c:pt>
                <c:pt idx="703">
                  <c:v>120</c:v>
                </c:pt>
                <c:pt idx="704">
                  <c:v>120</c:v>
                </c:pt>
                <c:pt idx="705">
                  <c:v>120</c:v>
                </c:pt>
                <c:pt idx="706">
                  <c:v>120</c:v>
                </c:pt>
                <c:pt idx="707">
                  <c:v>120</c:v>
                </c:pt>
                <c:pt idx="708">
                  <c:v>120</c:v>
                </c:pt>
                <c:pt idx="709">
                  <c:v>120</c:v>
                </c:pt>
                <c:pt idx="710">
                  <c:v>120</c:v>
                </c:pt>
                <c:pt idx="711">
                  <c:v>120</c:v>
                </c:pt>
                <c:pt idx="712">
                  <c:v>120</c:v>
                </c:pt>
                <c:pt idx="713">
                  <c:v>120</c:v>
                </c:pt>
                <c:pt idx="714">
                  <c:v>120</c:v>
                </c:pt>
                <c:pt idx="715">
                  <c:v>120</c:v>
                </c:pt>
                <c:pt idx="716">
                  <c:v>120</c:v>
                </c:pt>
                <c:pt idx="717">
                  <c:v>120</c:v>
                </c:pt>
                <c:pt idx="718">
                  <c:v>120</c:v>
                </c:pt>
                <c:pt idx="719">
                  <c:v>120</c:v>
                </c:pt>
                <c:pt idx="720">
                  <c:v>120</c:v>
                </c:pt>
                <c:pt idx="721">
                  <c:v>120</c:v>
                </c:pt>
                <c:pt idx="722">
                  <c:v>120</c:v>
                </c:pt>
                <c:pt idx="723">
                  <c:v>120</c:v>
                </c:pt>
                <c:pt idx="724">
                  <c:v>120</c:v>
                </c:pt>
                <c:pt idx="725">
                  <c:v>120</c:v>
                </c:pt>
                <c:pt idx="726">
                  <c:v>120</c:v>
                </c:pt>
                <c:pt idx="727">
                  <c:v>120</c:v>
                </c:pt>
                <c:pt idx="728">
                  <c:v>120</c:v>
                </c:pt>
                <c:pt idx="729">
                  <c:v>120</c:v>
                </c:pt>
                <c:pt idx="730">
                  <c:v>120</c:v>
                </c:pt>
                <c:pt idx="731">
                  <c:v>120</c:v>
                </c:pt>
                <c:pt idx="732">
                  <c:v>120</c:v>
                </c:pt>
                <c:pt idx="733">
                  <c:v>120</c:v>
                </c:pt>
                <c:pt idx="734">
                  <c:v>120</c:v>
                </c:pt>
                <c:pt idx="735">
                  <c:v>120</c:v>
                </c:pt>
                <c:pt idx="736">
                  <c:v>120</c:v>
                </c:pt>
                <c:pt idx="737">
                  <c:v>120</c:v>
                </c:pt>
                <c:pt idx="738">
                  <c:v>120</c:v>
                </c:pt>
                <c:pt idx="739">
                  <c:v>120</c:v>
                </c:pt>
                <c:pt idx="740">
                  <c:v>120</c:v>
                </c:pt>
                <c:pt idx="741">
                  <c:v>120</c:v>
                </c:pt>
                <c:pt idx="742">
                  <c:v>120</c:v>
                </c:pt>
                <c:pt idx="743">
                  <c:v>120</c:v>
                </c:pt>
                <c:pt idx="744">
                  <c:v>120</c:v>
                </c:pt>
                <c:pt idx="745">
                  <c:v>120</c:v>
                </c:pt>
                <c:pt idx="746">
                  <c:v>120</c:v>
                </c:pt>
                <c:pt idx="747">
                  <c:v>120</c:v>
                </c:pt>
                <c:pt idx="748">
                  <c:v>120</c:v>
                </c:pt>
                <c:pt idx="749">
                  <c:v>120</c:v>
                </c:pt>
                <c:pt idx="750">
                  <c:v>120</c:v>
                </c:pt>
                <c:pt idx="751">
                  <c:v>120</c:v>
                </c:pt>
                <c:pt idx="752">
                  <c:v>120</c:v>
                </c:pt>
                <c:pt idx="753">
                  <c:v>120</c:v>
                </c:pt>
                <c:pt idx="754">
                  <c:v>120</c:v>
                </c:pt>
                <c:pt idx="755">
                  <c:v>120</c:v>
                </c:pt>
                <c:pt idx="756">
                  <c:v>120</c:v>
                </c:pt>
                <c:pt idx="757">
                  <c:v>120</c:v>
                </c:pt>
                <c:pt idx="758">
                  <c:v>120</c:v>
                </c:pt>
                <c:pt idx="759">
                  <c:v>120</c:v>
                </c:pt>
                <c:pt idx="760">
                  <c:v>120</c:v>
                </c:pt>
                <c:pt idx="761">
                  <c:v>120</c:v>
                </c:pt>
                <c:pt idx="762">
                  <c:v>120</c:v>
                </c:pt>
                <c:pt idx="763">
                  <c:v>120</c:v>
                </c:pt>
                <c:pt idx="764">
                  <c:v>120</c:v>
                </c:pt>
                <c:pt idx="765">
                  <c:v>120</c:v>
                </c:pt>
                <c:pt idx="766">
                  <c:v>120</c:v>
                </c:pt>
                <c:pt idx="767">
                  <c:v>120</c:v>
                </c:pt>
                <c:pt idx="768">
                  <c:v>120</c:v>
                </c:pt>
                <c:pt idx="769">
                  <c:v>120</c:v>
                </c:pt>
                <c:pt idx="770">
                  <c:v>120</c:v>
                </c:pt>
                <c:pt idx="771">
                  <c:v>120</c:v>
                </c:pt>
                <c:pt idx="772">
                  <c:v>120</c:v>
                </c:pt>
                <c:pt idx="773">
                  <c:v>120</c:v>
                </c:pt>
                <c:pt idx="774">
                  <c:v>120</c:v>
                </c:pt>
                <c:pt idx="775">
                  <c:v>120</c:v>
                </c:pt>
                <c:pt idx="776">
                  <c:v>120</c:v>
                </c:pt>
                <c:pt idx="777">
                  <c:v>120</c:v>
                </c:pt>
                <c:pt idx="778">
                  <c:v>120</c:v>
                </c:pt>
                <c:pt idx="779">
                  <c:v>120</c:v>
                </c:pt>
                <c:pt idx="780">
                  <c:v>120</c:v>
                </c:pt>
                <c:pt idx="781">
                  <c:v>120</c:v>
                </c:pt>
                <c:pt idx="782">
                  <c:v>120</c:v>
                </c:pt>
                <c:pt idx="783">
                  <c:v>120</c:v>
                </c:pt>
                <c:pt idx="784">
                  <c:v>120</c:v>
                </c:pt>
                <c:pt idx="785">
                  <c:v>120</c:v>
                </c:pt>
                <c:pt idx="786">
                  <c:v>120</c:v>
                </c:pt>
                <c:pt idx="787">
                  <c:v>120</c:v>
                </c:pt>
                <c:pt idx="788">
                  <c:v>120</c:v>
                </c:pt>
                <c:pt idx="789">
                  <c:v>120</c:v>
                </c:pt>
                <c:pt idx="790">
                  <c:v>120</c:v>
                </c:pt>
                <c:pt idx="791">
                  <c:v>120</c:v>
                </c:pt>
                <c:pt idx="792">
                  <c:v>120</c:v>
                </c:pt>
                <c:pt idx="793">
                  <c:v>120</c:v>
                </c:pt>
                <c:pt idx="794">
                  <c:v>120</c:v>
                </c:pt>
                <c:pt idx="795">
                  <c:v>120</c:v>
                </c:pt>
                <c:pt idx="796">
                  <c:v>120</c:v>
                </c:pt>
                <c:pt idx="797">
                  <c:v>120</c:v>
                </c:pt>
                <c:pt idx="798">
                  <c:v>120</c:v>
                </c:pt>
                <c:pt idx="799">
                  <c:v>120</c:v>
                </c:pt>
                <c:pt idx="800">
                  <c:v>120</c:v>
                </c:pt>
                <c:pt idx="801">
                  <c:v>120</c:v>
                </c:pt>
                <c:pt idx="802">
                  <c:v>120</c:v>
                </c:pt>
                <c:pt idx="803">
                  <c:v>120</c:v>
                </c:pt>
                <c:pt idx="804">
                  <c:v>120</c:v>
                </c:pt>
                <c:pt idx="805">
                  <c:v>120</c:v>
                </c:pt>
                <c:pt idx="806">
                  <c:v>120</c:v>
                </c:pt>
                <c:pt idx="807">
                  <c:v>120</c:v>
                </c:pt>
                <c:pt idx="808">
                  <c:v>120</c:v>
                </c:pt>
                <c:pt idx="809">
                  <c:v>120</c:v>
                </c:pt>
                <c:pt idx="810">
                  <c:v>120</c:v>
                </c:pt>
                <c:pt idx="811">
                  <c:v>120</c:v>
                </c:pt>
                <c:pt idx="812">
                  <c:v>120</c:v>
                </c:pt>
                <c:pt idx="813">
                  <c:v>120</c:v>
                </c:pt>
                <c:pt idx="814">
                  <c:v>120</c:v>
                </c:pt>
                <c:pt idx="815">
                  <c:v>120</c:v>
                </c:pt>
                <c:pt idx="816">
                  <c:v>120</c:v>
                </c:pt>
                <c:pt idx="817">
                  <c:v>120</c:v>
                </c:pt>
                <c:pt idx="818">
                  <c:v>120</c:v>
                </c:pt>
                <c:pt idx="819">
                  <c:v>120</c:v>
                </c:pt>
                <c:pt idx="820">
                  <c:v>120</c:v>
                </c:pt>
                <c:pt idx="821">
                  <c:v>120</c:v>
                </c:pt>
                <c:pt idx="822">
                  <c:v>120</c:v>
                </c:pt>
                <c:pt idx="823">
                  <c:v>120</c:v>
                </c:pt>
                <c:pt idx="824">
                  <c:v>120</c:v>
                </c:pt>
                <c:pt idx="825">
                  <c:v>120</c:v>
                </c:pt>
                <c:pt idx="826">
                  <c:v>120</c:v>
                </c:pt>
                <c:pt idx="827">
                  <c:v>120</c:v>
                </c:pt>
                <c:pt idx="828">
                  <c:v>120</c:v>
                </c:pt>
                <c:pt idx="829">
                  <c:v>120</c:v>
                </c:pt>
                <c:pt idx="830">
                  <c:v>120</c:v>
                </c:pt>
                <c:pt idx="831">
                  <c:v>120</c:v>
                </c:pt>
                <c:pt idx="832">
                  <c:v>120</c:v>
                </c:pt>
                <c:pt idx="833">
                  <c:v>120</c:v>
                </c:pt>
                <c:pt idx="834">
                  <c:v>120</c:v>
                </c:pt>
                <c:pt idx="835">
                  <c:v>120</c:v>
                </c:pt>
                <c:pt idx="836">
                  <c:v>120</c:v>
                </c:pt>
                <c:pt idx="837">
                  <c:v>120</c:v>
                </c:pt>
                <c:pt idx="838">
                  <c:v>120</c:v>
                </c:pt>
                <c:pt idx="839">
                  <c:v>120</c:v>
                </c:pt>
                <c:pt idx="840">
                  <c:v>120</c:v>
                </c:pt>
                <c:pt idx="841">
                  <c:v>120</c:v>
                </c:pt>
                <c:pt idx="842">
                  <c:v>120</c:v>
                </c:pt>
                <c:pt idx="843">
                  <c:v>120</c:v>
                </c:pt>
                <c:pt idx="844">
                  <c:v>120</c:v>
                </c:pt>
                <c:pt idx="845">
                  <c:v>120</c:v>
                </c:pt>
                <c:pt idx="846">
                  <c:v>120</c:v>
                </c:pt>
                <c:pt idx="847">
                  <c:v>120</c:v>
                </c:pt>
                <c:pt idx="848">
                  <c:v>120</c:v>
                </c:pt>
                <c:pt idx="849">
                  <c:v>120</c:v>
                </c:pt>
                <c:pt idx="850">
                  <c:v>120</c:v>
                </c:pt>
                <c:pt idx="851">
                  <c:v>120</c:v>
                </c:pt>
                <c:pt idx="852">
                  <c:v>120</c:v>
                </c:pt>
                <c:pt idx="853">
                  <c:v>120</c:v>
                </c:pt>
                <c:pt idx="854">
                  <c:v>120</c:v>
                </c:pt>
                <c:pt idx="855">
                  <c:v>120</c:v>
                </c:pt>
                <c:pt idx="856">
                  <c:v>120</c:v>
                </c:pt>
                <c:pt idx="857">
                  <c:v>120</c:v>
                </c:pt>
                <c:pt idx="858">
                  <c:v>120</c:v>
                </c:pt>
                <c:pt idx="859">
                  <c:v>120</c:v>
                </c:pt>
                <c:pt idx="860">
                  <c:v>120</c:v>
                </c:pt>
                <c:pt idx="861">
                  <c:v>120</c:v>
                </c:pt>
                <c:pt idx="862">
                  <c:v>120</c:v>
                </c:pt>
                <c:pt idx="863">
                  <c:v>120</c:v>
                </c:pt>
                <c:pt idx="864">
                  <c:v>120</c:v>
                </c:pt>
                <c:pt idx="865">
                  <c:v>120</c:v>
                </c:pt>
                <c:pt idx="866">
                  <c:v>120</c:v>
                </c:pt>
                <c:pt idx="867">
                  <c:v>120</c:v>
                </c:pt>
                <c:pt idx="868">
                  <c:v>120</c:v>
                </c:pt>
                <c:pt idx="869">
                  <c:v>120</c:v>
                </c:pt>
                <c:pt idx="870">
                  <c:v>120</c:v>
                </c:pt>
                <c:pt idx="871">
                  <c:v>120</c:v>
                </c:pt>
                <c:pt idx="872">
                  <c:v>120</c:v>
                </c:pt>
                <c:pt idx="873">
                  <c:v>120</c:v>
                </c:pt>
                <c:pt idx="874">
                  <c:v>120</c:v>
                </c:pt>
                <c:pt idx="875">
                  <c:v>120</c:v>
                </c:pt>
                <c:pt idx="876">
                  <c:v>120</c:v>
                </c:pt>
                <c:pt idx="877">
                  <c:v>120</c:v>
                </c:pt>
                <c:pt idx="878">
                  <c:v>120</c:v>
                </c:pt>
                <c:pt idx="879">
                  <c:v>120</c:v>
                </c:pt>
                <c:pt idx="880">
                  <c:v>120</c:v>
                </c:pt>
                <c:pt idx="881">
                  <c:v>120</c:v>
                </c:pt>
                <c:pt idx="882">
                  <c:v>120</c:v>
                </c:pt>
                <c:pt idx="883">
                  <c:v>120</c:v>
                </c:pt>
                <c:pt idx="884">
                  <c:v>120</c:v>
                </c:pt>
                <c:pt idx="885">
                  <c:v>120</c:v>
                </c:pt>
                <c:pt idx="886">
                  <c:v>120</c:v>
                </c:pt>
                <c:pt idx="887">
                  <c:v>120</c:v>
                </c:pt>
                <c:pt idx="888">
                  <c:v>120</c:v>
                </c:pt>
                <c:pt idx="889">
                  <c:v>120</c:v>
                </c:pt>
                <c:pt idx="890">
                  <c:v>120</c:v>
                </c:pt>
                <c:pt idx="891">
                  <c:v>120</c:v>
                </c:pt>
                <c:pt idx="892">
                  <c:v>120</c:v>
                </c:pt>
                <c:pt idx="893">
                  <c:v>120</c:v>
                </c:pt>
                <c:pt idx="894">
                  <c:v>120</c:v>
                </c:pt>
                <c:pt idx="895">
                  <c:v>120</c:v>
                </c:pt>
                <c:pt idx="896">
                  <c:v>120</c:v>
                </c:pt>
                <c:pt idx="897">
                  <c:v>120</c:v>
                </c:pt>
                <c:pt idx="898">
                  <c:v>120</c:v>
                </c:pt>
                <c:pt idx="899">
                  <c:v>120</c:v>
                </c:pt>
                <c:pt idx="900">
                  <c:v>120</c:v>
                </c:pt>
                <c:pt idx="901">
                  <c:v>120</c:v>
                </c:pt>
                <c:pt idx="902">
                  <c:v>120</c:v>
                </c:pt>
                <c:pt idx="903">
                  <c:v>120</c:v>
                </c:pt>
                <c:pt idx="904">
                  <c:v>120</c:v>
                </c:pt>
                <c:pt idx="905">
                  <c:v>120</c:v>
                </c:pt>
                <c:pt idx="906">
                  <c:v>120</c:v>
                </c:pt>
                <c:pt idx="907">
                  <c:v>120</c:v>
                </c:pt>
                <c:pt idx="908">
                  <c:v>120</c:v>
                </c:pt>
                <c:pt idx="909">
                  <c:v>120</c:v>
                </c:pt>
                <c:pt idx="910">
                  <c:v>120</c:v>
                </c:pt>
                <c:pt idx="911">
                  <c:v>120</c:v>
                </c:pt>
                <c:pt idx="912">
                  <c:v>120</c:v>
                </c:pt>
                <c:pt idx="913">
                  <c:v>120</c:v>
                </c:pt>
                <c:pt idx="914">
                  <c:v>120</c:v>
                </c:pt>
                <c:pt idx="915">
                  <c:v>120</c:v>
                </c:pt>
                <c:pt idx="916">
                  <c:v>120</c:v>
                </c:pt>
                <c:pt idx="917">
                  <c:v>120</c:v>
                </c:pt>
                <c:pt idx="918">
                  <c:v>120</c:v>
                </c:pt>
                <c:pt idx="919">
                  <c:v>120</c:v>
                </c:pt>
                <c:pt idx="920">
                  <c:v>120</c:v>
                </c:pt>
                <c:pt idx="921">
                  <c:v>120</c:v>
                </c:pt>
                <c:pt idx="922">
                  <c:v>120</c:v>
                </c:pt>
                <c:pt idx="923">
                  <c:v>120</c:v>
                </c:pt>
                <c:pt idx="924">
                  <c:v>120</c:v>
                </c:pt>
                <c:pt idx="925">
                  <c:v>120</c:v>
                </c:pt>
                <c:pt idx="926">
                  <c:v>120</c:v>
                </c:pt>
                <c:pt idx="927">
                  <c:v>120</c:v>
                </c:pt>
                <c:pt idx="928">
                  <c:v>120</c:v>
                </c:pt>
                <c:pt idx="929">
                  <c:v>120</c:v>
                </c:pt>
                <c:pt idx="930">
                  <c:v>120</c:v>
                </c:pt>
                <c:pt idx="931">
                  <c:v>120</c:v>
                </c:pt>
                <c:pt idx="932">
                  <c:v>120</c:v>
                </c:pt>
                <c:pt idx="933">
                  <c:v>120</c:v>
                </c:pt>
                <c:pt idx="934">
                  <c:v>120</c:v>
                </c:pt>
                <c:pt idx="935">
                  <c:v>120</c:v>
                </c:pt>
                <c:pt idx="936">
                  <c:v>120</c:v>
                </c:pt>
                <c:pt idx="937">
                  <c:v>120</c:v>
                </c:pt>
                <c:pt idx="938">
                  <c:v>120</c:v>
                </c:pt>
                <c:pt idx="939">
                  <c:v>120</c:v>
                </c:pt>
                <c:pt idx="940">
                  <c:v>120</c:v>
                </c:pt>
                <c:pt idx="941">
                  <c:v>120</c:v>
                </c:pt>
                <c:pt idx="942">
                  <c:v>120</c:v>
                </c:pt>
                <c:pt idx="943">
                  <c:v>120</c:v>
                </c:pt>
                <c:pt idx="944">
                  <c:v>120</c:v>
                </c:pt>
                <c:pt idx="945">
                  <c:v>120</c:v>
                </c:pt>
                <c:pt idx="946">
                  <c:v>120</c:v>
                </c:pt>
                <c:pt idx="947">
                  <c:v>120</c:v>
                </c:pt>
                <c:pt idx="948">
                  <c:v>120</c:v>
                </c:pt>
                <c:pt idx="949">
                  <c:v>120</c:v>
                </c:pt>
                <c:pt idx="950">
                  <c:v>120</c:v>
                </c:pt>
                <c:pt idx="951">
                  <c:v>120</c:v>
                </c:pt>
                <c:pt idx="952">
                  <c:v>120</c:v>
                </c:pt>
                <c:pt idx="953">
                  <c:v>120</c:v>
                </c:pt>
                <c:pt idx="954">
                  <c:v>120</c:v>
                </c:pt>
                <c:pt idx="955">
                  <c:v>120</c:v>
                </c:pt>
                <c:pt idx="956">
                  <c:v>120</c:v>
                </c:pt>
                <c:pt idx="957">
                  <c:v>120</c:v>
                </c:pt>
                <c:pt idx="958">
                  <c:v>120</c:v>
                </c:pt>
                <c:pt idx="959">
                  <c:v>120</c:v>
                </c:pt>
                <c:pt idx="960">
                  <c:v>120</c:v>
                </c:pt>
                <c:pt idx="961">
                  <c:v>120</c:v>
                </c:pt>
                <c:pt idx="962">
                  <c:v>120</c:v>
                </c:pt>
                <c:pt idx="963">
                  <c:v>120</c:v>
                </c:pt>
                <c:pt idx="964">
                  <c:v>120</c:v>
                </c:pt>
                <c:pt idx="965">
                  <c:v>120</c:v>
                </c:pt>
                <c:pt idx="966">
                  <c:v>120</c:v>
                </c:pt>
                <c:pt idx="967">
                  <c:v>120</c:v>
                </c:pt>
                <c:pt idx="968">
                  <c:v>120</c:v>
                </c:pt>
                <c:pt idx="969">
                  <c:v>120</c:v>
                </c:pt>
                <c:pt idx="970">
                  <c:v>120</c:v>
                </c:pt>
                <c:pt idx="971">
                  <c:v>120</c:v>
                </c:pt>
                <c:pt idx="972">
                  <c:v>120</c:v>
                </c:pt>
                <c:pt idx="973">
                  <c:v>120</c:v>
                </c:pt>
                <c:pt idx="974">
                  <c:v>120</c:v>
                </c:pt>
                <c:pt idx="975">
                  <c:v>120</c:v>
                </c:pt>
                <c:pt idx="976">
                  <c:v>120</c:v>
                </c:pt>
                <c:pt idx="977">
                  <c:v>120</c:v>
                </c:pt>
                <c:pt idx="978">
                  <c:v>120</c:v>
                </c:pt>
                <c:pt idx="979">
                  <c:v>120</c:v>
                </c:pt>
                <c:pt idx="980">
                  <c:v>120</c:v>
                </c:pt>
                <c:pt idx="981">
                  <c:v>120</c:v>
                </c:pt>
                <c:pt idx="982">
                  <c:v>120</c:v>
                </c:pt>
                <c:pt idx="983">
                  <c:v>120</c:v>
                </c:pt>
                <c:pt idx="984">
                  <c:v>120</c:v>
                </c:pt>
                <c:pt idx="985">
                  <c:v>120</c:v>
                </c:pt>
                <c:pt idx="986">
                  <c:v>120</c:v>
                </c:pt>
                <c:pt idx="987">
                  <c:v>120</c:v>
                </c:pt>
                <c:pt idx="988">
                  <c:v>120</c:v>
                </c:pt>
                <c:pt idx="989">
                  <c:v>120</c:v>
                </c:pt>
                <c:pt idx="990">
                  <c:v>120</c:v>
                </c:pt>
                <c:pt idx="991">
                  <c:v>120</c:v>
                </c:pt>
                <c:pt idx="992">
                  <c:v>120</c:v>
                </c:pt>
                <c:pt idx="993">
                  <c:v>120</c:v>
                </c:pt>
                <c:pt idx="994">
                  <c:v>120</c:v>
                </c:pt>
                <c:pt idx="995">
                  <c:v>120</c:v>
                </c:pt>
                <c:pt idx="996">
                  <c:v>120</c:v>
                </c:pt>
                <c:pt idx="997">
                  <c:v>120</c:v>
                </c:pt>
                <c:pt idx="998">
                  <c:v>120</c:v>
                </c:pt>
                <c:pt idx="999">
                  <c:v>120</c:v>
                </c:pt>
                <c:pt idx="1000">
                  <c:v>120</c:v>
                </c:pt>
                <c:pt idx="1001">
                  <c:v>120</c:v>
                </c:pt>
                <c:pt idx="1002">
                  <c:v>120</c:v>
                </c:pt>
                <c:pt idx="1003">
                  <c:v>120</c:v>
                </c:pt>
                <c:pt idx="1004">
                  <c:v>120</c:v>
                </c:pt>
                <c:pt idx="1005">
                  <c:v>120</c:v>
                </c:pt>
                <c:pt idx="1006">
                  <c:v>120</c:v>
                </c:pt>
                <c:pt idx="1007">
                  <c:v>120</c:v>
                </c:pt>
                <c:pt idx="1008">
                  <c:v>120</c:v>
                </c:pt>
                <c:pt idx="1009">
                  <c:v>120</c:v>
                </c:pt>
                <c:pt idx="1010">
                  <c:v>120</c:v>
                </c:pt>
                <c:pt idx="1011">
                  <c:v>120</c:v>
                </c:pt>
                <c:pt idx="1012">
                  <c:v>120</c:v>
                </c:pt>
                <c:pt idx="1013">
                  <c:v>120</c:v>
                </c:pt>
                <c:pt idx="1014">
                  <c:v>120</c:v>
                </c:pt>
                <c:pt idx="1015">
                  <c:v>120</c:v>
                </c:pt>
                <c:pt idx="1016">
                  <c:v>120</c:v>
                </c:pt>
                <c:pt idx="1017">
                  <c:v>120</c:v>
                </c:pt>
                <c:pt idx="1018">
                  <c:v>120</c:v>
                </c:pt>
                <c:pt idx="1019">
                  <c:v>120</c:v>
                </c:pt>
                <c:pt idx="1020">
                  <c:v>120</c:v>
                </c:pt>
                <c:pt idx="1021">
                  <c:v>120</c:v>
                </c:pt>
                <c:pt idx="1022">
                  <c:v>120</c:v>
                </c:pt>
                <c:pt idx="1023">
                  <c:v>120</c:v>
                </c:pt>
                <c:pt idx="1024">
                  <c:v>120</c:v>
                </c:pt>
                <c:pt idx="1025">
                  <c:v>120</c:v>
                </c:pt>
                <c:pt idx="1026">
                  <c:v>120</c:v>
                </c:pt>
                <c:pt idx="1027">
                  <c:v>120</c:v>
                </c:pt>
                <c:pt idx="1028">
                  <c:v>120</c:v>
                </c:pt>
                <c:pt idx="1029">
                  <c:v>120</c:v>
                </c:pt>
                <c:pt idx="1030">
                  <c:v>120</c:v>
                </c:pt>
                <c:pt idx="1031">
                  <c:v>120</c:v>
                </c:pt>
                <c:pt idx="1032">
                  <c:v>120</c:v>
                </c:pt>
                <c:pt idx="1033">
                  <c:v>120</c:v>
                </c:pt>
                <c:pt idx="1034">
                  <c:v>120</c:v>
                </c:pt>
                <c:pt idx="1035">
                  <c:v>120</c:v>
                </c:pt>
                <c:pt idx="1036">
                  <c:v>120</c:v>
                </c:pt>
                <c:pt idx="1037">
                  <c:v>120</c:v>
                </c:pt>
                <c:pt idx="1038">
                  <c:v>120</c:v>
                </c:pt>
                <c:pt idx="1039">
                  <c:v>120</c:v>
                </c:pt>
                <c:pt idx="1040">
                  <c:v>120</c:v>
                </c:pt>
                <c:pt idx="1041">
                  <c:v>120</c:v>
                </c:pt>
                <c:pt idx="1042">
                  <c:v>120</c:v>
                </c:pt>
                <c:pt idx="1043">
                  <c:v>120</c:v>
                </c:pt>
                <c:pt idx="1044">
                  <c:v>120</c:v>
                </c:pt>
                <c:pt idx="1045">
                  <c:v>120</c:v>
                </c:pt>
                <c:pt idx="1046">
                  <c:v>120</c:v>
                </c:pt>
                <c:pt idx="1047">
                  <c:v>120</c:v>
                </c:pt>
                <c:pt idx="1048">
                  <c:v>120</c:v>
                </c:pt>
                <c:pt idx="1049">
                  <c:v>120</c:v>
                </c:pt>
                <c:pt idx="1050">
                  <c:v>120</c:v>
                </c:pt>
                <c:pt idx="1051">
                  <c:v>120</c:v>
                </c:pt>
                <c:pt idx="1052">
                  <c:v>120</c:v>
                </c:pt>
                <c:pt idx="1053">
                  <c:v>120</c:v>
                </c:pt>
                <c:pt idx="1054">
                  <c:v>120</c:v>
                </c:pt>
                <c:pt idx="1055">
                  <c:v>120</c:v>
                </c:pt>
                <c:pt idx="1056">
                  <c:v>120</c:v>
                </c:pt>
                <c:pt idx="1057">
                  <c:v>120</c:v>
                </c:pt>
                <c:pt idx="1058">
                  <c:v>120</c:v>
                </c:pt>
                <c:pt idx="1059">
                  <c:v>120</c:v>
                </c:pt>
                <c:pt idx="1060">
                  <c:v>120</c:v>
                </c:pt>
                <c:pt idx="1061">
                  <c:v>120</c:v>
                </c:pt>
                <c:pt idx="1062">
                  <c:v>120</c:v>
                </c:pt>
                <c:pt idx="1063">
                  <c:v>120</c:v>
                </c:pt>
                <c:pt idx="1064">
                  <c:v>120</c:v>
                </c:pt>
                <c:pt idx="1065">
                  <c:v>120</c:v>
                </c:pt>
                <c:pt idx="1066">
                  <c:v>120</c:v>
                </c:pt>
                <c:pt idx="1067">
                  <c:v>120</c:v>
                </c:pt>
                <c:pt idx="1068">
                  <c:v>120</c:v>
                </c:pt>
                <c:pt idx="1069">
                  <c:v>120</c:v>
                </c:pt>
                <c:pt idx="1070">
                  <c:v>120</c:v>
                </c:pt>
                <c:pt idx="1071">
                  <c:v>120</c:v>
                </c:pt>
                <c:pt idx="1072">
                  <c:v>120</c:v>
                </c:pt>
                <c:pt idx="1073">
                  <c:v>120</c:v>
                </c:pt>
                <c:pt idx="1074">
                  <c:v>120</c:v>
                </c:pt>
                <c:pt idx="1075">
                  <c:v>120</c:v>
                </c:pt>
                <c:pt idx="1076">
                  <c:v>120</c:v>
                </c:pt>
                <c:pt idx="1077">
                  <c:v>120</c:v>
                </c:pt>
                <c:pt idx="1078">
                  <c:v>120</c:v>
                </c:pt>
                <c:pt idx="1079">
                  <c:v>120</c:v>
                </c:pt>
                <c:pt idx="1080">
                  <c:v>120</c:v>
                </c:pt>
                <c:pt idx="1081">
                  <c:v>120</c:v>
                </c:pt>
                <c:pt idx="1082">
                  <c:v>120</c:v>
                </c:pt>
                <c:pt idx="1083">
                  <c:v>120</c:v>
                </c:pt>
                <c:pt idx="1084">
                  <c:v>120</c:v>
                </c:pt>
                <c:pt idx="1085">
                  <c:v>120</c:v>
                </c:pt>
                <c:pt idx="1086">
                  <c:v>120</c:v>
                </c:pt>
                <c:pt idx="1087">
                  <c:v>120</c:v>
                </c:pt>
                <c:pt idx="1088">
                  <c:v>120</c:v>
                </c:pt>
                <c:pt idx="1089">
                  <c:v>120</c:v>
                </c:pt>
                <c:pt idx="1090">
                  <c:v>120</c:v>
                </c:pt>
                <c:pt idx="1091">
                  <c:v>120</c:v>
                </c:pt>
                <c:pt idx="1092">
                  <c:v>120</c:v>
                </c:pt>
                <c:pt idx="1093">
                  <c:v>120</c:v>
                </c:pt>
                <c:pt idx="1094">
                  <c:v>120</c:v>
                </c:pt>
                <c:pt idx="1095">
                  <c:v>120</c:v>
                </c:pt>
                <c:pt idx="1096">
                  <c:v>120</c:v>
                </c:pt>
                <c:pt idx="1097">
                  <c:v>120</c:v>
                </c:pt>
                <c:pt idx="1098">
                  <c:v>120</c:v>
                </c:pt>
                <c:pt idx="1099">
                  <c:v>120</c:v>
                </c:pt>
                <c:pt idx="1100">
                  <c:v>120</c:v>
                </c:pt>
                <c:pt idx="1101">
                  <c:v>120</c:v>
                </c:pt>
                <c:pt idx="1102">
                  <c:v>120</c:v>
                </c:pt>
                <c:pt idx="1103">
                  <c:v>120</c:v>
                </c:pt>
                <c:pt idx="1104">
                  <c:v>120</c:v>
                </c:pt>
                <c:pt idx="1105">
                  <c:v>120</c:v>
                </c:pt>
                <c:pt idx="1106">
                  <c:v>120</c:v>
                </c:pt>
                <c:pt idx="1107">
                  <c:v>120</c:v>
                </c:pt>
                <c:pt idx="1108">
                  <c:v>120</c:v>
                </c:pt>
                <c:pt idx="1109">
                  <c:v>120</c:v>
                </c:pt>
                <c:pt idx="1110">
                  <c:v>120</c:v>
                </c:pt>
                <c:pt idx="1111">
                  <c:v>120</c:v>
                </c:pt>
                <c:pt idx="1112">
                  <c:v>120</c:v>
                </c:pt>
                <c:pt idx="1113">
                  <c:v>120</c:v>
                </c:pt>
                <c:pt idx="1114">
                  <c:v>120</c:v>
                </c:pt>
                <c:pt idx="1115">
                  <c:v>120</c:v>
                </c:pt>
                <c:pt idx="1116">
                  <c:v>120</c:v>
                </c:pt>
                <c:pt idx="1117">
                  <c:v>120</c:v>
                </c:pt>
                <c:pt idx="1118">
                  <c:v>120</c:v>
                </c:pt>
                <c:pt idx="1119">
                  <c:v>120</c:v>
                </c:pt>
                <c:pt idx="1120">
                  <c:v>120</c:v>
                </c:pt>
                <c:pt idx="1121">
                  <c:v>120</c:v>
                </c:pt>
                <c:pt idx="1122">
                  <c:v>120</c:v>
                </c:pt>
                <c:pt idx="1123">
                  <c:v>120</c:v>
                </c:pt>
                <c:pt idx="1124">
                  <c:v>120</c:v>
                </c:pt>
                <c:pt idx="1125">
                  <c:v>120</c:v>
                </c:pt>
                <c:pt idx="1126">
                  <c:v>120</c:v>
                </c:pt>
                <c:pt idx="1127">
                  <c:v>120</c:v>
                </c:pt>
                <c:pt idx="1128">
                  <c:v>120</c:v>
                </c:pt>
                <c:pt idx="1129">
                  <c:v>120</c:v>
                </c:pt>
                <c:pt idx="1130">
                  <c:v>120</c:v>
                </c:pt>
                <c:pt idx="1131">
                  <c:v>120</c:v>
                </c:pt>
                <c:pt idx="1132">
                  <c:v>120</c:v>
                </c:pt>
                <c:pt idx="1133">
                  <c:v>120</c:v>
                </c:pt>
                <c:pt idx="1134">
                  <c:v>120</c:v>
                </c:pt>
                <c:pt idx="1135">
                  <c:v>120</c:v>
                </c:pt>
                <c:pt idx="1136">
                  <c:v>120</c:v>
                </c:pt>
                <c:pt idx="1137">
                  <c:v>120</c:v>
                </c:pt>
                <c:pt idx="1138">
                  <c:v>120</c:v>
                </c:pt>
                <c:pt idx="1139">
                  <c:v>120</c:v>
                </c:pt>
                <c:pt idx="1140">
                  <c:v>120</c:v>
                </c:pt>
                <c:pt idx="1141">
                  <c:v>120</c:v>
                </c:pt>
                <c:pt idx="1142">
                  <c:v>120</c:v>
                </c:pt>
                <c:pt idx="1143">
                  <c:v>120</c:v>
                </c:pt>
                <c:pt idx="1144">
                  <c:v>120</c:v>
                </c:pt>
                <c:pt idx="1145">
                  <c:v>120</c:v>
                </c:pt>
                <c:pt idx="1146">
                  <c:v>120</c:v>
                </c:pt>
                <c:pt idx="1147">
                  <c:v>120</c:v>
                </c:pt>
                <c:pt idx="1148">
                  <c:v>120</c:v>
                </c:pt>
                <c:pt idx="1149">
                  <c:v>120</c:v>
                </c:pt>
                <c:pt idx="1150">
                  <c:v>120</c:v>
                </c:pt>
                <c:pt idx="1151">
                  <c:v>120</c:v>
                </c:pt>
                <c:pt idx="1152">
                  <c:v>120</c:v>
                </c:pt>
                <c:pt idx="1153">
                  <c:v>120</c:v>
                </c:pt>
                <c:pt idx="1154">
                  <c:v>120</c:v>
                </c:pt>
                <c:pt idx="1155">
                  <c:v>120</c:v>
                </c:pt>
                <c:pt idx="1156">
                  <c:v>120</c:v>
                </c:pt>
                <c:pt idx="1157">
                  <c:v>120</c:v>
                </c:pt>
                <c:pt idx="1158">
                  <c:v>120</c:v>
                </c:pt>
                <c:pt idx="1159">
                  <c:v>120</c:v>
                </c:pt>
                <c:pt idx="1160">
                  <c:v>120</c:v>
                </c:pt>
                <c:pt idx="1161">
                  <c:v>120</c:v>
                </c:pt>
                <c:pt idx="1162">
                  <c:v>120</c:v>
                </c:pt>
                <c:pt idx="1163">
                  <c:v>120</c:v>
                </c:pt>
                <c:pt idx="1164">
                  <c:v>120</c:v>
                </c:pt>
                <c:pt idx="1165">
                  <c:v>120</c:v>
                </c:pt>
                <c:pt idx="1166">
                  <c:v>120</c:v>
                </c:pt>
                <c:pt idx="1167">
                  <c:v>120</c:v>
                </c:pt>
                <c:pt idx="1168">
                  <c:v>120</c:v>
                </c:pt>
                <c:pt idx="1169">
                  <c:v>120</c:v>
                </c:pt>
                <c:pt idx="1170">
                  <c:v>120</c:v>
                </c:pt>
                <c:pt idx="1171">
                  <c:v>120</c:v>
                </c:pt>
                <c:pt idx="1172">
                  <c:v>120</c:v>
                </c:pt>
                <c:pt idx="1173">
                  <c:v>120</c:v>
                </c:pt>
                <c:pt idx="1174">
                  <c:v>120</c:v>
                </c:pt>
                <c:pt idx="1175">
                  <c:v>120</c:v>
                </c:pt>
                <c:pt idx="1176">
                  <c:v>120</c:v>
                </c:pt>
                <c:pt idx="1177">
                  <c:v>120</c:v>
                </c:pt>
                <c:pt idx="1178">
                  <c:v>120</c:v>
                </c:pt>
                <c:pt idx="1179">
                  <c:v>120</c:v>
                </c:pt>
                <c:pt idx="1180">
                  <c:v>120</c:v>
                </c:pt>
                <c:pt idx="1181">
                  <c:v>120</c:v>
                </c:pt>
                <c:pt idx="1182">
                  <c:v>120</c:v>
                </c:pt>
                <c:pt idx="1183">
                  <c:v>120</c:v>
                </c:pt>
                <c:pt idx="1184">
                  <c:v>120</c:v>
                </c:pt>
                <c:pt idx="1185">
                  <c:v>120</c:v>
                </c:pt>
                <c:pt idx="1186">
                  <c:v>120</c:v>
                </c:pt>
                <c:pt idx="1187">
                  <c:v>120</c:v>
                </c:pt>
                <c:pt idx="1188">
                  <c:v>120</c:v>
                </c:pt>
                <c:pt idx="1189">
                  <c:v>120</c:v>
                </c:pt>
                <c:pt idx="1190">
                  <c:v>120</c:v>
                </c:pt>
                <c:pt idx="1191">
                  <c:v>120</c:v>
                </c:pt>
                <c:pt idx="1192">
                  <c:v>120</c:v>
                </c:pt>
                <c:pt idx="1193">
                  <c:v>120</c:v>
                </c:pt>
                <c:pt idx="1194">
                  <c:v>120</c:v>
                </c:pt>
                <c:pt idx="1195">
                  <c:v>120</c:v>
                </c:pt>
                <c:pt idx="1196">
                  <c:v>120</c:v>
                </c:pt>
                <c:pt idx="1197">
                  <c:v>120</c:v>
                </c:pt>
                <c:pt idx="1198">
                  <c:v>120</c:v>
                </c:pt>
                <c:pt idx="1199">
                  <c:v>120</c:v>
                </c:pt>
                <c:pt idx="1200">
                  <c:v>120</c:v>
                </c:pt>
                <c:pt idx="1201">
                  <c:v>120</c:v>
                </c:pt>
                <c:pt idx="1202">
                  <c:v>120</c:v>
                </c:pt>
                <c:pt idx="1203">
                  <c:v>120</c:v>
                </c:pt>
                <c:pt idx="1204">
                  <c:v>120</c:v>
                </c:pt>
                <c:pt idx="1205">
                  <c:v>120</c:v>
                </c:pt>
                <c:pt idx="1206">
                  <c:v>120</c:v>
                </c:pt>
                <c:pt idx="1207">
                  <c:v>120</c:v>
                </c:pt>
                <c:pt idx="1208">
                  <c:v>120</c:v>
                </c:pt>
                <c:pt idx="1209">
                  <c:v>120</c:v>
                </c:pt>
                <c:pt idx="1210">
                  <c:v>120</c:v>
                </c:pt>
                <c:pt idx="1211">
                  <c:v>120</c:v>
                </c:pt>
                <c:pt idx="1212">
                  <c:v>120</c:v>
                </c:pt>
                <c:pt idx="1213">
                  <c:v>120</c:v>
                </c:pt>
                <c:pt idx="1214">
                  <c:v>120</c:v>
                </c:pt>
                <c:pt idx="1215">
                  <c:v>120</c:v>
                </c:pt>
                <c:pt idx="1216">
                  <c:v>120</c:v>
                </c:pt>
                <c:pt idx="1217">
                  <c:v>120</c:v>
                </c:pt>
                <c:pt idx="1218">
                  <c:v>120</c:v>
                </c:pt>
                <c:pt idx="1219">
                  <c:v>120</c:v>
                </c:pt>
                <c:pt idx="1220">
                  <c:v>120</c:v>
                </c:pt>
                <c:pt idx="1221">
                  <c:v>120</c:v>
                </c:pt>
                <c:pt idx="1222">
                  <c:v>120</c:v>
                </c:pt>
                <c:pt idx="1223">
                  <c:v>120</c:v>
                </c:pt>
                <c:pt idx="1224">
                  <c:v>120</c:v>
                </c:pt>
                <c:pt idx="1225">
                  <c:v>120</c:v>
                </c:pt>
                <c:pt idx="1226">
                  <c:v>120</c:v>
                </c:pt>
                <c:pt idx="1227">
                  <c:v>120</c:v>
                </c:pt>
                <c:pt idx="1228">
                  <c:v>120</c:v>
                </c:pt>
                <c:pt idx="1229">
                  <c:v>120</c:v>
                </c:pt>
                <c:pt idx="1230">
                  <c:v>120</c:v>
                </c:pt>
                <c:pt idx="1231">
                  <c:v>120</c:v>
                </c:pt>
                <c:pt idx="1232">
                  <c:v>120</c:v>
                </c:pt>
                <c:pt idx="1233">
                  <c:v>120</c:v>
                </c:pt>
                <c:pt idx="1234">
                  <c:v>120</c:v>
                </c:pt>
                <c:pt idx="1235">
                  <c:v>120</c:v>
                </c:pt>
                <c:pt idx="1236">
                  <c:v>120</c:v>
                </c:pt>
                <c:pt idx="1237">
                  <c:v>120</c:v>
                </c:pt>
                <c:pt idx="1238">
                  <c:v>120</c:v>
                </c:pt>
                <c:pt idx="1239">
                  <c:v>120</c:v>
                </c:pt>
                <c:pt idx="1240">
                  <c:v>120</c:v>
                </c:pt>
                <c:pt idx="1241">
                  <c:v>120</c:v>
                </c:pt>
                <c:pt idx="1242">
                  <c:v>120</c:v>
                </c:pt>
                <c:pt idx="1243">
                  <c:v>120</c:v>
                </c:pt>
                <c:pt idx="1244">
                  <c:v>120</c:v>
                </c:pt>
                <c:pt idx="1245">
                  <c:v>120</c:v>
                </c:pt>
                <c:pt idx="1246">
                  <c:v>120</c:v>
                </c:pt>
                <c:pt idx="1247">
                  <c:v>120</c:v>
                </c:pt>
                <c:pt idx="1248">
                  <c:v>120</c:v>
                </c:pt>
                <c:pt idx="1249">
                  <c:v>120</c:v>
                </c:pt>
                <c:pt idx="1250">
                  <c:v>120</c:v>
                </c:pt>
                <c:pt idx="1251">
                  <c:v>120</c:v>
                </c:pt>
                <c:pt idx="1252">
                  <c:v>120</c:v>
                </c:pt>
                <c:pt idx="1253">
                  <c:v>120</c:v>
                </c:pt>
                <c:pt idx="1254">
                  <c:v>120</c:v>
                </c:pt>
                <c:pt idx="1255">
                  <c:v>120</c:v>
                </c:pt>
                <c:pt idx="1256">
                  <c:v>120</c:v>
                </c:pt>
                <c:pt idx="1257">
                  <c:v>120</c:v>
                </c:pt>
                <c:pt idx="1258">
                  <c:v>120</c:v>
                </c:pt>
                <c:pt idx="1259">
                  <c:v>120</c:v>
                </c:pt>
                <c:pt idx="1260">
                  <c:v>120</c:v>
                </c:pt>
                <c:pt idx="1261">
                  <c:v>120</c:v>
                </c:pt>
                <c:pt idx="1262">
                  <c:v>120</c:v>
                </c:pt>
                <c:pt idx="1263">
                  <c:v>120</c:v>
                </c:pt>
                <c:pt idx="1264">
                  <c:v>120</c:v>
                </c:pt>
                <c:pt idx="1265">
                  <c:v>120</c:v>
                </c:pt>
                <c:pt idx="1266">
                  <c:v>120</c:v>
                </c:pt>
                <c:pt idx="1267">
                  <c:v>120</c:v>
                </c:pt>
                <c:pt idx="1268">
                  <c:v>120</c:v>
                </c:pt>
                <c:pt idx="1269">
                  <c:v>120</c:v>
                </c:pt>
                <c:pt idx="1270">
                  <c:v>120</c:v>
                </c:pt>
                <c:pt idx="1271">
                  <c:v>120</c:v>
                </c:pt>
                <c:pt idx="1272">
                  <c:v>120</c:v>
                </c:pt>
                <c:pt idx="1273">
                  <c:v>120</c:v>
                </c:pt>
                <c:pt idx="1274">
                  <c:v>120</c:v>
                </c:pt>
                <c:pt idx="1275">
                  <c:v>120</c:v>
                </c:pt>
                <c:pt idx="1276">
                  <c:v>120</c:v>
                </c:pt>
                <c:pt idx="1277">
                  <c:v>120</c:v>
                </c:pt>
                <c:pt idx="1278">
                  <c:v>120</c:v>
                </c:pt>
                <c:pt idx="1279">
                  <c:v>120</c:v>
                </c:pt>
                <c:pt idx="1280">
                  <c:v>120</c:v>
                </c:pt>
                <c:pt idx="1281">
                  <c:v>120</c:v>
                </c:pt>
                <c:pt idx="1282">
                  <c:v>120</c:v>
                </c:pt>
                <c:pt idx="1283">
                  <c:v>120</c:v>
                </c:pt>
                <c:pt idx="1284">
                  <c:v>120</c:v>
                </c:pt>
                <c:pt idx="1285">
                  <c:v>120</c:v>
                </c:pt>
                <c:pt idx="1286">
                  <c:v>120</c:v>
                </c:pt>
                <c:pt idx="1287">
                  <c:v>120</c:v>
                </c:pt>
                <c:pt idx="1288">
                  <c:v>120</c:v>
                </c:pt>
                <c:pt idx="1289">
                  <c:v>120</c:v>
                </c:pt>
                <c:pt idx="1290">
                  <c:v>120</c:v>
                </c:pt>
                <c:pt idx="1291">
                  <c:v>120</c:v>
                </c:pt>
                <c:pt idx="1292">
                  <c:v>120</c:v>
                </c:pt>
                <c:pt idx="1293">
                  <c:v>120</c:v>
                </c:pt>
                <c:pt idx="1294">
                  <c:v>120</c:v>
                </c:pt>
                <c:pt idx="1295">
                  <c:v>120</c:v>
                </c:pt>
                <c:pt idx="1296">
                  <c:v>120</c:v>
                </c:pt>
                <c:pt idx="1297">
                  <c:v>120</c:v>
                </c:pt>
                <c:pt idx="1298">
                  <c:v>120</c:v>
                </c:pt>
                <c:pt idx="1299">
                  <c:v>120</c:v>
                </c:pt>
                <c:pt idx="1300">
                  <c:v>120</c:v>
                </c:pt>
                <c:pt idx="1301">
                  <c:v>120</c:v>
                </c:pt>
                <c:pt idx="1302">
                  <c:v>120</c:v>
                </c:pt>
                <c:pt idx="1303">
                  <c:v>120</c:v>
                </c:pt>
                <c:pt idx="1304">
                  <c:v>120</c:v>
                </c:pt>
                <c:pt idx="1305">
                  <c:v>120</c:v>
                </c:pt>
                <c:pt idx="1306">
                  <c:v>120</c:v>
                </c:pt>
                <c:pt idx="1307">
                  <c:v>120</c:v>
                </c:pt>
                <c:pt idx="1308">
                  <c:v>120</c:v>
                </c:pt>
                <c:pt idx="1309">
                  <c:v>120</c:v>
                </c:pt>
                <c:pt idx="1310">
                  <c:v>120</c:v>
                </c:pt>
                <c:pt idx="1311">
                  <c:v>120</c:v>
                </c:pt>
                <c:pt idx="1312">
                  <c:v>120</c:v>
                </c:pt>
                <c:pt idx="1313">
                  <c:v>120</c:v>
                </c:pt>
                <c:pt idx="1314">
                  <c:v>120</c:v>
                </c:pt>
                <c:pt idx="1315">
                  <c:v>120</c:v>
                </c:pt>
                <c:pt idx="1316">
                  <c:v>120</c:v>
                </c:pt>
                <c:pt idx="1317">
                  <c:v>120</c:v>
                </c:pt>
                <c:pt idx="1318">
                  <c:v>120</c:v>
                </c:pt>
                <c:pt idx="1319">
                  <c:v>120</c:v>
                </c:pt>
                <c:pt idx="1320">
                  <c:v>120</c:v>
                </c:pt>
                <c:pt idx="1321">
                  <c:v>120</c:v>
                </c:pt>
                <c:pt idx="1322">
                  <c:v>120</c:v>
                </c:pt>
                <c:pt idx="1323">
                  <c:v>120</c:v>
                </c:pt>
                <c:pt idx="1324">
                  <c:v>120</c:v>
                </c:pt>
                <c:pt idx="1325">
                  <c:v>120</c:v>
                </c:pt>
                <c:pt idx="1326">
                  <c:v>120</c:v>
                </c:pt>
                <c:pt idx="1327">
                  <c:v>120</c:v>
                </c:pt>
                <c:pt idx="1328">
                  <c:v>120</c:v>
                </c:pt>
                <c:pt idx="1329">
                  <c:v>120</c:v>
                </c:pt>
                <c:pt idx="1330">
                  <c:v>120</c:v>
                </c:pt>
                <c:pt idx="1331">
                  <c:v>120</c:v>
                </c:pt>
                <c:pt idx="1332">
                  <c:v>120</c:v>
                </c:pt>
                <c:pt idx="1333">
                  <c:v>120</c:v>
                </c:pt>
                <c:pt idx="1334">
                  <c:v>120</c:v>
                </c:pt>
                <c:pt idx="1335">
                  <c:v>120</c:v>
                </c:pt>
                <c:pt idx="1336">
                  <c:v>120</c:v>
                </c:pt>
                <c:pt idx="1337">
                  <c:v>120</c:v>
                </c:pt>
                <c:pt idx="1338">
                  <c:v>120</c:v>
                </c:pt>
                <c:pt idx="1339">
                  <c:v>120</c:v>
                </c:pt>
                <c:pt idx="1340">
                  <c:v>120</c:v>
                </c:pt>
                <c:pt idx="1341">
                  <c:v>120</c:v>
                </c:pt>
                <c:pt idx="1342">
                  <c:v>120</c:v>
                </c:pt>
                <c:pt idx="1343">
                  <c:v>120</c:v>
                </c:pt>
                <c:pt idx="1344">
                  <c:v>120</c:v>
                </c:pt>
                <c:pt idx="1345">
                  <c:v>120</c:v>
                </c:pt>
                <c:pt idx="1346">
                  <c:v>120</c:v>
                </c:pt>
                <c:pt idx="1347">
                  <c:v>120</c:v>
                </c:pt>
                <c:pt idx="1348">
                  <c:v>120</c:v>
                </c:pt>
                <c:pt idx="1349">
                  <c:v>120</c:v>
                </c:pt>
                <c:pt idx="1350">
                  <c:v>120</c:v>
                </c:pt>
                <c:pt idx="1351">
                  <c:v>120</c:v>
                </c:pt>
                <c:pt idx="1352">
                  <c:v>120</c:v>
                </c:pt>
                <c:pt idx="1353">
                  <c:v>120</c:v>
                </c:pt>
                <c:pt idx="1354">
                  <c:v>120</c:v>
                </c:pt>
                <c:pt idx="1355">
                  <c:v>120</c:v>
                </c:pt>
                <c:pt idx="1356">
                  <c:v>120</c:v>
                </c:pt>
                <c:pt idx="1357">
                  <c:v>120</c:v>
                </c:pt>
                <c:pt idx="1358">
                  <c:v>120</c:v>
                </c:pt>
                <c:pt idx="1359">
                  <c:v>120</c:v>
                </c:pt>
                <c:pt idx="1360">
                  <c:v>120</c:v>
                </c:pt>
                <c:pt idx="1361">
                  <c:v>120</c:v>
                </c:pt>
                <c:pt idx="1362">
                  <c:v>120</c:v>
                </c:pt>
                <c:pt idx="1363">
                  <c:v>120</c:v>
                </c:pt>
                <c:pt idx="1364">
                  <c:v>120</c:v>
                </c:pt>
                <c:pt idx="1365">
                  <c:v>120</c:v>
                </c:pt>
                <c:pt idx="1366">
                  <c:v>120</c:v>
                </c:pt>
                <c:pt idx="1367">
                  <c:v>120</c:v>
                </c:pt>
                <c:pt idx="1368">
                  <c:v>120</c:v>
                </c:pt>
                <c:pt idx="1369">
                  <c:v>120</c:v>
                </c:pt>
                <c:pt idx="1370">
                  <c:v>120</c:v>
                </c:pt>
                <c:pt idx="1371">
                  <c:v>120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652-4717-A6BF-33D18BE0E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699743"/>
        <c:axId val="1690698783"/>
        <c:extLst>
          <c:ext xmlns:c15="http://schemas.microsoft.com/office/drawing/2012/chart" uri="{02D57815-91ED-43cb-92C2-25804820EDAC}">
            <c15:filteredScatterSeries>
              <c15:ser>
                <c:idx val="3"/>
                <c:order val="8"/>
                <c:tx>
                  <c:strRef>
                    <c:extLst>
                      <c:ext uri="{02D57815-91ED-43cb-92C2-25804820EDAC}">
                        <c15:formulaRef>
                          <c15:sqref>TS!$AC$1</c15:sqref>
                        </c15:formulaRef>
                      </c:ext>
                    </c:extLst>
                    <c:strCache>
                      <c:ptCount val="1"/>
                      <c:pt idx="0">
                        <c:v>Fill Pressure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TS!$N$2:$N$177</c15:sqref>
                        </c15:formulaRef>
                      </c:ext>
                    </c:extLst>
                    <c:numCache>
                      <c:formatCode>#\+##</c:formatCode>
                      <c:ptCount val="176"/>
                      <c:pt idx="0">
                        <c:v>95899.92</c:v>
                      </c:pt>
                      <c:pt idx="1">
                        <c:v>95999.92</c:v>
                      </c:pt>
                      <c:pt idx="2">
                        <c:v>96099.92</c:v>
                      </c:pt>
                      <c:pt idx="3">
                        <c:v>96199.92</c:v>
                      </c:pt>
                      <c:pt idx="4">
                        <c:v>96299.92</c:v>
                      </c:pt>
                      <c:pt idx="5">
                        <c:v>96399.92</c:v>
                      </c:pt>
                      <c:pt idx="6">
                        <c:v>96499.92</c:v>
                      </c:pt>
                      <c:pt idx="7">
                        <c:v>96599.92</c:v>
                      </c:pt>
                      <c:pt idx="8">
                        <c:v>96699.92</c:v>
                      </c:pt>
                      <c:pt idx="9">
                        <c:v>96799.92</c:v>
                      </c:pt>
                      <c:pt idx="10">
                        <c:v>96899.92</c:v>
                      </c:pt>
                      <c:pt idx="11">
                        <c:v>96999.92</c:v>
                      </c:pt>
                      <c:pt idx="12">
                        <c:v>97099.92</c:v>
                      </c:pt>
                      <c:pt idx="13">
                        <c:v>97199.92</c:v>
                      </c:pt>
                      <c:pt idx="14">
                        <c:v>97299.92</c:v>
                      </c:pt>
                      <c:pt idx="15">
                        <c:v>97399.92</c:v>
                      </c:pt>
                      <c:pt idx="16">
                        <c:v>97499.92</c:v>
                      </c:pt>
                      <c:pt idx="17">
                        <c:v>97599.92</c:v>
                      </c:pt>
                      <c:pt idx="18">
                        <c:v>97699.92</c:v>
                      </c:pt>
                      <c:pt idx="19">
                        <c:v>97799.92</c:v>
                      </c:pt>
                      <c:pt idx="20">
                        <c:v>97899.92</c:v>
                      </c:pt>
                      <c:pt idx="21">
                        <c:v>97999.92</c:v>
                      </c:pt>
                      <c:pt idx="22">
                        <c:v>98099.92</c:v>
                      </c:pt>
                      <c:pt idx="23">
                        <c:v>98199.92</c:v>
                      </c:pt>
                      <c:pt idx="24">
                        <c:v>98299.92</c:v>
                      </c:pt>
                      <c:pt idx="25">
                        <c:v>98399.92</c:v>
                      </c:pt>
                      <c:pt idx="26">
                        <c:v>98499.92</c:v>
                      </c:pt>
                      <c:pt idx="27">
                        <c:v>98599.92</c:v>
                      </c:pt>
                      <c:pt idx="28">
                        <c:v>98699.92</c:v>
                      </c:pt>
                      <c:pt idx="29">
                        <c:v>98799.92</c:v>
                      </c:pt>
                      <c:pt idx="30">
                        <c:v>98899.92</c:v>
                      </c:pt>
                      <c:pt idx="31">
                        <c:v>98999.92</c:v>
                      </c:pt>
                      <c:pt idx="32">
                        <c:v>99099.92</c:v>
                      </c:pt>
                      <c:pt idx="33">
                        <c:v>99199.92</c:v>
                      </c:pt>
                      <c:pt idx="34">
                        <c:v>99299.92</c:v>
                      </c:pt>
                      <c:pt idx="35">
                        <c:v>99399.92</c:v>
                      </c:pt>
                      <c:pt idx="36">
                        <c:v>99499.92</c:v>
                      </c:pt>
                      <c:pt idx="37">
                        <c:v>99596.6</c:v>
                      </c:pt>
                      <c:pt idx="38">
                        <c:v>99599.92</c:v>
                      </c:pt>
                      <c:pt idx="39">
                        <c:v>99676.6</c:v>
                      </c:pt>
                      <c:pt idx="40">
                        <c:v>99699.92</c:v>
                      </c:pt>
                      <c:pt idx="41">
                        <c:v>99799.92</c:v>
                      </c:pt>
                      <c:pt idx="42">
                        <c:v>99899.92</c:v>
                      </c:pt>
                      <c:pt idx="43">
                        <c:v>99999.92</c:v>
                      </c:pt>
                      <c:pt idx="44">
                        <c:v>100093.7</c:v>
                      </c:pt>
                      <c:pt idx="45">
                        <c:v>100099.92</c:v>
                      </c:pt>
                      <c:pt idx="46">
                        <c:v>100199.92</c:v>
                      </c:pt>
                      <c:pt idx="47">
                        <c:v>100299.92</c:v>
                      </c:pt>
                      <c:pt idx="48">
                        <c:v>100399.92</c:v>
                      </c:pt>
                      <c:pt idx="49">
                        <c:v>100499.92</c:v>
                      </c:pt>
                      <c:pt idx="50">
                        <c:v>100599.92</c:v>
                      </c:pt>
                      <c:pt idx="51">
                        <c:v>100699.92</c:v>
                      </c:pt>
                      <c:pt idx="52">
                        <c:v>100799.92</c:v>
                      </c:pt>
                      <c:pt idx="53">
                        <c:v>100899.92</c:v>
                      </c:pt>
                      <c:pt idx="54">
                        <c:v>100999.92</c:v>
                      </c:pt>
                      <c:pt idx="55">
                        <c:v>101099.92</c:v>
                      </c:pt>
                      <c:pt idx="56">
                        <c:v>101199.92</c:v>
                      </c:pt>
                      <c:pt idx="57">
                        <c:v>101299.92</c:v>
                      </c:pt>
                      <c:pt idx="58">
                        <c:v>101399.92</c:v>
                      </c:pt>
                      <c:pt idx="59">
                        <c:v>101499.92</c:v>
                      </c:pt>
                      <c:pt idx="60">
                        <c:v>101599.92</c:v>
                      </c:pt>
                      <c:pt idx="61">
                        <c:v>101699.92</c:v>
                      </c:pt>
                      <c:pt idx="62">
                        <c:v>101799.92</c:v>
                      </c:pt>
                      <c:pt idx="63">
                        <c:v>101899.92</c:v>
                      </c:pt>
                      <c:pt idx="64">
                        <c:v>101918.7</c:v>
                      </c:pt>
                      <c:pt idx="65">
                        <c:v>101999.92</c:v>
                      </c:pt>
                      <c:pt idx="66">
                        <c:v>102099.92</c:v>
                      </c:pt>
                      <c:pt idx="67">
                        <c:v>102199.92</c:v>
                      </c:pt>
                      <c:pt idx="68">
                        <c:v>102299.92</c:v>
                      </c:pt>
                      <c:pt idx="69">
                        <c:v>102399.92</c:v>
                      </c:pt>
                      <c:pt idx="70">
                        <c:v>102499.92</c:v>
                      </c:pt>
                      <c:pt idx="71">
                        <c:v>102599.92</c:v>
                      </c:pt>
                      <c:pt idx="72">
                        <c:v>102699.92</c:v>
                      </c:pt>
                      <c:pt idx="73">
                        <c:v>102799.92</c:v>
                      </c:pt>
                      <c:pt idx="74">
                        <c:v>102899.92</c:v>
                      </c:pt>
                      <c:pt idx="75">
                        <c:v>102999.92</c:v>
                      </c:pt>
                      <c:pt idx="76">
                        <c:v>103099.92</c:v>
                      </c:pt>
                      <c:pt idx="77">
                        <c:v>103199.92</c:v>
                      </c:pt>
                      <c:pt idx="78">
                        <c:v>103299.92</c:v>
                      </c:pt>
                      <c:pt idx="79">
                        <c:v>103399.92</c:v>
                      </c:pt>
                      <c:pt idx="80">
                        <c:v>103499.92</c:v>
                      </c:pt>
                      <c:pt idx="81">
                        <c:v>103599.92</c:v>
                      </c:pt>
                      <c:pt idx="82">
                        <c:v>103699.92</c:v>
                      </c:pt>
                      <c:pt idx="83">
                        <c:v>103799.92</c:v>
                      </c:pt>
                      <c:pt idx="84">
                        <c:v>103809.3</c:v>
                      </c:pt>
                      <c:pt idx="85">
                        <c:v>103899.92</c:v>
                      </c:pt>
                      <c:pt idx="86">
                        <c:v>103929.3</c:v>
                      </c:pt>
                      <c:pt idx="87">
                        <c:v>103999.92</c:v>
                      </c:pt>
                      <c:pt idx="88">
                        <c:v>104099.92</c:v>
                      </c:pt>
                      <c:pt idx="89">
                        <c:v>104199.92</c:v>
                      </c:pt>
                      <c:pt idx="90">
                        <c:v>104299.92</c:v>
                      </c:pt>
                      <c:pt idx="91">
                        <c:v>104399.92</c:v>
                      </c:pt>
                      <c:pt idx="92">
                        <c:v>104499.92</c:v>
                      </c:pt>
                      <c:pt idx="93">
                        <c:v>104599.92</c:v>
                      </c:pt>
                      <c:pt idx="94">
                        <c:v>104699.92</c:v>
                      </c:pt>
                      <c:pt idx="95">
                        <c:v>104799.92</c:v>
                      </c:pt>
                      <c:pt idx="96">
                        <c:v>104899.92</c:v>
                      </c:pt>
                      <c:pt idx="97">
                        <c:v>104999.92</c:v>
                      </c:pt>
                      <c:pt idx="98">
                        <c:v>105099.92</c:v>
                      </c:pt>
                      <c:pt idx="99">
                        <c:v>105199.92</c:v>
                      </c:pt>
                      <c:pt idx="100">
                        <c:v>105299.92</c:v>
                      </c:pt>
                      <c:pt idx="101">
                        <c:v>105399.92</c:v>
                      </c:pt>
                      <c:pt idx="102">
                        <c:v>105499.92</c:v>
                      </c:pt>
                      <c:pt idx="103">
                        <c:v>105599.92</c:v>
                      </c:pt>
                      <c:pt idx="104">
                        <c:v>105699.92</c:v>
                      </c:pt>
                      <c:pt idx="105">
                        <c:v>105799.92</c:v>
                      </c:pt>
                      <c:pt idx="106">
                        <c:v>105899.92</c:v>
                      </c:pt>
                      <c:pt idx="107">
                        <c:v>105999.92</c:v>
                      </c:pt>
                      <c:pt idx="108">
                        <c:v>106099.92</c:v>
                      </c:pt>
                      <c:pt idx="109">
                        <c:v>106199.92</c:v>
                      </c:pt>
                      <c:pt idx="110">
                        <c:v>106299.92</c:v>
                      </c:pt>
                      <c:pt idx="111">
                        <c:v>106399.92</c:v>
                      </c:pt>
                      <c:pt idx="112">
                        <c:v>106499.92</c:v>
                      </c:pt>
                      <c:pt idx="113">
                        <c:v>106599.92</c:v>
                      </c:pt>
                      <c:pt idx="114">
                        <c:v>106699.92</c:v>
                      </c:pt>
                      <c:pt idx="115">
                        <c:v>106799.92</c:v>
                      </c:pt>
                      <c:pt idx="116">
                        <c:v>106899.92</c:v>
                      </c:pt>
                      <c:pt idx="117">
                        <c:v>106999.92</c:v>
                      </c:pt>
                      <c:pt idx="118">
                        <c:v>107099.92</c:v>
                      </c:pt>
                      <c:pt idx="119">
                        <c:v>107199.92</c:v>
                      </c:pt>
                      <c:pt idx="120">
                        <c:v>107299.92</c:v>
                      </c:pt>
                      <c:pt idx="121">
                        <c:v>107399.92</c:v>
                      </c:pt>
                      <c:pt idx="122">
                        <c:v>107499.92</c:v>
                      </c:pt>
                      <c:pt idx="123">
                        <c:v>107599.92</c:v>
                      </c:pt>
                      <c:pt idx="124">
                        <c:v>107699.92</c:v>
                      </c:pt>
                      <c:pt idx="125">
                        <c:v>107799.92</c:v>
                      </c:pt>
                      <c:pt idx="126">
                        <c:v>107899.92</c:v>
                      </c:pt>
                      <c:pt idx="127">
                        <c:v>107999.92</c:v>
                      </c:pt>
                      <c:pt idx="128">
                        <c:v>108099.92</c:v>
                      </c:pt>
                      <c:pt idx="129">
                        <c:v>108159.1</c:v>
                      </c:pt>
                      <c:pt idx="130">
                        <c:v>108199.92</c:v>
                      </c:pt>
                      <c:pt idx="131">
                        <c:v>108299.92</c:v>
                      </c:pt>
                      <c:pt idx="132">
                        <c:v>108399.92</c:v>
                      </c:pt>
                      <c:pt idx="133">
                        <c:v>108499.92</c:v>
                      </c:pt>
                      <c:pt idx="134">
                        <c:v>108599.92</c:v>
                      </c:pt>
                      <c:pt idx="135">
                        <c:v>108699.92</c:v>
                      </c:pt>
                      <c:pt idx="136">
                        <c:v>108799.92</c:v>
                      </c:pt>
                      <c:pt idx="137">
                        <c:v>108899.92</c:v>
                      </c:pt>
                      <c:pt idx="138">
                        <c:v>108999.92</c:v>
                      </c:pt>
                      <c:pt idx="139">
                        <c:v>109036</c:v>
                      </c:pt>
                      <c:pt idx="140">
                        <c:v>109099.92</c:v>
                      </c:pt>
                      <c:pt idx="141">
                        <c:v>109199.92</c:v>
                      </c:pt>
                      <c:pt idx="142">
                        <c:v>109299.92</c:v>
                      </c:pt>
                      <c:pt idx="143">
                        <c:v>109399.92</c:v>
                      </c:pt>
                      <c:pt idx="144">
                        <c:v>109421</c:v>
                      </c:pt>
                      <c:pt idx="145">
                        <c:v>109499.92</c:v>
                      </c:pt>
                      <c:pt idx="146">
                        <c:v>109599.92</c:v>
                      </c:pt>
                      <c:pt idx="147">
                        <c:v>109699.92</c:v>
                      </c:pt>
                      <c:pt idx="148">
                        <c:v>109703</c:v>
                      </c:pt>
                      <c:pt idx="149">
                        <c:v>109799.92</c:v>
                      </c:pt>
                      <c:pt idx="150">
                        <c:v>109899.92</c:v>
                      </c:pt>
                      <c:pt idx="151">
                        <c:v>109999.92</c:v>
                      </c:pt>
                      <c:pt idx="152">
                        <c:v>110099.92</c:v>
                      </c:pt>
                      <c:pt idx="153">
                        <c:v>110199.92</c:v>
                      </c:pt>
                      <c:pt idx="154">
                        <c:v>110299.92</c:v>
                      </c:pt>
                      <c:pt idx="155">
                        <c:v>110399.92</c:v>
                      </c:pt>
                      <c:pt idx="156">
                        <c:v>110499.92</c:v>
                      </c:pt>
                      <c:pt idx="157">
                        <c:v>110599.92</c:v>
                      </c:pt>
                      <c:pt idx="158">
                        <c:v>110688.3</c:v>
                      </c:pt>
                      <c:pt idx="159">
                        <c:v>110699.92</c:v>
                      </c:pt>
                      <c:pt idx="160">
                        <c:v>110768.3</c:v>
                      </c:pt>
                      <c:pt idx="161">
                        <c:v>110799.92</c:v>
                      </c:pt>
                      <c:pt idx="162">
                        <c:v>110899.92</c:v>
                      </c:pt>
                      <c:pt idx="163">
                        <c:v>110999.92</c:v>
                      </c:pt>
                      <c:pt idx="164">
                        <c:v>111099.92</c:v>
                      </c:pt>
                      <c:pt idx="165">
                        <c:v>111199.92</c:v>
                      </c:pt>
                      <c:pt idx="166">
                        <c:v>111299.92</c:v>
                      </c:pt>
                      <c:pt idx="167">
                        <c:v>111399.92</c:v>
                      </c:pt>
                      <c:pt idx="168">
                        <c:v>111499.92</c:v>
                      </c:pt>
                      <c:pt idx="169">
                        <c:v>111599.92</c:v>
                      </c:pt>
                      <c:pt idx="170">
                        <c:v>111699.92</c:v>
                      </c:pt>
                      <c:pt idx="171">
                        <c:v>111799.92</c:v>
                      </c:pt>
                      <c:pt idx="172">
                        <c:v>111899.92</c:v>
                      </c:pt>
                      <c:pt idx="173">
                        <c:v>111999.92</c:v>
                      </c:pt>
                      <c:pt idx="174">
                        <c:v>112099.92</c:v>
                      </c:pt>
                      <c:pt idx="175">
                        <c:v>112199.92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TS!$AC$2:$AC$177</c15:sqref>
                        </c15:formulaRef>
                      </c:ext>
                    </c:extLst>
                    <c:numCache>
                      <c:formatCode>0.0</c:formatCode>
                      <c:ptCount val="176"/>
                      <c:pt idx="0">
                        <c:v>95</c:v>
                      </c:pt>
                      <c:pt idx="1">
                        <c:v>95.073542641267835</c:v>
                      </c:pt>
                      <c:pt idx="2">
                        <c:v>95.147199234330259</c:v>
                      </c:pt>
                      <c:pt idx="3">
                        <c:v>95.220970044239181</c:v>
                      </c:pt>
                      <c:pt idx="4">
                        <c:v>95.29485533686919</c:v>
                      </c:pt>
                      <c:pt idx="5">
                        <c:v>95.368855378920728</c:v>
                      </c:pt>
                      <c:pt idx="6">
                        <c:v>95.44297043792325</c:v>
                      </c:pt>
                      <c:pt idx="7">
                        <c:v>95.517200782238532</c:v>
                      </c:pt>
                      <c:pt idx="8">
                        <c:v>95.591546681063861</c:v>
                      </c:pt>
                      <c:pt idx="9">
                        <c:v>95.666008404435274</c:v>
                      </c:pt>
                      <c:pt idx="10">
                        <c:v>95.740586223230864</c:v>
                      </c:pt>
                      <c:pt idx="11">
                        <c:v>95.815280409174051</c:v>
                      </c:pt>
                      <c:pt idx="12">
                        <c:v>95.890091234836902</c:v>
                      </c:pt>
                      <c:pt idx="13">
                        <c:v>95.965018973643396</c:v>
                      </c:pt>
                      <c:pt idx="14">
                        <c:v>96.040063899872791</c:v>
                      </c:pt>
                      <c:pt idx="15">
                        <c:v>96.115226288662967</c:v>
                      </c:pt>
                      <c:pt idx="16">
                        <c:v>96.190506416013818</c:v>
                      </c:pt>
                      <c:pt idx="17">
                        <c:v>96.265904558790538</c:v>
                      </c:pt>
                      <c:pt idx="18">
                        <c:v>96.341420994727102</c:v>
                      </c:pt>
                      <c:pt idx="19">
                        <c:v>96.417056002429703</c:v>
                      </c:pt>
                      <c:pt idx="20">
                        <c:v>96.492809861380053</c:v>
                      </c:pt>
                      <c:pt idx="21">
                        <c:v>96.568682851938931</c:v>
                      </c:pt>
                      <c:pt idx="22">
                        <c:v>96.644675255349597</c:v>
                      </c:pt>
                      <c:pt idx="23">
                        <c:v>96.720787353741287</c:v>
                      </c:pt>
                      <c:pt idx="24">
                        <c:v>96.797019430132693</c:v>
                      </c:pt>
                      <c:pt idx="25">
                        <c:v>96.873371768435476</c:v>
                      </c:pt>
                      <c:pt idx="26">
                        <c:v>96.949844653457774</c:v>
                      </c:pt>
                      <c:pt idx="27">
                        <c:v>97.026438370907798</c:v>
                      </c:pt>
                      <c:pt idx="28">
                        <c:v>97.103153207397327</c:v>
                      </c:pt>
                      <c:pt idx="29">
                        <c:v>97.179989450445277</c:v>
                      </c:pt>
                      <c:pt idx="30">
                        <c:v>97.25694738848135</c:v>
                      </c:pt>
                      <c:pt idx="31">
                        <c:v>97.334027310849635</c:v>
                      </c:pt>
                      <c:pt idx="32">
                        <c:v>97.41122950781218</c:v>
                      </c:pt>
                      <c:pt idx="33">
                        <c:v>97.488554270552655</c:v>
                      </c:pt>
                      <c:pt idx="34">
                        <c:v>97.566001891180107</c:v>
                      </c:pt>
                      <c:pt idx="35">
                        <c:v>97.643572662732481</c:v>
                      </c:pt>
                      <c:pt idx="36">
                        <c:v>97.721266879180419</c:v>
                      </c:pt>
                      <c:pt idx="37">
                        <c:v>97.794563246896018</c:v>
                      </c:pt>
                      <c:pt idx="38">
                        <c:v>97.79714868966839</c:v>
                      </c:pt>
                      <c:pt idx="39">
                        <c:v>97.855363695322438</c:v>
                      </c:pt>
                      <c:pt idx="40">
                        <c:v>97.873549581217333</c:v>
                      </c:pt>
                      <c:pt idx="41">
                        <c:v>97.95161035656983</c:v>
                      </c:pt>
                      <c:pt idx="42">
                        <c:v>98.029795748808482</c:v>
                      </c:pt>
                      <c:pt idx="43">
                        <c:v>98.108106056580908</c:v>
                      </c:pt>
                      <c:pt idx="44">
                        <c:v>98.179766439799081</c:v>
                      </c:pt>
                      <c:pt idx="45">
                        <c:v>98.184648598702282</c:v>
                      </c:pt>
                      <c:pt idx="46">
                        <c:v>98.263206606901861</c:v>
                      </c:pt>
                      <c:pt idx="47">
                        <c:v>98.341890425040745</c:v>
                      </c:pt>
                      <c:pt idx="48">
                        <c:v>98.420700355586376</c:v>
                      </c:pt>
                      <c:pt idx="49">
                        <c:v>98.499636701976527</c:v>
                      </c:pt>
                      <c:pt idx="50">
                        <c:v>98.57869976862321</c:v>
                      </c:pt>
                      <c:pt idx="51">
                        <c:v>98.657889860916598</c:v>
                      </c:pt>
                      <c:pt idx="52">
                        <c:v>98.737207285228948</c:v>
                      </c:pt>
                      <c:pt idx="53">
                        <c:v>98.816652348918566</c:v>
                      </c:pt>
                      <c:pt idx="54">
                        <c:v>98.896225360333801</c:v>
                      </c:pt>
                      <c:pt idx="55">
                        <c:v>98.975926628816978</c:v>
                      </c:pt>
                      <c:pt idx="56">
                        <c:v>99.055756464708395</c:v>
                      </c:pt>
                      <c:pt idx="57">
                        <c:v>99.135715179350456</c:v>
                      </c:pt>
                      <c:pt idx="58">
                        <c:v>99.215803085091594</c:v>
                      </c:pt>
                      <c:pt idx="59">
                        <c:v>99.296020495290435</c:v>
                      </c:pt>
                      <c:pt idx="60">
                        <c:v>99.37636772431982</c:v>
                      </c:pt>
                      <c:pt idx="61">
                        <c:v>99.45684508757094</c:v>
                      </c:pt>
                      <c:pt idx="62">
                        <c:v>99.537452901457485</c:v>
                      </c:pt>
                      <c:pt idx="63">
                        <c:v>99.61819148341975</c:v>
                      </c:pt>
                      <c:pt idx="64">
                        <c:v>99.632978459346958</c:v>
                      </c:pt>
                      <c:pt idx="65">
                        <c:v>99.698670296231214</c:v>
                      </c:pt>
                      <c:pt idx="66">
                        <c:v>99.779670735430429</c:v>
                      </c:pt>
                      <c:pt idx="67">
                        <c:v>99.860802899677211</c:v>
                      </c:pt>
                      <c:pt idx="68">
                        <c:v>99.942067110555158</c:v>
                      </c:pt>
                      <c:pt idx="69">
                        <c:v>100.02346369069549</c:v>
                      </c:pt>
                      <c:pt idx="70">
                        <c:v>100.1049929637814</c:v>
                      </c:pt>
                      <c:pt idx="71">
                        <c:v>100.18665525455219</c:v>
                      </c:pt>
                      <c:pt idx="72">
                        <c:v>100.26845088880773</c:v>
                      </c:pt>
                      <c:pt idx="73">
                        <c:v>100.35038019341273</c:v>
                      </c:pt>
                      <c:pt idx="74">
                        <c:v>100.43244349630106</c:v>
                      </c:pt>
                      <c:pt idx="75">
                        <c:v>100.51464112648019</c:v>
                      </c:pt>
                      <c:pt idx="76">
                        <c:v>100.59697341403557</c:v>
                      </c:pt>
                      <c:pt idx="77">
                        <c:v>100.67944069013501</c:v>
                      </c:pt>
                      <c:pt idx="78">
                        <c:v>100.76204328703321</c:v>
                      </c:pt>
                      <c:pt idx="79">
                        <c:v>100.84478153807606</c:v>
                      </c:pt>
                      <c:pt idx="80">
                        <c:v>100.92765577770533</c:v>
                      </c:pt>
                      <c:pt idx="81">
                        <c:v>101.01066634146299</c:v>
                      </c:pt>
                      <c:pt idx="82">
                        <c:v>101.09381356599586</c:v>
                      </c:pt>
                      <c:pt idx="83">
                        <c:v>101.17709778906011</c:v>
                      </c:pt>
                      <c:pt idx="84">
                        <c:v>101.18471580687206</c:v>
                      </c:pt>
                      <c:pt idx="85">
                        <c:v>101.26031796657506</c:v>
                      </c:pt>
                      <c:pt idx="86">
                        <c:v>101.28422220362931</c:v>
                      </c:pt>
                      <c:pt idx="87">
                        <c:v>101.34324506478531</c:v>
                      </c:pt>
                      <c:pt idx="88">
                        <c:v>101.42694094381396</c:v>
                      </c:pt>
                      <c:pt idx="89">
                        <c:v>101.51077518016739</c:v>
                      </c:pt>
                      <c:pt idx="90">
                        <c:v>101.59474811720629</c:v>
                      </c:pt>
                      <c:pt idx="91">
                        <c:v>101.67886009942852</c:v>
                      </c:pt>
                      <c:pt idx="92">
                        <c:v>101.76311147247364</c:v>
                      </c:pt>
                      <c:pt idx="93">
                        <c:v>101.84750258312788</c:v>
                      </c:pt>
                      <c:pt idx="94">
                        <c:v>101.93203377932868</c:v>
                      </c:pt>
                      <c:pt idx="95">
                        <c:v>102.01670541016956</c:v>
                      </c:pt>
                      <c:pt idx="96">
                        <c:v>102.10151782590499</c:v>
                      </c:pt>
                      <c:pt idx="97">
                        <c:v>102.1864713779551</c:v>
                      </c:pt>
                      <c:pt idx="98">
                        <c:v>102.27156641891061</c:v>
                      </c:pt>
                      <c:pt idx="99">
                        <c:v>102.35680330253767</c:v>
                      </c:pt>
                      <c:pt idx="100">
                        <c:v>102.44218238378284</c:v>
                      </c:pt>
                      <c:pt idx="101">
                        <c:v>102.52770401877787</c:v>
                      </c:pt>
                      <c:pt idx="102">
                        <c:v>102.61336856484483</c:v>
                      </c:pt>
                      <c:pt idx="103">
                        <c:v>102.69917638050092</c:v>
                      </c:pt>
                      <c:pt idx="104">
                        <c:v>102.78512782546359</c:v>
                      </c:pt>
                      <c:pt idx="105">
                        <c:v>102.8712232606555</c:v>
                      </c:pt>
                      <c:pt idx="106">
                        <c:v>102.95746304820962</c:v>
                      </c:pt>
                      <c:pt idx="107">
                        <c:v>103.04384755147427</c:v>
                      </c:pt>
                      <c:pt idx="108">
                        <c:v>103.13037713501821</c:v>
                      </c:pt>
                      <c:pt idx="109">
                        <c:v>103.21705216463586</c:v>
                      </c:pt>
                      <c:pt idx="110">
                        <c:v>103.30387300735234</c:v>
                      </c:pt>
                      <c:pt idx="111">
                        <c:v>103.39084003142871</c:v>
                      </c:pt>
                      <c:pt idx="112">
                        <c:v>103.47795360636715</c:v>
                      </c:pt>
                      <c:pt idx="113">
                        <c:v>103.56521410291626</c:v>
                      </c:pt>
                      <c:pt idx="114">
                        <c:v>103.6526218930762</c:v>
                      </c:pt>
                      <c:pt idx="115">
                        <c:v>103.74017735010408</c:v>
                      </c:pt>
                      <c:pt idx="116">
                        <c:v>103.82788084851927</c:v>
                      </c:pt>
                      <c:pt idx="117">
                        <c:v>103.91573276410868</c:v>
                      </c:pt>
                      <c:pt idx="118">
                        <c:v>104.00373347393214</c:v>
                      </c:pt>
                      <c:pt idx="119">
                        <c:v>104.09188335632783</c:v>
                      </c:pt>
                      <c:pt idx="120">
                        <c:v>104.18018279091766</c:v>
                      </c:pt>
                      <c:pt idx="121">
                        <c:v>104.26863215861277</c:v>
                      </c:pt>
                      <c:pt idx="122">
                        <c:v>104.35723184161897</c:v>
                      </c:pt>
                      <c:pt idx="123">
                        <c:v>104.44598222344226</c:v>
                      </c:pt>
                      <c:pt idx="124">
                        <c:v>104.53488368889431</c:v>
                      </c:pt>
                      <c:pt idx="125">
                        <c:v>104.62393662409818</c:v>
                      </c:pt>
                      <c:pt idx="126">
                        <c:v>104.71314141649367</c:v>
                      </c:pt>
                      <c:pt idx="127">
                        <c:v>104.80249845484316</c:v>
                      </c:pt>
                      <c:pt idx="128">
                        <c:v>104.89200812923713</c:v>
                      </c:pt>
                      <c:pt idx="129">
                        <c:v>104.9436873184835</c:v>
                      </c:pt>
                      <c:pt idx="130">
                        <c:v>104.98030518962869</c:v>
                      </c:pt>
                      <c:pt idx="131">
                        <c:v>105.07011897401513</c:v>
                      </c:pt>
                      <c:pt idx="132">
                        <c:v>105.16008656673554</c:v>
                      </c:pt>
                      <c:pt idx="133">
                        <c:v>105.25020836322942</c:v>
                      </c:pt>
                      <c:pt idx="134">
                        <c:v>105.34048476029292</c:v>
                      </c:pt>
                      <c:pt idx="135">
                        <c:v>105.43091615608483</c:v>
                      </c:pt>
                      <c:pt idx="136">
                        <c:v>105.5215029501323</c:v>
                      </c:pt>
                      <c:pt idx="137">
                        <c:v>105.61224554333677</c:v>
                      </c:pt>
                      <c:pt idx="138">
                        <c:v>105.70314433797984</c:v>
                      </c:pt>
                      <c:pt idx="139">
                        <c:v>105.73513445056545</c:v>
                      </c:pt>
                      <c:pt idx="140">
                        <c:v>105.79335421127927</c:v>
                      </c:pt>
                      <c:pt idx="141">
                        <c:v>105.88456516260007</c:v>
                      </c:pt>
                      <c:pt idx="142">
                        <c:v>105.97593352676768</c:v>
                      </c:pt>
                      <c:pt idx="143">
                        <c:v>106.0674597116312</c:v>
                      </c:pt>
                      <c:pt idx="144">
                        <c:v>106.08677361067555</c:v>
                      </c:pt>
                      <c:pt idx="145">
                        <c:v>106.15914412644993</c:v>
                      </c:pt>
                      <c:pt idx="146">
                        <c:v>106.25098718189946</c:v>
                      </c:pt>
                      <c:pt idx="147">
                        <c:v>106.34298929007775</c:v>
                      </c:pt>
                      <c:pt idx="148">
                        <c:v>106.34575255001738</c:v>
                      </c:pt>
                      <c:pt idx="149">
                        <c:v>106.43507780765123</c:v>
                      </c:pt>
                      <c:pt idx="150">
                        <c:v>106.52739913650804</c:v>
                      </c:pt>
                      <c:pt idx="151">
                        <c:v>106.61988076265345</c:v>
                      </c:pt>
                      <c:pt idx="152">
                        <c:v>106.71252310393587</c:v>
                      </c:pt>
                      <c:pt idx="153">
                        <c:v>106.80532657965722</c:v>
                      </c:pt>
                      <c:pt idx="154">
                        <c:v>106.89829161057936</c:v>
                      </c:pt>
                      <c:pt idx="155">
                        <c:v>106.99141861893035</c:v>
                      </c:pt>
                      <c:pt idx="156">
                        <c:v>107.08470802841084</c:v>
                      </c:pt>
                      <c:pt idx="157">
                        <c:v>107.17816026420054</c:v>
                      </c:pt>
                      <c:pt idx="158">
                        <c:v>107.25876027121366</c:v>
                      </c:pt>
                      <c:pt idx="159">
                        <c:v>107.2696463554618</c:v>
                      </c:pt>
                      <c:pt idx="160">
                        <c:v>107.33210284851572</c:v>
                      </c:pt>
                      <c:pt idx="161">
                        <c:v>107.36177145263083</c:v>
                      </c:pt>
                      <c:pt idx="162">
                        <c:v>107.45570810957275</c:v>
                      </c:pt>
                      <c:pt idx="163">
                        <c:v>107.54980929105338</c:v>
                      </c:pt>
                      <c:pt idx="164">
                        <c:v>107.64407542968412</c:v>
                      </c:pt>
                      <c:pt idx="165">
                        <c:v>107.73850695959449</c:v>
                      </c:pt>
                      <c:pt idx="166">
                        <c:v>107.83310431643868</c:v>
                      </c:pt>
                      <c:pt idx="167">
                        <c:v>107.92786793740233</c:v>
                      </c:pt>
                      <c:pt idx="168">
                        <c:v>108.02279826120918</c:v>
                      </c:pt>
                      <c:pt idx="169">
                        <c:v>108.11789572812792</c:v>
                      </c:pt>
                      <c:pt idx="170">
                        <c:v>108.21316077997892</c:v>
                      </c:pt>
                      <c:pt idx="171">
                        <c:v>108.30859386014117</c:v>
                      </c:pt>
                      <c:pt idx="172">
                        <c:v>108.40419541355908</c:v>
                      </c:pt>
                      <c:pt idx="173">
                        <c:v>108.49996588674937</c:v>
                      </c:pt>
                      <c:pt idx="174">
                        <c:v>108.59590572780816</c:v>
                      </c:pt>
                      <c:pt idx="175">
                        <c:v>108.69201538641778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D652-4717-A6BF-33D18BE0E43E}"/>
                  </c:ext>
                </c:extLst>
              </c15:ser>
            </c15:filteredScatterSeries>
            <c15:filteredScatte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TS!$F$1</c15:sqref>
                        </c15:formulaRef>
                      </c:ext>
                    </c:extLst>
                    <c:strCache>
                      <c:ptCount val="1"/>
                      <c:pt idx="0">
                        <c:v>Cumulative Volume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TS!$F$2:$F$177</c15:sqref>
                        </c15:formulaRef>
                      </c:ext>
                    </c:extLst>
                    <c:numCache>
                      <c:formatCode>_(* #,##0.00_);_(* \(#,##0.00\);_(* "-"??_);_(@_)</c:formatCode>
                      <c:ptCount val="176"/>
                      <c:pt idx="0">
                        <c:v>0</c:v>
                      </c:pt>
                      <c:pt idx="1">
                        <c:v>6791.2436711181272</c:v>
                      </c:pt>
                      <c:pt idx="2">
                        <c:v>13407.851333702409</c:v>
                      </c:pt>
                      <c:pt idx="3">
                        <c:v>20199.095004820534</c:v>
                      </c:pt>
                      <c:pt idx="4">
                        <c:v>26990.338675938663</c:v>
                      </c:pt>
                      <c:pt idx="5">
                        <c:v>33781.582347056792</c:v>
                      </c:pt>
                      <c:pt idx="6">
                        <c:v>40572.826018174921</c:v>
                      </c:pt>
                      <c:pt idx="7">
                        <c:v>47364.06968929305</c:v>
                      </c:pt>
                      <c:pt idx="8">
                        <c:v>54155.313360411179</c:v>
                      </c:pt>
                      <c:pt idx="9">
                        <c:v>60946.557031529308</c:v>
                      </c:pt>
                      <c:pt idx="10">
                        <c:v>67737.800702647437</c:v>
                      </c:pt>
                      <c:pt idx="11">
                        <c:v>74529.044373765559</c:v>
                      </c:pt>
                      <c:pt idx="12">
                        <c:v>81320.28804488368</c:v>
                      </c:pt>
                      <c:pt idx="13">
                        <c:v>88111.531716001802</c:v>
                      </c:pt>
                      <c:pt idx="14">
                        <c:v>94902.775387119924</c:v>
                      </c:pt>
                      <c:pt idx="15">
                        <c:v>101694.01905823805</c:v>
                      </c:pt>
                      <c:pt idx="16">
                        <c:v>108485.26272935617</c:v>
                      </c:pt>
                      <c:pt idx="17">
                        <c:v>115276.50640047429</c:v>
                      </c:pt>
                      <c:pt idx="18">
                        <c:v>122067.75007159241</c:v>
                      </c:pt>
                      <c:pt idx="19">
                        <c:v>128858.99374271053</c:v>
                      </c:pt>
                      <c:pt idx="20">
                        <c:v>135650.23741382867</c:v>
                      </c:pt>
                      <c:pt idx="21">
                        <c:v>142441.4810849468</c:v>
                      </c:pt>
                      <c:pt idx="22">
                        <c:v>149058.08874753109</c:v>
                      </c:pt>
                      <c:pt idx="23">
                        <c:v>155849.33241864922</c:v>
                      </c:pt>
                      <c:pt idx="24">
                        <c:v>162640.57608976736</c:v>
                      </c:pt>
                      <c:pt idx="25">
                        <c:v>169431.8197608855</c:v>
                      </c:pt>
                      <c:pt idx="26">
                        <c:v>176223.06343200363</c:v>
                      </c:pt>
                      <c:pt idx="27">
                        <c:v>183014.30710312177</c:v>
                      </c:pt>
                      <c:pt idx="28">
                        <c:v>189805.55077423991</c:v>
                      </c:pt>
                      <c:pt idx="29">
                        <c:v>196596.79444535804</c:v>
                      </c:pt>
                      <c:pt idx="30">
                        <c:v>203388.03811647618</c:v>
                      </c:pt>
                      <c:pt idx="31">
                        <c:v>210179.28178759431</c:v>
                      </c:pt>
                      <c:pt idx="32">
                        <c:v>216970.52545871245</c:v>
                      </c:pt>
                      <c:pt idx="33">
                        <c:v>223761.76912983059</c:v>
                      </c:pt>
                      <c:pt idx="34">
                        <c:v>230553.01280094872</c:v>
                      </c:pt>
                      <c:pt idx="35">
                        <c:v>237344.25647206686</c:v>
                      </c:pt>
                      <c:pt idx="36">
                        <c:v>244135.500143185</c:v>
                      </c:pt>
                      <c:pt idx="37">
                        <c:v>250701.27452442251</c:v>
                      </c:pt>
                      <c:pt idx="38">
                        <c:v>250926.7438143031</c:v>
                      </c:pt>
                      <c:pt idx="39">
                        <c:v>256134.26946131699</c:v>
                      </c:pt>
                      <c:pt idx="40">
                        <c:v>257717.98748542121</c:v>
                      </c:pt>
                      <c:pt idx="41">
                        <c:v>264509.23115653935</c:v>
                      </c:pt>
                      <c:pt idx="42">
                        <c:v>271125.83881912363</c:v>
                      </c:pt>
                      <c:pt idx="43">
                        <c:v>277917.08249024174</c:v>
                      </c:pt>
                      <c:pt idx="44">
                        <c:v>284122.13715621323</c:v>
                      </c:pt>
                      <c:pt idx="45">
                        <c:v>284544.55251255684</c:v>
                      </c:pt>
                      <c:pt idx="46">
                        <c:v>291335.79618367495</c:v>
                      </c:pt>
                      <c:pt idx="47">
                        <c:v>298127.03985479305</c:v>
                      </c:pt>
                      <c:pt idx="48">
                        <c:v>304918.28352591116</c:v>
                      </c:pt>
                      <c:pt idx="49">
                        <c:v>311709.52719702927</c:v>
                      </c:pt>
                      <c:pt idx="50">
                        <c:v>318500.77086814737</c:v>
                      </c:pt>
                      <c:pt idx="51">
                        <c:v>325292.01453926548</c:v>
                      </c:pt>
                      <c:pt idx="52">
                        <c:v>332083.25821038359</c:v>
                      </c:pt>
                      <c:pt idx="53">
                        <c:v>338874.5018815017</c:v>
                      </c:pt>
                      <c:pt idx="54">
                        <c:v>345665.7455526198</c:v>
                      </c:pt>
                      <c:pt idx="55">
                        <c:v>352456.98922373791</c:v>
                      </c:pt>
                      <c:pt idx="56">
                        <c:v>359248.23289485602</c:v>
                      </c:pt>
                      <c:pt idx="57">
                        <c:v>366039.47656597412</c:v>
                      </c:pt>
                      <c:pt idx="58">
                        <c:v>372830.72023709223</c:v>
                      </c:pt>
                      <c:pt idx="59">
                        <c:v>379621.96390821034</c:v>
                      </c:pt>
                      <c:pt idx="60">
                        <c:v>386413.20757932845</c:v>
                      </c:pt>
                      <c:pt idx="61">
                        <c:v>393204.45125044655</c:v>
                      </c:pt>
                      <c:pt idx="62">
                        <c:v>399995.69492156466</c:v>
                      </c:pt>
                      <c:pt idx="63">
                        <c:v>406786.93859268277</c:v>
                      </c:pt>
                      <c:pt idx="64">
                        <c:v>408062.33415411867</c:v>
                      </c:pt>
                      <c:pt idx="65">
                        <c:v>413578.18226380087</c:v>
                      </c:pt>
                      <c:pt idx="66">
                        <c:v>420369.42593491898</c:v>
                      </c:pt>
                      <c:pt idx="67">
                        <c:v>427160.66960603709</c:v>
                      </c:pt>
                      <c:pt idx="68">
                        <c:v>433951.9132771552</c:v>
                      </c:pt>
                      <c:pt idx="69">
                        <c:v>440743.1569482733</c:v>
                      </c:pt>
                      <c:pt idx="70">
                        <c:v>447534.40061939141</c:v>
                      </c:pt>
                      <c:pt idx="71">
                        <c:v>454325.64429050952</c:v>
                      </c:pt>
                      <c:pt idx="72">
                        <c:v>461116.88796162762</c:v>
                      </c:pt>
                      <c:pt idx="73">
                        <c:v>467908.13163274573</c:v>
                      </c:pt>
                      <c:pt idx="74">
                        <c:v>474699.37530386384</c:v>
                      </c:pt>
                      <c:pt idx="75">
                        <c:v>481490.61897498195</c:v>
                      </c:pt>
                      <c:pt idx="76">
                        <c:v>488281.86264610005</c:v>
                      </c:pt>
                      <c:pt idx="77">
                        <c:v>495073.10631721816</c:v>
                      </c:pt>
                      <c:pt idx="78">
                        <c:v>501864.34998833627</c:v>
                      </c:pt>
                      <c:pt idx="79">
                        <c:v>508655.59365945437</c:v>
                      </c:pt>
                      <c:pt idx="80">
                        <c:v>515446.83733057248</c:v>
                      </c:pt>
                      <c:pt idx="81">
                        <c:v>522238.08100169059</c:v>
                      </c:pt>
                      <c:pt idx="82">
                        <c:v>529029.32467280875</c:v>
                      </c:pt>
                      <c:pt idx="83">
                        <c:v>535820.56834392692</c:v>
                      </c:pt>
                      <c:pt idx="84">
                        <c:v>536457.58700027817</c:v>
                      </c:pt>
                      <c:pt idx="85">
                        <c:v>542611.81201504508</c:v>
                      </c:pt>
                      <c:pt idx="86">
                        <c:v>544607.07940561988</c:v>
                      </c:pt>
                      <c:pt idx="87">
                        <c:v>549279.72773693653</c:v>
                      </c:pt>
                      <c:pt idx="88">
                        <c:v>556070.9714080547</c:v>
                      </c:pt>
                      <c:pt idx="89">
                        <c:v>562862.21507917286</c:v>
                      </c:pt>
                      <c:pt idx="90">
                        <c:v>569653.45875029103</c:v>
                      </c:pt>
                      <c:pt idx="91">
                        <c:v>576444.70242140919</c:v>
                      </c:pt>
                      <c:pt idx="92">
                        <c:v>583235.94609252736</c:v>
                      </c:pt>
                      <c:pt idx="93">
                        <c:v>590027.18976364553</c:v>
                      </c:pt>
                      <c:pt idx="94">
                        <c:v>596818.43343476369</c:v>
                      </c:pt>
                      <c:pt idx="95">
                        <c:v>603609.67710588186</c:v>
                      </c:pt>
                      <c:pt idx="96">
                        <c:v>610400.92077700002</c:v>
                      </c:pt>
                      <c:pt idx="97">
                        <c:v>617017.5284395843</c:v>
                      </c:pt>
                      <c:pt idx="98">
                        <c:v>623808.77211070247</c:v>
                      </c:pt>
                      <c:pt idx="99">
                        <c:v>630600.01578182064</c:v>
                      </c:pt>
                      <c:pt idx="100">
                        <c:v>637391.2594529388</c:v>
                      </c:pt>
                      <c:pt idx="101">
                        <c:v>644182.50312405697</c:v>
                      </c:pt>
                      <c:pt idx="102">
                        <c:v>650973.74679517513</c:v>
                      </c:pt>
                      <c:pt idx="103">
                        <c:v>657764.9904662933</c:v>
                      </c:pt>
                      <c:pt idx="104">
                        <c:v>664556.23413741146</c:v>
                      </c:pt>
                      <c:pt idx="105">
                        <c:v>671347.47780852963</c:v>
                      </c:pt>
                      <c:pt idx="106">
                        <c:v>677964.08547111391</c:v>
                      </c:pt>
                      <c:pt idx="107">
                        <c:v>684755.32914223208</c:v>
                      </c:pt>
                      <c:pt idx="108">
                        <c:v>691546.57281335024</c:v>
                      </c:pt>
                      <c:pt idx="109">
                        <c:v>698337.81648446841</c:v>
                      </c:pt>
                      <c:pt idx="110">
                        <c:v>705129.06015558657</c:v>
                      </c:pt>
                      <c:pt idx="111">
                        <c:v>711920.30382670474</c:v>
                      </c:pt>
                      <c:pt idx="112">
                        <c:v>718711.5474978229</c:v>
                      </c:pt>
                      <c:pt idx="113">
                        <c:v>725502.79116894107</c:v>
                      </c:pt>
                      <c:pt idx="114">
                        <c:v>732294.03484005923</c:v>
                      </c:pt>
                      <c:pt idx="115">
                        <c:v>739085.2785111774</c:v>
                      </c:pt>
                      <c:pt idx="116">
                        <c:v>745701.88617376168</c:v>
                      </c:pt>
                      <c:pt idx="117">
                        <c:v>752493.12984487985</c:v>
                      </c:pt>
                      <c:pt idx="118">
                        <c:v>759109.73750746413</c:v>
                      </c:pt>
                      <c:pt idx="119">
                        <c:v>765900.9811785823</c:v>
                      </c:pt>
                      <c:pt idx="120">
                        <c:v>772692.22484970046</c:v>
                      </c:pt>
                      <c:pt idx="121">
                        <c:v>779483.46852081863</c:v>
                      </c:pt>
                      <c:pt idx="122">
                        <c:v>786274.71219193679</c:v>
                      </c:pt>
                      <c:pt idx="123">
                        <c:v>793065.95586305496</c:v>
                      </c:pt>
                      <c:pt idx="124">
                        <c:v>799857.19953417312</c:v>
                      </c:pt>
                      <c:pt idx="125">
                        <c:v>806648.44320529129</c:v>
                      </c:pt>
                      <c:pt idx="126">
                        <c:v>813439.68687640945</c:v>
                      </c:pt>
                      <c:pt idx="127">
                        <c:v>820230.93054752762</c:v>
                      </c:pt>
                      <c:pt idx="128">
                        <c:v>827022.17421864579</c:v>
                      </c:pt>
                      <c:pt idx="129">
                        <c:v>831041.232223214</c:v>
                      </c:pt>
                      <c:pt idx="130">
                        <c:v>833813.41788976395</c:v>
                      </c:pt>
                      <c:pt idx="131">
                        <c:v>840604.66156088212</c:v>
                      </c:pt>
                      <c:pt idx="132">
                        <c:v>847395.90523200028</c:v>
                      </c:pt>
                      <c:pt idx="133">
                        <c:v>854187.14890311845</c:v>
                      </c:pt>
                      <c:pt idx="134">
                        <c:v>860978.39257423661</c:v>
                      </c:pt>
                      <c:pt idx="135">
                        <c:v>867769.63624535478</c:v>
                      </c:pt>
                      <c:pt idx="136">
                        <c:v>874560.87991647294</c:v>
                      </c:pt>
                      <c:pt idx="137">
                        <c:v>881352.12358759111</c:v>
                      </c:pt>
                      <c:pt idx="138">
                        <c:v>888143.36725870927</c:v>
                      </c:pt>
                      <c:pt idx="139">
                        <c:v>890593.64797524887</c:v>
                      </c:pt>
                      <c:pt idx="140">
                        <c:v>894934.61092982744</c:v>
                      </c:pt>
                      <c:pt idx="141">
                        <c:v>901725.8546009456</c:v>
                      </c:pt>
                      <c:pt idx="142">
                        <c:v>908517.09827206377</c:v>
                      </c:pt>
                      <c:pt idx="143">
                        <c:v>915308.34194318193</c:v>
                      </c:pt>
                      <c:pt idx="144">
                        <c:v>916739.93610905379</c:v>
                      </c:pt>
                      <c:pt idx="145">
                        <c:v>922099.5856143001</c:v>
                      </c:pt>
                      <c:pt idx="146">
                        <c:v>928890.82928541827</c:v>
                      </c:pt>
                      <c:pt idx="147">
                        <c:v>935682.07295653643</c:v>
                      </c:pt>
                      <c:pt idx="148">
                        <c:v>935891.24326160701</c:v>
                      </c:pt>
                      <c:pt idx="149">
                        <c:v>942473.3166276546</c:v>
                      </c:pt>
                      <c:pt idx="150">
                        <c:v>949264.56029877276</c:v>
                      </c:pt>
                      <c:pt idx="151">
                        <c:v>956055.80396989093</c:v>
                      </c:pt>
                      <c:pt idx="152">
                        <c:v>962672.41163247521</c:v>
                      </c:pt>
                      <c:pt idx="153">
                        <c:v>969463.65530359338</c:v>
                      </c:pt>
                      <c:pt idx="154">
                        <c:v>976080.26296617766</c:v>
                      </c:pt>
                      <c:pt idx="155">
                        <c:v>982871.50663729582</c:v>
                      </c:pt>
                      <c:pt idx="156">
                        <c:v>989662.75030841399</c:v>
                      </c:pt>
                      <c:pt idx="157">
                        <c:v>996453.99397953216</c:v>
                      </c:pt>
                      <c:pt idx="158">
                        <c:v>1002456.0951360667</c:v>
                      </c:pt>
                      <c:pt idx="159">
                        <c:v>1003245.2376506503</c:v>
                      </c:pt>
                      <c:pt idx="160">
                        <c:v>1007769.6739703257</c:v>
                      </c:pt>
                      <c:pt idx="161">
                        <c:v>1009917.0652191329</c:v>
                      </c:pt>
                      <c:pt idx="162">
                        <c:v>1016533.6728817172</c:v>
                      </c:pt>
                      <c:pt idx="163">
                        <c:v>1023324.9165528354</c:v>
                      </c:pt>
                      <c:pt idx="164">
                        <c:v>1030116.1602239535</c:v>
                      </c:pt>
                      <c:pt idx="165">
                        <c:v>1036732.7678865378</c:v>
                      </c:pt>
                      <c:pt idx="166">
                        <c:v>1043524.011557656</c:v>
                      </c:pt>
                      <c:pt idx="167">
                        <c:v>1050140.6192202403</c:v>
                      </c:pt>
                      <c:pt idx="168">
                        <c:v>1056931.8628913583</c:v>
                      </c:pt>
                      <c:pt idx="169">
                        <c:v>1063723.1065624764</c:v>
                      </c:pt>
                      <c:pt idx="170">
                        <c:v>1070514.3502335944</c:v>
                      </c:pt>
                      <c:pt idx="171">
                        <c:v>1077305.5939047125</c:v>
                      </c:pt>
                      <c:pt idx="172">
                        <c:v>1084096.8375758305</c:v>
                      </c:pt>
                      <c:pt idx="173">
                        <c:v>1090888.0812469486</c:v>
                      </c:pt>
                      <c:pt idx="174">
                        <c:v>1097504.6889095327</c:v>
                      </c:pt>
                      <c:pt idx="175">
                        <c:v>1104295.9325806508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TS!$AD$2:$AD$177</c15:sqref>
                        </c15:formulaRef>
                      </c:ext>
                    </c:extLst>
                    <c:numCache>
                      <c:formatCode>0.0</c:formatCode>
                      <c:ptCount val="176"/>
                      <c:pt idx="0">
                        <c:v>95</c:v>
                      </c:pt>
                      <c:pt idx="1">
                        <c:v>95.073542641267835</c:v>
                      </c:pt>
                      <c:pt idx="2">
                        <c:v>95.147199234330259</c:v>
                      </c:pt>
                      <c:pt idx="3">
                        <c:v>95.220970044239181</c:v>
                      </c:pt>
                      <c:pt idx="4">
                        <c:v>95.29485533686919</c:v>
                      </c:pt>
                      <c:pt idx="5">
                        <c:v>95.368855378920728</c:v>
                      </c:pt>
                      <c:pt idx="6">
                        <c:v>95.44297043792325</c:v>
                      </c:pt>
                      <c:pt idx="7">
                        <c:v>95.517200782238532</c:v>
                      </c:pt>
                      <c:pt idx="8">
                        <c:v>95.591546681063861</c:v>
                      </c:pt>
                      <c:pt idx="9">
                        <c:v>95.666008404435274</c:v>
                      </c:pt>
                      <c:pt idx="10">
                        <c:v>95.740586223230864</c:v>
                      </c:pt>
                      <c:pt idx="11">
                        <c:v>95.815280409174051</c:v>
                      </c:pt>
                      <c:pt idx="12">
                        <c:v>95.890091234836902</c:v>
                      </c:pt>
                      <c:pt idx="13">
                        <c:v>95.965018973643396</c:v>
                      </c:pt>
                      <c:pt idx="14">
                        <c:v>96.040063899872791</c:v>
                      </c:pt>
                      <c:pt idx="15">
                        <c:v>96.115226288662967</c:v>
                      </c:pt>
                      <c:pt idx="16">
                        <c:v>96.190506416013818</c:v>
                      </c:pt>
                      <c:pt idx="17">
                        <c:v>96.265904558790538</c:v>
                      </c:pt>
                      <c:pt idx="18">
                        <c:v>96.341420994727102</c:v>
                      </c:pt>
                      <c:pt idx="19">
                        <c:v>96.417056002429703</c:v>
                      </c:pt>
                      <c:pt idx="20">
                        <c:v>96.492809861380053</c:v>
                      </c:pt>
                      <c:pt idx="21">
                        <c:v>96.568682851938931</c:v>
                      </c:pt>
                      <c:pt idx="22">
                        <c:v>96.644675255349597</c:v>
                      </c:pt>
                      <c:pt idx="23">
                        <c:v>96.720787353741287</c:v>
                      </c:pt>
                      <c:pt idx="24">
                        <c:v>96.797019430132693</c:v>
                      </c:pt>
                      <c:pt idx="25">
                        <c:v>96.873371768435476</c:v>
                      </c:pt>
                      <c:pt idx="26">
                        <c:v>96.949844653457774</c:v>
                      </c:pt>
                      <c:pt idx="27">
                        <c:v>97.026438370907798</c:v>
                      </c:pt>
                      <c:pt idx="28">
                        <c:v>97.103153207397327</c:v>
                      </c:pt>
                      <c:pt idx="29">
                        <c:v>97.179989450445277</c:v>
                      </c:pt>
                      <c:pt idx="30">
                        <c:v>97.25694738848135</c:v>
                      </c:pt>
                      <c:pt idx="31">
                        <c:v>97.334027310849635</c:v>
                      </c:pt>
                      <c:pt idx="32">
                        <c:v>97.41122950781218</c:v>
                      </c:pt>
                      <c:pt idx="33">
                        <c:v>97.488554270552655</c:v>
                      </c:pt>
                      <c:pt idx="34">
                        <c:v>97.566001891180107</c:v>
                      </c:pt>
                      <c:pt idx="35">
                        <c:v>97.643572662732481</c:v>
                      </c:pt>
                      <c:pt idx="36">
                        <c:v>97.721266879180419</c:v>
                      </c:pt>
                      <c:pt idx="37">
                        <c:v>97.794563246896018</c:v>
                      </c:pt>
                      <c:pt idx="38">
                        <c:v>97.79714868966839</c:v>
                      </c:pt>
                      <c:pt idx="39">
                        <c:v>97.855363695322438</c:v>
                      </c:pt>
                      <c:pt idx="40">
                        <c:v>97.873549581217333</c:v>
                      </c:pt>
                      <c:pt idx="41">
                        <c:v>97.95161035656983</c:v>
                      </c:pt>
                      <c:pt idx="42">
                        <c:v>98.029795748808482</c:v>
                      </c:pt>
                      <c:pt idx="43">
                        <c:v>98.108106056580908</c:v>
                      </c:pt>
                      <c:pt idx="44">
                        <c:v>98.179766439799081</c:v>
                      </c:pt>
                      <c:pt idx="45">
                        <c:v>98.184648598702282</c:v>
                      </c:pt>
                      <c:pt idx="46">
                        <c:v>98.263206606901861</c:v>
                      </c:pt>
                      <c:pt idx="47">
                        <c:v>98.341890425040745</c:v>
                      </c:pt>
                      <c:pt idx="48">
                        <c:v>98.420700355586376</c:v>
                      </c:pt>
                      <c:pt idx="49">
                        <c:v>98.499636701976527</c:v>
                      </c:pt>
                      <c:pt idx="50">
                        <c:v>98.57869976862321</c:v>
                      </c:pt>
                      <c:pt idx="51">
                        <c:v>98.657889860916598</c:v>
                      </c:pt>
                      <c:pt idx="52">
                        <c:v>98.737207285228948</c:v>
                      </c:pt>
                      <c:pt idx="53">
                        <c:v>98.816652348918566</c:v>
                      </c:pt>
                      <c:pt idx="54">
                        <c:v>98.896225360333801</c:v>
                      </c:pt>
                      <c:pt idx="55">
                        <c:v>98.975926628816978</c:v>
                      </c:pt>
                      <c:pt idx="56">
                        <c:v>99.055756464708395</c:v>
                      </c:pt>
                      <c:pt idx="57">
                        <c:v>99.135715179350456</c:v>
                      </c:pt>
                      <c:pt idx="58">
                        <c:v>99.215803085091594</c:v>
                      </c:pt>
                      <c:pt idx="59">
                        <c:v>99.296020495290435</c:v>
                      </c:pt>
                      <c:pt idx="60">
                        <c:v>99.37636772431982</c:v>
                      </c:pt>
                      <c:pt idx="61">
                        <c:v>99.45684508757094</c:v>
                      </c:pt>
                      <c:pt idx="62">
                        <c:v>99.537452901457485</c:v>
                      </c:pt>
                      <c:pt idx="63">
                        <c:v>99.61819148341975</c:v>
                      </c:pt>
                      <c:pt idx="64">
                        <c:v>99.632978459346958</c:v>
                      </c:pt>
                      <c:pt idx="65">
                        <c:v>99.698670296231214</c:v>
                      </c:pt>
                      <c:pt idx="66">
                        <c:v>99.779670735430429</c:v>
                      </c:pt>
                      <c:pt idx="67">
                        <c:v>99.860802899677211</c:v>
                      </c:pt>
                      <c:pt idx="68">
                        <c:v>99.942067110555158</c:v>
                      </c:pt>
                      <c:pt idx="69">
                        <c:v>100.02346369069549</c:v>
                      </c:pt>
                      <c:pt idx="70">
                        <c:v>100.1049929637814</c:v>
                      </c:pt>
                      <c:pt idx="71">
                        <c:v>100.18665525455219</c:v>
                      </c:pt>
                      <c:pt idx="72">
                        <c:v>100.26845088880773</c:v>
                      </c:pt>
                      <c:pt idx="73">
                        <c:v>100.35038019341273</c:v>
                      </c:pt>
                      <c:pt idx="74">
                        <c:v>100.43244349630106</c:v>
                      </c:pt>
                      <c:pt idx="75">
                        <c:v>100.51464112648019</c:v>
                      </c:pt>
                      <c:pt idx="76">
                        <c:v>100.59697341403557</c:v>
                      </c:pt>
                      <c:pt idx="77">
                        <c:v>100.67944069013501</c:v>
                      </c:pt>
                      <c:pt idx="78">
                        <c:v>100.76204328703321</c:v>
                      </c:pt>
                      <c:pt idx="79">
                        <c:v>100.84478153807606</c:v>
                      </c:pt>
                      <c:pt idx="80">
                        <c:v>100.92765577770533</c:v>
                      </c:pt>
                      <c:pt idx="81">
                        <c:v>101.01066634146299</c:v>
                      </c:pt>
                      <c:pt idx="82">
                        <c:v>101.09381356599586</c:v>
                      </c:pt>
                      <c:pt idx="83">
                        <c:v>101.17709778906011</c:v>
                      </c:pt>
                      <c:pt idx="84">
                        <c:v>101.18471580687206</c:v>
                      </c:pt>
                      <c:pt idx="85">
                        <c:v>101.26031796657506</c:v>
                      </c:pt>
                      <c:pt idx="86">
                        <c:v>101.28422220362931</c:v>
                      </c:pt>
                      <c:pt idx="87">
                        <c:v>101.34324506478531</c:v>
                      </c:pt>
                      <c:pt idx="88">
                        <c:v>101.42694094381396</c:v>
                      </c:pt>
                      <c:pt idx="89">
                        <c:v>101.51077518016739</c:v>
                      </c:pt>
                      <c:pt idx="90">
                        <c:v>101.59474811720629</c:v>
                      </c:pt>
                      <c:pt idx="91">
                        <c:v>101.67886009942852</c:v>
                      </c:pt>
                      <c:pt idx="92">
                        <c:v>101.76311147247364</c:v>
                      </c:pt>
                      <c:pt idx="93">
                        <c:v>101.84750258312788</c:v>
                      </c:pt>
                      <c:pt idx="94">
                        <c:v>101.93203377932868</c:v>
                      </c:pt>
                      <c:pt idx="95">
                        <c:v>102.01670541016956</c:v>
                      </c:pt>
                      <c:pt idx="96">
                        <c:v>102.10151782590499</c:v>
                      </c:pt>
                      <c:pt idx="97">
                        <c:v>102.1864713779551</c:v>
                      </c:pt>
                      <c:pt idx="98">
                        <c:v>102.27156641891061</c:v>
                      </c:pt>
                      <c:pt idx="99">
                        <c:v>102.35680330253767</c:v>
                      </c:pt>
                      <c:pt idx="100">
                        <c:v>102.44218238378284</c:v>
                      </c:pt>
                      <c:pt idx="101">
                        <c:v>102.52770401877787</c:v>
                      </c:pt>
                      <c:pt idx="102">
                        <c:v>102.61336856484483</c:v>
                      </c:pt>
                      <c:pt idx="103">
                        <c:v>102.69917638050092</c:v>
                      </c:pt>
                      <c:pt idx="104">
                        <c:v>102.78512782546359</c:v>
                      </c:pt>
                      <c:pt idx="105">
                        <c:v>102.8712232606555</c:v>
                      </c:pt>
                      <c:pt idx="106">
                        <c:v>102.95746304820962</c:v>
                      </c:pt>
                      <c:pt idx="107">
                        <c:v>103.04384755147427</c:v>
                      </c:pt>
                      <c:pt idx="108">
                        <c:v>103.13037713501821</c:v>
                      </c:pt>
                      <c:pt idx="109">
                        <c:v>103.21705216463586</c:v>
                      </c:pt>
                      <c:pt idx="110">
                        <c:v>103.30387300735234</c:v>
                      </c:pt>
                      <c:pt idx="111">
                        <c:v>103.39084003142871</c:v>
                      </c:pt>
                      <c:pt idx="112">
                        <c:v>103.47795360636715</c:v>
                      </c:pt>
                      <c:pt idx="113">
                        <c:v>103.56521410291626</c:v>
                      </c:pt>
                      <c:pt idx="114">
                        <c:v>103.6526218930762</c:v>
                      </c:pt>
                      <c:pt idx="115">
                        <c:v>103.74017735010408</c:v>
                      </c:pt>
                      <c:pt idx="116">
                        <c:v>103.82788084851927</c:v>
                      </c:pt>
                      <c:pt idx="117">
                        <c:v>103.91573276410868</c:v>
                      </c:pt>
                      <c:pt idx="118">
                        <c:v>104.00373347393214</c:v>
                      </c:pt>
                      <c:pt idx="119">
                        <c:v>104.09188335632783</c:v>
                      </c:pt>
                      <c:pt idx="120">
                        <c:v>104.18018279091766</c:v>
                      </c:pt>
                      <c:pt idx="121">
                        <c:v>104.26863215861277</c:v>
                      </c:pt>
                      <c:pt idx="122">
                        <c:v>104.35723184161897</c:v>
                      </c:pt>
                      <c:pt idx="123">
                        <c:v>104.44598222344226</c:v>
                      </c:pt>
                      <c:pt idx="124">
                        <c:v>104.53488368889431</c:v>
                      </c:pt>
                      <c:pt idx="125">
                        <c:v>104.62393662409818</c:v>
                      </c:pt>
                      <c:pt idx="126">
                        <c:v>104.71314141649367</c:v>
                      </c:pt>
                      <c:pt idx="127">
                        <c:v>104.80249845484316</c:v>
                      </c:pt>
                      <c:pt idx="128">
                        <c:v>104.89200812923713</c:v>
                      </c:pt>
                      <c:pt idx="129">
                        <c:v>104.9436873184835</c:v>
                      </c:pt>
                      <c:pt idx="130">
                        <c:v>104.98030518962869</c:v>
                      </c:pt>
                      <c:pt idx="131">
                        <c:v>105.07011897401513</c:v>
                      </c:pt>
                      <c:pt idx="132">
                        <c:v>105.16008656673554</c:v>
                      </c:pt>
                      <c:pt idx="133">
                        <c:v>105.25020836322942</c:v>
                      </c:pt>
                      <c:pt idx="134">
                        <c:v>105.34048476029292</c:v>
                      </c:pt>
                      <c:pt idx="135">
                        <c:v>105.43091615608483</c:v>
                      </c:pt>
                      <c:pt idx="136">
                        <c:v>105.5215029501323</c:v>
                      </c:pt>
                      <c:pt idx="137">
                        <c:v>105.61224554333677</c:v>
                      </c:pt>
                      <c:pt idx="138">
                        <c:v>105.70314433797984</c:v>
                      </c:pt>
                      <c:pt idx="139">
                        <c:v>105.73513445056545</c:v>
                      </c:pt>
                      <c:pt idx="140">
                        <c:v>105.79335421127927</c:v>
                      </c:pt>
                      <c:pt idx="141">
                        <c:v>105.88456516260007</c:v>
                      </c:pt>
                      <c:pt idx="142">
                        <c:v>105.97593352676768</c:v>
                      </c:pt>
                      <c:pt idx="143">
                        <c:v>106.0674597116312</c:v>
                      </c:pt>
                      <c:pt idx="144">
                        <c:v>106.08677361067555</c:v>
                      </c:pt>
                      <c:pt idx="145">
                        <c:v>106.15914412644993</c:v>
                      </c:pt>
                      <c:pt idx="146">
                        <c:v>106.25098718189946</c:v>
                      </c:pt>
                      <c:pt idx="147">
                        <c:v>106.34298929007775</c:v>
                      </c:pt>
                      <c:pt idx="148">
                        <c:v>106.34575255001738</c:v>
                      </c:pt>
                      <c:pt idx="149">
                        <c:v>106.43507780765123</c:v>
                      </c:pt>
                      <c:pt idx="150">
                        <c:v>106.52739913650804</c:v>
                      </c:pt>
                      <c:pt idx="151">
                        <c:v>106.61988076265345</c:v>
                      </c:pt>
                      <c:pt idx="152">
                        <c:v>106.71252310393587</c:v>
                      </c:pt>
                      <c:pt idx="153">
                        <c:v>106.80532657965722</c:v>
                      </c:pt>
                      <c:pt idx="154">
                        <c:v>106.89829161057936</c:v>
                      </c:pt>
                      <c:pt idx="155">
                        <c:v>106.99141861893035</c:v>
                      </c:pt>
                      <c:pt idx="156">
                        <c:v>107.08470802841084</c:v>
                      </c:pt>
                      <c:pt idx="157">
                        <c:v>107.17816026420054</c:v>
                      </c:pt>
                      <c:pt idx="158">
                        <c:v>107.25876027121366</c:v>
                      </c:pt>
                      <c:pt idx="159">
                        <c:v>107.2696463554618</c:v>
                      </c:pt>
                      <c:pt idx="160">
                        <c:v>107.33210284851572</c:v>
                      </c:pt>
                      <c:pt idx="161">
                        <c:v>107.36177145263083</c:v>
                      </c:pt>
                      <c:pt idx="162">
                        <c:v>107.45570810957275</c:v>
                      </c:pt>
                      <c:pt idx="163">
                        <c:v>107.54980929105338</c:v>
                      </c:pt>
                      <c:pt idx="164">
                        <c:v>107.64407542968412</c:v>
                      </c:pt>
                      <c:pt idx="165">
                        <c:v>107.73850695959449</c:v>
                      </c:pt>
                      <c:pt idx="166">
                        <c:v>107.83310431643868</c:v>
                      </c:pt>
                      <c:pt idx="167">
                        <c:v>107.92786793740233</c:v>
                      </c:pt>
                      <c:pt idx="168">
                        <c:v>108.02279826120918</c:v>
                      </c:pt>
                      <c:pt idx="169">
                        <c:v>108.11789572812792</c:v>
                      </c:pt>
                      <c:pt idx="170">
                        <c:v>108.21316077997892</c:v>
                      </c:pt>
                      <c:pt idx="171">
                        <c:v>108.30859386014117</c:v>
                      </c:pt>
                      <c:pt idx="172">
                        <c:v>108.40419541355908</c:v>
                      </c:pt>
                      <c:pt idx="173">
                        <c:v>108.49996588674937</c:v>
                      </c:pt>
                      <c:pt idx="174">
                        <c:v>108.59590572780816</c:v>
                      </c:pt>
                      <c:pt idx="175">
                        <c:v>108.69201538641778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E08-437A-82E3-E6E18873826B}"/>
                  </c:ext>
                </c:extLst>
              </c15:ser>
            </c15:filteredScatterSeries>
          </c:ext>
        </c:extLst>
      </c:scatterChart>
      <c:valAx>
        <c:axId val="775855871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ELEVATION</a:t>
                </a:r>
              </a:p>
            </c:rich>
          </c:tx>
          <c:layout>
            <c:manualLayout>
              <c:xMode val="edge"/>
              <c:yMode val="edge"/>
              <c:x val="5.867195114613E-3"/>
              <c:y val="0.4393435424958738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,##0.0\ &quot;ft&quot;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773151"/>
        <c:crosses val="autoZero"/>
        <c:crossBetween val="midCat"/>
      </c:valAx>
      <c:valAx>
        <c:axId val="283773151"/>
        <c:scaling>
          <c:orientation val="minMax"/>
          <c:max val="230000"/>
          <c:min val="9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MILEPOST</a:t>
                </a:r>
              </a:p>
            </c:rich>
          </c:tx>
          <c:layout>
            <c:manualLayout>
              <c:xMode val="edge"/>
              <c:yMode val="edge"/>
              <c:x val="5.7940457322408628E-2"/>
              <c:y val="0.956229505752252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#\+##" sourceLinked="1"/>
        <c:majorTickMark val="out"/>
        <c:minorTickMark val="in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855871"/>
        <c:crosses val="autoZero"/>
        <c:crossBetween val="midCat"/>
        <c:majorUnit val="5000"/>
        <c:minorUnit val="500"/>
      </c:valAx>
      <c:valAx>
        <c:axId val="1690698783"/>
        <c:scaling>
          <c:orientation val="minMax"/>
          <c:max val="150"/>
        </c:scaling>
        <c:delete val="0"/>
        <c:axPos val="r"/>
        <c:numFmt formatCode="0.0" sourceLinked="1"/>
        <c:majorTickMark val="out"/>
        <c:minorTickMark val="cross"/>
        <c:tickLblPos val="nextTo"/>
        <c:spPr>
          <a:ln/>
        </c:spPr>
        <c:crossAx val="1690699743"/>
        <c:crosses val="max"/>
        <c:crossBetween val="midCat"/>
        <c:majorUnit val="25"/>
      </c:valAx>
      <c:valAx>
        <c:axId val="1690699743"/>
        <c:scaling>
          <c:orientation val="minMax"/>
        </c:scaling>
        <c:delete val="1"/>
        <c:axPos val="t"/>
        <c:numFmt formatCode="#\+##" sourceLinked="1"/>
        <c:majorTickMark val="out"/>
        <c:minorTickMark val="none"/>
        <c:tickLblPos val="nextTo"/>
        <c:crossAx val="1690698783"/>
        <c:crosses val="max"/>
        <c:crossBetween val="midCat"/>
      </c:valAx>
      <c:spPr>
        <a:noFill/>
        <a:ln>
          <a:solidFill>
            <a:srgbClr val="00B0F0"/>
          </a:solidFill>
        </a:ln>
      </c:spPr>
    </c:plotArea>
    <c:legend>
      <c:legendPos val="b"/>
      <c:layout>
        <c:manualLayout>
          <c:xMode val="edge"/>
          <c:yMode val="edge"/>
          <c:x val="0.18150711981998213"/>
          <c:y val="0.87705081259959028"/>
          <c:w val="0.61186231599919461"/>
          <c:h val="2.6759768236517604E-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Spread</a:t>
            </a:r>
            <a:r>
              <a:rPr lang="en-US" baseline="0"/>
              <a:t> C Test Section 1 &amp; 2</a:t>
            </a:r>
            <a:endParaRPr lang="en-US"/>
          </a:p>
        </c:rich>
      </c:tx>
      <c:layout>
        <c:manualLayout>
          <c:xMode val="edge"/>
          <c:yMode val="edge"/>
          <c:x val="0.39887883445166156"/>
          <c:y val="4.0437160731823458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6.8350249766401083E-2"/>
          <c:y val="9.3795150952280977E-3"/>
          <c:w val="0.86484188428897979"/>
          <c:h val="0.9023426648184445"/>
        </c:manualLayout>
      </c:layout>
      <c:scatterChart>
        <c:scatterStyle val="smoothMarker"/>
        <c:varyColors val="0"/>
        <c:ser>
          <c:idx val="3"/>
          <c:order val="0"/>
          <c:tx>
            <c:strRef>
              <c:f>TS!$B$1</c:f>
              <c:strCache>
                <c:ptCount val="1"/>
                <c:pt idx="0">
                  <c:v>Survey Elevation</c:v>
                </c:pt>
              </c:strCache>
            </c:strRef>
          </c:tx>
          <c:spPr>
            <a:ln w="3175">
              <a:solidFill>
                <a:schemeClr val="tx1"/>
              </a:solidFill>
            </a:ln>
          </c:spPr>
          <c:marker>
            <c:symbol val="none"/>
          </c:marker>
          <c:xVal>
            <c:numRef>
              <c:f>'TS2'!#REF!</c:f>
            </c:numRef>
          </c:xVal>
          <c:yVal>
            <c:numRef>
              <c:f>TS!$O$2:$O$177</c:f>
              <c:numCache>
                <c:formatCode>0.0</c:formatCode>
                <c:ptCount val="176"/>
                <c:pt idx="0">
                  <c:v>825.18449999999996</c:v>
                </c:pt>
                <c:pt idx="1">
                  <c:v>822.00390000000004</c:v>
                </c:pt>
                <c:pt idx="2">
                  <c:v>818.54489999999998</c:v>
                </c:pt>
                <c:pt idx="3">
                  <c:v>814.72770000000003</c:v>
                </c:pt>
                <c:pt idx="4">
                  <c:v>812.42039999999997</c:v>
                </c:pt>
                <c:pt idx="5">
                  <c:v>808.45690000000002</c:v>
                </c:pt>
                <c:pt idx="6">
                  <c:v>805.67160000000001</c:v>
                </c:pt>
                <c:pt idx="7">
                  <c:v>803.46410000000003</c:v>
                </c:pt>
                <c:pt idx="8">
                  <c:v>802.625</c:v>
                </c:pt>
                <c:pt idx="9">
                  <c:v>802.10730000000001</c:v>
                </c:pt>
                <c:pt idx="10">
                  <c:v>801.93790000000001</c:v>
                </c:pt>
                <c:pt idx="11">
                  <c:v>804.26419999999996</c:v>
                </c:pt>
                <c:pt idx="12">
                  <c:v>807.31610000000001</c:v>
                </c:pt>
                <c:pt idx="13">
                  <c:v>812.62819999999999</c:v>
                </c:pt>
                <c:pt idx="14">
                  <c:v>811.20650000000001</c:v>
                </c:pt>
                <c:pt idx="15">
                  <c:v>808.82249999999999</c:v>
                </c:pt>
                <c:pt idx="16">
                  <c:v>806.58780000000002</c:v>
                </c:pt>
                <c:pt idx="17">
                  <c:v>804.4325</c:v>
                </c:pt>
                <c:pt idx="18">
                  <c:v>801.51639999999998</c:v>
                </c:pt>
                <c:pt idx="19">
                  <c:v>798.98090000000002</c:v>
                </c:pt>
                <c:pt idx="20">
                  <c:v>790.85580000000004</c:v>
                </c:pt>
                <c:pt idx="21">
                  <c:v>777.31920000000002</c:v>
                </c:pt>
                <c:pt idx="22">
                  <c:v>752.5068</c:v>
                </c:pt>
                <c:pt idx="23">
                  <c:v>743.84879999999998</c:v>
                </c:pt>
                <c:pt idx="24">
                  <c:v>733.67330000000004</c:v>
                </c:pt>
                <c:pt idx="25">
                  <c:v>713.57770000000005</c:v>
                </c:pt>
                <c:pt idx="26">
                  <c:v>701.03</c:v>
                </c:pt>
                <c:pt idx="27">
                  <c:v>693.17319999999995</c:v>
                </c:pt>
                <c:pt idx="28">
                  <c:v>685.2826</c:v>
                </c:pt>
                <c:pt idx="29">
                  <c:v>682.06600000000003</c:v>
                </c:pt>
                <c:pt idx="30">
                  <c:v>675.88239999999996</c:v>
                </c:pt>
                <c:pt idx="31">
                  <c:v>686.31809999999996</c:v>
                </c:pt>
                <c:pt idx="32">
                  <c:v>690.95450000000005</c:v>
                </c:pt>
                <c:pt idx="33">
                  <c:v>691.38530000000003</c:v>
                </c:pt>
                <c:pt idx="34">
                  <c:v>694.19590000000005</c:v>
                </c:pt>
                <c:pt idx="35">
                  <c:v>690.27779999999996</c:v>
                </c:pt>
                <c:pt idx="36">
                  <c:v>683.13340000000005</c:v>
                </c:pt>
                <c:pt idx="37">
                  <c:v>683.13340000000005</c:v>
                </c:pt>
                <c:pt idx="38">
                  <c:v>676.62919999999997</c:v>
                </c:pt>
                <c:pt idx="39">
                  <c:v>676.62919999999997</c:v>
                </c:pt>
                <c:pt idx="40">
                  <c:v>671.69830000000002</c:v>
                </c:pt>
                <c:pt idx="41">
                  <c:v>671.00139999999999</c:v>
                </c:pt>
                <c:pt idx="42">
                  <c:v>666.16539999999998</c:v>
                </c:pt>
                <c:pt idx="43">
                  <c:v>663.45740000000001</c:v>
                </c:pt>
                <c:pt idx="44">
                  <c:v>663.45740000000001</c:v>
                </c:pt>
                <c:pt idx="45">
                  <c:v>660.59079999999994</c:v>
                </c:pt>
                <c:pt idx="46">
                  <c:v>659.40179999999998</c:v>
                </c:pt>
                <c:pt idx="47">
                  <c:v>657.68020000000001</c:v>
                </c:pt>
                <c:pt idx="48">
                  <c:v>657.16989999999998</c:v>
                </c:pt>
                <c:pt idx="49">
                  <c:v>655.13040000000001</c:v>
                </c:pt>
                <c:pt idx="50">
                  <c:v>654.24860000000001</c:v>
                </c:pt>
                <c:pt idx="51">
                  <c:v>653.02930000000003</c:v>
                </c:pt>
                <c:pt idx="52">
                  <c:v>652.4556</c:v>
                </c:pt>
                <c:pt idx="53">
                  <c:v>652.60400000000004</c:v>
                </c:pt>
                <c:pt idx="54">
                  <c:v>650.85900000000004</c:v>
                </c:pt>
                <c:pt idx="55">
                  <c:v>637.76790000000005</c:v>
                </c:pt>
                <c:pt idx="56">
                  <c:v>651.46469999999999</c:v>
                </c:pt>
                <c:pt idx="57">
                  <c:v>653.09400000000005</c:v>
                </c:pt>
                <c:pt idx="58">
                  <c:v>651.93449999999996</c:v>
                </c:pt>
                <c:pt idx="59">
                  <c:v>650.70630000000006</c:v>
                </c:pt>
                <c:pt idx="60">
                  <c:v>650.13319999999999</c:v>
                </c:pt>
                <c:pt idx="61">
                  <c:v>651.59879999999998</c:v>
                </c:pt>
                <c:pt idx="62">
                  <c:v>652.65060000000005</c:v>
                </c:pt>
                <c:pt idx="63">
                  <c:v>653.5838</c:v>
                </c:pt>
                <c:pt idx="64">
                  <c:v>653.5838</c:v>
                </c:pt>
                <c:pt idx="65">
                  <c:v>653.86239999999998</c:v>
                </c:pt>
                <c:pt idx="66">
                  <c:v>653.92240000000004</c:v>
                </c:pt>
                <c:pt idx="67">
                  <c:v>653.88509999999997</c:v>
                </c:pt>
                <c:pt idx="68">
                  <c:v>654.69820000000004</c:v>
                </c:pt>
                <c:pt idx="69">
                  <c:v>655.52179999999998</c:v>
                </c:pt>
                <c:pt idx="70">
                  <c:v>656.35440000000006</c:v>
                </c:pt>
                <c:pt idx="71">
                  <c:v>656.60299999999995</c:v>
                </c:pt>
                <c:pt idx="72">
                  <c:v>656.28959999999995</c:v>
                </c:pt>
                <c:pt idx="73">
                  <c:v>656.14840000000004</c:v>
                </c:pt>
                <c:pt idx="74">
                  <c:v>656.16840000000002</c:v>
                </c:pt>
                <c:pt idx="75">
                  <c:v>657.12649999999996</c:v>
                </c:pt>
                <c:pt idx="76">
                  <c:v>657.77350000000001</c:v>
                </c:pt>
                <c:pt idx="77">
                  <c:v>659.60289999999998</c:v>
                </c:pt>
                <c:pt idx="78">
                  <c:v>660.0444</c:v>
                </c:pt>
                <c:pt idx="79">
                  <c:v>658.68079999999998</c:v>
                </c:pt>
                <c:pt idx="80">
                  <c:v>657.8723</c:v>
                </c:pt>
                <c:pt idx="81">
                  <c:v>656.36090000000002</c:v>
                </c:pt>
                <c:pt idx="82">
                  <c:v>655.59299999999996</c:v>
                </c:pt>
                <c:pt idx="83">
                  <c:v>655.52239999999995</c:v>
                </c:pt>
                <c:pt idx="84">
                  <c:v>655.52239999999995</c:v>
                </c:pt>
                <c:pt idx="85">
                  <c:v>656.56399999999996</c:v>
                </c:pt>
                <c:pt idx="86">
                  <c:v>656.56399999999996</c:v>
                </c:pt>
                <c:pt idx="87">
                  <c:v>654.28840000000002</c:v>
                </c:pt>
                <c:pt idx="88">
                  <c:v>654.34280000000001</c:v>
                </c:pt>
                <c:pt idx="89">
                  <c:v>653.0222</c:v>
                </c:pt>
                <c:pt idx="90">
                  <c:v>651.2192</c:v>
                </c:pt>
                <c:pt idx="91">
                  <c:v>648.79340000000002</c:v>
                </c:pt>
                <c:pt idx="92">
                  <c:v>646.48009999999999</c:v>
                </c:pt>
                <c:pt idx="93">
                  <c:v>645.92719999999997</c:v>
                </c:pt>
                <c:pt idx="94">
                  <c:v>644.42859999999996</c:v>
                </c:pt>
                <c:pt idx="95">
                  <c:v>642.63789999999995</c:v>
                </c:pt>
                <c:pt idx="96">
                  <c:v>642.40009999999995</c:v>
                </c:pt>
                <c:pt idx="97">
                  <c:v>641.60040000000004</c:v>
                </c:pt>
                <c:pt idx="98">
                  <c:v>641.26499999999999</c:v>
                </c:pt>
                <c:pt idx="99">
                  <c:v>643.09270000000004</c:v>
                </c:pt>
                <c:pt idx="100">
                  <c:v>642.17790000000002</c:v>
                </c:pt>
                <c:pt idx="101">
                  <c:v>641.22940000000006</c:v>
                </c:pt>
                <c:pt idx="102">
                  <c:v>641.15949999999998</c:v>
                </c:pt>
                <c:pt idx="103">
                  <c:v>641.06799999999998</c:v>
                </c:pt>
                <c:pt idx="104">
                  <c:v>640.85429999999997</c:v>
                </c:pt>
                <c:pt idx="105">
                  <c:v>640.37289999999996</c:v>
                </c:pt>
                <c:pt idx="106">
                  <c:v>639.97969999999998</c:v>
                </c:pt>
                <c:pt idx="107">
                  <c:v>639.92949999999996</c:v>
                </c:pt>
                <c:pt idx="108">
                  <c:v>639.94920000000002</c:v>
                </c:pt>
                <c:pt idx="109">
                  <c:v>639.85019999999997</c:v>
                </c:pt>
                <c:pt idx="110">
                  <c:v>640.32029999999997</c:v>
                </c:pt>
                <c:pt idx="111">
                  <c:v>640.65509999999995</c:v>
                </c:pt>
                <c:pt idx="112">
                  <c:v>640.86850000000004</c:v>
                </c:pt>
                <c:pt idx="113">
                  <c:v>641.2509</c:v>
                </c:pt>
                <c:pt idx="114">
                  <c:v>641.71299999999997</c:v>
                </c:pt>
                <c:pt idx="115">
                  <c:v>642.03970000000004</c:v>
                </c:pt>
                <c:pt idx="116">
                  <c:v>642.44529999999997</c:v>
                </c:pt>
                <c:pt idx="117">
                  <c:v>642.71410000000003</c:v>
                </c:pt>
                <c:pt idx="118">
                  <c:v>642.73509999999999</c:v>
                </c:pt>
                <c:pt idx="119">
                  <c:v>643.01520000000005</c:v>
                </c:pt>
                <c:pt idx="120">
                  <c:v>642.9624</c:v>
                </c:pt>
                <c:pt idx="121">
                  <c:v>643.02099999999996</c:v>
                </c:pt>
                <c:pt idx="122">
                  <c:v>643.13009999999997</c:v>
                </c:pt>
                <c:pt idx="123">
                  <c:v>643.48130000000003</c:v>
                </c:pt>
                <c:pt idx="124">
                  <c:v>643.73969999999997</c:v>
                </c:pt>
                <c:pt idx="125">
                  <c:v>644.13160000000005</c:v>
                </c:pt>
                <c:pt idx="126">
                  <c:v>644.16430000000003</c:v>
                </c:pt>
                <c:pt idx="127">
                  <c:v>644.28980000000001</c:v>
                </c:pt>
                <c:pt idx="128">
                  <c:v>643.87350000000004</c:v>
                </c:pt>
                <c:pt idx="129">
                  <c:v>643.87350000000004</c:v>
                </c:pt>
                <c:pt idx="130">
                  <c:v>643.16189999999995</c:v>
                </c:pt>
                <c:pt idx="131">
                  <c:v>642.36509999999998</c:v>
                </c:pt>
                <c:pt idx="132">
                  <c:v>644.47519999999997</c:v>
                </c:pt>
                <c:pt idx="133">
                  <c:v>644.20090000000005</c:v>
                </c:pt>
                <c:pt idx="134">
                  <c:v>644.36249999999995</c:v>
                </c:pt>
                <c:pt idx="135">
                  <c:v>644.95619999999997</c:v>
                </c:pt>
                <c:pt idx="136">
                  <c:v>645.99260000000004</c:v>
                </c:pt>
                <c:pt idx="137">
                  <c:v>646.57389999999998</c:v>
                </c:pt>
                <c:pt idx="138">
                  <c:v>647.07370000000003</c:v>
                </c:pt>
                <c:pt idx="139">
                  <c:v>647.07370000000003</c:v>
                </c:pt>
                <c:pt idx="140">
                  <c:v>647.19560000000001</c:v>
                </c:pt>
                <c:pt idx="141">
                  <c:v>648.01829999999995</c:v>
                </c:pt>
                <c:pt idx="142">
                  <c:v>648.31510000000003</c:v>
                </c:pt>
                <c:pt idx="143">
                  <c:v>648.67579999999998</c:v>
                </c:pt>
                <c:pt idx="144">
                  <c:v>648.67579999999998</c:v>
                </c:pt>
                <c:pt idx="145">
                  <c:v>648.87159999999994</c:v>
                </c:pt>
                <c:pt idx="146">
                  <c:v>650.02539999999999</c:v>
                </c:pt>
                <c:pt idx="147">
                  <c:v>651.15719999999999</c:v>
                </c:pt>
                <c:pt idx="148">
                  <c:v>651.15719999999999</c:v>
                </c:pt>
                <c:pt idx="149">
                  <c:v>650.73090000000002</c:v>
                </c:pt>
                <c:pt idx="150">
                  <c:v>650.9873</c:v>
                </c:pt>
                <c:pt idx="151">
                  <c:v>650.70330000000001</c:v>
                </c:pt>
                <c:pt idx="152">
                  <c:v>650.54729999999995</c:v>
                </c:pt>
                <c:pt idx="153">
                  <c:v>650.45330000000001</c:v>
                </c:pt>
                <c:pt idx="154">
                  <c:v>649.92359999999996</c:v>
                </c:pt>
                <c:pt idx="155">
                  <c:v>649.19650000000001</c:v>
                </c:pt>
                <c:pt idx="156">
                  <c:v>645.39549999999997</c:v>
                </c:pt>
                <c:pt idx="157">
                  <c:v>640.13739999999996</c:v>
                </c:pt>
                <c:pt idx="158">
                  <c:v>640.13739999999996</c:v>
                </c:pt>
                <c:pt idx="159">
                  <c:v>650.2423</c:v>
                </c:pt>
                <c:pt idx="160">
                  <c:v>650.2423</c:v>
                </c:pt>
                <c:pt idx="161">
                  <c:v>649.74329999999998</c:v>
                </c:pt>
                <c:pt idx="162">
                  <c:v>649.31479999999999</c:v>
                </c:pt>
                <c:pt idx="163">
                  <c:v>648.97919999999999</c:v>
                </c:pt>
                <c:pt idx="164">
                  <c:v>648.69200000000001</c:v>
                </c:pt>
                <c:pt idx="165">
                  <c:v>648.42679999999996</c:v>
                </c:pt>
                <c:pt idx="166">
                  <c:v>648.23710000000005</c:v>
                </c:pt>
                <c:pt idx="167">
                  <c:v>648.08339999999998</c:v>
                </c:pt>
                <c:pt idx="168">
                  <c:v>648.49940000000004</c:v>
                </c:pt>
                <c:pt idx="169">
                  <c:v>648.27560000000005</c:v>
                </c:pt>
                <c:pt idx="170">
                  <c:v>647.3759</c:v>
                </c:pt>
                <c:pt idx="171">
                  <c:v>647.50490000000002</c:v>
                </c:pt>
                <c:pt idx="172">
                  <c:v>647.36900000000003</c:v>
                </c:pt>
                <c:pt idx="173">
                  <c:v>647.28840000000002</c:v>
                </c:pt>
                <c:pt idx="174">
                  <c:v>647.28570000000002</c:v>
                </c:pt>
                <c:pt idx="175">
                  <c:v>647.29819999999995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39D-4B55-B9C3-F1CB0564D65B}"/>
            </c:ext>
          </c:extLst>
        </c:ser>
        <c:ser>
          <c:idx val="4"/>
          <c:order val="4"/>
          <c:tx>
            <c:v>Maximum Elevation</c:v>
          </c:tx>
          <c:spPr>
            <a:ln>
              <a:noFill/>
            </a:ln>
          </c:spPr>
          <c:marker>
            <c:symbol val="diamond"/>
            <c:size val="1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dLbl>
              <c:idx val="0"/>
              <c:layout>
                <c:manualLayout>
                  <c:x val="7.1278085879820643E-3"/>
                  <c:y val="2.2588542558195E-2"/>
                </c:manualLayout>
              </c:layout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39D-4B55-B9C3-F1CB0564D65B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xVal>
            <c:numRef>
              <c:f>Inputs!$F$3</c:f>
              <c:numCache>
                <c:formatCode>#\+##</c:formatCode>
                <c:ptCount val="1"/>
                <c:pt idx="0">
                  <c:v>162799.92000000001</c:v>
                </c:pt>
              </c:numCache>
            </c:numRef>
          </c:xVal>
          <c:yVal>
            <c:numRef>
              <c:f>Inputs!$E$3</c:f>
              <c:numCache>
                <c:formatCode>#,##0.0\ "ft"</c:formatCode>
                <c:ptCount val="1"/>
                <c:pt idx="0">
                  <c:v>938.19100000000003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39D-4B55-B9C3-F1CB0564D65B}"/>
            </c:ext>
          </c:extLst>
        </c:ser>
        <c:ser>
          <c:idx val="5"/>
          <c:order val="5"/>
          <c:tx>
            <c:v>Minimum Elevation</c:v>
          </c:tx>
          <c:spPr>
            <a:ln>
              <a:noFill/>
            </a:ln>
          </c:spPr>
          <c:marker>
            <c:symbol val="triangle"/>
            <c:size val="1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dLbl>
              <c:idx val="0"/>
              <c:layout>
                <c:manualLayout>
                  <c:x val="-0.19662381362230583"/>
                  <c:y val="-2.8112565831122469E-2"/>
                </c:manualLayout>
              </c:layout>
              <c:dLblPos val="r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39D-4B55-B9C3-F1CB0564D65B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dLblPos val="l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xVal>
            <c:numRef>
              <c:f>Inputs!$F$4</c:f>
              <c:numCache>
                <c:formatCode>#\+##</c:formatCode>
                <c:ptCount val="1"/>
                <c:pt idx="0">
                  <c:v>116999.92</c:v>
                </c:pt>
              </c:numCache>
            </c:numRef>
          </c:xVal>
          <c:yVal>
            <c:numRef>
              <c:f>Inputs!$E$4</c:f>
              <c:numCache>
                <c:formatCode>#,##0.0\ "ft"</c:formatCode>
                <c:ptCount val="1"/>
                <c:pt idx="0">
                  <c:v>572.81079999999997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39D-4B55-B9C3-F1CB0564D65B}"/>
            </c:ext>
          </c:extLst>
        </c:ser>
        <c:ser>
          <c:idx val="6"/>
          <c:order val="6"/>
          <c:tx>
            <c:v>Dewater Location</c:v>
          </c:tx>
          <c:marker>
            <c:symbol val="square"/>
            <c:size val="10"/>
            <c:spPr>
              <a:solidFill>
                <a:srgbClr val="FF0000">
                  <a:alpha val="96000"/>
                </a:srgbClr>
              </a:solidFill>
              <a:ln w="12700">
                <a:solidFill>
                  <a:srgbClr val="FF0000"/>
                </a:solidFill>
              </a:ln>
            </c:spPr>
          </c:marker>
          <c:dLbls>
            <c:dLbl>
              <c:idx val="0"/>
              <c:layout>
                <c:manualLayout>
                  <c:x val="-0.15538664813172062"/>
                  <c:y val="-2.9590948245432603E-3"/>
                </c:manualLayout>
              </c:layout>
              <c:dLblPos val="r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39D-4B55-B9C3-F1CB0564D65B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Inputs!$F$6</c:f>
              <c:numCache>
                <c:formatCode>#\+##</c:formatCode>
                <c:ptCount val="1"/>
                <c:pt idx="0">
                  <c:v>225299.92</c:v>
                </c:pt>
              </c:numCache>
            </c:numRef>
          </c:xVal>
          <c:yVal>
            <c:numRef>
              <c:f>Inputs!$C$5</c:f>
              <c:numCache>
                <c:formatCode>#,##0.0\ "ft"</c:formatCode>
                <c:ptCount val="1"/>
                <c:pt idx="0">
                  <c:v>825.18449999999996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39D-4B55-B9C3-F1CB0564D65B}"/>
            </c:ext>
          </c:extLst>
        </c:ser>
        <c:ser>
          <c:idx val="7"/>
          <c:order val="7"/>
          <c:tx>
            <c:v>Test Site</c:v>
          </c:tx>
          <c:marker>
            <c:symbol val="square"/>
            <c:size val="1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dLbl>
              <c:idx val="0"/>
              <c:layout>
                <c:manualLayout>
                  <c:x val="-0.13566090932549493"/>
                  <c:y val="-2.8111400833160053E-2"/>
                </c:manualLayout>
              </c:layout>
              <c:dLblPos val="r"/>
              <c:showLegendKey val="0"/>
              <c:showVal val="1"/>
              <c:showCatName val="1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39D-4B55-B9C3-F1CB0564D65B}"/>
                </c:ext>
              </c:extLst>
            </c:dLbl>
            <c:spPr>
              <a:noFill/>
              <a:ln>
                <a:noFill/>
              </a:ln>
              <a:effectLst/>
            </c:spPr>
            <c:dLblPos val="l"/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Inputs!#REF!</c:f>
            </c:numRef>
          </c:xVal>
          <c:yVal>
            <c:numRef>
              <c:f>Inputs!$C$5</c:f>
              <c:numCache>
                <c:formatCode>#,##0.0\ "ft"</c:formatCode>
                <c:ptCount val="1"/>
                <c:pt idx="0">
                  <c:v>825.18449999999996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39D-4B55-B9C3-F1CB0564D65B}"/>
            </c:ext>
          </c:extLst>
        </c:ser>
        <c:ser>
          <c:idx val="8"/>
          <c:order val="8"/>
          <c:tx>
            <c:v>Fill Site</c:v>
          </c:tx>
          <c:marker>
            <c:symbol val="circle"/>
            <c:size val="1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1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Inputs!#REF!</c:f>
            </c:numRef>
          </c:xVal>
          <c:yVal>
            <c:numRef>
              <c:f>Inputs!$C$3</c:f>
              <c:numCache>
                <c:formatCode>#,##0.0\ "ft"</c:formatCode>
                <c:ptCount val="1"/>
                <c:pt idx="0">
                  <c:v>825.18449999999996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39D-4B55-B9C3-F1CB0564D65B}"/>
            </c:ext>
          </c:extLst>
        </c:ser>
        <c:ser>
          <c:idx val="9"/>
          <c:order val="9"/>
          <c:tx>
            <c:strRef>
              <c:f>TS!$W$1</c:f>
              <c:strCache>
                <c:ptCount val="1"/>
                <c:pt idx="0">
                  <c:v>Dewater Pressure (psi)</c:v>
                </c:pt>
              </c:strCache>
            </c:strRef>
          </c:tx>
          <c:marker>
            <c:symbol val="none"/>
          </c:marker>
          <c:xVal>
            <c:numRef>
              <c:f>TS!$N$2:$N$177</c:f>
              <c:numCache>
                <c:formatCode>#\+##</c:formatCode>
                <c:ptCount val="176"/>
                <c:pt idx="0">
                  <c:v>95899.92</c:v>
                </c:pt>
                <c:pt idx="1">
                  <c:v>95999.92</c:v>
                </c:pt>
                <c:pt idx="2">
                  <c:v>96099.92</c:v>
                </c:pt>
                <c:pt idx="3">
                  <c:v>96199.92</c:v>
                </c:pt>
                <c:pt idx="4">
                  <c:v>96299.92</c:v>
                </c:pt>
                <c:pt idx="5">
                  <c:v>96399.92</c:v>
                </c:pt>
                <c:pt idx="6">
                  <c:v>96499.92</c:v>
                </c:pt>
                <c:pt idx="7">
                  <c:v>96599.92</c:v>
                </c:pt>
                <c:pt idx="8">
                  <c:v>96699.92</c:v>
                </c:pt>
                <c:pt idx="9">
                  <c:v>96799.92</c:v>
                </c:pt>
                <c:pt idx="10">
                  <c:v>96899.92</c:v>
                </c:pt>
                <c:pt idx="11">
                  <c:v>96999.92</c:v>
                </c:pt>
                <c:pt idx="12">
                  <c:v>97099.92</c:v>
                </c:pt>
                <c:pt idx="13">
                  <c:v>97199.92</c:v>
                </c:pt>
                <c:pt idx="14">
                  <c:v>97299.92</c:v>
                </c:pt>
                <c:pt idx="15">
                  <c:v>97399.92</c:v>
                </c:pt>
                <c:pt idx="16">
                  <c:v>97499.92</c:v>
                </c:pt>
                <c:pt idx="17">
                  <c:v>97599.92</c:v>
                </c:pt>
                <c:pt idx="18">
                  <c:v>97699.92</c:v>
                </c:pt>
                <c:pt idx="19">
                  <c:v>97799.92</c:v>
                </c:pt>
                <c:pt idx="20">
                  <c:v>97899.92</c:v>
                </c:pt>
                <c:pt idx="21">
                  <c:v>97999.92</c:v>
                </c:pt>
                <c:pt idx="22">
                  <c:v>98099.92</c:v>
                </c:pt>
                <c:pt idx="23">
                  <c:v>98199.92</c:v>
                </c:pt>
                <c:pt idx="24">
                  <c:v>98299.92</c:v>
                </c:pt>
                <c:pt idx="25">
                  <c:v>98399.92</c:v>
                </c:pt>
                <c:pt idx="26">
                  <c:v>98499.92</c:v>
                </c:pt>
                <c:pt idx="27">
                  <c:v>98599.92</c:v>
                </c:pt>
                <c:pt idx="28">
                  <c:v>98699.92</c:v>
                </c:pt>
                <c:pt idx="29">
                  <c:v>98799.92</c:v>
                </c:pt>
                <c:pt idx="30">
                  <c:v>98899.92</c:v>
                </c:pt>
                <c:pt idx="31">
                  <c:v>98999.92</c:v>
                </c:pt>
                <c:pt idx="32">
                  <c:v>99099.92</c:v>
                </c:pt>
                <c:pt idx="33">
                  <c:v>99199.92</c:v>
                </c:pt>
                <c:pt idx="34">
                  <c:v>99299.92</c:v>
                </c:pt>
                <c:pt idx="35">
                  <c:v>99399.92</c:v>
                </c:pt>
                <c:pt idx="36">
                  <c:v>99499.92</c:v>
                </c:pt>
                <c:pt idx="37">
                  <c:v>99596.6</c:v>
                </c:pt>
                <c:pt idx="38">
                  <c:v>99599.92</c:v>
                </c:pt>
                <c:pt idx="39">
                  <c:v>99676.6</c:v>
                </c:pt>
                <c:pt idx="40">
                  <c:v>99699.92</c:v>
                </c:pt>
                <c:pt idx="41">
                  <c:v>99799.92</c:v>
                </c:pt>
                <c:pt idx="42">
                  <c:v>99899.92</c:v>
                </c:pt>
                <c:pt idx="43">
                  <c:v>99999.92</c:v>
                </c:pt>
                <c:pt idx="44">
                  <c:v>100093.7</c:v>
                </c:pt>
                <c:pt idx="45">
                  <c:v>100099.92</c:v>
                </c:pt>
                <c:pt idx="46">
                  <c:v>100199.92</c:v>
                </c:pt>
                <c:pt idx="47">
                  <c:v>100299.92</c:v>
                </c:pt>
                <c:pt idx="48">
                  <c:v>100399.92</c:v>
                </c:pt>
                <c:pt idx="49">
                  <c:v>100499.92</c:v>
                </c:pt>
                <c:pt idx="50">
                  <c:v>100599.92</c:v>
                </c:pt>
                <c:pt idx="51">
                  <c:v>100699.92</c:v>
                </c:pt>
                <c:pt idx="52">
                  <c:v>100799.92</c:v>
                </c:pt>
                <c:pt idx="53">
                  <c:v>100899.92</c:v>
                </c:pt>
                <c:pt idx="54">
                  <c:v>100999.92</c:v>
                </c:pt>
                <c:pt idx="55">
                  <c:v>101099.92</c:v>
                </c:pt>
                <c:pt idx="56">
                  <c:v>101199.92</c:v>
                </c:pt>
                <c:pt idx="57">
                  <c:v>101299.92</c:v>
                </c:pt>
                <c:pt idx="58">
                  <c:v>101399.92</c:v>
                </c:pt>
                <c:pt idx="59">
                  <c:v>101499.92</c:v>
                </c:pt>
                <c:pt idx="60">
                  <c:v>101599.92</c:v>
                </c:pt>
                <c:pt idx="61">
                  <c:v>101699.92</c:v>
                </c:pt>
                <c:pt idx="62">
                  <c:v>101799.92</c:v>
                </c:pt>
                <c:pt idx="63">
                  <c:v>101899.92</c:v>
                </c:pt>
                <c:pt idx="64">
                  <c:v>101918.7</c:v>
                </c:pt>
                <c:pt idx="65">
                  <c:v>101999.92</c:v>
                </c:pt>
                <c:pt idx="66">
                  <c:v>102099.92</c:v>
                </c:pt>
                <c:pt idx="67">
                  <c:v>102199.92</c:v>
                </c:pt>
                <c:pt idx="68">
                  <c:v>102299.92</c:v>
                </c:pt>
                <c:pt idx="69">
                  <c:v>102399.92</c:v>
                </c:pt>
                <c:pt idx="70">
                  <c:v>102499.92</c:v>
                </c:pt>
                <c:pt idx="71">
                  <c:v>102599.92</c:v>
                </c:pt>
                <c:pt idx="72">
                  <c:v>102699.92</c:v>
                </c:pt>
                <c:pt idx="73">
                  <c:v>102799.92</c:v>
                </c:pt>
                <c:pt idx="74">
                  <c:v>102899.92</c:v>
                </c:pt>
                <c:pt idx="75">
                  <c:v>102999.92</c:v>
                </c:pt>
                <c:pt idx="76">
                  <c:v>103099.92</c:v>
                </c:pt>
                <c:pt idx="77">
                  <c:v>103199.92</c:v>
                </c:pt>
                <c:pt idx="78">
                  <c:v>103299.92</c:v>
                </c:pt>
                <c:pt idx="79">
                  <c:v>103399.92</c:v>
                </c:pt>
                <c:pt idx="80">
                  <c:v>103499.92</c:v>
                </c:pt>
                <c:pt idx="81">
                  <c:v>103599.92</c:v>
                </c:pt>
                <c:pt idx="82">
                  <c:v>103699.92</c:v>
                </c:pt>
                <c:pt idx="83">
                  <c:v>103799.92</c:v>
                </c:pt>
                <c:pt idx="84">
                  <c:v>103809.3</c:v>
                </c:pt>
                <c:pt idx="85">
                  <c:v>103899.92</c:v>
                </c:pt>
                <c:pt idx="86">
                  <c:v>103929.3</c:v>
                </c:pt>
                <c:pt idx="87">
                  <c:v>103999.92</c:v>
                </c:pt>
                <c:pt idx="88">
                  <c:v>104099.92</c:v>
                </c:pt>
                <c:pt idx="89">
                  <c:v>104199.92</c:v>
                </c:pt>
                <c:pt idx="90">
                  <c:v>104299.92</c:v>
                </c:pt>
                <c:pt idx="91">
                  <c:v>104399.92</c:v>
                </c:pt>
                <c:pt idx="92">
                  <c:v>104499.92</c:v>
                </c:pt>
                <c:pt idx="93">
                  <c:v>104599.92</c:v>
                </c:pt>
                <c:pt idx="94">
                  <c:v>104699.92</c:v>
                </c:pt>
                <c:pt idx="95">
                  <c:v>104799.92</c:v>
                </c:pt>
                <c:pt idx="96">
                  <c:v>104899.92</c:v>
                </c:pt>
                <c:pt idx="97">
                  <c:v>104999.92</c:v>
                </c:pt>
                <c:pt idx="98">
                  <c:v>105099.92</c:v>
                </c:pt>
                <c:pt idx="99">
                  <c:v>105199.92</c:v>
                </c:pt>
                <c:pt idx="100">
                  <c:v>105299.92</c:v>
                </c:pt>
                <c:pt idx="101">
                  <c:v>105399.92</c:v>
                </c:pt>
                <c:pt idx="102">
                  <c:v>105499.92</c:v>
                </c:pt>
                <c:pt idx="103">
                  <c:v>105599.92</c:v>
                </c:pt>
                <c:pt idx="104">
                  <c:v>105699.92</c:v>
                </c:pt>
                <c:pt idx="105">
                  <c:v>105799.92</c:v>
                </c:pt>
                <c:pt idx="106">
                  <c:v>105899.92</c:v>
                </c:pt>
                <c:pt idx="107">
                  <c:v>105999.92</c:v>
                </c:pt>
                <c:pt idx="108">
                  <c:v>106099.92</c:v>
                </c:pt>
                <c:pt idx="109">
                  <c:v>106199.92</c:v>
                </c:pt>
                <c:pt idx="110">
                  <c:v>106299.92</c:v>
                </c:pt>
                <c:pt idx="111">
                  <c:v>106399.92</c:v>
                </c:pt>
                <c:pt idx="112">
                  <c:v>106499.92</c:v>
                </c:pt>
                <c:pt idx="113">
                  <c:v>106599.92</c:v>
                </c:pt>
                <c:pt idx="114">
                  <c:v>106699.92</c:v>
                </c:pt>
                <c:pt idx="115">
                  <c:v>106799.92</c:v>
                </c:pt>
                <c:pt idx="116">
                  <c:v>106899.92</c:v>
                </c:pt>
                <c:pt idx="117">
                  <c:v>106999.92</c:v>
                </c:pt>
                <c:pt idx="118">
                  <c:v>107099.92</c:v>
                </c:pt>
                <c:pt idx="119">
                  <c:v>107199.92</c:v>
                </c:pt>
                <c:pt idx="120">
                  <c:v>107299.92</c:v>
                </c:pt>
                <c:pt idx="121">
                  <c:v>107399.92</c:v>
                </c:pt>
                <c:pt idx="122">
                  <c:v>107499.92</c:v>
                </c:pt>
                <c:pt idx="123">
                  <c:v>107599.92</c:v>
                </c:pt>
                <c:pt idx="124">
                  <c:v>107699.92</c:v>
                </c:pt>
                <c:pt idx="125">
                  <c:v>107799.92</c:v>
                </c:pt>
                <c:pt idx="126">
                  <c:v>107899.92</c:v>
                </c:pt>
                <c:pt idx="127">
                  <c:v>107999.92</c:v>
                </c:pt>
                <c:pt idx="128">
                  <c:v>108099.92</c:v>
                </c:pt>
                <c:pt idx="129">
                  <c:v>108159.1</c:v>
                </c:pt>
                <c:pt idx="130">
                  <c:v>108199.92</c:v>
                </c:pt>
                <c:pt idx="131">
                  <c:v>108299.92</c:v>
                </c:pt>
                <c:pt idx="132">
                  <c:v>108399.92</c:v>
                </c:pt>
                <c:pt idx="133">
                  <c:v>108499.92</c:v>
                </c:pt>
                <c:pt idx="134">
                  <c:v>108599.92</c:v>
                </c:pt>
                <c:pt idx="135">
                  <c:v>108699.92</c:v>
                </c:pt>
                <c:pt idx="136">
                  <c:v>108799.92</c:v>
                </c:pt>
                <c:pt idx="137">
                  <c:v>108899.92</c:v>
                </c:pt>
                <c:pt idx="138">
                  <c:v>108999.92</c:v>
                </c:pt>
                <c:pt idx="139">
                  <c:v>109036</c:v>
                </c:pt>
                <c:pt idx="140">
                  <c:v>109099.92</c:v>
                </c:pt>
                <c:pt idx="141">
                  <c:v>109199.92</c:v>
                </c:pt>
                <c:pt idx="142">
                  <c:v>109299.92</c:v>
                </c:pt>
                <c:pt idx="143">
                  <c:v>109399.92</c:v>
                </c:pt>
                <c:pt idx="144">
                  <c:v>109421</c:v>
                </c:pt>
                <c:pt idx="145">
                  <c:v>109499.92</c:v>
                </c:pt>
                <c:pt idx="146">
                  <c:v>109599.92</c:v>
                </c:pt>
                <c:pt idx="147">
                  <c:v>109699.92</c:v>
                </c:pt>
                <c:pt idx="148">
                  <c:v>109703</c:v>
                </c:pt>
                <c:pt idx="149">
                  <c:v>109799.92</c:v>
                </c:pt>
                <c:pt idx="150">
                  <c:v>109899.92</c:v>
                </c:pt>
                <c:pt idx="151">
                  <c:v>109999.92</c:v>
                </c:pt>
                <c:pt idx="152">
                  <c:v>110099.92</c:v>
                </c:pt>
                <c:pt idx="153">
                  <c:v>110199.92</c:v>
                </c:pt>
                <c:pt idx="154">
                  <c:v>110299.92</c:v>
                </c:pt>
                <c:pt idx="155">
                  <c:v>110399.92</c:v>
                </c:pt>
                <c:pt idx="156">
                  <c:v>110499.92</c:v>
                </c:pt>
                <c:pt idx="157">
                  <c:v>110599.92</c:v>
                </c:pt>
                <c:pt idx="158">
                  <c:v>110688.3</c:v>
                </c:pt>
                <c:pt idx="159">
                  <c:v>110699.92</c:v>
                </c:pt>
                <c:pt idx="160">
                  <c:v>110768.3</c:v>
                </c:pt>
                <c:pt idx="161">
                  <c:v>110799.92</c:v>
                </c:pt>
                <c:pt idx="162">
                  <c:v>110899.92</c:v>
                </c:pt>
                <c:pt idx="163">
                  <c:v>110999.92</c:v>
                </c:pt>
                <c:pt idx="164">
                  <c:v>111099.92</c:v>
                </c:pt>
                <c:pt idx="165">
                  <c:v>111199.92</c:v>
                </c:pt>
                <c:pt idx="166">
                  <c:v>111299.92</c:v>
                </c:pt>
                <c:pt idx="167">
                  <c:v>111399.92</c:v>
                </c:pt>
                <c:pt idx="168">
                  <c:v>111499.92</c:v>
                </c:pt>
                <c:pt idx="169">
                  <c:v>111599.92</c:v>
                </c:pt>
                <c:pt idx="170">
                  <c:v>111699.92</c:v>
                </c:pt>
                <c:pt idx="171">
                  <c:v>111799.92</c:v>
                </c:pt>
                <c:pt idx="172">
                  <c:v>111899.92</c:v>
                </c:pt>
                <c:pt idx="173">
                  <c:v>111999.92</c:v>
                </c:pt>
                <c:pt idx="174">
                  <c:v>112099.92</c:v>
                </c:pt>
                <c:pt idx="175">
                  <c:v>112199.92</c:v>
                </c:pt>
              </c:numCache>
            </c:numRef>
          </c:xVal>
          <c:yVal>
            <c:numRef>
              <c:f>TS!$W$2:$W$177</c:f>
            </c:numRef>
          </c:yVal>
          <c:smooth val="1"/>
          <c:extLst>
            <c:ext xmlns:c16="http://schemas.microsoft.com/office/drawing/2014/chart" uri="{C3380CC4-5D6E-409C-BE32-E72D297353CC}">
              <c16:uniqueId val="{0000000E-939D-4B55-B9C3-F1CB0564D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3773151"/>
        <c:axId val="775855871"/>
      </c:scatterChart>
      <c:scatterChart>
        <c:scatterStyle val="smoothMarker"/>
        <c:varyColors val="0"/>
        <c:ser>
          <c:idx val="11"/>
          <c:order val="10"/>
          <c:tx>
            <c:strRef>
              <c:f>TS!$Z$1</c:f>
              <c:strCache>
                <c:ptCount val="1"/>
                <c:pt idx="0">
                  <c:v>Min Air Vol (SCF)*1000</c:v>
                </c:pt>
              </c:strCache>
            </c:strRef>
          </c:tx>
          <c:marker>
            <c:spPr>
              <a:noFill/>
              <a:ln>
                <a:noFill/>
              </a:ln>
            </c:spPr>
          </c:marker>
          <c:xVal>
            <c:numRef>
              <c:f>TS!$N$2:$N$177</c:f>
              <c:numCache>
                <c:formatCode>#\+##</c:formatCode>
                <c:ptCount val="176"/>
                <c:pt idx="0">
                  <c:v>95899.92</c:v>
                </c:pt>
                <c:pt idx="1">
                  <c:v>95999.92</c:v>
                </c:pt>
                <c:pt idx="2">
                  <c:v>96099.92</c:v>
                </c:pt>
                <c:pt idx="3">
                  <c:v>96199.92</c:v>
                </c:pt>
                <c:pt idx="4">
                  <c:v>96299.92</c:v>
                </c:pt>
                <c:pt idx="5">
                  <c:v>96399.92</c:v>
                </c:pt>
                <c:pt idx="6">
                  <c:v>96499.92</c:v>
                </c:pt>
                <c:pt idx="7">
                  <c:v>96599.92</c:v>
                </c:pt>
                <c:pt idx="8">
                  <c:v>96699.92</c:v>
                </c:pt>
                <c:pt idx="9">
                  <c:v>96799.92</c:v>
                </c:pt>
                <c:pt idx="10">
                  <c:v>96899.92</c:v>
                </c:pt>
                <c:pt idx="11">
                  <c:v>96999.92</c:v>
                </c:pt>
                <c:pt idx="12">
                  <c:v>97099.92</c:v>
                </c:pt>
                <c:pt idx="13">
                  <c:v>97199.92</c:v>
                </c:pt>
                <c:pt idx="14">
                  <c:v>97299.92</c:v>
                </c:pt>
                <c:pt idx="15">
                  <c:v>97399.92</c:v>
                </c:pt>
                <c:pt idx="16">
                  <c:v>97499.92</c:v>
                </c:pt>
                <c:pt idx="17">
                  <c:v>97599.92</c:v>
                </c:pt>
                <c:pt idx="18">
                  <c:v>97699.92</c:v>
                </c:pt>
                <c:pt idx="19">
                  <c:v>97799.92</c:v>
                </c:pt>
                <c:pt idx="20">
                  <c:v>97899.92</c:v>
                </c:pt>
                <c:pt idx="21">
                  <c:v>97999.92</c:v>
                </c:pt>
                <c:pt idx="22">
                  <c:v>98099.92</c:v>
                </c:pt>
                <c:pt idx="23">
                  <c:v>98199.92</c:v>
                </c:pt>
                <c:pt idx="24">
                  <c:v>98299.92</c:v>
                </c:pt>
                <c:pt idx="25">
                  <c:v>98399.92</c:v>
                </c:pt>
                <c:pt idx="26">
                  <c:v>98499.92</c:v>
                </c:pt>
                <c:pt idx="27">
                  <c:v>98599.92</c:v>
                </c:pt>
                <c:pt idx="28">
                  <c:v>98699.92</c:v>
                </c:pt>
                <c:pt idx="29">
                  <c:v>98799.92</c:v>
                </c:pt>
                <c:pt idx="30">
                  <c:v>98899.92</c:v>
                </c:pt>
                <c:pt idx="31">
                  <c:v>98999.92</c:v>
                </c:pt>
                <c:pt idx="32">
                  <c:v>99099.92</c:v>
                </c:pt>
                <c:pt idx="33">
                  <c:v>99199.92</c:v>
                </c:pt>
                <c:pt idx="34">
                  <c:v>99299.92</c:v>
                </c:pt>
                <c:pt idx="35">
                  <c:v>99399.92</c:v>
                </c:pt>
                <c:pt idx="36">
                  <c:v>99499.92</c:v>
                </c:pt>
                <c:pt idx="37">
                  <c:v>99596.6</c:v>
                </c:pt>
                <c:pt idx="38">
                  <c:v>99599.92</c:v>
                </c:pt>
                <c:pt idx="39">
                  <c:v>99676.6</c:v>
                </c:pt>
                <c:pt idx="40">
                  <c:v>99699.92</c:v>
                </c:pt>
                <c:pt idx="41">
                  <c:v>99799.92</c:v>
                </c:pt>
                <c:pt idx="42">
                  <c:v>99899.92</c:v>
                </c:pt>
                <c:pt idx="43">
                  <c:v>99999.92</c:v>
                </c:pt>
                <c:pt idx="44">
                  <c:v>100093.7</c:v>
                </c:pt>
                <c:pt idx="45">
                  <c:v>100099.92</c:v>
                </c:pt>
                <c:pt idx="46">
                  <c:v>100199.92</c:v>
                </c:pt>
                <c:pt idx="47">
                  <c:v>100299.92</c:v>
                </c:pt>
                <c:pt idx="48">
                  <c:v>100399.92</c:v>
                </c:pt>
                <c:pt idx="49">
                  <c:v>100499.92</c:v>
                </c:pt>
                <c:pt idx="50">
                  <c:v>100599.92</c:v>
                </c:pt>
                <c:pt idx="51">
                  <c:v>100699.92</c:v>
                </c:pt>
                <c:pt idx="52">
                  <c:v>100799.92</c:v>
                </c:pt>
                <c:pt idx="53">
                  <c:v>100899.92</c:v>
                </c:pt>
                <c:pt idx="54">
                  <c:v>100999.92</c:v>
                </c:pt>
                <c:pt idx="55">
                  <c:v>101099.92</c:v>
                </c:pt>
                <c:pt idx="56">
                  <c:v>101199.92</c:v>
                </c:pt>
                <c:pt idx="57">
                  <c:v>101299.92</c:v>
                </c:pt>
                <c:pt idx="58">
                  <c:v>101399.92</c:v>
                </c:pt>
                <c:pt idx="59">
                  <c:v>101499.92</c:v>
                </c:pt>
                <c:pt idx="60">
                  <c:v>101599.92</c:v>
                </c:pt>
                <c:pt idx="61">
                  <c:v>101699.92</c:v>
                </c:pt>
                <c:pt idx="62">
                  <c:v>101799.92</c:v>
                </c:pt>
                <c:pt idx="63">
                  <c:v>101899.92</c:v>
                </c:pt>
                <c:pt idx="64">
                  <c:v>101918.7</c:v>
                </c:pt>
                <c:pt idx="65">
                  <c:v>101999.92</c:v>
                </c:pt>
                <c:pt idx="66">
                  <c:v>102099.92</c:v>
                </c:pt>
                <c:pt idx="67">
                  <c:v>102199.92</c:v>
                </c:pt>
                <c:pt idx="68">
                  <c:v>102299.92</c:v>
                </c:pt>
                <c:pt idx="69">
                  <c:v>102399.92</c:v>
                </c:pt>
                <c:pt idx="70">
                  <c:v>102499.92</c:v>
                </c:pt>
                <c:pt idx="71">
                  <c:v>102599.92</c:v>
                </c:pt>
                <c:pt idx="72">
                  <c:v>102699.92</c:v>
                </c:pt>
                <c:pt idx="73">
                  <c:v>102799.92</c:v>
                </c:pt>
                <c:pt idx="74">
                  <c:v>102899.92</c:v>
                </c:pt>
                <c:pt idx="75">
                  <c:v>102999.92</c:v>
                </c:pt>
                <c:pt idx="76">
                  <c:v>103099.92</c:v>
                </c:pt>
                <c:pt idx="77">
                  <c:v>103199.92</c:v>
                </c:pt>
                <c:pt idx="78">
                  <c:v>103299.92</c:v>
                </c:pt>
                <c:pt idx="79">
                  <c:v>103399.92</c:v>
                </c:pt>
                <c:pt idx="80">
                  <c:v>103499.92</c:v>
                </c:pt>
                <c:pt idx="81">
                  <c:v>103599.92</c:v>
                </c:pt>
                <c:pt idx="82">
                  <c:v>103699.92</c:v>
                </c:pt>
                <c:pt idx="83">
                  <c:v>103799.92</c:v>
                </c:pt>
                <c:pt idx="84">
                  <c:v>103809.3</c:v>
                </c:pt>
                <c:pt idx="85">
                  <c:v>103899.92</c:v>
                </c:pt>
                <c:pt idx="86">
                  <c:v>103929.3</c:v>
                </c:pt>
                <c:pt idx="87">
                  <c:v>103999.92</c:v>
                </c:pt>
                <c:pt idx="88">
                  <c:v>104099.92</c:v>
                </c:pt>
                <c:pt idx="89">
                  <c:v>104199.92</c:v>
                </c:pt>
                <c:pt idx="90">
                  <c:v>104299.92</c:v>
                </c:pt>
                <c:pt idx="91">
                  <c:v>104399.92</c:v>
                </c:pt>
                <c:pt idx="92">
                  <c:v>104499.92</c:v>
                </c:pt>
                <c:pt idx="93">
                  <c:v>104599.92</c:v>
                </c:pt>
                <c:pt idx="94">
                  <c:v>104699.92</c:v>
                </c:pt>
                <c:pt idx="95">
                  <c:v>104799.92</c:v>
                </c:pt>
                <c:pt idx="96">
                  <c:v>104899.92</c:v>
                </c:pt>
                <c:pt idx="97">
                  <c:v>104999.92</c:v>
                </c:pt>
                <c:pt idx="98">
                  <c:v>105099.92</c:v>
                </c:pt>
                <c:pt idx="99">
                  <c:v>105199.92</c:v>
                </c:pt>
                <c:pt idx="100">
                  <c:v>105299.92</c:v>
                </c:pt>
                <c:pt idx="101">
                  <c:v>105399.92</c:v>
                </c:pt>
                <c:pt idx="102">
                  <c:v>105499.92</c:v>
                </c:pt>
                <c:pt idx="103">
                  <c:v>105599.92</c:v>
                </c:pt>
                <c:pt idx="104">
                  <c:v>105699.92</c:v>
                </c:pt>
                <c:pt idx="105">
                  <c:v>105799.92</c:v>
                </c:pt>
                <c:pt idx="106">
                  <c:v>105899.92</c:v>
                </c:pt>
                <c:pt idx="107">
                  <c:v>105999.92</c:v>
                </c:pt>
                <c:pt idx="108">
                  <c:v>106099.92</c:v>
                </c:pt>
                <c:pt idx="109">
                  <c:v>106199.92</c:v>
                </c:pt>
                <c:pt idx="110">
                  <c:v>106299.92</c:v>
                </c:pt>
                <c:pt idx="111">
                  <c:v>106399.92</c:v>
                </c:pt>
                <c:pt idx="112">
                  <c:v>106499.92</c:v>
                </c:pt>
                <c:pt idx="113">
                  <c:v>106599.92</c:v>
                </c:pt>
                <c:pt idx="114">
                  <c:v>106699.92</c:v>
                </c:pt>
                <c:pt idx="115">
                  <c:v>106799.92</c:v>
                </c:pt>
                <c:pt idx="116">
                  <c:v>106899.92</c:v>
                </c:pt>
                <c:pt idx="117">
                  <c:v>106999.92</c:v>
                </c:pt>
                <c:pt idx="118">
                  <c:v>107099.92</c:v>
                </c:pt>
                <c:pt idx="119">
                  <c:v>107199.92</c:v>
                </c:pt>
                <c:pt idx="120">
                  <c:v>107299.92</c:v>
                </c:pt>
                <c:pt idx="121">
                  <c:v>107399.92</c:v>
                </c:pt>
                <c:pt idx="122">
                  <c:v>107499.92</c:v>
                </c:pt>
                <c:pt idx="123">
                  <c:v>107599.92</c:v>
                </c:pt>
                <c:pt idx="124">
                  <c:v>107699.92</c:v>
                </c:pt>
                <c:pt idx="125">
                  <c:v>107799.92</c:v>
                </c:pt>
                <c:pt idx="126">
                  <c:v>107899.92</c:v>
                </c:pt>
                <c:pt idx="127">
                  <c:v>107999.92</c:v>
                </c:pt>
                <c:pt idx="128">
                  <c:v>108099.92</c:v>
                </c:pt>
                <c:pt idx="129">
                  <c:v>108159.1</c:v>
                </c:pt>
                <c:pt idx="130">
                  <c:v>108199.92</c:v>
                </c:pt>
                <c:pt idx="131">
                  <c:v>108299.92</c:v>
                </c:pt>
                <c:pt idx="132">
                  <c:v>108399.92</c:v>
                </c:pt>
                <c:pt idx="133">
                  <c:v>108499.92</c:v>
                </c:pt>
                <c:pt idx="134">
                  <c:v>108599.92</c:v>
                </c:pt>
                <c:pt idx="135">
                  <c:v>108699.92</c:v>
                </c:pt>
                <c:pt idx="136">
                  <c:v>108799.92</c:v>
                </c:pt>
                <c:pt idx="137">
                  <c:v>108899.92</c:v>
                </c:pt>
                <c:pt idx="138">
                  <c:v>108999.92</c:v>
                </c:pt>
                <c:pt idx="139">
                  <c:v>109036</c:v>
                </c:pt>
                <c:pt idx="140">
                  <c:v>109099.92</c:v>
                </c:pt>
                <c:pt idx="141">
                  <c:v>109199.92</c:v>
                </c:pt>
                <c:pt idx="142">
                  <c:v>109299.92</c:v>
                </c:pt>
                <c:pt idx="143">
                  <c:v>109399.92</c:v>
                </c:pt>
                <c:pt idx="144">
                  <c:v>109421</c:v>
                </c:pt>
                <c:pt idx="145">
                  <c:v>109499.92</c:v>
                </c:pt>
                <c:pt idx="146">
                  <c:v>109599.92</c:v>
                </c:pt>
                <c:pt idx="147">
                  <c:v>109699.92</c:v>
                </c:pt>
                <c:pt idx="148">
                  <c:v>109703</c:v>
                </c:pt>
                <c:pt idx="149">
                  <c:v>109799.92</c:v>
                </c:pt>
                <c:pt idx="150">
                  <c:v>109899.92</c:v>
                </c:pt>
                <c:pt idx="151">
                  <c:v>109999.92</c:v>
                </c:pt>
                <c:pt idx="152">
                  <c:v>110099.92</c:v>
                </c:pt>
                <c:pt idx="153">
                  <c:v>110199.92</c:v>
                </c:pt>
                <c:pt idx="154">
                  <c:v>110299.92</c:v>
                </c:pt>
                <c:pt idx="155">
                  <c:v>110399.92</c:v>
                </c:pt>
                <c:pt idx="156">
                  <c:v>110499.92</c:v>
                </c:pt>
                <c:pt idx="157">
                  <c:v>110599.92</c:v>
                </c:pt>
                <c:pt idx="158">
                  <c:v>110688.3</c:v>
                </c:pt>
                <c:pt idx="159">
                  <c:v>110699.92</c:v>
                </c:pt>
                <c:pt idx="160">
                  <c:v>110768.3</c:v>
                </c:pt>
                <c:pt idx="161">
                  <c:v>110799.92</c:v>
                </c:pt>
                <c:pt idx="162">
                  <c:v>110899.92</c:v>
                </c:pt>
                <c:pt idx="163">
                  <c:v>110999.92</c:v>
                </c:pt>
                <c:pt idx="164">
                  <c:v>111099.92</c:v>
                </c:pt>
                <c:pt idx="165">
                  <c:v>111199.92</c:v>
                </c:pt>
                <c:pt idx="166">
                  <c:v>111299.92</c:v>
                </c:pt>
                <c:pt idx="167">
                  <c:v>111399.92</c:v>
                </c:pt>
                <c:pt idx="168">
                  <c:v>111499.92</c:v>
                </c:pt>
                <c:pt idx="169">
                  <c:v>111599.92</c:v>
                </c:pt>
                <c:pt idx="170">
                  <c:v>111699.92</c:v>
                </c:pt>
                <c:pt idx="171">
                  <c:v>111799.92</c:v>
                </c:pt>
                <c:pt idx="172">
                  <c:v>111899.92</c:v>
                </c:pt>
                <c:pt idx="173">
                  <c:v>111999.92</c:v>
                </c:pt>
                <c:pt idx="174">
                  <c:v>112099.92</c:v>
                </c:pt>
                <c:pt idx="175">
                  <c:v>112199.92</c:v>
                </c:pt>
              </c:numCache>
            </c:numRef>
          </c:xVal>
          <c:yVal>
            <c:numRef>
              <c:f>TS!$Z$2:$Z$177</c:f>
            </c:numRef>
          </c:yVal>
          <c:smooth val="1"/>
          <c:extLst>
            <c:ext xmlns:c16="http://schemas.microsoft.com/office/drawing/2014/chart" uri="{C3380CC4-5D6E-409C-BE32-E72D297353CC}">
              <c16:uniqueId val="{00000011-939D-4B55-B9C3-F1CB0564D6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1299488"/>
        <c:axId val="71129686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TS!$M$1</c15:sqref>
                        </c15:formulaRef>
                      </c:ext>
                    </c:extLst>
                    <c:strCache>
                      <c:ptCount val="1"/>
                      <c:pt idx="0">
                        <c:v>Test Pressure</c:v>
                      </c:pt>
                    </c:strCache>
                  </c:strRef>
                </c:tx>
                <c:spPr>
                  <a:ln w="9525"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'TS2'!#REF!</c15:sqref>
                        </c15:formulaRef>
                      </c:ext>
                    </c:extLst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TS!$S$2:$S$177</c15:sqref>
                        </c15:formulaRef>
                      </c:ext>
                    </c:extLst>
                    <c:numCache>
                      <c:formatCode>0.0</c:formatCode>
                      <c:ptCount val="176"/>
                      <c:pt idx="0">
                        <c:v>1874.9657164499999</c:v>
                      </c:pt>
                      <c:pt idx="1">
                        <c:v>1876.3438704299999</c:v>
                      </c:pt>
                      <c:pt idx="2">
                        <c:v>1877.8426551299999</c:v>
                      </c:pt>
                      <c:pt idx="3">
                        <c:v>1879.4966478899998</c:v>
                      </c:pt>
                      <c:pt idx="4">
                        <c:v>1880.4964009799999</c:v>
                      </c:pt>
                      <c:pt idx="5">
                        <c:v>1882.21378553</c:v>
                      </c:pt>
                      <c:pt idx="6">
                        <c:v>1883.42065602</c:v>
                      </c:pt>
                      <c:pt idx="7">
                        <c:v>1884.3771657699999</c:v>
                      </c:pt>
                      <c:pt idx="8">
                        <c:v>1884.7407478</c:v>
                      </c:pt>
                      <c:pt idx="9">
                        <c:v>1884.9650672099999</c:v>
                      </c:pt>
                      <c:pt idx="10">
                        <c:v>1885.03846823</c:v>
                      </c:pt>
                      <c:pt idx="11">
                        <c:v>1884.03048244</c:v>
                      </c:pt>
                      <c:pt idx="12">
                        <c:v>1882.7080941699999</c:v>
                      </c:pt>
                      <c:pt idx="13">
                        <c:v>1880.40636124</c:v>
                      </c:pt>
                      <c:pt idx="14">
                        <c:v>1881.0223838499999</c:v>
                      </c:pt>
                      <c:pt idx="15">
                        <c:v>1882.0553710499998</c:v>
                      </c:pt>
                      <c:pt idx="16">
                        <c:v>1883.0236665599998</c:v>
                      </c:pt>
                      <c:pt idx="17">
                        <c:v>1883.95755805</c:v>
                      </c:pt>
                      <c:pt idx="18">
                        <c:v>1885.2211041799999</c:v>
                      </c:pt>
                      <c:pt idx="19">
                        <c:v>1886.3197363299998</c:v>
                      </c:pt>
                      <c:pt idx="20">
                        <c:v>1889.8403421599999</c:v>
                      </c:pt>
                      <c:pt idx="21">
                        <c:v>1895.7057509399999</c:v>
                      </c:pt>
                      <c:pt idx="22">
                        <c:v>1906.4569638599999</c:v>
                      </c:pt>
                      <c:pt idx="23">
                        <c:v>1910.2084752599999</c:v>
                      </c:pt>
                      <c:pt idx="24">
                        <c:v>1914.6175194099999</c:v>
                      </c:pt>
                      <c:pt idx="25">
                        <c:v>1923.3249428899999</c:v>
                      </c:pt>
                      <c:pt idx="26">
                        <c:v>1928.7618613</c:v>
                      </c:pt>
                      <c:pt idx="27">
                        <c:v>1932.16621274</c:v>
                      </c:pt>
                      <c:pt idx="28">
                        <c:v>1935.58520972</c:v>
                      </c:pt>
                      <c:pt idx="29">
                        <c:v>1936.9789624999999</c:v>
                      </c:pt>
                      <c:pt idx="30">
                        <c:v>1939.6583163799999</c:v>
                      </c:pt>
                      <c:pt idx="31">
                        <c:v>1935.13652757</c:v>
                      </c:pt>
                      <c:pt idx="32">
                        <c:v>1933.12757545</c:v>
                      </c:pt>
                      <c:pt idx="33">
                        <c:v>1932.94090981</c:v>
                      </c:pt>
                      <c:pt idx="34">
                        <c:v>1931.7230768299999</c:v>
                      </c:pt>
                      <c:pt idx="35">
                        <c:v>1933.42078956</c:v>
                      </c:pt>
                      <c:pt idx="36">
                        <c:v>1936.5164580799999</c:v>
                      </c:pt>
                      <c:pt idx="37">
                        <c:v>1936.5164580799999</c:v>
                      </c:pt>
                      <c:pt idx="38">
                        <c:v>1939.33472794</c:v>
                      </c:pt>
                      <c:pt idx="39">
                        <c:v>1939.33472794</c:v>
                      </c:pt>
                      <c:pt idx="40">
                        <c:v>1941.4712869099999</c:v>
                      </c:pt>
                      <c:pt idx="41">
                        <c:v>1941.7732536799999</c:v>
                      </c:pt>
                      <c:pt idx="42">
                        <c:v>1943.8686924799999</c:v>
                      </c:pt>
                      <c:pt idx="43">
                        <c:v>1945.04206888</c:v>
                      </c:pt>
                      <c:pt idx="44">
                        <c:v>1945.04206888</c:v>
                      </c:pt>
                      <c:pt idx="45">
                        <c:v>1946.28416666</c:v>
                      </c:pt>
                      <c:pt idx="46">
                        <c:v>1946.79936036</c:v>
                      </c:pt>
                      <c:pt idx="47">
                        <c:v>1947.5453296399999</c:v>
                      </c:pt>
                      <c:pt idx="48">
                        <c:v>1947.76644263</c:v>
                      </c:pt>
                      <c:pt idx="49">
                        <c:v>1948.6501579799999</c:v>
                      </c:pt>
                      <c:pt idx="50">
                        <c:v>1949.0322419199999</c:v>
                      </c:pt>
                      <c:pt idx="51">
                        <c:v>1949.5605646099998</c:v>
                      </c:pt>
                      <c:pt idx="52">
                        <c:v>1949.80914882</c:v>
                      </c:pt>
                      <c:pt idx="53">
                        <c:v>1949.7448471</c:v>
                      </c:pt>
                      <c:pt idx="54">
                        <c:v>1950.5009556</c:v>
                      </c:pt>
                      <c:pt idx="55">
                        <c:v>1956.1733292299998</c:v>
                      </c:pt>
                      <c:pt idx="56">
                        <c:v>1950.2385057899999</c:v>
                      </c:pt>
                      <c:pt idx="57">
                        <c:v>1949.5325300999998</c:v>
                      </c:pt>
                      <c:pt idx="58">
                        <c:v>1950.0349414499999</c:v>
                      </c:pt>
                      <c:pt idx="59">
                        <c:v>1950.56712051</c:v>
                      </c:pt>
                      <c:pt idx="60">
                        <c:v>1950.81544474</c:v>
                      </c:pt>
                      <c:pt idx="61">
                        <c:v>1950.1804002599999</c:v>
                      </c:pt>
                      <c:pt idx="62">
                        <c:v>1949.72465532</c:v>
                      </c:pt>
                      <c:pt idx="63">
                        <c:v>1949.3202997599999</c:v>
                      </c:pt>
                      <c:pt idx="64">
                        <c:v>1949.3202997599999</c:v>
                      </c:pt>
                      <c:pt idx="65">
                        <c:v>1949.19958238</c:v>
                      </c:pt>
                      <c:pt idx="66">
                        <c:v>1949.17358438</c:v>
                      </c:pt>
                      <c:pt idx="67">
                        <c:v>1949.18974647</c:v>
                      </c:pt>
                      <c:pt idx="68">
                        <c:v>1948.83743024</c:v>
                      </c:pt>
                      <c:pt idx="69">
                        <c:v>1948.48056436</c:v>
                      </c:pt>
                      <c:pt idx="70">
                        <c:v>1948.1197987799999</c:v>
                      </c:pt>
                      <c:pt idx="71">
                        <c:v>1948.0120803999998</c:v>
                      </c:pt>
                      <c:pt idx="72">
                        <c:v>1948.14787662</c:v>
                      </c:pt>
                      <c:pt idx="73">
                        <c:v>1948.2090585799999</c:v>
                      </c:pt>
                      <c:pt idx="74">
                        <c:v>1948.20039258</c:v>
                      </c:pt>
                      <c:pt idx="75">
                        <c:v>1947.7852478499999</c:v>
                      </c:pt>
                      <c:pt idx="76">
                        <c:v>1947.5049027499999</c:v>
                      </c:pt>
                      <c:pt idx="77">
                        <c:v>1946.71222373</c:v>
                      </c:pt>
                      <c:pt idx="78">
                        <c:v>1946.52092178</c:v>
                      </c:pt>
                      <c:pt idx="79">
                        <c:v>1947.1117696599999</c:v>
                      </c:pt>
                      <c:pt idx="80">
                        <c:v>1947.46209271</c:v>
                      </c:pt>
                      <c:pt idx="81">
                        <c:v>1948.1169823299999</c:v>
                      </c:pt>
                      <c:pt idx="82">
                        <c:v>1948.4497133999998</c:v>
                      </c:pt>
                      <c:pt idx="83">
                        <c:v>1948.48030438</c:v>
                      </c:pt>
                      <c:pt idx="84">
                        <c:v>1948.48030438</c:v>
                      </c:pt>
                      <c:pt idx="85">
                        <c:v>1948.0289791</c:v>
                      </c:pt>
                      <c:pt idx="86">
                        <c:v>1948.0289791</c:v>
                      </c:pt>
                      <c:pt idx="87">
                        <c:v>1949.0149965799999</c:v>
                      </c:pt>
                      <c:pt idx="88">
                        <c:v>1948.99142506</c:v>
                      </c:pt>
                      <c:pt idx="89">
                        <c:v>1949.56364104</c:v>
                      </c:pt>
                      <c:pt idx="90">
                        <c:v>1950.3448809399999</c:v>
                      </c:pt>
                      <c:pt idx="91">
                        <c:v>1951.3959800799998</c:v>
                      </c:pt>
                      <c:pt idx="92">
                        <c:v>1952.39833297</c:v>
                      </c:pt>
                      <c:pt idx="93">
                        <c:v>1952.6379045399999</c:v>
                      </c:pt>
                      <c:pt idx="94">
                        <c:v>1953.28724792</c:v>
                      </c:pt>
                      <c:pt idx="95">
                        <c:v>1954.06315823</c:v>
                      </c:pt>
                      <c:pt idx="96">
                        <c:v>1954.1661969699999</c:v>
                      </c:pt>
                      <c:pt idx="97">
                        <c:v>1954.5127069799998</c:v>
                      </c:pt>
                      <c:pt idx="98">
                        <c:v>1954.6580357999999</c:v>
                      </c:pt>
                      <c:pt idx="99">
                        <c:v>1953.8660933899998</c:v>
                      </c:pt>
                      <c:pt idx="100">
                        <c:v>1954.2624762299999</c:v>
                      </c:pt>
                      <c:pt idx="101">
                        <c:v>1954.6734612799999</c:v>
                      </c:pt>
                      <c:pt idx="102">
                        <c:v>1954.7037489499999</c:v>
                      </c:pt>
                      <c:pt idx="103">
                        <c:v>1954.7433959</c:v>
                      </c:pt>
                      <c:pt idx="104">
                        <c:v>1954.83599211</c:v>
                      </c:pt>
                      <c:pt idx="105">
                        <c:v>1955.04458273</c:v>
                      </c:pt>
                      <c:pt idx="106">
                        <c:v>1955.2149562899999</c:v>
                      </c:pt>
                      <c:pt idx="107">
                        <c:v>1955.23670795</c:v>
                      </c:pt>
                      <c:pt idx="108">
                        <c:v>1955.2281719399998</c:v>
                      </c:pt>
                      <c:pt idx="109">
                        <c:v>1955.2710686399998</c:v>
                      </c:pt>
                      <c:pt idx="110">
                        <c:v>1955.0673743099999</c:v>
                      </c:pt>
                      <c:pt idx="111">
                        <c:v>1954.9223054699999</c:v>
                      </c:pt>
                      <c:pt idx="112">
                        <c:v>1954.8298392499998</c:v>
                      </c:pt>
                      <c:pt idx="113">
                        <c:v>1954.6641453299999</c:v>
                      </c:pt>
                      <c:pt idx="114">
                        <c:v>1954.4639173999999</c:v>
                      </c:pt>
                      <c:pt idx="115">
                        <c:v>1954.32235829</c:v>
                      </c:pt>
                      <c:pt idx="116">
                        <c:v>1954.14661181</c:v>
                      </c:pt>
                      <c:pt idx="117">
                        <c:v>1954.0301407699999</c:v>
                      </c:pt>
                      <c:pt idx="118">
                        <c:v>1954.02104147</c:v>
                      </c:pt>
                      <c:pt idx="119">
                        <c:v>1953.8996741399999</c:v>
                      </c:pt>
                      <c:pt idx="120">
                        <c:v>1953.9225523799998</c:v>
                      </c:pt>
                      <c:pt idx="121">
                        <c:v>1953.8971609999999</c:v>
                      </c:pt>
                      <c:pt idx="122">
                        <c:v>1953.8498879700001</c:v>
                      </c:pt>
                      <c:pt idx="123">
                        <c:v>1953.6977130099999</c:v>
                      </c:pt>
                      <c:pt idx="124">
                        <c:v>1953.5857482899999</c:v>
                      </c:pt>
                      <c:pt idx="125">
                        <c:v>1953.4159380199999</c:v>
                      </c:pt>
                      <c:pt idx="126">
                        <c:v>1953.4017691099998</c:v>
                      </c:pt>
                      <c:pt idx="127">
                        <c:v>1953.3473899599999</c:v>
                      </c:pt>
                      <c:pt idx="128">
                        <c:v>1953.5277727499999</c:v>
                      </c:pt>
                      <c:pt idx="129">
                        <c:v>1953.5277727499999</c:v>
                      </c:pt>
                      <c:pt idx="130">
                        <c:v>1953.83610903</c:v>
                      </c:pt>
                      <c:pt idx="131">
                        <c:v>1954.1813624699998</c:v>
                      </c:pt>
                      <c:pt idx="132">
                        <c:v>1953.26705614</c:v>
                      </c:pt>
                      <c:pt idx="133">
                        <c:v>1953.3859103299999</c:v>
                      </c:pt>
                      <c:pt idx="134">
                        <c:v>1953.3158890499999</c:v>
                      </c:pt>
                      <c:pt idx="135">
                        <c:v>1953.05863884</c:v>
                      </c:pt>
                      <c:pt idx="136">
                        <c:v>1952.60956672</c:v>
                      </c:pt>
                      <c:pt idx="137">
                        <c:v>1952.3576894299999</c:v>
                      </c:pt>
                      <c:pt idx="138">
                        <c:v>1952.1411260899999</c:v>
                      </c:pt>
                      <c:pt idx="139">
                        <c:v>1952.1411260899999</c:v>
                      </c:pt>
                      <c:pt idx="140">
                        <c:v>1952.0883068199998</c:v>
                      </c:pt>
                      <c:pt idx="141">
                        <c:v>1951.7318309099999</c:v>
                      </c:pt>
                      <c:pt idx="142">
                        <c:v>1951.6032274699999</c:v>
                      </c:pt>
                      <c:pt idx="143">
                        <c:v>1951.44693616</c:v>
                      </c:pt>
                      <c:pt idx="144">
                        <c:v>1951.44693616</c:v>
                      </c:pt>
                      <c:pt idx="145">
                        <c:v>1951.3620960199999</c:v>
                      </c:pt>
                      <c:pt idx="146">
                        <c:v>1950.8621544799998</c:v>
                      </c:pt>
                      <c:pt idx="147">
                        <c:v>1950.3717455399999</c:v>
                      </c:pt>
                      <c:pt idx="148">
                        <c:v>1950.3717455399999</c:v>
                      </c:pt>
                      <c:pt idx="149">
                        <c:v>1950.5564613299998</c:v>
                      </c:pt>
                      <c:pt idx="150">
                        <c:v>1950.4453632099999</c:v>
                      </c:pt>
                      <c:pt idx="151">
                        <c:v>1950.5684204099998</c:v>
                      </c:pt>
                      <c:pt idx="152">
                        <c:v>1950.6360152099999</c:v>
                      </c:pt>
                      <c:pt idx="153">
                        <c:v>1950.67674541</c:v>
                      </c:pt>
                      <c:pt idx="154">
                        <c:v>1950.9062644199998</c:v>
                      </c:pt>
                      <c:pt idx="155">
                        <c:v>1951.22131685</c:v>
                      </c:pt>
                      <c:pt idx="156">
                        <c:v>1952.8682901499999</c:v>
                      </c:pt>
                      <c:pt idx="157">
                        <c:v>1955.14662488</c:v>
                      </c:pt>
                      <c:pt idx="158">
                        <c:v>1955.14662488</c:v>
                      </c:pt>
                      <c:pt idx="159">
                        <c:v>1950.7681717099999</c:v>
                      </c:pt>
                      <c:pt idx="160">
                        <c:v>1950.7681717099999</c:v>
                      </c:pt>
                      <c:pt idx="161">
                        <c:v>1950.9843884099998</c:v>
                      </c:pt>
                      <c:pt idx="162">
                        <c:v>1951.17005746</c:v>
                      </c:pt>
                      <c:pt idx="163">
                        <c:v>1951.3154729399998</c:v>
                      </c:pt>
                      <c:pt idx="164">
                        <c:v>1951.4399166999999</c:v>
                      </c:pt>
                      <c:pt idx="165">
                        <c:v>1951.5548278599999</c:v>
                      </c:pt>
                      <c:pt idx="166">
                        <c:v>1951.63702487</c:v>
                      </c:pt>
                      <c:pt idx="167">
                        <c:v>1951.7036230799999</c:v>
                      </c:pt>
                      <c:pt idx="168">
                        <c:v>1951.5233702799999</c:v>
                      </c:pt>
                      <c:pt idx="169">
                        <c:v>1951.6203428199999</c:v>
                      </c:pt>
                      <c:pt idx="170">
                        <c:v>1952.0101828299998</c:v>
                      </c:pt>
                      <c:pt idx="171">
                        <c:v>1951.95428713</c:v>
                      </c:pt>
                      <c:pt idx="172">
                        <c:v>1952.0131726</c:v>
                      </c:pt>
                      <c:pt idx="173">
                        <c:v>1952.04809658</c:v>
                      </c:pt>
                      <c:pt idx="174">
                        <c:v>1952.0492664899998</c:v>
                      </c:pt>
                      <c:pt idx="175">
                        <c:v>1952.04385024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A-939D-4B55-B9C3-F1CB0564D65B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TS!$J$1</c15:sqref>
                        </c15:formulaRef>
                      </c:ext>
                    </c:extLst>
                    <c:strCache>
                      <c:ptCount val="1"/>
                      <c:pt idx="0">
                        <c:v>Max. Pressure</c:v>
                      </c:pt>
                    </c:strCache>
                  </c:strRef>
                </c:tx>
                <c:spPr>
                  <a:ln w="3175">
                    <a:solidFill>
                      <a:srgbClr val="00B050"/>
                    </a:solidFill>
                    <a:prstDash val="lgDashDotDot"/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'TS2'!#REF!</c15:sqref>
                        </c15:formulaRef>
                      </c:ext>
                    </c:extLst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TS!$Q$2:$Q$177</c15:sqref>
                        </c15:formulaRef>
                      </c:ext>
                    </c:extLst>
                    <c:numCache>
                      <c:formatCode>0.0</c:formatCode>
                      <c:ptCount val="176"/>
                      <c:pt idx="0">
                        <c:v>2000</c:v>
                      </c:pt>
                      <c:pt idx="1">
                        <c:v>2000</c:v>
                      </c:pt>
                      <c:pt idx="2">
                        <c:v>2000</c:v>
                      </c:pt>
                      <c:pt idx="3">
                        <c:v>2000</c:v>
                      </c:pt>
                      <c:pt idx="4">
                        <c:v>2000</c:v>
                      </c:pt>
                      <c:pt idx="5">
                        <c:v>2000</c:v>
                      </c:pt>
                      <c:pt idx="6">
                        <c:v>2000</c:v>
                      </c:pt>
                      <c:pt idx="7">
                        <c:v>2000</c:v>
                      </c:pt>
                      <c:pt idx="8">
                        <c:v>2000</c:v>
                      </c:pt>
                      <c:pt idx="9">
                        <c:v>2000</c:v>
                      </c:pt>
                      <c:pt idx="10">
                        <c:v>2000</c:v>
                      </c:pt>
                      <c:pt idx="11">
                        <c:v>2000</c:v>
                      </c:pt>
                      <c:pt idx="12">
                        <c:v>2000</c:v>
                      </c:pt>
                      <c:pt idx="13">
                        <c:v>2000</c:v>
                      </c:pt>
                      <c:pt idx="14">
                        <c:v>2000</c:v>
                      </c:pt>
                      <c:pt idx="15">
                        <c:v>2000</c:v>
                      </c:pt>
                      <c:pt idx="16">
                        <c:v>2000</c:v>
                      </c:pt>
                      <c:pt idx="17">
                        <c:v>2000</c:v>
                      </c:pt>
                      <c:pt idx="18">
                        <c:v>2000</c:v>
                      </c:pt>
                      <c:pt idx="19">
                        <c:v>2000</c:v>
                      </c:pt>
                      <c:pt idx="20">
                        <c:v>2000</c:v>
                      </c:pt>
                      <c:pt idx="21">
                        <c:v>2000</c:v>
                      </c:pt>
                      <c:pt idx="22">
                        <c:v>2000</c:v>
                      </c:pt>
                      <c:pt idx="23">
                        <c:v>2000</c:v>
                      </c:pt>
                      <c:pt idx="24">
                        <c:v>2000</c:v>
                      </c:pt>
                      <c:pt idx="25">
                        <c:v>2000</c:v>
                      </c:pt>
                      <c:pt idx="26">
                        <c:v>2000</c:v>
                      </c:pt>
                      <c:pt idx="27">
                        <c:v>2000</c:v>
                      </c:pt>
                      <c:pt idx="28">
                        <c:v>2000</c:v>
                      </c:pt>
                      <c:pt idx="29">
                        <c:v>2000</c:v>
                      </c:pt>
                      <c:pt idx="30">
                        <c:v>2000</c:v>
                      </c:pt>
                      <c:pt idx="31">
                        <c:v>2000</c:v>
                      </c:pt>
                      <c:pt idx="32">
                        <c:v>2000</c:v>
                      </c:pt>
                      <c:pt idx="33">
                        <c:v>2000</c:v>
                      </c:pt>
                      <c:pt idx="34">
                        <c:v>2000</c:v>
                      </c:pt>
                      <c:pt idx="35">
                        <c:v>2000</c:v>
                      </c:pt>
                      <c:pt idx="36">
                        <c:v>2000</c:v>
                      </c:pt>
                      <c:pt idx="37">
                        <c:v>2880</c:v>
                      </c:pt>
                      <c:pt idx="38">
                        <c:v>2000</c:v>
                      </c:pt>
                      <c:pt idx="39">
                        <c:v>2880</c:v>
                      </c:pt>
                      <c:pt idx="40">
                        <c:v>2000</c:v>
                      </c:pt>
                      <c:pt idx="41">
                        <c:v>2000</c:v>
                      </c:pt>
                      <c:pt idx="42">
                        <c:v>2000</c:v>
                      </c:pt>
                      <c:pt idx="43">
                        <c:v>2000</c:v>
                      </c:pt>
                      <c:pt idx="44">
                        <c:v>2880</c:v>
                      </c:pt>
                      <c:pt idx="45">
                        <c:v>2000</c:v>
                      </c:pt>
                      <c:pt idx="46">
                        <c:v>2000</c:v>
                      </c:pt>
                      <c:pt idx="47">
                        <c:v>2000</c:v>
                      </c:pt>
                      <c:pt idx="48">
                        <c:v>2000</c:v>
                      </c:pt>
                      <c:pt idx="49">
                        <c:v>2000</c:v>
                      </c:pt>
                      <c:pt idx="50">
                        <c:v>2000</c:v>
                      </c:pt>
                      <c:pt idx="51">
                        <c:v>2000</c:v>
                      </c:pt>
                      <c:pt idx="52">
                        <c:v>2000</c:v>
                      </c:pt>
                      <c:pt idx="53">
                        <c:v>2000</c:v>
                      </c:pt>
                      <c:pt idx="54">
                        <c:v>2000</c:v>
                      </c:pt>
                      <c:pt idx="55">
                        <c:v>2000</c:v>
                      </c:pt>
                      <c:pt idx="56">
                        <c:v>2000</c:v>
                      </c:pt>
                      <c:pt idx="57">
                        <c:v>2000</c:v>
                      </c:pt>
                      <c:pt idx="58">
                        <c:v>2000</c:v>
                      </c:pt>
                      <c:pt idx="59">
                        <c:v>2000</c:v>
                      </c:pt>
                      <c:pt idx="60">
                        <c:v>2000</c:v>
                      </c:pt>
                      <c:pt idx="61">
                        <c:v>2000</c:v>
                      </c:pt>
                      <c:pt idx="62">
                        <c:v>2000</c:v>
                      </c:pt>
                      <c:pt idx="63">
                        <c:v>2000</c:v>
                      </c:pt>
                      <c:pt idx="64">
                        <c:v>2880</c:v>
                      </c:pt>
                      <c:pt idx="65">
                        <c:v>2000</c:v>
                      </c:pt>
                      <c:pt idx="66">
                        <c:v>2000</c:v>
                      </c:pt>
                      <c:pt idx="67">
                        <c:v>2000</c:v>
                      </c:pt>
                      <c:pt idx="68">
                        <c:v>2000</c:v>
                      </c:pt>
                      <c:pt idx="69">
                        <c:v>2000</c:v>
                      </c:pt>
                      <c:pt idx="70">
                        <c:v>2000</c:v>
                      </c:pt>
                      <c:pt idx="71">
                        <c:v>2000</c:v>
                      </c:pt>
                      <c:pt idx="72">
                        <c:v>2000</c:v>
                      </c:pt>
                      <c:pt idx="73">
                        <c:v>2000</c:v>
                      </c:pt>
                      <c:pt idx="74">
                        <c:v>2000</c:v>
                      </c:pt>
                      <c:pt idx="75">
                        <c:v>2000</c:v>
                      </c:pt>
                      <c:pt idx="76">
                        <c:v>2000</c:v>
                      </c:pt>
                      <c:pt idx="77">
                        <c:v>2000</c:v>
                      </c:pt>
                      <c:pt idx="78">
                        <c:v>2000</c:v>
                      </c:pt>
                      <c:pt idx="79">
                        <c:v>2000</c:v>
                      </c:pt>
                      <c:pt idx="80">
                        <c:v>2000</c:v>
                      </c:pt>
                      <c:pt idx="81">
                        <c:v>2000</c:v>
                      </c:pt>
                      <c:pt idx="82">
                        <c:v>2000</c:v>
                      </c:pt>
                      <c:pt idx="83">
                        <c:v>2000</c:v>
                      </c:pt>
                      <c:pt idx="84">
                        <c:v>2880</c:v>
                      </c:pt>
                      <c:pt idx="85">
                        <c:v>2000</c:v>
                      </c:pt>
                      <c:pt idx="86">
                        <c:v>2880</c:v>
                      </c:pt>
                      <c:pt idx="87">
                        <c:v>2000</c:v>
                      </c:pt>
                      <c:pt idx="88">
                        <c:v>2000</c:v>
                      </c:pt>
                      <c:pt idx="89">
                        <c:v>2000</c:v>
                      </c:pt>
                      <c:pt idx="90">
                        <c:v>2000</c:v>
                      </c:pt>
                      <c:pt idx="91">
                        <c:v>2000</c:v>
                      </c:pt>
                      <c:pt idx="92">
                        <c:v>2000</c:v>
                      </c:pt>
                      <c:pt idx="93">
                        <c:v>2000</c:v>
                      </c:pt>
                      <c:pt idx="94">
                        <c:v>2000</c:v>
                      </c:pt>
                      <c:pt idx="95">
                        <c:v>2000</c:v>
                      </c:pt>
                      <c:pt idx="96">
                        <c:v>2000</c:v>
                      </c:pt>
                      <c:pt idx="97">
                        <c:v>2000</c:v>
                      </c:pt>
                      <c:pt idx="98">
                        <c:v>2000</c:v>
                      </c:pt>
                      <c:pt idx="99">
                        <c:v>2000</c:v>
                      </c:pt>
                      <c:pt idx="100">
                        <c:v>2000</c:v>
                      </c:pt>
                      <c:pt idx="101">
                        <c:v>2000</c:v>
                      </c:pt>
                      <c:pt idx="102">
                        <c:v>2000</c:v>
                      </c:pt>
                      <c:pt idx="103">
                        <c:v>2000</c:v>
                      </c:pt>
                      <c:pt idx="104">
                        <c:v>2000</c:v>
                      </c:pt>
                      <c:pt idx="105">
                        <c:v>2000</c:v>
                      </c:pt>
                      <c:pt idx="106">
                        <c:v>2000</c:v>
                      </c:pt>
                      <c:pt idx="107">
                        <c:v>2000</c:v>
                      </c:pt>
                      <c:pt idx="108">
                        <c:v>2000</c:v>
                      </c:pt>
                      <c:pt idx="109">
                        <c:v>2000</c:v>
                      </c:pt>
                      <c:pt idx="110">
                        <c:v>2000</c:v>
                      </c:pt>
                      <c:pt idx="111">
                        <c:v>2000</c:v>
                      </c:pt>
                      <c:pt idx="112">
                        <c:v>2000</c:v>
                      </c:pt>
                      <c:pt idx="113">
                        <c:v>2000</c:v>
                      </c:pt>
                      <c:pt idx="114">
                        <c:v>2000</c:v>
                      </c:pt>
                      <c:pt idx="115">
                        <c:v>2000</c:v>
                      </c:pt>
                      <c:pt idx="116">
                        <c:v>2000</c:v>
                      </c:pt>
                      <c:pt idx="117">
                        <c:v>2000</c:v>
                      </c:pt>
                      <c:pt idx="118">
                        <c:v>2000</c:v>
                      </c:pt>
                      <c:pt idx="119">
                        <c:v>2000</c:v>
                      </c:pt>
                      <c:pt idx="120">
                        <c:v>2000</c:v>
                      </c:pt>
                      <c:pt idx="121">
                        <c:v>2000</c:v>
                      </c:pt>
                      <c:pt idx="122">
                        <c:v>2000</c:v>
                      </c:pt>
                      <c:pt idx="123">
                        <c:v>2000</c:v>
                      </c:pt>
                      <c:pt idx="124">
                        <c:v>2000</c:v>
                      </c:pt>
                      <c:pt idx="125">
                        <c:v>2000</c:v>
                      </c:pt>
                      <c:pt idx="126">
                        <c:v>2000</c:v>
                      </c:pt>
                      <c:pt idx="127">
                        <c:v>2000</c:v>
                      </c:pt>
                      <c:pt idx="128">
                        <c:v>2000</c:v>
                      </c:pt>
                      <c:pt idx="129">
                        <c:v>2880</c:v>
                      </c:pt>
                      <c:pt idx="130">
                        <c:v>2000</c:v>
                      </c:pt>
                      <c:pt idx="131">
                        <c:v>2000</c:v>
                      </c:pt>
                      <c:pt idx="132">
                        <c:v>2000</c:v>
                      </c:pt>
                      <c:pt idx="133">
                        <c:v>2000</c:v>
                      </c:pt>
                      <c:pt idx="134">
                        <c:v>2000</c:v>
                      </c:pt>
                      <c:pt idx="135">
                        <c:v>2000</c:v>
                      </c:pt>
                      <c:pt idx="136">
                        <c:v>2000</c:v>
                      </c:pt>
                      <c:pt idx="137">
                        <c:v>2000</c:v>
                      </c:pt>
                      <c:pt idx="138">
                        <c:v>2000</c:v>
                      </c:pt>
                      <c:pt idx="139">
                        <c:v>2880</c:v>
                      </c:pt>
                      <c:pt idx="140">
                        <c:v>2000</c:v>
                      </c:pt>
                      <c:pt idx="141">
                        <c:v>2000</c:v>
                      </c:pt>
                      <c:pt idx="142">
                        <c:v>2000</c:v>
                      </c:pt>
                      <c:pt idx="143">
                        <c:v>2000</c:v>
                      </c:pt>
                      <c:pt idx="144">
                        <c:v>2000</c:v>
                      </c:pt>
                      <c:pt idx="145">
                        <c:v>2000</c:v>
                      </c:pt>
                      <c:pt idx="146">
                        <c:v>2000</c:v>
                      </c:pt>
                      <c:pt idx="147">
                        <c:v>2000</c:v>
                      </c:pt>
                      <c:pt idx="148">
                        <c:v>2880</c:v>
                      </c:pt>
                      <c:pt idx="149">
                        <c:v>2000</c:v>
                      </c:pt>
                      <c:pt idx="150">
                        <c:v>2000</c:v>
                      </c:pt>
                      <c:pt idx="151">
                        <c:v>2000</c:v>
                      </c:pt>
                      <c:pt idx="152">
                        <c:v>2000</c:v>
                      </c:pt>
                      <c:pt idx="153">
                        <c:v>2000</c:v>
                      </c:pt>
                      <c:pt idx="154">
                        <c:v>2000</c:v>
                      </c:pt>
                      <c:pt idx="155">
                        <c:v>2000</c:v>
                      </c:pt>
                      <c:pt idx="156">
                        <c:v>2000</c:v>
                      </c:pt>
                      <c:pt idx="157">
                        <c:v>2000</c:v>
                      </c:pt>
                      <c:pt idx="158">
                        <c:v>2880</c:v>
                      </c:pt>
                      <c:pt idx="159">
                        <c:v>2000</c:v>
                      </c:pt>
                      <c:pt idx="160">
                        <c:v>2880</c:v>
                      </c:pt>
                      <c:pt idx="161">
                        <c:v>2000</c:v>
                      </c:pt>
                      <c:pt idx="162">
                        <c:v>2000</c:v>
                      </c:pt>
                      <c:pt idx="163">
                        <c:v>2000</c:v>
                      </c:pt>
                      <c:pt idx="164">
                        <c:v>2000</c:v>
                      </c:pt>
                      <c:pt idx="165">
                        <c:v>2000</c:v>
                      </c:pt>
                      <c:pt idx="166">
                        <c:v>2000</c:v>
                      </c:pt>
                      <c:pt idx="167">
                        <c:v>2000</c:v>
                      </c:pt>
                      <c:pt idx="168">
                        <c:v>2000</c:v>
                      </c:pt>
                      <c:pt idx="169">
                        <c:v>2000</c:v>
                      </c:pt>
                      <c:pt idx="170">
                        <c:v>2000</c:v>
                      </c:pt>
                      <c:pt idx="171">
                        <c:v>2000</c:v>
                      </c:pt>
                      <c:pt idx="172">
                        <c:v>2000</c:v>
                      </c:pt>
                      <c:pt idx="173">
                        <c:v>2000</c:v>
                      </c:pt>
                      <c:pt idx="174">
                        <c:v>2000</c:v>
                      </c:pt>
                      <c:pt idx="175">
                        <c:v>2000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39D-4B55-B9C3-F1CB0564D65B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TS!$K$1</c15:sqref>
                        </c15:formulaRef>
                      </c:ext>
                    </c:extLst>
                    <c:strCache>
                      <c:ptCount val="1"/>
                      <c:pt idx="0">
                        <c:v>Min. Pressure</c:v>
                      </c:pt>
                    </c:strCache>
                  </c:strRef>
                </c:tx>
                <c:spPr>
                  <a:ln>
                    <a:solidFill>
                      <a:srgbClr val="FF0000"/>
                    </a:solidFill>
                    <a:prstDash val="dashDot"/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'TS2'!#REF!</c15:sqref>
                        </c15:formulaRef>
                      </c:ext>
                    </c:extLst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TS!$R$2:$R$177</c15:sqref>
                        </c15:formulaRef>
                      </c:ext>
                    </c:extLst>
                    <c:numCache>
                      <c:formatCode>0.0</c:formatCode>
                      <c:ptCount val="176"/>
                      <c:pt idx="0">
                        <c:v>1825</c:v>
                      </c:pt>
                      <c:pt idx="1">
                        <c:v>1825</c:v>
                      </c:pt>
                      <c:pt idx="2">
                        <c:v>1825</c:v>
                      </c:pt>
                      <c:pt idx="3">
                        <c:v>1825</c:v>
                      </c:pt>
                      <c:pt idx="4">
                        <c:v>1825</c:v>
                      </c:pt>
                      <c:pt idx="5">
                        <c:v>1825</c:v>
                      </c:pt>
                      <c:pt idx="6">
                        <c:v>1825</c:v>
                      </c:pt>
                      <c:pt idx="7">
                        <c:v>1825</c:v>
                      </c:pt>
                      <c:pt idx="8">
                        <c:v>1825</c:v>
                      </c:pt>
                      <c:pt idx="9">
                        <c:v>1825</c:v>
                      </c:pt>
                      <c:pt idx="10">
                        <c:v>1825</c:v>
                      </c:pt>
                      <c:pt idx="11">
                        <c:v>1825</c:v>
                      </c:pt>
                      <c:pt idx="12">
                        <c:v>1825</c:v>
                      </c:pt>
                      <c:pt idx="13">
                        <c:v>1825</c:v>
                      </c:pt>
                      <c:pt idx="14">
                        <c:v>1825</c:v>
                      </c:pt>
                      <c:pt idx="15">
                        <c:v>1825</c:v>
                      </c:pt>
                      <c:pt idx="16">
                        <c:v>1825</c:v>
                      </c:pt>
                      <c:pt idx="17">
                        <c:v>1825</c:v>
                      </c:pt>
                      <c:pt idx="18">
                        <c:v>1825</c:v>
                      </c:pt>
                      <c:pt idx="19">
                        <c:v>1825</c:v>
                      </c:pt>
                      <c:pt idx="20">
                        <c:v>1825</c:v>
                      </c:pt>
                      <c:pt idx="21">
                        <c:v>1825</c:v>
                      </c:pt>
                      <c:pt idx="22">
                        <c:v>1825</c:v>
                      </c:pt>
                      <c:pt idx="23">
                        <c:v>1825</c:v>
                      </c:pt>
                      <c:pt idx="24">
                        <c:v>1825</c:v>
                      </c:pt>
                      <c:pt idx="25">
                        <c:v>1825</c:v>
                      </c:pt>
                      <c:pt idx="26">
                        <c:v>1825</c:v>
                      </c:pt>
                      <c:pt idx="27">
                        <c:v>1825</c:v>
                      </c:pt>
                      <c:pt idx="28">
                        <c:v>1825</c:v>
                      </c:pt>
                      <c:pt idx="29">
                        <c:v>1825</c:v>
                      </c:pt>
                      <c:pt idx="30">
                        <c:v>1825</c:v>
                      </c:pt>
                      <c:pt idx="31">
                        <c:v>1825</c:v>
                      </c:pt>
                      <c:pt idx="32">
                        <c:v>1825</c:v>
                      </c:pt>
                      <c:pt idx="33">
                        <c:v>1825</c:v>
                      </c:pt>
                      <c:pt idx="34">
                        <c:v>1825</c:v>
                      </c:pt>
                      <c:pt idx="35">
                        <c:v>1825</c:v>
                      </c:pt>
                      <c:pt idx="36">
                        <c:v>1825</c:v>
                      </c:pt>
                      <c:pt idx="37">
                        <c:v>1825</c:v>
                      </c:pt>
                      <c:pt idx="38">
                        <c:v>1825</c:v>
                      </c:pt>
                      <c:pt idx="39">
                        <c:v>1825</c:v>
                      </c:pt>
                      <c:pt idx="40">
                        <c:v>1825</c:v>
                      </c:pt>
                      <c:pt idx="41">
                        <c:v>1825</c:v>
                      </c:pt>
                      <c:pt idx="42">
                        <c:v>1825</c:v>
                      </c:pt>
                      <c:pt idx="43">
                        <c:v>1825</c:v>
                      </c:pt>
                      <c:pt idx="44">
                        <c:v>1825</c:v>
                      </c:pt>
                      <c:pt idx="45">
                        <c:v>1825</c:v>
                      </c:pt>
                      <c:pt idx="46">
                        <c:v>1825</c:v>
                      </c:pt>
                      <c:pt idx="47">
                        <c:v>1825</c:v>
                      </c:pt>
                      <c:pt idx="48">
                        <c:v>1825</c:v>
                      </c:pt>
                      <c:pt idx="49">
                        <c:v>1825</c:v>
                      </c:pt>
                      <c:pt idx="50">
                        <c:v>1825</c:v>
                      </c:pt>
                      <c:pt idx="51">
                        <c:v>1825</c:v>
                      </c:pt>
                      <c:pt idx="52">
                        <c:v>1825</c:v>
                      </c:pt>
                      <c:pt idx="53">
                        <c:v>1825</c:v>
                      </c:pt>
                      <c:pt idx="54">
                        <c:v>1825</c:v>
                      </c:pt>
                      <c:pt idx="55">
                        <c:v>1825</c:v>
                      </c:pt>
                      <c:pt idx="56">
                        <c:v>1825</c:v>
                      </c:pt>
                      <c:pt idx="57">
                        <c:v>1825</c:v>
                      </c:pt>
                      <c:pt idx="58">
                        <c:v>1825</c:v>
                      </c:pt>
                      <c:pt idx="59">
                        <c:v>1825</c:v>
                      </c:pt>
                      <c:pt idx="60">
                        <c:v>1825</c:v>
                      </c:pt>
                      <c:pt idx="61">
                        <c:v>1825</c:v>
                      </c:pt>
                      <c:pt idx="62">
                        <c:v>1825</c:v>
                      </c:pt>
                      <c:pt idx="63">
                        <c:v>1825</c:v>
                      </c:pt>
                      <c:pt idx="64">
                        <c:v>1825</c:v>
                      </c:pt>
                      <c:pt idx="65">
                        <c:v>1825</c:v>
                      </c:pt>
                      <c:pt idx="66">
                        <c:v>1825</c:v>
                      </c:pt>
                      <c:pt idx="67">
                        <c:v>1825</c:v>
                      </c:pt>
                      <c:pt idx="68">
                        <c:v>1825</c:v>
                      </c:pt>
                      <c:pt idx="69">
                        <c:v>1825</c:v>
                      </c:pt>
                      <c:pt idx="70">
                        <c:v>1825</c:v>
                      </c:pt>
                      <c:pt idx="71">
                        <c:v>1825</c:v>
                      </c:pt>
                      <c:pt idx="72">
                        <c:v>1825</c:v>
                      </c:pt>
                      <c:pt idx="73">
                        <c:v>1825</c:v>
                      </c:pt>
                      <c:pt idx="74">
                        <c:v>1825</c:v>
                      </c:pt>
                      <c:pt idx="75">
                        <c:v>1825</c:v>
                      </c:pt>
                      <c:pt idx="76">
                        <c:v>1825</c:v>
                      </c:pt>
                      <c:pt idx="77">
                        <c:v>1825</c:v>
                      </c:pt>
                      <c:pt idx="78">
                        <c:v>1825</c:v>
                      </c:pt>
                      <c:pt idx="79">
                        <c:v>1825</c:v>
                      </c:pt>
                      <c:pt idx="80">
                        <c:v>1825</c:v>
                      </c:pt>
                      <c:pt idx="81">
                        <c:v>1825</c:v>
                      </c:pt>
                      <c:pt idx="82">
                        <c:v>1825</c:v>
                      </c:pt>
                      <c:pt idx="83">
                        <c:v>1825</c:v>
                      </c:pt>
                      <c:pt idx="84">
                        <c:v>1825</c:v>
                      </c:pt>
                      <c:pt idx="85">
                        <c:v>1825</c:v>
                      </c:pt>
                      <c:pt idx="86">
                        <c:v>1825</c:v>
                      </c:pt>
                      <c:pt idx="87">
                        <c:v>1825</c:v>
                      </c:pt>
                      <c:pt idx="88">
                        <c:v>1825</c:v>
                      </c:pt>
                      <c:pt idx="89">
                        <c:v>1825</c:v>
                      </c:pt>
                      <c:pt idx="90">
                        <c:v>1825</c:v>
                      </c:pt>
                      <c:pt idx="91">
                        <c:v>1825</c:v>
                      </c:pt>
                      <c:pt idx="92">
                        <c:v>1825</c:v>
                      </c:pt>
                      <c:pt idx="93">
                        <c:v>1825</c:v>
                      </c:pt>
                      <c:pt idx="94">
                        <c:v>1825</c:v>
                      </c:pt>
                      <c:pt idx="95">
                        <c:v>1825</c:v>
                      </c:pt>
                      <c:pt idx="96">
                        <c:v>1825</c:v>
                      </c:pt>
                      <c:pt idx="97">
                        <c:v>1825</c:v>
                      </c:pt>
                      <c:pt idx="98">
                        <c:v>1825</c:v>
                      </c:pt>
                      <c:pt idx="99">
                        <c:v>1825</c:v>
                      </c:pt>
                      <c:pt idx="100">
                        <c:v>1825</c:v>
                      </c:pt>
                      <c:pt idx="101">
                        <c:v>1825</c:v>
                      </c:pt>
                      <c:pt idx="102">
                        <c:v>1825</c:v>
                      </c:pt>
                      <c:pt idx="103">
                        <c:v>1825</c:v>
                      </c:pt>
                      <c:pt idx="104">
                        <c:v>1825</c:v>
                      </c:pt>
                      <c:pt idx="105">
                        <c:v>1825</c:v>
                      </c:pt>
                      <c:pt idx="106">
                        <c:v>1825</c:v>
                      </c:pt>
                      <c:pt idx="107">
                        <c:v>1825</c:v>
                      </c:pt>
                      <c:pt idx="108">
                        <c:v>1825</c:v>
                      </c:pt>
                      <c:pt idx="109">
                        <c:v>1825</c:v>
                      </c:pt>
                      <c:pt idx="110">
                        <c:v>1825</c:v>
                      </c:pt>
                      <c:pt idx="111">
                        <c:v>1825</c:v>
                      </c:pt>
                      <c:pt idx="112">
                        <c:v>1825</c:v>
                      </c:pt>
                      <c:pt idx="113">
                        <c:v>1825</c:v>
                      </c:pt>
                      <c:pt idx="114">
                        <c:v>1825</c:v>
                      </c:pt>
                      <c:pt idx="115">
                        <c:v>1825</c:v>
                      </c:pt>
                      <c:pt idx="116">
                        <c:v>1825</c:v>
                      </c:pt>
                      <c:pt idx="117">
                        <c:v>1825</c:v>
                      </c:pt>
                      <c:pt idx="118">
                        <c:v>1825</c:v>
                      </c:pt>
                      <c:pt idx="119">
                        <c:v>1825</c:v>
                      </c:pt>
                      <c:pt idx="120">
                        <c:v>1825</c:v>
                      </c:pt>
                      <c:pt idx="121">
                        <c:v>1825</c:v>
                      </c:pt>
                      <c:pt idx="122">
                        <c:v>1825</c:v>
                      </c:pt>
                      <c:pt idx="123">
                        <c:v>1825</c:v>
                      </c:pt>
                      <c:pt idx="124">
                        <c:v>1825</c:v>
                      </c:pt>
                      <c:pt idx="125">
                        <c:v>1825</c:v>
                      </c:pt>
                      <c:pt idx="126">
                        <c:v>1825</c:v>
                      </c:pt>
                      <c:pt idx="127">
                        <c:v>1825</c:v>
                      </c:pt>
                      <c:pt idx="128">
                        <c:v>1825</c:v>
                      </c:pt>
                      <c:pt idx="129">
                        <c:v>1825</c:v>
                      </c:pt>
                      <c:pt idx="130">
                        <c:v>1825</c:v>
                      </c:pt>
                      <c:pt idx="131">
                        <c:v>1825</c:v>
                      </c:pt>
                      <c:pt idx="132">
                        <c:v>1825</c:v>
                      </c:pt>
                      <c:pt idx="133">
                        <c:v>1825</c:v>
                      </c:pt>
                      <c:pt idx="134">
                        <c:v>1825</c:v>
                      </c:pt>
                      <c:pt idx="135">
                        <c:v>1825</c:v>
                      </c:pt>
                      <c:pt idx="136">
                        <c:v>1825</c:v>
                      </c:pt>
                      <c:pt idx="137">
                        <c:v>1825</c:v>
                      </c:pt>
                      <c:pt idx="138">
                        <c:v>1825</c:v>
                      </c:pt>
                      <c:pt idx="139">
                        <c:v>1825</c:v>
                      </c:pt>
                      <c:pt idx="140">
                        <c:v>1825</c:v>
                      </c:pt>
                      <c:pt idx="141">
                        <c:v>1825</c:v>
                      </c:pt>
                      <c:pt idx="142">
                        <c:v>1825</c:v>
                      </c:pt>
                      <c:pt idx="143">
                        <c:v>1825</c:v>
                      </c:pt>
                      <c:pt idx="144">
                        <c:v>1825</c:v>
                      </c:pt>
                      <c:pt idx="145">
                        <c:v>1825</c:v>
                      </c:pt>
                      <c:pt idx="146">
                        <c:v>1825</c:v>
                      </c:pt>
                      <c:pt idx="147">
                        <c:v>1825</c:v>
                      </c:pt>
                      <c:pt idx="148">
                        <c:v>1825</c:v>
                      </c:pt>
                      <c:pt idx="149">
                        <c:v>1825</c:v>
                      </c:pt>
                      <c:pt idx="150">
                        <c:v>1825</c:v>
                      </c:pt>
                      <c:pt idx="151">
                        <c:v>1825</c:v>
                      </c:pt>
                      <c:pt idx="152">
                        <c:v>1825</c:v>
                      </c:pt>
                      <c:pt idx="153">
                        <c:v>1825</c:v>
                      </c:pt>
                      <c:pt idx="154">
                        <c:v>1825</c:v>
                      </c:pt>
                      <c:pt idx="155">
                        <c:v>1825</c:v>
                      </c:pt>
                      <c:pt idx="156">
                        <c:v>1825</c:v>
                      </c:pt>
                      <c:pt idx="157">
                        <c:v>1825</c:v>
                      </c:pt>
                      <c:pt idx="158">
                        <c:v>1825</c:v>
                      </c:pt>
                      <c:pt idx="159">
                        <c:v>1825</c:v>
                      </c:pt>
                      <c:pt idx="160">
                        <c:v>1825</c:v>
                      </c:pt>
                      <c:pt idx="161">
                        <c:v>1825</c:v>
                      </c:pt>
                      <c:pt idx="162">
                        <c:v>1825</c:v>
                      </c:pt>
                      <c:pt idx="163">
                        <c:v>1825</c:v>
                      </c:pt>
                      <c:pt idx="164">
                        <c:v>1825</c:v>
                      </c:pt>
                      <c:pt idx="165">
                        <c:v>1825</c:v>
                      </c:pt>
                      <c:pt idx="166">
                        <c:v>1825</c:v>
                      </c:pt>
                      <c:pt idx="167">
                        <c:v>1825</c:v>
                      </c:pt>
                      <c:pt idx="168">
                        <c:v>1825</c:v>
                      </c:pt>
                      <c:pt idx="169">
                        <c:v>1825</c:v>
                      </c:pt>
                      <c:pt idx="170">
                        <c:v>1825</c:v>
                      </c:pt>
                      <c:pt idx="171">
                        <c:v>1825</c:v>
                      </c:pt>
                      <c:pt idx="172">
                        <c:v>1825</c:v>
                      </c:pt>
                      <c:pt idx="173">
                        <c:v>1825</c:v>
                      </c:pt>
                      <c:pt idx="174">
                        <c:v>1825</c:v>
                      </c:pt>
                      <c:pt idx="175">
                        <c:v>1825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39D-4B55-B9C3-F1CB0564D65B}"/>
                  </c:ext>
                </c:extLst>
              </c15:ser>
            </c15:filteredScatterSeries>
          </c:ext>
        </c:extLst>
      </c:scatterChart>
      <c:valAx>
        <c:axId val="775855871"/>
        <c:scaling>
          <c:orientation val="minMax"/>
          <c:max val="17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ELEVATION</a:t>
                </a:r>
              </a:p>
            </c:rich>
          </c:tx>
          <c:layout>
            <c:manualLayout>
              <c:xMode val="edge"/>
              <c:yMode val="edge"/>
              <c:x val="5.867195114613E-3"/>
              <c:y val="0.4393435424958738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3773151"/>
        <c:crosses val="autoZero"/>
        <c:crossBetween val="midCat"/>
      </c:valAx>
      <c:valAx>
        <c:axId val="283773151"/>
        <c:scaling>
          <c:orientation val="minMax"/>
          <c:min val="240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MILEPOST</a:t>
                </a:r>
              </a:p>
            </c:rich>
          </c:tx>
          <c:layout>
            <c:manualLayout>
              <c:xMode val="edge"/>
              <c:yMode val="edge"/>
              <c:x val="5.7940457322408628E-2"/>
              <c:y val="0.956229505752252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5855871"/>
        <c:crosses val="autoZero"/>
        <c:crossBetween val="midCat"/>
      </c:valAx>
      <c:valAx>
        <c:axId val="711296864"/>
        <c:scaling>
          <c:orientation val="minMax"/>
          <c:max val="12000"/>
          <c:min val="0"/>
        </c:scaling>
        <c:delete val="0"/>
        <c:axPos val="r"/>
        <c:numFmt formatCode="0.0" sourceLinked="1"/>
        <c:majorTickMark val="out"/>
        <c:minorTickMark val="none"/>
        <c:tickLblPos val="nextTo"/>
        <c:crossAx val="711299488"/>
        <c:crosses val="max"/>
        <c:crossBetween val="midCat"/>
        <c:majorUnit val="1000"/>
        <c:minorUnit val="500"/>
      </c:valAx>
      <c:valAx>
        <c:axId val="711299488"/>
        <c:scaling>
          <c:orientation val="minMax"/>
        </c:scaling>
        <c:delete val="1"/>
        <c:axPos val="b"/>
        <c:numFmt formatCode="#\+##" sourceLinked="1"/>
        <c:majorTickMark val="out"/>
        <c:minorTickMark val="none"/>
        <c:tickLblPos val="nextTo"/>
        <c:crossAx val="711296864"/>
        <c:crosses val="autoZero"/>
        <c:crossBetween val="midCat"/>
      </c:valAx>
      <c:spPr>
        <a:noFill/>
        <a:ln>
          <a:solidFill>
            <a:srgbClr val="00B0F0"/>
          </a:solidFill>
        </a:ln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CEA24D1-7B9E-4AF3-AEBD-D946E13DED9C}">
  <sheetPr/>
  <sheetViews>
    <sheetView workbookViewId="0"/>
  </sheetViews>
  <pageMargins left="0.7" right="0.7" top="0.75" bottom="0.75" header="0.3" footer="0.3"/>
  <pageSetup paperSize="17" orientation="landscape" r:id="rId1"/>
  <headerFooter>
    <oddFooter>&amp;F</oddFooter>
  </headerFooter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A98A48C-B371-4CD6-9470-94919EBB228E}">
  <sheetPr/>
  <sheetViews>
    <sheetView workbookViewId="0"/>
  </sheetViews>
  <pageMargins left="0.7" right="0.7" top="0.75" bottom="0.75" header="0.3" footer="0.3"/>
  <pageSetup paperSize="17" orientation="landscape" r:id="rId1"/>
  <headerFooter>
    <oddFooter>&amp;F</oddFooter>
  </headerFooter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F7FBD03-1450-4854-A3E9-C9FCBABFE792}">
  <sheetPr/>
  <sheetViews>
    <sheetView zoomScale="85" workbookViewId="0"/>
  </sheetViews>
  <pageMargins left="0.7" right="0.7" top="0.75" bottom="0.75" header="0.3" footer="0.3"/>
  <pageSetup paperSize="17" orientation="landscape" r:id="rId1"/>
  <headerFooter>
    <oddFooter>&amp;F</oddFoot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4125575" cy="8582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8F7F5E-D3BA-4260-8005-2FCCCE2A75E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4125575" cy="858202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5B704B2-E86E-41D7-A357-185B327ED5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0.06864</cdr:x>
      <cdr:y>0.10323</cdr:y>
    </cdr:from>
    <cdr:to>
      <cdr:x>0.18571</cdr:x>
      <cdr:y>0.1332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A03B050-3A61-FCDC-4846-D7DFFDEDCFAA}"/>
            </a:ext>
          </a:extLst>
        </cdr:cNvPr>
        <cdr:cNvSpPr txBox="1"/>
      </cdr:nvSpPr>
      <cdr:spPr>
        <a:xfrm xmlns:a="http://schemas.openxmlformats.org/drawingml/2006/main">
          <a:off x="969621" y="885892"/>
          <a:ext cx="1653681" cy="25720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rgbClr val="00B050"/>
              </a:solidFill>
            </a:rPr>
            <a:t>Pre-Pack Line 95 psig</a:t>
          </a:r>
        </a:p>
      </cdr:txBody>
    </cdr:sp>
  </cdr:relSizeAnchor>
  <cdr:relSizeAnchor xmlns:cdr="http://schemas.openxmlformats.org/drawingml/2006/chartDrawing">
    <cdr:from>
      <cdr:x>0.26547</cdr:x>
      <cdr:y>0.10654</cdr:y>
    </cdr:from>
    <cdr:to>
      <cdr:x>0.37606</cdr:x>
      <cdr:y>0.1576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D0DB2B76-3C32-D708-DD86-C7F1BA32601C}"/>
            </a:ext>
          </a:extLst>
        </cdr:cNvPr>
        <cdr:cNvSpPr txBox="1"/>
      </cdr:nvSpPr>
      <cdr:spPr>
        <a:xfrm xmlns:a="http://schemas.openxmlformats.org/drawingml/2006/main">
          <a:off x="3749982" y="914346"/>
          <a:ext cx="1562148" cy="43819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rgbClr val="00B050"/>
              </a:solidFill>
            </a:rPr>
            <a:t>Build to</a:t>
          </a:r>
          <a:r>
            <a:rPr lang="en-US" sz="1100" b="1" baseline="0">
              <a:solidFill>
                <a:srgbClr val="00B050"/>
              </a:solidFill>
            </a:rPr>
            <a:t> 120 psig</a:t>
          </a:r>
        </a:p>
        <a:p xmlns:a="http://schemas.openxmlformats.org/drawingml/2006/main">
          <a:r>
            <a:rPr lang="en-US" sz="1100" b="1" baseline="0">
              <a:solidFill>
                <a:srgbClr val="00B050"/>
              </a:solidFill>
            </a:rPr>
            <a:t>1.83M gallons</a:t>
          </a:r>
        </a:p>
      </cdr:txBody>
    </cdr:sp>
  </cdr:relSizeAnchor>
  <cdr:relSizeAnchor xmlns:cdr="http://schemas.openxmlformats.org/drawingml/2006/chartDrawing">
    <cdr:from>
      <cdr:x>0.67695</cdr:x>
      <cdr:y>0.11543</cdr:y>
    </cdr:from>
    <cdr:to>
      <cdr:x>0.83608</cdr:x>
      <cdr:y>0.14983</cdr:y>
    </cdr:to>
    <cdr:sp macro="" textlink="">
      <cdr:nvSpPr>
        <cdr:cNvPr id="4" name="TextBox 3">
          <a:extLst xmlns:a="http://schemas.openxmlformats.org/drawingml/2006/main">
            <a:ext uri="{FF2B5EF4-FFF2-40B4-BE49-F238E27FC236}">
              <a16:creationId xmlns:a16="http://schemas.microsoft.com/office/drawing/2014/main" id="{B78B1A5B-CA10-5453-4A75-8D36146AD01A}"/>
            </a:ext>
          </a:extLst>
        </cdr:cNvPr>
        <cdr:cNvSpPr txBox="1"/>
      </cdr:nvSpPr>
      <cdr:spPr>
        <a:xfrm xmlns:a="http://schemas.openxmlformats.org/drawingml/2006/main">
          <a:off x="9581663" y="990658"/>
          <a:ext cx="2252350" cy="29522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rgbClr val="00B050"/>
              </a:solidFill>
            </a:rPr>
            <a:t>Maintain 120 psig until Fill Complete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14130618" cy="858370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B0E10-F911-4238-9490-66DE05AC30E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91"/>
  <sheetViews>
    <sheetView tabSelected="1" zoomScale="85" zoomScaleNormal="85" workbookViewId="0">
      <pane ySplit="1" topLeftCell="A2" activePane="bottomLeft" state="frozen"/>
      <selection activeCell="J3" sqref="J3"/>
      <selection pane="bottomLeft" activeCell="E8" sqref="E8"/>
    </sheetView>
  </sheetViews>
  <sheetFormatPr defaultRowHeight="15" x14ac:dyDescent="0.25"/>
  <cols>
    <col min="1" max="1" width="15.42578125" style="88" customWidth="1"/>
    <col min="2" max="2" width="13" style="90" bestFit="1" customWidth="1"/>
    <col min="3" max="3" width="14" style="47" bestFit="1" customWidth="1"/>
    <col min="4" max="5" width="13.140625" style="18" customWidth="1"/>
    <col min="6" max="6" width="15.28515625" style="18" bestFit="1" customWidth="1"/>
    <col min="7" max="7" width="12.85546875" style="45" bestFit="1" customWidth="1"/>
    <col min="8" max="8" width="11.5703125" style="1" bestFit="1" customWidth="1"/>
    <col min="9" max="9" width="14" style="1" customWidth="1"/>
    <col min="10" max="10" width="11.42578125" style="1" customWidth="1"/>
    <col min="11" max="13" width="11.5703125" style="1" customWidth="1"/>
    <col min="14" max="14" width="12.140625" bestFit="1" customWidth="1"/>
    <col min="15" max="15" width="12.42578125" bestFit="1" customWidth="1"/>
    <col min="16" max="16" width="11.42578125" bestFit="1" customWidth="1"/>
    <col min="17" max="17" width="12.85546875" bestFit="1" customWidth="1"/>
    <col min="18" max="18" width="12.7109375" bestFit="1" customWidth="1"/>
    <col min="19" max="19" width="13.140625" bestFit="1" customWidth="1"/>
    <col min="20" max="21" width="13.140625" customWidth="1"/>
    <col min="22" max="26" width="13.140625" style="50" hidden="1" customWidth="1"/>
    <col min="27" max="29" width="13.140625" customWidth="1"/>
    <col min="30" max="30" width="13.140625" style="73" customWidth="1"/>
  </cols>
  <sheetData>
    <row r="1" spans="1:33" ht="45.75" thickBot="1" x14ac:dyDescent="0.3">
      <c r="A1" s="87" t="s">
        <v>130</v>
      </c>
      <c r="B1" s="89" t="s">
        <v>131</v>
      </c>
      <c r="C1" s="46" t="s">
        <v>13</v>
      </c>
      <c r="D1" s="46" t="s">
        <v>132</v>
      </c>
      <c r="E1" s="46" t="s">
        <v>38</v>
      </c>
      <c r="F1" s="46" t="s">
        <v>138</v>
      </c>
      <c r="G1" s="44" t="s">
        <v>0</v>
      </c>
      <c r="H1" s="19" t="s">
        <v>1</v>
      </c>
      <c r="I1" s="17" t="s">
        <v>14</v>
      </c>
      <c r="J1" s="17" t="s">
        <v>31</v>
      </c>
      <c r="K1" s="17" t="s">
        <v>32</v>
      </c>
      <c r="L1" s="17" t="s">
        <v>19</v>
      </c>
      <c r="M1" s="17" t="s">
        <v>18</v>
      </c>
      <c r="N1" s="7" t="s">
        <v>136</v>
      </c>
      <c r="O1" s="7" t="s">
        <v>12</v>
      </c>
      <c r="P1" s="7" t="s">
        <v>25</v>
      </c>
      <c r="Q1" s="7" t="s">
        <v>17</v>
      </c>
      <c r="R1" s="7" t="s">
        <v>22</v>
      </c>
      <c r="S1" s="30" t="s">
        <v>134</v>
      </c>
      <c r="T1" s="30" t="s">
        <v>135</v>
      </c>
      <c r="U1" s="30" t="s">
        <v>16</v>
      </c>
      <c r="V1" s="29" t="s">
        <v>48</v>
      </c>
      <c r="W1" s="29" t="s">
        <v>49</v>
      </c>
      <c r="X1" s="29" t="s">
        <v>50</v>
      </c>
      <c r="Y1" s="29" t="s">
        <v>51</v>
      </c>
      <c r="Z1" s="29" t="s">
        <v>52</v>
      </c>
      <c r="AA1" s="31" t="s">
        <v>48</v>
      </c>
      <c r="AB1" s="31" t="s">
        <v>144</v>
      </c>
      <c r="AC1" s="32" t="s">
        <v>53</v>
      </c>
      <c r="AD1" s="71" t="s">
        <v>80</v>
      </c>
      <c r="AE1" s="76" t="s">
        <v>38</v>
      </c>
      <c r="AF1" s="76" t="s">
        <v>138</v>
      </c>
    </row>
    <row r="2" spans="1:33" ht="15.75" thickTop="1" x14ac:dyDescent="0.25">
      <c r="A2" s="100">
        <v>95899.92</v>
      </c>
      <c r="B2" s="97">
        <v>825.18449999999996</v>
      </c>
      <c r="C2" s="97">
        <v>0.6</v>
      </c>
      <c r="D2" s="80">
        <v>0</v>
      </c>
      <c r="E2" s="81">
        <f t="shared" ref="E2:E4" si="0">(PI()/4*(42/12-(2*C44/12))^2)*(D2)*7.48</f>
        <v>0</v>
      </c>
      <c r="F2" s="81">
        <f>SUM(E$2:E2)</f>
        <v>0</v>
      </c>
      <c r="G2" s="43">
        <f>IF(C2=0.72,12,IF(C2=1,11,IF(C2=0.825,10,IF(C2=0.6,1,IF(C2=0.864,2,IF(C2=0.888,3))))))</f>
        <v>1</v>
      </c>
      <c r="H2" s="78">
        <v>1</v>
      </c>
      <c r="I2" s="15">
        <f t="shared" ref="I2:I4" si="1">C2</f>
        <v>0.6</v>
      </c>
      <c r="J2" s="16">
        <f>VLOOKUP(G2,Inputs!$L$3:$P$15,5,FALSE)</f>
        <v>2000</v>
      </c>
      <c r="K2" s="16">
        <f t="shared" ref="K2:K4" si="2">IF(H2=1,1825,IF(H2=2,1825,2220))</f>
        <v>1825</v>
      </c>
      <c r="L2" s="79">
        <f>Inputs!$P$8-B2</f>
        <v>113.00650000000007</v>
      </c>
      <c r="M2" s="79">
        <f>Inputs!$Q$8+L2*0.433</f>
        <v>1873.9318145</v>
      </c>
      <c r="N2" s="82">
        <f t="shared" ref="N2:N4" si="3">A2</f>
        <v>95899.92</v>
      </c>
      <c r="O2" s="83">
        <f t="shared" ref="O2:O4" si="4">B2</f>
        <v>825.18449999999996</v>
      </c>
      <c r="P2" s="84">
        <f>IF(O2="","",Inputs!$C$5-O2)</f>
        <v>0</v>
      </c>
      <c r="Q2" s="83">
        <f>IF(N2="","",TS!J2)</f>
        <v>2000</v>
      </c>
      <c r="R2" s="83">
        <f>IF(N2="","",TS!K2)</f>
        <v>1825</v>
      </c>
      <c r="S2" s="83">
        <f>Inputs!$H$5+TS!P2*0.4333</f>
        <v>1874.9657164499999</v>
      </c>
      <c r="T2" s="83">
        <f>Inputs!$G$5+TS!P2*0.4333</f>
        <v>1889.9657164499999</v>
      </c>
      <c r="U2" s="85">
        <f t="shared" ref="U2:U4" si="5">T2/(140000*C2/42)</f>
        <v>0.94498285822499994</v>
      </c>
      <c r="V2" s="86">
        <f>O2-MAX(O2:O177)</f>
        <v>0</v>
      </c>
      <c r="W2" s="86">
        <f t="shared" ref="W2" si="6">-(V2)*0.433</f>
        <v>0</v>
      </c>
      <c r="X2" s="86" t="e">
        <f>((PI()*((42-2*'Gen Calcs'!$E$13)^2)/4)/144)*(A45-#REF!)*(W2+14.7)/14.7</f>
        <v>#REF!</v>
      </c>
      <c r="Y2" s="86" t="e">
        <f t="shared" ref="Y2" si="7">X2/1000</f>
        <v>#REF!</v>
      </c>
      <c r="Z2" s="86" t="e">
        <f>IF(Y2&gt;#REF!,Y2,#REF!)</f>
        <v>#REF!</v>
      </c>
      <c r="AA2" s="83">
        <f>MAX(B$2:B2)-B2</f>
        <v>0</v>
      </c>
      <c r="AB2" s="83">
        <f t="shared" ref="AB2" si="8">AA2*0.433</f>
        <v>0</v>
      </c>
      <c r="AC2" s="83">
        <f>((MAX(O$2:O$1348)-O2)-(MAX(O$2:O$1348)-O2))*0.433+AD2</f>
        <v>95</v>
      </c>
      <c r="AD2" s="72">
        <v>95</v>
      </c>
      <c r="AE2" s="73">
        <f t="shared" ref="AE2:AE4" si="9">PI()*(((42-2*C2)/12)^2/4)*D2</f>
        <v>0</v>
      </c>
      <c r="AF2" s="73">
        <f>SUM(AE$2:AE2)</f>
        <v>0</v>
      </c>
      <c r="AG2" s="73">
        <f>AF$1391-AF2</f>
        <v>1173729.9024271092</v>
      </c>
    </row>
    <row r="3" spans="1:33" x14ac:dyDescent="0.25">
      <c r="A3" s="99">
        <v>95999.92</v>
      </c>
      <c r="B3" s="96">
        <v>822.00390000000004</v>
      </c>
      <c r="C3" s="96">
        <v>0.6</v>
      </c>
      <c r="D3" s="80">
        <f t="shared" ref="D3:D47" si="10">A3-A2</f>
        <v>100</v>
      </c>
      <c r="E3" s="81">
        <f t="shared" si="0"/>
        <v>6791.2436711181272</v>
      </c>
      <c r="F3" s="81">
        <f>SUM(E$2:E3)</f>
        <v>6791.2436711181272</v>
      </c>
      <c r="G3" s="43">
        <f t="shared" ref="G3:G66" si="11">IF(C3=0.72,12,IF(C3=1,11,IF(C3=0.825,10,IF(C3=0.6,1,IF(C3=0.864,2,IF(C3=0.888,3))))))</f>
        <v>1</v>
      </c>
      <c r="H3" s="78">
        <v>1</v>
      </c>
      <c r="I3" s="15">
        <f t="shared" si="1"/>
        <v>0.6</v>
      </c>
      <c r="J3" s="16">
        <f>VLOOKUP(G3,Inputs!$L$3:$P$15,5,FALSE)</f>
        <v>2000</v>
      </c>
      <c r="K3" s="16">
        <f t="shared" si="2"/>
        <v>1825</v>
      </c>
      <c r="L3" s="79">
        <f>Inputs!$P$8-B3</f>
        <v>116.18709999999999</v>
      </c>
      <c r="M3" s="79">
        <f>Inputs!$Q$8+L3*0.433</f>
        <v>1875.3090142999999</v>
      </c>
      <c r="N3" s="82">
        <f t="shared" si="3"/>
        <v>95999.92</v>
      </c>
      <c r="O3" s="83">
        <f t="shared" si="4"/>
        <v>822.00390000000004</v>
      </c>
      <c r="P3" s="84">
        <f>IF(O3="","",Inputs!$C$5-O3)</f>
        <v>3.1805999999999131</v>
      </c>
      <c r="Q3" s="83">
        <f>IF(N3="","",TS!J3)</f>
        <v>2000</v>
      </c>
      <c r="R3" s="83">
        <f>IF(N3="","",TS!K3)</f>
        <v>1825</v>
      </c>
      <c r="S3" s="83">
        <f>Inputs!$H$5+TS!P3*0.4333</f>
        <v>1876.3438704299999</v>
      </c>
      <c r="T3" s="83">
        <f>Inputs!$G$5+TS!P3*0.4333</f>
        <v>1891.3438704299999</v>
      </c>
      <c r="U3" s="85">
        <f t="shared" si="5"/>
        <v>0.94567193521499993</v>
      </c>
      <c r="V3" s="86">
        <f>O3-MAX(O3:O177)</f>
        <v>0</v>
      </c>
      <c r="W3" s="86">
        <f t="shared" ref="W3:W34" si="12">-(V3)*0.433</f>
        <v>0</v>
      </c>
      <c r="X3" s="86" t="e">
        <f>((PI()*((42-2*'Gen Calcs'!$E$13)^2)/4)/144)*(A46-#REF!)*(W3+14.7)/14.7</f>
        <v>#REF!</v>
      </c>
      <c r="Y3" s="86" t="e">
        <f t="shared" ref="Y3:Y34" si="13">X3/1000</f>
        <v>#REF!</v>
      </c>
      <c r="Z3" s="86" t="e">
        <f t="shared" ref="Z3:Z7" si="14">IF(Y3&gt;Z2,Y3,Z2)</f>
        <v>#REF!</v>
      </c>
      <c r="AA3" s="83">
        <f>MAX(B$2:B3)-B3</f>
        <v>3.1805999999999131</v>
      </c>
      <c r="AB3" s="83">
        <f t="shared" ref="AB3:AB66" si="15">AA3*0.433</f>
        <v>1.3771997999999623</v>
      </c>
      <c r="AC3" s="83">
        <f t="shared" ref="AC3:AC66" si="16">((MAX(O$2:O$1348)-O3)-(MAX(O$2:O$1348)-O3))*0.433+AD3</f>
        <v>95.073542641267835</v>
      </c>
      <c r="AD3" s="72">
        <f>(AD$2*AF$1391)/AG3</f>
        <v>95.073542641267835</v>
      </c>
      <c r="AE3" s="73">
        <f t="shared" si="9"/>
        <v>907.92027688745009</v>
      </c>
      <c r="AF3" s="73">
        <f>SUM(AE$2:AE3)</f>
        <v>907.92027688745009</v>
      </c>
      <c r="AG3" s="73">
        <f>AF$1391-AF3</f>
        <v>1172821.9821502217</v>
      </c>
    </row>
    <row r="4" spans="1:33" x14ac:dyDescent="0.25">
      <c r="A4" s="100">
        <v>96099.92</v>
      </c>
      <c r="B4" s="97">
        <v>818.54489999999998</v>
      </c>
      <c r="C4" s="97">
        <v>0.6</v>
      </c>
      <c r="D4" s="80">
        <f t="shared" si="10"/>
        <v>100</v>
      </c>
      <c r="E4" s="81">
        <f t="shared" si="0"/>
        <v>6616.6076625842816</v>
      </c>
      <c r="F4" s="81">
        <f>SUM(E$2:E4)</f>
        <v>13407.851333702409</v>
      </c>
      <c r="G4" s="43">
        <f t="shared" si="11"/>
        <v>1</v>
      </c>
      <c r="H4" s="78">
        <v>1</v>
      </c>
      <c r="I4" s="15">
        <f t="shared" si="1"/>
        <v>0.6</v>
      </c>
      <c r="J4" s="16">
        <f>VLOOKUP(G4,Inputs!$L$3:$P$15,5,FALSE)</f>
        <v>2000</v>
      </c>
      <c r="K4" s="16">
        <f t="shared" si="2"/>
        <v>1825</v>
      </c>
      <c r="L4" s="79">
        <f>Inputs!$P$8-B4</f>
        <v>119.64610000000005</v>
      </c>
      <c r="M4" s="79">
        <f>Inputs!$Q$8+L4*0.433</f>
        <v>1876.8067613000001</v>
      </c>
      <c r="N4" s="82">
        <f t="shared" si="3"/>
        <v>96099.92</v>
      </c>
      <c r="O4" s="83">
        <f t="shared" si="4"/>
        <v>818.54489999999998</v>
      </c>
      <c r="P4" s="84">
        <f>IF(O4="","",Inputs!$C$5-O4)</f>
        <v>6.6395999999999731</v>
      </c>
      <c r="Q4" s="83">
        <f>IF(N4="","",TS!J4)</f>
        <v>2000</v>
      </c>
      <c r="R4" s="83">
        <f>IF(N4="","",TS!K4)</f>
        <v>1825</v>
      </c>
      <c r="S4" s="83">
        <f>Inputs!$H$5+TS!P4*0.4333</f>
        <v>1877.8426551299999</v>
      </c>
      <c r="T4" s="83">
        <f>Inputs!$G$5+TS!P4*0.4333</f>
        <v>1892.8426551299999</v>
      </c>
      <c r="U4" s="85">
        <f t="shared" si="5"/>
        <v>0.94642132756499997</v>
      </c>
      <c r="V4" s="86">
        <f>O4-MAX(O4:O177)</f>
        <v>0</v>
      </c>
      <c r="W4" s="86">
        <f t="shared" si="12"/>
        <v>0</v>
      </c>
      <c r="X4" s="86" t="e">
        <f>((PI()*((42-2*'Gen Calcs'!$E$13)^2)/4)/144)*(A47-#REF!)*(W4+14.7)/14.7</f>
        <v>#REF!</v>
      </c>
      <c r="Y4" s="86" t="e">
        <f t="shared" si="13"/>
        <v>#REF!</v>
      </c>
      <c r="Z4" s="86" t="e">
        <f t="shared" si="14"/>
        <v>#REF!</v>
      </c>
      <c r="AA4" s="83">
        <f>MAX(B$2:B4)-B4</f>
        <v>6.6395999999999731</v>
      </c>
      <c r="AB4" s="83">
        <f t="shared" si="15"/>
        <v>2.8749467999999885</v>
      </c>
      <c r="AC4" s="83">
        <f t="shared" si="16"/>
        <v>95.147199234330259</v>
      </c>
      <c r="AD4" s="72">
        <f t="shared" ref="AD4:AD67" si="17">(AD$2*AF$1391)/AG4</f>
        <v>95.147199234330259</v>
      </c>
      <c r="AE4" s="73">
        <f t="shared" si="9"/>
        <v>907.92027688745009</v>
      </c>
      <c r="AF4" s="73">
        <f>SUM(AE$2:AE4)</f>
        <v>1815.8405537749002</v>
      </c>
      <c r="AG4" s="73">
        <f>AF$1391-AF4</f>
        <v>1171914.0618733342</v>
      </c>
    </row>
    <row r="5" spans="1:33" x14ac:dyDescent="0.25">
      <c r="A5" s="99">
        <v>96199.92</v>
      </c>
      <c r="B5" s="96">
        <v>814.72770000000003</v>
      </c>
      <c r="C5" s="96">
        <v>0.6</v>
      </c>
      <c r="D5" s="80">
        <f t="shared" si="10"/>
        <v>100</v>
      </c>
      <c r="E5" s="81">
        <f t="shared" ref="E5:E68" si="18">(PI()/4*(42/12-(2*C47/12))^2)*(D5)*7.48</f>
        <v>6791.2436711181272</v>
      </c>
      <c r="F5" s="81">
        <f>SUM(E$2:E5)</f>
        <v>20199.095004820534</v>
      </c>
      <c r="G5" s="43">
        <f t="shared" si="11"/>
        <v>1</v>
      </c>
      <c r="H5" s="78">
        <v>1</v>
      </c>
      <c r="I5" s="15">
        <f t="shared" ref="I5:I68" si="19">C5</f>
        <v>0.6</v>
      </c>
      <c r="J5" s="16">
        <f>VLOOKUP(G5,Inputs!$L$3:$P$15,5,FALSE)</f>
        <v>2000</v>
      </c>
      <c r="K5" s="16">
        <f t="shared" ref="K5:K68" si="20">IF(H5=1,1825,IF(H5=2,1825,2220))</f>
        <v>1825</v>
      </c>
      <c r="L5" s="79">
        <f>Inputs!$P$8-B5</f>
        <v>123.4633</v>
      </c>
      <c r="M5" s="79">
        <f>Inputs!$Q$8+L5*0.433</f>
        <v>1878.4596088999999</v>
      </c>
      <c r="N5" s="82">
        <f t="shared" ref="N5:N68" si="21">A5</f>
        <v>96199.92</v>
      </c>
      <c r="O5" s="83">
        <f t="shared" ref="O5:O68" si="22">B5</f>
        <v>814.72770000000003</v>
      </c>
      <c r="P5" s="84">
        <f>IF(O5="","",Inputs!$C$5-O5)</f>
        <v>10.45679999999993</v>
      </c>
      <c r="Q5" s="83">
        <f>IF(N5="","",TS!J5)</f>
        <v>2000</v>
      </c>
      <c r="R5" s="83">
        <f>IF(N5="","",TS!K5)</f>
        <v>1825</v>
      </c>
      <c r="S5" s="83">
        <f>Inputs!$H$5+TS!P5*0.4333</f>
        <v>1879.4966478899998</v>
      </c>
      <c r="T5" s="83">
        <f>Inputs!$G$5+TS!P5*0.4333</f>
        <v>1894.4966478899998</v>
      </c>
      <c r="U5" s="85">
        <f t="shared" ref="U5:U68" si="23">T5/(140000*C5/42)</f>
        <v>0.94724832394499991</v>
      </c>
      <c r="V5" s="86">
        <f>O5-MAX(O5:O177)</f>
        <v>0</v>
      </c>
      <c r="W5" s="86">
        <f t="shared" si="12"/>
        <v>0</v>
      </c>
      <c r="X5" s="86" t="e">
        <f>((PI()*((42-2*'Gen Calcs'!$E$13)^2)/4)/144)*(A48-#REF!)*(W5+14.7)/14.7</f>
        <v>#REF!</v>
      </c>
      <c r="Y5" s="86" t="e">
        <f t="shared" si="13"/>
        <v>#REF!</v>
      </c>
      <c r="Z5" s="86" t="e">
        <f t="shared" si="14"/>
        <v>#REF!</v>
      </c>
      <c r="AA5" s="83">
        <f>MAX(B$2:B5)-B5</f>
        <v>10.45679999999993</v>
      </c>
      <c r="AB5" s="83">
        <f t="shared" si="15"/>
        <v>4.5277943999999701</v>
      </c>
      <c r="AC5" s="83">
        <f t="shared" si="16"/>
        <v>95.220970044239181</v>
      </c>
      <c r="AD5" s="72">
        <f t="shared" si="17"/>
        <v>95.220970044239181</v>
      </c>
      <c r="AE5" s="73">
        <f t="shared" ref="AE5:AE68" si="24">PI()*(((42-2*C5)/12)^2/4)*D5</f>
        <v>907.92027688745009</v>
      </c>
      <c r="AF5" s="73">
        <f>SUM(AE$2:AE5)</f>
        <v>2723.7608306623501</v>
      </c>
      <c r="AG5" s="73">
        <f t="shared" ref="AG5:AG68" si="25">AF$1391-AF5</f>
        <v>1171006.1415964467</v>
      </c>
    </row>
    <row r="6" spans="1:33" x14ac:dyDescent="0.25">
      <c r="A6" s="100">
        <v>96299.92</v>
      </c>
      <c r="B6" s="97">
        <v>812.42039999999997</v>
      </c>
      <c r="C6" s="97">
        <v>0.6</v>
      </c>
      <c r="D6" s="80">
        <f t="shared" si="10"/>
        <v>100</v>
      </c>
      <c r="E6" s="81">
        <f t="shared" si="18"/>
        <v>6791.2436711181272</v>
      </c>
      <c r="F6" s="81">
        <f>SUM(E$2:E6)</f>
        <v>26990.338675938663</v>
      </c>
      <c r="G6" s="43">
        <f t="shared" si="11"/>
        <v>1</v>
      </c>
      <c r="H6" s="78">
        <v>1</v>
      </c>
      <c r="I6" s="15">
        <f t="shared" si="19"/>
        <v>0.6</v>
      </c>
      <c r="J6" s="16">
        <f>VLOOKUP(G6,Inputs!$L$3:$P$15,5,FALSE)</f>
        <v>2000</v>
      </c>
      <c r="K6" s="16">
        <f t="shared" si="20"/>
        <v>1825</v>
      </c>
      <c r="L6" s="79">
        <f>Inputs!$P$8-B6</f>
        <v>125.77060000000006</v>
      </c>
      <c r="M6" s="79">
        <f>Inputs!$Q$8+L6*0.433</f>
        <v>1879.4586698000001</v>
      </c>
      <c r="N6" s="82">
        <f t="shared" si="21"/>
        <v>96299.92</v>
      </c>
      <c r="O6" s="83">
        <f t="shared" si="22"/>
        <v>812.42039999999997</v>
      </c>
      <c r="P6" s="84">
        <f>IF(O6="","",Inputs!$C$5-O6)</f>
        <v>12.764099999999985</v>
      </c>
      <c r="Q6" s="83">
        <f>IF(N6="","",TS!J6)</f>
        <v>2000</v>
      </c>
      <c r="R6" s="83">
        <f>IF(N6="","",TS!K6)</f>
        <v>1825</v>
      </c>
      <c r="S6" s="83">
        <f>Inputs!$H$5+TS!P6*0.4333</f>
        <v>1880.4964009799999</v>
      </c>
      <c r="T6" s="83">
        <f>Inputs!$G$5+TS!P6*0.4333</f>
        <v>1895.4964009799999</v>
      </c>
      <c r="U6" s="85">
        <f t="shared" si="23"/>
        <v>0.94774820048999997</v>
      </c>
      <c r="V6" s="86">
        <f>O6-MAX(O6:O177)</f>
        <v>-0.20780000000002019</v>
      </c>
      <c r="W6" s="86">
        <f t="shared" si="12"/>
        <v>8.9977400000008742E-2</v>
      </c>
      <c r="X6" s="86" t="e">
        <f>((PI()*((42-2*'Gen Calcs'!$E$13)^2)/4)/144)*(A49-#REF!)*(W6+14.7)/14.7</f>
        <v>#REF!</v>
      </c>
      <c r="Y6" s="86" t="e">
        <f t="shared" si="13"/>
        <v>#REF!</v>
      </c>
      <c r="Z6" s="86" t="e">
        <f t="shared" si="14"/>
        <v>#REF!</v>
      </c>
      <c r="AA6" s="83">
        <f>MAX(B$2:B6)-B6</f>
        <v>12.764099999999985</v>
      </c>
      <c r="AB6" s="83">
        <f t="shared" si="15"/>
        <v>5.5268552999999931</v>
      </c>
      <c r="AC6" s="83">
        <f t="shared" si="16"/>
        <v>95.29485533686919</v>
      </c>
      <c r="AD6" s="72">
        <f t="shared" si="17"/>
        <v>95.29485533686919</v>
      </c>
      <c r="AE6" s="73">
        <f t="shared" si="24"/>
        <v>907.92027688745009</v>
      </c>
      <c r="AF6" s="73">
        <f>SUM(AE$2:AE6)</f>
        <v>3631.6811075498003</v>
      </c>
      <c r="AG6" s="73">
        <f t="shared" si="25"/>
        <v>1170098.2213195595</v>
      </c>
    </row>
    <row r="7" spans="1:33" x14ac:dyDescent="0.25">
      <c r="A7" s="99">
        <v>96399.92</v>
      </c>
      <c r="B7" s="96">
        <v>808.45690000000002</v>
      </c>
      <c r="C7" s="96">
        <v>0.6</v>
      </c>
      <c r="D7" s="80">
        <f t="shared" si="10"/>
        <v>100</v>
      </c>
      <c r="E7" s="81">
        <f t="shared" si="18"/>
        <v>6791.2436711181272</v>
      </c>
      <c r="F7" s="81">
        <f>SUM(E$2:E7)</f>
        <v>33781.582347056792</v>
      </c>
      <c r="G7" s="43">
        <f t="shared" si="11"/>
        <v>1</v>
      </c>
      <c r="H7" s="78">
        <v>1</v>
      </c>
      <c r="I7" s="15">
        <f t="shared" si="19"/>
        <v>0.6</v>
      </c>
      <c r="J7" s="16">
        <f>VLOOKUP(G7,Inputs!$L$3:$P$15,5,FALSE)</f>
        <v>2000</v>
      </c>
      <c r="K7" s="16">
        <f t="shared" si="20"/>
        <v>1825</v>
      </c>
      <c r="L7" s="79">
        <f>Inputs!$P$8-B7</f>
        <v>129.73410000000001</v>
      </c>
      <c r="M7" s="79">
        <f>Inputs!$Q$8+L7*0.433</f>
        <v>1881.1748653</v>
      </c>
      <c r="N7" s="82">
        <f t="shared" si="21"/>
        <v>96399.92</v>
      </c>
      <c r="O7" s="83">
        <f t="shared" si="22"/>
        <v>808.45690000000002</v>
      </c>
      <c r="P7" s="84">
        <f>IF(O7="","",Inputs!$C$5-O7)</f>
        <v>16.727599999999939</v>
      </c>
      <c r="Q7" s="83">
        <f>IF(N7="","",TS!J7)</f>
        <v>2000</v>
      </c>
      <c r="R7" s="83">
        <f>IF(N7="","",TS!K7)</f>
        <v>1825</v>
      </c>
      <c r="S7" s="83">
        <f>Inputs!$H$5+TS!P7*0.4333</f>
        <v>1882.21378553</v>
      </c>
      <c r="T7" s="83">
        <f>Inputs!$G$5+TS!P7*0.4333</f>
        <v>1897.21378553</v>
      </c>
      <c r="U7" s="85">
        <f t="shared" si="23"/>
        <v>0.94860689276499999</v>
      </c>
      <c r="V7" s="86">
        <f>O7-MAX(O7:O177)</f>
        <v>-4.1712999999999738</v>
      </c>
      <c r="W7" s="86">
        <f t="shared" si="12"/>
        <v>1.8061728999999886</v>
      </c>
      <c r="X7" s="86" t="e">
        <f>((PI()*((42-2*'Gen Calcs'!$E$13)^2)/4)/144)*(A50-#REF!)*(W7+14.7)/14.7</f>
        <v>#REF!</v>
      </c>
      <c r="Y7" s="86" t="e">
        <f t="shared" si="13"/>
        <v>#REF!</v>
      </c>
      <c r="Z7" s="86" t="e">
        <f t="shared" si="14"/>
        <v>#REF!</v>
      </c>
      <c r="AA7" s="83">
        <f>MAX(B$2:B7)-B7</f>
        <v>16.727599999999939</v>
      </c>
      <c r="AB7" s="83">
        <f t="shared" si="15"/>
        <v>7.2430507999999731</v>
      </c>
      <c r="AC7" s="83">
        <f t="shared" si="16"/>
        <v>95.368855378920728</v>
      </c>
      <c r="AD7" s="72">
        <f t="shared" si="17"/>
        <v>95.368855378920728</v>
      </c>
      <c r="AE7" s="73">
        <f t="shared" si="24"/>
        <v>907.92027688745009</v>
      </c>
      <c r="AF7" s="73">
        <f>SUM(AE$2:AE7)</f>
        <v>4539.6013844372501</v>
      </c>
      <c r="AG7" s="73">
        <f t="shared" si="25"/>
        <v>1169190.301042672</v>
      </c>
    </row>
    <row r="8" spans="1:33" x14ac:dyDescent="0.25">
      <c r="A8" s="100">
        <v>96499.92</v>
      </c>
      <c r="B8" s="97">
        <v>805.67160000000001</v>
      </c>
      <c r="C8" s="97">
        <v>0.6</v>
      </c>
      <c r="D8" s="80">
        <f t="shared" si="10"/>
        <v>100</v>
      </c>
      <c r="E8" s="81">
        <f t="shared" si="18"/>
        <v>6791.2436711181272</v>
      </c>
      <c r="F8" s="81">
        <f>SUM(E$2:E8)</f>
        <v>40572.826018174921</v>
      </c>
      <c r="G8" s="43">
        <f t="shared" si="11"/>
        <v>1</v>
      </c>
      <c r="H8" s="78">
        <v>1</v>
      </c>
      <c r="I8" s="15">
        <f t="shared" si="19"/>
        <v>0.6</v>
      </c>
      <c r="J8" s="16">
        <f>VLOOKUP(G8,Inputs!$L$3:$P$15,5,FALSE)</f>
        <v>2000</v>
      </c>
      <c r="K8" s="16">
        <f t="shared" si="20"/>
        <v>1825</v>
      </c>
      <c r="L8" s="79">
        <f>Inputs!$P$8-B8</f>
        <v>132.51940000000002</v>
      </c>
      <c r="M8" s="79">
        <f>Inputs!$Q$8+L8*0.433</f>
        <v>1882.3809002</v>
      </c>
      <c r="N8" s="82">
        <f t="shared" si="21"/>
        <v>96499.92</v>
      </c>
      <c r="O8" s="83">
        <f t="shared" si="22"/>
        <v>805.67160000000001</v>
      </c>
      <c r="P8" s="84">
        <f>IF(O8="","",Inputs!$C$5-O8)</f>
        <v>19.512899999999945</v>
      </c>
      <c r="Q8" s="83">
        <f>IF(N8="","",TS!J8)</f>
        <v>2000</v>
      </c>
      <c r="R8" s="83">
        <f>IF(N8="","",TS!K8)</f>
        <v>1825</v>
      </c>
      <c r="S8" s="83">
        <f>Inputs!$H$5+TS!P8*0.4333</f>
        <v>1883.42065602</v>
      </c>
      <c r="T8" s="83">
        <f>Inputs!$G$5+TS!P8*0.4333</f>
        <v>1898.42065602</v>
      </c>
      <c r="U8" s="85">
        <f t="shared" si="23"/>
        <v>0.94921032801000005</v>
      </c>
      <c r="V8" s="86">
        <f>O8-MAX(O8:O177)</f>
        <v>-6.9565999999999804</v>
      </c>
      <c r="W8" s="86">
        <f t="shared" si="12"/>
        <v>3.0122077999999917</v>
      </c>
      <c r="X8" s="86" t="e">
        <f>((PI()*((42-2*'Gen Calcs'!$E$13)^2)/4)/144)*(A51-#REF!)*(W8+14.7)/14.7</f>
        <v>#REF!</v>
      </c>
      <c r="Y8" s="86" t="e">
        <f t="shared" si="13"/>
        <v>#REF!</v>
      </c>
      <c r="Z8" s="86" t="e">
        <f t="shared" ref="Z8:Z39" si="26">IF(Y8&gt;Z7,Y8,Z7)</f>
        <v>#REF!</v>
      </c>
      <c r="AA8" s="83">
        <f>MAX(B$2:B8)-B8</f>
        <v>19.512899999999945</v>
      </c>
      <c r="AB8" s="83">
        <f t="shared" si="15"/>
        <v>8.4490856999999764</v>
      </c>
      <c r="AC8" s="83">
        <f t="shared" si="16"/>
        <v>95.44297043792325</v>
      </c>
      <c r="AD8" s="72">
        <f t="shared" si="17"/>
        <v>95.44297043792325</v>
      </c>
      <c r="AE8" s="73">
        <f t="shared" si="24"/>
        <v>907.92027688745009</v>
      </c>
      <c r="AF8" s="73">
        <f>SUM(AE$2:AE8)</f>
        <v>5447.5216613247003</v>
      </c>
      <c r="AG8" s="73">
        <f t="shared" si="25"/>
        <v>1168282.3807657845</v>
      </c>
    </row>
    <row r="9" spans="1:33" x14ac:dyDescent="0.25">
      <c r="A9" s="99">
        <v>96599.92</v>
      </c>
      <c r="B9" s="96">
        <v>803.46410000000003</v>
      </c>
      <c r="C9" s="96">
        <v>0.6</v>
      </c>
      <c r="D9" s="80">
        <f t="shared" si="10"/>
        <v>100</v>
      </c>
      <c r="E9" s="81">
        <f t="shared" si="18"/>
        <v>6791.2436711181272</v>
      </c>
      <c r="F9" s="81">
        <f>SUM(E$2:E9)</f>
        <v>47364.06968929305</v>
      </c>
      <c r="G9" s="43">
        <f t="shared" si="11"/>
        <v>1</v>
      </c>
      <c r="H9" s="78">
        <v>1</v>
      </c>
      <c r="I9" s="15">
        <f t="shared" si="19"/>
        <v>0.6</v>
      </c>
      <c r="J9" s="16">
        <f>VLOOKUP(G9,Inputs!$L$3:$P$15,5,FALSE)</f>
        <v>2000</v>
      </c>
      <c r="K9" s="16">
        <f t="shared" si="20"/>
        <v>1825</v>
      </c>
      <c r="L9" s="79">
        <f>Inputs!$P$8-B9</f>
        <v>134.7269</v>
      </c>
      <c r="M9" s="79">
        <f>Inputs!$Q$8+L9*0.433</f>
        <v>1883.3367476999999</v>
      </c>
      <c r="N9" s="82">
        <f t="shared" si="21"/>
        <v>96599.92</v>
      </c>
      <c r="O9" s="83">
        <f t="shared" si="22"/>
        <v>803.46410000000003</v>
      </c>
      <c r="P9" s="84">
        <f>IF(O9="","",Inputs!$C$5-O9)</f>
        <v>21.720399999999927</v>
      </c>
      <c r="Q9" s="83">
        <f>IF(N9="","",TS!J9)</f>
        <v>2000</v>
      </c>
      <c r="R9" s="83">
        <f>IF(N9="","",TS!K9)</f>
        <v>1825</v>
      </c>
      <c r="S9" s="83">
        <f>Inputs!$H$5+TS!P9*0.4333</f>
        <v>1884.3771657699999</v>
      </c>
      <c r="T9" s="83">
        <f>Inputs!$G$5+TS!P9*0.4333</f>
        <v>1899.3771657699999</v>
      </c>
      <c r="U9" s="85">
        <f t="shared" si="23"/>
        <v>0.94968858288499991</v>
      </c>
      <c r="V9" s="86">
        <f>O9-MAX(O9:O177)</f>
        <v>-9.1640999999999622</v>
      </c>
      <c r="W9" s="86">
        <f t="shared" si="12"/>
        <v>3.9680552999999836</v>
      </c>
      <c r="X9" s="86" t="e">
        <f>((PI()*((42-2*'Gen Calcs'!$E$13)^2)/4)/144)*(A52-#REF!)*(W9+14.7)/14.7</f>
        <v>#REF!</v>
      </c>
      <c r="Y9" s="86" t="e">
        <f t="shared" si="13"/>
        <v>#REF!</v>
      </c>
      <c r="Z9" s="86" t="e">
        <f t="shared" si="26"/>
        <v>#REF!</v>
      </c>
      <c r="AA9" s="83">
        <f>MAX(B$2:B9)-B9</f>
        <v>21.720399999999927</v>
      </c>
      <c r="AB9" s="83">
        <f t="shared" si="15"/>
        <v>9.4049331999999684</v>
      </c>
      <c r="AC9" s="83">
        <f t="shared" si="16"/>
        <v>95.517200782238532</v>
      </c>
      <c r="AD9" s="72">
        <f t="shared" si="17"/>
        <v>95.517200782238532</v>
      </c>
      <c r="AE9" s="73">
        <f t="shared" si="24"/>
        <v>907.92027688745009</v>
      </c>
      <c r="AF9" s="73">
        <f>SUM(AE$2:AE9)</f>
        <v>6355.4419382121505</v>
      </c>
      <c r="AG9" s="73">
        <f t="shared" si="25"/>
        <v>1167374.460488897</v>
      </c>
    </row>
    <row r="10" spans="1:33" x14ac:dyDescent="0.25">
      <c r="A10" s="100">
        <v>96699.92</v>
      </c>
      <c r="B10" s="97">
        <v>802.625</v>
      </c>
      <c r="C10" s="97">
        <v>0.6</v>
      </c>
      <c r="D10" s="80">
        <f t="shared" si="10"/>
        <v>100</v>
      </c>
      <c r="E10" s="81">
        <f t="shared" si="18"/>
        <v>6791.2436711181272</v>
      </c>
      <c r="F10" s="81">
        <f>SUM(E$2:E10)</f>
        <v>54155.313360411179</v>
      </c>
      <c r="G10" s="43">
        <f t="shared" si="11"/>
        <v>1</v>
      </c>
      <c r="H10" s="78">
        <v>1</v>
      </c>
      <c r="I10" s="15">
        <f t="shared" si="19"/>
        <v>0.6</v>
      </c>
      <c r="J10" s="16">
        <f>VLOOKUP(G10,Inputs!$L$3:$P$15,5,FALSE)</f>
        <v>2000</v>
      </c>
      <c r="K10" s="16">
        <f t="shared" si="20"/>
        <v>1825</v>
      </c>
      <c r="L10" s="79">
        <f>Inputs!$P$8-B10</f>
        <v>135.56600000000003</v>
      </c>
      <c r="M10" s="79">
        <f>Inputs!$Q$8+L10*0.433</f>
        <v>1883.7000780000001</v>
      </c>
      <c r="N10" s="82">
        <f t="shared" si="21"/>
        <v>96699.92</v>
      </c>
      <c r="O10" s="83">
        <f t="shared" si="22"/>
        <v>802.625</v>
      </c>
      <c r="P10" s="84">
        <f>IF(O10="","",Inputs!$C$5-O10)</f>
        <v>22.559499999999957</v>
      </c>
      <c r="Q10" s="83">
        <f>IF(N10="","",TS!J10)</f>
        <v>2000</v>
      </c>
      <c r="R10" s="83">
        <f>IF(N10="","",TS!K10)</f>
        <v>1825</v>
      </c>
      <c r="S10" s="83">
        <f>Inputs!$H$5+TS!P10*0.4333</f>
        <v>1884.7407478</v>
      </c>
      <c r="T10" s="83">
        <f>Inputs!$G$5+TS!P10*0.4333</f>
        <v>1899.7407478</v>
      </c>
      <c r="U10" s="85">
        <f t="shared" si="23"/>
        <v>0.94987037389999995</v>
      </c>
      <c r="V10" s="86">
        <f>O10-MAX(O10:O177)</f>
        <v>-10.003199999999993</v>
      </c>
      <c r="W10" s="86">
        <f t="shared" si="12"/>
        <v>4.3313855999999964</v>
      </c>
      <c r="X10" s="86" t="e">
        <f>((PI()*((42-2*'Gen Calcs'!$E$13)^2)/4)/144)*(A53-#REF!)*(W10+14.7)/14.7</f>
        <v>#REF!</v>
      </c>
      <c r="Y10" s="86" t="e">
        <f t="shared" si="13"/>
        <v>#REF!</v>
      </c>
      <c r="Z10" s="86" t="e">
        <f t="shared" si="26"/>
        <v>#REF!</v>
      </c>
      <c r="AA10" s="83">
        <f>MAX(B$2:B10)-B10</f>
        <v>22.559499999999957</v>
      </c>
      <c r="AB10" s="83">
        <f t="shared" si="15"/>
        <v>9.768263499999982</v>
      </c>
      <c r="AC10" s="83">
        <f t="shared" si="16"/>
        <v>95.591546681063861</v>
      </c>
      <c r="AD10" s="72">
        <f t="shared" si="17"/>
        <v>95.591546681063861</v>
      </c>
      <c r="AE10" s="73">
        <f t="shared" si="24"/>
        <v>907.92027688745009</v>
      </c>
      <c r="AF10" s="73">
        <f>SUM(AE$2:AE10)</f>
        <v>7263.3622150996007</v>
      </c>
      <c r="AG10" s="73">
        <f t="shared" si="25"/>
        <v>1166466.5402120096</v>
      </c>
    </row>
    <row r="11" spans="1:33" x14ac:dyDescent="0.25">
      <c r="A11" s="99">
        <v>96799.92</v>
      </c>
      <c r="B11" s="96">
        <v>802.10730000000001</v>
      </c>
      <c r="C11" s="96">
        <v>0.6</v>
      </c>
      <c r="D11" s="80">
        <f t="shared" si="10"/>
        <v>100</v>
      </c>
      <c r="E11" s="81">
        <f t="shared" si="18"/>
        <v>6791.2436711181272</v>
      </c>
      <c r="F11" s="81">
        <f>SUM(E$2:E11)</f>
        <v>60946.557031529308</v>
      </c>
      <c r="G11" s="43">
        <f t="shared" si="11"/>
        <v>1</v>
      </c>
      <c r="H11" s="78">
        <v>1</v>
      </c>
      <c r="I11" s="15">
        <f t="shared" si="19"/>
        <v>0.6</v>
      </c>
      <c r="J11" s="16">
        <f>VLOOKUP(G11,Inputs!$L$3:$P$15,5,FALSE)</f>
        <v>2000</v>
      </c>
      <c r="K11" s="16">
        <f t="shared" si="20"/>
        <v>1825</v>
      </c>
      <c r="L11" s="79">
        <f>Inputs!$P$8-B11</f>
        <v>136.08370000000002</v>
      </c>
      <c r="M11" s="79">
        <f>Inputs!$Q$8+L11*0.433</f>
        <v>1883.9242420999999</v>
      </c>
      <c r="N11" s="82">
        <f t="shared" si="21"/>
        <v>96799.92</v>
      </c>
      <c r="O11" s="83">
        <f t="shared" si="22"/>
        <v>802.10730000000001</v>
      </c>
      <c r="P11" s="84">
        <f>IF(O11="","",Inputs!$C$5-O11)</f>
        <v>23.077199999999948</v>
      </c>
      <c r="Q11" s="83">
        <f>IF(N11="","",TS!J11)</f>
        <v>2000</v>
      </c>
      <c r="R11" s="83">
        <f>IF(N11="","",TS!K11)</f>
        <v>1825</v>
      </c>
      <c r="S11" s="83">
        <f>Inputs!$H$5+TS!P11*0.4333</f>
        <v>1884.9650672099999</v>
      </c>
      <c r="T11" s="83">
        <f>Inputs!$G$5+TS!P11*0.4333</f>
        <v>1899.9650672099999</v>
      </c>
      <c r="U11" s="85">
        <f t="shared" si="23"/>
        <v>0.94998253360499996</v>
      </c>
      <c r="V11" s="86">
        <f>O11-MAX(O11:O177)</f>
        <v>-10.520899999999983</v>
      </c>
      <c r="W11" s="86">
        <f t="shared" si="12"/>
        <v>4.5555496999999932</v>
      </c>
      <c r="X11" s="86" t="e">
        <f>((PI()*((42-2*'Gen Calcs'!$E$13)^2)/4)/144)*(A54-#REF!)*(W11+14.7)/14.7</f>
        <v>#REF!</v>
      </c>
      <c r="Y11" s="86" t="e">
        <f t="shared" si="13"/>
        <v>#REF!</v>
      </c>
      <c r="Z11" s="86" t="e">
        <f t="shared" si="26"/>
        <v>#REF!</v>
      </c>
      <c r="AA11" s="83">
        <f>MAX(B$2:B11)-B11</f>
        <v>23.077199999999948</v>
      </c>
      <c r="AB11" s="83">
        <f t="shared" si="15"/>
        <v>9.9924275999999779</v>
      </c>
      <c r="AC11" s="83">
        <f t="shared" si="16"/>
        <v>95.666008404435274</v>
      </c>
      <c r="AD11" s="72">
        <f t="shared" si="17"/>
        <v>95.666008404435274</v>
      </c>
      <c r="AE11" s="73">
        <f t="shared" si="24"/>
        <v>907.92027688745009</v>
      </c>
      <c r="AF11" s="73">
        <f>SUM(AE$2:AE11)</f>
        <v>8171.2824919870509</v>
      </c>
      <c r="AG11" s="73">
        <f t="shared" si="25"/>
        <v>1165558.6199351221</v>
      </c>
    </row>
    <row r="12" spans="1:33" x14ac:dyDescent="0.25">
      <c r="A12" s="100">
        <v>96899.92</v>
      </c>
      <c r="B12" s="97">
        <v>801.93790000000001</v>
      </c>
      <c r="C12" s="97">
        <v>0.6</v>
      </c>
      <c r="D12" s="80">
        <f t="shared" si="10"/>
        <v>100</v>
      </c>
      <c r="E12" s="81">
        <f t="shared" si="18"/>
        <v>6791.2436711181272</v>
      </c>
      <c r="F12" s="81">
        <f>SUM(E$2:E12)</f>
        <v>67737.800702647437</v>
      </c>
      <c r="G12" s="43">
        <f t="shared" si="11"/>
        <v>1</v>
      </c>
      <c r="H12" s="78">
        <v>1</v>
      </c>
      <c r="I12" s="15">
        <f t="shared" si="19"/>
        <v>0.6</v>
      </c>
      <c r="J12" s="16">
        <f>VLOOKUP(G12,Inputs!$L$3:$P$15,5,FALSE)</f>
        <v>2000</v>
      </c>
      <c r="K12" s="16">
        <f t="shared" si="20"/>
        <v>1825</v>
      </c>
      <c r="L12" s="79">
        <f>Inputs!$P$8-B12</f>
        <v>136.25310000000002</v>
      </c>
      <c r="M12" s="79">
        <f>Inputs!$Q$8+L12*0.433</f>
        <v>1883.9975923</v>
      </c>
      <c r="N12" s="82">
        <f t="shared" si="21"/>
        <v>96899.92</v>
      </c>
      <c r="O12" s="83">
        <f t="shared" si="22"/>
        <v>801.93790000000001</v>
      </c>
      <c r="P12" s="84">
        <f>IF(O12="","",Inputs!$C$5-O12)</f>
        <v>23.246599999999944</v>
      </c>
      <c r="Q12" s="83">
        <f>IF(N12="","",TS!J12)</f>
        <v>2000</v>
      </c>
      <c r="R12" s="83">
        <f>IF(N12="","",TS!K12)</f>
        <v>1825</v>
      </c>
      <c r="S12" s="83">
        <f>Inputs!$H$5+TS!P12*0.4333</f>
        <v>1885.03846823</v>
      </c>
      <c r="T12" s="83">
        <f>Inputs!$G$5+TS!P12*0.4333</f>
        <v>1900.03846823</v>
      </c>
      <c r="U12" s="85">
        <f t="shared" si="23"/>
        <v>0.950019234115</v>
      </c>
      <c r="V12" s="86">
        <f>O12-MAX(O12:O177)</f>
        <v>-10.690299999999979</v>
      </c>
      <c r="W12" s="86">
        <f t="shared" si="12"/>
        <v>4.6288998999999906</v>
      </c>
      <c r="X12" s="86" t="e">
        <f>((PI()*((42-2*'Gen Calcs'!$E$13)^2)/4)/144)*(A55-#REF!)*(W12+14.7)/14.7</f>
        <v>#REF!</v>
      </c>
      <c r="Y12" s="86" t="e">
        <f t="shared" si="13"/>
        <v>#REF!</v>
      </c>
      <c r="Z12" s="86" t="e">
        <f t="shared" si="26"/>
        <v>#REF!</v>
      </c>
      <c r="AA12" s="83">
        <f>MAX(B$2:B12)-B12</f>
        <v>23.246599999999944</v>
      </c>
      <c r="AB12" s="83">
        <f t="shared" si="15"/>
        <v>10.065777799999976</v>
      </c>
      <c r="AC12" s="83">
        <f t="shared" si="16"/>
        <v>95.740586223230864</v>
      </c>
      <c r="AD12" s="72">
        <f t="shared" si="17"/>
        <v>95.740586223230864</v>
      </c>
      <c r="AE12" s="73">
        <f t="shared" si="24"/>
        <v>907.92027688745009</v>
      </c>
      <c r="AF12" s="73">
        <f>SUM(AE$2:AE12)</f>
        <v>9079.2027688745002</v>
      </c>
      <c r="AG12" s="73">
        <f t="shared" si="25"/>
        <v>1164650.6996582346</v>
      </c>
    </row>
    <row r="13" spans="1:33" x14ac:dyDescent="0.25">
      <c r="A13" s="99">
        <v>96999.92</v>
      </c>
      <c r="B13" s="96">
        <v>804.26419999999996</v>
      </c>
      <c r="C13" s="96">
        <v>0.6</v>
      </c>
      <c r="D13" s="80">
        <f t="shared" si="10"/>
        <v>100</v>
      </c>
      <c r="E13" s="81">
        <f t="shared" si="18"/>
        <v>6791.2436711181272</v>
      </c>
      <c r="F13" s="81">
        <f>SUM(E$2:E13)</f>
        <v>74529.044373765559</v>
      </c>
      <c r="G13" s="43">
        <f t="shared" si="11"/>
        <v>1</v>
      </c>
      <c r="H13" s="78">
        <v>1</v>
      </c>
      <c r="I13" s="15">
        <f t="shared" si="19"/>
        <v>0.6</v>
      </c>
      <c r="J13" s="16">
        <f>VLOOKUP(G13,Inputs!$L$3:$P$15,5,FALSE)</f>
        <v>2000</v>
      </c>
      <c r="K13" s="16">
        <f t="shared" si="20"/>
        <v>1825</v>
      </c>
      <c r="L13" s="79">
        <f>Inputs!$P$8-B13</f>
        <v>133.92680000000007</v>
      </c>
      <c r="M13" s="79">
        <f>Inputs!$Q$8+L13*0.433</f>
        <v>1882.9903044</v>
      </c>
      <c r="N13" s="82">
        <f t="shared" si="21"/>
        <v>96999.92</v>
      </c>
      <c r="O13" s="83">
        <f t="shared" si="22"/>
        <v>804.26419999999996</v>
      </c>
      <c r="P13" s="84">
        <f>IF(O13="","",Inputs!$C$5-O13)</f>
        <v>20.920299999999997</v>
      </c>
      <c r="Q13" s="83">
        <f>IF(N13="","",TS!J13)</f>
        <v>2000</v>
      </c>
      <c r="R13" s="83">
        <f>IF(N13="","",TS!K13)</f>
        <v>1825</v>
      </c>
      <c r="S13" s="83">
        <f>Inputs!$H$5+TS!P13*0.4333</f>
        <v>1884.03048244</v>
      </c>
      <c r="T13" s="83">
        <f>Inputs!$G$5+TS!P13*0.4333</f>
        <v>1899.03048244</v>
      </c>
      <c r="U13" s="85">
        <f t="shared" si="23"/>
        <v>0.94951524121999997</v>
      </c>
      <c r="V13" s="86">
        <f>O13-MAX(O13:O177)</f>
        <v>-8.3640000000000327</v>
      </c>
      <c r="W13" s="86">
        <f t="shared" si="12"/>
        <v>3.621612000000014</v>
      </c>
      <c r="X13" s="86" t="e">
        <f>((PI()*((42-2*'Gen Calcs'!$E$13)^2)/4)/144)*(A56-#REF!)*(W13+14.7)/14.7</f>
        <v>#REF!</v>
      </c>
      <c r="Y13" s="86" t="e">
        <f t="shared" si="13"/>
        <v>#REF!</v>
      </c>
      <c r="Z13" s="86" t="e">
        <f t="shared" si="26"/>
        <v>#REF!</v>
      </c>
      <c r="AA13" s="83">
        <f>MAX(B$2:B13)-B13</f>
        <v>20.920299999999997</v>
      </c>
      <c r="AB13" s="83">
        <f t="shared" si="15"/>
        <v>9.0584898999999997</v>
      </c>
      <c r="AC13" s="83">
        <f t="shared" si="16"/>
        <v>95.815280409174051</v>
      </c>
      <c r="AD13" s="72">
        <f t="shared" si="17"/>
        <v>95.815280409174051</v>
      </c>
      <c r="AE13" s="73">
        <f t="shared" si="24"/>
        <v>907.92027688745009</v>
      </c>
      <c r="AF13" s="73">
        <f>SUM(AE$2:AE13)</f>
        <v>9987.1230457619495</v>
      </c>
      <c r="AG13" s="73">
        <f t="shared" si="25"/>
        <v>1163742.7793813474</v>
      </c>
    </row>
    <row r="14" spans="1:33" x14ac:dyDescent="0.25">
      <c r="A14" s="100">
        <v>97099.92</v>
      </c>
      <c r="B14" s="97">
        <v>807.31610000000001</v>
      </c>
      <c r="C14" s="97">
        <v>0.6</v>
      </c>
      <c r="D14" s="80">
        <f t="shared" si="10"/>
        <v>100</v>
      </c>
      <c r="E14" s="81">
        <f t="shared" si="18"/>
        <v>6791.2436711181272</v>
      </c>
      <c r="F14" s="81">
        <f>SUM(E$2:E14)</f>
        <v>81320.28804488368</v>
      </c>
      <c r="G14" s="43">
        <f t="shared" si="11"/>
        <v>1</v>
      </c>
      <c r="H14" s="78">
        <v>1</v>
      </c>
      <c r="I14" s="15">
        <f t="shared" si="19"/>
        <v>0.6</v>
      </c>
      <c r="J14" s="16">
        <f>VLOOKUP(G14,Inputs!$L$3:$P$15,5,FALSE)</f>
        <v>2000</v>
      </c>
      <c r="K14" s="16">
        <f t="shared" si="20"/>
        <v>1825</v>
      </c>
      <c r="L14" s="79">
        <f>Inputs!$P$8-B14</f>
        <v>130.87490000000003</v>
      </c>
      <c r="M14" s="79">
        <f>Inputs!$Q$8+L14*0.433</f>
        <v>1881.6688317000001</v>
      </c>
      <c r="N14" s="82">
        <f t="shared" si="21"/>
        <v>97099.92</v>
      </c>
      <c r="O14" s="83">
        <f t="shared" si="22"/>
        <v>807.31610000000001</v>
      </c>
      <c r="P14" s="84">
        <f>IF(O14="","",Inputs!$C$5-O14)</f>
        <v>17.868399999999951</v>
      </c>
      <c r="Q14" s="83">
        <f>IF(N14="","",TS!J14)</f>
        <v>2000</v>
      </c>
      <c r="R14" s="83">
        <f>IF(N14="","",TS!K14)</f>
        <v>1825</v>
      </c>
      <c r="S14" s="83">
        <f>Inputs!$H$5+TS!P14*0.4333</f>
        <v>1882.7080941699999</v>
      </c>
      <c r="T14" s="83">
        <f>Inputs!$G$5+TS!P14*0.4333</f>
        <v>1897.7080941699999</v>
      </c>
      <c r="U14" s="85">
        <f t="shared" si="23"/>
        <v>0.94885404708499999</v>
      </c>
      <c r="V14" s="86">
        <f>O14-MAX(O14:O177)</f>
        <v>-5.3120999999999867</v>
      </c>
      <c r="W14" s="86">
        <f t="shared" si="12"/>
        <v>2.3001392999999943</v>
      </c>
      <c r="X14" s="86" t="e">
        <f>((PI()*((42-2*'Gen Calcs'!$E$13)^2)/4)/144)*(A57-#REF!)*(W14+14.7)/14.7</f>
        <v>#REF!</v>
      </c>
      <c r="Y14" s="86" t="e">
        <f t="shared" si="13"/>
        <v>#REF!</v>
      </c>
      <c r="Z14" s="86" t="e">
        <f t="shared" si="26"/>
        <v>#REF!</v>
      </c>
      <c r="AA14" s="83">
        <f>MAX(B$2:B14)-B14</f>
        <v>17.868399999999951</v>
      </c>
      <c r="AB14" s="83">
        <f t="shared" si="15"/>
        <v>7.7370171999999791</v>
      </c>
      <c r="AC14" s="83">
        <f t="shared" si="16"/>
        <v>95.890091234836902</v>
      </c>
      <c r="AD14" s="72">
        <f t="shared" si="17"/>
        <v>95.890091234836902</v>
      </c>
      <c r="AE14" s="73">
        <f t="shared" si="24"/>
        <v>907.92027688745009</v>
      </c>
      <c r="AF14" s="73">
        <f>SUM(AE$2:AE14)</f>
        <v>10895.043322649399</v>
      </c>
      <c r="AG14" s="73">
        <f t="shared" si="25"/>
        <v>1162834.8591044599</v>
      </c>
    </row>
    <row r="15" spans="1:33" x14ac:dyDescent="0.25">
      <c r="A15" s="99">
        <v>97199.92</v>
      </c>
      <c r="B15" s="96">
        <v>812.62819999999999</v>
      </c>
      <c r="C15" s="96">
        <v>0.6</v>
      </c>
      <c r="D15" s="80">
        <f t="shared" si="10"/>
        <v>100</v>
      </c>
      <c r="E15" s="81">
        <f t="shared" si="18"/>
        <v>6791.2436711181272</v>
      </c>
      <c r="F15" s="81">
        <f>SUM(E$2:E15)</f>
        <v>88111.531716001802</v>
      </c>
      <c r="G15" s="43">
        <f t="shared" si="11"/>
        <v>1</v>
      </c>
      <c r="H15" s="78">
        <v>1</v>
      </c>
      <c r="I15" s="15">
        <f t="shared" si="19"/>
        <v>0.6</v>
      </c>
      <c r="J15" s="16">
        <f>VLOOKUP(G15,Inputs!$L$3:$P$15,5,FALSE)</f>
        <v>2000</v>
      </c>
      <c r="K15" s="16">
        <f t="shared" si="20"/>
        <v>1825</v>
      </c>
      <c r="L15" s="79">
        <f>Inputs!$P$8-B15</f>
        <v>125.56280000000004</v>
      </c>
      <c r="M15" s="79">
        <f>Inputs!$Q$8+L15*0.433</f>
        <v>1879.3686924000001</v>
      </c>
      <c r="N15" s="82">
        <f t="shared" si="21"/>
        <v>97199.92</v>
      </c>
      <c r="O15" s="83">
        <f t="shared" si="22"/>
        <v>812.62819999999999</v>
      </c>
      <c r="P15" s="84">
        <f>IF(O15="","",Inputs!$C$5-O15)</f>
        <v>12.556299999999965</v>
      </c>
      <c r="Q15" s="83">
        <f>IF(N15="","",TS!J15)</f>
        <v>2000</v>
      </c>
      <c r="R15" s="83">
        <f>IF(N15="","",TS!K15)</f>
        <v>1825</v>
      </c>
      <c r="S15" s="83">
        <f>Inputs!$H$5+TS!P15*0.4333</f>
        <v>1880.40636124</v>
      </c>
      <c r="T15" s="83">
        <f>Inputs!$G$5+TS!P15*0.4333</f>
        <v>1895.40636124</v>
      </c>
      <c r="U15" s="85">
        <f t="shared" si="23"/>
        <v>0.94770318062000003</v>
      </c>
      <c r="V15" s="86">
        <f>O15-MAX(O15:O177)</f>
        <v>0</v>
      </c>
      <c r="W15" s="86">
        <f t="shared" si="12"/>
        <v>0</v>
      </c>
      <c r="X15" s="86" t="e">
        <f>((PI()*((42-2*'Gen Calcs'!$E$13)^2)/4)/144)*(A58-#REF!)*(W15+14.7)/14.7</f>
        <v>#REF!</v>
      </c>
      <c r="Y15" s="86" t="e">
        <f t="shared" si="13"/>
        <v>#REF!</v>
      </c>
      <c r="Z15" s="86" t="e">
        <f t="shared" si="26"/>
        <v>#REF!</v>
      </c>
      <c r="AA15" s="83">
        <f>MAX(B$2:B15)-B15</f>
        <v>12.556299999999965</v>
      </c>
      <c r="AB15" s="83">
        <f t="shared" si="15"/>
        <v>5.4368778999999847</v>
      </c>
      <c r="AC15" s="83">
        <f t="shared" si="16"/>
        <v>95.965018973643396</v>
      </c>
      <c r="AD15" s="72">
        <f t="shared" si="17"/>
        <v>95.965018973643396</v>
      </c>
      <c r="AE15" s="73">
        <f t="shared" si="24"/>
        <v>907.92027688745009</v>
      </c>
      <c r="AF15" s="73">
        <f>SUM(AE$2:AE15)</f>
        <v>11802.963599536848</v>
      </c>
      <c r="AG15" s="73">
        <f t="shared" si="25"/>
        <v>1161926.9388275724</v>
      </c>
    </row>
    <row r="16" spans="1:33" x14ac:dyDescent="0.25">
      <c r="A16" s="100">
        <v>97299.92</v>
      </c>
      <c r="B16" s="97">
        <v>811.20650000000001</v>
      </c>
      <c r="C16" s="97">
        <v>0.6</v>
      </c>
      <c r="D16" s="80">
        <f t="shared" si="10"/>
        <v>100</v>
      </c>
      <c r="E16" s="81">
        <f t="shared" si="18"/>
        <v>6791.2436711181272</v>
      </c>
      <c r="F16" s="81">
        <f>SUM(E$2:E16)</f>
        <v>94902.775387119924</v>
      </c>
      <c r="G16" s="43">
        <f t="shared" si="11"/>
        <v>1</v>
      </c>
      <c r="H16" s="78">
        <v>1</v>
      </c>
      <c r="I16" s="15">
        <f t="shared" si="19"/>
        <v>0.6</v>
      </c>
      <c r="J16" s="16">
        <f>VLOOKUP(G16,Inputs!$L$3:$P$15,5,FALSE)</f>
        <v>2000</v>
      </c>
      <c r="K16" s="16">
        <f t="shared" si="20"/>
        <v>1825</v>
      </c>
      <c r="L16" s="79">
        <f>Inputs!$P$8-B16</f>
        <v>126.98450000000003</v>
      </c>
      <c r="M16" s="79">
        <f>Inputs!$Q$8+L16*0.433</f>
        <v>1879.9842885</v>
      </c>
      <c r="N16" s="82">
        <f t="shared" si="21"/>
        <v>97299.92</v>
      </c>
      <c r="O16" s="83">
        <f t="shared" si="22"/>
        <v>811.20650000000001</v>
      </c>
      <c r="P16" s="84">
        <f>IF(O16="","",Inputs!$C$5-O16)</f>
        <v>13.977999999999952</v>
      </c>
      <c r="Q16" s="83">
        <f>IF(N16="","",TS!J16)</f>
        <v>2000</v>
      </c>
      <c r="R16" s="83">
        <f>IF(N16="","",TS!K16)</f>
        <v>1825</v>
      </c>
      <c r="S16" s="83">
        <f>Inputs!$H$5+TS!P16*0.4333</f>
        <v>1881.0223838499999</v>
      </c>
      <c r="T16" s="83">
        <f>Inputs!$G$5+TS!P16*0.4333</f>
        <v>1896.0223838499999</v>
      </c>
      <c r="U16" s="85">
        <f t="shared" si="23"/>
        <v>0.94801119192499994</v>
      </c>
      <c r="V16" s="86">
        <f>O16-MAX(O16:O177)</f>
        <v>0</v>
      </c>
      <c r="W16" s="86">
        <f t="shared" si="12"/>
        <v>0</v>
      </c>
      <c r="X16" s="86" t="e">
        <f>((PI()*((42-2*'Gen Calcs'!$E$13)^2)/4)/144)*(A59-#REF!)*(W16+14.7)/14.7</f>
        <v>#REF!</v>
      </c>
      <c r="Y16" s="86" t="e">
        <f t="shared" si="13"/>
        <v>#REF!</v>
      </c>
      <c r="Z16" s="86" t="e">
        <f t="shared" si="26"/>
        <v>#REF!</v>
      </c>
      <c r="AA16" s="83">
        <f>MAX(B$2:B16)-B16</f>
        <v>13.977999999999952</v>
      </c>
      <c r="AB16" s="83">
        <f t="shared" si="15"/>
        <v>6.0524739999999788</v>
      </c>
      <c r="AC16" s="83">
        <f t="shared" si="16"/>
        <v>96.040063899872791</v>
      </c>
      <c r="AD16" s="72">
        <f t="shared" si="17"/>
        <v>96.040063899872791</v>
      </c>
      <c r="AE16" s="73">
        <f t="shared" si="24"/>
        <v>907.92027688745009</v>
      </c>
      <c r="AF16" s="73">
        <f>SUM(AE$2:AE16)</f>
        <v>12710.883876424297</v>
      </c>
      <c r="AG16" s="73">
        <f t="shared" si="25"/>
        <v>1161019.0185506849</v>
      </c>
    </row>
    <row r="17" spans="1:33" x14ac:dyDescent="0.25">
      <c r="A17" s="99">
        <v>97399.92</v>
      </c>
      <c r="B17" s="96">
        <v>808.82249999999999</v>
      </c>
      <c r="C17" s="96">
        <v>0.6</v>
      </c>
      <c r="D17" s="80">
        <f t="shared" si="10"/>
        <v>100</v>
      </c>
      <c r="E17" s="81">
        <f t="shared" si="18"/>
        <v>6791.2436711181272</v>
      </c>
      <c r="F17" s="81">
        <f>SUM(E$2:E17)</f>
        <v>101694.01905823805</v>
      </c>
      <c r="G17" s="43">
        <f t="shared" si="11"/>
        <v>1</v>
      </c>
      <c r="H17" s="78">
        <v>1</v>
      </c>
      <c r="I17" s="15">
        <f t="shared" si="19"/>
        <v>0.6</v>
      </c>
      <c r="J17" s="16">
        <f>VLOOKUP(G17,Inputs!$L$3:$P$15,5,FALSE)</f>
        <v>2000</v>
      </c>
      <c r="K17" s="16">
        <f t="shared" si="20"/>
        <v>1825</v>
      </c>
      <c r="L17" s="79">
        <f>Inputs!$P$8-B17</f>
        <v>129.36850000000004</v>
      </c>
      <c r="M17" s="79">
        <f>Inputs!$Q$8+L17*0.433</f>
        <v>1881.0165605</v>
      </c>
      <c r="N17" s="82">
        <f t="shared" si="21"/>
        <v>97399.92</v>
      </c>
      <c r="O17" s="83">
        <f t="shared" si="22"/>
        <v>808.82249999999999</v>
      </c>
      <c r="P17" s="84">
        <f>IF(O17="","",Inputs!$C$5-O17)</f>
        <v>16.361999999999966</v>
      </c>
      <c r="Q17" s="83">
        <f>IF(N17="","",TS!J17)</f>
        <v>2000</v>
      </c>
      <c r="R17" s="83">
        <f>IF(N17="","",TS!K17)</f>
        <v>1825</v>
      </c>
      <c r="S17" s="83">
        <f>Inputs!$H$5+TS!P17*0.4333</f>
        <v>1882.0553710499998</v>
      </c>
      <c r="T17" s="83">
        <f>Inputs!$G$5+TS!P17*0.4333</f>
        <v>1897.0553710499998</v>
      </c>
      <c r="U17" s="85">
        <f t="shared" si="23"/>
        <v>0.94852768552499989</v>
      </c>
      <c r="V17" s="86">
        <f>O17-MAX(O17:O177)</f>
        <v>0</v>
      </c>
      <c r="W17" s="86">
        <f t="shared" si="12"/>
        <v>0</v>
      </c>
      <c r="X17" s="86" t="e">
        <f>((PI()*((42-2*'Gen Calcs'!$E$13)^2)/4)/144)*(A60-#REF!)*(W17+14.7)/14.7</f>
        <v>#REF!</v>
      </c>
      <c r="Y17" s="86" t="e">
        <f t="shared" si="13"/>
        <v>#REF!</v>
      </c>
      <c r="Z17" s="86" t="e">
        <f t="shared" si="26"/>
        <v>#REF!</v>
      </c>
      <c r="AA17" s="83">
        <f>MAX(B$2:B17)-B17</f>
        <v>16.361999999999966</v>
      </c>
      <c r="AB17" s="83">
        <f t="shared" si="15"/>
        <v>7.0847459999999858</v>
      </c>
      <c r="AC17" s="83">
        <f t="shared" si="16"/>
        <v>96.115226288662967</v>
      </c>
      <c r="AD17" s="72">
        <f t="shared" si="17"/>
        <v>96.115226288662967</v>
      </c>
      <c r="AE17" s="73">
        <f t="shared" si="24"/>
        <v>907.92027688745009</v>
      </c>
      <c r="AF17" s="73">
        <f>SUM(AE$2:AE17)</f>
        <v>13618.804153311747</v>
      </c>
      <c r="AG17" s="73">
        <f t="shared" si="25"/>
        <v>1160111.0982737974</v>
      </c>
    </row>
    <row r="18" spans="1:33" x14ac:dyDescent="0.25">
      <c r="A18" s="100">
        <v>97499.92</v>
      </c>
      <c r="B18" s="97">
        <v>806.58780000000002</v>
      </c>
      <c r="C18" s="97">
        <v>0.6</v>
      </c>
      <c r="D18" s="80">
        <f t="shared" si="10"/>
        <v>100</v>
      </c>
      <c r="E18" s="81">
        <f t="shared" si="18"/>
        <v>6791.2436711181272</v>
      </c>
      <c r="F18" s="81">
        <f>SUM(E$2:E18)</f>
        <v>108485.26272935617</v>
      </c>
      <c r="G18" s="43">
        <f t="shared" si="11"/>
        <v>1</v>
      </c>
      <c r="H18" s="78">
        <v>1</v>
      </c>
      <c r="I18" s="15">
        <f t="shared" si="19"/>
        <v>0.6</v>
      </c>
      <c r="J18" s="16">
        <f>VLOOKUP(G18,Inputs!$L$3:$P$15,5,FALSE)</f>
        <v>2000</v>
      </c>
      <c r="K18" s="16">
        <f t="shared" si="20"/>
        <v>1825</v>
      </c>
      <c r="L18" s="79">
        <f>Inputs!$P$8-B18</f>
        <v>131.60320000000002</v>
      </c>
      <c r="M18" s="79">
        <f>Inputs!$Q$8+L18*0.433</f>
        <v>1881.9841856</v>
      </c>
      <c r="N18" s="82">
        <f t="shared" si="21"/>
        <v>97499.92</v>
      </c>
      <c r="O18" s="83">
        <f t="shared" si="22"/>
        <v>806.58780000000002</v>
      </c>
      <c r="P18" s="84">
        <f>IF(O18="","",Inputs!$C$5-O18)</f>
        <v>18.596699999999942</v>
      </c>
      <c r="Q18" s="83">
        <f>IF(N18="","",TS!J18)</f>
        <v>2000</v>
      </c>
      <c r="R18" s="83">
        <f>IF(N18="","",TS!K18)</f>
        <v>1825</v>
      </c>
      <c r="S18" s="83">
        <f>Inputs!$H$5+TS!P18*0.4333</f>
        <v>1883.0236665599998</v>
      </c>
      <c r="T18" s="83">
        <f>Inputs!$G$5+TS!P18*0.4333</f>
        <v>1898.0236665599998</v>
      </c>
      <c r="U18" s="85">
        <f t="shared" si="23"/>
        <v>0.94901183327999994</v>
      </c>
      <c r="V18" s="86">
        <f>O18-MAX(O18:O177)</f>
        <v>0</v>
      </c>
      <c r="W18" s="86">
        <f t="shared" si="12"/>
        <v>0</v>
      </c>
      <c r="X18" s="86" t="e">
        <f>((PI()*((42-2*'Gen Calcs'!$E$13)^2)/4)/144)*(A61-#REF!)*(W18+14.7)/14.7</f>
        <v>#REF!</v>
      </c>
      <c r="Y18" s="86" t="e">
        <f t="shared" si="13"/>
        <v>#REF!</v>
      </c>
      <c r="Z18" s="86" t="e">
        <f t="shared" si="26"/>
        <v>#REF!</v>
      </c>
      <c r="AA18" s="83">
        <f>MAX(B$2:B18)-B18</f>
        <v>18.596699999999942</v>
      </c>
      <c r="AB18" s="83">
        <f t="shared" si="15"/>
        <v>8.0523710999999754</v>
      </c>
      <c r="AC18" s="83">
        <f t="shared" si="16"/>
        <v>96.190506416013818</v>
      </c>
      <c r="AD18" s="72">
        <f t="shared" si="17"/>
        <v>96.190506416013818</v>
      </c>
      <c r="AE18" s="73">
        <f t="shared" si="24"/>
        <v>907.92027688745009</v>
      </c>
      <c r="AF18" s="73">
        <f>SUM(AE$2:AE18)</f>
        <v>14526.724430199196</v>
      </c>
      <c r="AG18" s="73">
        <f t="shared" si="25"/>
        <v>1159203.1779969099</v>
      </c>
    </row>
    <row r="19" spans="1:33" x14ac:dyDescent="0.25">
      <c r="A19" s="99">
        <v>97599.92</v>
      </c>
      <c r="B19" s="96">
        <v>804.4325</v>
      </c>
      <c r="C19" s="96">
        <v>0.6</v>
      </c>
      <c r="D19" s="80">
        <f t="shared" si="10"/>
        <v>100</v>
      </c>
      <c r="E19" s="81">
        <f t="shared" si="18"/>
        <v>6791.2436711181272</v>
      </c>
      <c r="F19" s="81">
        <f>SUM(E$2:E19)</f>
        <v>115276.50640047429</v>
      </c>
      <c r="G19" s="43">
        <f t="shared" si="11"/>
        <v>1</v>
      </c>
      <c r="H19" s="78">
        <v>1</v>
      </c>
      <c r="I19" s="15">
        <f t="shared" si="19"/>
        <v>0.6</v>
      </c>
      <c r="J19" s="16">
        <f>VLOOKUP(G19,Inputs!$L$3:$P$15,5,FALSE)</f>
        <v>2000</v>
      </c>
      <c r="K19" s="16">
        <f t="shared" si="20"/>
        <v>1825</v>
      </c>
      <c r="L19" s="79">
        <f>Inputs!$P$8-B19</f>
        <v>133.75850000000003</v>
      </c>
      <c r="M19" s="79">
        <f>Inputs!$Q$8+L19*0.433</f>
        <v>1882.9174304999999</v>
      </c>
      <c r="N19" s="82">
        <f t="shared" si="21"/>
        <v>97599.92</v>
      </c>
      <c r="O19" s="83">
        <f t="shared" si="22"/>
        <v>804.4325</v>
      </c>
      <c r="P19" s="84">
        <f>IF(O19="","",Inputs!$C$5-O19)</f>
        <v>20.751999999999953</v>
      </c>
      <c r="Q19" s="83">
        <f>IF(N19="","",TS!J19)</f>
        <v>2000</v>
      </c>
      <c r="R19" s="83">
        <f>IF(N19="","",TS!K19)</f>
        <v>1825</v>
      </c>
      <c r="S19" s="83">
        <f>Inputs!$H$5+TS!P19*0.4333</f>
        <v>1883.95755805</v>
      </c>
      <c r="T19" s="83">
        <f>Inputs!$G$5+TS!P19*0.4333</f>
        <v>1898.95755805</v>
      </c>
      <c r="U19" s="85">
        <f t="shared" si="23"/>
        <v>0.949478779025</v>
      </c>
      <c r="V19" s="86">
        <f>O19-MAX(O19:O177)</f>
        <v>0</v>
      </c>
      <c r="W19" s="86">
        <f t="shared" si="12"/>
        <v>0</v>
      </c>
      <c r="X19" s="86" t="e">
        <f>((PI()*((42-2*'Gen Calcs'!$E$13)^2)/4)/144)*(A62-#REF!)*(W19+14.7)/14.7</f>
        <v>#REF!</v>
      </c>
      <c r="Y19" s="86" t="e">
        <f t="shared" si="13"/>
        <v>#REF!</v>
      </c>
      <c r="Z19" s="86" t="e">
        <f t="shared" si="26"/>
        <v>#REF!</v>
      </c>
      <c r="AA19" s="83">
        <f>MAX(B$2:B19)-B19</f>
        <v>20.751999999999953</v>
      </c>
      <c r="AB19" s="83">
        <f t="shared" si="15"/>
        <v>8.985615999999979</v>
      </c>
      <c r="AC19" s="83">
        <f t="shared" si="16"/>
        <v>96.265904558790538</v>
      </c>
      <c r="AD19" s="72">
        <f t="shared" si="17"/>
        <v>96.265904558790538</v>
      </c>
      <c r="AE19" s="73">
        <f t="shared" si="24"/>
        <v>907.92027688745009</v>
      </c>
      <c r="AF19" s="73">
        <f>SUM(AE$2:AE19)</f>
        <v>15434.644707086645</v>
      </c>
      <c r="AG19" s="73">
        <f t="shared" si="25"/>
        <v>1158295.2577200225</v>
      </c>
    </row>
    <row r="20" spans="1:33" x14ac:dyDescent="0.25">
      <c r="A20" s="100">
        <v>97699.92</v>
      </c>
      <c r="B20" s="97">
        <v>801.51639999999998</v>
      </c>
      <c r="C20" s="97">
        <v>0.6</v>
      </c>
      <c r="D20" s="80">
        <f t="shared" si="10"/>
        <v>100</v>
      </c>
      <c r="E20" s="81">
        <f t="shared" si="18"/>
        <v>6791.2436711181272</v>
      </c>
      <c r="F20" s="81">
        <f>SUM(E$2:E20)</f>
        <v>122067.75007159241</v>
      </c>
      <c r="G20" s="43">
        <f t="shared" si="11"/>
        <v>1</v>
      </c>
      <c r="H20" s="78">
        <v>1</v>
      </c>
      <c r="I20" s="15">
        <f t="shared" si="19"/>
        <v>0.6</v>
      </c>
      <c r="J20" s="16">
        <f>VLOOKUP(G20,Inputs!$L$3:$P$15,5,FALSE)</f>
        <v>2000</v>
      </c>
      <c r="K20" s="16">
        <f t="shared" si="20"/>
        <v>1825</v>
      </c>
      <c r="L20" s="79">
        <f>Inputs!$P$8-B20</f>
        <v>136.67460000000005</v>
      </c>
      <c r="M20" s="79">
        <f>Inputs!$Q$8+L20*0.433</f>
        <v>1884.1801018000001</v>
      </c>
      <c r="N20" s="82">
        <f t="shared" si="21"/>
        <v>97699.92</v>
      </c>
      <c r="O20" s="83">
        <f t="shared" si="22"/>
        <v>801.51639999999998</v>
      </c>
      <c r="P20" s="84">
        <f>IF(O20="","",Inputs!$C$5-O20)</f>
        <v>23.668099999999981</v>
      </c>
      <c r="Q20" s="83">
        <f>IF(N20="","",TS!J20)</f>
        <v>2000</v>
      </c>
      <c r="R20" s="83">
        <f>IF(N20="","",TS!K20)</f>
        <v>1825</v>
      </c>
      <c r="S20" s="83">
        <f>Inputs!$H$5+TS!P20*0.4333</f>
        <v>1885.2211041799999</v>
      </c>
      <c r="T20" s="83">
        <f>Inputs!$G$5+TS!P20*0.4333</f>
        <v>1900.2211041799999</v>
      </c>
      <c r="U20" s="85">
        <f t="shared" si="23"/>
        <v>0.95011055208999995</v>
      </c>
      <c r="V20" s="86">
        <f>O20-MAX(O20:O177)</f>
        <v>0</v>
      </c>
      <c r="W20" s="86">
        <f t="shared" si="12"/>
        <v>0</v>
      </c>
      <c r="X20" s="86" t="e">
        <f>((PI()*((42-2*'Gen Calcs'!$E$13)^2)/4)/144)*(A63-#REF!)*(W20+14.7)/14.7</f>
        <v>#REF!</v>
      </c>
      <c r="Y20" s="86" t="e">
        <f t="shared" si="13"/>
        <v>#REF!</v>
      </c>
      <c r="Z20" s="86" t="e">
        <f t="shared" si="26"/>
        <v>#REF!</v>
      </c>
      <c r="AA20" s="83">
        <f>MAX(B$2:B20)-B20</f>
        <v>23.668099999999981</v>
      </c>
      <c r="AB20" s="83">
        <f t="shared" si="15"/>
        <v>10.248287299999992</v>
      </c>
      <c r="AC20" s="83">
        <f t="shared" si="16"/>
        <v>96.341420994727102</v>
      </c>
      <c r="AD20" s="72">
        <f t="shared" si="17"/>
        <v>96.341420994727102</v>
      </c>
      <c r="AE20" s="73">
        <f t="shared" si="24"/>
        <v>907.92027688745009</v>
      </c>
      <c r="AF20" s="73">
        <f>SUM(AE$2:AE20)</f>
        <v>16342.564983974095</v>
      </c>
      <c r="AG20" s="73">
        <f t="shared" si="25"/>
        <v>1157387.3374431352</v>
      </c>
    </row>
    <row r="21" spans="1:33" x14ac:dyDescent="0.25">
      <c r="A21" s="99">
        <v>97799.92</v>
      </c>
      <c r="B21" s="96">
        <v>798.98090000000002</v>
      </c>
      <c r="C21" s="96">
        <v>0.6</v>
      </c>
      <c r="D21" s="80">
        <f t="shared" si="10"/>
        <v>100</v>
      </c>
      <c r="E21" s="81">
        <f t="shared" si="18"/>
        <v>6791.2436711181272</v>
      </c>
      <c r="F21" s="81">
        <f>SUM(E$2:E21)</f>
        <v>128858.99374271053</v>
      </c>
      <c r="G21" s="43">
        <f t="shared" si="11"/>
        <v>1</v>
      </c>
      <c r="H21" s="78">
        <v>1</v>
      </c>
      <c r="I21" s="15">
        <f t="shared" si="19"/>
        <v>0.6</v>
      </c>
      <c r="J21" s="16">
        <f>VLOOKUP(G21,Inputs!$L$3:$P$15,5,FALSE)</f>
        <v>2000</v>
      </c>
      <c r="K21" s="16">
        <f t="shared" si="20"/>
        <v>1825</v>
      </c>
      <c r="L21" s="79">
        <f>Inputs!$P$8-B21</f>
        <v>139.21010000000001</v>
      </c>
      <c r="M21" s="79">
        <f>Inputs!$Q$8+L21*0.433</f>
        <v>1885.2779733</v>
      </c>
      <c r="N21" s="82">
        <f t="shared" si="21"/>
        <v>97799.92</v>
      </c>
      <c r="O21" s="83">
        <f t="shared" si="22"/>
        <v>798.98090000000002</v>
      </c>
      <c r="P21" s="84">
        <f>IF(O21="","",Inputs!$C$5-O21)</f>
        <v>26.203599999999938</v>
      </c>
      <c r="Q21" s="83">
        <f>IF(N21="","",TS!J21)</f>
        <v>2000</v>
      </c>
      <c r="R21" s="83">
        <f>IF(N21="","",TS!K21)</f>
        <v>1825</v>
      </c>
      <c r="S21" s="83">
        <f>Inputs!$H$5+TS!P21*0.4333</f>
        <v>1886.3197363299998</v>
      </c>
      <c r="T21" s="83">
        <f>Inputs!$G$5+TS!P21*0.4333</f>
        <v>1901.3197363299998</v>
      </c>
      <c r="U21" s="85">
        <f t="shared" si="23"/>
        <v>0.95065986816499992</v>
      </c>
      <c r="V21" s="86">
        <f>O21-MAX(O21:O177)</f>
        <v>0</v>
      </c>
      <c r="W21" s="86">
        <f t="shared" si="12"/>
        <v>0</v>
      </c>
      <c r="X21" s="86" t="e">
        <f>((PI()*((42-2*'Gen Calcs'!$E$13)^2)/4)/144)*(A64-#REF!)*(W21+14.7)/14.7</f>
        <v>#REF!</v>
      </c>
      <c r="Y21" s="86" t="e">
        <f t="shared" si="13"/>
        <v>#REF!</v>
      </c>
      <c r="Z21" s="86" t="e">
        <f t="shared" si="26"/>
        <v>#REF!</v>
      </c>
      <c r="AA21" s="83">
        <f>MAX(B$2:B21)-B21</f>
        <v>26.203599999999938</v>
      </c>
      <c r="AB21" s="83">
        <f t="shared" si="15"/>
        <v>11.346158799999973</v>
      </c>
      <c r="AC21" s="83">
        <f t="shared" si="16"/>
        <v>96.417056002429703</v>
      </c>
      <c r="AD21" s="72">
        <f t="shared" si="17"/>
        <v>96.417056002429703</v>
      </c>
      <c r="AE21" s="73">
        <f t="shared" si="24"/>
        <v>907.92027688745009</v>
      </c>
      <c r="AF21" s="73">
        <f>SUM(AE$2:AE21)</f>
        <v>17250.485260861544</v>
      </c>
      <c r="AG21" s="73">
        <f t="shared" si="25"/>
        <v>1156479.4171662477</v>
      </c>
    </row>
    <row r="22" spans="1:33" x14ac:dyDescent="0.25">
      <c r="A22" s="100">
        <v>97899.92</v>
      </c>
      <c r="B22" s="97">
        <v>790.85580000000004</v>
      </c>
      <c r="C22" s="97">
        <v>0.6</v>
      </c>
      <c r="D22" s="80">
        <f t="shared" si="10"/>
        <v>100</v>
      </c>
      <c r="E22" s="81">
        <f t="shared" si="18"/>
        <v>6791.2436711181272</v>
      </c>
      <c r="F22" s="81">
        <f>SUM(E$2:E22)</f>
        <v>135650.23741382867</v>
      </c>
      <c r="G22" s="43">
        <f t="shared" si="11"/>
        <v>1</v>
      </c>
      <c r="H22" s="78">
        <v>1</v>
      </c>
      <c r="I22" s="15">
        <f t="shared" si="19"/>
        <v>0.6</v>
      </c>
      <c r="J22" s="16">
        <f>VLOOKUP(G22,Inputs!$L$3:$P$15,5,FALSE)</f>
        <v>2000</v>
      </c>
      <c r="K22" s="16">
        <f t="shared" si="20"/>
        <v>1825</v>
      </c>
      <c r="L22" s="79">
        <f>Inputs!$P$8-B22</f>
        <v>147.33519999999999</v>
      </c>
      <c r="M22" s="79">
        <f>Inputs!$Q$8+L22*0.433</f>
        <v>1888.7961416000001</v>
      </c>
      <c r="N22" s="82">
        <f t="shared" si="21"/>
        <v>97899.92</v>
      </c>
      <c r="O22" s="83">
        <f t="shared" si="22"/>
        <v>790.85580000000004</v>
      </c>
      <c r="P22" s="84">
        <f>IF(O22="","",Inputs!$C$5-O22)</f>
        <v>34.328699999999913</v>
      </c>
      <c r="Q22" s="83">
        <f>IF(N22="","",TS!J22)</f>
        <v>2000</v>
      </c>
      <c r="R22" s="83">
        <f>IF(N22="","",TS!K22)</f>
        <v>1825</v>
      </c>
      <c r="S22" s="83">
        <f>Inputs!$H$5+TS!P22*0.4333</f>
        <v>1889.8403421599999</v>
      </c>
      <c r="T22" s="83">
        <f>Inputs!$G$5+TS!P22*0.4333</f>
        <v>1904.8403421599999</v>
      </c>
      <c r="U22" s="85">
        <f t="shared" si="23"/>
        <v>0.95242017107999988</v>
      </c>
      <c r="V22" s="86">
        <f>O22-MAX(O22:O177)</f>
        <v>0</v>
      </c>
      <c r="W22" s="86">
        <f t="shared" si="12"/>
        <v>0</v>
      </c>
      <c r="X22" s="86" t="e">
        <f>((PI()*((42-2*'Gen Calcs'!$E$13)^2)/4)/144)*(A65-#REF!)*(W22+14.7)/14.7</f>
        <v>#REF!</v>
      </c>
      <c r="Y22" s="86" t="e">
        <f t="shared" si="13"/>
        <v>#REF!</v>
      </c>
      <c r="Z22" s="86" t="e">
        <f t="shared" si="26"/>
        <v>#REF!</v>
      </c>
      <c r="AA22" s="83">
        <f>MAX(B$2:B22)-B22</f>
        <v>34.328699999999913</v>
      </c>
      <c r="AB22" s="83">
        <f t="shared" si="15"/>
        <v>14.864327099999961</v>
      </c>
      <c r="AC22" s="83">
        <f t="shared" si="16"/>
        <v>96.492809861380053</v>
      </c>
      <c r="AD22" s="72">
        <f t="shared" si="17"/>
        <v>96.492809861380053</v>
      </c>
      <c r="AE22" s="73">
        <f t="shared" si="24"/>
        <v>907.92027688745009</v>
      </c>
      <c r="AF22" s="73">
        <f>SUM(AE$2:AE22)</f>
        <v>18158.405537748993</v>
      </c>
      <c r="AG22" s="73">
        <f t="shared" si="25"/>
        <v>1155571.4968893602</v>
      </c>
    </row>
    <row r="23" spans="1:33" x14ac:dyDescent="0.25">
      <c r="A23" s="99">
        <v>97999.92</v>
      </c>
      <c r="B23" s="96">
        <v>777.31920000000002</v>
      </c>
      <c r="C23" s="96">
        <v>0.6</v>
      </c>
      <c r="D23" s="80">
        <f t="shared" si="10"/>
        <v>100</v>
      </c>
      <c r="E23" s="81">
        <f t="shared" si="18"/>
        <v>6791.2436711181272</v>
      </c>
      <c r="F23" s="81">
        <f>SUM(E$2:E23)</f>
        <v>142441.4810849468</v>
      </c>
      <c r="G23" s="43">
        <f t="shared" si="11"/>
        <v>1</v>
      </c>
      <c r="H23" s="78">
        <v>1</v>
      </c>
      <c r="I23" s="15">
        <f t="shared" si="19"/>
        <v>0.6</v>
      </c>
      <c r="J23" s="16">
        <f>VLOOKUP(G23,Inputs!$L$3:$P$15,5,FALSE)</f>
        <v>2000</v>
      </c>
      <c r="K23" s="16">
        <f t="shared" si="20"/>
        <v>1825</v>
      </c>
      <c r="L23" s="79">
        <f>Inputs!$P$8-B23</f>
        <v>160.87180000000001</v>
      </c>
      <c r="M23" s="79">
        <f>Inputs!$Q$8+L23*0.433</f>
        <v>1894.6574894</v>
      </c>
      <c r="N23" s="82">
        <f t="shared" si="21"/>
        <v>97999.92</v>
      </c>
      <c r="O23" s="83">
        <f t="shared" si="22"/>
        <v>777.31920000000002</v>
      </c>
      <c r="P23" s="84">
        <f>IF(O23="","",Inputs!$C$5-O23)</f>
        <v>47.865299999999934</v>
      </c>
      <c r="Q23" s="83">
        <f>IF(N23="","",TS!J23)</f>
        <v>2000</v>
      </c>
      <c r="R23" s="83">
        <f>IF(N23="","",TS!K23)</f>
        <v>1825</v>
      </c>
      <c r="S23" s="83">
        <f>Inputs!$H$5+TS!P23*0.4333</f>
        <v>1895.7057509399999</v>
      </c>
      <c r="T23" s="83">
        <f>Inputs!$G$5+TS!P23*0.4333</f>
        <v>1910.7057509399999</v>
      </c>
      <c r="U23" s="85">
        <f t="shared" si="23"/>
        <v>0.95535287546999992</v>
      </c>
      <c r="V23" s="86">
        <f>O23-MAX(O23:O177)</f>
        <v>0</v>
      </c>
      <c r="W23" s="86">
        <f t="shared" si="12"/>
        <v>0</v>
      </c>
      <c r="X23" s="86" t="e">
        <f>((PI()*((42-2*'Gen Calcs'!$E$13)^2)/4)/144)*(A66-#REF!)*(W23+14.7)/14.7</f>
        <v>#REF!</v>
      </c>
      <c r="Y23" s="86" t="e">
        <f t="shared" si="13"/>
        <v>#REF!</v>
      </c>
      <c r="Z23" s="86" t="e">
        <f t="shared" si="26"/>
        <v>#REF!</v>
      </c>
      <c r="AA23" s="83">
        <f>MAX(B$2:B23)-B23</f>
        <v>47.865299999999934</v>
      </c>
      <c r="AB23" s="83">
        <f t="shared" si="15"/>
        <v>20.725674899999969</v>
      </c>
      <c r="AC23" s="83">
        <f t="shared" si="16"/>
        <v>96.568682851938931</v>
      </c>
      <c r="AD23" s="72">
        <f t="shared" si="17"/>
        <v>96.568682851938931</v>
      </c>
      <c r="AE23" s="73">
        <f t="shared" si="24"/>
        <v>907.92027688745009</v>
      </c>
      <c r="AF23" s="73">
        <f>SUM(AE$2:AE23)</f>
        <v>19066.325814636442</v>
      </c>
      <c r="AG23" s="73">
        <f t="shared" si="25"/>
        <v>1154663.5766124728</v>
      </c>
    </row>
    <row r="24" spans="1:33" x14ac:dyDescent="0.25">
      <c r="A24" s="100">
        <v>98099.92</v>
      </c>
      <c r="B24" s="97">
        <v>752.5068</v>
      </c>
      <c r="C24" s="97">
        <v>0.6</v>
      </c>
      <c r="D24" s="80">
        <f t="shared" si="10"/>
        <v>100</v>
      </c>
      <c r="E24" s="81">
        <f t="shared" si="18"/>
        <v>6616.6076625842816</v>
      </c>
      <c r="F24" s="81">
        <f>SUM(E$2:E24)</f>
        <v>149058.08874753109</v>
      </c>
      <c r="G24" s="43">
        <f t="shared" si="11"/>
        <v>1</v>
      </c>
      <c r="H24" s="78">
        <v>1</v>
      </c>
      <c r="I24" s="15">
        <f t="shared" si="19"/>
        <v>0.6</v>
      </c>
      <c r="J24" s="16">
        <f>VLOOKUP(G24,Inputs!$L$3:$P$15,5,FALSE)</f>
        <v>2000</v>
      </c>
      <c r="K24" s="16">
        <f t="shared" si="20"/>
        <v>1825</v>
      </c>
      <c r="L24" s="79">
        <f>Inputs!$P$8-B24</f>
        <v>185.68420000000003</v>
      </c>
      <c r="M24" s="79">
        <f>Inputs!$Q$8+L24*0.433</f>
        <v>1905.4012586000001</v>
      </c>
      <c r="N24" s="82">
        <f t="shared" si="21"/>
        <v>98099.92</v>
      </c>
      <c r="O24" s="83">
        <f t="shared" si="22"/>
        <v>752.5068</v>
      </c>
      <c r="P24" s="84">
        <f>IF(O24="","",Inputs!$C$5-O24)</f>
        <v>72.677699999999959</v>
      </c>
      <c r="Q24" s="83">
        <f>IF(N24="","",TS!J24)</f>
        <v>2000</v>
      </c>
      <c r="R24" s="83">
        <f>IF(N24="","",TS!K24)</f>
        <v>1825</v>
      </c>
      <c r="S24" s="83">
        <f>Inputs!$H$5+TS!P24*0.4333</f>
        <v>1906.4569638599999</v>
      </c>
      <c r="T24" s="83">
        <f>Inputs!$G$5+TS!P24*0.4333</f>
        <v>1921.4569638599999</v>
      </c>
      <c r="U24" s="85">
        <f t="shared" si="23"/>
        <v>0.96072848192999993</v>
      </c>
      <c r="V24" s="86">
        <f>O24-MAX(O24:O177)</f>
        <v>0</v>
      </c>
      <c r="W24" s="86">
        <f t="shared" si="12"/>
        <v>0</v>
      </c>
      <c r="X24" s="86" t="e">
        <f>((PI()*((42-2*'Gen Calcs'!$E$13)^2)/4)/144)*(A67-#REF!)*(W24+14.7)/14.7</f>
        <v>#REF!</v>
      </c>
      <c r="Y24" s="86" t="e">
        <f t="shared" si="13"/>
        <v>#REF!</v>
      </c>
      <c r="Z24" s="86" t="e">
        <f t="shared" si="26"/>
        <v>#REF!</v>
      </c>
      <c r="AA24" s="83">
        <f>MAX(B$2:B24)-B24</f>
        <v>72.677699999999959</v>
      </c>
      <c r="AB24" s="83">
        <f t="shared" si="15"/>
        <v>31.469444099999983</v>
      </c>
      <c r="AC24" s="83">
        <f t="shared" si="16"/>
        <v>96.644675255349597</v>
      </c>
      <c r="AD24" s="72">
        <f t="shared" si="17"/>
        <v>96.644675255349597</v>
      </c>
      <c r="AE24" s="73">
        <f t="shared" si="24"/>
        <v>907.92027688745009</v>
      </c>
      <c r="AF24" s="73">
        <f>SUM(AE$2:AE24)</f>
        <v>19974.246091523892</v>
      </c>
      <c r="AG24" s="73">
        <f t="shared" si="25"/>
        <v>1153755.6563355853</v>
      </c>
    </row>
    <row r="25" spans="1:33" x14ac:dyDescent="0.25">
      <c r="A25" s="99">
        <v>98199.92</v>
      </c>
      <c r="B25" s="96">
        <v>743.84879999999998</v>
      </c>
      <c r="C25" s="96">
        <v>0.6</v>
      </c>
      <c r="D25" s="80">
        <f t="shared" si="10"/>
        <v>100</v>
      </c>
      <c r="E25" s="81">
        <f t="shared" si="18"/>
        <v>6791.2436711181272</v>
      </c>
      <c r="F25" s="81">
        <f>SUM(E$2:E25)</f>
        <v>155849.33241864922</v>
      </c>
      <c r="G25" s="43">
        <f t="shared" si="11"/>
        <v>1</v>
      </c>
      <c r="H25" s="78">
        <v>1</v>
      </c>
      <c r="I25" s="15">
        <f t="shared" si="19"/>
        <v>0.6</v>
      </c>
      <c r="J25" s="16">
        <f>VLOOKUP(G25,Inputs!$L$3:$P$15,5,FALSE)</f>
        <v>2000</v>
      </c>
      <c r="K25" s="16">
        <f t="shared" si="20"/>
        <v>1825</v>
      </c>
      <c r="L25" s="79">
        <f>Inputs!$P$8-B25</f>
        <v>194.34220000000005</v>
      </c>
      <c r="M25" s="79">
        <f>Inputs!$Q$8+L25*0.433</f>
        <v>1909.1501726000001</v>
      </c>
      <c r="N25" s="82">
        <f t="shared" si="21"/>
        <v>98199.92</v>
      </c>
      <c r="O25" s="83">
        <f t="shared" si="22"/>
        <v>743.84879999999998</v>
      </c>
      <c r="P25" s="84">
        <f>IF(O25="","",Inputs!$C$5-O25)</f>
        <v>81.335699999999974</v>
      </c>
      <c r="Q25" s="83">
        <f>IF(N25="","",TS!J25)</f>
        <v>2000</v>
      </c>
      <c r="R25" s="83">
        <f>IF(N25="","",TS!K25)</f>
        <v>1825</v>
      </c>
      <c r="S25" s="83">
        <f>Inputs!$H$5+TS!P25*0.4333</f>
        <v>1910.2084752599999</v>
      </c>
      <c r="T25" s="83">
        <f>Inputs!$G$5+TS!P25*0.4333</f>
        <v>1925.2084752599999</v>
      </c>
      <c r="U25" s="85">
        <f t="shared" si="23"/>
        <v>0.96260423762999991</v>
      </c>
      <c r="V25" s="86">
        <f>O25-MAX(O25:O177)</f>
        <v>0</v>
      </c>
      <c r="W25" s="86">
        <f t="shared" si="12"/>
        <v>0</v>
      </c>
      <c r="X25" s="86" t="e">
        <f>((PI()*((42-2*'Gen Calcs'!$E$13)^2)/4)/144)*(A68-#REF!)*(W25+14.7)/14.7</f>
        <v>#REF!</v>
      </c>
      <c r="Y25" s="86" t="e">
        <f t="shared" si="13"/>
        <v>#REF!</v>
      </c>
      <c r="Z25" s="86" t="e">
        <f t="shared" si="26"/>
        <v>#REF!</v>
      </c>
      <c r="AA25" s="83">
        <f>MAX(B$2:B25)-B25</f>
        <v>81.335699999999974</v>
      </c>
      <c r="AB25" s="83">
        <f t="shared" si="15"/>
        <v>35.218358099999989</v>
      </c>
      <c r="AC25" s="83">
        <f t="shared" si="16"/>
        <v>96.720787353741287</v>
      </c>
      <c r="AD25" s="72">
        <f t="shared" si="17"/>
        <v>96.720787353741287</v>
      </c>
      <c r="AE25" s="73">
        <f t="shared" si="24"/>
        <v>907.92027688745009</v>
      </c>
      <c r="AF25" s="73">
        <f>SUM(AE$2:AE25)</f>
        <v>20882.166368411341</v>
      </c>
      <c r="AG25" s="73">
        <f t="shared" si="25"/>
        <v>1152847.7360586978</v>
      </c>
    </row>
    <row r="26" spans="1:33" x14ac:dyDescent="0.25">
      <c r="A26" s="100">
        <v>98299.92</v>
      </c>
      <c r="B26" s="97">
        <v>733.67330000000004</v>
      </c>
      <c r="C26" s="97">
        <v>0.6</v>
      </c>
      <c r="D26" s="80">
        <f t="shared" si="10"/>
        <v>100</v>
      </c>
      <c r="E26" s="81">
        <f t="shared" si="18"/>
        <v>6791.2436711181272</v>
      </c>
      <c r="F26" s="81">
        <f>SUM(E$2:E26)</f>
        <v>162640.57608976736</v>
      </c>
      <c r="G26" s="43">
        <f t="shared" si="11"/>
        <v>1</v>
      </c>
      <c r="H26" s="78">
        <v>1</v>
      </c>
      <c r="I26" s="15">
        <f t="shared" si="19"/>
        <v>0.6</v>
      </c>
      <c r="J26" s="16">
        <f>VLOOKUP(G26,Inputs!$L$3:$P$15,5,FALSE)</f>
        <v>2000</v>
      </c>
      <c r="K26" s="16">
        <f t="shared" si="20"/>
        <v>1825</v>
      </c>
      <c r="L26" s="79">
        <f>Inputs!$P$8-B26</f>
        <v>204.51769999999999</v>
      </c>
      <c r="M26" s="79">
        <f>Inputs!$Q$8+L26*0.433</f>
        <v>1913.5561640999999</v>
      </c>
      <c r="N26" s="82">
        <f t="shared" si="21"/>
        <v>98299.92</v>
      </c>
      <c r="O26" s="83">
        <f t="shared" si="22"/>
        <v>733.67330000000004</v>
      </c>
      <c r="P26" s="84">
        <f>IF(O26="","",Inputs!$C$5-O26)</f>
        <v>91.511199999999917</v>
      </c>
      <c r="Q26" s="83">
        <f>IF(N26="","",TS!J26)</f>
        <v>2000</v>
      </c>
      <c r="R26" s="83">
        <f>IF(N26="","",TS!K26)</f>
        <v>1825</v>
      </c>
      <c r="S26" s="83">
        <f>Inputs!$H$5+TS!P26*0.4333</f>
        <v>1914.6175194099999</v>
      </c>
      <c r="T26" s="83">
        <f>Inputs!$G$5+TS!P26*0.4333</f>
        <v>1929.6175194099999</v>
      </c>
      <c r="U26" s="85">
        <f t="shared" si="23"/>
        <v>0.96480875970499991</v>
      </c>
      <c r="V26" s="86">
        <f>O26-MAX(O26:O177)</f>
        <v>0</v>
      </c>
      <c r="W26" s="86">
        <f t="shared" si="12"/>
        <v>0</v>
      </c>
      <c r="X26" s="86" t="e">
        <f>((PI()*((42-2*'Gen Calcs'!$E$13)^2)/4)/144)*(A69-#REF!)*(W26+14.7)/14.7</f>
        <v>#REF!</v>
      </c>
      <c r="Y26" s="86" t="e">
        <f t="shared" si="13"/>
        <v>#REF!</v>
      </c>
      <c r="Z26" s="86" t="e">
        <f t="shared" si="26"/>
        <v>#REF!</v>
      </c>
      <c r="AA26" s="83">
        <f>MAX(B$2:B26)-B26</f>
        <v>91.511199999999917</v>
      </c>
      <c r="AB26" s="83">
        <f t="shared" si="15"/>
        <v>39.624349599999967</v>
      </c>
      <c r="AC26" s="83">
        <f t="shared" si="16"/>
        <v>96.797019430132693</v>
      </c>
      <c r="AD26" s="72">
        <f t="shared" si="17"/>
        <v>96.797019430132693</v>
      </c>
      <c r="AE26" s="73">
        <f t="shared" si="24"/>
        <v>907.92027688745009</v>
      </c>
      <c r="AF26" s="73">
        <f>SUM(AE$2:AE26)</f>
        <v>21790.08664529879</v>
      </c>
      <c r="AG26" s="73">
        <f t="shared" si="25"/>
        <v>1151939.8157818103</v>
      </c>
    </row>
    <row r="27" spans="1:33" x14ac:dyDescent="0.25">
      <c r="A27" s="99">
        <v>98399.92</v>
      </c>
      <c r="B27" s="96">
        <v>713.57770000000005</v>
      </c>
      <c r="C27" s="96">
        <v>0.6</v>
      </c>
      <c r="D27" s="80">
        <f t="shared" si="10"/>
        <v>100</v>
      </c>
      <c r="E27" s="81">
        <f t="shared" si="18"/>
        <v>6791.2436711181272</v>
      </c>
      <c r="F27" s="81">
        <f>SUM(E$2:E27)</f>
        <v>169431.8197608855</v>
      </c>
      <c r="G27" s="43">
        <f t="shared" si="11"/>
        <v>1</v>
      </c>
      <c r="H27" s="78">
        <v>1</v>
      </c>
      <c r="I27" s="15">
        <f t="shared" si="19"/>
        <v>0.6</v>
      </c>
      <c r="J27" s="16">
        <f>VLOOKUP(G27,Inputs!$L$3:$P$15,5,FALSE)</f>
        <v>2000</v>
      </c>
      <c r="K27" s="16">
        <f t="shared" si="20"/>
        <v>1825</v>
      </c>
      <c r="L27" s="79">
        <f>Inputs!$P$8-B27</f>
        <v>224.61329999999998</v>
      </c>
      <c r="M27" s="79">
        <f>Inputs!$Q$8+L27*0.433</f>
        <v>1922.2575589</v>
      </c>
      <c r="N27" s="82">
        <f t="shared" si="21"/>
        <v>98399.92</v>
      </c>
      <c r="O27" s="83">
        <f t="shared" si="22"/>
        <v>713.57770000000005</v>
      </c>
      <c r="P27" s="84">
        <f>IF(O27="","",Inputs!$C$5-O27)</f>
        <v>111.60679999999991</v>
      </c>
      <c r="Q27" s="83">
        <f>IF(N27="","",TS!J27)</f>
        <v>2000</v>
      </c>
      <c r="R27" s="83">
        <f>IF(N27="","",TS!K27)</f>
        <v>1825</v>
      </c>
      <c r="S27" s="83">
        <f>Inputs!$H$5+TS!P27*0.4333</f>
        <v>1923.3249428899999</v>
      </c>
      <c r="T27" s="83">
        <f>Inputs!$G$5+TS!P27*0.4333</f>
        <v>1938.3249428899999</v>
      </c>
      <c r="U27" s="85">
        <f t="shared" si="23"/>
        <v>0.9691624714449999</v>
      </c>
      <c r="V27" s="86">
        <f>O27-MAX(O27:O177)</f>
        <v>0</v>
      </c>
      <c r="W27" s="86">
        <f t="shared" si="12"/>
        <v>0</v>
      </c>
      <c r="X27" s="86" t="e">
        <f>((PI()*((42-2*'Gen Calcs'!$E$13)^2)/4)/144)*(A70-#REF!)*(W27+14.7)/14.7</f>
        <v>#REF!</v>
      </c>
      <c r="Y27" s="86" t="e">
        <f t="shared" si="13"/>
        <v>#REF!</v>
      </c>
      <c r="Z27" s="86" t="e">
        <f t="shared" si="26"/>
        <v>#REF!</v>
      </c>
      <c r="AA27" s="83">
        <f>MAX(B$2:B27)-B27</f>
        <v>111.60679999999991</v>
      </c>
      <c r="AB27" s="83">
        <f t="shared" si="15"/>
        <v>48.325744399999962</v>
      </c>
      <c r="AC27" s="83">
        <f t="shared" si="16"/>
        <v>96.873371768435476</v>
      </c>
      <c r="AD27" s="72">
        <f t="shared" si="17"/>
        <v>96.873371768435476</v>
      </c>
      <c r="AE27" s="73">
        <f t="shared" si="24"/>
        <v>907.92027688745009</v>
      </c>
      <c r="AF27" s="73">
        <f>SUM(AE$2:AE27)</f>
        <v>22698.00692218624</v>
      </c>
      <c r="AG27" s="73">
        <f t="shared" si="25"/>
        <v>1151031.8955049228</v>
      </c>
    </row>
    <row r="28" spans="1:33" x14ac:dyDescent="0.25">
      <c r="A28" s="100">
        <v>98499.92</v>
      </c>
      <c r="B28" s="97">
        <v>701.03</v>
      </c>
      <c r="C28" s="97">
        <v>0.6</v>
      </c>
      <c r="D28" s="80">
        <f t="shared" si="10"/>
        <v>100</v>
      </c>
      <c r="E28" s="81">
        <f t="shared" si="18"/>
        <v>6791.2436711181272</v>
      </c>
      <c r="F28" s="81">
        <f>SUM(E$2:E28)</f>
        <v>176223.06343200363</v>
      </c>
      <c r="G28" s="43">
        <f t="shared" si="11"/>
        <v>1</v>
      </c>
      <c r="H28" s="78">
        <v>1</v>
      </c>
      <c r="I28" s="15">
        <f t="shared" si="19"/>
        <v>0.6</v>
      </c>
      <c r="J28" s="16">
        <f>VLOOKUP(G28,Inputs!$L$3:$P$15,5,FALSE)</f>
        <v>2000</v>
      </c>
      <c r="K28" s="16">
        <f t="shared" si="20"/>
        <v>1825</v>
      </c>
      <c r="L28" s="79">
        <f>Inputs!$P$8-B28</f>
        <v>237.16100000000006</v>
      </c>
      <c r="M28" s="79">
        <f>Inputs!$Q$8+L28*0.433</f>
        <v>1927.690713</v>
      </c>
      <c r="N28" s="82">
        <f t="shared" si="21"/>
        <v>98499.92</v>
      </c>
      <c r="O28" s="83">
        <f t="shared" si="22"/>
        <v>701.03</v>
      </c>
      <c r="P28" s="84">
        <f>IF(O28="","",Inputs!$C$5-O28)</f>
        <v>124.15449999999998</v>
      </c>
      <c r="Q28" s="83">
        <f>IF(N28="","",TS!J28)</f>
        <v>2000</v>
      </c>
      <c r="R28" s="83">
        <f>IF(N28="","",TS!K28)</f>
        <v>1825</v>
      </c>
      <c r="S28" s="83">
        <f>Inputs!$H$5+TS!P28*0.4333</f>
        <v>1928.7618613</v>
      </c>
      <c r="T28" s="83">
        <f>Inputs!$G$5+TS!P28*0.4333</f>
        <v>1943.7618613</v>
      </c>
      <c r="U28" s="85">
        <f t="shared" si="23"/>
        <v>0.97188093065000003</v>
      </c>
      <c r="V28" s="86">
        <f>O28-MAX(O28:O177)</f>
        <v>0</v>
      </c>
      <c r="W28" s="86">
        <f t="shared" si="12"/>
        <v>0</v>
      </c>
      <c r="X28" s="86" t="e">
        <f>((PI()*((42-2*'Gen Calcs'!$E$13)^2)/4)/144)*(A71-#REF!)*(W28+14.7)/14.7</f>
        <v>#REF!</v>
      </c>
      <c r="Y28" s="86" t="e">
        <f t="shared" si="13"/>
        <v>#REF!</v>
      </c>
      <c r="Z28" s="86" t="e">
        <f t="shared" si="26"/>
        <v>#REF!</v>
      </c>
      <c r="AA28" s="83">
        <f>MAX(B$2:B28)-B28</f>
        <v>124.15449999999998</v>
      </c>
      <c r="AB28" s="83">
        <f t="shared" si="15"/>
        <v>53.758898499999994</v>
      </c>
      <c r="AC28" s="83">
        <f t="shared" si="16"/>
        <v>96.949844653457774</v>
      </c>
      <c r="AD28" s="72">
        <f t="shared" si="17"/>
        <v>96.949844653457774</v>
      </c>
      <c r="AE28" s="73">
        <f t="shared" si="24"/>
        <v>907.92027688745009</v>
      </c>
      <c r="AF28" s="73">
        <f>SUM(AE$2:AE28)</f>
        <v>23605.927199073689</v>
      </c>
      <c r="AG28" s="73">
        <f t="shared" si="25"/>
        <v>1150123.9752280356</v>
      </c>
    </row>
    <row r="29" spans="1:33" x14ac:dyDescent="0.25">
      <c r="A29" s="99">
        <v>98599.92</v>
      </c>
      <c r="B29" s="96">
        <v>693.17319999999995</v>
      </c>
      <c r="C29" s="96">
        <v>0.6</v>
      </c>
      <c r="D29" s="80">
        <f t="shared" si="10"/>
        <v>100</v>
      </c>
      <c r="E29" s="81">
        <f t="shared" si="18"/>
        <v>6791.2436711181272</v>
      </c>
      <c r="F29" s="81">
        <f>SUM(E$2:E29)</f>
        <v>183014.30710312177</v>
      </c>
      <c r="G29" s="43">
        <f t="shared" si="11"/>
        <v>1</v>
      </c>
      <c r="H29" s="78">
        <v>1</v>
      </c>
      <c r="I29" s="15">
        <f t="shared" si="19"/>
        <v>0.6</v>
      </c>
      <c r="J29" s="16">
        <f>VLOOKUP(G29,Inputs!$L$3:$P$15,5,FALSE)</f>
        <v>2000</v>
      </c>
      <c r="K29" s="16">
        <f t="shared" si="20"/>
        <v>1825</v>
      </c>
      <c r="L29" s="79">
        <f>Inputs!$P$8-B29</f>
        <v>245.01780000000008</v>
      </c>
      <c r="M29" s="79">
        <f>Inputs!$Q$8+L29*0.433</f>
        <v>1931.0927074000001</v>
      </c>
      <c r="N29" s="82">
        <f t="shared" si="21"/>
        <v>98599.92</v>
      </c>
      <c r="O29" s="83">
        <f t="shared" si="22"/>
        <v>693.17319999999995</v>
      </c>
      <c r="P29" s="84">
        <f>IF(O29="","",Inputs!$C$5-O29)</f>
        <v>132.01130000000001</v>
      </c>
      <c r="Q29" s="83">
        <f>IF(N29="","",TS!J29)</f>
        <v>2000</v>
      </c>
      <c r="R29" s="83">
        <f>IF(N29="","",TS!K29)</f>
        <v>1825</v>
      </c>
      <c r="S29" s="83">
        <f>Inputs!$H$5+TS!P29*0.4333</f>
        <v>1932.16621274</v>
      </c>
      <c r="T29" s="83">
        <f>Inputs!$G$5+TS!P29*0.4333</f>
        <v>1947.16621274</v>
      </c>
      <c r="U29" s="85">
        <f t="shared" si="23"/>
        <v>0.97358310637000001</v>
      </c>
      <c r="V29" s="86">
        <f>O29-MAX(O29:O177)</f>
        <v>-1.0227000000000999</v>
      </c>
      <c r="W29" s="86">
        <f t="shared" si="12"/>
        <v>0.44282910000004322</v>
      </c>
      <c r="X29" s="86" t="e">
        <f>((PI()*((42-2*'Gen Calcs'!$E$13)^2)/4)/144)*(A72-#REF!)*(W29+14.7)/14.7</f>
        <v>#REF!</v>
      </c>
      <c r="Y29" s="86" t="e">
        <f t="shared" si="13"/>
        <v>#REF!</v>
      </c>
      <c r="Z29" s="86" t="e">
        <f t="shared" si="26"/>
        <v>#REF!</v>
      </c>
      <c r="AA29" s="83">
        <f>MAX(B$2:B29)-B29</f>
        <v>132.01130000000001</v>
      </c>
      <c r="AB29" s="83">
        <f t="shared" si="15"/>
        <v>57.1608929</v>
      </c>
      <c r="AC29" s="83">
        <f t="shared" si="16"/>
        <v>97.026438370907798</v>
      </c>
      <c r="AD29" s="72">
        <f t="shared" si="17"/>
        <v>97.026438370907798</v>
      </c>
      <c r="AE29" s="73">
        <f t="shared" si="24"/>
        <v>907.92027688745009</v>
      </c>
      <c r="AF29" s="73">
        <f>SUM(AE$2:AE29)</f>
        <v>24513.847475961138</v>
      </c>
      <c r="AG29" s="73">
        <f t="shared" si="25"/>
        <v>1149216.0549511481</v>
      </c>
    </row>
    <row r="30" spans="1:33" x14ac:dyDescent="0.25">
      <c r="A30" s="100">
        <v>98699.92</v>
      </c>
      <c r="B30" s="97">
        <v>685.2826</v>
      </c>
      <c r="C30" s="97">
        <v>0.6</v>
      </c>
      <c r="D30" s="80">
        <f t="shared" si="10"/>
        <v>100</v>
      </c>
      <c r="E30" s="81">
        <f t="shared" si="18"/>
        <v>6791.2436711181272</v>
      </c>
      <c r="F30" s="81">
        <f>SUM(E$2:E30)</f>
        <v>189805.55077423991</v>
      </c>
      <c r="G30" s="43">
        <f t="shared" si="11"/>
        <v>1</v>
      </c>
      <c r="H30" s="78">
        <v>1</v>
      </c>
      <c r="I30" s="15">
        <f t="shared" si="19"/>
        <v>0.6</v>
      </c>
      <c r="J30" s="16">
        <f>VLOOKUP(G30,Inputs!$L$3:$P$15,5,FALSE)</f>
        <v>2000</v>
      </c>
      <c r="K30" s="16">
        <f t="shared" si="20"/>
        <v>1825</v>
      </c>
      <c r="L30" s="79">
        <f>Inputs!$P$8-B30</f>
        <v>252.90840000000003</v>
      </c>
      <c r="M30" s="79">
        <f>Inputs!$Q$8+L30*0.433</f>
        <v>1934.5093372000001</v>
      </c>
      <c r="N30" s="82">
        <f t="shared" si="21"/>
        <v>98699.92</v>
      </c>
      <c r="O30" s="83">
        <f t="shared" si="22"/>
        <v>685.2826</v>
      </c>
      <c r="P30" s="84">
        <f>IF(O30="","",Inputs!$C$5-O30)</f>
        <v>139.90189999999996</v>
      </c>
      <c r="Q30" s="83">
        <f>IF(N30="","",TS!J30)</f>
        <v>2000</v>
      </c>
      <c r="R30" s="83">
        <f>IF(N30="","",TS!K30)</f>
        <v>1825</v>
      </c>
      <c r="S30" s="83">
        <f>Inputs!$H$5+TS!P30*0.4333</f>
        <v>1935.58520972</v>
      </c>
      <c r="T30" s="83">
        <f>Inputs!$G$5+TS!P30*0.4333</f>
        <v>1950.58520972</v>
      </c>
      <c r="U30" s="85">
        <f t="shared" si="23"/>
        <v>0.97529260486000002</v>
      </c>
      <c r="V30" s="86">
        <f>O30-MAX(O30:O177)</f>
        <v>-8.9133000000000493</v>
      </c>
      <c r="W30" s="86">
        <f t="shared" si="12"/>
        <v>3.8594589000000212</v>
      </c>
      <c r="X30" s="86" t="e">
        <f>((PI()*((42-2*'Gen Calcs'!$E$13)^2)/4)/144)*(A73-#REF!)*(W30+14.7)/14.7</f>
        <v>#REF!</v>
      </c>
      <c r="Y30" s="86" t="e">
        <f t="shared" si="13"/>
        <v>#REF!</v>
      </c>
      <c r="Z30" s="86" t="e">
        <f t="shared" si="26"/>
        <v>#REF!</v>
      </c>
      <c r="AA30" s="83">
        <f>MAX(B$2:B30)-B30</f>
        <v>139.90189999999996</v>
      </c>
      <c r="AB30" s="83">
        <f t="shared" si="15"/>
        <v>60.577522699999982</v>
      </c>
      <c r="AC30" s="83">
        <f t="shared" si="16"/>
        <v>97.103153207397327</v>
      </c>
      <c r="AD30" s="72">
        <f t="shared" si="17"/>
        <v>97.103153207397327</v>
      </c>
      <c r="AE30" s="73">
        <f t="shared" si="24"/>
        <v>907.92027688745009</v>
      </c>
      <c r="AF30" s="73">
        <f>SUM(AE$2:AE30)</f>
        <v>25421.767752848587</v>
      </c>
      <c r="AG30" s="73">
        <f t="shared" si="25"/>
        <v>1148308.1346742606</v>
      </c>
    </row>
    <row r="31" spans="1:33" x14ac:dyDescent="0.25">
      <c r="A31" s="99">
        <v>98799.92</v>
      </c>
      <c r="B31" s="96">
        <v>682.06600000000003</v>
      </c>
      <c r="C31" s="96">
        <v>0.6</v>
      </c>
      <c r="D31" s="80">
        <f t="shared" si="10"/>
        <v>100</v>
      </c>
      <c r="E31" s="81">
        <f t="shared" si="18"/>
        <v>6791.2436711181272</v>
      </c>
      <c r="F31" s="81">
        <f>SUM(E$2:E31)</f>
        <v>196596.79444535804</v>
      </c>
      <c r="G31" s="43">
        <f t="shared" si="11"/>
        <v>1</v>
      </c>
      <c r="H31" s="78">
        <v>1</v>
      </c>
      <c r="I31" s="15">
        <f t="shared" si="19"/>
        <v>0.6</v>
      </c>
      <c r="J31" s="16">
        <f>VLOOKUP(G31,Inputs!$L$3:$P$15,5,FALSE)</f>
        <v>2000</v>
      </c>
      <c r="K31" s="16">
        <f t="shared" si="20"/>
        <v>1825</v>
      </c>
      <c r="L31" s="79">
        <f>Inputs!$P$8-B31</f>
        <v>256.125</v>
      </c>
      <c r="M31" s="79">
        <f>Inputs!$Q$8+L31*0.433</f>
        <v>1935.9021250000001</v>
      </c>
      <c r="N31" s="82">
        <f t="shared" si="21"/>
        <v>98799.92</v>
      </c>
      <c r="O31" s="83">
        <f t="shared" si="22"/>
        <v>682.06600000000003</v>
      </c>
      <c r="P31" s="84">
        <f>IF(O31="","",Inputs!$C$5-O31)</f>
        <v>143.11849999999993</v>
      </c>
      <c r="Q31" s="83">
        <f>IF(N31="","",TS!J31)</f>
        <v>2000</v>
      </c>
      <c r="R31" s="83">
        <f>IF(N31="","",TS!K31)</f>
        <v>1825</v>
      </c>
      <c r="S31" s="83">
        <f>Inputs!$H$5+TS!P31*0.4333</f>
        <v>1936.9789624999999</v>
      </c>
      <c r="T31" s="83">
        <f>Inputs!$G$5+TS!P31*0.4333</f>
        <v>1951.9789624999999</v>
      </c>
      <c r="U31" s="85">
        <f t="shared" si="23"/>
        <v>0.97598948124999996</v>
      </c>
      <c r="V31" s="86">
        <f>O31-MAX(O31:O177)</f>
        <v>-12.129900000000021</v>
      </c>
      <c r="W31" s="86">
        <f t="shared" si="12"/>
        <v>5.2522467000000086</v>
      </c>
      <c r="X31" s="86" t="e">
        <f>((PI()*((42-2*'Gen Calcs'!$E$13)^2)/4)/144)*(A74-#REF!)*(W31+14.7)/14.7</f>
        <v>#REF!</v>
      </c>
      <c r="Y31" s="86" t="e">
        <f t="shared" si="13"/>
        <v>#REF!</v>
      </c>
      <c r="Z31" s="86" t="e">
        <f t="shared" si="26"/>
        <v>#REF!</v>
      </c>
      <c r="AA31" s="83">
        <f>MAX(B$2:B31)-B31</f>
        <v>143.11849999999993</v>
      </c>
      <c r="AB31" s="83">
        <f t="shared" si="15"/>
        <v>61.970310499999968</v>
      </c>
      <c r="AC31" s="83">
        <f t="shared" si="16"/>
        <v>97.179989450445277</v>
      </c>
      <c r="AD31" s="72">
        <f t="shared" si="17"/>
        <v>97.179989450445277</v>
      </c>
      <c r="AE31" s="73">
        <f t="shared" si="24"/>
        <v>907.92027688745009</v>
      </c>
      <c r="AF31" s="73">
        <f>SUM(AE$2:AE31)</f>
        <v>26329.688029736037</v>
      </c>
      <c r="AG31" s="73">
        <f t="shared" si="25"/>
        <v>1147400.2143973731</v>
      </c>
    </row>
    <row r="32" spans="1:33" x14ac:dyDescent="0.25">
      <c r="A32" s="100">
        <v>98899.92</v>
      </c>
      <c r="B32" s="97">
        <v>675.88239999999996</v>
      </c>
      <c r="C32" s="97">
        <v>0.6</v>
      </c>
      <c r="D32" s="80">
        <f t="shared" si="10"/>
        <v>100</v>
      </c>
      <c r="E32" s="81">
        <f t="shared" si="18"/>
        <v>6791.2436711181272</v>
      </c>
      <c r="F32" s="81">
        <f>SUM(E$2:E32)</f>
        <v>203388.03811647618</v>
      </c>
      <c r="G32" s="43">
        <f t="shared" si="11"/>
        <v>1</v>
      </c>
      <c r="H32" s="78">
        <v>1</v>
      </c>
      <c r="I32" s="15">
        <f t="shared" si="19"/>
        <v>0.6</v>
      </c>
      <c r="J32" s="16">
        <f>VLOOKUP(G32,Inputs!$L$3:$P$15,5,FALSE)</f>
        <v>2000</v>
      </c>
      <c r="K32" s="16">
        <f t="shared" si="20"/>
        <v>1825</v>
      </c>
      <c r="L32" s="79">
        <f>Inputs!$P$8-B32</f>
        <v>262.30860000000007</v>
      </c>
      <c r="M32" s="79">
        <f>Inputs!$Q$8+L32*0.433</f>
        <v>1938.5796238</v>
      </c>
      <c r="N32" s="82">
        <f t="shared" si="21"/>
        <v>98899.92</v>
      </c>
      <c r="O32" s="83">
        <f t="shared" si="22"/>
        <v>675.88239999999996</v>
      </c>
      <c r="P32" s="84">
        <f>IF(O32="","",Inputs!$C$5-O32)</f>
        <v>149.3021</v>
      </c>
      <c r="Q32" s="83">
        <f>IF(N32="","",TS!J32)</f>
        <v>2000</v>
      </c>
      <c r="R32" s="83">
        <f>IF(N32="","",TS!K32)</f>
        <v>1825</v>
      </c>
      <c r="S32" s="83">
        <f>Inputs!$H$5+TS!P32*0.4333</f>
        <v>1939.6583163799999</v>
      </c>
      <c r="T32" s="83">
        <f>Inputs!$G$5+TS!P32*0.4333</f>
        <v>1954.6583163799999</v>
      </c>
      <c r="U32" s="85">
        <f t="shared" si="23"/>
        <v>0.97732915818999988</v>
      </c>
      <c r="V32" s="86">
        <f>O32-MAX(O32:O177)</f>
        <v>-18.31350000000009</v>
      </c>
      <c r="W32" s="86">
        <f t="shared" si="12"/>
        <v>7.9297455000000392</v>
      </c>
      <c r="X32" s="86" t="e">
        <f>((PI()*((42-2*'Gen Calcs'!$E$13)^2)/4)/144)*(A75-#REF!)*(W32+14.7)/14.7</f>
        <v>#REF!</v>
      </c>
      <c r="Y32" s="86" t="e">
        <f t="shared" si="13"/>
        <v>#REF!</v>
      </c>
      <c r="Z32" s="86" t="e">
        <f t="shared" si="26"/>
        <v>#REF!</v>
      </c>
      <c r="AA32" s="83">
        <f>MAX(B$2:B32)-B32</f>
        <v>149.3021</v>
      </c>
      <c r="AB32" s="83">
        <f t="shared" si="15"/>
        <v>64.647809299999992</v>
      </c>
      <c r="AC32" s="83">
        <f t="shared" si="16"/>
        <v>97.25694738848135</v>
      </c>
      <c r="AD32" s="72">
        <f t="shared" si="17"/>
        <v>97.25694738848135</v>
      </c>
      <c r="AE32" s="73">
        <f t="shared" si="24"/>
        <v>907.92027688745009</v>
      </c>
      <c r="AF32" s="73">
        <f>SUM(AE$2:AE32)</f>
        <v>27237.608306623486</v>
      </c>
      <c r="AG32" s="73">
        <f t="shared" si="25"/>
        <v>1146492.2941204857</v>
      </c>
    </row>
    <row r="33" spans="1:33" x14ac:dyDescent="0.25">
      <c r="A33" s="99">
        <v>98999.92</v>
      </c>
      <c r="B33" s="96">
        <v>686.31809999999996</v>
      </c>
      <c r="C33" s="96">
        <v>0.6</v>
      </c>
      <c r="D33" s="80">
        <f t="shared" si="10"/>
        <v>100</v>
      </c>
      <c r="E33" s="81">
        <f t="shared" si="18"/>
        <v>6791.2436711181272</v>
      </c>
      <c r="F33" s="81">
        <f>SUM(E$2:E33)</f>
        <v>210179.28178759431</v>
      </c>
      <c r="G33" s="43">
        <f t="shared" si="11"/>
        <v>1</v>
      </c>
      <c r="H33" s="78">
        <v>1</v>
      </c>
      <c r="I33" s="15">
        <f t="shared" si="19"/>
        <v>0.6</v>
      </c>
      <c r="J33" s="16">
        <f>VLOOKUP(G33,Inputs!$L$3:$P$15,5,FALSE)</f>
        <v>2000</v>
      </c>
      <c r="K33" s="16">
        <f t="shared" si="20"/>
        <v>1825</v>
      </c>
      <c r="L33" s="79">
        <f>Inputs!$P$8-B33</f>
        <v>251.87290000000007</v>
      </c>
      <c r="M33" s="79">
        <f>Inputs!$Q$8+L33*0.433</f>
        <v>1934.0609657</v>
      </c>
      <c r="N33" s="82">
        <f t="shared" si="21"/>
        <v>98999.92</v>
      </c>
      <c r="O33" s="83">
        <f t="shared" si="22"/>
        <v>686.31809999999996</v>
      </c>
      <c r="P33" s="84">
        <f>IF(O33="","",Inputs!$C$5-O33)</f>
        <v>138.8664</v>
      </c>
      <c r="Q33" s="83">
        <f>IF(N33="","",TS!J33)</f>
        <v>2000</v>
      </c>
      <c r="R33" s="83">
        <f>IF(N33="","",TS!K33)</f>
        <v>1825</v>
      </c>
      <c r="S33" s="83">
        <f>Inputs!$H$5+TS!P33*0.4333</f>
        <v>1935.13652757</v>
      </c>
      <c r="T33" s="83">
        <f>Inputs!$G$5+TS!P33*0.4333</f>
        <v>1950.13652757</v>
      </c>
      <c r="U33" s="85">
        <f t="shared" si="23"/>
        <v>0.975068263785</v>
      </c>
      <c r="V33" s="86">
        <f>O33-MAX(O33:O177)</f>
        <v>-7.877800000000093</v>
      </c>
      <c r="W33" s="86">
        <f t="shared" si="12"/>
        <v>3.4110874000000404</v>
      </c>
      <c r="X33" s="86" t="e">
        <f>((PI()*((42-2*'Gen Calcs'!$E$13)^2)/4)/144)*(A76-#REF!)*(W33+14.7)/14.7</f>
        <v>#REF!</v>
      </c>
      <c r="Y33" s="86" t="e">
        <f t="shared" si="13"/>
        <v>#REF!</v>
      </c>
      <c r="Z33" s="86" t="e">
        <f t="shared" si="26"/>
        <v>#REF!</v>
      </c>
      <c r="AA33" s="83">
        <f>MAX(B$2:B33)-B33</f>
        <v>138.8664</v>
      </c>
      <c r="AB33" s="83">
        <f t="shared" si="15"/>
        <v>60.129151199999995</v>
      </c>
      <c r="AC33" s="83">
        <f t="shared" si="16"/>
        <v>97.334027310849635</v>
      </c>
      <c r="AD33" s="72">
        <f t="shared" si="17"/>
        <v>97.334027310849635</v>
      </c>
      <c r="AE33" s="73">
        <f t="shared" si="24"/>
        <v>907.92027688745009</v>
      </c>
      <c r="AF33" s="73">
        <f>SUM(AE$2:AE33)</f>
        <v>28145.528583510935</v>
      </c>
      <c r="AG33" s="73">
        <f t="shared" si="25"/>
        <v>1145584.3738435982</v>
      </c>
    </row>
    <row r="34" spans="1:33" s="23" customFormat="1" x14ac:dyDescent="0.25">
      <c r="A34" s="100">
        <v>99099.92</v>
      </c>
      <c r="B34" s="97">
        <v>690.95450000000005</v>
      </c>
      <c r="C34" s="97">
        <v>0.6</v>
      </c>
      <c r="D34" s="80">
        <f t="shared" si="10"/>
        <v>100</v>
      </c>
      <c r="E34" s="81">
        <f t="shared" si="18"/>
        <v>6791.2436711181272</v>
      </c>
      <c r="F34" s="81">
        <f>SUM(E$2:E34)</f>
        <v>216970.52545871245</v>
      </c>
      <c r="G34" s="43">
        <f t="shared" si="11"/>
        <v>1</v>
      </c>
      <c r="H34" s="78">
        <v>1</v>
      </c>
      <c r="I34" s="15">
        <f t="shared" si="19"/>
        <v>0.6</v>
      </c>
      <c r="J34" s="16">
        <f>VLOOKUP(G34,Inputs!$L$3:$P$15,5,FALSE)</f>
        <v>2000</v>
      </c>
      <c r="K34" s="16">
        <f t="shared" si="20"/>
        <v>1825</v>
      </c>
      <c r="L34" s="79">
        <f>Inputs!$P$8-B34</f>
        <v>247.23649999999998</v>
      </c>
      <c r="M34" s="79">
        <f>Inputs!$Q$8+L34*0.433</f>
        <v>1932.0534044999999</v>
      </c>
      <c r="N34" s="82">
        <f t="shared" si="21"/>
        <v>99099.92</v>
      </c>
      <c r="O34" s="83">
        <f t="shared" si="22"/>
        <v>690.95450000000005</v>
      </c>
      <c r="P34" s="84">
        <f>IF(O34="","",Inputs!$C$5-O34)</f>
        <v>134.2299999999999</v>
      </c>
      <c r="Q34" s="83">
        <f>IF(N34="","",TS!J34)</f>
        <v>2000</v>
      </c>
      <c r="R34" s="83">
        <f>IF(N34="","",TS!K34)</f>
        <v>1825</v>
      </c>
      <c r="S34" s="83">
        <f>Inputs!$H$5+TS!P34*0.4333</f>
        <v>1933.12757545</v>
      </c>
      <c r="T34" s="83">
        <f>Inputs!$G$5+TS!P34*0.4333</f>
        <v>1948.12757545</v>
      </c>
      <c r="U34" s="85">
        <f t="shared" si="23"/>
        <v>0.97406378772500002</v>
      </c>
      <c r="V34" s="86">
        <f>O34-MAX(O34:O177)</f>
        <v>-3.2413999999999987</v>
      </c>
      <c r="W34" s="86">
        <f t="shared" si="12"/>
        <v>1.4035261999999995</v>
      </c>
      <c r="X34" s="86" t="e">
        <f>((PI()*((42-2*'Gen Calcs'!$E$13)^2)/4)/144)*(A77-#REF!)*(W34+14.7)/14.7</f>
        <v>#REF!</v>
      </c>
      <c r="Y34" s="86" t="e">
        <f t="shared" si="13"/>
        <v>#REF!</v>
      </c>
      <c r="Z34" s="86" t="e">
        <f t="shared" si="26"/>
        <v>#REF!</v>
      </c>
      <c r="AA34" s="83">
        <f>MAX(B$2:B34)-B34</f>
        <v>134.2299999999999</v>
      </c>
      <c r="AB34" s="83">
        <f t="shared" si="15"/>
        <v>58.121589999999955</v>
      </c>
      <c r="AC34" s="83">
        <f t="shared" si="16"/>
        <v>97.41122950781218</v>
      </c>
      <c r="AD34" s="72">
        <f t="shared" si="17"/>
        <v>97.41122950781218</v>
      </c>
      <c r="AE34" s="73">
        <f t="shared" si="24"/>
        <v>907.92027688745009</v>
      </c>
      <c r="AF34" s="73">
        <f>SUM(AE$2:AE34)</f>
        <v>29053.448860398385</v>
      </c>
      <c r="AG34" s="73">
        <f t="shared" si="25"/>
        <v>1144676.4535667107</v>
      </c>
    </row>
    <row r="35" spans="1:33" x14ac:dyDescent="0.25">
      <c r="A35" s="99">
        <v>99199.92</v>
      </c>
      <c r="B35" s="96">
        <v>691.38530000000003</v>
      </c>
      <c r="C35" s="96">
        <v>0.6</v>
      </c>
      <c r="D35" s="80">
        <f t="shared" si="10"/>
        <v>100</v>
      </c>
      <c r="E35" s="81">
        <f t="shared" si="18"/>
        <v>6791.2436711181272</v>
      </c>
      <c r="F35" s="81">
        <f>SUM(E$2:E35)</f>
        <v>223761.76912983059</v>
      </c>
      <c r="G35" s="43">
        <f t="shared" si="11"/>
        <v>1</v>
      </c>
      <c r="H35" s="78">
        <v>1</v>
      </c>
      <c r="I35" s="15">
        <f t="shared" si="19"/>
        <v>0.6</v>
      </c>
      <c r="J35" s="16">
        <f>VLOOKUP(G35,Inputs!$L$3:$P$15,5,FALSE)</f>
        <v>2000</v>
      </c>
      <c r="K35" s="16">
        <f t="shared" si="20"/>
        <v>1825</v>
      </c>
      <c r="L35" s="79">
        <f>Inputs!$P$8-B35</f>
        <v>246.8057</v>
      </c>
      <c r="M35" s="79">
        <f>Inputs!$Q$8+L35*0.433</f>
        <v>1931.8668680999999</v>
      </c>
      <c r="N35" s="82">
        <f t="shared" si="21"/>
        <v>99199.92</v>
      </c>
      <c r="O35" s="83">
        <f t="shared" si="22"/>
        <v>691.38530000000003</v>
      </c>
      <c r="P35" s="84">
        <f>IF(O35="","",Inputs!$C$5-O35)</f>
        <v>133.79919999999993</v>
      </c>
      <c r="Q35" s="83">
        <f>IF(N35="","",TS!J35)</f>
        <v>2000</v>
      </c>
      <c r="R35" s="83">
        <f>IF(N35="","",TS!K35)</f>
        <v>1825</v>
      </c>
      <c r="S35" s="83">
        <f>Inputs!$H$5+TS!P35*0.4333</f>
        <v>1932.94090981</v>
      </c>
      <c r="T35" s="83">
        <f>Inputs!$G$5+TS!P35*0.4333</f>
        <v>1947.94090981</v>
      </c>
      <c r="U35" s="85">
        <f t="shared" si="23"/>
        <v>0.973970454905</v>
      </c>
      <c r="V35" s="86">
        <f>O35-MAX(O35:O177)</f>
        <v>-2.8106000000000222</v>
      </c>
      <c r="W35" s="86">
        <f t="shared" ref="W35:W66" si="27">-(V35)*0.433</f>
        <v>1.2169898000000097</v>
      </c>
      <c r="X35" s="86" t="e">
        <f>((PI()*((42-2*'Gen Calcs'!$E$13)^2)/4)/144)*(A78-#REF!)*(W35+14.7)/14.7</f>
        <v>#REF!</v>
      </c>
      <c r="Y35" s="86" t="e">
        <f t="shared" ref="Y35:Y66" si="28">X35/1000</f>
        <v>#REF!</v>
      </c>
      <c r="Z35" s="86" t="e">
        <f t="shared" si="26"/>
        <v>#REF!</v>
      </c>
      <c r="AA35" s="83">
        <f>MAX(B$2:B35)-B35</f>
        <v>133.79919999999993</v>
      </c>
      <c r="AB35" s="83">
        <f t="shared" si="15"/>
        <v>57.935053599999968</v>
      </c>
      <c r="AC35" s="83">
        <f t="shared" si="16"/>
        <v>97.488554270552655</v>
      </c>
      <c r="AD35" s="72">
        <f t="shared" si="17"/>
        <v>97.488554270552655</v>
      </c>
      <c r="AE35" s="73">
        <f t="shared" si="24"/>
        <v>907.92027688745009</v>
      </c>
      <c r="AF35" s="73">
        <f>SUM(AE$2:AE35)</f>
        <v>29961.369137285834</v>
      </c>
      <c r="AG35" s="73">
        <f t="shared" si="25"/>
        <v>1143768.5332898234</v>
      </c>
    </row>
    <row r="36" spans="1:33" x14ac:dyDescent="0.25">
      <c r="A36" s="100">
        <v>99299.92</v>
      </c>
      <c r="B36" s="97">
        <v>694.19590000000005</v>
      </c>
      <c r="C36" s="97">
        <v>0.6</v>
      </c>
      <c r="D36" s="80">
        <f t="shared" si="10"/>
        <v>100</v>
      </c>
      <c r="E36" s="81">
        <f t="shared" si="18"/>
        <v>6791.2436711181272</v>
      </c>
      <c r="F36" s="81">
        <f>SUM(E$2:E36)</f>
        <v>230553.01280094872</v>
      </c>
      <c r="G36" s="43">
        <f t="shared" si="11"/>
        <v>1</v>
      </c>
      <c r="H36" s="78">
        <v>1</v>
      </c>
      <c r="I36" s="15">
        <f t="shared" si="19"/>
        <v>0.6</v>
      </c>
      <c r="J36" s="16">
        <f>VLOOKUP(G36,Inputs!$L$3:$P$15,5,FALSE)</f>
        <v>2000</v>
      </c>
      <c r="K36" s="16">
        <f t="shared" si="20"/>
        <v>1825</v>
      </c>
      <c r="L36" s="79">
        <f>Inputs!$P$8-B36</f>
        <v>243.99509999999998</v>
      </c>
      <c r="M36" s="79">
        <f>Inputs!$Q$8+L36*0.433</f>
        <v>1930.6498783</v>
      </c>
      <c r="N36" s="82">
        <f t="shared" si="21"/>
        <v>99299.92</v>
      </c>
      <c r="O36" s="83">
        <f t="shared" si="22"/>
        <v>694.19590000000005</v>
      </c>
      <c r="P36" s="84">
        <f>IF(O36="","",Inputs!$C$5-O36)</f>
        <v>130.98859999999991</v>
      </c>
      <c r="Q36" s="83">
        <f>IF(N36="","",TS!J36)</f>
        <v>2000</v>
      </c>
      <c r="R36" s="83">
        <f>IF(N36="","",TS!K36)</f>
        <v>1825</v>
      </c>
      <c r="S36" s="83">
        <f>Inputs!$H$5+TS!P36*0.4333</f>
        <v>1931.7230768299999</v>
      </c>
      <c r="T36" s="83">
        <f>Inputs!$G$5+TS!P36*0.4333</f>
        <v>1946.7230768299999</v>
      </c>
      <c r="U36" s="85">
        <f t="shared" si="23"/>
        <v>0.97336153841499995</v>
      </c>
      <c r="V36" s="86">
        <f>O36-MAX(O36:O177)</f>
        <v>0</v>
      </c>
      <c r="W36" s="86">
        <f t="shared" si="27"/>
        <v>0</v>
      </c>
      <c r="X36" s="86" t="e">
        <f>((PI()*((42-2*'Gen Calcs'!$E$13)^2)/4)/144)*(A79-#REF!)*(W36+14.7)/14.7</f>
        <v>#REF!</v>
      </c>
      <c r="Y36" s="86" t="e">
        <f t="shared" si="28"/>
        <v>#REF!</v>
      </c>
      <c r="Z36" s="86" t="e">
        <f t="shared" si="26"/>
        <v>#REF!</v>
      </c>
      <c r="AA36" s="83">
        <f>MAX(B$2:B36)-B36</f>
        <v>130.98859999999991</v>
      </c>
      <c r="AB36" s="83">
        <f t="shared" si="15"/>
        <v>56.71806379999996</v>
      </c>
      <c r="AC36" s="83">
        <f t="shared" si="16"/>
        <v>97.566001891180107</v>
      </c>
      <c r="AD36" s="72">
        <f t="shared" si="17"/>
        <v>97.566001891180107</v>
      </c>
      <c r="AE36" s="73">
        <f t="shared" si="24"/>
        <v>907.92027688745009</v>
      </c>
      <c r="AF36" s="73">
        <f>SUM(AE$2:AE36)</f>
        <v>30869.289414173283</v>
      </c>
      <c r="AG36" s="73">
        <f t="shared" si="25"/>
        <v>1142860.613012936</v>
      </c>
    </row>
    <row r="37" spans="1:33" x14ac:dyDescent="0.25">
      <c r="A37" s="99">
        <v>99399.92</v>
      </c>
      <c r="B37" s="96">
        <v>690.27779999999996</v>
      </c>
      <c r="C37" s="96">
        <v>0.6</v>
      </c>
      <c r="D37" s="80">
        <f t="shared" si="10"/>
        <v>100</v>
      </c>
      <c r="E37" s="81">
        <f t="shared" si="18"/>
        <v>6791.2436711181272</v>
      </c>
      <c r="F37" s="81">
        <f>SUM(E$2:E37)</f>
        <v>237344.25647206686</v>
      </c>
      <c r="G37" s="43">
        <f t="shared" si="11"/>
        <v>1</v>
      </c>
      <c r="H37" s="78">
        <v>1</v>
      </c>
      <c r="I37" s="15">
        <f t="shared" si="19"/>
        <v>0.6</v>
      </c>
      <c r="J37" s="16">
        <f>VLOOKUP(G37,Inputs!$L$3:$P$15,5,FALSE)</f>
        <v>2000</v>
      </c>
      <c r="K37" s="16">
        <f t="shared" si="20"/>
        <v>1825</v>
      </c>
      <c r="L37" s="79">
        <f>Inputs!$P$8-B37</f>
        <v>247.91320000000007</v>
      </c>
      <c r="M37" s="79">
        <f>Inputs!$Q$8+L37*0.433</f>
        <v>1932.3464156</v>
      </c>
      <c r="N37" s="82">
        <f t="shared" si="21"/>
        <v>99399.92</v>
      </c>
      <c r="O37" s="83">
        <f t="shared" si="22"/>
        <v>690.27779999999996</v>
      </c>
      <c r="P37" s="84">
        <f>IF(O37="","",Inputs!$C$5-O37)</f>
        <v>134.9067</v>
      </c>
      <c r="Q37" s="83">
        <f>IF(N37="","",TS!J37)</f>
        <v>2000</v>
      </c>
      <c r="R37" s="83">
        <f>IF(N37="","",TS!K37)</f>
        <v>1825</v>
      </c>
      <c r="S37" s="83">
        <f>Inputs!$H$5+TS!P37*0.4333</f>
        <v>1933.42078956</v>
      </c>
      <c r="T37" s="83">
        <f>Inputs!$G$5+TS!P37*0.4333</f>
        <v>1948.42078956</v>
      </c>
      <c r="U37" s="85">
        <f t="shared" si="23"/>
        <v>0.97421039478000004</v>
      </c>
      <c r="V37" s="86">
        <f>O37-MAX(O37:O177)</f>
        <v>0</v>
      </c>
      <c r="W37" s="86">
        <f t="shared" si="27"/>
        <v>0</v>
      </c>
      <c r="X37" s="86" t="e">
        <f>((PI()*((42-2*'Gen Calcs'!$E$13)^2)/4)/144)*(A80-#REF!)*(W37+14.7)/14.7</f>
        <v>#REF!</v>
      </c>
      <c r="Y37" s="86" t="e">
        <f t="shared" si="28"/>
        <v>#REF!</v>
      </c>
      <c r="Z37" s="86" t="e">
        <f t="shared" si="26"/>
        <v>#REF!</v>
      </c>
      <c r="AA37" s="83">
        <f>MAX(B$2:B37)-B37</f>
        <v>134.9067</v>
      </c>
      <c r="AB37" s="83">
        <f t="shared" si="15"/>
        <v>58.414601099999999</v>
      </c>
      <c r="AC37" s="83">
        <f t="shared" si="16"/>
        <v>97.643572662732481</v>
      </c>
      <c r="AD37" s="72">
        <f t="shared" si="17"/>
        <v>97.643572662732481</v>
      </c>
      <c r="AE37" s="73">
        <f t="shared" si="24"/>
        <v>907.92027688745009</v>
      </c>
      <c r="AF37" s="73">
        <f>SUM(AE$2:AE37)</f>
        <v>31777.209691060732</v>
      </c>
      <c r="AG37" s="73">
        <f t="shared" si="25"/>
        <v>1141952.6927360485</v>
      </c>
    </row>
    <row r="38" spans="1:33" x14ac:dyDescent="0.25">
      <c r="A38" s="100">
        <v>99499.92</v>
      </c>
      <c r="B38" s="97">
        <v>683.13340000000005</v>
      </c>
      <c r="C38" s="97">
        <v>0.6</v>
      </c>
      <c r="D38" s="80">
        <f t="shared" si="10"/>
        <v>100</v>
      </c>
      <c r="E38" s="81">
        <f t="shared" si="18"/>
        <v>6791.2436711181272</v>
      </c>
      <c r="F38" s="81">
        <f>SUM(E$2:E38)</f>
        <v>244135.500143185</v>
      </c>
      <c r="G38" s="43">
        <f t="shared" si="11"/>
        <v>1</v>
      </c>
      <c r="H38" s="78">
        <v>1</v>
      </c>
      <c r="I38" s="15">
        <f t="shared" si="19"/>
        <v>0.6</v>
      </c>
      <c r="J38" s="16">
        <f>VLOOKUP(G38,Inputs!$L$3:$P$15,5,FALSE)</f>
        <v>2000</v>
      </c>
      <c r="K38" s="16">
        <f t="shared" si="20"/>
        <v>1825</v>
      </c>
      <c r="L38" s="79">
        <f>Inputs!$P$8-B38</f>
        <v>255.05759999999998</v>
      </c>
      <c r="M38" s="79">
        <f>Inputs!$Q$8+L38*0.433</f>
        <v>1935.4399407999999</v>
      </c>
      <c r="N38" s="82">
        <f t="shared" si="21"/>
        <v>99499.92</v>
      </c>
      <c r="O38" s="83">
        <f t="shared" si="22"/>
        <v>683.13340000000005</v>
      </c>
      <c r="P38" s="84">
        <f>IF(O38="","",Inputs!$C$5-O38)</f>
        <v>142.05109999999991</v>
      </c>
      <c r="Q38" s="83">
        <f>IF(N38="","",TS!J38)</f>
        <v>2000</v>
      </c>
      <c r="R38" s="83">
        <f>IF(N38="","",TS!K38)</f>
        <v>1825</v>
      </c>
      <c r="S38" s="83">
        <f>Inputs!$H$5+TS!P38*0.4333</f>
        <v>1936.5164580799999</v>
      </c>
      <c r="T38" s="83">
        <f>Inputs!$G$5+TS!P38*0.4333</f>
        <v>1951.5164580799999</v>
      </c>
      <c r="U38" s="85">
        <f t="shared" si="23"/>
        <v>0.97575822903999998</v>
      </c>
      <c r="V38" s="86">
        <f>O38-MAX(O38:O177)</f>
        <v>0</v>
      </c>
      <c r="W38" s="86">
        <f t="shared" si="27"/>
        <v>0</v>
      </c>
      <c r="X38" s="86" t="e">
        <f>((PI()*((42-2*'Gen Calcs'!$E$13)^2)/4)/144)*(A81-#REF!)*(W38+14.7)/14.7</f>
        <v>#REF!</v>
      </c>
      <c r="Y38" s="86" t="e">
        <f t="shared" si="28"/>
        <v>#REF!</v>
      </c>
      <c r="Z38" s="86" t="e">
        <f t="shared" si="26"/>
        <v>#REF!</v>
      </c>
      <c r="AA38" s="83">
        <f>MAX(B$2:B38)-B38</f>
        <v>142.05109999999991</v>
      </c>
      <c r="AB38" s="83">
        <f t="shared" si="15"/>
        <v>61.508126299999958</v>
      </c>
      <c r="AC38" s="83">
        <f t="shared" si="16"/>
        <v>97.721266879180419</v>
      </c>
      <c r="AD38" s="72">
        <f t="shared" si="17"/>
        <v>97.721266879180419</v>
      </c>
      <c r="AE38" s="73">
        <f t="shared" si="24"/>
        <v>907.92027688745009</v>
      </c>
      <c r="AF38" s="73">
        <f>SUM(AE$2:AE38)</f>
        <v>32685.129967948182</v>
      </c>
      <c r="AG38" s="73">
        <f t="shared" si="25"/>
        <v>1141044.772459161</v>
      </c>
    </row>
    <row r="39" spans="1:33" x14ac:dyDescent="0.25">
      <c r="A39" s="99">
        <v>99596.6</v>
      </c>
      <c r="B39" s="96">
        <v>683.13340000000005</v>
      </c>
      <c r="C39" s="96">
        <v>0.86399999999999999</v>
      </c>
      <c r="D39" s="80">
        <f t="shared" si="10"/>
        <v>96.680000000007567</v>
      </c>
      <c r="E39" s="81">
        <f t="shared" si="18"/>
        <v>6565.7743812375193</v>
      </c>
      <c r="F39" s="81">
        <f>SUM(E$2:E39)</f>
        <v>250701.27452442251</v>
      </c>
      <c r="G39" s="43">
        <f t="shared" si="11"/>
        <v>2</v>
      </c>
      <c r="H39" s="78">
        <v>1</v>
      </c>
      <c r="I39" s="15">
        <f t="shared" si="19"/>
        <v>0.86399999999999999</v>
      </c>
      <c r="J39" s="16">
        <f>VLOOKUP(G39,Inputs!$L$3:$P$15,5,FALSE)</f>
        <v>2880</v>
      </c>
      <c r="K39" s="16">
        <f t="shared" si="20"/>
        <v>1825</v>
      </c>
      <c r="L39" s="79">
        <f>Inputs!$P$8-B39</f>
        <v>255.05759999999998</v>
      </c>
      <c r="M39" s="79">
        <f>Inputs!$Q$8+L39*0.433</f>
        <v>1935.4399407999999</v>
      </c>
      <c r="N39" s="82">
        <f t="shared" si="21"/>
        <v>99596.6</v>
      </c>
      <c r="O39" s="83">
        <f t="shared" si="22"/>
        <v>683.13340000000005</v>
      </c>
      <c r="P39" s="84">
        <f>IF(O39="","",Inputs!$C$5-O39)</f>
        <v>142.05109999999991</v>
      </c>
      <c r="Q39" s="83">
        <f>IF(N39="","",TS!J39)</f>
        <v>2880</v>
      </c>
      <c r="R39" s="83">
        <f>IF(N39="","",TS!K39)</f>
        <v>1825</v>
      </c>
      <c r="S39" s="83">
        <f>Inputs!$H$5+TS!P39*0.4333</f>
        <v>1936.5164580799999</v>
      </c>
      <c r="T39" s="83">
        <f>Inputs!$G$5+TS!P39*0.4333</f>
        <v>1951.5164580799999</v>
      </c>
      <c r="U39" s="85">
        <f t="shared" si="23"/>
        <v>0.67760988127777777</v>
      </c>
      <c r="V39" s="86">
        <f>O39-MAX(O39:O177)</f>
        <v>0</v>
      </c>
      <c r="W39" s="86">
        <f t="shared" si="27"/>
        <v>0</v>
      </c>
      <c r="X39" s="86" t="e">
        <f>((PI()*((42-2*'Gen Calcs'!$E$13)^2)/4)/144)*(A82-#REF!)*(W39+14.7)/14.7</f>
        <v>#REF!</v>
      </c>
      <c r="Y39" s="86" t="e">
        <f t="shared" si="28"/>
        <v>#REF!</v>
      </c>
      <c r="Z39" s="86" t="e">
        <f t="shared" si="26"/>
        <v>#REF!</v>
      </c>
      <c r="AA39" s="83">
        <f>MAX(B$2:B39)-B39</f>
        <v>142.05109999999991</v>
      </c>
      <c r="AB39" s="83">
        <f t="shared" si="15"/>
        <v>61.508126299999958</v>
      </c>
      <c r="AC39" s="83">
        <f t="shared" si="16"/>
        <v>97.794563246896018</v>
      </c>
      <c r="AD39" s="72">
        <f t="shared" si="17"/>
        <v>97.794563246896018</v>
      </c>
      <c r="AE39" s="73">
        <f t="shared" si="24"/>
        <v>855.20538612125449</v>
      </c>
      <c r="AF39" s="73">
        <f>SUM(AE$2:AE39)</f>
        <v>33540.335354069437</v>
      </c>
      <c r="AG39" s="73">
        <f t="shared" si="25"/>
        <v>1140189.5670730397</v>
      </c>
    </row>
    <row r="40" spans="1:33" x14ac:dyDescent="0.25">
      <c r="A40" s="100">
        <v>99599.92</v>
      </c>
      <c r="B40" s="97">
        <v>676.62919999999997</v>
      </c>
      <c r="C40" s="97">
        <v>0.6</v>
      </c>
      <c r="D40" s="80">
        <f t="shared" si="10"/>
        <v>3.319999999992433</v>
      </c>
      <c r="E40" s="81">
        <f t="shared" si="18"/>
        <v>225.4692898806079</v>
      </c>
      <c r="F40" s="81">
        <f>SUM(E$2:E40)</f>
        <v>250926.7438143031</v>
      </c>
      <c r="G40" s="43">
        <f t="shared" si="11"/>
        <v>1</v>
      </c>
      <c r="H40" s="78">
        <v>1</v>
      </c>
      <c r="I40" s="15">
        <f t="shared" si="19"/>
        <v>0.6</v>
      </c>
      <c r="J40" s="16">
        <f>VLOOKUP(G40,Inputs!$L$3:$P$15,5,FALSE)</f>
        <v>2000</v>
      </c>
      <c r="K40" s="16">
        <f t="shared" si="20"/>
        <v>1825</v>
      </c>
      <c r="L40" s="79">
        <f>Inputs!$P$8-B40</f>
        <v>261.56180000000006</v>
      </c>
      <c r="M40" s="79">
        <f>Inputs!$Q$8+L40*0.433</f>
        <v>1938.2562594000001</v>
      </c>
      <c r="N40" s="82">
        <f t="shared" si="21"/>
        <v>99599.92</v>
      </c>
      <c r="O40" s="83">
        <f t="shared" si="22"/>
        <v>676.62919999999997</v>
      </c>
      <c r="P40" s="84">
        <f>IF(O40="","",Inputs!$C$5-O40)</f>
        <v>148.55529999999999</v>
      </c>
      <c r="Q40" s="83">
        <f>IF(N40="","",TS!J40)</f>
        <v>2000</v>
      </c>
      <c r="R40" s="83">
        <f>IF(N40="","",TS!K40)</f>
        <v>1825</v>
      </c>
      <c r="S40" s="83">
        <f>Inputs!$H$5+TS!P40*0.4333</f>
        <v>1939.33472794</v>
      </c>
      <c r="T40" s="83">
        <f>Inputs!$G$5+TS!P40*0.4333</f>
        <v>1954.33472794</v>
      </c>
      <c r="U40" s="85">
        <f t="shared" si="23"/>
        <v>0.97716736397000004</v>
      </c>
      <c r="V40" s="86">
        <f>O40-MAX(O40:O177)</f>
        <v>0</v>
      </c>
      <c r="W40" s="86">
        <f t="shared" si="27"/>
        <v>0</v>
      </c>
      <c r="X40" s="86" t="e">
        <f>((PI()*((42-2*'Gen Calcs'!$E$13)^2)/4)/144)*(A83-#REF!)*(W40+14.7)/14.7</f>
        <v>#REF!</v>
      </c>
      <c r="Y40" s="86" t="e">
        <f t="shared" si="28"/>
        <v>#REF!</v>
      </c>
      <c r="Z40" s="86" t="e">
        <f t="shared" ref="Z40:Z71" si="29">IF(Y40&gt;Z39,Y40,Z39)</f>
        <v>#REF!</v>
      </c>
      <c r="AA40" s="83">
        <f>MAX(B$2:B40)-B40</f>
        <v>148.55529999999999</v>
      </c>
      <c r="AB40" s="83">
        <f t="shared" si="15"/>
        <v>64.324444899999989</v>
      </c>
      <c r="AC40" s="83">
        <f t="shared" si="16"/>
        <v>97.79714868966839</v>
      </c>
      <c r="AD40" s="72">
        <f t="shared" si="17"/>
        <v>97.79714868966839</v>
      </c>
      <c r="AE40" s="73">
        <f t="shared" si="24"/>
        <v>30.142953192594639</v>
      </c>
      <c r="AF40" s="73">
        <f>SUM(AE$2:AE40)</f>
        <v>33570.478307262034</v>
      </c>
      <c r="AG40" s="73">
        <f t="shared" si="25"/>
        <v>1140159.4241198471</v>
      </c>
    </row>
    <row r="41" spans="1:33" x14ac:dyDescent="0.25">
      <c r="A41" s="99">
        <v>99676.6</v>
      </c>
      <c r="B41" s="96">
        <v>676.62919999999997</v>
      </c>
      <c r="C41" s="96">
        <v>0.86399999999999999</v>
      </c>
      <c r="D41" s="80">
        <f t="shared" si="10"/>
        <v>76.680000000007567</v>
      </c>
      <c r="E41" s="81">
        <f t="shared" si="18"/>
        <v>5207.5256470138938</v>
      </c>
      <c r="F41" s="81">
        <f>SUM(E$2:E41)</f>
        <v>256134.26946131699</v>
      </c>
      <c r="G41" s="43">
        <f t="shared" si="11"/>
        <v>2</v>
      </c>
      <c r="H41" s="78">
        <v>1</v>
      </c>
      <c r="I41" s="15">
        <f t="shared" si="19"/>
        <v>0.86399999999999999</v>
      </c>
      <c r="J41" s="16">
        <f>VLOOKUP(G41,Inputs!$L$3:$P$15,5,FALSE)</f>
        <v>2880</v>
      </c>
      <c r="K41" s="16">
        <f t="shared" si="20"/>
        <v>1825</v>
      </c>
      <c r="L41" s="79">
        <f>Inputs!$P$8-B41</f>
        <v>261.56180000000006</v>
      </c>
      <c r="M41" s="79">
        <f>Inputs!$Q$8+L41*0.433</f>
        <v>1938.2562594000001</v>
      </c>
      <c r="N41" s="82">
        <f t="shared" si="21"/>
        <v>99676.6</v>
      </c>
      <c r="O41" s="83">
        <f t="shared" si="22"/>
        <v>676.62919999999997</v>
      </c>
      <c r="P41" s="84">
        <f>IF(O41="","",Inputs!$C$5-O41)</f>
        <v>148.55529999999999</v>
      </c>
      <c r="Q41" s="83">
        <f>IF(N41="","",TS!J41)</f>
        <v>2880</v>
      </c>
      <c r="R41" s="83">
        <f>IF(N41="","",TS!K41)</f>
        <v>1825</v>
      </c>
      <c r="S41" s="83">
        <f>Inputs!$H$5+TS!P41*0.4333</f>
        <v>1939.33472794</v>
      </c>
      <c r="T41" s="83">
        <f>Inputs!$G$5+TS!P41*0.4333</f>
        <v>1954.33472794</v>
      </c>
      <c r="U41" s="85">
        <f t="shared" si="23"/>
        <v>0.67858844720138889</v>
      </c>
      <c r="V41" s="86">
        <f>O41-MAX(O41:O177)</f>
        <v>0</v>
      </c>
      <c r="W41" s="86">
        <f t="shared" si="27"/>
        <v>0</v>
      </c>
      <c r="X41" s="86" t="e">
        <f>((PI()*((42-2*'Gen Calcs'!$E$13)^2)/4)/144)*(A84-#REF!)*(W41+14.7)/14.7</f>
        <v>#REF!</v>
      </c>
      <c r="Y41" s="86" t="e">
        <f t="shared" si="28"/>
        <v>#REF!</v>
      </c>
      <c r="Z41" s="86" t="e">
        <f t="shared" si="29"/>
        <v>#REF!</v>
      </c>
      <c r="AA41" s="83">
        <f>MAX(B$2:B41)-B41</f>
        <v>148.55529999999999</v>
      </c>
      <c r="AB41" s="83">
        <f t="shared" si="15"/>
        <v>64.324444899999989</v>
      </c>
      <c r="AC41" s="83">
        <f t="shared" si="16"/>
        <v>97.855363695322438</v>
      </c>
      <c r="AD41" s="72">
        <f t="shared" si="17"/>
        <v>97.855363695322438</v>
      </c>
      <c r="AE41" s="73">
        <f t="shared" si="24"/>
        <v>678.29074273664799</v>
      </c>
      <c r="AF41" s="73">
        <f>SUM(AE$2:AE41)</f>
        <v>34248.769049998678</v>
      </c>
      <c r="AG41" s="73">
        <f t="shared" si="25"/>
        <v>1139481.1333771106</v>
      </c>
    </row>
    <row r="42" spans="1:33" x14ac:dyDescent="0.25">
      <c r="A42" s="100">
        <v>99699.92</v>
      </c>
      <c r="B42" s="97">
        <v>671.69830000000002</v>
      </c>
      <c r="C42" s="97">
        <v>0.6</v>
      </c>
      <c r="D42" s="80">
        <f t="shared" si="10"/>
        <v>23.319999999992433</v>
      </c>
      <c r="E42" s="81">
        <f t="shared" si="18"/>
        <v>1583.7180241042333</v>
      </c>
      <c r="F42" s="81">
        <f>SUM(E$2:E42)</f>
        <v>257717.98748542121</v>
      </c>
      <c r="G42" s="43">
        <f t="shared" si="11"/>
        <v>1</v>
      </c>
      <c r="H42" s="78">
        <v>1</v>
      </c>
      <c r="I42" s="15">
        <f t="shared" si="19"/>
        <v>0.6</v>
      </c>
      <c r="J42" s="16">
        <f>VLOOKUP(G42,Inputs!$L$3:$P$15,5,FALSE)</f>
        <v>2000</v>
      </c>
      <c r="K42" s="16">
        <f t="shared" si="20"/>
        <v>1825</v>
      </c>
      <c r="L42" s="79">
        <f>Inputs!$P$8-B42</f>
        <v>266.49270000000001</v>
      </c>
      <c r="M42" s="79">
        <f>Inputs!$Q$8+L42*0.433</f>
        <v>1940.3913391000001</v>
      </c>
      <c r="N42" s="82">
        <f t="shared" si="21"/>
        <v>99699.92</v>
      </c>
      <c r="O42" s="83">
        <f t="shared" si="22"/>
        <v>671.69830000000002</v>
      </c>
      <c r="P42" s="84">
        <f>IF(O42="","",Inputs!$C$5-O42)</f>
        <v>153.48619999999994</v>
      </c>
      <c r="Q42" s="83">
        <f>IF(N42="","",TS!J42)</f>
        <v>2000</v>
      </c>
      <c r="R42" s="83">
        <f>IF(N42="","",TS!K42)</f>
        <v>1825</v>
      </c>
      <c r="S42" s="83">
        <f>Inputs!$H$5+TS!P42*0.4333</f>
        <v>1941.4712869099999</v>
      </c>
      <c r="T42" s="83">
        <f>Inputs!$G$5+TS!P42*0.4333</f>
        <v>1956.4712869099999</v>
      </c>
      <c r="U42" s="85">
        <f t="shared" si="23"/>
        <v>0.97823564345499991</v>
      </c>
      <c r="V42" s="86">
        <f>O42-MAX(O42:O177)</f>
        <v>0</v>
      </c>
      <c r="W42" s="86">
        <f t="shared" si="27"/>
        <v>0</v>
      </c>
      <c r="X42" s="86" t="e">
        <f>((PI()*((42-2*'Gen Calcs'!$E$13)^2)/4)/144)*(A85-#REF!)*(W42+14.7)/14.7</f>
        <v>#REF!</v>
      </c>
      <c r="Y42" s="86" t="e">
        <f t="shared" si="28"/>
        <v>#REF!</v>
      </c>
      <c r="Z42" s="86" t="e">
        <f t="shared" si="29"/>
        <v>#REF!</v>
      </c>
      <c r="AA42" s="83">
        <f>MAX(B$2:B42)-B42</f>
        <v>153.48619999999994</v>
      </c>
      <c r="AB42" s="83">
        <f t="shared" si="15"/>
        <v>66.45952459999998</v>
      </c>
      <c r="AC42" s="83">
        <f t="shared" si="16"/>
        <v>97.873549581217333</v>
      </c>
      <c r="AD42" s="72">
        <f t="shared" si="17"/>
        <v>97.873549581217333</v>
      </c>
      <c r="AE42" s="73">
        <f t="shared" si="24"/>
        <v>211.72700857008465</v>
      </c>
      <c r="AF42" s="73">
        <f>SUM(AE$2:AE42)</f>
        <v>34460.496058568766</v>
      </c>
      <c r="AG42" s="73">
        <f t="shared" si="25"/>
        <v>1139269.4063685404</v>
      </c>
    </row>
    <row r="43" spans="1:33" x14ac:dyDescent="0.25">
      <c r="A43" s="99">
        <v>99799.92</v>
      </c>
      <c r="B43" s="96">
        <v>671.00139999999999</v>
      </c>
      <c r="C43" s="96">
        <v>0.6</v>
      </c>
      <c r="D43" s="80">
        <f t="shared" si="10"/>
        <v>100</v>
      </c>
      <c r="E43" s="81">
        <f t="shared" si="18"/>
        <v>6791.2436711181272</v>
      </c>
      <c r="F43" s="81">
        <f>SUM(E$2:E43)</f>
        <v>264509.23115653935</v>
      </c>
      <c r="G43" s="43">
        <f t="shared" si="11"/>
        <v>1</v>
      </c>
      <c r="H43" s="78">
        <v>1</v>
      </c>
      <c r="I43" s="15">
        <f t="shared" si="19"/>
        <v>0.6</v>
      </c>
      <c r="J43" s="16">
        <f>VLOOKUP(G43,Inputs!$L$3:$P$15,5,FALSE)</f>
        <v>2000</v>
      </c>
      <c r="K43" s="16">
        <f t="shared" si="20"/>
        <v>1825</v>
      </c>
      <c r="L43" s="79">
        <f>Inputs!$P$8-B43</f>
        <v>267.18960000000004</v>
      </c>
      <c r="M43" s="79">
        <f>Inputs!$Q$8+L43*0.433</f>
        <v>1940.6930967999999</v>
      </c>
      <c r="N43" s="82">
        <f t="shared" si="21"/>
        <v>99799.92</v>
      </c>
      <c r="O43" s="83">
        <f t="shared" si="22"/>
        <v>671.00139999999999</v>
      </c>
      <c r="P43" s="84">
        <f>IF(O43="","",Inputs!$C$5-O43)</f>
        <v>154.18309999999997</v>
      </c>
      <c r="Q43" s="83">
        <f>IF(N43="","",TS!J43)</f>
        <v>2000</v>
      </c>
      <c r="R43" s="83">
        <f>IF(N43="","",TS!K43)</f>
        <v>1825</v>
      </c>
      <c r="S43" s="83">
        <f>Inputs!$H$5+TS!P43*0.4333</f>
        <v>1941.7732536799999</v>
      </c>
      <c r="T43" s="83">
        <f>Inputs!$G$5+TS!P43*0.4333</f>
        <v>1956.7732536799999</v>
      </c>
      <c r="U43" s="85">
        <f t="shared" si="23"/>
        <v>0.97838662684</v>
      </c>
      <c r="V43" s="86">
        <f>O43-MAX(O43:O177)</f>
        <v>0</v>
      </c>
      <c r="W43" s="86">
        <f t="shared" si="27"/>
        <v>0</v>
      </c>
      <c r="X43" s="86" t="e">
        <f>((PI()*((42-2*'Gen Calcs'!$E$13)^2)/4)/144)*(A86-#REF!)*(W43+14.7)/14.7</f>
        <v>#REF!</v>
      </c>
      <c r="Y43" s="86" t="e">
        <f t="shared" si="28"/>
        <v>#REF!</v>
      </c>
      <c r="Z43" s="86" t="e">
        <f t="shared" si="29"/>
        <v>#REF!</v>
      </c>
      <c r="AA43" s="83">
        <f>MAX(B$2:B43)-B43</f>
        <v>154.18309999999997</v>
      </c>
      <c r="AB43" s="83">
        <f t="shared" si="15"/>
        <v>66.761282299999991</v>
      </c>
      <c r="AC43" s="83">
        <f t="shared" si="16"/>
        <v>97.95161035656983</v>
      </c>
      <c r="AD43" s="72">
        <f t="shared" si="17"/>
        <v>97.95161035656983</v>
      </c>
      <c r="AE43" s="73">
        <f t="shared" si="24"/>
        <v>907.92027688745009</v>
      </c>
      <c r="AF43" s="73">
        <f>SUM(AE$2:AE43)</f>
        <v>35368.416335456219</v>
      </c>
      <c r="AG43" s="73">
        <f t="shared" si="25"/>
        <v>1138361.4860916529</v>
      </c>
    </row>
    <row r="44" spans="1:33" x14ac:dyDescent="0.25">
      <c r="A44" s="100">
        <v>99899.92</v>
      </c>
      <c r="B44" s="97">
        <v>666.16539999999998</v>
      </c>
      <c r="C44" s="97">
        <v>0.6</v>
      </c>
      <c r="D44" s="80">
        <f t="shared" si="10"/>
        <v>100</v>
      </c>
      <c r="E44" s="81">
        <f t="shared" si="18"/>
        <v>6616.6076625842816</v>
      </c>
      <c r="F44" s="81">
        <f>SUM(E$2:E44)</f>
        <v>271125.83881912363</v>
      </c>
      <c r="G44" s="43">
        <f t="shared" si="11"/>
        <v>1</v>
      </c>
      <c r="H44" s="78">
        <v>1</v>
      </c>
      <c r="I44" s="15">
        <f t="shared" si="19"/>
        <v>0.6</v>
      </c>
      <c r="J44" s="16">
        <f>VLOOKUP(G44,Inputs!$L$3:$P$15,5,FALSE)</f>
        <v>2000</v>
      </c>
      <c r="K44" s="16">
        <f t="shared" si="20"/>
        <v>1825</v>
      </c>
      <c r="L44" s="79">
        <f>Inputs!$P$8-B44</f>
        <v>272.02560000000005</v>
      </c>
      <c r="M44" s="79">
        <f>Inputs!$Q$8+L44*0.433</f>
        <v>1942.7870848</v>
      </c>
      <c r="N44" s="82">
        <f t="shared" si="21"/>
        <v>99899.92</v>
      </c>
      <c r="O44" s="83">
        <f t="shared" si="22"/>
        <v>666.16539999999998</v>
      </c>
      <c r="P44" s="84">
        <f>IF(O44="","",Inputs!$C$5-O44)</f>
        <v>159.01909999999998</v>
      </c>
      <c r="Q44" s="83">
        <f>IF(N44="","",TS!J44)</f>
        <v>2000</v>
      </c>
      <c r="R44" s="83">
        <f>IF(N44="","",TS!K44)</f>
        <v>1825</v>
      </c>
      <c r="S44" s="83">
        <f>Inputs!$H$5+TS!P44*0.4333</f>
        <v>1943.8686924799999</v>
      </c>
      <c r="T44" s="83">
        <f>Inputs!$G$5+TS!P44*0.4333</f>
        <v>1958.8686924799999</v>
      </c>
      <c r="U44" s="85">
        <f t="shared" si="23"/>
        <v>0.97943434623999992</v>
      </c>
      <c r="V44" s="86">
        <f>O44-MAX(O44:O177)</f>
        <v>0</v>
      </c>
      <c r="W44" s="86">
        <f t="shared" si="27"/>
        <v>0</v>
      </c>
      <c r="X44" s="86" t="e">
        <f>((PI()*((42-2*'Gen Calcs'!$E$13)^2)/4)/144)*(A87-#REF!)*(W44+14.7)/14.7</f>
        <v>#REF!</v>
      </c>
      <c r="Y44" s="86" t="e">
        <f t="shared" si="28"/>
        <v>#REF!</v>
      </c>
      <c r="Z44" s="86" t="e">
        <f t="shared" si="29"/>
        <v>#REF!</v>
      </c>
      <c r="AA44" s="83">
        <f>MAX(B$2:B44)-B44</f>
        <v>159.01909999999998</v>
      </c>
      <c r="AB44" s="83">
        <f t="shared" si="15"/>
        <v>68.855270299999987</v>
      </c>
      <c r="AC44" s="83">
        <f t="shared" si="16"/>
        <v>98.029795748808482</v>
      </c>
      <c r="AD44" s="72">
        <f t="shared" si="17"/>
        <v>98.029795748808482</v>
      </c>
      <c r="AE44" s="73">
        <f t="shared" si="24"/>
        <v>907.92027688745009</v>
      </c>
      <c r="AF44" s="73">
        <f>SUM(AE$2:AE44)</f>
        <v>36276.336612343672</v>
      </c>
      <c r="AG44" s="73">
        <f t="shared" si="25"/>
        <v>1137453.5658147656</v>
      </c>
    </row>
    <row r="45" spans="1:33" x14ac:dyDescent="0.25">
      <c r="A45" s="99">
        <v>99999.92</v>
      </c>
      <c r="B45" s="96">
        <v>663.45740000000001</v>
      </c>
      <c r="C45" s="96">
        <v>0.6</v>
      </c>
      <c r="D45" s="80">
        <f t="shared" si="10"/>
        <v>100</v>
      </c>
      <c r="E45" s="81">
        <f t="shared" si="18"/>
        <v>6791.2436711181272</v>
      </c>
      <c r="F45" s="81">
        <f>SUM(E$2:E45)</f>
        <v>277917.08249024174</v>
      </c>
      <c r="G45" s="43">
        <f t="shared" si="11"/>
        <v>1</v>
      </c>
      <c r="H45" s="78">
        <v>1</v>
      </c>
      <c r="I45" s="15">
        <f t="shared" si="19"/>
        <v>0.6</v>
      </c>
      <c r="J45" s="16">
        <f>VLOOKUP(G45,Inputs!$L$3:$P$15,5,FALSE)</f>
        <v>2000</v>
      </c>
      <c r="K45" s="16">
        <f t="shared" si="20"/>
        <v>1825</v>
      </c>
      <c r="L45" s="79">
        <f>Inputs!$P$8-B45</f>
        <v>274.73360000000002</v>
      </c>
      <c r="M45" s="79">
        <f>Inputs!$Q$8+L45*0.433</f>
        <v>1943.9596488</v>
      </c>
      <c r="N45" s="82">
        <f t="shared" si="21"/>
        <v>99999.92</v>
      </c>
      <c r="O45" s="83">
        <f t="shared" si="22"/>
        <v>663.45740000000001</v>
      </c>
      <c r="P45" s="84">
        <f>IF(O45="","",Inputs!$C$5-O45)</f>
        <v>161.72709999999995</v>
      </c>
      <c r="Q45" s="83">
        <f>IF(N45="","",TS!J45)</f>
        <v>2000</v>
      </c>
      <c r="R45" s="83">
        <f>IF(N45="","",TS!K45)</f>
        <v>1825</v>
      </c>
      <c r="S45" s="83">
        <f>Inputs!$H$5+TS!P45*0.4333</f>
        <v>1945.04206888</v>
      </c>
      <c r="T45" s="83">
        <f>Inputs!$G$5+TS!P45*0.4333</f>
        <v>1960.04206888</v>
      </c>
      <c r="U45" s="85">
        <f t="shared" si="23"/>
        <v>0.98002103443999999</v>
      </c>
      <c r="V45" s="86">
        <f>O45-MAX(O45:O177)</f>
        <v>0</v>
      </c>
      <c r="W45" s="86">
        <f t="shared" si="27"/>
        <v>0</v>
      </c>
      <c r="X45" s="86" t="e">
        <f>((PI()*((42-2*'Gen Calcs'!$E$13)^2)/4)/144)*(A88-#REF!)*(W45+14.7)/14.7</f>
        <v>#REF!</v>
      </c>
      <c r="Y45" s="86" t="e">
        <f t="shared" si="28"/>
        <v>#REF!</v>
      </c>
      <c r="Z45" s="86" t="e">
        <f t="shared" si="29"/>
        <v>#REF!</v>
      </c>
      <c r="AA45" s="83">
        <f>MAX(B$2:B45)-B45</f>
        <v>161.72709999999995</v>
      </c>
      <c r="AB45" s="83">
        <f t="shared" si="15"/>
        <v>70.027834299999981</v>
      </c>
      <c r="AC45" s="83">
        <f t="shared" si="16"/>
        <v>98.108106056580908</v>
      </c>
      <c r="AD45" s="72">
        <f t="shared" si="17"/>
        <v>98.108106056580908</v>
      </c>
      <c r="AE45" s="73">
        <f t="shared" si="24"/>
        <v>907.92027688745009</v>
      </c>
      <c r="AF45" s="73">
        <f>SUM(AE$2:AE45)</f>
        <v>37184.256889231125</v>
      </c>
      <c r="AG45" s="73">
        <f t="shared" si="25"/>
        <v>1136545.6455378782</v>
      </c>
    </row>
    <row r="46" spans="1:33" x14ac:dyDescent="0.25">
      <c r="A46" s="100">
        <v>100093.7</v>
      </c>
      <c r="B46" s="97">
        <v>663.45740000000001</v>
      </c>
      <c r="C46" s="97">
        <v>0.86399999999999999</v>
      </c>
      <c r="D46" s="80">
        <f t="shared" si="10"/>
        <v>93.779999999998836</v>
      </c>
      <c r="E46" s="81">
        <f t="shared" si="18"/>
        <v>6205.0546659714619</v>
      </c>
      <c r="F46" s="81">
        <f>SUM(E$2:E46)</f>
        <v>284122.13715621323</v>
      </c>
      <c r="G46" s="43">
        <f t="shared" si="11"/>
        <v>2</v>
      </c>
      <c r="H46" s="78">
        <v>1</v>
      </c>
      <c r="I46" s="15">
        <f t="shared" si="19"/>
        <v>0.86399999999999999</v>
      </c>
      <c r="J46" s="16">
        <f>VLOOKUP(G46,Inputs!$L$3:$P$15,5,FALSE)</f>
        <v>2880</v>
      </c>
      <c r="K46" s="16">
        <f t="shared" si="20"/>
        <v>1825</v>
      </c>
      <c r="L46" s="79">
        <f>Inputs!$P$8-B46</f>
        <v>274.73360000000002</v>
      </c>
      <c r="M46" s="79">
        <f>Inputs!$Q$8+L46*0.433</f>
        <v>1943.9596488</v>
      </c>
      <c r="N46" s="82">
        <f t="shared" si="21"/>
        <v>100093.7</v>
      </c>
      <c r="O46" s="83">
        <f t="shared" si="22"/>
        <v>663.45740000000001</v>
      </c>
      <c r="P46" s="84">
        <f>IF(O46="","",Inputs!$C$5-O46)</f>
        <v>161.72709999999995</v>
      </c>
      <c r="Q46" s="83">
        <f>IF(N46="","",TS!J46)</f>
        <v>2880</v>
      </c>
      <c r="R46" s="83">
        <f>IF(N46="","",TS!K46)</f>
        <v>1825</v>
      </c>
      <c r="S46" s="83">
        <f>Inputs!$H$5+TS!P46*0.4333</f>
        <v>1945.04206888</v>
      </c>
      <c r="T46" s="83">
        <f>Inputs!$G$5+TS!P46*0.4333</f>
        <v>1960.04206888</v>
      </c>
      <c r="U46" s="85">
        <f t="shared" si="23"/>
        <v>0.6805701628055556</v>
      </c>
      <c r="V46" s="86">
        <f>O46-MAX(O46:O177)</f>
        <v>0</v>
      </c>
      <c r="W46" s="86">
        <f t="shared" si="27"/>
        <v>0</v>
      </c>
      <c r="X46" s="86" t="e">
        <f>((PI()*((42-2*'Gen Calcs'!$E$13)^2)/4)/144)*(A89-#REF!)*(W46+14.7)/14.7</f>
        <v>#REF!</v>
      </c>
      <c r="Y46" s="86" t="e">
        <f t="shared" si="28"/>
        <v>#REF!</v>
      </c>
      <c r="Z46" s="86" t="e">
        <f t="shared" si="29"/>
        <v>#REF!</v>
      </c>
      <c r="AA46" s="83">
        <f>MAX(B$2:B46)-B46</f>
        <v>161.72709999999995</v>
      </c>
      <c r="AB46" s="83">
        <f t="shared" si="15"/>
        <v>70.027834299999981</v>
      </c>
      <c r="AC46" s="83">
        <f t="shared" si="16"/>
        <v>98.179766439799081</v>
      </c>
      <c r="AD46" s="72">
        <f t="shared" si="17"/>
        <v>98.179766439799081</v>
      </c>
      <c r="AE46" s="73">
        <f t="shared" si="24"/>
        <v>829.55276283040928</v>
      </c>
      <c r="AF46" s="73">
        <f>SUM(AE$2:AE46)</f>
        <v>38013.809652061536</v>
      </c>
      <c r="AG46" s="73">
        <f t="shared" si="25"/>
        <v>1135716.0927750478</v>
      </c>
    </row>
    <row r="47" spans="1:33" x14ac:dyDescent="0.25">
      <c r="A47" s="99">
        <v>100099.92</v>
      </c>
      <c r="B47" s="96">
        <v>660.59079999999994</v>
      </c>
      <c r="C47" s="96">
        <v>0.6</v>
      </c>
      <c r="D47" s="80">
        <f t="shared" si="10"/>
        <v>6.2200000000011642</v>
      </c>
      <c r="E47" s="81">
        <f t="shared" si="18"/>
        <v>422.41535634362651</v>
      </c>
      <c r="F47" s="81">
        <f>SUM(E$2:E47)</f>
        <v>284544.55251255684</v>
      </c>
      <c r="G47" s="43">
        <f t="shared" si="11"/>
        <v>1</v>
      </c>
      <c r="H47" s="78">
        <v>1</v>
      </c>
      <c r="I47" s="15">
        <f t="shared" si="19"/>
        <v>0.6</v>
      </c>
      <c r="J47" s="16">
        <f>VLOOKUP(G47,Inputs!$L$3:$P$15,5,FALSE)</f>
        <v>2000</v>
      </c>
      <c r="K47" s="16">
        <f t="shared" si="20"/>
        <v>1825</v>
      </c>
      <c r="L47" s="79">
        <f>Inputs!$P$8-B47</f>
        <v>277.60020000000009</v>
      </c>
      <c r="M47" s="79">
        <f>Inputs!$Q$8+L47*0.433</f>
        <v>1945.2008866000001</v>
      </c>
      <c r="N47" s="82">
        <f t="shared" si="21"/>
        <v>100099.92</v>
      </c>
      <c r="O47" s="83">
        <f t="shared" si="22"/>
        <v>660.59079999999994</v>
      </c>
      <c r="P47" s="84">
        <f>IF(O47="","",Inputs!$C$5-O47)</f>
        <v>164.59370000000001</v>
      </c>
      <c r="Q47" s="83">
        <f>IF(N47="","",TS!J47)</f>
        <v>2000</v>
      </c>
      <c r="R47" s="83">
        <f>IF(N47="","",TS!K47)</f>
        <v>1825</v>
      </c>
      <c r="S47" s="83">
        <f>Inputs!$H$5+TS!P47*0.4333</f>
        <v>1946.28416666</v>
      </c>
      <c r="T47" s="83">
        <f>Inputs!$G$5+TS!P47*0.4333</f>
        <v>1961.28416666</v>
      </c>
      <c r="U47" s="85">
        <f t="shared" si="23"/>
        <v>0.98064208333000003</v>
      </c>
      <c r="V47" s="86">
        <f>O47-MAX(O47:O177)</f>
        <v>0</v>
      </c>
      <c r="W47" s="86">
        <f t="shared" si="27"/>
        <v>0</v>
      </c>
      <c r="X47" s="86" t="e">
        <f>((PI()*((42-2*'Gen Calcs'!$E$13)^2)/4)/144)*(A90-#REF!)*(W47+14.7)/14.7</f>
        <v>#REF!</v>
      </c>
      <c r="Y47" s="86" t="e">
        <f t="shared" si="28"/>
        <v>#REF!</v>
      </c>
      <c r="Z47" s="86" t="e">
        <f t="shared" si="29"/>
        <v>#REF!</v>
      </c>
      <c r="AA47" s="83">
        <f>MAX(B$2:B47)-B47</f>
        <v>164.59370000000001</v>
      </c>
      <c r="AB47" s="83">
        <f t="shared" si="15"/>
        <v>71.269072100000002</v>
      </c>
      <c r="AC47" s="83">
        <f t="shared" si="16"/>
        <v>98.184648598702282</v>
      </c>
      <c r="AD47" s="72">
        <f t="shared" si="17"/>
        <v>98.184648598702282</v>
      </c>
      <c r="AE47" s="73">
        <f t="shared" si="24"/>
        <v>56.472641222409962</v>
      </c>
      <c r="AF47" s="73">
        <f>SUM(AE$2:AE47)</f>
        <v>38070.282293283948</v>
      </c>
      <c r="AG47" s="73">
        <f t="shared" si="25"/>
        <v>1135659.6201338253</v>
      </c>
    </row>
    <row r="48" spans="1:33" x14ac:dyDescent="0.25">
      <c r="A48" s="100">
        <v>100199.92</v>
      </c>
      <c r="B48" s="97">
        <v>659.40179999999998</v>
      </c>
      <c r="C48" s="97">
        <v>0.6</v>
      </c>
      <c r="D48" s="80">
        <f t="shared" ref="D48:D111" si="30">A48-A47</f>
        <v>100</v>
      </c>
      <c r="E48" s="81">
        <f t="shared" si="18"/>
        <v>6791.2436711181272</v>
      </c>
      <c r="F48" s="81">
        <f>SUM(E$2:E48)</f>
        <v>291335.79618367495</v>
      </c>
      <c r="G48" s="43">
        <f t="shared" si="11"/>
        <v>1</v>
      </c>
      <c r="H48" s="78">
        <v>1</v>
      </c>
      <c r="I48" s="15">
        <f t="shared" si="19"/>
        <v>0.6</v>
      </c>
      <c r="J48" s="16">
        <f>VLOOKUP(G48,Inputs!$L$3:$P$15,5,FALSE)</f>
        <v>2000</v>
      </c>
      <c r="K48" s="16">
        <f t="shared" si="20"/>
        <v>1825</v>
      </c>
      <c r="L48" s="79">
        <f>Inputs!$P$8-B48</f>
        <v>278.78920000000005</v>
      </c>
      <c r="M48" s="79">
        <f>Inputs!$Q$8+L48*0.433</f>
        <v>1945.7157236</v>
      </c>
      <c r="N48" s="82">
        <f t="shared" si="21"/>
        <v>100199.92</v>
      </c>
      <c r="O48" s="83">
        <f t="shared" si="22"/>
        <v>659.40179999999998</v>
      </c>
      <c r="P48" s="84">
        <f>IF(O48="","",Inputs!$C$5-O48)</f>
        <v>165.78269999999998</v>
      </c>
      <c r="Q48" s="83">
        <f>IF(N48="","",TS!J48)</f>
        <v>2000</v>
      </c>
      <c r="R48" s="83">
        <f>IF(N48="","",TS!K48)</f>
        <v>1825</v>
      </c>
      <c r="S48" s="83">
        <f>Inputs!$H$5+TS!P48*0.4333</f>
        <v>1946.79936036</v>
      </c>
      <c r="T48" s="83">
        <f>Inputs!$G$5+TS!P48*0.4333</f>
        <v>1961.79936036</v>
      </c>
      <c r="U48" s="85">
        <f t="shared" si="23"/>
        <v>0.98089968018000007</v>
      </c>
      <c r="V48" s="86">
        <f>O48-MAX(O48:O177)</f>
        <v>-0.64260000000001583</v>
      </c>
      <c r="W48" s="86">
        <f t="shared" si="27"/>
        <v>0.27824580000000687</v>
      </c>
      <c r="X48" s="86" t="e">
        <f>((PI()*((42-2*'Gen Calcs'!$E$13)^2)/4)/144)*(A91-#REF!)*(W48+14.7)/14.7</f>
        <v>#REF!</v>
      </c>
      <c r="Y48" s="86" t="e">
        <f t="shared" si="28"/>
        <v>#REF!</v>
      </c>
      <c r="Z48" s="86" t="e">
        <f t="shared" si="29"/>
        <v>#REF!</v>
      </c>
      <c r="AA48" s="83">
        <f>MAX(B$2:B48)-B48</f>
        <v>165.78269999999998</v>
      </c>
      <c r="AB48" s="83">
        <f t="shared" si="15"/>
        <v>71.783909099999988</v>
      </c>
      <c r="AC48" s="83">
        <f t="shared" si="16"/>
        <v>98.263206606901861</v>
      </c>
      <c r="AD48" s="72">
        <f t="shared" si="17"/>
        <v>98.263206606901861</v>
      </c>
      <c r="AE48" s="73">
        <f t="shared" si="24"/>
        <v>907.92027688745009</v>
      </c>
      <c r="AF48" s="73">
        <f>SUM(AE$2:AE48)</f>
        <v>38978.202570171401</v>
      </c>
      <c r="AG48" s="73">
        <f t="shared" si="25"/>
        <v>1134751.6998569379</v>
      </c>
    </row>
    <row r="49" spans="1:33" x14ac:dyDescent="0.25">
      <c r="A49" s="99">
        <v>100299.92</v>
      </c>
      <c r="B49" s="96">
        <v>657.68020000000001</v>
      </c>
      <c r="C49" s="96">
        <v>0.6</v>
      </c>
      <c r="D49" s="80">
        <f t="shared" si="30"/>
        <v>100</v>
      </c>
      <c r="E49" s="81">
        <f t="shared" si="18"/>
        <v>6791.2436711181272</v>
      </c>
      <c r="F49" s="81">
        <f>SUM(E$2:E49)</f>
        <v>298127.03985479305</v>
      </c>
      <c r="G49" s="43">
        <f t="shared" si="11"/>
        <v>1</v>
      </c>
      <c r="H49" s="78">
        <v>1</v>
      </c>
      <c r="I49" s="15">
        <f t="shared" si="19"/>
        <v>0.6</v>
      </c>
      <c r="J49" s="16">
        <f>VLOOKUP(G49,Inputs!$L$3:$P$15,5,FALSE)</f>
        <v>2000</v>
      </c>
      <c r="K49" s="16">
        <f t="shared" si="20"/>
        <v>1825</v>
      </c>
      <c r="L49" s="79">
        <f>Inputs!$P$8-B49</f>
        <v>280.51080000000002</v>
      </c>
      <c r="M49" s="79">
        <f>Inputs!$Q$8+L49*0.433</f>
        <v>1946.4611764000001</v>
      </c>
      <c r="N49" s="82">
        <f t="shared" si="21"/>
        <v>100299.92</v>
      </c>
      <c r="O49" s="83">
        <f t="shared" si="22"/>
        <v>657.68020000000001</v>
      </c>
      <c r="P49" s="84">
        <f>IF(O49="","",Inputs!$C$5-O49)</f>
        <v>167.50429999999994</v>
      </c>
      <c r="Q49" s="83">
        <f>IF(N49="","",TS!J49)</f>
        <v>2000</v>
      </c>
      <c r="R49" s="83">
        <f>IF(N49="","",TS!K49)</f>
        <v>1825</v>
      </c>
      <c r="S49" s="83">
        <f>Inputs!$H$5+TS!P49*0.4333</f>
        <v>1947.5453296399999</v>
      </c>
      <c r="T49" s="83">
        <f>Inputs!$G$5+TS!P49*0.4333</f>
        <v>1962.5453296399999</v>
      </c>
      <c r="U49" s="85">
        <f t="shared" si="23"/>
        <v>0.98127266481999997</v>
      </c>
      <c r="V49" s="86">
        <f>O49-MAX(O49:O177)</f>
        <v>-2.3641999999999825</v>
      </c>
      <c r="W49" s="86">
        <f t="shared" si="27"/>
        <v>1.0236985999999924</v>
      </c>
      <c r="X49" s="86" t="e">
        <f>((PI()*((42-2*'Gen Calcs'!$E$13)^2)/4)/144)*(A92-#REF!)*(W49+14.7)/14.7</f>
        <v>#REF!</v>
      </c>
      <c r="Y49" s="86" t="e">
        <f t="shared" si="28"/>
        <v>#REF!</v>
      </c>
      <c r="Z49" s="86" t="e">
        <f t="shared" si="29"/>
        <v>#REF!</v>
      </c>
      <c r="AA49" s="83">
        <f>MAX(B$2:B49)-B49</f>
        <v>167.50429999999994</v>
      </c>
      <c r="AB49" s="83">
        <f t="shared" si="15"/>
        <v>72.529361899999969</v>
      </c>
      <c r="AC49" s="83">
        <f t="shared" si="16"/>
        <v>98.341890425040745</v>
      </c>
      <c r="AD49" s="72">
        <f t="shared" si="17"/>
        <v>98.341890425040745</v>
      </c>
      <c r="AE49" s="73">
        <f t="shared" si="24"/>
        <v>907.92027688745009</v>
      </c>
      <c r="AF49" s="73">
        <f>SUM(AE$2:AE49)</f>
        <v>39886.122847058854</v>
      </c>
      <c r="AG49" s="73">
        <f t="shared" si="25"/>
        <v>1133843.7795800504</v>
      </c>
    </row>
    <row r="50" spans="1:33" x14ac:dyDescent="0.25">
      <c r="A50" s="100">
        <v>100399.92</v>
      </c>
      <c r="B50" s="97">
        <v>657.16989999999998</v>
      </c>
      <c r="C50" s="97">
        <v>0.6</v>
      </c>
      <c r="D50" s="80">
        <f t="shared" si="30"/>
        <v>100</v>
      </c>
      <c r="E50" s="81">
        <f t="shared" si="18"/>
        <v>6791.2436711181272</v>
      </c>
      <c r="F50" s="81">
        <f>SUM(E$2:E50)</f>
        <v>304918.28352591116</v>
      </c>
      <c r="G50" s="43">
        <f t="shared" si="11"/>
        <v>1</v>
      </c>
      <c r="H50" s="78">
        <v>1</v>
      </c>
      <c r="I50" s="15">
        <f t="shared" si="19"/>
        <v>0.6</v>
      </c>
      <c r="J50" s="16">
        <f>VLOOKUP(G50,Inputs!$L$3:$P$15,5,FALSE)</f>
        <v>2000</v>
      </c>
      <c r="K50" s="16">
        <f t="shared" si="20"/>
        <v>1825</v>
      </c>
      <c r="L50" s="79">
        <f>Inputs!$P$8-B50</f>
        <v>281.02110000000005</v>
      </c>
      <c r="M50" s="79">
        <f>Inputs!$Q$8+L50*0.433</f>
        <v>1946.6821362999999</v>
      </c>
      <c r="N50" s="82">
        <f t="shared" si="21"/>
        <v>100399.92</v>
      </c>
      <c r="O50" s="83">
        <f t="shared" si="22"/>
        <v>657.16989999999998</v>
      </c>
      <c r="P50" s="84">
        <f>IF(O50="","",Inputs!$C$5-O50)</f>
        <v>168.01459999999997</v>
      </c>
      <c r="Q50" s="83">
        <f>IF(N50="","",TS!J50)</f>
        <v>2000</v>
      </c>
      <c r="R50" s="83">
        <f>IF(N50="","",TS!K50)</f>
        <v>1825</v>
      </c>
      <c r="S50" s="83">
        <f>Inputs!$H$5+TS!P50*0.4333</f>
        <v>1947.76644263</v>
      </c>
      <c r="T50" s="83">
        <f>Inputs!$G$5+TS!P50*0.4333</f>
        <v>1962.76644263</v>
      </c>
      <c r="U50" s="85">
        <f t="shared" si="23"/>
        <v>0.981383221315</v>
      </c>
      <c r="V50" s="86">
        <f>O50-MAX(O50:O177)</f>
        <v>-2.8745000000000118</v>
      </c>
      <c r="W50" s="86">
        <f t="shared" si="27"/>
        <v>1.2446585000000052</v>
      </c>
      <c r="X50" s="86" t="e">
        <f>((PI()*((42-2*'Gen Calcs'!$E$13)^2)/4)/144)*(A93-#REF!)*(W50+14.7)/14.7</f>
        <v>#REF!</v>
      </c>
      <c r="Y50" s="86" t="e">
        <f t="shared" si="28"/>
        <v>#REF!</v>
      </c>
      <c r="Z50" s="86" t="e">
        <f t="shared" si="29"/>
        <v>#REF!</v>
      </c>
      <c r="AA50" s="83">
        <f>MAX(B$2:B50)-B50</f>
        <v>168.01459999999997</v>
      </c>
      <c r="AB50" s="83">
        <f t="shared" si="15"/>
        <v>72.750321799999995</v>
      </c>
      <c r="AC50" s="83">
        <f t="shared" si="16"/>
        <v>98.420700355586376</v>
      </c>
      <c r="AD50" s="72">
        <f t="shared" si="17"/>
        <v>98.420700355586376</v>
      </c>
      <c r="AE50" s="73">
        <f t="shared" si="24"/>
        <v>907.92027688745009</v>
      </c>
      <c r="AF50" s="73">
        <f>SUM(AE$2:AE50)</f>
        <v>40794.043123946307</v>
      </c>
      <c r="AG50" s="73">
        <f t="shared" si="25"/>
        <v>1132935.8593031629</v>
      </c>
    </row>
    <row r="51" spans="1:33" x14ac:dyDescent="0.25">
      <c r="A51" s="99">
        <v>100499.92</v>
      </c>
      <c r="B51" s="96">
        <v>655.13040000000001</v>
      </c>
      <c r="C51" s="96">
        <v>0.6</v>
      </c>
      <c r="D51" s="80">
        <f t="shared" si="30"/>
        <v>100</v>
      </c>
      <c r="E51" s="81">
        <f t="shared" si="18"/>
        <v>6791.2436711181272</v>
      </c>
      <c r="F51" s="81">
        <f>SUM(E$2:E51)</f>
        <v>311709.52719702927</v>
      </c>
      <c r="G51" s="43">
        <f t="shared" si="11"/>
        <v>1</v>
      </c>
      <c r="H51" s="78">
        <v>1</v>
      </c>
      <c r="I51" s="15">
        <f t="shared" si="19"/>
        <v>0.6</v>
      </c>
      <c r="J51" s="16">
        <f>VLOOKUP(G51,Inputs!$L$3:$P$15,5,FALSE)</f>
        <v>2000</v>
      </c>
      <c r="K51" s="16">
        <f t="shared" si="20"/>
        <v>1825</v>
      </c>
      <c r="L51" s="79">
        <f>Inputs!$P$8-B51</f>
        <v>283.06060000000002</v>
      </c>
      <c r="M51" s="79">
        <f>Inputs!$Q$8+L51*0.433</f>
        <v>1947.5652398</v>
      </c>
      <c r="N51" s="82">
        <f t="shared" si="21"/>
        <v>100499.92</v>
      </c>
      <c r="O51" s="83">
        <f t="shared" si="22"/>
        <v>655.13040000000001</v>
      </c>
      <c r="P51" s="84">
        <f>IF(O51="","",Inputs!$C$5-O51)</f>
        <v>170.05409999999995</v>
      </c>
      <c r="Q51" s="83">
        <f>IF(N51="","",TS!J51)</f>
        <v>2000</v>
      </c>
      <c r="R51" s="83">
        <f>IF(N51="","",TS!K51)</f>
        <v>1825</v>
      </c>
      <c r="S51" s="83">
        <f>Inputs!$H$5+TS!P51*0.4333</f>
        <v>1948.6501579799999</v>
      </c>
      <c r="T51" s="83">
        <f>Inputs!$G$5+TS!P51*0.4333</f>
        <v>1963.6501579799999</v>
      </c>
      <c r="U51" s="85">
        <f t="shared" si="23"/>
        <v>0.98182507898999993</v>
      </c>
      <c r="V51" s="86">
        <f>O51-MAX(O51:O177)</f>
        <v>-4.9139999999999873</v>
      </c>
      <c r="W51" s="86">
        <f t="shared" si="27"/>
        <v>2.1277619999999944</v>
      </c>
      <c r="X51" s="86" t="e">
        <f>((PI()*((42-2*'Gen Calcs'!$E$13)^2)/4)/144)*(A94-#REF!)*(W51+14.7)/14.7</f>
        <v>#REF!</v>
      </c>
      <c r="Y51" s="86" t="e">
        <f t="shared" si="28"/>
        <v>#REF!</v>
      </c>
      <c r="Z51" s="86" t="e">
        <f t="shared" si="29"/>
        <v>#REF!</v>
      </c>
      <c r="AA51" s="83">
        <f>MAX(B$2:B51)-B51</f>
        <v>170.05409999999995</v>
      </c>
      <c r="AB51" s="83">
        <f t="shared" si="15"/>
        <v>73.633425299999971</v>
      </c>
      <c r="AC51" s="83">
        <f t="shared" si="16"/>
        <v>98.499636701976527</v>
      </c>
      <c r="AD51" s="72">
        <f t="shared" si="17"/>
        <v>98.499636701976527</v>
      </c>
      <c r="AE51" s="73">
        <f t="shared" si="24"/>
        <v>907.92027688745009</v>
      </c>
      <c r="AF51" s="73">
        <f>SUM(AE$2:AE51)</f>
        <v>41701.96340083376</v>
      </c>
      <c r="AG51" s="73">
        <f t="shared" si="25"/>
        <v>1132027.9390262754</v>
      </c>
    </row>
    <row r="52" spans="1:33" x14ac:dyDescent="0.25">
      <c r="A52" s="100">
        <v>100599.92</v>
      </c>
      <c r="B52" s="97">
        <v>654.24860000000001</v>
      </c>
      <c r="C52" s="97">
        <v>0.6</v>
      </c>
      <c r="D52" s="80">
        <f t="shared" si="30"/>
        <v>100</v>
      </c>
      <c r="E52" s="81">
        <f t="shared" si="18"/>
        <v>6791.2436711181272</v>
      </c>
      <c r="F52" s="81">
        <f>SUM(E$2:E52)</f>
        <v>318500.77086814737</v>
      </c>
      <c r="G52" s="43">
        <f t="shared" si="11"/>
        <v>1</v>
      </c>
      <c r="H52" s="78">
        <v>1</v>
      </c>
      <c r="I52" s="15">
        <f t="shared" si="19"/>
        <v>0.6</v>
      </c>
      <c r="J52" s="16">
        <f>VLOOKUP(G52,Inputs!$L$3:$P$15,5,FALSE)</f>
        <v>2000</v>
      </c>
      <c r="K52" s="16">
        <f t="shared" si="20"/>
        <v>1825</v>
      </c>
      <c r="L52" s="79">
        <f>Inputs!$P$8-B52</f>
        <v>283.94240000000002</v>
      </c>
      <c r="M52" s="79">
        <f>Inputs!$Q$8+L52*0.433</f>
        <v>1947.9470592</v>
      </c>
      <c r="N52" s="82">
        <f t="shared" si="21"/>
        <v>100599.92</v>
      </c>
      <c r="O52" s="83">
        <f t="shared" si="22"/>
        <v>654.24860000000001</v>
      </c>
      <c r="P52" s="84">
        <f>IF(O52="","",Inputs!$C$5-O52)</f>
        <v>170.93589999999995</v>
      </c>
      <c r="Q52" s="83">
        <f>IF(N52="","",TS!J52)</f>
        <v>2000</v>
      </c>
      <c r="R52" s="83">
        <f>IF(N52="","",TS!K52)</f>
        <v>1825</v>
      </c>
      <c r="S52" s="83">
        <f>Inputs!$H$5+TS!P52*0.4333</f>
        <v>1949.0322419199999</v>
      </c>
      <c r="T52" s="83">
        <f>Inputs!$G$5+TS!P52*0.4333</f>
        <v>1964.0322419199999</v>
      </c>
      <c r="U52" s="85">
        <f t="shared" si="23"/>
        <v>0.98201612096000002</v>
      </c>
      <c r="V52" s="86">
        <f>O52-MAX(O52:O177)</f>
        <v>-5.7957999999999856</v>
      </c>
      <c r="W52" s="86">
        <f t="shared" si="27"/>
        <v>2.5095813999999939</v>
      </c>
      <c r="X52" s="86" t="e">
        <f>((PI()*((42-2*'Gen Calcs'!$E$13)^2)/4)/144)*(A95-#REF!)*(W52+14.7)/14.7</f>
        <v>#REF!</v>
      </c>
      <c r="Y52" s="86" t="e">
        <f t="shared" si="28"/>
        <v>#REF!</v>
      </c>
      <c r="Z52" s="86" t="e">
        <f t="shared" si="29"/>
        <v>#REF!</v>
      </c>
      <c r="AA52" s="83">
        <f>MAX(B$2:B52)-B52</f>
        <v>170.93589999999995</v>
      </c>
      <c r="AB52" s="83">
        <f t="shared" si="15"/>
        <v>74.015244699999982</v>
      </c>
      <c r="AC52" s="83">
        <f t="shared" si="16"/>
        <v>98.57869976862321</v>
      </c>
      <c r="AD52" s="72">
        <f t="shared" si="17"/>
        <v>98.57869976862321</v>
      </c>
      <c r="AE52" s="73">
        <f t="shared" si="24"/>
        <v>907.92027688745009</v>
      </c>
      <c r="AF52" s="73">
        <f>SUM(AE$2:AE52)</f>
        <v>42609.883677721213</v>
      </c>
      <c r="AG52" s="73">
        <f t="shared" si="25"/>
        <v>1131120.0187493879</v>
      </c>
    </row>
    <row r="53" spans="1:33" x14ac:dyDescent="0.25">
      <c r="A53" s="99">
        <v>100699.92</v>
      </c>
      <c r="B53" s="96">
        <v>653.02930000000003</v>
      </c>
      <c r="C53" s="96">
        <v>0.6</v>
      </c>
      <c r="D53" s="80">
        <f t="shared" si="30"/>
        <v>100</v>
      </c>
      <c r="E53" s="81">
        <f t="shared" si="18"/>
        <v>6791.2436711181272</v>
      </c>
      <c r="F53" s="81">
        <f>SUM(E$2:E53)</f>
        <v>325292.01453926548</v>
      </c>
      <c r="G53" s="43">
        <f t="shared" si="11"/>
        <v>1</v>
      </c>
      <c r="H53" s="78">
        <v>1</v>
      </c>
      <c r="I53" s="15">
        <f t="shared" si="19"/>
        <v>0.6</v>
      </c>
      <c r="J53" s="16">
        <f>VLOOKUP(G53,Inputs!$L$3:$P$15,5,FALSE)</f>
        <v>2000</v>
      </c>
      <c r="K53" s="16">
        <f t="shared" si="20"/>
        <v>1825</v>
      </c>
      <c r="L53" s="79">
        <f>Inputs!$P$8-B53</f>
        <v>285.1617</v>
      </c>
      <c r="M53" s="79">
        <f>Inputs!$Q$8+L53*0.433</f>
        <v>1948.4750160999999</v>
      </c>
      <c r="N53" s="82">
        <f t="shared" si="21"/>
        <v>100699.92</v>
      </c>
      <c r="O53" s="83">
        <f t="shared" si="22"/>
        <v>653.02930000000003</v>
      </c>
      <c r="P53" s="84">
        <f>IF(O53="","",Inputs!$C$5-O53)</f>
        <v>172.15519999999992</v>
      </c>
      <c r="Q53" s="83">
        <f>IF(N53="","",TS!J53)</f>
        <v>2000</v>
      </c>
      <c r="R53" s="83">
        <f>IF(N53="","",TS!K53)</f>
        <v>1825</v>
      </c>
      <c r="S53" s="83">
        <f>Inputs!$H$5+TS!P53*0.4333</f>
        <v>1949.5605646099998</v>
      </c>
      <c r="T53" s="83">
        <f>Inputs!$G$5+TS!P53*0.4333</f>
        <v>1964.5605646099998</v>
      </c>
      <c r="U53" s="85">
        <f t="shared" si="23"/>
        <v>0.98228028230499986</v>
      </c>
      <c r="V53" s="86">
        <f>O53-MAX(O53:O177)</f>
        <v>-7.0150999999999613</v>
      </c>
      <c r="W53" s="86">
        <f t="shared" si="27"/>
        <v>3.0375382999999831</v>
      </c>
      <c r="X53" s="86" t="e">
        <f>((PI()*((42-2*'Gen Calcs'!$E$13)^2)/4)/144)*(A96-#REF!)*(W53+14.7)/14.7</f>
        <v>#REF!</v>
      </c>
      <c r="Y53" s="86" t="e">
        <f t="shared" si="28"/>
        <v>#REF!</v>
      </c>
      <c r="Z53" s="86" t="e">
        <f t="shared" si="29"/>
        <v>#REF!</v>
      </c>
      <c r="AA53" s="83">
        <f>MAX(B$2:B53)-B53</f>
        <v>172.15519999999992</v>
      </c>
      <c r="AB53" s="83">
        <f t="shared" si="15"/>
        <v>74.543201599999961</v>
      </c>
      <c r="AC53" s="83">
        <f t="shared" si="16"/>
        <v>98.657889860916598</v>
      </c>
      <c r="AD53" s="72">
        <f t="shared" si="17"/>
        <v>98.657889860916598</v>
      </c>
      <c r="AE53" s="73">
        <f t="shared" si="24"/>
        <v>907.92027688745009</v>
      </c>
      <c r="AF53" s="73">
        <f>SUM(AE$2:AE53)</f>
        <v>43517.803954608666</v>
      </c>
      <c r="AG53" s="73">
        <f t="shared" si="25"/>
        <v>1130212.0984725005</v>
      </c>
    </row>
    <row r="54" spans="1:33" x14ac:dyDescent="0.25">
      <c r="A54" s="100">
        <v>100799.92</v>
      </c>
      <c r="B54" s="97">
        <v>652.4556</v>
      </c>
      <c r="C54" s="97">
        <v>0.6</v>
      </c>
      <c r="D54" s="80">
        <f t="shared" si="30"/>
        <v>100</v>
      </c>
      <c r="E54" s="81">
        <f t="shared" si="18"/>
        <v>6791.2436711181272</v>
      </c>
      <c r="F54" s="81">
        <f>SUM(E$2:E54)</f>
        <v>332083.25821038359</v>
      </c>
      <c r="G54" s="43">
        <f t="shared" si="11"/>
        <v>1</v>
      </c>
      <c r="H54" s="78">
        <v>1</v>
      </c>
      <c r="I54" s="15">
        <f t="shared" si="19"/>
        <v>0.6</v>
      </c>
      <c r="J54" s="16">
        <f>VLOOKUP(G54,Inputs!$L$3:$P$15,5,FALSE)</f>
        <v>2000</v>
      </c>
      <c r="K54" s="16">
        <f t="shared" si="20"/>
        <v>1825</v>
      </c>
      <c r="L54" s="79">
        <f>Inputs!$P$8-B54</f>
        <v>285.73540000000003</v>
      </c>
      <c r="M54" s="79">
        <f>Inputs!$Q$8+L54*0.433</f>
        <v>1948.7234281999999</v>
      </c>
      <c r="N54" s="82">
        <f t="shared" si="21"/>
        <v>100799.92</v>
      </c>
      <c r="O54" s="83">
        <f t="shared" si="22"/>
        <v>652.4556</v>
      </c>
      <c r="P54" s="84">
        <f>IF(O54="","",Inputs!$C$5-O54)</f>
        <v>172.72889999999995</v>
      </c>
      <c r="Q54" s="83">
        <f>IF(N54="","",TS!J54)</f>
        <v>2000</v>
      </c>
      <c r="R54" s="83">
        <f>IF(N54="","",TS!K54)</f>
        <v>1825</v>
      </c>
      <c r="S54" s="83">
        <f>Inputs!$H$5+TS!P54*0.4333</f>
        <v>1949.80914882</v>
      </c>
      <c r="T54" s="83">
        <f>Inputs!$G$5+TS!P54*0.4333</f>
        <v>1964.80914882</v>
      </c>
      <c r="U54" s="85">
        <f t="shared" si="23"/>
        <v>0.98240457441000006</v>
      </c>
      <c r="V54" s="86">
        <f>O54-MAX(O54:O177)</f>
        <v>-7.588799999999992</v>
      </c>
      <c r="W54" s="86">
        <f t="shared" si="27"/>
        <v>3.2859503999999964</v>
      </c>
      <c r="X54" s="86" t="e">
        <f>((PI()*((42-2*'Gen Calcs'!$E$13)^2)/4)/144)*(A97-#REF!)*(W54+14.7)/14.7</f>
        <v>#REF!</v>
      </c>
      <c r="Y54" s="86" t="e">
        <f t="shared" si="28"/>
        <v>#REF!</v>
      </c>
      <c r="Z54" s="86" t="e">
        <f t="shared" si="29"/>
        <v>#REF!</v>
      </c>
      <c r="AA54" s="83">
        <f>MAX(B$2:B54)-B54</f>
        <v>172.72889999999995</v>
      </c>
      <c r="AB54" s="83">
        <f t="shared" si="15"/>
        <v>74.791613699999985</v>
      </c>
      <c r="AC54" s="83">
        <f t="shared" si="16"/>
        <v>98.737207285228948</v>
      </c>
      <c r="AD54" s="72">
        <f t="shared" si="17"/>
        <v>98.737207285228948</v>
      </c>
      <c r="AE54" s="73">
        <f t="shared" si="24"/>
        <v>907.92027688745009</v>
      </c>
      <c r="AF54" s="73">
        <f>SUM(AE$2:AE54)</f>
        <v>44425.724231496119</v>
      </c>
      <c r="AG54" s="73">
        <f t="shared" si="25"/>
        <v>1129304.178195613</v>
      </c>
    </row>
    <row r="55" spans="1:33" x14ac:dyDescent="0.25">
      <c r="A55" s="99">
        <v>100899.92</v>
      </c>
      <c r="B55" s="96">
        <v>652.60400000000004</v>
      </c>
      <c r="C55" s="96">
        <v>0.6</v>
      </c>
      <c r="D55" s="80">
        <f t="shared" si="30"/>
        <v>100</v>
      </c>
      <c r="E55" s="81">
        <f t="shared" si="18"/>
        <v>6791.2436711181272</v>
      </c>
      <c r="F55" s="81">
        <f>SUM(E$2:E55)</f>
        <v>338874.5018815017</v>
      </c>
      <c r="G55" s="43">
        <f t="shared" si="11"/>
        <v>1</v>
      </c>
      <c r="H55" s="78">
        <v>1</v>
      </c>
      <c r="I55" s="15">
        <f t="shared" si="19"/>
        <v>0.6</v>
      </c>
      <c r="J55" s="16">
        <f>VLOOKUP(G55,Inputs!$L$3:$P$15,5,FALSE)</f>
        <v>2000</v>
      </c>
      <c r="K55" s="16">
        <f t="shared" si="20"/>
        <v>1825</v>
      </c>
      <c r="L55" s="79">
        <f>Inputs!$P$8-B55</f>
        <v>285.58699999999999</v>
      </c>
      <c r="M55" s="79">
        <f>Inputs!$Q$8+L55*0.433</f>
        <v>1948.659171</v>
      </c>
      <c r="N55" s="82">
        <f t="shared" si="21"/>
        <v>100899.92</v>
      </c>
      <c r="O55" s="83">
        <f t="shared" si="22"/>
        <v>652.60400000000004</v>
      </c>
      <c r="P55" s="84">
        <f>IF(O55="","",Inputs!$C$5-O55)</f>
        <v>172.58049999999992</v>
      </c>
      <c r="Q55" s="83">
        <f>IF(N55="","",TS!J55)</f>
        <v>2000</v>
      </c>
      <c r="R55" s="83">
        <f>IF(N55="","",TS!K55)</f>
        <v>1825</v>
      </c>
      <c r="S55" s="83">
        <f>Inputs!$H$5+TS!P55*0.4333</f>
        <v>1949.7448471</v>
      </c>
      <c r="T55" s="83">
        <f>Inputs!$G$5+TS!P55*0.4333</f>
        <v>1964.7448471</v>
      </c>
      <c r="U55" s="85">
        <f t="shared" si="23"/>
        <v>0.98237242354999998</v>
      </c>
      <c r="V55" s="86">
        <f>O55-MAX(O55:O177)</f>
        <v>-7.4403999999999542</v>
      </c>
      <c r="W55" s="86">
        <f t="shared" si="27"/>
        <v>3.2216931999999803</v>
      </c>
      <c r="X55" s="86" t="e">
        <f>((PI()*((42-2*'Gen Calcs'!$E$13)^2)/4)/144)*(A98-#REF!)*(W55+14.7)/14.7</f>
        <v>#REF!</v>
      </c>
      <c r="Y55" s="86" t="e">
        <f t="shared" si="28"/>
        <v>#REF!</v>
      </c>
      <c r="Z55" s="86" t="e">
        <f t="shared" si="29"/>
        <v>#REF!</v>
      </c>
      <c r="AA55" s="83">
        <f>MAX(B$2:B55)-B55</f>
        <v>172.58049999999992</v>
      </c>
      <c r="AB55" s="83">
        <f t="shared" si="15"/>
        <v>74.727356499999956</v>
      </c>
      <c r="AC55" s="83">
        <f t="shared" si="16"/>
        <v>98.816652348918566</v>
      </c>
      <c r="AD55" s="72">
        <f t="shared" si="17"/>
        <v>98.816652348918566</v>
      </c>
      <c r="AE55" s="73">
        <f t="shared" si="24"/>
        <v>907.92027688745009</v>
      </c>
      <c r="AF55" s="73">
        <f>SUM(AE$2:AE55)</f>
        <v>45333.644508383572</v>
      </c>
      <c r="AG55" s="73">
        <f t="shared" si="25"/>
        <v>1128396.2579187257</v>
      </c>
    </row>
    <row r="56" spans="1:33" x14ac:dyDescent="0.25">
      <c r="A56" s="100">
        <v>100999.92</v>
      </c>
      <c r="B56" s="97">
        <v>650.85900000000004</v>
      </c>
      <c r="C56" s="97">
        <v>0.6</v>
      </c>
      <c r="D56" s="80">
        <f t="shared" si="30"/>
        <v>100</v>
      </c>
      <c r="E56" s="81">
        <f t="shared" si="18"/>
        <v>6791.2436711181272</v>
      </c>
      <c r="F56" s="81">
        <f>SUM(E$2:E56)</f>
        <v>345665.7455526198</v>
      </c>
      <c r="G56" s="43">
        <f t="shared" si="11"/>
        <v>1</v>
      </c>
      <c r="H56" s="78">
        <v>1</v>
      </c>
      <c r="I56" s="15">
        <f t="shared" si="19"/>
        <v>0.6</v>
      </c>
      <c r="J56" s="16">
        <f>VLOOKUP(G56,Inputs!$L$3:$P$15,5,FALSE)</f>
        <v>2000</v>
      </c>
      <c r="K56" s="16">
        <f t="shared" si="20"/>
        <v>1825</v>
      </c>
      <c r="L56" s="79">
        <f>Inputs!$P$8-B56</f>
        <v>287.33199999999999</v>
      </c>
      <c r="M56" s="79">
        <f>Inputs!$Q$8+L56*0.433</f>
        <v>1949.4147559999999</v>
      </c>
      <c r="N56" s="82">
        <f t="shared" si="21"/>
        <v>100999.92</v>
      </c>
      <c r="O56" s="83">
        <f t="shared" si="22"/>
        <v>650.85900000000004</v>
      </c>
      <c r="P56" s="84">
        <f>IF(O56="","",Inputs!$C$5-O56)</f>
        <v>174.32549999999992</v>
      </c>
      <c r="Q56" s="83">
        <f>IF(N56="","",TS!J56)</f>
        <v>2000</v>
      </c>
      <c r="R56" s="83">
        <f>IF(N56="","",TS!K56)</f>
        <v>1825</v>
      </c>
      <c r="S56" s="83">
        <f>Inputs!$H$5+TS!P56*0.4333</f>
        <v>1950.5009556</v>
      </c>
      <c r="T56" s="83">
        <f>Inputs!$G$5+TS!P56*0.4333</f>
        <v>1965.5009556</v>
      </c>
      <c r="U56" s="85">
        <f t="shared" si="23"/>
        <v>0.98275047780000002</v>
      </c>
      <c r="V56" s="86">
        <f>O56-MAX(O56:O177)</f>
        <v>-9.1853999999999587</v>
      </c>
      <c r="W56" s="86">
        <f t="shared" si="27"/>
        <v>3.977278199999982</v>
      </c>
      <c r="X56" s="86" t="e">
        <f>((PI()*((42-2*'Gen Calcs'!$E$13)^2)/4)/144)*(A99-#REF!)*(W56+14.7)/14.7</f>
        <v>#REF!</v>
      </c>
      <c r="Y56" s="86" t="e">
        <f t="shared" si="28"/>
        <v>#REF!</v>
      </c>
      <c r="Z56" s="86" t="e">
        <f t="shared" si="29"/>
        <v>#REF!</v>
      </c>
      <c r="AA56" s="83">
        <f>MAX(B$2:B56)-B56</f>
        <v>174.32549999999992</v>
      </c>
      <c r="AB56" s="83">
        <f t="shared" si="15"/>
        <v>75.482941499999967</v>
      </c>
      <c r="AC56" s="83">
        <f t="shared" si="16"/>
        <v>98.896225360333801</v>
      </c>
      <c r="AD56" s="72">
        <f t="shared" si="17"/>
        <v>98.896225360333801</v>
      </c>
      <c r="AE56" s="73">
        <f t="shared" si="24"/>
        <v>907.92027688745009</v>
      </c>
      <c r="AF56" s="73">
        <f>SUM(AE$2:AE56)</f>
        <v>46241.564785271024</v>
      </c>
      <c r="AG56" s="73">
        <f t="shared" si="25"/>
        <v>1127488.3376418382</v>
      </c>
    </row>
    <row r="57" spans="1:33" x14ac:dyDescent="0.25">
      <c r="A57" s="99">
        <v>101099.92</v>
      </c>
      <c r="B57" s="96">
        <v>637.76790000000005</v>
      </c>
      <c r="C57" s="96">
        <v>0.6</v>
      </c>
      <c r="D57" s="80">
        <f t="shared" si="30"/>
        <v>100</v>
      </c>
      <c r="E57" s="81">
        <f t="shared" si="18"/>
        <v>6791.2436711181272</v>
      </c>
      <c r="F57" s="81">
        <f>SUM(E$2:E57)</f>
        <v>352456.98922373791</v>
      </c>
      <c r="G57" s="43">
        <f t="shared" si="11"/>
        <v>1</v>
      </c>
      <c r="H57" s="78">
        <v>1</v>
      </c>
      <c r="I57" s="15">
        <f t="shared" si="19"/>
        <v>0.6</v>
      </c>
      <c r="J57" s="16">
        <f>VLOOKUP(G57,Inputs!$L$3:$P$15,5,FALSE)</f>
        <v>2000</v>
      </c>
      <c r="K57" s="16">
        <f t="shared" si="20"/>
        <v>1825</v>
      </c>
      <c r="L57" s="79">
        <f>Inputs!$P$8-B57</f>
        <v>300.42309999999998</v>
      </c>
      <c r="M57" s="79">
        <f>Inputs!$Q$8+L57*0.433</f>
        <v>1955.0832023</v>
      </c>
      <c r="N57" s="82">
        <f t="shared" si="21"/>
        <v>101099.92</v>
      </c>
      <c r="O57" s="83">
        <f t="shared" si="22"/>
        <v>637.76790000000005</v>
      </c>
      <c r="P57" s="84">
        <f>IF(O57="","",Inputs!$C$5-O57)</f>
        <v>187.4165999999999</v>
      </c>
      <c r="Q57" s="83">
        <f>IF(N57="","",TS!J57)</f>
        <v>2000</v>
      </c>
      <c r="R57" s="83">
        <f>IF(N57="","",TS!K57)</f>
        <v>1825</v>
      </c>
      <c r="S57" s="83">
        <f>Inputs!$H$5+TS!P57*0.4333</f>
        <v>1956.1733292299998</v>
      </c>
      <c r="T57" s="83">
        <f>Inputs!$G$5+TS!P57*0.4333</f>
        <v>1971.1733292299998</v>
      </c>
      <c r="U57" s="85">
        <f t="shared" si="23"/>
        <v>0.98558666461499989</v>
      </c>
      <c r="V57" s="86">
        <f>O57-MAX(O57:O177)</f>
        <v>-22.276499999999942</v>
      </c>
      <c r="W57" s="86">
        <f t="shared" si="27"/>
        <v>9.6457244999999752</v>
      </c>
      <c r="X57" s="86" t="e">
        <f>((PI()*((42-2*'Gen Calcs'!$E$13)^2)/4)/144)*(A100-#REF!)*(W57+14.7)/14.7</f>
        <v>#REF!</v>
      </c>
      <c r="Y57" s="86" t="e">
        <f t="shared" si="28"/>
        <v>#REF!</v>
      </c>
      <c r="Z57" s="86" t="e">
        <f t="shared" si="29"/>
        <v>#REF!</v>
      </c>
      <c r="AA57" s="83">
        <f>MAX(B$2:B57)-B57</f>
        <v>187.4165999999999</v>
      </c>
      <c r="AB57" s="83">
        <f t="shared" si="15"/>
        <v>81.151387799999952</v>
      </c>
      <c r="AC57" s="83">
        <f t="shared" si="16"/>
        <v>98.975926628816978</v>
      </c>
      <c r="AD57" s="72">
        <f t="shared" si="17"/>
        <v>98.975926628816978</v>
      </c>
      <c r="AE57" s="73">
        <f t="shared" si="24"/>
        <v>907.92027688745009</v>
      </c>
      <c r="AF57" s="73">
        <f>SUM(AE$2:AE57)</f>
        <v>47149.485062158477</v>
      </c>
      <c r="AG57" s="73">
        <f t="shared" si="25"/>
        <v>1126580.4173649508</v>
      </c>
    </row>
    <row r="58" spans="1:33" x14ac:dyDescent="0.25">
      <c r="A58" s="100">
        <v>101199.92</v>
      </c>
      <c r="B58" s="97">
        <v>651.46469999999999</v>
      </c>
      <c r="C58" s="97">
        <v>0.6</v>
      </c>
      <c r="D58" s="80">
        <f t="shared" si="30"/>
        <v>100</v>
      </c>
      <c r="E58" s="81">
        <f t="shared" si="18"/>
        <v>6791.2436711181272</v>
      </c>
      <c r="F58" s="81">
        <f>SUM(E$2:E58)</f>
        <v>359248.23289485602</v>
      </c>
      <c r="G58" s="43">
        <f t="shared" si="11"/>
        <v>1</v>
      </c>
      <c r="H58" s="78">
        <v>1</v>
      </c>
      <c r="I58" s="15">
        <f t="shared" si="19"/>
        <v>0.6</v>
      </c>
      <c r="J58" s="16">
        <f>VLOOKUP(G58,Inputs!$L$3:$P$15,5,FALSE)</f>
        <v>2000</v>
      </c>
      <c r="K58" s="16">
        <f t="shared" si="20"/>
        <v>1825</v>
      </c>
      <c r="L58" s="79">
        <f>Inputs!$P$8-B58</f>
        <v>286.72630000000004</v>
      </c>
      <c r="M58" s="79">
        <f>Inputs!$Q$8+L58*0.433</f>
        <v>1949.1524879000001</v>
      </c>
      <c r="N58" s="82">
        <f t="shared" si="21"/>
        <v>101199.92</v>
      </c>
      <c r="O58" s="83">
        <f t="shared" si="22"/>
        <v>651.46469999999999</v>
      </c>
      <c r="P58" s="84">
        <f>IF(O58="","",Inputs!$C$5-O58)</f>
        <v>173.71979999999996</v>
      </c>
      <c r="Q58" s="83">
        <f>IF(N58="","",TS!J58)</f>
        <v>2000</v>
      </c>
      <c r="R58" s="83">
        <f>IF(N58="","",TS!K58)</f>
        <v>1825</v>
      </c>
      <c r="S58" s="83">
        <f>Inputs!$H$5+TS!P58*0.4333</f>
        <v>1950.2385057899999</v>
      </c>
      <c r="T58" s="83">
        <f>Inputs!$G$5+TS!P58*0.4333</f>
        <v>1965.2385057899999</v>
      </c>
      <c r="U58" s="85">
        <f t="shared" si="23"/>
        <v>0.98261925289499996</v>
      </c>
      <c r="V58" s="86">
        <f>O58-MAX(O58:O177)</f>
        <v>-8.5797000000000025</v>
      </c>
      <c r="W58" s="86">
        <f t="shared" si="27"/>
        <v>3.7150101000000011</v>
      </c>
      <c r="X58" s="86" t="e">
        <f>((PI()*((42-2*'Gen Calcs'!$E$13)^2)/4)/144)*(A101-#REF!)*(W58+14.7)/14.7</f>
        <v>#REF!</v>
      </c>
      <c r="Y58" s="86" t="e">
        <f t="shared" si="28"/>
        <v>#REF!</v>
      </c>
      <c r="Z58" s="86" t="e">
        <f t="shared" si="29"/>
        <v>#REF!</v>
      </c>
      <c r="AA58" s="83">
        <f>MAX(B$2:B58)-B58</f>
        <v>173.71979999999996</v>
      </c>
      <c r="AB58" s="83">
        <f t="shared" si="15"/>
        <v>75.220673399999981</v>
      </c>
      <c r="AC58" s="83">
        <f t="shared" si="16"/>
        <v>99.055756464708395</v>
      </c>
      <c r="AD58" s="72">
        <f t="shared" si="17"/>
        <v>99.055756464708395</v>
      </c>
      <c r="AE58" s="73">
        <f t="shared" si="24"/>
        <v>907.92027688745009</v>
      </c>
      <c r="AF58" s="73">
        <f>SUM(AE$2:AE58)</f>
        <v>48057.40533904593</v>
      </c>
      <c r="AG58" s="73">
        <f t="shared" si="25"/>
        <v>1125672.4970880633</v>
      </c>
    </row>
    <row r="59" spans="1:33" x14ac:dyDescent="0.25">
      <c r="A59" s="99">
        <v>101299.92</v>
      </c>
      <c r="B59" s="96">
        <v>653.09400000000005</v>
      </c>
      <c r="C59" s="96">
        <v>0.6</v>
      </c>
      <c r="D59" s="80">
        <f t="shared" si="30"/>
        <v>100</v>
      </c>
      <c r="E59" s="81">
        <f t="shared" si="18"/>
        <v>6791.2436711181272</v>
      </c>
      <c r="F59" s="81">
        <f>SUM(E$2:E59)</f>
        <v>366039.47656597412</v>
      </c>
      <c r="G59" s="43">
        <f t="shared" si="11"/>
        <v>1</v>
      </c>
      <c r="H59" s="78">
        <v>1</v>
      </c>
      <c r="I59" s="15">
        <f t="shared" si="19"/>
        <v>0.6</v>
      </c>
      <c r="J59" s="16">
        <f>VLOOKUP(G59,Inputs!$L$3:$P$15,5,FALSE)</f>
        <v>2000</v>
      </c>
      <c r="K59" s="16">
        <f t="shared" si="20"/>
        <v>1825</v>
      </c>
      <c r="L59" s="79">
        <f>Inputs!$P$8-B59</f>
        <v>285.09699999999998</v>
      </c>
      <c r="M59" s="79">
        <f>Inputs!$Q$8+L59*0.433</f>
        <v>1948.447001</v>
      </c>
      <c r="N59" s="82">
        <f t="shared" si="21"/>
        <v>101299.92</v>
      </c>
      <c r="O59" s="83">
        <f t="shared" si="22"/>
        <v>653.09400000000005</v>
      </c>
      <c r="P59" s="84">
        <f>IF(O59="","",Inputs!$C$5-O59)</f>
        <v>172.09049999999991</v>
      </c>
      <c r="Q59" s="83">
        <f>IF(N59="","",TS!J59)</f>
        <v>2000</v>
      </c>
      <c r="R59" s="83">
        <f>IF(N59="","",TS!K59)</f>
        <v>1825</v>
      </c>
      <c r="S59" s="83">
        <f>Inputs!$H$5+TS!P59*0.4333</f>
        <v>1949.5325300999998</v>
      </c>
      <c r="T59" s="83">
        <f>Inputs!$G$5+TS!P59*0.4333</f>
        <v>1964.5325300999998</v>
      </c>
      <c r="U59" s="85">
        <f t="shared" si="23"/>
        <v>0.98226626504999992</v>
      </c>
      <c r="V59" s="86">
        <f>O59-MAX(O59:O177)</f>
        <v>-6.9503999999999451</v>
      </c>
      <c r="W59" s="86">
        <f t="shared" si="27"/>
        <v>3.0095231999999763</v>
      </c>
      <c r="X59" s="86" t="e">
        <f>((PI()*((42-2*'Gen Calcs'!$E$13)^2)/4)/144)*(A102-#REF!)*(W59+14.7)/14.7</f>
        <v>#REF!</v>
      </c>
      <c r="Y59" s="86" t="e">
        <f t="shared" si="28"/>
        <v>#REF!</v>
      </c>
      <c r="Z59" s="86" t="e">
        <f t="shared" si="29"/>
        <v>#REF!</v>
      </c>
      <c r="AA59" s="83">
        <f>MAX(B$2:B59)-B59</f>
        <v>172.09049999999991</v>
      </c>
      <c r="AB59" s="83">
        <f t="shared" si="15"/>
        <v>74.515186499999956</v>
      </c>
      <c r="AC59" s="83">
        <f t="shared" si="16"/>
        <v>99.135715179350456</v>
      </c>
      <c r="AD59" s="72">
        <f t="shared" si="17"/>
        <v>99.135715179350456</v>
      </c>
      <c r="AE59" s="73">
        <f t="shared" si="24"/>
        <v>907.92027688745009</v>
      </c>
      <c r="AF59" s="73">
        <f>SUM(AE$2:AE59)</f>
        <v>48965.325615933383</v>
      </c>
      <c r="AG59" s="73">
        <f t="shared" si="25"/>
        <v>1124764.5768111758</v>
      </c>
    </row>
    <row r="60" spans="1:33" x14ac:dyDescent="0.25">
      <c r="A60" s="100">
        <v>101399.92</v>
      </c>
      <c r="B60" s="97">
        <v>651.93449999999996</v>
      </c>
      <c r="C60" s="97">
        <v>0.6</v>
      </c>
      <c r="D60" s="80">
        <f t="shared" si="30"/>
        <v>100</v>
      </c>
      <c r="E60" s="81">
        <f t="shared" si="18"/>
        <v>6791.2436711181272</v>
      </c>
      <c r="F60" s="81">
        <f>SUM(E$2:E60)</f>
        <v>372830.72023709223</v>
      </c>
      <c r="G60" s="43">
        <f t="shared" si="11"/>
        <v>1</v>
      </c>
      <c r="H60" s="78">
        <v>1</v>
      </c>
      <c r="I60" s="15">
        <f t="shared" si="19"/>
        <v>0.6</v>
      </c>
      <c r="J60" s="16">
        <f>VLOOKUP(G60,Inputs!$L$3:$P$15,5,FALSE)</f>
        <v>2000</v>
      </c>
      <c r="K60" s="16">
        <f t="shared" si="20"/>
        <v>1825</v>
      </c>
      <c r="L60" s="79">
        <f>Inputs!$P$8-B60</f>
        <v>286.25650000000007</v>
      </c>
      <c r="M60" s="79">
        <f>Inputs!$Q$8+L60*0.433</f>
        <v>1948.9490645000001</v>
      </c>
      <c r="N60" s="82">
        <f t="shared" si="21"/>
        <v>101399.92</v>
      </c>
      <c r="O60" s="83">
        <f t="shared" si="22"/>
        <v>651.93449999999996</v>
      </c>
      <c r="P60" s="84">
        <f>IF(O60="","",Inputs!$C$5-O60)</f>
        <v>173.25</v>
      </c>
      <c r="Q60" s="83">
        <f>IF(N60="","",TS!J60)</f>
        <v>2000</v>
      </c>
      <c r="R60" s="83">
        <f>IF(N60="","",TS!K60)</f>
        <v>1825</v>
      </c>
      <c r="S60" s="83">
        <f>Inputs!$H$5+TS!P60*0.4333</f>
        <v>1950.0349414499999</v>
      </c>
      <c r="T60" s="83">
        <f>Inputs!$G$5+TS!P60*0.4333</f>
        <v>1965.0349414499999</v>
      </c>
      <c r="U60" s="85">
        <f t="shared" si="23"/>
        <v>0.98251747072499995</v>
      </c>
      <c r="V60" s="86">
        <f>O60-MAX(O60:O177)</f>
        <v>-8.1099000000000387</v>
      </c>
      <c r="W60" s="86">
        <f t="shared" si="27"/>
        <v>3.5115867000000169</v>
      </c>
      <c r="X60" s="86" t="e">
        <f>((PI()*((42-2*'Gen Calcs'!$E$13)^2)/4)/144)*(A103-#REF!)*(W60+14.7)/14.7</f>
        <v>#REF!</v>
      </c>
      <c r="Y60" s="86" t="e">
        <f t="shared" si="28"/>
        <v>#REF!</v>
      </c>
      <c r="Z60" s="86" t="e">
        <f t="shared" si="29"/>
        <v>#REF!</v>
      </c>
      <c r="AA60" s="83">
        <f>MAX(B$2:B60)-B60</f>
        <v>173.25</v>
      </c>
      <c r="AB60" s="83">
        <f t="shared" si="15"/>
        <v>75.017250000000004</v>
      </c>
      <c r="AC60" s="83">
        <f t="shared" si="16"/>
        <v>99.215803085091594</v>
      </c>
      <c r="AD60" s="72">
        <f t="shared" si="17"/>
        <v>99.215803085091594</v>
      </c>
      <c r="AE60" s="73">
        <f t="shared" si="24"/>
        <v>907.92027688745009</v>
      </c>
      <c r="AF60" s="73">
        <f>SUM(AE$2:AE60)</f>
        <v>49873.245892820836</v>
      </c>
      <c r="AG60" s="73">
        <f t="shared" si="25"/>
        <v>1123856.6565342883</v>
      </c>
    </row>
    <row r="61" spans="1:33" x14ac:dyDescent="0.25">
      <c r="A61" s="99">
        <v>101499.92</v>
      </c>
      <c r="B61" s="96">
        <v>650.70630000000006</v>
      </c>
      <c r="C61" s="96">
        <v>0.6</v>
      </c>
      <c r="D61" s="80">
        <f t="shared" si="30"/>
        <v>100</v>
      </c>
      <c r="E61" s="81">
        <f t="shared" si="18"/>
        <v>6791.2436711181272</v>
      </c>
      <c r="F61" s="81">
        <f>SUM(E$2:E61)</f>
        <v>379621.96390821034</v>
      </c>
      <c r="G61" s="43">
        <f t="shared" si="11"/>
        <v>1</v>
      </c>
      <c r="H61" s="78">
        <v>1</v>
      </c>
      <c r="I61" s="15">
        <f t="shared" si="19"/>
        <v>0.6</v>
      </c>
      <c r="J61" s="16">
        <f>VLOOKUP(G61,Inputs!$L$3:$P$15,5,FALSE)</f>
        <v>2000</v>
      </c>
      <c r="K61" s="16">
        <f t="shared" si="20"/>
        <v>1825</v>
      </c>
      <c r="L61" s="79">
        <f>Inputs!$P$8-B61</f>
        <v>287.48469999999998</v>
      </c>
      <c r="M61" s="79">
        <f>Inputs!$Q$8+L61*0.433</f>
        <v>1949.4808751</v>
      </c>
      <c r="N61" s="82">
        <f t="shared" si="21"/>
        <v>101499.92</v>
      </c>
      <c r="O61" s="83">
        <f t="shared" si="22"/>
        <v>650.70630000000006</v>
      </c>
      <c r="P61" s="84">
        <f>IF(O61="","",Inputs!$C$5-O61)</f>
        <v>174.4781999999999</v>
      </c>
      <c r="Q61" s="83">
        <f>IF(N61="","",TS!J61)</f>
        <v>2000</v>
      </c>
      <c r="R61" s="83">
        <f>IF(N61="","",TS!K61)</f>
        <v>1825</v>
      </c>
      <c r="S61" s="83">
        <f>Inputs!$H$5+TS!P61*0.4333</f>
        <v>1950.56712051</v>
      </c>
      <c r="T61" s="83">
        <f>Inputs!$G$5+TS!P61*0.4333</f>
        <v>1965.56712051</v>
      </c>
      <c r="U61" s="85">
        <f t="shared" si="23"/>
        <v>0.98278356025500002</v>
      </c>
      <c r="V61" s="86">
        <f>O61-MAX(O61:O177)</f>
        <v>-9.3380999999999403</v>
      </c>
      <c r="W61" s="86">
        <f t="shared" si="27"/>
        <v>4.0433972999999739</v>
      </c>
      <c r="X61" s="86" t="e">
        <f>((PI()*((42-2*'Gen Calcs'!$E$13)^2)/4)/144)*(A104-#REF!)*(W61+14.7)/14.7</f>
        <v>#REF!</v>
      </c>
      <c r="Y61" s="86" t="e">
        <f t="shared" si="28"/>
        <v>#REF!</v>
      </c>
      <c r="Z61" s="86" t="e">
        <f t="shared" si="29"/>
        <v>#REF!</v>
      </c>
      <c r="AA61" s="83">
        <f>MAX(B$2:B61)-B61</f>
        <v>174.4781999999999</v>
      </c>
      <c r="AB61" s="83">
        <f t="shared" si="15"/>
        <v>75.549060599999962</v>
      </c>
      <c r="AC61" s="83">
        <f t="shared" si="16"/>
        <v>99.296020495290435</v>
      </c>
      <c r="AD61" s="72">
        <f t="shared" si="17"/>
        <v>99.296020495290435</v>
      </c>
      <c r="AE61" s="73">
        <f t="shared" si="24"/>
        <v>907.92027688745009</v>
      </c>
      <c r="AF61" s="73">
        <f>SUM(AE$2:AE61)</f>
        <v>50781.166169708289</v>
      </c>
      <c r="AG61" s="73">
        <f t="shared" si="25"/>
        <v>1122948.7362574008</v>
      </c>
    </row>
    <row r="62" spans="1:33" x14ac:dyDescent="0.25">
      <c r="A62" s="100">
        <v>101599.92</v>
      </c>
      <c r="B62" s="97">
        <v>650.13319999999999</v>
      </c>
      <c r="C62" s="97">
        <v>0.6</v>
      </c>
      <c r="D62" s="80">
        <f t="shared" si="30"/>
        <v>100</v>
      </c>
      <c r="E62" s="81">
        <f t="shared" si="18"/>
        <v>6791.2436711181272</v>
      </c>
      <c r="F62" s="81">
        <f>SUM(E$2:E62)</f>
        <v>386413.20757932845</v>
      </c>
      <c r="G62" s="43">
        <f t="shared" si="11"/>
        <v>1</v>
      </c>
      <c r="H62" s="78">
        <v>1</v>
      </c>
      <c r="I62" s="15">
        <f t="shared" si="19"/>
        <v>0.6</v>
      </c>
      <c r="J62" s="16">
        <f>VLOOKUP(G62,Inputs!$L$3:$P$15,5,FALSE)</f>
        <v>2000</v>
      </c>
      <c r="K62" s="16">
        <f t="shared" si="20"/>
        <v>1825</v>
      </c>
      <c r="L62" s="79">
        <f>Inputs!$P$8-B62</f>
        <v>288.05780000000004</v>
      </c>
      <c r="M62" s="79">
        <f>Inputs!$Q$8+L62*0.433</f>
        <v>1949.7290273999999</v>
      </c>
      <c r="N62" s="82">
        <f t="shared" si="21"/>
        <v>101599.92</v>
      </c>
      <c r="O62" s="83">
        <f t="shared" si="22"/>
        <v>650.13319999999999</v>
      </c>
      <c r="P62" s="84">
        <f>IF(O62="","",Inputs!$C$5-O62)</f>
        <v>175.05129999999997</v>
      </c>
      <c r="Q62" s="83">
        <f>IF(N62="","",TS!J62)</f>
        <v>2000</v>
      </c>
      <c r="R62" s="83">
        <f>IF(N62="","",TS!K62)</f>
        <v>1825</v>
      </c>
      <c r="S62" s="83">
        <f>Inputs!$H$5+TS!P62*0.4333</f>
        <v>1950.81544474</v>
      </c>
      <c r="T62" s="83">
        <f>Inputs!$G$5+TS!P62*0.4333</f>
        <v>1965.81544474</v>
      </c>
      <c r="U62" s="85">
        <f t="shared" si="23"/>
        <v>0.98290772237000001</v>
      </c>
      <c r="V62" s="86">
        <f>O62-MAX(O62:O177)</f>
        <v>-9.911200000000008</v>
      </c>
      <c r="W62" s="86">
        <f t="shared" si="27"/>
        <v>4.2915496000000033</v>
      </c>
      <c r="X62" s="86" t="e">
        <f>((PI()*((42-2*'Gen Calcs'!$E$13)^2)/4)/144)*(A105-#REF!)*(W62+14.7)/14.7</f>
        <v>#REF!</v>
      </c>
      <c r="Y62" s="86" t="e">
        <f t="shared" si="28"/>
        <v>#REF!</v>
      </c>
      <c r="Z62" s="86" t="e">
        <f t="shared" si="29"/>
        <v>#REF!</v>
      </c>
      <c r="AA62" s="83">
        <f>MAX(B$2:B62)-B62</f>
        <v>175.05129999999997</v>
      </c>
      <c r="AB62" s="83">
        <f t="shared" si="15"/>
        <v>75.797212899999991</v>
      </c>
      <c r="AC62" s="83">
        <f t="shared" si="16"/>
        <v>99.37636772431982</v>
      </c>
      <c r="AD62" s="72">
        <f t="shared" si="17"/>
        <v>99.37636772431982</v>
      </c>
      <c r="AE62" s="73">
        <f t="shared" si="24"/>
        <v>907.92027688745009</v>
      </c>
      <c r="AF62" s="73">
        <f>SUM(AE$2:AE62)</f>
        <v>51689.086446595742</v>
      </c>
      <c r="AG62" s="73">
        <f t="shared" si="25"/>
        <v>1122040.8159805133</v>
      </c>
    </row>
    <row r="63" spans="1:33" x14ac:dyDescent="0.25">
      <c r="A63" s="99">
        <v>101699.92</v>
      </c>
      <c r="B63" s="96">
        <v>651.59879999999998</v>
      </c>
      <c r="C63" s="96">
        <v>0.6</v>
      </c>
      <c r="D63" s="80">
        <f t="shared" si="30"/>
        <v>100</v>
      </c>
      <c r="E63" s="81">
        <f t="shared" si="18"/>
        <v>6791.2436711181272</v>
      </c>
      <c r="F63" s="81">
        <f>SUM(E$2:E63)</f>
        <v>393204.45125044655</v>
      </c>
      <c r="G63" s="43">
        <f t="shared" si="11"/>
        <v>1</v>
      </c>
      <c r="H63" s="78">
        <v>1</v>
      </c>
      <c r="I63" s="15">
        <f t="shared" si="19"/>
        <v>0.6</v>
      </c>
      <c r="J63" s="16">
        <f>VLOOKUP(G63,Inputs!$L$3:$P$15,5,FALSE)</f>
        <v>2000</v>
      </c>
      <c r="K63" s="16">
        <f t="shared" si="20"/>
        <v>1825</v>
      </c>
      <c r="L63" s="79">
        <f>Inputs!$P$8-B63</f>
        <v>286.59220000000005</v>
      </c>
      <c r="M63" s="79">
        <f>Inputs!$Q$8+L63*0.433</f>
        <v>1949.0944225999999</v>
      </c>
      <c r="N63" s="82">
        <f t="shared" si="21"/>
        <v>101699.92</v>
      </c>
      <c r="O63" s="83">
        <f t="shared" si="22"/>
        <v>651.59879999999998</v>
      </c>
      <c r="P63" s="84">
        <f>IF(O63="","",Inputs!$C$5-O63)</f>
        <v>173.58569999999997</v>
      </c>
      <c r="Q63" s="83">
        <f>IF(N63="","",TS!J63)</f>
        <v>2000</v>
      </c>
      <c r="R63" s="83">
        <f>IF(N63="","",TS!K63)</f>
        <v>1825</v>
      </c>
      <c r="S63" s="83">
        <f>Inputs!$H$5+TS!P63*0.4333</f>
        <v>1950.1804002599999</v>
      </c>
      <c r="T63" s="83">
        <f>Inputs!$G$5+TS!P63*0.4333</f>
        <v>1965.1804002599999</v>
      </c>
      <c r="U63" s="85">
        <f t="shared" si="23"/>
        <v>0.98259020012999998</v>
      </c>
      <c r="V63" s="86">
        <f>O63-MAX(O63:O177)</f>
        <v>-8.4456000000000131</v>
      </c>
      <c r="W63" s="86">
        <f t="shared" si="27"/>
        <v>3.6569448000000055</v>
      </c>
      <c r="X63" s="86" t="e">
        <f>((PI()*((42-2*'Gen Calcs'!$E$13)^2)/4)/144)*(A106-#REF!)*(W63+14.7)/14.7</f>
        <v>#REF!</v>
      </c>
      <c r="Y63" s="86" t="e">
        <f t="shared" si="28"/>
        <v>#REF!</v>
      </c>
      <c r="Z63" s="86" t="e">
        <f t="shared" si="29"/>
        <v>#REF!</v>
      </c>
      <c r="AA63" s="83">
        <f>MAX(B$2:B63)-B63</f>
        <v>173.58569999999997</v>
      </c>
      <c r="AB63" s="83">
        <f t="shared" si="15"/>
        <v>75.162608099999986</v>
      </c>
      <c r="AC63" s="83">
        <f t="shared" si="16"/>
        <v>99.45684508757094</v>
      </c>
      <c r="AD63" s="72">
        <f t="shared" si="17"/>
        <v>99.45684508757094</v>
      </c>
      <c r="AE63" s="73">
        <f t="shared" si="24"/>
        <v>907.92027688745009</v>
      </c>
      <c r="AF63" s="73">
        <f>SUM(AE$2:AE63)</f>
        <v>52597.006723483195</v>
      </c>
      <c r="AG63" s="73">
        <f t="shared" si="25"/>
        <v>1121132.8957036261</v>
      </c>
    </row>
    <row r="64" spans="1:33" x14ac:dyDescent="0.25">
      <c r="A64" s="100">
        <v>101799.92</v>
      </c>
      <c r="B64" s="97">
        <v>652.65060000000005</v>
      </c>
      <c r="C64" s="97">
        <v>0.6</v>
      </c>
      <c r="D64" s="80">
        <f t="shared" si="30"/>
        <v>100</v>
      </c>
      <c r="E64" s="81">
        <f t="shared" si="18"/>
        <v>6791.2436711181272</v>
      </c>
      <c r="F64" s="81">
        <f>SUM(E$2:E64)</f>
        <v>399995.69492156466</v>
      </c>
      <c r="G64" s="43">
        <f t="shared" si="11"/>
        <v>1</v>
      </c>
      <c r="H64" s="78">
        <v>1</v>
      </c>
      <c r="I64" s="15">
        <f t="shared" si="19"/>
        <v>0.6</v>
      </c>
      <c r="J64" s="16">
        <f>VLOOKUP(G64,Inputs!$L$3:$P$15,5,FALSE)</f>
        <v>2000</v>
      </c>
      <c r="K64" s="16">
        <f t="shared" si="20"/>
        <v>1825</v>
      </c>
      <c r="L64" s="79">
        <f>Inputs!$P$8-B64</f>
        <v>285.54039999999998</v>
      </c>
      <c r="M64" s="79">
        <f>Inputs!$Q$8+L64*0.433</f>
        <v>1948.6389932</v>
      </c>
      <c r="N64" s="82">
        <f t="shared" si="21"/>
        <v>101799.92</v>
      </c>
      <c r="O64" s="83">
        <f t="shared" si="22"/>
        <v>652.65060000000005</v>
      </c>
      <c r="P64" s="84">
        <f>IF(O64="","",Inputs!$C$5-O64)</f>
        <v>172.5338999999999</v>
      </c>
      <c r="Q64" s="83">
        <f>IF(N64="","",TS!J64)</f>
        <v>2000</v>
      </c>
      <c r="R64" s="83">
        <f>IF(N64="","",TS!K64)</f>
        <v>1825</v>
      </c>
      <c r="S64" s="83">
        <f>Inputs!$H$5+TS!P64*0.4333</f>
        <v>1949.72465532</v>
      </c>
      <c r="T64" s="83">
        <f>Inputs!$G$5+TS!P64*0.4333</f>
        <v>1964.72465532</v>
      </c>
      <c r="U64" s="85">
        <f t="shared" si="23"/>
        <v>0.98236232765999998</v>
      </c>
      <c r="V64" s="86">
        <f>O64-MAX(O64:O177)</f>
        <v>-7.393799999999942</v>
      </c>
      <c r="W64" s="86">
        <f t="shared" si="27"/>
        <v>3.201515399999975</v>
      </c>
      <c r="X64" s="86" t="e">
        <f>((PI()*((42-2*'Gen Calcs'!$E$13)^2)/4)/144)*(A107-#REF!)*(W64+14.7)/14.7</f>
        <v>#REF!</v>
      </c>
      <c r="Y64" s="86" t="e">
        <f t="shared" si="28"/>
        <v>#REF!</v>
      </c>
      <c r="Z64" s="86" t="e">
        <f t="shared" si="29"/>
        <v>#REF!</v>
      </c>
      <c r="AA64" s="83">
        <f>MAX(B$2:B64)-B64</f>
        <v>172.5338999999999</v>
      </c>
      <c r="AB64" s="83">
        <f t="shared" si="15"/>
        <v>74.707178699999957</v>
      </c>
      <c r="AC64" s="83">
        <f t="shared" si="16"/>
        <v>99.537452901457485</v>
      </c>
      <c r="AD64" s="72">
        <f t="shared" si="17"/>
        <v>99.537452901457485</v>
      </c>
      <c r="AE64" s="73">
        <f t="shared" si="24"/>
        <v>907.92027688745009</v>
      </c>
      <c r="AF64" s="73">
        <f>SUM(AE$2:AE64)</f>
        <v>53504.927000370648</v>
      </c>
      <c r="AG64" s="73">
        <f t="shared" si="25"/>
        <v>1120224.9754267386</v>
      </c>
    </row>
    <row r="65" spans="1:33" x14ac:dyDescent="0.25">
      <c r="A65" s="99">
        <v>101899.92</v>
      </c>
      <c r="B65" s="96">
        <v>653.5838</v>
      </c>
      <c r="C65" s="96">
        <v>0.6</v>
      </c>
      <c r="D65" s="80">
        <f t="shared" si="30"/>
        <v>100</v>
      </c>
      <c r="E65" s="81">
        <f t="shared" si="18"/>
        <v>6791.2436711181272</v>
      </c>
      <c r="F65" s="81">
        <f>SUM(E$2:E65)</f>
        <v>406786.93859268277</v>
      </c>
      <c r="G65" s="43">
        <f t="shared" si="11"/>
        <v>1</v>
      </c>
      <c r="H65" s="78">
        <v>1</v>
      </c>
      <c r="I65" s="15">
        <f t="shared" si="19"/>
        <v>0.6</v>
      </c>
      <c r="J65" s="16">
        <f>VLOOKUP(G65,Inputs!$L$3:$P$15,5,FALSE)</f>
        <v>2000</v>
      </c>
      <c r="K65" s="16">
        <f t="shared" si="20"/>
        <v>1825</v>
      </c>
      <c r="L65" s="79">
        <f>Inputs!$P$8-B65</f>
        <v>284.60720000000003</v>
      </c>
      <c r="M65" s="79">
        <f>Inputs!$Q$8+L65*0.433</f>
        <v>1948.2349176</v>
      </c>
      <c r="N65" s="82">
        <f t="shared" si="21"/>
        <v>101899.92</v>
      </c>
      <c r="O65" s="83">
        <f t="shared" si="22"/>
        <v>653.5838</v>
      </c>
      <c r="P65" s="84">
        <f>IF(O65="","",Inputs!$C$5-O65)</f>
        <v>171.60069999999996</v>
      </c>
      <c r="Q65" s="83">
        <f>IF(N65="","",TS!J65)</f>
        <v>2000</v>
      </c>
      <c r="R65" s="83">
        <f>IF(N65="","",TS!K65)</f>
        <v>1825</v>
      </c>
      <c r="S65" s="83">
        <f>Inputs!$H$5+TS!P65*0.4333</f>
        <v>1949.3202997599999</v>
      </c>
      <c r="T65" s="83">
        <f>Inputs!$G$5+TS!P65*0.4333</f>
        <v>1964.3202997599999</v>
      </c>
      <c r="U65" s="85">
        <f t="shared" si="23"/>
        <v>0.98216014988</v>
      </c>
      <c r="V65" s="86">
        <f>O65-MAX(O65:O177)</f>
        <v>-6.4605999999999995</v>
      </c>
      <c r="W65" s="86">
        <f t="shared" si="27"/>
        <v>2.7974397999999998</v>
      </c>
      <c r="X65" s="86" t="e">
        <f>((PI()*((42-2*'Gen Calcs'!$E$13)^2)/4)/144)*(A108-#REF!)*(W65+14.7)/14.7</f>
        <v>#REF!</v>
      </c>
      <c r="Y65" s="86" t="e">
        <f t="shared" si="28"/>
        <v>#REF!</v>
      </c>
      <c r="Z65" s="86" t="e">
        <f t="shared" si="29"/>
        <v>#REF!</v>
      </c>
      <c r="AA65" s="83">
        <f>MAX(B$2:B65)-B65</f>
        <v>171.60069999999996</v>
      </c>
      <c r="AB65" s="83">
        <f t="shared" si="15"/>
        <v>74.303103099999987</v>
      </c>
      <c r="AC65" s="83">
        <f t="shared" si="16"/>
        <v>99.61819148341975</v>
      </c>
      <c r="AD65" s="72">
        <f t="shared" si="17"/>
        <v>99.61819148341975</v>
      </c>
      <c r="AE65" s="73">
        <f t="shared" si="24"/>
        <v>907.92027688745009</v>
      </c>
      <c r="AF65" s="73">
        <f>SUM(AE$2:AE65)</f>
        <v>54412.847277258101</v>
      </c>
      <c r="AG65" s="73">
        <f t="shared" si="25"/>
        <v>1119317.0551498511</v>
      </c>
    </row>
    <row r="66" spans="1:33" x14ac:dyDescent="0.25">
      <c r="A66" s="100">
        <v>101918.7</v>
      </c>
      <c r="B66" s="97">
        <v>653.5838</v>
      </c>
      <c r="C66" s="97">
        <v>0.86399999999999999</v>
      </c>
      <c r="D66" s="80">
        <f t="shared" si="30"/>
        <v>18.779999999998836</v>
      </c>
      <c r="E66" s="81">
        <f t="shared" si="18"/>
        <v>1275.3955614359052</v>
      </c>
      <c r="F66" s="81">
        <f>SUM(E$2:E66)</f>
        <v>408062.33415411867</v>
      </c>
      <c r="G66" s="43">
        <f t="shared" si="11"/>
        <v>2</v>
      </c>
      <c r="H66" s="78">
        <v>1</v>
      </c>
      <c r="I66" s="15">
        <f t="shared" si="19"/>
        <v>0.86399999999999999</v>
      </c>
      <c r="J66" s="16">
        <f>VLOOKUP(G66,Inputs!$L$3:$P$15,5,FALSE)</f>
        <v>2880</v>
      </c>
      <c r="K66" s="16">
        <f t="shared" si="20"/>
        <v>1825</v>
      </c>
      <c r="L66" s="79">
        <f>Inputs!$P$8-B66</f>
        <v>284.60720000000003</v>
      </c>
      <c r="M66" s="79">
        <f>Inputs!$Q$8+L66*0.433</f>
        <v>1948.2349176</v>
      </c>
      <c r="N66" s="82">
        <f t="shared" si="21"/>
        <v>101918.7</v>
      </c>
      <c r="O66" s="83">
        <f t="shared" si="22"/>
        <v>653.5838</v>
      </c>
      <c r="P66" s="84">
        <f>IF(O66="","",Inputs!$C$5-O66)</f>
        <v>171.60069999999996</v>
      </c>
      <c r="Q66" s="83">
        <f>IF(N66="","",TS!J66)</f>
        <v>2880</v>
      </c>
      <c r="R66" s="83">
        <f>IF(N66="","",TS!K66)</f>
        <v>1825</v>
      </c>
      <c r="S66" s="83">
        <f>Inputs!$H$5+TS!P66*0.4333</f>
        <v>1949.3202997599999</v>
      </c>
      <c r="T66" s="83">
        <f>Inputs!$G$5+TS!P66*0.4333</f>
        <v>1964.3202997599999</v>
      </c>
      <c r="U66" s="85">
        <f t="shared" si="23"/>
        <v>0.68205565963888881</v>
      </c>
      <c r="V66" s="86">
        <f>O66-MAX(O66:O177)</f>
        <v>-6.4605999999999995</v>
      </c>
      <c r="W66" s="86">
        <f t="shared" si="27"/>
        <v>2.7974397999999998</v>
      </c>
      <c r="X66" s="86" t="e">
        <f>((PI()*((42-2*'Gen Calcs'!$E$13)^2)/4)/144)*(A109-#REF!)*(W66+14.7)/14.7</f>
        <v>#REF!</v>
      </c>
      <c r="Y66" s="86" t="e">
        <f t="shared" si="28"/>
        <v>#REF!</v>
      </c>
      <c r="Z66" s="86" t="e">
        <f t="shared" si="29"/>
        <v>#REF!</v>
      </c>
      <c r="AA66" s="83">
        <f>MAX(B$2:B66)-B66</f>
        <v>171.60069999999996</v>
      </c>
      <c r="AB66" s="83">
        <f t="shared" si="15"/>
        <v>74.303103099999987</v>
      </c>
      <c r="AC66" s="83">
        <f t="shared" si="16"/>
        <v>99.632978459346958</v>
      </c>
      <c r="AD66" s="72">
        <f t="shared" si="17"/>
        <v>99.632978459346958</v>
      </c>
      <c r="AE66" s="73">
        <f t="shared" si="24"/>
        <v>166.12285013813516</v>
      </c>
      <c r="AF66" s="73">
        <f>SUM(AE$2:AE66)</f>
        <v>54578.970127396235</v>
      </c>
      <c r="AG66" s="73">
        <f t="shared" si="25"/>
        <v>1119150.9322997129</v>
      </c>
    </row>
    <row r="67" spans="1:33" x14ac:dyDescent="0.25">
      <c r="A67" s="99">
        <v>101999.92</v>
      </c>
      <c r="B67" s="96">
        <v>653.86239999999998</v>
      </c>
      <c r="C67" s="96">
        <v>0.6</v>
      </c>
      <c r="D67" s="80">
        <f t="shared" si="30"/>
        <v>81.220000000001164</v>
      </c>
      <c r="E67" s="81">
        <f t="shared" si="18"/>
        <v>5515.8481096822215</v>
      </c>
      <c r="F67" s="81">
        <f>SUM(E$2:E67)</f>
        <v>413578.18226380087</v>
      </c>
      <c r="G67" s="43">
        <f t="shared" ref="G67:G130" si="31">IF(C67=0.72,12,IF(C67=1,11,IF(C67=0.825,10,IF(C67=0.6,1,IF(C67=0.864,2,IF(C67=0.888,3))))))</f>
        <v>1</v>
      </c>
      <c r="H67" s="78">
        <v>1</v>
      </c>
      <c r="I67" s="15">
        <f t="shared" si="19"/>
        <v>0.6</v>
      </c>
      <c r="J67" s="16">
        <f>VLOOKUP(G67,Inputs!$L$3:$P$15,5,FALSE)</f>
        <v>2000</v>
      </c>
      <c r="K67" s="16">
        <f t="shared" si="20"/>
        <v>1825</v>
      </c>
      <c r="L67" s="79">
        <f>Inputs!$P$8-B67</f>
        <v>284.32860000000005</v>
      </c>
      <c r="M67" s="79">
        <f>Inputs!$Q$8+L67*0.433</f>
        <v>1948.1142838000001</v>
      </c>
      <c r="N67" s="82">
        <f t="shared" si="21"/>
        <v>101999.92</v>
      </c>
      <c r="O67" s="83">
        <f t="shared" si="22"/>
        <v>653.86239999999998</v>
      </c>
      <c r="P67" s="84">
        <f>IF(O67="","",Inputs!$C$5-O67)</f>
        <v>171.32209999999998</v>
      </c>
      <c r="Q67" s="83">
        <f>IF(N67="","",TS!J67)</f>
        <v>2000</v>
      </c>
      <c r="R67" s="83">
        <f>IF(N67="","",TS!K67)</f>
        <v>1825</v>
      </c>
      <c r="S67" s="83">
        <f>Inputs!$H$5+TS!P67*0.4333</f>
        <v>1949.19958238</v>
      </c>
      <c r="T67" s="83">
        <f>Inputs!$G$5+TS!P67*0.4333</f>
        <v>1964.19958238</v>
      </c>
      <c r="U67" s="85">
        <f t="shared" si="23"/>
        <v>0.98209979119000002</v>
      </c>
      <c r="V67" s="86">
        <f>O67-MAX(O67:O177)</f>
        <v>-6.1820000000000164</v>
      </c>
      <c r="W67" s="86">
        <f t="shared" ref="W67:W91" si="32">-(V67)*0.433</f>
        <v>2.6768060000000071</v>
      </c>
      <c r="X67" s="86" t="e">
        <f>((PI()*((42-2*'Gen Calcs'!$E$13)^2)/4)/144)*(A110-#REF!)*(W67+14.7)/14.7</f>
        <v>#REF!</v>
      </c>
      <c r="Y67" s="86" t="e">
        <f t="shared" ref="Y67:Y91" si="33">X67/1000</f>
        <v>#REF!</v>
      </c>
      <c r="Z67" s="86" t="e">
        <f t="shared" si="29"/>
        <v>#REF!</v>
      </c>
      <c r="AA67" s="83">
        <f>MAX(B$2:B67)-B67</f>
        <v>171.32209999999998</v>
      </c>
      <c r="AB67" s="83">
        <f t="shared" ref="AB67:AB130" si="34">AA67*0.433</f>
        <v>74.182469299999994</v>
      </c>
      <c r="AC67" s="83">
        <f t="shared" ref="AC67:AC130" si="35">((MAX(O$2:O$1348)-O67)-(MAX(O$2:O$1348)-O67))*0.433+AD67</f>
        <v>99.698670296231214</v>
      </c>
      <c r="AD67" s="72">
        <f t="shared" si="17"/>
        <v>99.698670296231214</v>
      </c>
      <c r="AE67" s="73">
        <f t="shared" si="24"/>
        <v>737.41284888799748</v>
      </c>
      <c r="AF67" s="73">
        <f>SUM(AE$2:AE67)</f>
        <v>55316.382976284229</v>
      </c>
      <c r="AG67" s="73">
        <f t="shared" si="25"/>
        <v>1118413.5194508249</v>
      </c>
    </row>
    <row r="68" spans="1:33" x14ac:dyDescent="0.25">
      <c r="A68" s="100">
        <v>102099.92</v>
      </c>
      <c r="B68" s="97">
        <v>653.92240000000004</v>
      </c>
      <c r="C68" s="97">
        <v>0.6</v>
      </c>
      <c r="D68" s="80">
        <f t="shared" si="30"/>
        <v>100</v>
      </c>
      <c r="E68" s="81">
        <f t="shared" si="18"/>
        <v>6791.2436711181272</v>
      </c>
      <c r="F68" s="81">
        <f>SUM(E$2:E68)</f>
        <v>420369.42593491898</v>
      </c>
      <c r="G68" s="43">
        <f t="shared" si="31"/>
        <v>1</v>
      </c>
      <c r="H68" s="78">
        <v>1</v>
      </c>
      <c r="I68" s="15">
        <f t="shared" si="19"/>
        <v>0.6</v>
      </c>
      <c r="J68" s="16">
        <f>VLOOKUP(G68,Inputs!$L$3:$P$15,5,FALSE)</f>
        <v>2000</v>
      </c>
      <c r="K68" s="16">
        <f t="shared" si="20"/>
        <v>1825</v>
      </c>
      <c r="L68" s="79">
        <f>Inputs!$P$8-B68</f>
        <v>284.26859999999999</v>
      </c>
      <c r="M68" s="79">
        <f>Inputs!$Q$8+L68*0.433</f>
        <v>1948.0883037999999</v>
      </c>
      <c r="N68" s="82">
        <f t="shared" si="21"/>
        <v>102099.92</v>
      </c>
      <c r="O68" s="83">
        <f t="shared" si="22"/>
        <v>653.92240000000004</v>
      </c>
      <c r="P68" s="84">
        <f>IF(O68="","",Inputs!$C$5-O68)</f>
        <v>171.26209999999992</v>
      </c>
      <c r="Q68" s="83">
        <f>IF(N68="","",TS!J68)</f>
        <v>2000</v>
      </c>
      <c r="R68" s="83">
        <f>IF(N68="","",TS!K68)</f>
        <v>1825</v>
      </c>
      <c r="S68" s="83">
        <f>Inputs!$H$5+TS!P68*0.4333</f>
        <v>1949.17358438</v>
      </c>
      <c r="T68" s="83">
        <f>Inputs!$G$5+TS!P68*0.4333</f>
        <v>1964.17358438</v>
      </c>
      <c r="U68" s="85">
        <f t="shared" si="23"/>
        <v>0.98208679218999995</v>
      </c>
      <c r="V68" s="86">
        <f>O68-MAX(O68:O177)</f>
        <v>-6.1219999999999573</v>
      </c>
      <c r="W68" s="86">
        <f t="shared" si="32"/>
        <v>2.6508259999999813</v>
      </c>
      <c r="X68" s="86" t="e">
        <f>((PI()*((42-2*'Gen Calcs'!$E$13)^2)/4)/144)*(A111-#REF!)*(W68+14.7)/14.7</f>
        <v>#REF!</v>
      </c>
      <c r="Y68" s="86" t="e">
        <f t="shared" si="33"/>
        <v>#REF!</v>
      </c>
      <c r="Z68" s="86" t="e">
        <f t="shared" si="29"/>
        <v>#REF!</v>
      </c>
      <c r="AA68" s="83">
        <f>MAX(B$2:B68)-B68</f>
        <v>171.26209999999992</v>
      </c>
      <c r="AB68" s="83">
        <f t="shared" si="34"/>
        <v>74.156489299999961</v>
      </c>
      <c r="AC68" s="83">
        <f t="shared" si="35"/>
        <v>99.779670735430429</v>
      </c>
      <c r="AD68" s="72">
        <f t="shared" ref="AD68:AD131" si="36">(AD$2*AF$1391)/AG68</f>
        <v>99.779670735430429</v>
      </c>
      <c r="AE68" s="73">
        <f t="shared" si="24"/>
        <v>907.92027688745009</v>
      </c>
      <c r="AF68" s="73">
        <f>SUM(AE$2:AE68)</f>
        <v>56224.303253171682</v>
      </c>
      <c r="AG68" s="73">
        <f t="shared" si="25"/>
        <v>1117505.5991739375</v>
      </c>
    </row>
    <row r="69" spans="1:33" x14ac:dyDescent="0.25">
      <c r="A69" s="99">
        <v>102199.92</v>
      </c>
      <c r="B69" s="96">
        <v>653.88509999999997</v>
      </c>
      <c r="C69" s="96">
        <v>0.6</v>
      </c>
      <c r="D69" s="80">
        <f t="shared" si="30"/>
        <v>100</v>
      </c>
      <c r="E69" s="81">
        <f t="shared" ref="E69:E132" si="37">(PI()/4*(42/12-(2*C111/12))^2)*(D69)*7.48</f>
        <v>6791.2436711181272</v>
      </c>
      <c r="F69" s="81">
        <f>SUM(E$2:E69)</f>
        <v>427160.66960603709</v>
      </c>
      <c r="G69" s="43">
        <f t="shared" si="31"/>
        <v>1</v>
      </c>
      <c r="H69" s="78">
        <v>1</v>
      </c>
      <c r="I69" s="15">
        <f t="shared" ref="I69:I132" si="38">C69</f>
        <v>0.6</v>
      </c>
      <c r="J69" s="16">
        <f>VLOOKUP(G69,Inputs!$L$3:$P$15,5,FALSE)</f>
        <v>2000</v>
      </c>
      <c r="K69" s="16">
        <f t="shared" ref="K69:K132" si="39">IF(H69=1,1825,IF(H69=2,1825,2220))</f>
        <v>1825</v>
      </c>
      <c r="L69" s="79">
        <f>Inputs!$P$8-B69</f>
        <v>284.30590000000007</v>
      </c>
      <c r="M69" s="79">
        <f>Inputs!$Q$8+L69*0.433</f>
        <v>1948.1044547000001</v>
      </c>
      <c r="N69" s="82">
        <f t="shared" ref="N69:N132" si="40">A69</f>
        <v>102199.92</v>
      </c>
      <c r="O69" s="83">
        <f t="shared" ref="O69:O132" si="41">B69</f>
        <v>653.88509999999997</v>
      </c>
      <c r="P69" s="84">
        <f>IF(O69="","",Inputs!$C$5-O69)</f>
        <v>171.29939999999999</v>
      </c>
      <c r="Q69" s="83">
        <f>IF(N69="","",TS!J69)</f>
        <v>2000</v>
      </c>
      <c r="R69" s="83">
        <f>IF(N69="","",TS!K69)</f>
        <v>1825</v>
      </c>
      <c r="S69" s="83">
        <f>Inputs!$H$5+TS!P69*0.4333</f>
        <v>1949.18974647</v>
      </c>
      <c r="T69" s="83">
        <f>Inputs!$G$5+TS!P69*0.4333</f>
        <v>1964.18974647</v>
      </c>
      <c r="U69" s="85">
        <f t="shared" ref="U69:U132" si="42">T69/(140000*C69/42)</f>
        <v>0.982094873235</v>
      </c>
      <c r="V69" s="86">
        <f>O69-MAX(O69:O177)</f>
        <v>-6.1593000000000302</v>
      </c>
      <c r="W69" s="86">
        <f t="shared" si="32"/>
        <v>2.6669769000000132</v>
      </c>
      <c r="X69" s="86" t="e">
        <f>((PI()*((42-2*'Gen Calcs'!$E$13)^2)/4)/144)*(A112-#REF!)*(W69+14.7)/14.7</f>
        <v>#REF!</v>
      </c>
      <c r="Y69" s="86" t="e">
        <f t="shared" si="33"/>
        <v>#REF!</v>
      </c>
      <c r="Z69" s="86" t="e">
        <f t="shared" si="29"/>
        <v>#REF!</v>
      </c>
      <c r="AA69" s="83">
        <f>MAX(B$2:B69)-B69</f>
        <v>171.29939999999999</v>
      </c>
      <c r="AB69" s="83">
        <f t="shared" si="34"/>
        <v>74.172640199999989</v>
      </c>
      <c r="AC69" s="83">
        <f t="shared" si="35"/>
        <v>99.860802899677211</v>
      </c>
      <c r="AD69" s="72">
        <f t="shared" si="36"/>
        <v>99.860802899677211</v>
      </c>
      <c r="AE69" s="73">
        <f t="shared" ref="AE69:AE132" si="43">PI()*(((42-2*C69)/12)^2/4)*D69</f>
        <v>907.92027688745009</v>
      </c>
      <c r="AF69" s="73">
        <f>SUM(AE$2:AE69)</f>
        <v>57132.223530059135</v>
      </c>
      <c r="AG69" s="73">
        <f t="shared" ref="AG69:AG132" si="44">AF$1391-AF69</f>
        <v>1116597.67889705</v>
      </c>
    </row>
    <row r="70" spans="1:33" x14ac:dyDescent="0.25">
      <c r="A70" s="100">
        <v>102299.92</v>
      </c>
      <c r="B70" s="97">
        <v>654.69820000000004</v>
      </c>
      <c r="C70" s="97">
        <v>0.6</v>
      </c>
      <c r="D70" s="80">
        <f t="shared" si="30"/>
        <v>100</v>
      </c>
      <c r="E70" s="81">
        <f t="shared" si="37"/>
        <v>6791.2436711181272</v>
      </c>
      <c r="F70" s="81">
        <f>SUM(E$2:E70)</f>
        <v>433951.9132771552</v>
      </c>
      <c r="G70" s="43">
        <f t="shared" si="31"/>
        <v>1</v>
      </c>
      <c r="H70" s="78">
        <v>1</v>
      </c>
      <c r="I70" s="15">
        <f t="shared" si="38"/>
        <v>0.6</v>
      </c>
      <c r="J70" s="16">
        <f>VLOOKUP(G70,Inputs!$L$3:$P$15,5,FALSE)</f>
        <v>2000</v>
      </c>
      <c r="K70" s="16">
        <f t="shared" si="39"/>
        <v>1825</v>
      </c>
      <c r="L70" s="79">
        <f>Inputs!$P$8-B70</f>
        <v>283.49279999999999</v>
      </c>
      <c r="M70" s="79">
        <f>Inputs!$Q$8+L70*0.433</f>
        <v>1947.7523824</v>
      </c>
      <c r="N70" s="82">
        <f t="shared" si="40"/>
        <v>102299.92</v>
      </c>
      <c r="O70" s="83">
        <f t="shared" si="41"/>
        <v>654.69820000000004</v>
      </c>
      <c r="P70" s="84">
        <f>IF(O70="","",Inputs!$C$5-O70)</f>
        <v>170.48629999999991</v>
      </c>
      <c r="Q70" s="83">
        <f>IF(N70="","",TS!J70)</f>
        <v>2000</v>
      </c>
      <c r="R70" s="83">
        <f>IF(N70="","",TS!K70)</f>
        <v>1825</v>
      </c>
      <c r="S70" s="83">
        <f>Inputs!$H$5+TS!P70*0.4333</f>
        <v>1948.83743024</v>
      </c>
      <c r="T70" s="83">
        <f>Inputs!$G$5+TS!P70*0.4333</f>
        <v>1963.83743024</v>
      </c>
      <c r="U70" s="85">
        <f t="shared" si="42"/>
        <v>0.98191871511999995</v>
      </c>
      <c r="V70" s="86">
        <f>O70-MAX(O70:O177)</f>
        <v>-5.3461999999999534</v>
      </c>
      <c r="W70" s="86">
        <f t="shared" si="32"/>
        <v>2.3149045999999798</v>
      </c>
      <c r="X70" s="86" t="e">
        <f>((PI()*((42-2*'Gen Calcs'!$E$13)^2)/4)/144)*(A113-#REF!)*(W70+14.7)/14.7</f>
        <v>#REF!</v>
      </c>
      <c r="Y70" s="86" t="e">
        <f t="shared" si="33"/>
        <v>#REF!</v>
      </c>
      <c r="Z70" s="86" t="e">
        <f t="shared" si="29"/>
        <v>#REF!</v>
      </c>
      <c r="AA70" s="83">
        <f>MAX(B$2:B70)-B70</f>
        <v>170.48629999999991</v>
      </c>
      <c r="AB70" s="83">
        <f t="shared" si="34"/>
        <v>73.820567899999958</v>
      </c>
      <c r="AC70" s="83">
        <f t="shared" si="35"/>
        <v>99.942067110555158</v>
      </c>
      <c r="AD70" s="72">
        <f t="shared" si="36"/>
        <v>99.942067110555158</v>
      </c>
      <c r="AE70" s="73">
        <f t="shared" si="43"/>
        <v>907.92027688745009</v>
      </c>
      <c r="AF70" s="73">
        <f>SUM(AE$2:AE70)</f>
        <v>58040.143806946588</v>
      </c>
      <c r="AG70" s="73">
        <f t="shared" si="44"/>
        <v>1115689.7586201625</v>
      </c>
    </row>
    <row r="71" spans="1:33" x14ac:dyDescent="0.25">
      <c r="A71" s="99">
        <v>102399.92</v>
      </c>
      <c r="B71" s="96">
        <v>655.52179999999998</v>
      </c>
      <c r="C71" s="96">
        <v>0.6</v>
      </c>
      <c r="D71" s="80">
        <f t="shared" si="30"/>
        <v>100</v>
      </c>
      <c r="E71" s="81">
        <f t="shared" si="37"/>
        <v>6791.2436711181272</v>
      </c>
      <c r="F71" s="81">
        <f>SUM(E$2:E71)</f>
        <v>440743.1569482733</v>
      </c>
      <c r="G71" s="43">
        <f t="shared" si="31"/>
        <v>1</v>
      </c>
      <c r="H71" s="78">
        <v>1</v>
      </c>
      <c r="I71" s="15">
        <f t="shared" si="38"/>
        <v>0.6</v>
      </c>
      <c r="J71" s="16">
        <f>VLOOKUP(G71,Inputs!$L$3:$P$15,5,FALSE)</f>
        <v>2000</v>
      </c>
      <c r="K71" s="16">
        <f t="shared" si="39"/>
        <v>1825</v>
      </c>
      <c r="L71" s="79">
        <f>Inputs!$P$8-B71</f>
        <v>282.66920000000005</v>
      </c>
      <c r="M71" s="79">
        <f>Inputs!$Q$8+L71*0.433</f>
        <v>1947.3957636</v>
      </c>
      <c r="N71" s="82">
        <f t="shared" si="40"/>
        <v>102399.92</v>
      </c>
      <c r="O71" s="83">
        <f t="shared" si="41"/>
        <v>655.52179999999998</v>
      </c>
      <c r="P71" s="84">
        <f>IF(O71="","",Inputs!$C$5-O71)</f>
        <v>169.66269999999997</v>
      </c>
      <c r="Q71" s="83">
        <f>IF(N71="","",TS!J71)</f>
        <v>2000</v>
      </c>
      <c r="R71" s="83">
        <f>IF(N71="","",TS!K71)</f>
        <v>1825</v>
      </c>
      <c r="S71" s="83">
        <f>Inputs!$H$5+TS!P71*0.4333</f>
        <v>1948.48056436</v>
      </c>
      <c r="T71" s="83">
        <f>Inputs!$G$5+TS!P71*0.4333</f>
        <v>1963.48056436</v>
      </c>
      <c r="U71" s="85">
        <f t="shared" si="42"/>
        <v>0.98174028217999998</v>
      </c>
      <c r="V71" s="86">
        <f>O71-MAX(O71:O177)</f>
        <v>-4.5226000000000113</v>
      </c>
      <c r="W71" s="86">
        <f t="shared" si="32"/>
        <v>1.958285800000005</v>
      </c>
      <c r="X71" s="86" t="e">
        <f>((PI()*((42-2*'Gen Calcs'!$E$13)^2)/4)/144)*(A114-#REF!)*(W71+14.7)/14.7</f>
        <v>#REF!</v>
      </c>
      <c r="Y71" s="86" t="e">
        <f t="shared" si="33"/>
        <v>#REF!</v>
      </c>
      <c r="Z71" s="86" t="e">
        <f t="shared" si="29"/>
        <v>#REF!</v>
      </c>
      <c r="AA71" s="83">
        <f>MAX(B$2:B71)-B71</f>
        <v>169.66269999999997</v>
      </c>
      <c r="AB71" s="83">
        <f t="shared" si="34"/>
        <v>73.463949099999994</v>
      </c>
      <c r="AC71" s="83">
        <f t="shared" si="35"/>
        <v>100.02346369069549</v>
      </c>
      <c r="AD71" s="72">
        <f t="shared" si="36"/>
        <v>100.02346369069549</v>
      </c>
      <c r="AE71" s="73">
        <f t="shared" si="43"/>
        <v>907.92027688745009</v>
      </c>
      <c r="AF71" s="73">
        <f>SUM(AE$2:AE71)</f>
        <v>58948.064083834041</v>
      </c>
      <c r="AG71" s="73">
        <f t="shared" si="44"/>
        <v>1114781.8383432752</v>
      </c>
    </row>
    <row r="72" spans="1:33" x14ac:dyDescent="0.25">
      <c r="A72" s="100">
        <v>102499.92</v>
      </c>
      <c r="B72" s="97">
        <v>656.35440000000006</v>
      </c>
      <c r="C72" s="97">
        <v>0.6</v>
      </c>
      <c r="D72" s="80">
        <f t="shared" si="30"/>
        <v>100</v>
      </c>
      <c r="E72" s="81">
        <f t="shared" si="37"/>
        <v>6791.2436711181272</v>
      </c>
      <c r="F72" s="81">
        <f>SUM(E$2:E72)</f>
        <v>447534.40061939141</v>
      </c>
      <c r="G72" s="43">
        <f t="shared" si="31"/>
        <v>1</v>
      </c>
      <c r="H72" s="78">
        <v>1</v>
      </c>
      <c r="I72" s="15">
        <f t="shared" si="38"/>
        <v>0.6</v>
      </c>
      <c r="J72" s="16">
        <f>VLOOKUP(G72,Inputs!$L$3:$P$15,5,FALSE)</f>
        <v>2000</v>
      </c>
      <c r="K72" s="16">
        <f t="shared" si="39"/>
        <v>1825</v>
      </c>
      <c r="L72" s="79">
        <f>Inputs!$P$8-B72</f>
        <v>281.83659999999998</v>
      </c>
      <c r="M72" s="79">
        <f>Inputs!$Q$8+L72*0.433</f>
        <v>1947.0352478</v>
      </c>
      <c r="N72" s="82">
        <f t="shared" si="40"/>
        <v>102499.92</v>
      </c>
      <c r="O72" s="83">
        <f t="shared" si="41"/>
        <v>656.35440000000006</v>
      </c>
      <c r="P72" s="84">
        <f>IF(O72="","",Inputs!$C$5-O72)</f>
        <v>168.8300999999999</v>
      </c>
      <c r="Q72" s="83">
        <f>IF(N72="","",TS!J72)</f>
        <v>2000</v>
      </c>
      <c r="R72" s="83">
        <f>IF(N72="","",TS!K72)</f>
        <v>1825</v>
      </c>
      <c r="S72" s="83">
        <f>Inputs!$H$5+TS!P72*0.4333</f>
        <v>1948.1197987799999</v>
      </c>
      <c r="T72" s="83">
        <f>Inputs!$G$5+TS!P72*0.4333</f>
        <v>1963.1197987799999</v>
      </c>
      <c r="U72" s="85">
        <f t="shared" si="42"/>
        <v>0.98155989938999999</v>
      </c>
      <c r="V72" s="83">
        <f>O72-MAX(O72:O177)</f>
        <v>-3.6899999999999409</v>
      </c>
      <c r="W72" s="83">
        <f t="shared" si="32"/>
        <v>1.5977699999999744</v>
      </c>
      <c r="X72" s="83" t="e">
        <f>((PI()*((42-2*'Gen Calcs'!$E$13)^2)/4)/144)*(A115-#REF!)*(W72+14.7)/14.7</f>
        <v>#REF!</v>
      </c>
      <c r="Y72" s="83" t="e">
        <f t="shared" si="33"/>
        <v>#REF!</v>
      </c>
      <c r="Z72" s="83" t="e">
        <f t="shared" ref="Z72:Z91" si="45">IF(Y72&gt;Z71,Y72,Z71)</f>
        <v>#REF!</v>
      </c>
      <c r="AA72" s="83">
        <f>MAX(B$2:B72)-B72</f>
        <v>168.8300999999999</v>
      </c>
      <c r="AB72" s="83">
        <f t="shared" si="34"/>
        <v>73.103433299999963</v>
      </c>
      <c r="AC72" s="83">
        <f t="shared" si="35"/>
        <v>100.1049929637814</v>
      </c>
      <c r="AD72" s="72">
        <f t="shared" si="36"/>
        <v>100.1049929637814</v>
      </c>
      <c r="AE72" s="73">
        <f t="shared" si="43"/>
        <v>907.92027688745009</v>
      </c>
      <c r="AF72" s="73">
        <f>SUM(AE$2:AE72)</f>
        <v>59855.984360721493</v>
      </c>
      <c r="AG72" s="73">
        <f t="shared" si="44"/>
        <v>1113873.9180663878</v>
      </c>
    </row>
    <row r="73" spans="1:33" x14ac:dyDescent="0.25">
      <c r="A73" s="99">
        <v>102599.92</v>
      </c>
      <c r="B73" s="96">
        <v>656.60299999999995</v>
      </c>
      <c r="C73" s="96">
        <v>0.6</v>
      </c>
      <c r="D73" s="80">
        <f t="shared" si="30"/>
        <v>100</v>
      </c>
      <c r="E73" s="81">
        <f t="shared" si="37"/>
        <v>6791.2436711181272</v>
      </c>
      <c r="F73" s="81">
        <f>SUM(E$2:E73)</f>
        <v>454325.64429050952</v>
      </c>
      <c r="G73" s="43">
        <f t="shared" si="31"/>
        <v>1</v>
      </c>
      <c r="H73" s="78">
        <v>1</v>
      </c>
      <c r="I73" s="15">
        <f t="shared" si="38"/>
        <v>0.6</v>
      </c>
      <c r="J73" s="16">
        <f>VLOOKUP(G73,Inputs!$L$3:$P$15,5,FALSE)</f>
        <v>2000</v>
      </c>
      <c r="K73" s="16">
        <f t="shared" si="39"/>
        <v>1825</v>
      </c>
      <c r="L73" s="79">
        <f>Inputs!$P$8-B73</f>
        <v>281.58800000000008</v>
      </c>
      <c r="M73" s="79">
        <f>Inputs!$Q$8+L73*0.433</f>
        <v>1946.927604</v>
      </c>
      <c r="N73" s="82">
        <f t="shared" si="40"/>
        <v>102599.92</v>
      </c>
      <c r="O73" s="83">
        <f t="shared" si="41"/>
        <v>656.60299999999995</v>
      </c>
      <c r="P73" s="84">
        <f>IF(O73="","",Inputs!$C$5-O73)</f>
        <v>168.58150000000001</v>
      </c>
      <c r="Q73" s="83">
        <f>IF(N73="","",TS!J73)</f>
        <v>2000</v>
      </c>
      <c r="R73" s="83">
        <f>IF(N73="","",TS!K73)</f>
        <v>1825</v>
      </c>
      <c r="S73" s="83">
        <f>Inputs!$H$5+TS!P73*0.4333</f>
        <v>1948.0120803999998</v>
      </c>
      <c r="T73" s="83">
        <f>Inputs!$G$5+TS!P73*0.4333</f>
        <v>1963.0120803999998</v>
      </c>
      <c r="U73" s="85">
        <f t="shared" si="42"/>
        <v>0.98150604019999987</v>
      </c>
      <c r="V73" s="86">
        <f>O73-MAX(O73:O177)</f>
        <v>-3.4414000000000442</v>
      </c>
      <c r="W73" s="86">
        <f t="shared" si="32"/>
        <v>1.4901262000000191</v>
      </c>
      <c r="X73" s="86" t="e">
        <f>((PI()*((42-2*'Gen Calcs'!$E$13)^2)/4)/144)*(A116-#REF!)*(W73+14.7)/14.7</f>
        <v>#REF!</v>
      </c>
      <c r="Y73" s="86" t="e">
        <f t="shared" si="33"/>
        <v>#REF!</v>
      </c>
      <c r="Z73" s="86" t="e">
        <f t="shared" si="45"/>
        <v>#REF!</v>
      </c>
      <c r="AA73" s="83">
        <f>MAX(B$2:B73)-B73</f>
        <v>168.58150000000001</v>
      </c>
      <c r="AB73" s="83">
        <f t="shared" si="34"/>
        <v>72.995789500000001</v>
      </c>
      <c r="AC73" s="83">
        <f t="shared" si="35"/>
        <v>100.18665525455219</v>
      </c>
      <c r="AD73" s="72">
        <f t="shared" si="36"/>
        <v>100.18665525455219</v>
      </c>
      <c r="AE73" s="73">
        <f t="shared" si="43"/>
        <v>907.92027688745009</v>
      </c>
      <c r="AF73" s="73">
        <f>SUM(AE$2:AE73)</f>
        <v>60763.904637608946</v>
      </c>
      <c r="AG73" s="73">
        <f t="shared" si="44"/>
        <v>1112965.9977895003</v>
      </c>
    </row>
    <row r="74" spans="1:33" x14ac:dyDescent="0.25">
      <c r="A74" s="100">
        <v>102699.92</v>
      </c>
      <c r="B74" s="97">
        <v>656.28959999999995</v>
      </c>
      <c r="C74" s="97">
        <v>0.6</v>
      </c>
      <c r="D74" s="80">
        <f t="shared" si="30"/>
        <v>100</v>
      </c>
      <c r="E74" s="81">
        <f t="shared" si="37"/>
        <v>6791.2436711181272</v>
      </c>
      <c r="F74" s="81">
        <f>SUM(E$2:E74)</f>
        <v>461116.88796162762</v>
      </c>
      <c r="G74" s="43">
        <f t="shared" si="31"/>
        <v>1</v>
      </c>
      <c r="H74" s="78">
        <v>1</v>
      </c>
      <c r="I74" s="15">
        <f t="shared" si="38"/>
        <v>0.6</v>
      </c>
      <c r="J74" s="16">
        <f>VLOOKUP(G74,Inputs!$L$3:$P$15,5,FALSE)</f>
        <v>2000</v>
      </c>
      <c r="K74" s="16">
        <f t="shared" si="39"/>
        <v>1825</v>
      </c>
      <c r="L74" s="79">
        <f>Inputs!$P$8-B74</f>
        <v>281.90140000000008</v>
      </c>
      <c r="M74" s="79">
        <f>Inputs!$Q$8+L74*0.433</f>
        <v>1947.0633061999999</v>
      </c>
      <c r="N74" s="82">
        <f t="shared" si="40"/>
        <v>102699.92</v>
      </c>
      <c r="O74" s="83">
        <f t="shared" si="41"/>
        <v>656.28959999999995</v>
      </c>
      <c r="P74" s="84">
        <f>IF(O74="","",Inputs!$C$5-O74)</f>
        <v>168.89490000000001</v>
      </c>
      <c r="Q74" s="83">
        <f>IF(N74="","",TS!J74)</f>
        <v>2000</v>
      </c>
      <c r="R74" s="83">
        <f>IF(N74="","",TS!K74)</f>
        <v>1825</v>
      </c>
      <c r="S74" s="83">
        <f>Inputs!$H$5+TS!P74*0.4333</f>
        <v>1948.14787662</v>
      </c>
      <c r="T74" s="83">
        <f>Inputs!$G$5+TS!P74*0.4333</f>
        <v>1963.14787662</v>
      </c>
      <c r="U74" s="85">
        <f t="shared" si="42"/>
        <v>0.98157393831000006</v>
      </c>
      <c r="V74" s="86">
        <f>O74-MAX(O74:O177)</f>
        <v>-3.7548000000000457</v>
      </c>
      <c r="W74" s="86">
        <f t="shared" si="32"/>
        <v>1.6258284000000198</v>
      </c>
      <c r="X74" s="86" t="e">
        <f>((PI()*((42-2*'Gen Calcs'!$E$13)^2)/4)/144)*(A117-#REF!)*(W74+14.7)/14.7</f>
        <v>#REF!</v>
      </c>
      <c r="Y74" s="86" t="e">
        <f t="shared" si="33"/>
        <v>#REF!</v>
      </c>
      <c r="Z74" s="86" t="e">
        <f t="shared" si="45"/>
        <v>#REF!</v>
      </c>
      <c r="AA74" s="83">
        <f>MAX(B$2:B74)-B74</f>
        <v>168.89490000000001</v>
      </c>
      <c r="AB74" s="83">
        <f t="shared" si="34"/>
        <v>73.131491699999998</v>
      </c>
      <c r="AC74" s="83">
        <f t="shared" si="35"/>
        <v>100.26845088880773</v>
      </c>
      <c r="AD74" s="72">
        <f t="shared" si="36"/>
        <v>100.26845088880773</v>
      </c>
      <c r="AE74" s="73">
        <f t="shared" si="43"/>
        <v>907.92027688745009</v>
      </c>
      <c r="AF74" s="73">
        <f>SUM(AE$2:AE74)</f>
        <v>61671.824914496399</v>
      </c>
      <c r="AG74" s="73">
        <f t="shared" si="44"/>
        <v>1112058.0775126128</v>
      </c>
    </row>
    <row r="75" spans="1:33" x14ac:dyDescent="0.25">
      <c r="A75" s="99">
        <v>102799.92</v>
      </c>
      <c r="B75" s="96">
        <v>656.14840000000004</v>
      </c>
      <c r="C75" s="96">
        <v>0.6</v>
      </c>
      <c r="D75" s="80">
        <f t="shared" si="30"/>
        <v>100</v>
      </c>
      <c r="E75" s="81">
        <f t="shared" si="37"/>
        <v>6791.2436711181272</v>
      </c>
      <c r="F75" s="81">
        <f>SUM(E$2:E75)</f>
        <v>467908.13163274573</v>
      </c>
      <c r="G75" s="43">
        <f t="shared" si="31"/>
        <v>1</v>
      </c>
      <c r="H75" s="78">
        <v>1</v>
      </c>
      <c r="I75" s="15">
        <f t="shared" si="38"/>
        <v>0.6</v>
      </c>
      <c r="J75" s="16">
        <f>VLOOKUP(G75,Inputs!$L$3:$P$15,5,FALSE)</f>
        <v>2000</v>
      </c>
      <c r="K75" s="16">
        <f t="shared" si="39"/>
        <v>1825</v>
      </c>
      <c r="L75" s="79">
        <f>Inputs!$P$8-B75</f>
        <v>282.04259999999999</v>
      </c>
      <c r="M75" s="79">
        <f>Inputs!$Q$8+L75*0.433</f>
        <v>1947.1244458000001</v>
      </c>
      <c r="N75" s="82">
        <f t="shared" si="40"/>
        <v>102799.92</v>
      </c>
      <c r="O75" s="83">
        <f t="shared" si="41"/>
        <v>656.14840000000004</v>
      </c>
      <c r="P75" s="84">
        <f>IF(O75="","",Inputs!$C$5-O75)</f>
        <v>169.03609999999992</v>
      </c>
      <c r="Q75" s="83">
        <f>IF(N75="","",TS!J75)</f>
        <v>2000</v>
      </c>
      <c r="R75" s="83">
        <f>IF(N75="","",TS!K75)</f>
        <v>1825</v>
      </c>
      <c r="S75" s="83">
        <f>Inputs!$H$5+TS!P75*0.4333</f>
        <v>1948.2090585799999</v>
      </c>
      <c r="T75" s="83">
        <f>Inputs!$G$5+TS!P75*0.4333</f>
        <v>1963.2090585799999</v>
      </c>
      <c r="U75" s="85">
        <f t="shared" si="42"/>
        <v>0.98160452928999997</v>
      </c>
      <c r="V75" s="86">
        <f>O75-MAX(O75:O177)</f>
        <v>-3.8959999999999582</v>
      </c>
      <c r="W75" s="86">
        <f t="shared" si="32"/>
        <v>1.6869679999999818</v>
      </c>
      <c r="X75" s="86" t="e">
        <f>((PI()*((42-2*'Gen Calcs'!$E$13)^2)/4)/144)*(A118-#REF!)*(W75+14.7)/14.7</f>
        <v>#REF!</v>
      </c>
      <c r="Y75" s="86" t="e">
        <f t="shared" si="33"/>
        <v>#REF!</v>
      </c>
      <c r="Z75" s="86" t="e">
        <f t="shared" si="45"/>
        <v>#REF!</v>
      </c>
      <c r="AA75" s="83">
        <f>MAX(B$2:B75)-B75</f>
        <v>169.03609999999992</v>
      </c>
      <c r="AB75" s="83">
        <f t="shared" si="34"/>
        <v>73.19263129999996</v>
      </c>
      <c r="AC75" s="83">
        <f t="shared" si="35"/>
        <v>100.35038019341273</v>
      </c>
      <c r="AD75" s="72">
        <f t="shared" si="36"/>
        <v>100.35038019341273</v>
      </c>
      <c r="AE75" s="73">
        <f t="shared" si="43"/>
        <v>907.92027688745009</v>
      </c>
      <c r="AF75" s="73">
        <f>SUM(AE$2:AE75)</f>
        <v>62579.745191383852</v>
      </c>
      <c r="AG75" s="73">
        <f t="shared" si="44"/>
        <v>1111150.1572357253</v>
      </c>
    </row>
    <row r="76" spans="1:33" x14ac:dyDescent="0.25">
      <c r="A76" s="100">
        <v>102899.92</v>
      </c>
      <c r="B76" s="97">
        <v>656.16840000000002</v>
      </c>
      <c r="C76" s="97">
        <v>0.6</v>
      </c>
      <c r="D76" s="80">
        <f t="shared" si="30"/>
        <v>100</v>
      </c>
      <c r="E76" s="81">
        <f t="shared" si="37"/>
        <v>6791.2436711181272</v>
      </c>
      <c r="F76" s="81">
        <f>SUM(E$2:E76)</f>
        <v>474699.37530386384</v>
      </c>
      <c r="G76" s="43">
        <f t="shared" si="31"/>
        <v>1</v>
      </c>
      <c r="H76" s="78">
        <v>1</v>
      </c>
      <c r="I76" s="15">
        <f t="shared" si="38"/>
        <v>0.6</v>
      </c>
      <c r="J76" s="16">
        <f>VLOOKUP(G76,Inputs!$L$3:$P$15,5,FALSE)</f>
        <v>2000</v>
      </c>
      <c r="K76" s="16">
        <f t="shared" si="39"/>
        <v>1825</v>
      </c>
      <c r="L76" s="79">
        <f>Inputs!$P$8-B76</f>
        <v>282.02260000000001</v>
      </c>
      <c r="M76" s="79">
        <f>Inputs!$Q$8+L76*0.433</f>
        <v>1947.1157857999999</v>
      </c>
      <c r="N76" s="82">
        <f t="shared" si="40"/>
        <v>102899.92</v>
      </c>
      <c r="O76" s="83">
        <f t="shared" si="41"/>
        <v>656.16840000000002</v>
      </c>
      <c r="P76" s="84">
        <f>IF(O76="","",Inputs!$C$5-O76)</f>
        <v>169.01609999999994</v>
      </c>
      <c r="Q76" s="83">
        <f>IF(N76="","",TS!J76)</f>
        <v>2000</v>
      </c>
      <c r="R76" s="83">
        <f>IF(N76="","",TS!K76)</f>
        <v>1825</v>
      </c>
      <c r="S76" s="83">
        <f>Inputs!$H$5+TS!P76*0.4333</f>
        <v>1948.20039258</v>
      </c>
      <c r="T76" s="83">
        <f>Inputs!$G$5+TS!P76*0.4333</f>
        <v>1963.20039258</v>
      </c>
      <c r="U76" s="85">
        <f t="shared" si="42"/>
        <v>0.98160019628999995</v>
      </c>
      <c r="V76" s="86">
        <f>O76-MAX(O76:O177)</f>
        <v>-3.8759999999999764</v>
      </c>
      <c r="W76" s="86">
        <f t="shared" si="32"/>
        <v>1.6783079999999897</v>
      </c>
      <c r="X76" s="86" t="e">
        <f>((PI()*((42-2*'Gen Calcs'!$E$13)^2)/4)/144)*(A119-#REF!)*(W76+14.7)/14.7</f>
        <v>#REF!</v>
      </c>
      <c r="Y76" s="86" t="e">
        <f t="shared" si="33"/>
        <v>#REF!</v>
      </c>
      <c r="Z76" s="86" t="e">
        <f t="shared" si="45"/>
        <v>#REF!</v>
      </c>
      <c r="AA76" s="83">
        <f>MAX(B$2:B76)-B76</f>
        <v>169.01609999999994</v>
      </c>
      <c r="AB76" s="83">
        <f t="shared" si="34"/>
        <v>73.183971299999968</v>
      </c>
      <c r="AC76" s="83">
        <f t="shared" si="35"/>
        <v>100.43244349630106</v>
      </c>
      <c r="AD76" s="72">
        <f t="shared" si="36"/>
        <v>100.43244349630106</v>
      </c>
      <c r="AE76" s="73">
        <f t="shared" si="43"/>
        <v>907.92027688745009</v>
      </c>
      <c r="AF76" s="73">
        <f>SUM(AE$2:AE76)</f>
        <v>63487.665468271305</v>
      </c>
      <c r="AG76" s="73">
        <f t="shared" si="44"/>
        <v>1110242.2369588378</v>
      </c>
    </row>
    <row r="77" spans="1:33" x14ac:dyDescent="0.25">
      <c r="A77" s="99">
        <v>102999.92</v>
      </c>
      <c r="B77" s="96">
        <v>657.12649999999996</v>
      </c>
      <c r="C77" s="96">
        <v>0.6</v>
      </c>
      <c r="D77" s="80">
        <f t="shared" si="30"/>
        <v>100</v>
      </c>
      <c r="E77" s="81">
        <f t="shared" si="37"/>
        <v>6791.2436711181272</v>
      </c>
      <c r="F77" s="81">
        <f>SUM(E$2:E77)</f>
        <v>481490.61897498195</v>
      </c>
      <c r="G77" s="43">
        <f t="shared" si="31"/>
        <v>1</v>
      </c>
      <c r="H77" s="78">
        <v>1</v>
      </c>
      <c r="I77" s="15">
        <f t="shared" si="38"/>
        <v>0.6</v>
      </c>
      <c r="J77" s="16">
        <f>VLOOKUP(G77,Inputs!$L$3:$P$15,5,FALSE)</f>
        <v>2000</v>
      </c>
      <c r="K77" s="16">
        <f t="shared" si="39"/>
        <v>1825</v>
      </c>
      <c r="L77" s="79">
        <f>Inputs!$P$8-B77</f>
        <v>281.06450000000007</v>
      </c>
      <c r="M77" s="79">
        <f>Inputs!$Q$8+L77*0.433</f>
        <v>1946.7009284999999</v>
      </c>
      <c r="N77" s="82">
        <f t="shared" si="40"/>
        <v>102999.92</v>
      </c>
      <c r="O77" s="83">
        <f t="shared" si="41"/>
        <v>657.12649999999996</v>
      </c>
      <c r="P77" s="84">
        <f>IF(O77="","",Inputs!$C$5-O77)</f>
        <v>168.05799999999999</v>
      </c>
      <c r="Q77" s="83">
        <f>IF(N77="","",TS!J77)</f>
        <v>2000</v>
      </c>
      <c r="R77" s="83">
        <f>IF(N77="","",TS!K77)</f>
        <v>1825</v>
      </c>
      <c r="S77" s="83">
        <f>Inputs!$H$5+TS!P77*0.4333</f>
        <v>1947.7852478499999</v>
      </c>
      <c r="T77" s="83">
        <f>Inputs!$G$5+TS!P77*0.4333</f>
        <v>1962.7852478499999</v>
      </c>
      <c r="U77" s="85">
        <f t="shared" si="42"/>
        <v>0.98139262392499993</v>
      </c>
      <c r="V77" s="86">
        <f>O77-MAX(O77:O177)</f>
        <v>-2.9179000000000315</v>
      </c>
      <c r="W77" s="86">
        <f t="shared" si="32"/>
        <v>1.2634507000000137</v>
      </c>
      <c r="X77" s="86" t="e">
        <f>((PI()*((42-2*'Gen Calcs'!$E$13)^2)/4)/144)*(A120-#REF!)*(W77+14.7)/14.7</f>
        <v>#REF!</v>
      </c>
      <c r="Y77" s="86" t="e">
        <f t="shared" si="33"/>
        <v>#REF!</v>
      </c>
      <c r="Z77" s="86" t="e">
        <f t="shared" si="45"/>
        <v>#REF!</v>
      </c>
      <c r="AA77" s="83">
        <f>MAX(B$2:B77)-B77</f>
        <v>168.05799999999999</v>
      </c>
      <c r="AB77" s="83">
        <f t="shared" si="34"/>
        <v>72.769114000000002</v>
      </c>
      <c r="AC77" s="83">
        <f t="shared" si="35"/>
        <v>100.51464112648019</v>
      </c>
      <c r="AD77" s="72">
        <f t="shared" si="36"/>
        <v>100.51464112648019</v>
      </c>
      <c r="AE77" s="73">
        <f t="shared" si="43"/>
        <v>907.92027688745009</v>
      </c>
      <c r="AF77" s="73">
        <f>SUM(AE$2:AE77)</f>
        <v>64395.585745158758</v>
      </c>
      <c r="AG77" s="73">
        <f t="shared" si="44"/>
        <v>1109334.3166819504</v>
      </c>
    </row>
    <row r="78" spans="1:33" x14ac:dyDescent="0.25">
      <c r="A78" s="100">
        <v>103099.92</v>
      </c>
      <c r="B78" s="97">
        <v>657.77350000000001</v>
      </c>
      <c r="C78" s="97">
        <v>0.6</v>
      </c>
      <c r="D78" s="80">
        <f t="shared" si="30"/>
        <v>100</v>
      </c>
      <c r="E78" s="81">
        <f t="shared" si="37"/>
        <v>6791.2436711181272</v>
      </c>
      <c r="F78" s="81">
        <f>SUM(E$2:E78)</f>
        <v>488281.86264610005</v>
      </c>
      <c r="G78" s="43">
        <f t="shared" si="31"/>
        <v>1</v>
      </c>
      <c r="H78" s="78">
        <v>1</v>
      </c>
      <c r="I78" s="15">
        <f t="shared" si="38"/>
        <v>0.6</v>
      </c>
      <c r="J78" s="16">
        <f>VLOOKUP(G78,Inputs!$L$3:$P$15,5,FALSE)</f>
        <v>2000</v>
      </c>
      <c r="K78" s="16">
        <f t="shared" si="39"/>
        <v>1825</v>
      </c>
      <c r="L78" s="79">
        <f>Inputs!$P$8-B78</f>
        <v>280.41750000000002</v>
      </c>
      <c r="M78" s="79">
        <f>Inputs!$Q$8+L78*0.433</f>
        <v>1946.4207775</v>
      </c>
      <c r="N78" s="82">
        <f t="shared" si="40"/>
        <v>103099.92</v>
      </c>
      <c r="O78" s="83">
        <f t="shared" si="41"/>
        <v>657.77350000000001</v>
      </c>
      <c r="P78" s="84">
        <f>IF(O78="","",Inputs!$C$5-O78)</f>
        <v>167.41099999999994</v>
      </c>
      <c r="Q78" s="83">
        <f>IF(N78="","",TS!J78)</f>
        <v>2000</v>
      </c>
      <c r="R78" s="83">
        <f>IF(N78="","",TS!K78)</f>
        <v>1825</v>
      </c>
      <c r="S78" s="83">
        <f>Inputs!$H$5+TS!P78*0.4333</f>
        <v>1947.5049027499999</v>
      </c>
      <c r="T78" s="83">
        <f>Inputs!$G$5+TS!P78*0.4333</f>
        <v>1962.5049027499999</v>
      </c>
      <c r="U78" s="85">
        <f t="shared" si="42"/>
        <v>0.98125245137499995</v>
      </c>
      <c r="V78" s="86">
        <f>O78-MAX(O78:O177)</f>
        <v>-2.2708999999999833</v>
      </c>
      <c r="W78" s="86">
        <f t="shared" si="32"/>
        <v>0.98329969999999278</v>
      </c>
      <c r="X78" s="86" t="e">
        <f>((PI()*((42-2*'Gen Calcs'!$E$13)^2)/4)/144)*(A121-#REF!)*(W78+14.7)/14.7</f>
        <v>#REF!</v>
      </c>
      <c r="Y78" s="86" t="e">
        <f t="shared" si="33"/>
        <v>#REF!</v>
      </c>
      <c r="Z78" s="86" t="e">
        <f t="shared" si="45"/>
        <v>#REF!</v>
      </c>
      <c r="AA78" s="83">
        <f>MAX(B$2:B78)-B78</f>
        <v>167.41099999999994</v>
      </c>
      <c r="AB78" s="83">
        <f t="shared" si="34"/>
        <v>72.48896299999997</v>
      </c>
      <c r="AC78" s="83">
        <f t="shared" si="35"/>
        <v>100.59697341403557</v>
      </c>
      <c r="AD78" s="72">
        <f t="shared" si="36"/>
        <v>100.59697341403557</v>
      </c>
      <c r="AE78" s="73">
        <f t="shared" si="43"/>
        <v>907.92027688745009</v>
      </c>
      <c r="AF78" s="73">
        <f>SUM(AE$2:AE78)</f>
        <v>65303.506022046211</v>
      </c>
      <c r="AG78" s="73">
        <f t="shared" si="44"/>
        <v>1108426.3964050629</v>
      </c>
    </row>
    <row r="79" spans="1:33" x14ac:dyDescent="0.25">
      <c r="A79" s="99">
        <v>103199.92</v>
      </c>
      <c r="B79" s="96">
        <v>659.60289999999998</v>
      </c>
      <c r="C79" s="96">
        <v>0.6</v>
      </c>
      <c r="D79" s="80">
        <f t="shared" si="30"/>
        <v>100</v>
      </c>
      <c r="E79" s="81">
        <f t="shared" si="37"/>
        <v>6791.2436711181272</v>
      </c>
      <c r="F79" s="81">
        <f>SUM(E$2:E79)</f>
        <v>495073.10631721816</v>
      </c>
      <c r="G79" s="43">
        <f t="shared" si="31"/>
        <v>1</v>
      </c>
      <c r="H79" s="78">
        <v>1</v>
      </c>
      <c r="I79" s="15">
        <f t="shared" si="38"/>
        <v>0.6</v>
      </c>
      <c r="J79" s="16">
        <f>VLOOKUP(G79,Inputs!$L$3:$P$15,5,FALSE)</f>
        <v>2000</v>
      </c>
      <c r="K79" s="16">
        <f t="shared" si="39"/>
        <v>1825</v>
      </c>
      <c r="L79" s="79">
        <f>Inputs!$P$8-B79</f>
        <v>278.58810000000005</v>
      </c>
      <c r="M79" s="79">
        <f>Inputs!$Q$8+L79*0.433</f>
        <v>1945.6286473</v>
      </c>
      <c r="N79" s="82">
        <f t="shared" si="40"/>
        <v>103199.92</v>
      </c>
      <c r="O79" s="83">
        <f t="shared" si="41"/>
        <v>659.60289999999998</v>
      </c>
      <c r="P79" s="84">
        <f>IF(O79="","",Inputs!$C$5-O79)</f>
        <v>165.58159999999998</v>
      </c>
      <c r="Q79" s="83">
        <f>IF(N79="","",TS!J79)</f>
        <v>2000</v>
      </c>
      <c r="R79" s="83">
        <f>IF(N79="","",TS!K79)</f>
        <v>1825</v>
      </c>
      <c r="S79" s="83">
        <f>Inputs!$H$5+TS!P79*0.4333</f>
        <v>1946.71222373</v>
      </c>
      <c r="T79" s="83">
        <f>Inputs!$G$5+TS!P79*0.4333</f>
        <v>1961.71222373</v>
      </c>
      <c r="U79" s="85">
        <f t="shared" si="42"/>
        <v>0.98085611186499999</v>
      </c>
      <c r="V79" s="86">
        <f>O79-MAX(O79:O177)</f>
        <v>-0.4415000000000191</v>
      </c>
      <c r="W79" s="86">
        <f t="shared" si="32"/>
        <v>0.19116950000000826</v>
      </c>
      <c r="X79" s="86" t="e">
        <f>((PI()*((42-2*'Gen Calcs'!$E$13)^2)/4)/144)*(A122-#REF!)*(W79+14.7)/14.7</f>
        <v>#REF!</v>
      </c>
      <c r="Y79" s="86" t="e">
        <f t="shared" si="33"/>
        <v>#REF!</v>
      </c>
      <c r="Z79" s="86" t="e">
        <f t="shared" si="45"/>
        <v>#REF!</v>
      </c>
      <c r="AA79" s="83">
        <f>MAX(B$2:B79)-B79</f>
        <v>165.58159999999998</v>
      </c>
      <c r="AB79" s="83">
        <f t="shared" si="34"/>
        <v>71.696832799999996</v>
      </c>
      <c r="AC79" s="83">
        <f t="shared" si="35"/>
        <v>100.67944069013501</v>
      </c>
      <c r="AD79" s="72">
        <f t="shared" si="36"/>
        <v>100.67944069013501</v>
      </c>
      <c r="AE79" s="73">
        <f t="shared" si="43"/>
        <v>907.92027688745009</v>
      </c>
      <c r="AF79" s="73">
        <f>SUM(AE$2:AE79)</f>
        <v>66211.426298933657</v>
      </c>
      <c r="AG79" s="73">
        <f t="shared" si="44"/>
        <v>1107518.4761281756</v>
      </c>
    </row>
    <row r="80" spans="1:33" x14ac:dyDescent="0.25">
      <c r="A80" s="100">
        <v>103299.92</v>
      </c>
      <c r="B80" s="97">
        <v>660.0444</v>
      </c>
      <c r="C80" s="97">
        <v>0.6</v>
      </c>
      <c r="D80" s="80">
        <f t="shared" si="30"/>
        <v>100</v>
      </c>
      <c r="E80" s="81">
        <f t="shared" si="37"/>
        <v>6791.2436711181272</v>
      </c>
      <c r="F80" s="81">
        <f>SUM(E$2:E80)</f>
        <v>501864.34998833627</v>
      </c>
      <c r="G80" s="43">
        <f t="shared" si="31"/>
        <v>1</v>
      </c>
      <c r="H80" s="78">
        <v>1</v>
      </c>
      <c r="I80" s="15">
        <f t="shared" si="38"/>
        <v>0.6</v>
      </c>
      <c r="J80" s="16">
        <f>VLOOKUP(G80,Inputs!$L$3:$P$15,5,FALSE)</f>
        <v>2000</v>
      </c>
      <c r="K80" s="16">
        <f t="shared" si="39"/>
        <v>1825</v>
      </c>
      <c r="L80" s="79">
        <f>Inputs!$P$8-B80</f>
        <v>278.14660000000003</v>
      </c>
      <c r="M80" s="79">
        <f>Inputs!$Q$8+L80*0.433</f>
        <v>1945.4374778000001</v>
      </c>
      <c r="N80" s="82">
        <f t="shared" si="40"/>
        <v>103299.92</v>
      </c>
      <c r="O80" s="83">
        <f t="shared" si="41"/>
        <v>660.0444</v>
      </c>
      <c r="P80" s="84">
        <f>IF(O80="","",Inputs!$C$5-O80)</f>
        <v>165.14009999999996</v>
      </c>
      <c r="Q80" s="83">
        <f>IF(N80="","",TS!J80)</f>
        <v>2000</v>
      </c>
      <c r="R80" s="83">
        <f>IF(N80="","",TS!K80)</f>
        <v>1825</v>
      </c>
      <c r="S80" s="83">
        <f>Inputs!$H$5+TS!P80*0.4333</f>
        <v>1946.52092178</v>
      </c>
      <c r="T80" s="83">
        <f>Inputs!$G$5+TS!P80*0.4333</f>
        <v>1961.52092178</v>
      </c>
      <c r="U80" s="85">
        <f t="shared" si="42"/>
        <v>0.98076046089000002</v>
      </c>
      <c r="V80" s="86">
        <f>O80-MAX(O80:O177)</f>
        <v>0</v>
      </c>
      <c r="W80" s="86">
        <f t="shared" si="32"/>
        <v>0</v>
      </c>
      <c r="X80" s="86" t="e">
        <f>((PI()*((42-2*'Gen Calcs'!$E$13)^2)/4)/144)*(A123-#REF!)*(W80+14.7)/14.7</f>
        <v>#REF!</v>
      </c>
      <c r="Y80" s="86" t="e">
        <f t="shared" si="33"/>
        <v>#REF!</v>
      </c>
      <c r="Z80" s="86" t="e">
        <f t="shared" si="45"/>
        <v>#REF!</v>
      </c>
      <c r="AA80" s="83">
        <f>MAX(B$2:B80)-B80</f>
        <v>165.14009999999996</v>
      </c>
      <c r="AB80" s="83">
        <f t="shared" si="34"/>
        <v>71.505663299999981</v>
      </c>
      <c r="AC80" s="83">
        <f t="shared" si="35"/>
        <v>100.76204328703321</v>
      </c>
      <c r="AD80" s="72">
        <f t="shared" si="36"/>
        <v>100.76204328703321</v>
      </c>
      <c r="AE80" s="73">
        <f t="shared" si="43"/>
        <v>907.92027688745009</v>
      </c>
      <c r="AF80" s="73">
        <f>SUM(AE$2:AE80)</f>
        <v>67119.34657582111</v>
      </c>
      <c r="AG80" s="73">
        <f t="shared" si="44"/>
        <v>1106610.5558512881</v>
      </c>
    </row>
    <row r="81" spans="1:33" x14ac:dyDescent="0.25">
      <c r="A81" s="99">
        <v>103399.92</v>
      </c>
      <c r="B81" s="96">
        <v>658.68079999999998</v>
      </c>
      <c r="C81" s="96">
        <v>0.6</v>
      </c>
      <c r="D81" s="80">
        <f t="shared" si="30"/>
        <v>100</v>
      </c>
      <c r="E81" s="81">
        <f t="shared" si="37"/>
        <v>6791.2436711181272</v>
      </c>
      <c r="F81" s="81">
        <f>SUM(E$2:E81)</f>
        <v>508655.59365945437</v>
      </c>
      <c r="G81" s="43">
        <f t="shared" si="31"/>
        <v>1</v>
      </c>
      <c r="H81" s="78">
        <v>1</v>
      </c>
      <c r="I81" s="15">
        <f t="shared" si="38"/>
        <v>0.6</v>
      </c>
      <c r="J81" s="16">
        <f>VLOOKUP(G81,Inputs!$L$3:$P$15,5,FALSE)</f>
        <v>2000</v>
      </c>
      <c r="K81" s="16">
        <f t="shared" si="39"/>
        <v>1825</v>
      </c>
      <c r="L81" s="79">
        <f>Inputs!$P$8-B81</f>
        <v>279.51020000000005</v>
      </c>
      <c r="M81" s="79">
        <f>Inputs!$Q$8+L81*0.433</f>
        <v>1946.0279166</v>
      </c>
      <c r="N81" s="82">
        <f t="shared" si="40"/>
        <v>103399.92</v>
      </c>
      <c r="O81" s="83">
        <f t="shared" si="41"/>
        <v>658.68079999999998</v>
      </c>
      <c r="P81" s="84">
        <f>IF(O81="","",Inputs!$C$5-O81)</f>
        <v>166.50369999999998</v>
      </c>
      <c r="Q81" s="83">
        <f>IF(N81="","",TS!J81)</f>
        <v>2000</v>
      </c>
      <c r="R81" s="83">
        <f>IF(N81="","",TS!K81)</f>
        <v>1825</v>
      </c>
      <c r="S81" s="83">
        <f>Inputs!$H$5+TS!P81*0.4333</f>
        <v>1947.1117696599999</v>
      </c>
      <c r="T81" s="83">
        <f>Inputs!$G$5+TS!P81*0.4333</f>
        <v>1962.1117696599999</v>
      </c>
      <c r="U81" s="85">
        <f t="shared" si="42"/>
        <v>0.98105588482999995</v>
      </c>
      <c r="V81" s="86">
        <f>O81-MAX(O81:O177)</f>
        <v>0</v>
      </c>
      <c r="W81" s="86">
        <f t="shared" si="32"/>
        <v>0</v>
      </c>
      <c r="X81" s="86" t="e">
        <f>((PI()*((42-2*'Gen Calcs'!$E$13)^2)/4)/144)*(A124-#REF!)*(W81+14.7)/14.7</f>
        <v>#REF!</v>
      </c>
      <c r="Y81" s="86" t="e">
        <f t="shared" si="33"/>
        <v>#REF!</v>
      </c>
      <c r="Z81" s="86" t="e">
        <f t="shared" si="45"/>
        <v>#REF!</v>
      </c>
      <c r="AA81" s="83">
        <f>MAX(B$2:B81)-B81</f>
        <v>166.50369999999998</v>
      </c>
      <c r="AB81" s="83">
        <f t="shared" si="34"/>
        <v>72.096102099999996</v>
      </c>
      <c r="AC81" s="83">
        <f t="shared" si="35"/>
        <v>100.84478153807606</v>
      </c>
      <c r="AD81" s="72">
        <f t="shared" si="36"/>
        <v>100.84478153807606</v>
      </c>
      <c r="AE81" s="73">
        <f t="shared" si="43"/>
        <v>907.92027688745009</v>
      </c>
      <c r="AF81" s="73">
        <f>SUM(AE$2:AE81)</f>
        <v>68027.266852708563</v>
      </c>
      <c r="AG81" s="73">
        <f t="shared" si="44"/>
        <v>1105702.6355744007</v>
      </c>
    </row>
    <row r="82" spans="1:33" x14ac:dyDescent="0.25">
      <c r="A82" s="100">
        <v>103499.92</v>
      </c>
      <c r="B82" s="97">
        <v>657.8723</v>
      </c>
      <c r="C82" s="97">
        <v>0.6</v>
      </c>
      <c r="D82" s="80">
        <f t="shared" si="30"/>
        <v>100</v>
      </c>
      <c r="E82" s="81">
        <f t="shared" si="37"/>
        <v>6791.2436711181272</v>
      </c>
      <c r="F82" s="81">
        <f>SUM(E$2:E82)</f>
        <v>515446.83733057248</v>
      </c>
      <c r="G82" s="43">
        <f t="shared" si="31"/>
        <v>1</v>
      </c>
      <c r="H82" s="78">
        <v>1</v>
      </c>
      <c r="I82" s="15">
        <f t="shared" si="38"/>
        <v>0.6</v>
      </c>
      <c r="J82" s="16">
        <f>VLOOKUP(G82,Inputs!$L$3:$P$15,5,FALSE)</f>
        <v>2000</v>
      </c>
      <c r="K82" s="16">
        <f t="shared" si="39"/>
        <v>1825</v>
      </c>
      <c r="L82" s="79">
        <f>Inputs!$P$8-B82</f>
        <v>280.31870000000004</v>
      </c>
      <c r="M82" s="79">
        <f>Inputs!$Q$8+L82*0.433</f>
        <v>1946.3779970999999</v>
      </c>
      <c r="N82" s="82">
        <f t="shared" si="40"/>
        <v>103499.92</v>
      </c>
      <c r="O82" s="83">
        <f t="shared" si="41"/>
        <v>657.8723</v>
      </c>
      <c r="P82" s="84">
        <f>IF(O82="","",Inputs!$C$5-O82)</f>
        <v>167.31219999999996</v>
      </c>
      <c r="Q82" s="83">
        <f>IF(N82="","",TS!J82)</f>
        <v>2000</v>
      </c>
      <c r="R82" s="83">
        <f>IF(N82="","",TS!K82)</f>
        <v>1825</v>
      </c>
      <c r="S82" s="83">
        <f>Inputs!$H$5+TS!P82*0.4333</f>
        <v>1947.46209271</v>
      </c>
      <c r="T82" s="83">
        <f>Inputs!$G$5+TS!P82*0.4333</f>
        <v>1962.46209271</v>
      </c>
      <c r="U82" s="85">
        <f t="shared" si="42"/>
        <v>0.98123104635500003</v>
      </c>
      <c r="V82" s="86">
        <f>O82-MAX(O82:O177)</f>
        <v>0</v>
      </c>
      <c r="W82" s="86">
        <f t="shared" si="32"/>
        <v>0</v>
      </c>
      <c r="X82" s="86" t="e">
        <f>((PI()*((42-2*'Gen Calcs'!$E$13)^2)/4)/144)*(A125-#REF!)*(W82+14.7)/14.7</f>
        <v>#REF!</v>
      </c>
      <c r="Y82" s="86" t="e">
        <f t="shared" si="33"/>
        <v>#REF!</v>
      </c>
      <c r="Z82" s="86" t="e">
        <f t="shared" si="45"/>
        <v>#REF!</v>
      </c>
      <c r="AA82" s="83">
        <f>MAX(B$2:B82)-B82</f>
        <v>167.31219999999996</v>
      </c>
      <c r="AB82" s="83">
        <f t="shared" si="34"/>
        <v>72.446182599999986</v>
      </c>
      <c r="AC82" s="83">
        <f t="shared" si="35"/>
        <v>100.92765577770533</v>
      </c>
      <c r="AD82" s="72">
        <f t="shared" si="36"/>
        <v>100.92765577770533</v>
      </c>
      <c r="AE82" s="73">
        <f t="shared" si="43"/>
        <v>907.92027688745009</v>
      </c>
      <c r="AF82" s="73">
        <f>SUM(AE$2:AE82)</f>
        <v>68935.187129596015</v>
      </c>
      <c r="AG82" s="73">
        <f t="shared" si="44"/>
        <v>1104794.7152975132</v>
      </c>
    </row>
    <row r="83" spans="1:33" x14ac:dyDescent="0.25">
      <c r="A83" s="99">
        <v>103599.92</v>
      </c>
      <c r="B83" s="96">
        <v>656.36090000000002</v>
      </c>
      <c r="C83" s="96">
        <v>0.6</v>
      </c>
      <c r="D83" s="80">
        <f t="shared" si="30"/>
        <v>100</v>
      </c>
      <c r="E83" s="81">
        <f t="shared" si="37"/>
        <v>6791.2436711181272</v>
      </c>
      <c r="F83" s="81">
        <f>SUM(E$2:E83)</f>
        <v>522238.08100169059</v>
      </c>
      <c r="G83" s="43">
        <f t="shared" si="31"/>
        <v>1</v>
      </c>
      <c r="H83" s="78">
        <v>1</v>
      </c>
      <c r="I83" s="15">
        <f t="shared" si="38"/>
        <v>0.6</v>
      </c>
      <c r="J83" s="16">
        <f>VLOOKUP(G83,Inputs!$L$3:$P$15,5,FALSE)</f>
        <v>2000</v>
      </c>
      <c r="K83" s="16">
        <f t="shared" si="39"/>
        <v>1825</v>
      </c>
      <c r="L83" s="79">
        <f>Inputs!$P$8-B83</f>
        <v>281.83010000000002</v>
      </c>
      <c r="M83" s="79">
        <f>Inputs!$Q$8+L83*0.433</f>
        <v>1947.0324333000001</v>
      </c>
      <c r="N83" s="82">
        <f t="shared" si="40"/>
        <v>103599.92</v>
      </c>
      <c r="O83" s="83">
        <f t="shared" si="41"/>
        <v>656.36090000000002</v>
      </c>
      <c r="P83" s="84">
        <f>IF(O83="","",Inputs!$C$5-O83)</f>
        <v>168.82359999999994</v>
      </c>
      <c r="Q83" s="83">
        <f>IF(N83="","",TS!J83)</f>
        <v>2000</v>
      </c>
      <c r="R83" s="83">
        <f>IF(N83="","",TS!K83)</f>
        <v>1825</v>
      </c>
      <c r="S83" s="83">
        <f>Inputs!$H$5+TS!P83*0.4333</f>
        <v>1948.1169823299999</v>
      </c>
      <c r="T83" s="83">
        <f>Inputs!$G$5+TS!P83*0.4333</f>
        <v>1963.1169823299999</v>
      </c>
      <c r="U83" s="85">
        <f t="shared" si="42"/>
        <v>0.98155849116499994</v>
      </c>
      <c r="V83" s="86">
        <f>O83-MAX(O83:O177)</f>
        <v>-0.20309999999994943</v>
      </c>
      <c r="W83" s="86">
        <f t="shared" si="32"/>
        <v>8.7942299999978102E-2</v>
      </c>
      <c r="X83" s="86" t="e">
        <f>((PI()*((42-2*'Gen Calcs'!$E$13)^2)/4)/144)*(A126-#REF!)*(W83+14.7)/14.7</f>
        <v>#REF!</v>
      </c>
      <c r="Y83" s="86" t="e">
        <f t="shared" si="33"/>
        <v>#REF!</v>
      </c>
      <c r="Z83" s="86" t="e">
        <f t="shared" si="45"/>
        <v>#REF!</v>
      </c>
      <c r="AA83" s="83">
        <f>MAX(B$2:B83)-B83</f>
        <v>168.82359999999994</v>
      </c>
      <c r="AB83" s="83">
        <f t="shared" si="34"/>
        <v>73.100618799999978</v>
      </c>
      <c r="AC83" s="83">
        <f t="shared" si="35"/>
        <v>101.01066634146299</v>
      </c>
      <c r="AD83" s="72">
        <f t="shared" si="36"/>
        <v>101.01066634146299</v>
      </c>
      <c r="AE83" s="73">
        <f t="shared" si="43"/>
        <v>907.92027688745009</v>
      </c>
      <c r="AF83" s="73">
        <f>SUM(AE$2:AE83)</f>
        <v>69843.107406483468</v>
      </c>
      <c r="AG83" s="73">
        <f t="shared" si="44"/>
        <v>1103886.7950206257</v>
      </c>
    </row>
    <row r="84" spans="1:33" x14ac:dyDescent="0.25">
      <c r="A84" s="100">
        <v>103699.92</v>
      </c>
      <c r="B84" s="97">
        <v>655.59299999999996</v>
      </c>
      <c r="C84" s="97">
        <v>0.6</v>
      </c>
      <c r="D84" s="80">
        <f t="shared" si="30"/>
        <v>100</v>
      </c>
      <c r="E84" s="81">
        <f t="shared" si="37"/>
        <v>6791.2436711181272</v>
      </c>
      <c r="F84" s="81">
        <f>SUM(E$2:E84)</f>
        <v>529029.32467280875</v>
      </c>
      <c r="G84" s="43">
        <f t="shared" si="31"/>
        <v>1</v>
      </c>
      <c r="H84" s="78">
        <v>1</v>
      </c>
      <c r="I84" s="15">
        <f t="shared" si="38"/>
        <v>0.6</v>
      </c>
      <c r="J84" s="16">
        <f>VLOOKUP(G84,Inputs!$L$3:$P$15,5,FALSE)</f>
        <v>2000</v>
      </c>
      <c r="K84" s="16">
        <f t="shared" si="39"/>
        <v>1825</v>
      </c>
      <c r="L84" s="79">
        <f>Inputs!$P$8-B84</f>
        <v>282.59800000000007</v>
      </c>
      <c r="M84" s="79">
        <f>Inputs!$Q$8+L84*0.433</f>
        <v>1947.3649339999999</v>
      </c>
      <c r="N84" s="82">
        <f t="shared" si="40"/>
        <v>103699.92</v>
      </c>
      <c r="O84" s="83">
        <f t="shared" si="41"/>
        <v>655.59299999999996</v>
      </c>
      <c r="P84" s="84">
        <f>IF(O84="","",Inputs!$C$5-O84)</f>
        <v>169.5915</v>
      </c>
      <c r="Q84" s="83">
        <f>IF(N84="","",TS!J84)</f>
        <v>2000</v>
      </c>
      <c r="R84" s="83">
        <f>IF(N84="","",TS!K84)</f>
        <v>1825</v>
      </c>
      <c r="S84" s="83">
        <f>Inputs!$H$5+TS!P84*0.4333</f>
        <v>1948.4497133999998</v>
      </c>
      <c r="T84" s="83">
        <f>Inputs!$G$5+TS!P84*0.4333</f>
        <v>1963.4497133999998</v>
      </c>
      <c r="U84" s="85">
        <f t="shared" si="42"/>
        <v>0.98172485669999987</v>
      </c>
      <c r="V84" s="86">
        <f>O84-MAX(O84:O177)</f>
        <v>-0.97100000000000364</v>
      </c>
      <c r="W84" s="86">
        <f t="shared" si="32"/>
        <v>0.42044300000000157</v>
      </c>
      <c r="X84" s="86" t="e">
        <f>((PI()*((42-2*'Gen Calcs'!$E$13)^2)/4)/144)*(A127-#REF!)*(W84+14.7)/14.7</f>
        <v>#REF!</v>
      </c>
      <c r="Y84" s="86" t="e">
        <f t="shared" si="33"/>
        <v>#REF!</v>
      </c>
      <c r="Z84" s="86" t="e">
        <f t="shared" si="45"/>
        <v>#REF!</v>
      </c>
      <c r="AA84" s="83">
        <f>MAX(B$2:B84)-B84</f>
        <v>169.5915</v>
      </c>
      <c r="AB84" s="83">
        <f t="shared" si="34"/>
        <v>73.433119500000004</v>
      </c>
      <c r="AC84" s="83">
        <f t="shared" si="35"/>
        <v>101.09381356599586</v>
      </c>
      <c r="AD84" s="72">
        <f t="shared" si="36"/>
        <v>101.09381356599586</v>
      </c>
      <c r="AE84" s="73">
        <f t="shared" si="43"/>
        <v>907.92027688745009</v>
      </c>
      <c r="AF84" s="73">
        <f>SUM(AE$2:AE84)</f>
        <v>70751.027683370921</v>
      </c>
      <c r="AG84" s="73">
        <f t="shared" si="44"/>
        <v>1102978.8747437382</v>
      </c>
    </row>
    <row r="85" spans="1:33" x14ac:dyDescent="0.25">
      <c r="A85" s="99">
        <v>103799.92</v>
      </c>
      <c r="B85" s="96">
        <v>655.52239999999995</v>
      </c>
      <c r="C85" s="96">
        <v>0.6</v>
      </c>
      <c r="D85" s="80">
        <f t="shared" si="30"/>
        <v>100</v>
      </c>
      <c r="E85" s="81">
        <f t="shared" si="37"/>
        <v>6791.2436711181272</v>
      </c>
      <c r="F85" s="81">
        <f>SUM(E$2:E85)</f>
        <v>535820.56834392692</v>
      </c>
      <c r="G85" s="43">
        <f t="shared" si="31"/>
        <v>1</v>
      </c>
      <c r="H85" s="78">
        <v>1</v>
      </c>
      <c r="I85" s="15">
        <f t="shared" si="38"/>
        <v>0.6</v>
      </c>
      <c r="J85" s="16">
        <f>VLOOKUP(G85,Inputs!$L$3:$P$15,5,FALSE)</f>
        <v>2000</v>
      </c>
      <c r="K85" s="16">
        <f t="shared" si="39"/>
        <v>1825</v>
      </c>
      <c r="L85" s="79">
        <f>Inputs!$P$8-B85</f>
        <v>282.66860000000008</v>
      </c>
      <c r="M85" s="79">
        <f>Inputs!$Q$8+L85*0.433</f>
        <v>1947.3955037999999</v>
      </c>
      <c r="N85" s="82">
        <f t="shared" si="40"/>
        <v>103799.92</v>
      </c>
      <c r="O85" s="83">
        <f t="shared" si="41"/>
        <v>655.52239999999995</v>
      </c>
      <c r="P85" s="84">
        <f>IF(O85="","",Inputs!$C$5-O85)</f>
        <v>169.66210000000001</v>
      </c>
      <c r="Q85" s="83">
        <f>IF(N85="","",TS!J85)</f>
        <v>2000</v>
      </c>
      <c r="R85" s="83">
        <f>IF(N85="","",TS!K85)</f>
        <v>1825</v>
      </c>
      <c r="S85" s="83">
        <f>Inputs!$H$5+TS!P85*0.4333</f>
        <v>1948.48030438</v>
      </c>
      <c r="T85" s="83">
        <f>Inputs!$G$5+TS!P85*0.4333</f>
        <v>1963.48030438</v>
      </c>
      <c r="U85" s="85">
        <f t="shared" si="42"/>
        <v>0.98174015218999999</v>
      </c>
      <c r="V85" s="86">
        <f>O85-MAX(O85:O177)</f>
        <v>-1.0416000000000167</v>
      </c>
      <c r="W85" s="86">
        <f t="shared" si="32"/>
        <v>0.45101280000000726</v>
      </c>
      <c r="X85" s="86" t="e">
        <f>((PI()*((42-2*'Gen Calcs'!$E$13)^2)/4)/144)*(A128-#REF!)*(W85+14.7)/14.7</f>
        <v>#REF!</v>
      </c>
      <c r="Y85" s="86" t="e">
        <f t="shared" si="33"/>
        <v>#REF!</v>
      </c>
      <c r="Z85" s="86" t="e">
        <f t="shared" si="45"/>
        <v>#REF!</v>
      </c>
      <c r="AA85" s="83">
        <f>MAX(B$2:B85)-B85</f>
        <v>169.66210000000001</v>
      </c>
      <c r="AB85" s="83">
        <f t="shared" si="34"/>
        <v>73.463689299999999</v>
      </c>
      <c r="AC85" s="83">
        <f t="shared" si="35"/>
        <v>101.17709778906011</v>
      </c>
      <c r="AD85" s="72">
        <f t="shared" si="36"/>
        <v>101.17709778906011</v>
      </c>
      <c r="AE85" s="73">
        <f t="shared" si="43"/>
        <v>907.92027688745009</v>
      </c>
      <c r="AF85" s="73">
        <f>SUM(AE$2:AE85)</f>
        <v>71658.947960258374</v>
      </c>
      <c r="AG85" s="73">
        <f t="shared" si="44"/>
        <v>1102070.9544668507</v>
      </c>
    </row>
    <row r="86" spans="1:33" x14ac:dyDescent="0.25">
      <c r="A86" s="100">
        <v>103809.3</v>
      </c>
      <c r="B86" s="97">
        <v>655.52239999999995</v>
      </c>
      <c r="C86" s="97">
        <v>0.86399999999999999</v>
      </c>
      <c r="D86" s="80">
        <f t="shared" si="30"/>
        <v>9.3800000000046566</v>
      </c>
      <c r="E86" s="81">
        <f t="shared" si="37"/>
        <v>637.01865635119646</v>
      </c>
      <c r="F86" s="81">
        <f>SUM(E$2:E86)</f>
        <v>536457.58700027817</v>
      </c>
      <c r="G86" s="43">
        <f t="shared" si="31"/>
        <v>2</v>
      </c>
      <c r="H86" s="78">
        <v>1</v>
      </c>
      <c r="I86" s="15">
        <f t="shared" si="38"/>
        <v>0.86399999999999999</v>
      </c>
      <c r="J86" s="16">
        <f>VLOOKUP(G86,Inputs!$L$3:$P$15,5,FALSE)</f>
        <v>2880</v>
      </c>
      <c r="K86" s="16">
        <f t="shared" si="39"/>
        <v>1825</v>
      </c>
      <c r="L86" s="79">
        <f>Inputs!$P$8-B86</f>
        <v>282.66860000000008</v>
      </c>
      <c r="M86" s="79">
        <f>Inputs!$Q$8+L86*0.433</f>
        <v>1947.3955037999999</v>
      </c>
      <c r="N86" s="82">
        <f t="shared" si="40"/>
        <v>103809.3</v>
      </c>
      <c r="O86" s="83">
        <f t="shared" si="41"/>
        <v>655.52239999999995</v>
      </c>
      <c r="P86" s="84">
        <f>IF(O86="","",Inputs!$C$5-O86)</f>
        <v>169.66210000000001</v>
      </c>
      <c r="Q86" s="83">
        <f>IF(N86="","",TS!J86)</f>
        <v>2880</v>
      </c>
      <c r="R86" s="83">
        <f>IF(N86="","",TS!K86)</f>
        <v>1825</v>
      </c>
      <c r="S86" s="83">
        <f>Inputs!$H$5+TS!P86*0.4333</f>
        <v>1948.48030438</v>
      </c>
      <c r="T86" s="83">
        <f>Inputs!$G$5+TS!P86*0.4333</f>
        <v>1963.48030438</v>
      </c>
      <c r="U86" s="85">
        <f t="shared" si="42"/>
        <v>0.68176399457638892</v>
      </c>
      <c r="V86" s="86">
        <f>O86-MAX(O86:O177)</f>
        <v>-1.0416000000000167</v>
      </c>
      <c r="W86" s="86">
        <f t="shared" si="32"/>
        <v>0.45101280000000726</v>
      </c>
      <c r="X86" s="86" t="e">
        <f>((PI()*((42-2*'Gen Calcs'!$E$13)^2)/4)/144)*(A129-#REF!)*(W86+14.7)/14.7</f>
        <v>#REF!</v>
      </c>
      <c r="Y86" s="86" t="e">
        <f t="shared" si="33"/>
        <v>#REF!</v>
      </c>
      <c r="Z86" s="86" t="e">
        <f t="shared" si="45"/>
        <v>#REF!</v>
      </c>
      <c r="AA86" s="83">
        <f>MAX(B$2:B86)-B86</f>
        <v>169.66210000000001</v>
      </c>
      <c r="AB86" s="83">
        <f t="shared" si="34"/>
        <v>73.463689299999999</v>
      </c>
      <c r="AC86" s="83">
        <f t="shared" si="35"/>
        <v>101.18471580687206</v>
      </c>
      <c r="AD86" s="72">
        <f t="shared" si="36"/>
        <v>101.18471580687206</v>
      </c>
      <c r="AE86" s="73">
        <f t="shared" si="43"/>
        <v>82.972967747421606</v>
      </c>
      <c r="AF86" s="73">
        <f>SUM(AE$2:AE86)</f>
        <v>71741.920928005798</v>
      </c>
      <c r="AG86" s="73">
        <f t="shared" si="44"/>
        <v>1101987.9814991034</v>
      </c>
    </row>
    <row r="87" spans="1:33" x14ac:dyDescent="0.25">
      <c r="A87" s="99">
        <v>103899.92</v>
      </c>
      <c r="B87" s="96">
        <v>656.56399999999996</v>
      </c>
      <c r="C87" s="96">
        <v>0.6</v>
      </c>
      <c r="D87" s="80">
        <f t="shared" si="30"/>
        <v>90.619999999995343</v>
      </c>
      <c r="E87" s="81">
        <f t="shared" si="37"/>
        <v>6154.2250147669301</v>
      </c>
      <c r="F87" s="81">
        <f>SUM(E$2:E87)</f>
        <v>542611.81201504508</v>
      </c>
      <c r="G87" s="43">
        <f t="shared" si="31"/>
        <v>1</v>
      </c>
      <c r="H87" s="78">
        <v>1</v>
      </c>
      <c r="I87" s="15">
        <f t="shared" si="38"/>
        <v>0.6</v>
      </c>
      <c r="J87" s="16">
        <f>VLOOKUP(G87,Inputs!$L$3:$P$15,5,FALSE)</f>
        <v>2000</v>
      </c>
      <c r="K87" s="16">
        <f t="shared" si="39"/>
        <v>1825</v>
      </c>
      <c r="L87" s="79">
        <f>Inputs!$P$8-B87</f>
        <v>281.62700000000007</v>
      </c>
      <c r="M87" s="79">
        <f>Inputs!$Q$8+L87*0.433</f>
        <v>1946.944491</v>
      </c>
      <c r="N87" s="82">
        <f t="shared" si="40"/>
        <v>103899.92</v>
      </c>
      <c r="O87" s="83">
        <f t="shared" si="41"/>
        <v>656.56399999999996</v>
      </c>
      <c r="P87" s="84">
        <f>IF(O87="","",Inputs!$C$5-O87)</f>
        <v>168.62049999999999</v>
      </c>
      <c r="Q87" s="83">
        <f>IF(N87="","",TS!J87)</f>
        <v>2000</v>
      </c>
      <c r="R87" s="83">
        <f>IF(N87="","",TS!K87)</f>
        <v>1825</v>
      </c>
      <c r="S87" s="83">
        <f>Inputs!$H$5+TS!P87*0.4333</f>
        <v>1948.0289791</v>
      </c>
      <c r="T87" s="83">
        <f>Inputs!$G$5+TS!P87*0.4333</f>
        <v>1963.0289791</v>
      </c>
      <c r="U87" s="85">
        <f t="shared" si="42"/>
        <v>0.98151448954999998</v>
      </c>
      <c r="V87" s="86">
        <f>O87-MAX(O87:O177)</f>
        <v>0</v>
      </c>
      <c r="W87" s="86">
        <f t="shared" si="32"/>
        <v>0</v>
      </c>
      <c r="X87" s="86" t="e">
        <f>((PI()*((42-2*'Gen Calcs'!$E$13)^2)/4)/144)*(A130-#REF!)*(W87+14.7)/14.7</f>
        <v>#REF!</v>
      </c>
      <c r="Y87" s="86" t="e">
        <f t="shared" si="33"/>
        <v>#REF!</v>
      </c>
      <c r="Z87" s="86" t="e">
        <f t="shared" si="45"/>
        <v>#REF!</v>
      </c>
      <c r="AA87" s="83">
        <f>MAX(B$2:B87)-B87</f>
        <v>168.62049999999999</v>
      </c>
      <c r="AB87" s="83">
        <f t="shared" si="34"/>
        <v>73.012676499999998</v>
      </c>
      <c r="AC87" s="83">
        <f t="shared" si="35"/>
        <v>101.26031796657506</v>
      </c>
      <c r="AD87" s="72">
        <f t="shared" si="36"/>
        <v>101.26031796657506</v>
      </c>
      <c r="AE87" s="73">
        <f t="shared" si="43"/>
        <v>822.757354915365</v>
      </c>
      <c r="AF87" s="73">
        <f>SUM(AE$2:AE87)</f>
        <v>72564.678282921159</v>
      </c>
      <c r="AG87" s="73">
        <f t="shared" si="44"/>
        <v>1101165.224144188</v>
      </c>
    </row>
    <row r="88" spans="1:33" x14ac:dyDescent="0.25">
      <c r="A88" s="100">
        <v>103929.3</v>
      </c>
      <c r="B88" s="97">
        <v>656.56399999999996</v>
      </c>
      <c r="C88" s="97">
        <v>0.86399999999999999</v>
      </c>
      <c r="D88" s="80">
        <f t="shared" si="30"/>
        <v>29.380000000004657</v>
      </c>
      <c r="E88" s="81">
        <f t="shared" si="37"/>
        <v>1995.267390574822</v>
      </c>
      <c r="F88" s="81">
        <f>SUM(E$2:E88)</f>
        <v>544607.07940561988</v>
      </c>
      <c r="G88" s="43">
        <f t="shared" si="31"/>
        <v>2</v>
      </c>
      <c r="H88" s="78">
        <v>1</v>
      </c>
      <c r="I88" s="15">
        <f t="shared" si="38"/>
        <v>0.86399999999999999</v>
      </c>
      <c r="J88" s="16">
        <f>VLOOKUP(G88,Inputs!$L$3:$P$15,5,FALSE)</f>
        <v>2880</v>
      </c>
      <c r="K88" s="16">
        <f t="shared" si="39"/>
        <v>1825</v>
      </c>
      <c r="L88" s="79">
        <f>Inputs!$P$8-B88</f>
        <v>281.62700000000007</v>
      </c>
      <c r="M88" s="79">
        <f>Inputs!$Q$8+L88*0.433</f>
        <v>1946.944491</v>
      </c>
      <c r="N88" s="82">
        <f t="shared" si="40"/>
        <v>103929.3</v>
      </c>
      <c r="O88" s="83">
        <f t="shared" si="41"/>
        <v>656.56399999999996</v>
      </c>
      <c r="P88" s="84">
        <f>IF(O88="","",Inputs!$C$5-O88)</f>
        <v>168.62049999999999</v>
      </c>
      <c r="Q88" s="83">
        <f>IF(N88="","",TS!J88)</f>
        <v>2880</v>
      </c>
      <c r="R88" s="83">
        <f>IF(N88="","",TS!K88)</f>
        <v>1825</v>
      </c>
      <c r="S88" s="83">
        <f>Inputs!$H$5+TS!P88*0.4333</f>
        <v>1948.0289791</v>
      </c>
      <c r="T88" s="83">
        <f>Inputs!$G$5+TS!P88*0.4333</f>
        <v>1963.0289791</v>
      </c>
      <c r="U88" s="85">
        <f t="shared" si="42"/>
        <v>0.68160728440972218</v>
      </c>
      <c r="V88" s="86">
        <f>O88-MAX(O88:O177)</f>
        <v>0</v>
      </c>
      <c r="W88" s="86">
        <f t="shared" si="32"/>
        <v>0</v>
      </c>
      <c r="X88" s="86" t="e">
        <f>((PI()*((42-2*'Gen Calcs'!$E$13)^2)/4)/144)*(A131-#REF!)*(W88+14.7)/14.7</f>
        <v>#REF!</v>
      </c>
      <c r="Y88" s="86" t="e">
        <f t="shared" si="33"/>
        <v>#REF!</v>
      </c>
      <c r="Z88" s="86" t="e">
        <f t="shared" si="45"/>
        <v>#REF!</v>
      </c>
      <c r="AA88" s="83">
        <f>MAX(B$2:B88)-B88</f>
        <v>168.62049999999999</v>
      </c>
      <c r="AB88" s="83">
        <f t="shared" si="34"/>
        <v>73.012676499999998</v>
      </c>
      <c r="AC88" s="83">
        <f t="shared" si="35"/>
        <v>101.28422220362931</v>
      </c>
      <c r="AD88" s="72">
        <f t="shared" si="36"/>
        <v>101.28422220362931</v>
      </c>
      <c r="AE88" s="73">
        <f t="shared" si="43"/>
        <v>259.88761113202804</v>
      </c>
      <c r="AF88" s="73">
        <f>SUM(AE$2:AE88)</f>
        <v>72824.565894053187</v>
      </c>
      <c r="AG88" s="73">
        <f t="shared" si="44"/>
        <v>1100905.3365330561</v>
      </c>
    </row>
    <row r="89" spans="1:33" x14ac:dyDescent="0.25">
      <c r="A89" s="99">
        <v>103999.92</v>
      </c>
      <c r="B89" s="96">
        <v>654.28840000000002</v>
      </c>
      <c r="C89" s="96">
        <v>0.6</v>
      </c>
      <c r="D89" s="80">
        <f t="shared" si="30"/>
        <v>70.619999999995343</v>
      </c>
      <c r="E89" s="81">
        <f t="shared" si="37"/>
        <v>4672.6483313167109</v>
      </c>
      <c r="F89" s="81">
        <f>SUM(E$2:E89)</f>
        <v>549279.72773693653</v>
      </c>
      <c r="G89" s="43">
        <f t="shared" si="31"/>
        <v>1</v>
      </c>
      <c r="H89" s="78">
        <v>1</v>
      </c>
      <c r="I89" s="15">
        <f t="shared" si="38"/>
        <v>0.6</v>
      </c>
      <c r="J89" s="16">
        <f>VLOOKUP(G89,Inputs!$L$3:$P$15,5,FALSE)</f>
        <v>2000</v>
      </c>
      <c r="K89" s="16">
        <f t="shared" si="39"/>
        <v>1825</v>
      </c>
      <c r="L89" s="79">
        <f>Inputs!$P$8-B89</f>
        <v>283.90260000000001</v>
      </c>
      <c r="M89" s="79">
        <f>Inputs!$Q$8+L89*0.433</f>
        <v>1947.9298257999999</v>
      </c>
      <c r="N89" s="82">
        <f t="shared" si="40"/>
        <v>103999.92</v>
      </c>
      <c r="O89" s="83">
        <f t="shared" si="41"/>
        <v>654.28840000000002</v>
      </c>
      <c r="P89" s="84">
        <f>IF(O89="","",Inputs!$C$5-O89)</f>
        <v>170.89609999999993</v>
      </c>
      <c r="Q89" s="83">
        <f>IF(N89="","",TS!J89)</f>
        <v>2000</v>
      </c>
      <c r="R89" s="83">
        <f>IF(N89="","",TS!K89)</f>
        <v>1825</v>
      </c>
      <c r="S89" s="83">
        <f>Inputs!$H$5+TS!P89*0.4333</f>
        <v>1949.0149965799999</v>
      </c>
      <c r="T89" s="83">
        <f>Inputs!$G$5+TS!P89*0.4333</f>
        <v>1964.0149965799999</v>
      </c>
      <c r="U89" s="85">
        <f t="shared" si="42"/>
        <v>0.98200749828999989</v>
      </c>
      <c r="V89" s="86">
        <f>O89-MAX(O89:O177)</f>
        <v>-5.4399999999986903E-2</v>
      </c>
      <c r="W89" s="86">
        <f t="shared" si="32"/>
        <v>2.3555199999994329E-2</v>
      </c>
      <c r="X89" s="86" t="e">
        <f>((PI()*((42-2*'Gen Calcs'!$E$13)^2)/4)/144)*(A132-#REF!)*(W89+14.7)/14.7</f>
        <v>#REF!</v>
      </c>
      <c r="Y89" s="86" t="e">
        <f t="shared" si="33"/>
        <v>#REF!</v>
      </c>
      <c r="Z89" s="86" t="e">
        <f t="shared" si="45"/>
        <v>#REF!</v>
      </c>
      <c r="AA89" s="83">
        <f>MAX(B$2:B89)-B89</f>
        <v>170.89609999999993</v>
      </c>
      <c r="AB89" s="83">
        <f t="shared" si="34"/>
        <v>73.998011299999973</v>
      </c>
      <c r="AC89" s="83">
        <f t="shared" si="35"/>
        <v>101.34324506478531</v>
      </c>
      <c r="AD89" s="72">
        <f t="shared" si="36"/>
        <v>101.34324506478531</v>
      </c>
      <c r="AE89" s="73">
        <f t="shared" si="43"/>
        <v>641.17329953787498</v>
      </c>
      <c r="AF89" s="73">
        <f>SUM(AE$2:AE89)</f>
        <v>73465.739193591056</v>
      </c>
      <c r="AG89" s="73">
        <f t="shared" si="44"/>
        <v>1100264.1632335181</v>
      </c>
    </row>
    <row r="90" spans="1:33" x14ac:dyDescent="0.25">
      <c r="A90" s="100">
        <v>104099.92</v>
      </c>
      <c r="B90" s="97">
        <v>654.34280000000001</v>
      </c>
      <c r="C90" s="97">
        <v>0.6</v>
      </c>
      <c r="D90" s="80">
        <f t="shared" si="30"/>
        <v>100</v>
      </c>
      <c r="E90" s="81">
        <f t="shared" si="37"/>
        <v>6791.2436711181272</v>
      </c>
      <c r="F90" s="81">
        <f>SUM(E$2:E90)</f>
        <v>556070.9714080547</v>
      </c>
      <c r="G90" s="43">
        <f t="shared" si="31"/>
        <v>1</v>
      </c>
      <c r="H90" s="78">
        <v>1</v>
      </c>
      <c r="I90" s="15">
        <f t="shared" si="38"/>
        <v>0.6</v>
      </c>
      <c r="J90" s="16">
        <f>VLOOKUP(G90,Inputs!$L$3:$P$15,5,FALSE)</f>
        <v>2000</v>
      </c>
      <c r="K90" s="16">
        <f t="shared" si="39"/>
        <v>1825</v>
      </c>
      <c r="L90" s="79">
        <f>Inputs!$P$8-B90</f>
        <v>283.84820000000002</v>
      </c>
      <c r="M90" s="79">
        <f>Inputs!$Q$8+L90*0.433</f>
        <v>1947.9062706</v>
      </c>
      <c r="N90" s="82">
        <f t="shared" si="40"/>
        <v>104099.92</v>
      </c>
      <c r="O90" s="83">
        <f t="shared" si="41"/>
        <v>654.34280000000001</v>
      </c>
      <c r="P90" s="84">
        <f>IF(O90="","",Inputs!$C$5-O90)</f>
        <v>170.84169999999995</v>
      </c>
      <c r="Q90" s="83">
        <f>IF(N90="","",TS!J90)</f>
        <v>2000</v>
      </c>
      <c r="R90" s="83">
        <f>IF(N90="","",TS!K90)</f>
        <v>1825</v>
      </c>
      <c r="S90" s="83">
        <f>Inputs!$H$5+TS!P90*0.4333</f>
        <v>1948.99142506</v>
      </c>
      <c r="T90" s="83">
        <f>Inputs!$G$5+TS!P90*0.4333</f>
        <v>1963.99142506</v>
      </c>
      <c r="U90" s="85">
        <f t="shared" si="42"/>
        <v>0.98199571252999995</v>
      </c>
      <c r="V90" s="86">
        <f>O90-MAX(O90:O177)</f>
        <v>0</v>
      </c>
      <c r="W90" s="86">
        <f t="shared" si="32"/>
        <v>0</v>
      </c>
      <c r="X90" s="86" t="e">
        <f>((PI()*((42-2*'Gen Calcs'!$E$13)^2)/4)/144)*(A133-#REF!)*(W90+14.7)/14.7</f>
        <v>#REF!</v>
      </c>
      <c r="Y90" s="86" t="e">
        <f t="shared" si="33"/>
        <v>#REF!</v>
      </c>
      <c r="Z90" s="86" t="e">
        <f t="shared" si="45"/>
        <v>#REF!</v>
      </c>
      <c r="AA90" s="83">
        <f>MAX(B$2:B90)-B90</f>
        <v>170.84169999999995</v>
      </c>
      <c r="AB90" s="83">
        <f t="shared" si="34"/>
        <v>73.974456099999969</v>
      </c>
      <c r="AC90" s="83">
        <f t="shared" si="35"/>
        <v>101.42694094381396</v>
      </c>
      <c r="AD90" s="72">
        <f t="shared" si="36"/>
        <v>101.42694094381396</v>
      </c>
      <c r="AE90" s="73">
        <f t="shared" si="43"/>
        <v>907.92027688745009</v>
      </c>
      <c r="AF90" s="73">
        <f>SUM(AE$2:AE90)</f>
        <v>74373.659470478509</v>
      </c>
      <c r="AG90" s="73">
        <f t="shared" si="44"/>
        <v>1099356.2429566307</v>
      </c>
    </row>
    <row r="91" spans="1:33" x14ac:dyDescent="0.25">
      <c r="A91" s="99">
        <v>104199.92</v>
      </c>
      <c r="B91" s="96">
        <v>653.0222</v>
      </c>
      <c r="C91" s="96">
        <v>0.6</v>
      </c>
      <c r="D91" s="80">
        <f t="shared" si="30"/>
        <v>100</v>
      </c>
      <c r="E91" s="81">
        <f t="shared" si="37"/>
        <v>6791.2436711181272</v>
      </c>
      <c r="F91" s="81">
        <f>SUM(E$2:E91)</f>
        <v>562862.21507917286</v>
      </c>
      <c r="G91" s="43">
        <f t="shared" si="31"/>
        <v>1</v>
      </c>
      <c r="H91" s="78">
        <v>1</v>
      </c>
      <c r="I91" s="15">
        <f t="shared" si="38"/>
        <v>0.6</v>
      </c>
      <c r="J91" s="16">
        <f>VLOOKUP(G91,Inputs!$L$3:$P$15,5,FALSE)</f>
        <v>2000</v>
      </c>
      <c r="K91" s="16">
        <f t="shared" si="39"/>
        <v>1825</v>
      </c>
      <c r="L91" s="79">
        <f>Inputs!$P$8-B91</f>
        <v>285.16880000000003</v>
      </c>
      <c r="M91" s="79">
        <f>Inputs!$Q$8+L91*0.433</f>
        <v>1948.4780903999999</v>
      </c>
      <c r="N91" s="82">
        <f t="shared" si="40"/>
        <v>104199.92</v>
      </c>
      <c r="O91" s="83">
        <f t="shared" si="41"/>
        <v>653.0222</v>
      </c>
      <c r="P91" s="84">
        <f>IF(O91="","",Inputs!$C$5-O91)</f>
        <v>172.16229999999996</v>
      </c>
      <c r="Q91" s="83">
        <f>IF(N91="","",TS!J91)</f>
        <v>2000</v>
      </c>
      <c r="R91" s="83">
        <f>IF(N91="","",TS!K91)</f>
        <v>1825</v>
      </c>
      <c r="S91" s="83">
        <f>Inputs!$H$5+TS!P91*0.4333</f>
        <v>1949.56364104</v>
      </c>
      <c r="T91" s="83">
        <f>Inputs!$G$5+TS!P91*0.4333</f>
        <v>1964.56364104</v>
      </c>
      <c r="U91" s="85">
        <f t="shared" si="42"/>
        <v>0.98228182052000002</v>
      </c>
      <c r="V91" s="86">
        <f>O91-MAX(O91:O177)</f>
        <v>0</v>
      </c>
      <c r="W91" s="86">
        <f t="shared" si="32"/>
        <v>0</v>
      </c>
      <c r="X91" s="86" t="e">
        <f>((PI()*((42-2*'Gen Calcs'!$E$13)^2)/4)/144)*(A134-#REF!)*(W91+14.7)/14.7</f>
        <v>#REF!</v>
      </c>
      <c r="Y91" s="86" t="e">
        <f t="shared" si="33"/>
        <v>#REF!</v>
      </c>
      <c r="Z91" s="86" t="e">
        <f t="shared" si="45"/>
        <v>#REF!</v>
      </c>
      <c r="AA91" s="83">
        <f>MAX(B$2:B91)-B91</f>
        <v>172.16229999999996</v>
      </c>
      <c r="AB91" s="83">
        <f t="shared" si="34"/>
        <v>74.546275899999983</v>
      </c>
      <c r="AC91" s="83">
        <f t="shared" si="35"/>
        <v>101.51077518016739</v>
      </c>
      <c r="AD91" s="72">
        <f t="shared" si="36"/>
        <v>101.51077518016739</v>
      </c>
      <c r="AE91" s="73">
        <f t="shared" si="43"/>
        <v>907.92027688745009</v>
      </c>
      <c r="AF91" s="73">
        <f>SUM(AE$2:AE91)</f>
        <v>75281.579747365962</v>
      </c>
      <c r="AG91" s="73">
        <f t="shared" si="44"/>
        <v>1098448.3226797432</v>
      </c>
    </row>
    <row r="92" spans="1:33" x14ac:dyDescent="0.25">
      <c r="A92" s="100">
        <v>104299.92</v>
      </c>
      <c r="B92" s="97">
        <v>651.2192</v>
      </c>
      <c r="C92" s="97">
        <v>0.6</v>
      </c>
      <c r="D92" s="80">
        <f t="shared" si="30"/>
        <v>100</v>
      </c>
      <c r="E92" s="81">
        <f t="shared" si="37"/>
        <v>6791.2436711181272</v>
      </c>
      <c r="F92" s="81">
        <f>SUM(E$2:E92)</f>
        <v>569653.45875029103</v>
      </c>
      <c r="G92" s="43">
        <f t="shared" si="31"/>
        <v>1</v>
      </c>
      <c r="H92" s="78">
        <v>1</v>
      </c>
      <c r="I92" s="15">
        <f t="shared" si="38"/>
        <v>0.6</v>
      </c>
      <c r="J92" s="16">
        <f>VLOOKUP(G92,Inputs!$L$3:$P$15,5,FALSE)</f>
        <v>2000</v>
      </c>
      <c r="K92" s="16">
        <f t="shared" si="39"/>
        <v>1825</v>
      </c>
      <c r="L92" s="79">
        <f>Inputs!$P$8-B92</f>
        <v>286.97180000000003</v>
      </c>
      <c r="M92" s="79">
        <f>Inputs!$Q$8+L92*0.433</f>
        <v>1949.2587894000001</v>
      </c>
      <c r="N92" s="82">
        <f t="shared" si="40"/>
        <v>104299.92</v>
      </c>
      <c r="O92" s="83">
        <f t="shared" si="41"/>
        <v>651.2192</v>
      </c>
      <c r="P92" s="84">
        <f>IF(O92="","",Inputs!$C$5-O92)</f>
        <v>173.96529999999996</v>
      </c>
      <c r="Q92" s="83">
        <f>IF(N92="","",TS!J92)</f>
        <v>2000</v>
      </c>
      <c r="R92" s="83">
        <f>IF(N92="","",TS!K92)</f>
        <v>1825</v>
      </c>
      <c r="S92" s="83">
        <f>Inputs!$H$5+TS!P92*0.4333</f>
        <v>1950.3448809399999</v>
      </c>
      <c r="T92" s="83">
        <f>Inputs!$G$5+TS!P92*0.4333</f>
        <v>1965.3448809399999</v>
      </c>
      <c r="U92" s="85">
        <f t="shared" si="42"/>
        <v>0.98267244047000002</v>
      </c>
      <c r="V92" s="86"/>
      <c r="W92" s="86"/>
      <c r="X92" s="86"/>
      <c r="Y92" s="86"/>
      <c r="Z92" s="86"/>
      <c r="AA92" s="83">
        <f>MAX(B$2:B92)-B92</f>
        <v>173.96529999999996</v>
      </c>
      <c r="AB92" s="83">
        <f t="shared" si="34"/>
        <v>75.326974899999982</v>
      </c>
      <c r="AC92" s="83">
        <f t="shared" si="35"/>
        <v>101.59474811720629</v>
      </c>
      <c r="AD92" s="72">
        <f t="shared" si="36"/>
        <v>101.59474811720629</v>
      </c>
      <c r="AE92" s="73">
        <f t="shared" si="43"/>
        <v>907.92027688745009</v>
      </c>
      <c r="AF92" s="73">
        <f>SUM(AE$2:AE92)</f>
        <v>76189.500024253415</v>
      </c>
      <c r="AG92" s="73">
        <f t="shared" si="44"/>
        <v>1097540.4024028557</v>
      </c>
    </row>
    <row r="93" spans="1:33" x14ac:dyDescent="0.25">
      <c r="A93" s="99">
        <v>104399.92</v>
      </c>
      <c r="B93" s="96">
        <v>648.79340000000002</v>
      </c>
      <c r="C93" s="96">
        <v>0.6</v>
      </c>
      <c r="D93" s="80">
        <f t="shared" si="30"/>
        <v>100</v>
      </c>
      <c r="E93" s="81">
        <f t="shared" si="37"/>
        <v>6791.2436711181272</v>
      </c>
      <c r="F93" s="81">
        <f>SUM(E$2:E93)</f>
        <v>576444.70242140919</v>
      </c>
      <c r="G93" s="43">
        <f t="shared" si="31"/>
        <v>1</v>
      </c>
      <c r="H93" s="78">
        <v>1</v>
      </c>
      <c r="I93" s="15">
        <f t="shared" si="38"/>
        <v>0.6</v>
      </c>
      <c r="J93" s="16">
        <f>VLOOKUP(G93,Inputs!$L$3:$P$15,5,FALSE)</f>
        <v>2000</v>
      </c>
      <c r="K93" s="16">
        <f t="shared" si="39"/>
        <v>1825</v>
      </c>
      <c r="L93" s="79">
        <f>Inputs!$P$8-B93</f>
        <v>289.39760000000001</v>
      </c>
      <c r="M93" s="79">
        <f>Inputs!$Q$8+L93*0.433</f>
        <v>1950.3091608</v>
      </c>
      <c r="N93" s="82">
        <f t="shared" si="40"/>
        <v>104399.92</v>
      </c>
      <c r="O93" s="83">
        <f t="shared" si="41"/>
        <v>648.79340000000002</v>
      </c>
      <c r="P93" s="84">
        <f>IF(O93="","",Inputs!$C$5-O93)</f>
        <v>176.39109999999994</v>
      </c>
      <c r="Q93" s="83">
        <f>IF(N93="","",TS!J93)</f>
        <v>2000</v>
      </c>
      <c r="R93" s="83">
        <f>IF(N93="","",TS!K93)</f>
        <v>1825</v>
      </c>
      <c r="S93" s="83">
        <f>Inputs!$H$5+TS!P93*0.4333</f>
        <v>1951.3959800799998</v>
      </c>
      <c r="T93" s="83">
        <f>Inputs!$G$5+TS!P93*0.4333</f>
        <v>1966.3959800799998</v>
      </c>
      <c r="U93" s="85">
        <f t="shared" si="42"/>
        <v>0.98319799003999997</v>
      </c>
      <c r="V93" s="86"/>
      <c r="W93" s="86"/>
      <c r="X93" s="86"/>
      <c r="Y93" s="86"/>
      <c r="Z93" s="86"/>
      <c r="AA93" s="83">
        <f>MAX(B$2:B93)-B93</f>
        <v>176.39109999999994</v>
      </c>
      <c r="AB93" s="83">
        <f t="shared" si="34"/>
        <v>76.377346299999971</v>
      </c>
      <c r="AC93" s="83">
        <f t="shared" si="35"/>
        <v>101.67886009942852</v>
      </c>
      <c r="AD93" s="72">
        <f t="shared" si="36"/>
        <v>101.67886009942852</v>
      </c>
      <c r="AE93" s="73">
        <f t="shared" si="43"/>
        <v>907.92027688745009</v>
      </c>
      <c r="AF93" s="73">
        <f>SUM(AE$2:AE93)</f>
        <v>77097.420301140868</v>
      </c>
      <c r="AG93" s="73">
        <f t="shared" si="44"/>
        <v>1096632.4821259682</v>
      </c>
    </row>
    <row r="94" spans="1:33" x14ac:dyDescent="0.25">
      <c r="A94" s="100">
        <v>104499.92</v>
      </c>
      <c r="B94" s="97">
        <v>646.48009999999999</v>
      </c>
      <c r="C94" s="97">
        <v>0.6</v>
      </c>
      <c r="D94" s="80">
        <f t="shared" si="30"/>
        <v>100</v>
      </c>
      <c r="E94" s="81">
        <f t="shared" si="37"/>
        <v>6791.2436711181272</v>
      </c>
      <c r="F94" s="81">
        <f>SUM(E$2:E94)</f>
        <v>583235.94609252736</v>
      </c>
      <c r="G94" s="43">
        <f t="shared" si="31"/>
        <v>1</v>
      </c>
      <c r="H94" s="78">
        <v>1</v>
      </c>
      <c r="I94" s="15">
        <f t="shared" si="38"/>
        <v>0.6</v>
      </c>
      <c r="J94" s="16">
        <f>VLOOKUP(G94,Inputs!$L$3:$P$15,5,FALSE)</f>
        <v>2000</v>
      </c>
      <c r="K94" s="16">
        <f t="shared" si="39"/>
        <v>1825</v>
      </c>
      <c r="L94" s="79">
        <f>Inputs!$P$8-B94</f>
        <v>291.71090000000004</v>
      </c>
      <c r="M94" s="79">
        <f>Inputs!$Q$8+L94*0.433</f>
        <v>1951.3108196999999</v>
      </c>
      <c r="N94" s="82">
        <f t="shared" si="40"/>
        <v>104499.92</v>
      </c>
      <c r="O94" s="83">
        <f t="shared" si="41"/>
        <v>646.48009999999999</v>
      </c>
      <c r="P94" s="84">
        <f>IF(O94="","",Inputs!$C$5-O94)</f>
        <v>178.70439999999996</v>
      </c>
      <c r="Q94" s="83">
        <f>IF(N94="","",TS!J94)</f>
        <v>2000</v>
      </c>
      <c r="R94" s="83">
        <f>IF(N94="","",TS!K94)</f>
        <v>1825</v>
      </c>
      <c r="S94" s="83">
        <f>Inputs!$H$5+TS!P94*0.4333</f>
        <v>1952.39833297</v>
      </c>
      <c r="T94" s="83">
        <f>Inputs!$G$5+TS!P94*0.4333</f>
        <v>1967.39833297</v>
      </c>
      <c r="U94" s="85">
        <f t="shared" si="42"/>
        <v>0.983699166485</v>
      </c>
      <c r="V94" s="86">
        <f>O94-MAX(O94:O177)</f>
        <v>-4.6770999999999958</v>
      </c>
      <c r="W94" s="86">
        <f t="shared" ref="W94:W125" si="46">-(V94)*0.433</f>
        <v>2.025184299999998</v>
      </c>
      <c r="X94" s="86" t="e">
        <f>((PI()*((42-2*'Gen Calcs'!$E$13)^2)/4)/144)*(A137-#REF!)*(W94+14.7)/14.7</f>
        <v>#REF!</v>
      </c>
      <c r="Y94" s="86" t="e">
        <f t="shared" ref="Y94:Y125" si="47">X94/1000</f>
        <v>#REF!</v>
      </c>
      <c r="Z94" s="86" t="e">
        <f>IF(Y94&gt;Z91,Y94,Z91)</f>
        <v>#REF!</v>
      </c>
      <c r="AA94" s="83">
        <f>MAX(B$2:B94)-B94</f>
        <v>178.70439999999996</v>
      </c>
      <c r="AB94" s="83">
        <f t="shared" si="34"/>
        <v>77.37900519999998</v>
      </c>
      <c r="AC94" s="83">
        <f t="shared" si="35"/>
        <v>101.76311147247364</v>
      </c>
      <c r="AD94" s="72">
        <f t="shared" si="36"/>
        <v>101.76311147247364</v>
      </c>
      <c r="AE94" s="73">
        <f t="shared" si="43"/>
        <v>907.92027688745009</v>
      </c>
      <c r="AF94" s="73">
        <f>SUM(AE$2:AE94)</f>
        <v>78005.340578028321</v>
      </c>
      <c r="AG94" s="73">
        <f t="shared" si="44"/>
        <v>1095724.561849081</v>
      </c>
    </row>
    <row r="95" spans="1:33" x14ac:dyDescent="0.25">
      <c r="A95" s="99">
        <v>104599.92</v>
      </c>
      <c r="B95" s="96">
        <v>645.92719999999997</v>
      </c>
      <c r="C95" s="96">
        <v>0.6</v>
      </c>
      <c r="D95" s="80">
        <f t="shared" si="30"/>
        <v>100</v>
      </c>
      <c r="E95" s="81">
        <f t="shared" si="37"/>
        <v>6791.2436711181272</v>
      </c>
      <c r="F95" s="81">
        <f>SUM(E$2:E95)</f>
        <v>590027.18976364553</v>
      </c>
      <c r="G95" s="43">
        <f t="shared" si="31"/>
        <v>1</v>
      </c>
      <c r="H95" s="78">
        <v>1</v>
      </c>
      <c r="I95" s="15">
        <f t="shared" si="38"/>
        <v>0.6</v>
      </c>
      <c r="J95" s="16">
        <f>VLOOKUP(G95,Inputs!$L$3:$P$15,5,FALSE)</f>
        <v>2000</v>
      </c>
      <c r="K95" s="16">
        <f t="shared" si="39"/>
        <v>1825</v>
      </c>
      <c r="L95" s="79">
        <f>Inputs!$P$8-B95</f>
        <v>292.26380000000006</v>
      </c>
      <c r="M95" s="79">
        <f>Inputs!$Q$8+L95*0.433</f>
        <v>1951.5502254</v>
      </c>
      <c r="N95" s="82">
        <f t="shared" si="40"/>
        <v>104599.92</v>
      </c>
      <c r="O95" s="83">
        <f t="shared" si="41"/>
        <v>645.92719999999997</v>
      </c>
      <c r="P95" s="84">
        <f>IF(O95="","",Inputs!$C$5-O95)</f>
        <v>179.25729999999999</v>
      </c>
      <c r="Q95" s="83">
        <f>IF(N95="","",TS!J95)</f>
        <v>2000</v>
      </c>
      <c r="R95" s="83">
        <f>IF(N95="","",TS!K95)</f>
        <v>1825</v>
      </c>
      <c r="S95" s="83">
        <f>Inputs!$H$5+TS!P95*0.4333</f>
        <v>1952.6379045399999</v>
      </c>
      <c r="T95" s="83">
        <f>Inputs!$G$5+TS!P95*0.4333</f>
        <v>1967.6379045399999</v>
      </c>
      <c r="U95" s="85">
        <f t="shared" si="42"/>
        <v>0.98381895226999994</v>
      </c>
      <c r="V95" s="86">
        <f>O95-MAX(O95:O177)</f>
        <v>-5.2300000000000182</v>
      </c>
      <c r="W95" s="86">
        <f t="shared" si="46"/>
        <v>2.2645900000000077</v>
      </c>
      <c r="X95" s="86" t="e">
        <f>((PI()*((42-2*'Gen Calcs'!$E$13)^2)/4)/144)*(A138-#REF!)*(W95+14.7)/14.7</f>
        <v>#REF!</v>
      </c>
      <c r="Y95" s="86" t="e">
        <f t="shared" si="47"/>
        <v>#REF!</v>
      </c>
      <c r="Z95" s="86" t="e">
        <f t="shared" ref="Z95:Z126" si="48">IF(Y95&gt;Z94,Y95,Z94)</f>
        <v>#REF!</v>
      </c>
      <c r="AA95" s="83">
        <f>MAX(B$2:B95)-B95</f>
        <v>179.25729999999999</v>
      </c>
      <c r="AB95" s="83">
        <f t="shared" si="34"/>
        <v>77.618410899999986</v>
      </c>
      <c r="AC95" s="83">
        <f t="shared" si="35"/>
        <v>101.84750258312788</v>
      </c>
      <c r="AD95" s="72">
        <f t="shared" si="36"/>
        <v>101.84750258312788</v>
      </c>
      <c r="AE95" s="73">
        <f t="shared" si="43"/>
        <v>907.92027688745009</v>
      </c>
      <c r="AF95" s="73">
        <f>SUM(AE$2:AE95)</f>
        <v>78913.260854915774</v>
      </c>
      <c r="AG95" s="73">
        <f t="shared" si="44"/>
        <v>1094816.6415721935</v>
      </c>
    </row>
    <row r="96" spans="1:33" x14ac:dyDescent="0.25">
      <c r="A96" s="100">
        <v>104699.92</v>
      </c>
      <c r="B96" s="97">
        <v>644.42859999999996</v>
      </c>
      <c r="C96" s="97">
        <v>0.6</v>
      </c>
      <c r="D96" s="80">
        <f t="shared" si="30"/>
        <v>100</v>
      </c>
      <c r="E96" s="81">
        <f t="shared" si="37"/>
        <v>6791.2436711181272</v>
      </c>
      <c r="F96" s="81">
        <f>SUM(E$2:E96)</f>
        <v>596818.43343476369</v>
      </c>
      <c r="G96" s="43">
        <f t="shared" si="31"/>
        <v>1</v>
      </c>
      <c r="H96" s="78">
        <v>1</v>
      </c>
      <c r="I96" s="15">
        <f t="shared" si="38"/>
        <v>0.6</v>
      </c>
      <c r="J96" s="16">
        <f>VLOOKUP(G96,Inputs!$L$3:$P$15,5,FALSE)</f>
        <v>2000</v>
      </c>
      <c r="K96" s="16">
        <f t="shared" si="39"/>
        <v>1825</v>
      </c>
      <c r="L96" s="79">
        <f>Inputs!$P$8-B96</f>
        <v>293.76240000000007</v>
      </c>
      <c r="M96" s="79">
        <f>Inputs!$Q$8+L96*0.433</f>
        <v>1952.1991192</v>
      </c>
      <c r="N96" s="82">
        <f t="shared" si="40"/>
        <v>104699.92</v>
      </c>
      <c r="O96" s="83">
        <f t="shared" si="41"/>
        <v>644.42859999999996</v>
      </c>
      <c r="P96" s="84">
        <f>IF(O96="","",Inputs!$C$5-O96)</f>
        <v>180.7559</v>
      </c>
      <c r="Q96" s="83">
        <f>IF(N96="","",TS!J96)</f>
        <v>2000</v>
      </c>
      <c r="R96" s="83">
        <f>IF(N96="","",TS!K96)</f>
        <v>1825</v>
      </c>
      <c r="S96" s="83">
        <f>Inputs!$H$5+TS!P96*0.4333</f>
        <v>1953.28724792</v>
      </c>
      <c r="T96" s="83">
        <f>Inputs!$G$5+TS!P96*0.4333</f>
        <v>1968.28724792</v>
      </c>
      <c r="U96" s="85">
        <f t="shared" si="42"/>
        <v>0.98414362395999999</v>
      </c>
      <c r="V96" s="86">
        <f>O96-MAX(O96:O177)</f>
        <v>-6.7286000000000286</v>
      </c>
      <c r="W96" s="86">
        <f t="shared" si="46"/>
        <v>2.9134838000000123</v>
      </c>
      <c r="X96" s="86" t="e">
        <f>((PI()*((42-2*'Gen Calcs'!$E$13)^2)/4)/144)*(A139-#REF!)*(W96+14.7)/14.7</f>
        <v>#REF!</v>
      </c>
      <c r="Y96" s="86" t="e">
        <f t="shared" si="47"/>
        <v>#REF!</v>
      </c>
      <c r="Z96" s="86" t="e">
        <f t="shared" si="48"/>
        <v>#REF!</v>
      </c>
      <c r="AA96" s="83">
        <f>MAX(B$2:B96)-B96</f>
        <v>180.7559</v>
      </c>
      <c r="AB96" s="83">
        <f t="shared" si="34"/>
        <v>78.267304699999997</v>
      </c>
      <c r="AC96" s="83">
        <f t="shared" si="35"/>
        <v>101.93203377932868</v>
      </c>
      <c r="AD96" s="72">
        <f t="shared" si="36"/>
        <v>101.93203377932868</v>
      </c>
      <c r="AE96" s="73">
        <f t="shared" si="43"/>
        <v>907.92027688745009</v>
      </c>
      <c r="AF96" s="73">
        <f>SUM(AE$2:AE96)</f>
        <v>79821.181131803227</v>
      </c>
      <c r="AG96" s="73">
        <f t="shared" si="44"/>
        <v>1093908.721295306</v>
      </c>
    </row>
    <row r="97" spans="1:33" x14ac:dyDescent="0.25">
      <c r="A97" s="99">
        <v>104799.92</v>
      </c>
      <c r="B97" s="96">
        <v>642.63789999999995</v>
      </c>
      <c r="C97" s="96">
        <v>0.6</v>
      </c>
      <c r="D97" s="80">
        <f t="shared" si="30"/>
        <v>100</v>
      </c>
      <c r="E97" s="81">
        <f t="shared" si="37"/>
        <v>6791.2436711181272</v>
      </c>
      <c r="F97" s="81">
        <f>SUM(E$2:E97)</f>
        <v>603609.67710588186</v>
      </c>
      <c r="G97" s="43">
        <f t="shared" si="31"/>
        <v>1</v>
      </c>
      <c r="H97" s="78">
        <v>1</v>
      </c>
      <c r="I97" s="15">
        <f t="shared" si="38"/>
        <v>0.6</v>
      </c>
      <c r="J97" s="16">
        <f>VLOOKUP(G97,Inputs!$L$3:$P$15,5,FALSE)</f>
        <v>2000</v>
      </c>
      <c r="K97" s="16">
        <f t="shared" si="39"/>
        <v>1825</v>
      </c>
      <c r="L97" s="79">
        <f>Inputs!$P$8-B97</f>
        <v>295.55310000000009</v>
      </c>
      <c r="M97" s="79">
        <f>Inputs!$Q$8+L97*0.433</f>
        <v>1952.9744923000001</v>
      </c>
      <c r="N97" s="82">
        <f t="shared" si="40"/>
        <v>104799.92</v>
      </c>
      <c r="O97" s="83">
        <f t="shared" si="41"/>
        <v>642.63789999999995</v>
      </c>
      <c r="P97" s="84">
        <f>IF(O97="","",Inputs!$C$5-O97)</f>
        <v>182.54660000000001</v>
      </c>
      <c r="Q97" s="83">
        <f>IF(N97="","",TS!J97)</f>
        <v>2000</v>
      </c>
      <c r="R97" s="83">
        <f>IF(N97="","",TS!K97)</f>
        <v>1825</v>
      </c>
      <c r="S97" s="83">
        <f>Inputs!$H$5+TS!P97*0.4333</f>
        <v>1954.06315823</v>
      </c>
      <c r="T97" s="83">
        <f>Inputs!$G$5+TS!P97*0.4333</f>
        <v>1969.06315823</v>
      </c>
      <c r="U97" s="85">
        <f t="shared" si="42"/>
        <v>0.984531579115</v>
      </c>
      <c r="V97" s="86">
        <f>O97-MAX(O97:O177)</f>
        <v>-8.5193000000000438</v>
      </c>
      <c r="W97" s="86">
        <f t="shared" si="46"/>
        <v>3.6888569000000189</v>
      </c>
      <c r="X97" s="86" t="e">
        <f>((PI()*((42-2*'Gen Calcs'!$E$13)^2)/4)/144)*(A140-#REF!)*(W97+14.7)/14.7</f>
        <v>#REF!</v>
      </c>
      <c r="Y97" s="86" t="e">
        <f t="shared" si="47"/>
        <v>#REF!</v>
      </c>
      <c r="Z97" s="86" t="e">
        <f t="shared" si="48"/>
        <v>#REF!</v>
      </c>
      <c r="AA97" s="83">
        <f>MAX(B$2:B97)-B97</f>
        <v>182.54660000000001</v>
      </c>
      <c r="AB97" s="83">
        <f t="shared" si="34"/>
        <v>79.042677800000007</v>
      </c>
      <c r="AC97" s="83">
        <f t="shared" si="35"/>
        <v>102.01670541016956</v>
      </c>
      <c r="AD97" s="72">
        <f t="shared" si="36"/>
        <v>102.01670541016956</v>
      </c>
      <c r="AE97" s="73">
        <f t="shared" si="43"/>
        <v>907.92027688745009</v>
      </c>
      <c r="AF97" s="73">
        <f>SUM(AE$2:AE97)</f>
        <v>80729.10140869068</v>
      </c>
      <c r="AG97" s="73">
        <f t="shared" si="44"/>
        <v>1093000.8010184185</v>
      </c>
    </row>
    <row r="98" spans="1:33" x14ac:dyDescent="0.25">
      <c r="A98" s="100">
        <v>104899.92</v>
      </c>
      <c r="B98" s="97">
        <v>642.40009999999995</v>
      </c>
      <c r="C98" s="97">
        <v>0.6</v>
      </c>
      <c r="D98" s="80">
        <f t="shared" si="30"/>
        <v>100</v>
      </c>
      <c r="E98" s="81">
        <f t="shared" si="37"/>
        <v>6791.2436711181272</v>
      </c>
      <c r="F98" s="81">
        <f>SUM(E$2:E98)</f>
        <v>610400.92077700002</v>
      </c>
      <c r="G98" s="43">
        <f t="shared" si="31"/>
        <v>1</v>
      </c>
      <c r="H98" s="78">
        <v>1</v>
      </c>
      <c r="I98" s="15">
        <f t="shared" si="38"/>
        <v>0.6</v>
      </c>
      <c r="J98" s="16">
        <f>VLOOKUP(G98,Inputs!$L$3:$P$15,5,FALSE)</f>
        <v>2000</v>
      </c>
      <c r="K98" s="16">
        <f t="shared" si="39"/>
        <v>1825</v>
      </c>
      <c r="L98" s="79">
        <f>Inputs!$P$8-B98</f>
        <v>295.79090000000008</v>
      </c>
      <c r="M98" s="79">
        <f>Inputs!$Q$8+L98*0.433</f>
        <v>1953.0774597</v>
      </c>
      <c r="N98" s="82">
        <f t="shared" si="40"/>
        <v>104899.92</v>
      </c>
      <c r="O98" s="83">
        <f t="shared" si="41"/>
        <v>642.40009999999995</v>
      </c>
      <c r="P98" s="84">
        <f>IF(O98="","",Inputs!$C$5-O98)</f>
        <v>182.78440000000001</v>
      </c>
      <c r="Q98" s="83">
        <f>IF(N98="","",TS!J98)</f>
        <v>2000</v>
      </c>
      <c r="R98" s="83">
        <f>IF(N98="","",TS!K98)</f>
        <v>1825</v>
      </c>
      <c r="S98" s="83">
        <f>Inputs!$H$5+TS!P98*0.4333</f>
        <v>1954.1661969699999</v>
      </c>
      <c r="T98" s="83">
        <f>Inputs!$G$5+TS!P98*0.4333</f>
        <v>1969.1661969699999</v>
      </c>
      <c r="U98" s="85">
        <f t="shared" si="42"/>
        <v>0.98458309848499992</v>
      </c>
      <c r="V98" s="86">
        <f>O98-MAX(O98:O177)</f>
        <v>-8.7571000000000367</v>
      </c>
      <c r="W98" s="86">
        <f t="shared" si="46"/>
        <v>3.791824300000016</v>
      </c>
      <c r="X98" s="86" t="e">
        <f>((PI()*((42-2*'Gen Calcs'!$E$13)^2)/4)/144)*(A141-#REF!)*(W98+14.7)/14.7</f>
        <v>#REF!</v>
      </c>
      <c r="Y98" s="86" t="e">
        <f t="shared" si="47"/>
        <v>#REF!</v>
      </c>
      <c r="Z98" s="86" t="e">
        <f t="shared" si="48"/>
        <v>#REF!</v>
      </c>
      <c r="AA98" s="83">
        <f>MAX(B$2:B98)-B98</f>
        <v>182.78440000000001</v>
      </c>
      <c r="AB98" s="83">
        <f t="shared" si="34"/>
        <v>79.145645200000004</v>
      </c>
      <c r="AC98" s="83">
        <f t="shared" si="35"/>
        <v>102.10151782590499</v>
      </c>
      <c r="AD98" s="72">
        <f t="shared" si="36"/>
        <v>102.10151782590499</v>
      </c>
      <c r="AE98" s="73">
        <f t="shared" si="43"/>
        <v>907.92027688745009</v>
      </c>
      <c r="AF98" s="73">
        <f>SUM(AE$2:AE98)</f>
        <v>81637.021685578133</v>
      </c>
      <c r="AG98" s="73">
        <f t="shared" si="44"/>
        <v>1092092.880741531</v>
      </c>
    </row>
    <row r="99" spans="1:33" x14ac:dyDescent="0.25">
      <c r="A99" s="99">
        <v>104999.92</v>
      </c>
      <c r="B99" s="96">
        <v>641.60040000000004</v>
      </c>
      <c r="C99" s="96">
        <v>0.6</v>
      </c>
      <c r="D99" s="80">
        <f t="shared" si="30"/>
        <v>100</v>
      </c>
      <c r="E99" s="81">
        <f t="shared" si="37"/>
        <v>6616.6076625842816</v>
      </c>
      <c r="F99" s="81">
        <f>SUM(E$2:E99)</f>
        <v>617017.5284395843</v>
      </c>
      <c r="G99" s="43">
        <f t="shared" si="31"/>
        <v>1</v>
      </c>
      <c r="H99" s="78">
        <v>1</v>
      </c>
      <c r="I99" s="15">
        <f t="shared" si="38"/>
        <v>0.6</v>
      </c>
      <c r="J99" s="16">
        <f>VLOOKUP(G99,Inputs!$L$3:$P$15,5,FALSE)</f>
        <v>2000</v>
      </c>
      <c r="K99" s="16">
        <f t="shared" si="39"/>
        <v>1825</v>
      </c>
      <c r="L99" s="79">
        <f>Inputs!$P$8-B99</f>
        <v>296.59059999999999</v>
      </c>
      <c r="M99" s="79">
        <f>Inputs!$Q$8+L99*0.433</f>
        <v>1953.4237298</v>
      </c>
      <c r="N99" s="82">
        <f t="shared" si="40"/>
        <v>104999.92</v>
      </c>
      <c r="O99" s="83">
        <f t="shared" si="41"/>
        <v>641.60040000000004</v>
      </c>
      <c r="P99" s="84">
        <f>IF(O99="","",Inputs!$C$5-O99)</f>
        <v>183.58409999999992</v>
      </c>
      <c r="Q99" s="83">
        <f>IF(N99="","",TS!J99)</f>
        <v>2000</v>
      </c>
      <c r="R99" s="83">
        <f>IF(N99="","",TS!K99)</f>
        <v>1825</v>
      </c>
      <c r="S99" s="83">
        <f>Inputs!$H$5+TS!P99*0.4333</f>
        <v>1954.5127069799998</v>
      </c>
      <c r="T99" s="83">
        <f>Inputs!$G$5+TS!P99*0.4333</f>
        <v>1969.5127069799998</v>
      </c>
      <c r="U99" s="85">
        <f t="shared" si="42"/>
        <v>0.9847563534899999</v>
      </c>
      <c r="V99" s="86">
        <f>O99-MAX(O99:O177)</f>
        <v>-9.5567999999999529</v>
      </c>
      <c r="W99" s="86">
        <f t="shared" si="46"/>
        <v>4.1380943999999795</v>
      </c>
      <c r="X99" s="86" t="e">
        <f>((PI()*((42-2*'Gen Calcs'!$E$13)^2)/4)/144)*(A142-#REF!)*(W99+14.7)/14.7</f>
        <v>#REF!</v>
      </c>
      <c r="Y99" s="86" t="e">
        <f t="shared" si="47"/>
        <v>#REF!</v>
      </c>
      <c r="Z99" s="86" t="e">
        <f t="shared" si="48"/>
        <v>#REF!</v>
      </c>
      <c r="AA99" s="83">
        <f>MAX(B$2:B99)-B99</f>
        <v>183.58409999999992</v>
      </c>
      <c r="AB99" s="83">
        <f t="shared" si="34"/>
        <v>79.49191529999996</v>
      </c>
      <c r="AC99" s="83">
        <f t="shared" si="35"/>
        <v>102.1864713779551</v>
      </c>
      <c r="AD99" s="72">
        <f t="shared" si="36"/>
        <v>102.1864713779551</v>
      </c>
      <c r="AE99" s="73">
        <f t="shared" si="43"/>
        <v>907.92027688745009</v>
      </c>
      <c r="AF99" s="73">
        <f>SUM(AE$2:AE99)</f>
        <v>82544.941962465586</v>
      </c>
      <c r="AG99" s="73">
        <f t="shared" si="44"/>
        <v>1091184.9604646435</v>
      </c>
    </row>
    <row r="100" spans="1:33" x14ac:dyDescent="0.25">
      <c r="A100" s="100">
        <v>105099.92</v>
      </c>
      <c r="B100" s="97">
        <v>641.26499999999999</v>
      </c>
      <c r="C100" s="97">
        <v>0.6</v>
      </c>
      <c r="D100" s="80">
        <f t="shared" si="30"/>
        <v>100</v>
      </c>
      <c r="E100" s="81">
        <f t="shared" si="37"/>
        <v>6791.2436711181272</v>
      </c>
      <c r="F100" s="81">
        <f>SUM(E$2:E100)</f>
        <v>623808.77211070247</v>
      </c>
      <c r="G100" s="43">
        <f t="shared" si="31"/>
        <v>1</v>
      </c>
      <c r="H100" s="78">
        <v>1</v>
      </c>
      <c r="I100" s="15">
        <f t="shared" si="38"/>
        <v>0.6</v>
      </c>
      <c r="J100" s="16">
        <f>VLOOKUP(G100,Inputs!$L$3:$P$15,5,FALSE)</f>
        <v>2000</v>
      </c>
      <c r="K100" s="16">
        <f t="shared" si="39"/>
        <v>1825</v>
      </c>
      <c r="L100" s="79">
        <f>Inputs!$P$8-B100</f>
        <v>296.92600000000004</v>
      </c>
      <c r="M100" s="79">
        <f>Inputs!$Q$8+L100*0.433</f>
        <v>1953.5689580000001</v>
      </c>
      <c r="N100" s="82">
        <f t="shared" si="40"/>
        <v>105099.92</v>
      </c>
      <c r="O100" s="83">
        <f t="shared" si="41"/>
        <v>641.26499999999999</v>
      </c>
      <c r="P100" s="84">
        <f>IF(O100="","",Inputs!$C$5-O100)</f>
        <v>183.91949999999997</v>
      </c>
      <c r="Q100" s="83">
        <f>IF(N100="","",TS!J100)</f>
        <v>2000</v>
      </c>
      <c r="R100" s="83">
        <f>IF(N100="","",TS!K100)</f>
        <v>1825</v>
      </c>
      <c r="S100" s="83">
        <f>Inputs!$H$5+TS!P100*0.4333</f>
        <v>1954.6580357999999</v>
      </c>
      <c r="T100" s="83">
        <f>Inputs!$G$5+TS!P100*0.4333</f>
        <v>1969.6580357999999</v>
      </c>
      <c r="U100" s="85">
        <f t="shared" si="42"/>
        <v>0.98482901789999999</v>
      </c>
      <c r="V100" s="86">
        <f>O100-MAX(O100:O177)</f>
        <v>-9.8922000000000025</v>
      </c>
      <c r="W100" s="86">
        <f t="shared" si="46"/>
        <v>4.2833226000000009</v>
      </c>
      <c r="X100" s="86" t="e">
        <f>((PI()*((42-2*'Gen Calcs'!$E$13)^2)/4)/144)*(A143-#REF!)*(W100+14.7)/14.7</f>
        <v>#REF!</v>
      </c>
      <c r="Y100" s="86" t="e">
        <f t="shared" si="47"/>
        <v>#REF!</v>
      </c>
      <c r="Z100" s="86" t="e">
        <f t="shared" si="48"/>
        <v>#REF!</v>
      </c>
      <c r="AA100" s="83">
        <f>MAX(B$2:B100)-B100</f>
        <v>183.91949999999997</v>
      </c>
      <c r="AB100" s="83">
        <f t="shared" si="34"/>
        <v>79.637143499999993</v>
      </c>
      <c r="AC100" s="83">
        <f t="shared" si="35"/>
        <v>102.27156641891061</v>
      </c>
      <c r="AD100" s="72">
        <f t="shared" si="36"/>
        <v>102.27156641891061</v>
      </c>
      <c r="AE100" s="73">
        <f t="shared" si="43"/>
        <v>907.92027688745009</v>
      </c>
      <c r="AF100" s="73">
        <f>SUM(AE$2:AE100)</f>
        <v>83452.862239353039</v>
      </c>
      <c r="AG100" s="73">
        <f t="shared" si="44"/>
        <v>1090277.0401877561</v>
      </c>
    </row>
    <row r="101" spans="1:33" x14ac:dyDescent="0.25">
      <c r="A101" s="99">
        <v>105199.92</v>
      </c>
      <c r="B101" s="96">
        <v>643.09270000000004</v>
      </c>
      <c r="C101" s="96">
        <v>0.6</v>
      </c>
      <c r="D101" s="80">
        <f t="shared" si="30"/>
        <v>100</v>
      </c>
      <c r="E101" s="81">
        <f t="shared" si="37"/>
        <v>6791.2436711181272</v>
      </c>
      <c r="F101" s="81">
        <f>SUM(E$2:E101)</f>
        <v>630600.01578182064</v>
      </c>
      <c r="G101" s="43">
        <f t="shared" si="31"/>
        <v>1</v>
      </c>
      <c r="H101" s="78">
        <v>1</v>
      </c>
      <c r="I101" s="15">
        <f t="shared" si="38"/>
        <v>0.6</v>
      </c>
      <c r="J101" s="16">
        <f>VLOOKUP(G101,Inputs!$L$3:$P$15,5,FALSE)</f>
        <v>2000</v>
      </c>
      <c r="K101" s="16">
        <f t="shared" si="39"/>
        <v>1825</v>
      </c>
      <c r="L101" s="79">
        <f>Inputs!$P$8-B101</f>
        <v>295.09829999999999</v>
      </c>
      <c r="M101" s="79">
        <f>Inputs!$Q$8+L101*0.433</f>
        <v>1952.7775638999999</v>
      </c>
      <c r="N101" s="82">
        <f t="shared" si="40"/>
        <v>105199.92</v>
      </c>
      <c r="O101" s="83">
        <f t="shared" si="41"/>
        <v>643.09270000000004</v>
      </c>
      <c r="P101" s="84">
        <f>IF(O101="","",Inputs!$C$5-O101)</f>
        <v>182.09179999999992</v>
      </c>
      <c r="Q101" s="83">
        <f>IF(N101="","",TS!J101)</f>
        <v>2000</v>
      </c>
      <c r="R101" s="83">
        <f>IF(N101="","",TS!K101)</f>
        <v>1825</v>
      </c>
      <c r="S101" s="83">
        <f>Inputs!$H$5+TS!P101*0.4333</f>
        <v>1953.8660933899998</v>
      </c>
      <c r="T101" s="83">
        <f>Inputs!$G$5+TS!P101*0.4333</f>
        <v>1968.8660933899998</v>
      </c>
      <c r="U101" s="85">
        <f t="shared" si="42"/>
        <v>0.98443304669499987</v>
      </c>
      <c r="V101" s="86">
        <f>O101-MAX(O101:O177)</f>
        <v>-8.0644999999999527</v>
      </c>
      <c r="W101" s="86">
        <f t="shared" si="46"/>
        <v>3.4919284999999793</v>
      </c>
      <c r="X101" s="86" t="e">
        <f>((PI()*((42-2*'Gen Calcs'!$E$13)^2)/4)/144)*(A144-#REF!)*(W101+14.7)/14.7</f>
        <v>#REF!</v>
      </c>
      <c r="Y101" s="86" t="e">
        <f t="shared" si="47"/>
        <v>#REF!</v>
      </c>
      <c r="Z101" s="86" t="e">
        <f t="shared" si="48"/>
        <v>#REF!</v>
      </c>
      <c r="AA101" s="83">
        <f>MAX(B$2:B101)-B101</f>
        <v>182.09179999999992</v>
      </c>
      <c r="AB101" s="83">
        <f t="shared" si="34"/>
        <v>78.84574939999996</v>
      </c>
      <c r="AC101" s="83">
        <f t="shared" si="35"/>
        <v>102.35680330253767</v>
      </c>
      <c r="AD101" s="72">
        <f t="shared" si="36"/>
        <v>102.35680330253767</v>
      </c>
      <c r="AE101" s="73">
        <f t="shared" si="43"/>
        <v>907.92027688745009</v>
      </c>
      <c r="AF101" s="73">
        <f>SUM(AE$2:AE101)</f>
        <v>84360.782516240492</v>
      </c>
      <c r="AG101" s="73">
        <f t="shared" si="44"/>
        <v>1089369.1199108688</v>
      </c>
    </row>
    <row r="102" spans="1:33" x14ac:dyDescent="0.25">
      <c r="A102" s="100">
        <v>105299.92</v>
      </c>
      <c r="B102" s="97">
        <v>642.17790000000002</v>
      </c>
      <c r="C102" s="97">
        <v>0.6</v>
      </c>
      <c r="D102" s="80">
        <f t="shared" si="30"/>
        <v>100</v>
      </c>
      <c r="E102" s="81">
        <f t="shared" si="37"/>
        <v>6791.2436711181272</v>
      </c>
      <c r="F102" s="81">
        <f>SUM(E$2:E102)</f>
        <v>637391.2594529388</v>
      </c>
      <c r="G102" s="43">
        <f t="shared" si="31"/>
        <v>1</v>
      </c>
      <c r="H102" s="78">
        <v>1</v>
      </c>
      <c r="I102" s="15">
        <f t="shared" si="38"/>
        <v>0.6</v>
      </c>
      <c r="J102" s="16">
        <f>VLOOKUP(G102,Inputs!$L$3:$P$15,5,FALSE)</f>
        <v>2000</v>
      </c>
      <c r="K102" s="16">
        <f t="shared" si="39"/>
        <v>1825</v>
      </c>
      <c r="L102" s="79">
        <f>Inputs!$P$8-B102</f>
        <v>296.01310000000001</v>
      </c>
      <c r="M102" s="79">
        <f>Inputs!$Q$8+L102*0.433</f>
        <v>1953.1736722999999</v>
      </c>
      <c r="N102" s="82">
        <f t="shared" si="40"/>
        <v>105299.92</v>
      </c>
      <c r="O102" s="83">
        <f t="shared" si="41"/>
        <v>642.17790000000002</v>
      </c>
      <c r="P102" s="84">
        <f>IF(O102="","",Inputs!$C$5-O102)</f>
        <v>183.00659999999993</v>
      </c>
      <c r="Q102" s="83">
        <f>IF(N102="","",TS!J102)</f>
        <v>2000</v>
      </c>
      <c r="R102" s="83">
        <f>IF(N102="","",TS!K102)</f>
        <v>1825</v>
      </c>
      <c r="S102" s="83">
        <f>Inputs!$H$5+TS!P102*0.4333</f>
        <v>1954.2624762299999</v>
      </c>
      <c r="T102" s="83">
        <f>Inputs!$G$5+TS!P102*0.4333</f>
        <v>1969.2624762299999</v>
      </c>
      <c r="U102" s="85">
        <f t="shared" si="42"/>
        <v>0.98463123811499997</v>
      </c>
      <c r="V102" s="86">
        <f>O102-MAX(O102:O177)</f>
        <v>-8.9792999999999665</v>
      </c>
      <c r="W102" s="86">
        <f t="shared" si="46"/>
        <v>3.8880368999999853</v>
      </c>
      <c r="X102" s="86" t="e">
        <f>((PI()*((42-2*'Gen Calcs'!$E$13)^2)/4)/144)*(A145-#REF!)*(W102+14.7)/14.7</f>
        <v>#REF!</v>
      </c>
      <c r="Y102" s="86" t="e">
        <f t="shared" si="47"/>
        <v>#REF!</v>
      </c>
      <c r="Z102" s="86" t="e">
        <f t="shared" si="48"/>
        <v>#REF!</v>
      </c>
      <c r="AA102" s="83">
        <f>MAX(B$2:B102)-B102</f>
        <v>183.00659999999993</v>
      </c>
      <c r="AB102" s="83">
        <f t="shared" si="34"/>
        <v>79.241857799999977</v>
      </c>
      <c r="AC102" s="83">
        <f t="shared" si="35"/>
        <v>102.44218238378284</v>
      </c>
      <c r="AD102" s="72">
        <f t="shared" si="36"/>
        <v>102.44218238378284</v>
      </c>
      <c r="AE102" s="73">
        <f t="shared" si="43"/>
        <v>907.92027688745009</v>
      </c>
      <c r="AF102" s="73">
        <f>SUM(AE$2:AE102)</f>
        <v>85268.702793127944</v>
      </c>
      <c r="AG102" s="73">
        <f t="shared" si="44"/>
        <v>1088461.1996339813</v>
      </c>
    </row>
    <row r="103" spans="1:33" x14ac:dyDescent="0.25">
      <c r="A103" s="99">
        <v>105399.92</v>
      </c>
      <c r="B103" s="96">
        <v>641.22940000000006</v>
      </c>
      <c r="C103" s="96">
        <v>0.6</v>
      </c>
      <c r="D103" s="80">
        <f t="shared" si="30"/>
        <v>100</v>
      </c>
      <c r="E103" s="81">
        <f t="shared" si="37"/>
        <v>6791.2436711181272</v>
      </c>
      <c r="F103" s="81">
        <f>SUM(E$2:E103)</f>
        <v>644182.50312405697</v>
      </c>
      <c r="G103" s="43">
        <f t="shared" si="31"/>
        <v>1</v>
      </c>
      <c r="H103" s="78">
        <v>1</v>
      </c>
      <c r="I103" s="15">
        <f t="shared" si="38"/>
        <v>0.6</v>
      </c>
      <c r="J103" s="16">
        <f>VLOOKUP(G103,Inputs!$L$3:$P$15,5,FALSE)</f>
        <v>2000</v>
      </c>
      <c r="K103" s="16">
        <f t="shared" si="39"/>
        <v>1825</v>
      </c>
      <c r="L103" s="79">
        <f>Inputs!$P$8-B103</f>
        <v>296.96159999999998</v>
      </c>
      <c r="M103" s="79">
        <f>Inputs!$Q$8+L103*0.433</f>
        <v>1953.5843728</v>
      </c>
      <c r="N103" s="82">
        <f t="shared" si="40"/>
        <v>105399.92</v>
      </c>
      <c r="O103" s="83">
        <f t="shared" si="41"/>
        <v>641.22940000000006</v>
      </c>
      <c r="P103" s="84">
        <f>IF(O103="","",Inputs!$C$5-O103)</f>
        <v>183.9550999999999</v>
      </c>
      <c r="Q103" s="83">
        <f>IF(N103="","",TS!J103)</f>
        <v>2000</v>
      </c>
      <c r="R103" s="83">
        <f>IF(N103="","",TS!K103)</f>
        <v>1825</v>
      </c>
      <c r="S103" s="83">
        <f>Inputs!$H$5+TS!P103*0.4333</f>
        <v>1954.6734612799999</v>
      </c>
      <c r="T103" s="83">
        <f>Inputs!$G$5+TS!P103*0.4333</f>
        <v>1969.6734612799999</v>
      </c>
      <c r="U103" s="85">
        <f t="shared" si="42"/>
        <v>0.98483673063999988</v>
      </c>
      <c r="V103" s="86">
        <f>O103-MAX(O103:O177)</f>
        <v>-9.9277999999999338</v>
      </c>
      <c r="W103" s="86">
        <f t="shared" si="46"/>
        <v>4.298737399999971</v>
      </c>
      <c r="X103" s="86" t="e">
        <f>((PI()*((42-2*'Gen Calcs'!$E$13)^2)/4)/144)*(A146-#REF!)*(W103+14.7)/14.7</f>
        <v>#REF!</v>
      </c>
      <c r="Y103" s="86" t="e">
        <f t="shared" si="47"/>
        <v>#REF!</v>
      </c>
      <c r="Z103" s="86" t="e">
        <f t="shared" si="48"/>
        <v>#REF!</v>
      </c>
      <c r="AA103" s="83">
        <f>MAX(B$2:B103)-B103</f>
        <v>183.9550999999999</v>
      </c>
      <c r="AB103" s="83">
        <f t="shared" si="34"/>
        <v>79.652558299999953</v>
      </c>
      <c r="AC103" s="83">
        <f t="shared" si="35"/>
        <v>102.52770401877787</v>
      </c>
      <c r="AD103" s="72">
        <f t="shared" si="36"/>
        <v>102.52770401877787</v>
      </c>
      <c r="AE103" s="73">
        <f t="shared" si="43"/>
        <v>907.92027688745009</v>
      </c>
      <c r="AF103" s="73">
        <f>SUM(AE$2:AE103)</f>
        <v>86176.623070015397</v>
      </c>
      <c r="AG103" s="73">
        <f t="shared" si="44"/>
        <v>1087553.2793570939</v>
      </c>
    </row>
    <row r="104" spans="1:33" x14ac:dyDescent="0.25">
      <c r="A104" s="100">
        <v>105499.92</v>
      </c>
      <c r="B104" s="97">
        <v>641.15949999999998</v>
      </c>
      <c r="C104" s="97">
        <v>0.6</v>
      </c>
      <c r="D104" s="80">
        <f t="shared" si="30"/>
        <v>100</v>
      </c>
      <c r="E104" s="81">
        <f t="shared" si="37"/>
        <v>6791.2436711181272</v>
      </c>
      <c r="F104" s="81">
        <f>SUM(E$2:E104)</f>
        <v>650973.74679517513</v>
      </c>
      <c r="G104" s="43">
        <f t="shared" si="31"/>
        <v>1</v>
      </c>
      <c r="H104" s="78">
        <v>1</v>
      </c>
      <c r="I104" s="15">
        <f t="shared" si="38"/>
        <v>0.6</v>
      </c>
      <c r="J104" s="16">
        <f>VLOOKUP(G104,Inputs!$L$3:$P$15,5,FALSE)</f>
        <v>2000</v>
      </c>
      <c r="K104" s="16">
        <f t="shared" si="39"/>
        <v>1825</v>
      </c>
      <c r="L104" s="79">
        <f>Inputs!$P$8-B104</f>
        <v>297.03150000000005</v>
      </c>
      <c r="M104" s="79">
        <f>Inputs!$Q$8+L104*0.433</f>
        <v>1953.6146395000001</v>
      </c>
      <c r="N104" s="82">
        <f t="shared" si="40"/>
        <v>105499.92</v>
      </c>
      <c r="O104" s="83">
        <f t="shared" si="41"/>
        <v>641.15949999999998</v>
      </c>
      <c r="P104" s="84">
        <f>IF(O104="","",Inputs!$C$5-O104)</f>
        <v>184.02499999999998</v>
      </c>
      <c r="Q104" s="83">
        <f>IF(N104="","",TS!J104)</f>
        <v>2000</v>
      </c>
      <c r="R104" s="83">
        <f>IF(N104="","",TS!K104)</f>
        <v>1825</v>
      </c>
      <c r="S104" s="83">
        <f>Inputs!$H$5+TS!P104*0.4333</f>
        <v>1954.7037489499999</v>
      </c>
      <c r="T104" s="83">
        <f>Inputs!$G$5+TS!P104*0.4333</f>
        <v>1969.7037489499999</v>
      </c>
      <c r="U104" s="85">
        <f t="shared" si="42"/>
        <v>0.98485187447499989</v>
      </c>
      <c r="V104" s="86">
        <f>O104-MAX(O104:O177)</f>
        <v>-9.9977000000000089</v>
      </c>
      <c r="W104" s="86">
        <f t="shared" si="46"/>
        <v>4.3290041000000041</v>
      </c>
      <c r="X104" s="86" t="e">
        <f>((PI()*((42-2*'Gen Calcs'!$E$13)^2)/4)/144)*(A147-#REF!)*(W104+14.7)/14.7</f>
        <v>#REF!</v>
      </c>
      <c r="Y104" s="86" t="e">
        <f t="shared" si="47"/>
        <v>#REF!</v>
      </c>
      <c r="Z104" s="86" t="e">
        <f t="shared" si="48"/>
        <v>#REF!</v>
      </c>
      <c r="AA104" s="83">
        <f>MAX(B$2:B104)-B104</f>
        <v>184.02499999999998</v>
      </c>
      <c r="AB104" s="83">
        <f t="shared" si="34"/>
        <v>79.682824999999994</v>
      </c>
      <c r="AC104" s="83">
        <f t="shared" si="35"/>
        <v>102.61336856484483</v>
      </c>
      <c r="AD104" s="72">
        <f t="shared" si="36"/>
        <v>102.61336856484483</v>
      </c>
      <c r="AE104" s="73">
        <f t="shared" si="43"/>
        <v>907.92027688745009</v>
      </c>
      <c r="AF104" s="73">
        <f>SUM(AE$2:AE104)</f>
        <v>87084.54334690285</v>
      </c>
      <c r="AG104" s="73">
        <f t="shared" si="44"/>
        <v>1086645.3590802064</v>
      </c>
    </row>
    <row r="105" spans="1:33" x14ac:dyDescent="0.25">
      <c r="A105" s="99">
        <v>105599.92</v>
      </c>
      <c r="B105" s="96">
        <v>641.06799999999998</v>
      </c>
      <c r="C105" s="96">
        <v>0.6</v>
      </c>
      <c r="D105" s="80">
        <f t="shared" si="30"/>
        <v>100</v>
      </c>
      <c r="E105" s="81">
        <f t="shared" si="37"/>
        <v>6791.2436711181272</v>
      </c>
      <c r="F105" s="81">
        <f>SUM(E$2:E105)</f>
        <v>657764.9904662933</v>
      </c>
      <c r="G105" s="43">
        <f t="shared" si="31"/>
        <v>1</v>
      </c>
      <c r="H105" s="78">
        <v>1</v>
      </c>
      <c r="I105" s="15">
        <f t="shared" si="38"/>
        <v>0.6</v>
      </c>
      <c r="J105" s="16">
        <f>VLOOKUP(G105,Inputs!$L$3:$P$15,5,FALSE)</f>
        <v>2000</v>
      </c>
      <c r="K105" s="16">
        <f t="shared" si="39"/>
        <v>1825</v>
      </c>
      <c r="L105" s="79">
        <f>Inputs!$P$8-B105</f>
        <v>297.12300000000005</v>
      </c>
      <c r="M105" s="79">
        <f>Inputs!$Q$8+L105*0.433</f>
        <v>1953.6542589999999</v>
      </c>
      <c r="N105" s="82">
        <f t="shared" si="40"/>
        <v>105599.92</v>
      </c>
      <c r="O105" s="83">
        <f t="shared" si="41"/>
        <v>641.06799999999998</v>
      </c>
      <c r="P105" s="84">
        <f>IF(O105="","",Inputs!$C$5-O105)</f>
        <v>184.11649999999997</v>
      </c>
      <c r="Q105" s="83">
        <f>IF(N105="","",TS!J105)</f>
        <v>2000</v>
      </c>
      <c r="R105" s="83">
        <f>IF(N105="","",TS!K105)</f>
        <v>1825</v>
      </c>
      <c r="S105" s="83">
        <f>Inputs!$H$5+TS!P105*0.4333</f>
        <v>1954.7433959</v>
      </c>
      <c r="T105" s="83">
        <f>Inputs!$G$5+TS!P105*0.4333</f>
        <v>1969.7433959</v>
      </c>
      <c r="U105" s="85">
        <f t="shared" si="42"/>
        <v>0.98487169794999996</v>
      </c>
      <c r="V105" s="86">
        <f>O105-MAX(O105:O177)</f>
        <v>-10.089200000000005</v>
      </c>
      <c r="W105" s="86">
        <f t="shared" si="46"/>
        <v>4.368623600000002</v>
      </c>
      <c r="X105" s="86" t="e">
        <f>((PI()*((42-2*'Gen Calcs'!$E$13)^2)/4)/144)*(A148-#REF!)*(W105+14.7)/14.7</f>
        <v>#REF!</v>
      </c>
      <c r="Y105" s="86" t="e">
        <f t="shared" si="47"/>
        <v>#REF!</v>
      </c>
      <c r="Z105" s="86" t="e">
        <f t="shared" si="48"/>
        <v>#REF!</v>
      </c>
      <c r="AA105" s="83">
        <f>MAX(B$2:B105)-B105</f>
        <v>184.11649999999997</v>
      </c>
      <c r="AB105" s="83">
        <f t="shared" si="34"/>
        <v>79.722444499999995</v>
      </c>
      <c r="AC105" s="83">
        <f t="shared" si="35"/>
        <v>102.69917638050092</v>
      </c>
      <c r="AD105" s="72">
        <f t="shared" si="36"/>
        <v>102.69917638050092</v>
      </c>
      <c r="AE105" s="73">
        <f t="shared" si="43"/>
        <v>907.92027688745009</v>
      </c>
      <c r="AF105" s="73">
        <f>SUM(AE$2:AE105)</f>
        <v>87992.463623790303</v>
      </c>
      <c r="AG105" s="73">
        <f t="shared" si="44"/>
        <v>1085737.4388033189</v>
      </c>
    </row>
    <row r="106" spans="1:33" x14ac:dyDescent="0.25">
      <c r="A106" s="100">
        <v>105699.92</v>
      </c>
      <c r="B106" s="97">
        <v>640.85429999999997</v>
      </c>
      <c r="C106" s="97">
        <v>0.6</v>
      </c>
      <c r="D106" s="80">
        <f t="shared" si="30"/>
        <v>100</v>
      </c>
      <c r="E106" s="81">
        <f t="shared" si="37"/>
        <v>6791.2436711181272</v>
      </c>
      <c r="F106" s="81">
        <f>SUM(E$2:E106)</f>
        <v>664556.23413741146</v>
      </c>
      <c r="G106" s="43">
        <f t="shared" si="31"/>
        <v>1</v>
      </c>
      <c r="H106" s="78">
        <v>1</v>
      </c>
      <c r="I106" s="15">
        <f t="shared" si="38"/>
        <v>0.6</v>
      </c>
      <c r="J106" s="16">
        <f>VLOOKUP(G106,Inputs!$L$3:$P$15,5,FALSE)</f>
        <v>2000</v>
      </c>
      <c r="K106" s="16">
        <f t="shared" si="39"/>
        <v>1825</v>
      </c>
      <c r="L106" s="79">
        <f>Inputs!$P$8-B106</f>
        <v>297.33670000000006</v>
      </c>
      <c r="M106" s="79">
        <f>Inputs!$Q$8+L106*0.433</f>
        <v>1953.7467911000001</v>
      </c>
      <c r="N106" s="82">
        <f t="shared" si="40"/>
        <v>105699.92</v>
      </c>
      <c r="O106" s="83">
        <f t="shared" si="41"/>
        <v>640.85429999999997</v>
      </c>
      <c r="P106" s="84">
        <f>IF(O106="","",Inputs!$C$5-O106)</f>
        <v>184.33019999999999</v>
      </c>
      <c r="Q106" s="83">
        <f>IF(N106="","",TS!J106)</f>
        <v>2000</v>
      </c>
      <c r="R106" s="83">
        <f>IF(N106="","",TS!K106)</f>
        <v>1825</v>
      </c>
      <c r="S106" s="83">
        <f>Inputs!$H$5+TS!P106*0.4333</f>
        <v>1954.83599211</v>
      </c>
      <c r="T106" s="83">
        <f>Inputs!$G$5+TS!P106*0.4333</f>
        <v>1969.83599211</v>
      </c>
      <c r="U106" s="85">
        <f t="shared" si="42"/>
        <v>0.98491799605499997</v>
      </c>
      <c r="V106" s="86">
        <f>O106-MAX(O106:O177)</f>
        <v>-10.302900000000022</v>
      </c>
      <c r="W106" s="86">
        <f t="shared" si="46"/>
        <v>4.4611557000000097</v>
      </c>
      <c r="X106" s="86" t="e">
        <f>((PI()*((42-2*'Gen Calcs'!$E$13)^2)/4)/144)*(A149-#REF!)*(W106+14.7)/14.7</f>
        <v>#REF!</v>
      </c>
      <c r="Y106" s="86" t="e">
        <f t="shared" si="47"/>
        <v>#REF!</v>
      </c>
      <c r="Z106" s="86" t="e">
        <f t="shared" si="48"/>
        <v>#REF!</v>
      </c>
      <c r="AA106" s="83">
        <f>MAX(B$2:B106)-B106</f>
        <v>184.33019999999999</v>
      </c>
      <c r="AB106" s="83">
        <f t="shared" si="34"/>
        <v>79.814976599999994</v>
      </c>
      <c r="AC106" s="83">
        <f t="shared" si="35"/>
        <v>102.78512782546359</v>
      </c>
      <c r="AD106" s="72">
        <f t="shared" si="36"/>
        <v>102.78512782546359</v>
      </c>
      <c r="AE106" s="73">
        <f t="shared" si="43"/>
        <v>907.92027688745009</v>
      </c>
      <c r="AF106" s="73">
        <f>SUM(AE$2:AE106)</f>
        <v>88900.383900677756</v>
      </c>
      <c r="AG106" s="73">
        <f t="shared" si="44"/>
        <v>1084829.5185264314</v>
      </c>
    </row>
    <row r="107" spans="1:33" x14ac:dyDescent="0.25">
      <c r="A107" s="99">
        <v>105799.92</v>
      </c>
      <c r="B107" s="96">
        <v>640.37289999999996</v>
      </c>
      <c r="C107" s="96">
        <v>0.6</v>
      </c>
      <c r="D107" s="80">
        <f t="shared" si="30"/>
        <v>100</v>
      </c>
      <c r="E107" s="81">
        <f t="shared" si="37"/>
        <v>6791.2436711181272</v>
      </c>
      <c r="F107" s="81">
        <f>SUM(E$2:E107)</f>
        <v>671347.47780852963</v>
      </c>
      <c r="G107" s="43">
        <f t="shared" si="31"/>
        <v>1</v>
      </c>
      <c r="H107" s="78">
        <v>1</v>
      </c>
      <c r="I107" s="15">
        <f t="shared" si="38"/>
        <v>0.6</v>
      </c>
      <c r="J107" s="16">
        <f>VLOOKUP(G107,Inputs!$L$3:$P$15,5,FALSE)</f>
        <v>2000</v>
      </c>
      <c r="K107" s="16">
        <f t="shared" si="39"/>
        <v>1825</v>
      </c>
      <c r="L107" s="79">
        <f>Inputs!$P$8-B107</f>
        <v>297.81810000000007</v>
      </c>
      <c r="M107" s="79">
        <f>Inputs!$Q$8+L107*0.433</f>
        <v>1953.9552373000001</v>
      </c>
      <c r="N107" s="82">
        <f t="shared" si="40"/>
        <v>105799.92</v>
      </c>
      <c r="O107" s="83">
        <f t="shared" si="41"/>
        <v>640.37289999999996</v>
      </c>
      <c r="P107" s="84">
        <f>IF(O107="","",Inputs!$C$5-O107)</f>
        <v>184.8116</v>
      </c>
      <c r="Q107" s="83">
        <f>IF(N107="","",TS!J107)</f>
        <v>2000</v>
      </c>
      <c r="R107" s="83">
        <f>IF(N107="","",TS!K107)</f>
        <v>1825</v>
      </c>
      <c r="S107" s="83">
        <f>Inputs!$H$5+TS!P107*0.4333</f>
        <v>1955.04458273</v>
      </c>
      <c r="T107" s="83">
        <f>Inputs!$G$5+TS!P107*0.4333</f>
        <v>1970.04458273</v>
      </c>
      <c r="U107" s="85">
        <f t="shared" si="42"/>
        <v>0.98502229136499997</v>
      </c>
      <c r="V107" s="86">
        <f>O107-MAX(O107:O177)</f>
        <v>-10.78430000000003</v>
      </c>
      <c r="W107" s="86">
        <f t="shared" si="46"/>
        <v>4.6696019000000133</v>
      </c>
      <c r="X107" s="86" t="e">
        <f>((PI()*((42-2*'Gen Calcs'!$E$13)^2)/4)/144)*(A150-#REF!)*(W107+14.7)/14.7</f>
        <v>#REF!</v>
      </c>
      <c r="Y107" s="86" t="e">
        <f t="shared" si="47"/>
        <v>#REF!</v>
      </c>
      <c r="Z107" s="86" t="e">
        <f t="shared" si="48"/>
        <v>#REF!</v>
      </c>
      <c r="AA107" s="83">
        <f>MAX(B$2:B107)-B107</f>
        <v>184.8116</v>
      </c>
      <c r="AB107" s="83">
        <f t="shared" si="34"/>
        <v>80.023422799999992</v>
      </c>
      <c r="AC107" s="83">
        <f t="shared" si="35"/>
        <v>102.8712232606555</v>
      </c>
      <c r="AD107" s="72">
        <f t="shared" si="36"/>
        <v>102.8712232606555</v>
      </c>
      <c r="AE107" s="73">
        <f t="shared" si="43"/>
        <v>907.92027688745009</v>
      </c>
      <c r="AF107" s="73">
        <f>SUM(AE$2:AE107)</f>
        <v>89808.304177565209</v>
      </c>
      <c r="AG107" s="73">
        <f t="shared" si="44"/>
        <v>1083921.5982495439</v>
      </c>
    </row>
    <row r="108" spans="1:33" x14ac:dyDescent="0.25">
      <c r="A108" s="100">
        <v>105899.92</v>
      </c>
      <c r="B108" s="97">
        <v>639.97969999999998</v>
      </c>
      <c r="C108" s="97">
        <v>0.6</v>
      </c>
      <c r="D108" s="80">
        <f t="shared" si="30"/>
        <v>100</v>
      </c>
      <c r="E108" s="81">
        <f t="shared" si="37"/>
        <v>6616.6076625842816</v>
      </c>
      <c r="F108" s="81">
        <f>SUM(E$2:E108)</f>
        <v>677964.08547111391</v>
      </c>
      <c r="G108" s="43">
        <f t="shared" si="31"/>
        <v>1</v>
      </c>
      <c r="H108" s="78">
        <v>1</v>
      </c>
      <c r="I108" s="15">
        <f t="shared" si="38"/>
        <v>0.6</v>
      </c>
      <c r="J108" s="16">
        <f>VLOOKUP(G108,Inputs!$L$3:$P$15,5,FALSE)</f>
        <v>2000</v>
      </c>
      <c r="K108" s="16">
        <f t="shared" si="39"/>
        <v>1825</v>
      </c>
      <c r="L108" s="79">
        <f>Inputs!$P$8-B108</f>
        <v>298.21130000000005</v>
      </c>
      <c r="M108" s="79">
        <f>Inputs!$Q$8+L108*0.433</f>
        <v>1954.1254928999999</v>
      </c>
      <c r="N108" s="82">
        <f t="shared" si="40"/>
        <v>105899.92</v>
      </c>
      <c r="O108" s="83">
        <f t="shared" si="41"/>
        <v>639.97969999999998</v>
      </c>
      <c r="P108" s="84">
        <f>IF(O108="","",Inputs!$C$5-O108)</f>
        <v>185.20479999999998</v>
      </c>
      <c r="Q108" s="83">
        <f>IF(N108="","",TS!J108)</f>
        <v>2000</v>
      </c>
      <c r="R108" s="83">
        <f>IF(N108="","",TS!K108)</f>
        <v>1825</v>
      </c>
      <c r="S108" s="83">
        <f>Inputs!$H$5+TS!P108*0.4333</f>
        <v>1955.2149562899999</v>
      </c>
      <c r="T108" s="83">
        <f>Inputs!$G$5+TS!P108*0.4333</f>
        <v>1970.2149562899999</v>
      </c>
      <c r="U108" s="85">
        <f t="shared" si="42"/>
        <v>0.98510747814499999</v>
      </c>
      <c r="V108" s="86">
        <f>O108-MAX(O108:O177)</f>
        <v>-11.177500000000009</v>
      </c>
      <c r="W108" s="86">
        <f t="shared" si="46"/>
        <v>4.8398575000000035</v>
      </c>
      <c r="X108" s="86" t="e">
        <f>((PI()*((42-2*'Gen Calcs'!$E$13)^2)/4)/144)*(A151-#REF!)*(W108+14.7)/14.7</f>
        <v>#REF!</v>
      </c>
      <c r="Y108" s="86" t="e">
        <f t="shared" si="47"/>
        <v>#REF!</v>
      </c>
      <c r="Z108" s="86" t="e">
        <f t="shared" si="48"/>
        <v>#REF!</v>
      </c>
      <c r="AA108" s="83">
        <f>MAX(B$2:B108)-B108</f>
        <v>185.20479999999998</v>
      </c>
      <c r="AB108" s="83">
        <f t="shared" si="34"/>
        <v>80.193678399999996</v>
      </c>
      <c r="AC108" s="83">
        <f t="shared" si="35"/>
        <v>102.95746304820962</v>
      </c>
      <c r="AD108" s="72">
        <f t="shared" si="36"/>
        <v>102.95746304820962</v>
      </c>
      <c r="AE108" s="73">
        <f t="shared" si="43"/>
        <v>907.92027688745009</v>
      </c>
      <c r="AF108" s="73">
        <f>SUM(AE$2:AE108)</f>
        <v>90716.224454452662</v>
      </c>
      <c r="AG108" s="73">
        <f t="shared" si="44"/>
        <v>1083013.6779726564</v>
      </c>
    </row>
    <row r="109" spans="1:33" x14ac:dyDescent="0.25">
      <c r="A109" s="99">
        <v>105999.92</v>
      </c>
      <c r="B109" s="96">
        <v>639.92949999999996</v>
      </c>
      <c r="C109" s="96">
        <v>0.6</v>
      </c>
      <c r="D109" s="80">
        <f t="shared" si="30"/>
        <v>100</v>
      </c>
      <c r="E109" s="81">
        <f t="shared" si="37"/>
        <v>6791.2436711181272</v>
      </c>
      <c r="F109" s="81">
        <f>SUM(E$2:E109)</f>
        <v>684755.32914223208</v>
      </c>
      <c r="G109" s="43">
        <f t="shared" si="31"/>
        <v>1</v>
      </c>
      <c r="H109" s="78">
        <v>1</v>
      </c>
      <c r="I109" s="15">
        <f t="shared" si="38"/>
        <v>0.6</v>
      </c>
      <c r="J109" s="16">
        <f>VLOOKUP(G109,Inputs!$L$3:$P$15,5,FALSE)</f>
        <v>2000</v>
      </c>
      <c r="K109" s="16">
        <f t="shared" si="39"/>
        <v>1825</v>
      </c>
      <c r="L109" s="79">
        <f>Inputs!$P$8-B109</f>
        <v>298.26150000000007</v>
      </c>
      <c r="M109" s="79">
        <f>Inputs!$Q$8+L109*0.433</f>
        <v>1954.1472295000001</v>
      </c>
      <c r="N109" s="82">
        <f t="shared" si="40"/>
        <v>105999.92</v>
      </c>
      <c r="O109" s="83">
        <f t="shared" si="41"/>
        <v>639.92949999999996</v>
      </c>
      <c r="P109" s="84">
        <f>IF(O109="","",Inputs!$C$5-O109)</f>
        <v>185.255</v>
      </c>
      <c r="Q109" s="83">
        <f>IF(N109="","",TS!J109)</f>
        <v>2000</v>
      </c>
      <c r="R109" s="83">
        <f>IF(N109="","",TS!K109)</f>
        <v>1825</v>
      </c>
      <c r="S109" s="83">
        <f>Inputs!$H$5+TS!P109*0.4333</f>
        <v>1955.23670795</v>
      </c>
      <c r="T109" s="83">
        <f>Inputs!$G$5+TS!P109*0.4333</f>
        <v>1970.23670795</v>
      </c>
      <c r="U109" s="85">
        <f t="shared" si="42"/>
        <v>0.98511835397500003</v>
      </c>
      <c r="V109" s="86">
        <f>O109-MAX(O109:O177)</f>
        <v>-11.227700000000027</v>
      </c>
      <c r="W109" s="86">
        <f t="shared" si="46"/>
        <v>4.861594100000012</v>
      </c>
      <c r="X109" s="86" t="e">
        <f>((PI()*((42-2*'Gen Calcs'!$E$13)^2)/4)/144)*(A152-#REF!)*(W109+14.7)/14.7</f>
        <v>#REF!</v>
      </c>
      <c r="Y109" s="86" t="e">
        <f t="shared" si="47"/>
        <v>#REF!</v>
      </c>
      <c r="Z109" s="86" t="e">
        <f t="shared" si="48"/>
        <v>#REF!</v>
      </c>
      <c r="AA109" s="83">
        <f>MAX(B$2:B109)-B109</f>
        <v>185.255</v>
      </c>
      <c r="AB109" s="83">
        <f t="shared" si="34"/>
        <v>80.215414999999993</v>
      </c>
      <c r="AC109" s="83">
        <f t="shared" si="35"/>
        <v>103.04384755147427</v>
      </c>
      <c r="AD109" s="72">
        <f t="shared" si="36"/>
        <v>103.04384755147427</v>
      </c>
      <c r="AE109" s="73">
        <f t="shared" si="43"/>
        <v>907.92027688745009</v>
      </c>
      <c r="AF109" s="73">
        <f>SUM(AE$2:AE109)</f>
        <v>91624.144731340115</v>
      </c>
      <c r="AG109" s="73">
        <f t="shared" si="44"/>
        <v>1082105.757695769</v>
      </c>
    </row>
    <row r="110" spans="1:33" x14ac:dyDescent="0.25">
      <c r="A110" s="100">
        <v>106099.92</v>
      </c>
      <c r="B110" s="97">
        <v>639.94920000000002</v>
      </c>
      <c r="C110" s="97">
        <v>0.6</v>
      </c>
      <c r="D110" s="80">
        <f t="shared" si="30"/>
        <v>100</v>
      </c>
      <c r="E110" s="81">
        <f t="shared" si="37"/>
        <v>6791.2436711181272</v>
      </c>
      <c r="F110" s="81">
        <f>SUM(E$2:E110)</f>
        <v>691546.57281335024</v>
      </c>
      <c r="G110" s="43">
        <f t="shared" si="31"/>
        <v>1</v>
      </c>
      <c r="H110" s="78">
        <v>1</v>
      </c>
      <c r="I110" s="15">
        <f t="shared" si="38"/>
        <v>0.6</v>
      </c>
      <c r="J110" s="16">
        <f>VLOOKUP(G110,Inputs!$L$3:$P$15,5,FALSE)</f>
        <v>2000</v>
      </c>
      <c r="K110" s="16">
        <f t="shared" si="39"/>
        <v>1825</v>
      </c>
      <c r="L110" s="79">
        <f>Inputs!$P$8-B110</f>
        <v>298.24180000000001</v>
      </c>
      <c r="M110" s="79">
        <f>Inputs!$Q$8+L110*0.433</f>
        <v>1954.1386994</v>
      </c>
      <c r="N110" s="82">
        <f t="shared" si="40"/>
        <v>106099.92</v>
      </c>
      <c r="O110" s="83">
        <f t="shared" si="41"/>
        <v>639.94920000000002</v>
      </c>
      <c r="P110" s="84">
        <f>IF(O110="","",Inputs!$C$5-O110)</f>
        <v>185.23529999999994</v>
      </c>
      <c r="Q110" s="83">
        <f>IF(N110="","",TS!J110)</f>
        <v>2000</v>
      </c>
      <c r="R110" s="83">
        <f>IF(N110="","",TS!K110)</f>
        <v>1825</v>
      </c>
      <c r="S110" s="83">
        <f>Inputs!$H$5+TS!P110*0.4333</f>
        <v>1955.2281719399998</v>
      </c>
      <c r="T110" s="83">
        <f>Inputs!$G$5+TS!P110*0.4333</f>
        <v>1970.2281719399998</v>
      </c>
      <c r="U110" s="85">
        <f t="shared" si="42"/>
        <v>0.98511408596999994</v>
      </c>
      <c r="V110" s="86">
        <f>O110-MAX(O110:O177)</f>
        <v>-11.20799999999997</v>
      </c>
      <c r="W110" s="86">
        <f t="shared" si="46"/>
        <v>4.8530639999999874</v>
      </c>
      <c r="X110" s="86" t="e">
        <f>((PI()*((42-2*'Gen Calcs'!$E$13)^2)/4)/144)*(A153-#REF!)*(W110+14.7)/14.7</f>
        <v>#REF!</v>
      </c>
      <c r="Y110" s="86" t="e">
        <f t="shared" si="47"/>
        <v>#REF!</v>
      </c>
      <c r="Z110" s="86" t="e">
        <f t="shared" si="48"/>
        <v>#REF!</v>
      </c>
      <c r="AA110" s="83">
        <f>MAX(B$2:B110)-B110</f>
        <v>185.23529999999994</v>
      </c>
      <c r="AB110" s="83">
        <f t="shared" si="34"/>
        <v>80.206884899999977</v>
      </c>
      <c r="AC110" s="83">
        <f t="shared" si="35"/>
        <v>103.13037713501821</v>
      </c>
      <c r="AD110" s="72">
        <f t="shared" si="36"/>
        <v>103.13037713501821</v>
      </c>
      <c r="AE110" s="73">
        <f t="shared" si="43"/>
        <v>907.92027688745009</v>
      </c>
      <c r="AF110" s="73">
        <f>SUM(AE$2:AE110)</f>
        <v>92532.065008227568</v>
      </c>
      <c r="AG110" s="73">
        <f t="shared" si="44"/>
        <v>1081197.8374188817</v>
      </c>
    </row>
    <row r="111" spans="1:33" x14ac:dyDescent="0.25">
      <c r="A111" s="99">
        <v>106199.92</v>
      </c>
      <c r="B111" s="96">
        <v>639.85019999999997</v>
      </c>
      <c r="C111" s="96">
        <v>0.6</v>
      </c>
      <c r="D111" s="80">
        <f t="shared" si="30"/>
        <v>100</v>
      </c>
      <c r="E111" s="81">
        <f t="shared" si="37"/>
        <v>6791.2436711181272</v>
      </c>
      <c r="F111" s="81">
        <f>SUM(E$2:E111)</f>
        <v>698337.81648446841</v>
      </c>
      <c r="G111" s="43">
        <f t="shared" si="31"/>
        <v>1</v>
      </c>
      <c r="H111" s="78">
        <v>1</v>
      </c>
      <c r="I111" s="15">
        <f t="shared" si="38"/>
        <v>0.6</v>
      </c>
      <c r="J111" s="16">
        <f>VLOOKUP(G111,Inputs!$L$3:$P$15,5,FALSE)</f>
        <v>2000</v>
      </c>
      <c r="K111" s="16">
        <f t="shared" si="39"/>
        <v>1825</v>
      </c>
      <c r="L111" s="79">
        <f>Inputs!$P$8-B111</f>
        <v>298.34080000000006</v>
      </c>
      <c r="M111" s="79">
        <f>Inputs!$Q$8+L111*0.433</f>
        <v>1954.1815664000001</v>
      </c>
      <c r="N111" s="82">
        <f t="shared" si="40"/>
        <v>106199.92</v>
      </c>
      <c r="O111" s="83">
        <f t="shared" si="41"/>
        <v>639.85019999999997</v>
      </c>
      <c r="P111" s="84">
        <f>IF(O111="","",Inputs!$C$5-O111)</f>
        <v>185.33429999999998</v>
      </c>
      <c r="Q111" s="83">
        <f>IF(N111="","",TS!J111)</f>
        <v>2000</v>
      </c>
      <c r="R111" s="83">
        <f>IF(N111="","",TS!K111)</f>
        <v>1825</v>
      </c>
      <c r="S111" s="83">
        <f>Inputs!$H$5+TS!P111*0.4333</f>
        <v>1955.2710686399998</v>
      </c>
      <c r="T111" s="83">
        <f>Inputs!$G$5+TS!P111*0.4333</f>
        <v>1970.2710686399998</v>
      </c>
      <c r="U111" s="85">
        <f t="shared" si="42"/>
        <v>0.98513553431999989</v>
      </c>
      <c r="V111" s="86">
        <f>O111-MAX(O111:O177)</f>
        <v>-11.307000000000016</v>
      </c>
      <c r="W111" s="86">
        <f t="shared" si="46"/>
        <v>4.8959310000000071</v>
      </c>
      <c r="X111" s="86" t="e">
        <f>((PI()*((42-2*'Gen Calcs'!$E$13)^2)/4)/144)*(A154-#REF!)*(W111+14.7)/14.7</f>
        <v>#REF!</v>
      </c>
      <c r="Y111" s="86" t="e">
        <f t="shared" si="47"/>
        <v>#REF!</v>
      </c>
      <c r="Z111" s="86" t="e">
        <f t="shared" si="48"/>
        <v>#REF!</v>
      </c>
      <c r="AA111" s="83">
        <f>MAX(B$2:B111)-B111</f>
        <v>185.33429999999998</v>
      </c>
      <c r="AB111" s="83">
        <f t="shared" si="34"/>
        <v>80.249751899999993</v>
      </c>
      <c r="AC111" s="83">
        <f t="shared" si="35"/>
        <v>103.21705216463586</v>
      </c>
      <c r="AD111" s="72">
        <f t="shared" si="36"/>
        <v>103.21705216463586</v>
      </c>
      <c r="AE111" s="73">
        <f t="shared" si="43"/>
        <v>907.92027688745009</v>
      </c>
      <c r="AF111" s="73">
        <f>SUM(AE$2:AE111)</f>
        <v>93439.985285115021</v>
      </c>
      <c r="AG111" s="73">
        <f t="shared" si="44"/>
        <v>1080289.9171419942</v>
      </c>
    </row>
    <row r="112" spans="1:33" x14ac:dyDescent="0.25">
      <c r="A112" s="100">
        <v>106299.92</v>
      </c>
      <c r="B112" s="97">
        <v>640.32029999999997</v>
      </c>
      <c r="C112" s="97">
        <v>0.6</v>
      </c>
      <c r="D112" s="80">
        <f t="shared" ref="D112:D175" si="49">A112-A111</f>
        <v>100</v>
      </c>
      <c r="E112" s="81">
        <f t="shared" si="37"/>
        <v>6791.2436711181272</v>
      </c>
      <c r="F112" s="81">
        <f>SUM(E$2:E112)</f>
        <v>705129.06015558657</v>
      </c>
      <c r="G112" s="43">
        <f t="shared" si="31"/>
        <v>1</v>
      </c>
      <c r="H112" s="78">
        <v>1</v>
      </c>
      <c r="I112" s="15">
        <f t="shared" si="38"/>
        <v>0.6</v>
      </c>
      <c r="J112" s="16">
        <f>VLOOKUP(G112,Inputs!$L$3:$P$15,5,FALSE)</f>
        <v>2000</v>
      </c>
      <c r="K112" s="16">
        <f t="shared" si="39"/>
        <v>1825</v>
      </c>
      <c r="L112" s="79">
        <f>Inputs!$P$8-B112</f>
        <v>297.87070000000006</v>
      </c>
      <c r="M112" s="79">
        <f>Inputs!$Q$8+L112*0.433</f>
        <v>1953.9780131</v>
      </c>
      <c r="N112" s="82">
        <f t="shared" si="40"/>
        <v>106299.92</v>
      </c>
      <c r="O112" s="83">
        <f t="shared" si="41"/>
        <v>640.32029999999997</v>
      </c>
      <c r="P112" s="84">
        <f>IF(O112="","",Inputs!$C$5-O112)</f>
        <v>184.86419999999998</v>
      </c>
      <c r="Q112" s="83">
        <f>IF(N112="","",TS!J112)</f>
        <v>2000</v>
      </c>
      <c r="R112" s="83">
        <f>IF(N112="","",TS!K112)</f>
        <v>1825</v>
      </c>
      <c r="S112" s="83">
        <f>Inputs!$H$5+TS!P112*0.4333</f>
        <v>1955.0673743099999</v>
      </c>
      <c r="T112" s="83">
        <f>Inputs!$G$5+TS!P112*0.4333</f>
        <v>1970.0673743099999</v>
      </c>
      <c r="U112" s="85">
        <f t="shared" si="42"/>
        <v>0.98503368715499995</v>
      </c>
      <c r="V112" s="86">
        <f>O112-MAX(O112:O177)</f>
        <v>-10.836900000000014</v>
      </c>
      <c r="W112" s="86">
        <f t="shared" si="46"/>
        <v>4.692377700000006</v>
      </c>
      <c r="X112" s="86" t="e">
        <f>((PI()*((42-2*'Gen Calcs'!$E$13)^2)/4)/144)*(A155-#REF!)*(W112+14.7)/14.7</f>
        <v>#REF!</v>
      </c>
      <c r="Y112" s="86" t="e">
        <f t="shared" si="47"/>
        <v>#REF!</v>
      </c>
      <c r="Z112" s="86" t="e">
        <f t="shared" si="48"/>
        <v>#REF!</v>
      </c>
      <c r="AA112" s="83">
        <f>MAX(B$2:B112)-B112</f>
        <v>184.86419999999998</v>
      </c>
      <c r="AB112" s="83">
        <f t="shared" si="34"/>
        <v>80.046198599999997</v>
      </c>
      <c r="AC112" s="83">
        <f t="shared" si="35"/>
        <v>103.30387300735234</v>
      </c>
      <c r="AD112" s="72">
        <f t="shared" si="36"/>
        <v>103.30387300735234</v>
      </c>
      <c r="AE112" s="73">
        <f t="shared" si="43"/>
        <v>907.92027688745009</v>
      </c>
      <c r="AF112" s="73">
        <f>SUM(AE$2:AE112)</f>
        <v>94347.905562002474</v>
      </c>
      <c r="AG112" s="73">
        <f t="shared" si="44"/>
        <v>1079381.9968651067</v>
      </c>
    </row>
    <row r="113" spans="1:33" x14ac:dyDescent="0.25">
      <c r="A113" s="99">
        <v>106399.92</v>
      </c>
      <c r="B113" s="96">
        <v>640.65509999999995</v>
      </c>
      <c r="C113" s="96">
        <v>0.6</v>
      </c>
      <c r="D113" s="80">
        <f t="shared" si="49"/>
        <v>100</v>
      </c>
      <c r="E113" s="81">
        <f t="shared" si="37"/>
        <v>6791.2436711181272</v>
      </c>
      <c r="F113" s="81">
        <f>SUM(E$2:E113)</f>
        <v>711920.30382670474</v>
      </c>
      <c r="G113" s="43">
        <f t="shared" si="31"/>
        <v>1</v>
      </c>
      <c r="H113" s="78">
        <v>1</v>
      </c>
      <c r="I113" s="15">
        <f t="shared" si="38"/>
        <v>0.6</v>
      </c>
      <c r="J113" s="16">
        <f>VLOOKUP(G113,Inputs!$L$3:$P$15,5,FALSE)</f>
        <v>2000</v>
      </c>
      <c r="K113" s="16">
        <f t="shared" si="39"/>
        <v>1825</v>
      </c>
      <c r="L113" s="79">
        <f>Inputs!$P$8-B113</f>
        <v>297.53590000000008</v>
      </c>
      <c r="M113" s="79">
        <f>Inputs!$Q$8+L113*0.433</f>
        <v>1953.8330447000001</v>
      </c>
      <c r="N113" s="82">
        <f t="shared" si="40"/>
        <v>106399.92</v>
      </c>
      <c r="O113" s="83">
        <f t="shared" si="41"/>
        <v>640.65509999999995</v>
      </c>
      <c r="P113" s="84">
        <f>IF(O113="","",Inputs!$C$5-O113)</f>
        <v>184.52940000000001</v>
      </c>
      <c r="Q113" s="83">
        <f>IF(N113="","",TS!J113)</f>
        <v>2000</v>
      </c>
      <c r="R113" s="83">
        <f>IF(N113="","",TS!K113)</f>
        <v>1825</v>
      </c>
      <c r="S113" s="83">
        <f>Inputs!$H$5+TS!P113*0.4333</f>
        <v>1954.9223054699999</v>
      </c>
      <c r="T113" s="83">
        <f>Inputs!$G$5+TS!P113*0.4333</f>
        <v>1969.9223054699999</v>
      </c>
      <c r="U113" s="85">
        <f t="shared" si="42"/>
        <v>0.98496115273499996</v>
      </c>
      <c r="V113" s="86">
        <f>O113-MAX(O113:O177)</f>
        <v>-10.502100000000041</v>
      </c>
      <c r="W113" s="86">
        <f t="shared" si="46"/>
        <v>4.5474093000000178</v>
      </c>
      <c r="X113" s="86" t="e">
        <f>((PI()*((42-2*'Gen Calcs'!$E$13)^2)/4)/144)*(A156-#REF!)*(W113+14.7)/14.7</f>
        <v>#REF!</v>
      </c>
      <c r="Y113" s="86" t="e">
        <f t="shared" si="47"/>
        <v>#REF!</v>
      </c>
      <c r="Z113" s="86" t="e">
        <f t="shared" si="48"/>
        <v>#REF!</v>
      </c>
      <c r="AA113" s="83">
        <f>MAX(B$2:B113)-B113</f>
        <v>184.52940000000001</v>
      </c>
      <c r="AB113" s="83">
        <f t="shared" si="34"/>
        <v>79.901230200000001</v>
      </c>
      <c r="AC113" s="83">
        <f t="shared" si="35"/>
        <v>103.39084003142871</v>
      </c>
      <c r="AD113" s="72">
        <f t="shared" si="36"/>
        <v>103.39084003142871</v>
      </c>
      <c r="AE113" s="73">
        <f t="shared" si="43"/>
        <v>907.92027688745009</v>
      </c>
      <c r="AF113" s="73">
        <f>SUM(AE$2:AE113)</f>
        <v>95255.825838889927</v>
      </c>
      <c r="AG113" s="73">
        <f t="shared" si="44"/>
        <v>1078474.0765882193</v>
      </c>
    </row>
    <row r="114" spans="1:33" x14ac:dyDescent="0.25">
      <c r="A114" s="100">
        <v>106499.92</v>
      </c>
      <c r="B114" s="97">
        <v>640.86850000000004</v>
      </c>
      <c r="C114" s="97">
        <v>0.6</v>
      </c>
      <c r="D114" s="80">
        <f t="shared" si="49"/>
        <v>100</v>
      </c>
      <c r="E114" s="81">
        <f t="shared" si="37"/>
        <v>6791.2436711181272</v>
      </c>
      <c r="F114" s="81">
        <f>SUM(E$2:E114)</f>
        <v>718711.5474978229</v>
      </c>
      <c r="G114" s="43">
        <f t="shared" si="31"/>
        <v>1</v>
      </c>
      <c r="H114" s="78">
        <v>1</v>
      </c>
      <c r="I114" s="15">
        <f t="shared" si="38"/>
        <v>0.6</v>
      </c>
      <c r="J114" s="16">
        <f>VLOOKUP(G114,Inputs!$L$3:$P$15,5,FALSE)</f>
        <v>2000</v>
      </c>
      <c r="K114" s="16">
        <f t="shared" si="39"/>
        <v>1825</v>
      </c>
      <c r="L114" s="79">
        <f>Inputs!$P$8-B114</f>
        <v>297.32249999999999</v>
      </c>
      <c r="M114" s="79">
        <f>Inputs!$Q$8+L114*0.433</f>
        <v>1953.7406424999999</v>
      </c>
      <c r="N114" s="82">
        <f t="shared" si="40"/>
        <v>106499.92</v>
      </c>
      <c r="O114" s="83">
        <f t="shared" si="41"/>
        <v>640.86850000000004</v>
      </c>
      <c r="P114" s="84">
        <f>IF(O114="","",Inputs!$C$5-O114)</f>
        <v>184.31599999999992</v>
      </c>
      <c r="Q114" s="83">
        <f>IF(N114="","",TS!J114)</f>
        <v>2000</v>
      </c>
      <c r="R114" s="83">
        <f>IF(N114="","",TS!K114)</f>
        <v>1825</v>
      </c>
      <c r="S114" s="83">
        <f>Inputs!$H$5+TS!P114*0.4333</f>
        <v>1954.8298392499998</v>
      </c>
      <c r="T114" s="83">
        <f>Inputs!$G$5+TS!P114*0.4333</f>
        <v>1969.8298392499998</v>
      </c>
      <c r="U114" s="85">
        <f t="shared" si="42"/>
        <v>0.98491491962499988</v>
      </c>
      <c r="V114" s="86">
        <f>O114-MAX(O114:O177)</f>
        <v>-10.288699999999949</v>
      </c>
      <c r="W114" s="86">
        <f t="shared" si="46"/>
        <v>4.4550070999999782</v>
      </c>
      <c r="X114" s="86" t="e">
        <f>((PI()*((42-2*'Gen Calcs'!$E$13)^2)/4)/144)*(A157-#REF!)*(W114+14.7)/14.7</f>
        <v>#REF!</v>
      </c>
      <c r="Y114" s="86" t="e">
        <f t="shared" si="47"/>
        <v>#REF!</v>
      </c>
      <c r="Z114" s="86" t="e">
        <f t="shared" si="48"/>
        <v>#REF!</v>
      </c>
      <c r="AA114" s="83">
        <f>MAX(B$2:B114)-B114</f>
        <v>184.31599999999992</v>
      </c>
      <c r="AB114" s="83">
        <f t="shared" si="34"/>
        <v>79.808827999999963</v>
      </c>
      <c r="AC114" s="83">
        <f t="shared" si="35"/>
        <v>103.47795360636715</v>
      </c>
      <c r="AD114" s="72">
        <f t="shared" si="36"/>
        <v>103.47795360636715</v>
      </c>
      <c r="AE114" s="73">
        <f t="shared" si="43"/>
        <v>907.92027688745009</v>
      </c>
      <c r="AF114" s="73">
        <f>SUM(AE$2:AE114)</f>
        <v>96163.74611577738</v>
      </c>
      <c r="AG114" s="73">
        <f t="shared" si="44"/>
        <v>1077566.1563113318</v>
      </c>
    </row>
    <row r="115" spans="1:33" x14ac:dyDescent="0.25">
      <c r="A115" s="99">
        <v>106599.92</v>
      </c>
      <c r="B115" s="96">
        <v>641.2509</v>
      </c>
      <c r="C115" s="96">
        <v>0.6</v>
      </c>
      <c r="D115" s="80">
        <f t="shared" si="49"/>
        <v>100</v>
      </c>
      <c r="E115" s="81">
        <f t="shared" si="37"/>
        <v>6791.2436711181272</v>
      </c>
      <c r="F115" s="81">
        <f>SUM(E$2:E115)</f>
        <v>725502.79116894107</v>
      </c>
      <c r="G115" s="43">
        <f t="shared" si="31"/>
        <v>1</v>
      </c>
      <c r="H115" s="78">
        <v>1</v>
      </c>
      <c r="I115" s="15">
        <f t="shared" si="38"/>
        <v>0.6</v>
      </c>
      <c r="J115" s="16">
        <f>VLOOKUP(G115,Inputs!$L$3:$P$15,5,FALSE)</f>
        <v>2000</v>
      </c>
      <c r="K115" s="16">
        <f t="shared" si="39"/>
        <v>1825</v>
      </c>
      <c r="L115" s="79">
        <f>Inputs!$P$8-B115</f>
        <v>296.94010000000003</v>
      </c>
      <c r="M115" s="79">
        <f>Inputs!$Q$8+L115*0.433</f>
        <v>1953.5750633</v>
      </c>
      <c r="N115" s="82">
        <f t="shared" si="40"/>
        <v>106599.92</v>
      </c>
      <c r="O115" s="83">
        <f t="shared" si="41"/>
        <v>641.2509</v>
      </c>
      <c r="P115" s="84">
        <f>IF(O115="","",Inputs!$C$5-O115)</f>
        <v>183.93359999999996</v>
      </c>
      <c r="Q115" s="83">
        <f>IF(N115="","",TS!J115)</f>
        <v>2000</v>
      </c>
      <c r="R115" s="83">
        <f>IF(N115="","",TS!K115)</f>
        <v>1825</v>
      </c>
      <c r="S115" s="83">
        <f>Inputs!$H$5+TS!P115*0.4333</f>
        <v>1954.6641453299999</v>
      </c>
      <c r="T115" s="83">
        <f>Inputs!$G$5+TS!P115*0.4333</f>
        <v>1969.6641453299999</v>
      </c>
      <c r="U115" s="85">
        <f t="shared" si="42"/>
        <v>0.98483207266499995</v>
      </c>
      <c r="V115" s="86">
        <f>O115-MAX(O115:O177)</f>
        <v>-9.9062999999999874</v>
      </c>
      <c r="W115" s="86">
        <f t="shared" si="46"/>
        <v>4.2894278999999944</v>
      </c>
      <c r="X115" s="86" t="e">
        <f>((PI()*((42-2*'Gen Calcs'!$E$13)^2)/4)/144)*(A158-#REF!)*(W115+14.7)/14.7</f>
        <v>#REF!</v>
      </c>
      <c r="Y115" s="86" t="e">
        <f t="shared" si="47"/>
        <v>#REF!</v>
      </c>
      <c r="Z115" s="86" t="e">
        <f t="shared" si="48"/>
        <v>#REF!</v>
      </c>
      <c r="AA115" s="83">
        <f>MAX(B$2:B115)-B115</f>
        <v>183.93359999999996</v>
      </c>
      <c r="AB115" s="83">
        <f t="shared" si="34"/>
        <v>79.643248799999981</v>
      </c>
      <c r="AC115" s="83">
        <f t="shared" si="35"/>
        <v>103.56521410291626</v>
      </c>
      <c r="AD115" s="72">
        <f t="shared" si="36"/>
        <v>103.56521410291626</v>
      </c>
      <c r="AE115" s="73">
        <f t="shared" si="43"/>
        <v>907.92027688745009</v>
      </c>
      <c r="AF115" s="73">
        <f>SUM(AE$2:AE115)</f>
        <v>97071.666392664833</v>
      </c>
      <c r="AG115" s="73">
        <f t="shared" si="44"/>
        <v>1076658.2360344443</v>
      </c>
    </row>
    <row r="116" spans="1:33" x14ac:dyDescent="0.25">
      <c r="A116" s="100">
        <v>106699.92</v>
      </c>
      <c r="B116" s="97">
        <v>641.71299999999997</v>
      </c>
      <c r="C116" s="97">
        <v>0.6</v>
      </c>
      <c r="D116" s="80">
        <f t="shared" si="49"/>
        <v>100</v>
      </c>
      <c r="E116" s="81">
        <f t="shared" si="37"/>
        <v>6791.2436711181272</v>
      </c>
      <c r="F116" s="81">
        <f>SUM(E$2:E116)</f>
        <v>732294.03484005923</v>
      </c>
      <c r="G116" s="43">
        <f t="shared" si="31"/>
        <v>1</v>
      </c>
      <c r="H116" s="78">
        <v>1</v>
      </c>
      <c r="I116" s="15">
        <f t="shared" si="38"/>
        <v>0.6</v>
      </c>
      <c r="J116" s="16">
        <f>VLOOKUP(G116,Inputs!$L$3:$P$15,5,FALSE)</f>
        <v>2000</v>
      </c>
      <c r="K116" s="16">
        <f t="shared" si="39"/>
        <v>1825</v>
      </c>
      <c r="L116" s="79">
        <f>Inputs!$P$8-B116</f>
        <v>296.47800000000007</v>
      </c>
      <c r="M116" s="79">
        <f>Inputs!$Q$8+L116*0.433</f>
        <v>1953.3749740000001</v>
      </c>
      <c r="N116" s="82">
        <f t="shared" si="40"/>
        <v>106699.92</v>
      </c>
      <c r="O116" s="83">
        <f t="shared" si="41"/>
        <v>641.71299999999997</v>
      </c>
      <c r="P116" s="84">
        <f>IF(O116="","",Inputs!$C$5-O116)</f>
        <v>183.47149999999999</v>
      </c>
      <c r="Q116" s="83">
        <f>IF(N116="","",TS!J116)</f>
        <v>2000</v>
      </c>
      <c r="R116" s="83">
        <f>IF(N116="","",TS!K116)</f>
        <v>1825</v>
      </c>
      <c r="S116" s="83">
        <f>Inputs!$H$5+TS!P116*0.4333</f>
        <v>1954.4639173999999</v>
      </c>
      <c r="T116" s="83">
        <f>Inputs!$G$5+TS!P116*0.4333</f>
        <v>1969.4639173999999</v>
      </c>
      <c r="U116" s="85">
        <f t="shared" si="42"/>
        <v>0.98473195869999997</v>
      </c>
      <c r="V116" s="86">
        <f>O116-MAX(O116:O177)</f>
        <v>-9.4442000000000235</v>
      </c>
      <c r="W116" s="86">
        <f t="shared" si="46"/>
        <v>4.0893386000000103</v>
      </c>
      <c r="X116" s="86" t="e">
        <f>((PI()*((42-2*'Gen Calcs'!$E$13)^2)/4)/144)*(A159-#REF!)*(W116+14.7)/14.7</f>
        <v>#REF!</v>
      </c>
      <c r="Y116" s="86" t="e">
        <f t="shared" si="47"/>
        <v>#REF!</v>
      </c>
      <c r="Z116" s="86" t="e">
        <f t="shared" si="48"/>
        <v>#REF!</v>
      </c>
      <c r="AA116" s="83">
        <f>MAX(B$2:B116)-B116</f>
        <v>183.47149999999999</v>
      </c>
      <c r="AB116" s="83">
        <f t="shared" si="34"/>
        <v>79.443159499999993</v>
      </c>
      <c r="AC116" s="83">
        <f t="shared" si="35"/>
        <v>103.6526218930762</v>
      </c>
      <c r="AD116" s="72">
        <f t="shared" si="36"/>
        <v>103.6526218930762</v>
      </c>
      <c r="AE116" s="73">
        <f t="shared" si="43"/>
        <v>907.92027688745009</v>
      </c>
      <c r="AF116" s="73">
        <f>SUM(AE$2:AE116)</f>
        <v>97979.586669552285</v>
      </c>
      <c r="AG116" s="73">
        <f t="shared" si="44"/>
        <v>1075750.3157575568</v>
      </c>
    </row>
    <row r="117" spans="1:33" x14ac:dyDescent="0.25">
      <c r="A117" s="99">
        <v>106799.92</v>
      </c>
      <c r="B117" s="96">
        <v>642.03970000000004</v>
      </c>
      <c r="C117" s="96">
        <v>0.6</v>
      </c>
      <c r="D117" s="80">
        <f t="shared" si="49"/>
        <v>100</v>
      </c>
      <c r="E117" s="81">
        <f t="shared" si="37"/>
        <v>6791.2436711181272</v>
      </c>
      <c r="F117" s="81">
        <f>SUM(E$2:E117)</f>
        <v>739085.2785111774</v>
      </c>
      <c r="G117" s="43">
        <f t="shared" si="31"/>
        <v>1</v>
      </c>
      <c r="H117" s="78">
        <v>1</v>
      </c>
      <c r="I117" s="15">
        <f t="shared" si="38"/>
        <v>0.6</v>
      </c>
      <c r="J117" s="16">
        <f>VLOOKUP(G117,Inputs!$L$3:$P$15,5,FALSE)</f>
        <v>2000</v>
      </c>
      <c r="K117" s="16">
        <f t="shared" si="39"/>
        <v>1825</v>
      </c>
      <c r="L117" s="79">
        <f>Inputs!$P$8-B117</f>
        <v>296.15129999999999</v>
      </c>
      <c r="M117" s="79">
        <f>Inputs!$Q$8+L117*0.433</f>
        <v>1953.2335129000001</v>
      </c>
      <c r="N117" s="82">
        <f t="shared" si="40"/>
        <v>106799.92</v>
      </c>
      <c r="O117" s="83">
        <f t="shared" si="41"/>
        <v>642.03970000000004</v>
      </c>
      <c r="P117" s="84">
        <f>IF(O117="","",Inputs!$C$5-O117)</f>
        <v>183.14479999999992</v>
      </c>
      <c r="Q117" s="83">
        <f>IF(N117="","",TS!J117)</f>
        <v>2000</v>
      </c>
      <c r="R117" s="83">
        <f>IF(N117="","",TS!K117)</f>
        <v>1825</v>
      </c>
      <c r="S117" s="83">
        <f>Inputs!$H$5+TS!P117*0.4333</f>
        <v>1954.32235829</v>
      </c>
      <c r="T117" s="83">
        <f>Inputs!$G$5+TS!P117*0.4333</f>
        <v>1969.32235829</v>
      </c>
      <c r="U117" s="85">
        <f t="shared" si="42"/>
        <v>0.98466117914499995</v>
      </c>
      <c r="V117" s="86">
        <f>O117-MAX(O117:O177)</f>
        <v>-9.11749999999995</v>
      </c>
      <c r="W117" s="86">
        <f t="shared" si="46"/>
        <v>3.9478774999999784</v>
      </c>
      <c r="X117" s="86" t="e">
        <f>((PI()*((42-2*'Gen Calcs'!$E$13)^2)/4)/144)*(A160-#REF!)*(W117+14.7)/14.7</f>
        <v>#REF!</v>
      </c>
      <c r="Y117" s="86" t="e">
        <f t="shared" si="47"/>
        <v>#REF!</v>
      </c>
      <c r="Z117" s="86" t="e">
        <f t="shared" si="48"/>
        <v>#REF!</v>
      </c>
      <c r="AA117" s="83">
        <f>MAX(B$2:B117)-B117</f>
        <v>183.14479999999992</v>
      </c>
      <c r="AB117" s="83">
        <f t="shared" si="34"/>
        <v>79.301698399999964</v>
      </c>
      <c r="AC117" s="83">
        <f t="shared" si="35"/>
        <v>103.74017735010408</v>
      </c>
      <c r="AD117" s="72">
        <f t="shared" si="36"/>
        <v>103.74017735010408</v>
      </c>
      <c r="AE117" s="73">
        <f t="shared" si="43"/>
        <v>907.92027688745009</v>
      </c>
      <c r="AF117" s="73">
        <f>SUM(AE$2:AE117)</f>
        <v>98887.506946439738</v>
      </c>
      <c r="AG117" s="73">
        <f t="shared" si="44"/>
        <v>1074842.3954806696</v>
      </c>
    </row>
    <row r="118" spans="1:33" x14ac:dyDescent="0.25">
      <c r="A118" s="100">
        <v>106899.92</v>
      </c>
      <c r="B118" s="97">
        <v>642.44529999999997</v>
      </c>
      <c r="C118" s="97">
        <v>0.6</v>
      </c>
      <c r="D118" s="80">
        <f t="shared" si="49"/>
        <v>100</v>
      </c>
      <c r="E118" s="81">
        <f t="shared" si="37"/>
        <v>6616.6076625842816</v>
      </c>
      <c r="F118" s="81">
        <f>SUM(E$2:E118)</f>
        <v>745701.88617376168</v>
      </c>
      <c r="G118" s="43">
        <f t="shared" si="31"/>
        <v>1</v>
      </c>
      <c r="H118" s="78">
        <v>1</v>
      </c>
      <c r="I118" s="15">
        <f t="shared" si="38"/>
        <v>0.6</v>
      </c>
      <c r="J118" s="16">
        <f>VLOOKUP(G118,Inputs!$L$3:$P$15,5,FALSE)</f>
        <v>2000</v>
      </c>
      <c r="K118" s="16">
        <f t="shared" si="39"/>
        <v>1825</v>
      </c>
      <c r="L118" s="79">
        <f>Inputs!$P$8-B118</f>
        <v>295.74570000000006</v>
      </c>
      <c r="M118" s="79">
        <f>Inputs!$Q$8+L118*0.433</f>
        <v>1953.0578881000001</v>
      </c>
      <c r="N118" s="82">
        <f t="shared" si="40"/>
        <v>106899.92</v>
      </c>
      <c r="O118" s="83">
        <f t="shared" si="41"/>
        <v>642.44529999999997</v>
      </c>
      <c r="P118" s="84">
        <f>IF(O118="","",Inputs!$C$5-O118)</f>
        <v>182.73919999999998</v>
      </c>
      <c r="Q118" s="83">
        <f>IF(N118="","",TS!J118)</f>
        <v>2000</v>
      </c>
      <c r="R118" s="83">
        <f>IF(N118="","",TS!K118)</f>
        <v>1825</v>
      </c>
      <c r="S118" s="83">
        <f>Inputs!$H$5+TS!P118*0.4333</f>
        <v>1954.14661181</v>
      </c>
      <c r="T118" s="83">
        <f>Inputs!$G$5+TS!P118*0.4333</f>
        <v>1969.14661181</v>
      </c>
      <c r="U118" s="85">
        <f t="shared" si="42"/>
        <v>0.98457330590500003</v>
      </c>
      <c r="V118" s="86">
        <f>O118-MAX(O118:O177)</f>
        <v>-8.7119000000000142</v>
      </c>
      <c r="W118" s="86">
        <f t="shared" si="46"/>
        <v>3.7722527000000059</v>
      </c>
      <c r="X118" s="86" t="e">
        <f>((PI()*((42-2*'Gen Calcs'!$E$13)^2)/4)/144)*(A161-#REF!)*(W118+14.7)/14.7</f>
        <v>#REF!</v>
      </c>
      <c r="Y118" s="86" t="e">
        <f t="shared" si="47"/>
        <v>#REF!</v>
      </c>
      <c r="Z118" s="86" t="e">
        <f t="shared" si="48"/>
        <v>#REF!</v>
      </c>
      <c r="AA118" s="83">
        <f>MAX(B$2:B118)-B118</f>
        <v>182.73919999999998</v>
      </c>
      <c r="AB118" s="83">
        <f t="shared" si="34"/>
        <v>79.126073599999998</v>
      </c>
      <c r="AC118" s="83">
        <f t="shared" si="35"/>
        <v>103.82788084851927</v>
      </c>
      <c r="AD118" s="72">
        <f t="shared" si="36"/>
        <v>103.82788084851927</v>
      </c>
      <c r="AE118" s="73">
        <f t="shared" si="43"/>
        <v>907.92027688745009</v>
      </c>
      <c r="AF118" s="73">
        <f>SUM(AE$2:AE118)</f>
        <v>99795.427223327191</v>
      </c>
      <c r="AG118" s="73">
        <f t="shared" si="44"/>
        <v>1073934.4752037821</v>
      </c>
    </row>
    <row r="119" spans="1:33" x14ac:dyDescent="0.25">
      <c r="A119" s="99">
        <v>106999.92</v>
      </c>
      <c r="B119" s="96">
        <v>642.71410000000003</v>
      </c>
      <c r="C119" s="96">
        <v>0.6</v>
      </c>
      <c r="D119" s="80">
        <f t="shared" si="49"/>
        <v>100</v>
      </c>
      <c r="E119" s="81">
        <f t="shared" si="37"/>
        <v>6791.2436711181272</v>
      </c>
      <c r="F119" s="81">
        <f>SUM(E$2:E119)</f>
        <v>752493.12984487985</v>
      </c>
      <c r="G119" s="43">
        <f t="shared" si="31"/>
        <v>1</v>
      </c>
      <c r="H119" s="78">
        <v>1</v>
      </c>
      <c r="I119" s="15">
        <f t="shared" si="38"/>
        <v>0.6</v>
      </c>
      <c r="J119" s="16">
        <f>VLOOKUP(G119,Inputs!$L$3:$P$15,5,FALSE)</f>
        <v>2000</v>
      </c>
      <c r="K119" s="16">
        <f t="shared" si="39"/>
        <v>1825</v>
      </c>
      <c r="L119" s="79">
        <f>Inputs!$P$8-B119</f>
        <v>295.4769</v>
      </c>
      <c r="M119" s="79">
        <f>Inputs!$Q$8+L119*0.433</f>
        <v>1952.9414976999999</v>
      </c>
      <c r="N119" s="82">
        <f t="shared" si="40"/>
        <v>106999.92</v>
      </c>
      <c r="O119" s="83">
        <f t="shared" si="41"/>
        <v>642.71410000000003</v>
      </c>
      <c r="P119" s="84">
        <f>IF(O119="","",Inputs!$C$5-O119)</f>
        <v>182.47039999999993</v>
      </c>
      <c r="Q119" s="83">
        <f>IF(N119="","",TS!J119)</f>
        <v>2000</v>
      </c>
      <c r="R119" s="83">
        <f>IF(N119="","",TS!K119)</f>
        <v>1825</v>
      </c>
      <c r="S119" s="83">
        <f>Inputs!$H$5+TS!P119*0.4333</f>
        <v>1954.0301407699999</v>
      </c>
      <c r="T119" s="83">
        <f>Inputs!$G$5+TS!P119*0.4333</f>
        <v>1969.0301407699999</v>
      </c>
      <c r="U119" s="85">
        <f t="shared" si="42"/>
        <v>0.98451507038499997</v>
      </c>
      <c r="V119" s="86">
        <f>O119-MAX(O119:O177)</f>
        <v>-8.4430999999999585</v>
      </c>
      <c r="W119" s="86">
        <f t="shared" si="46"/>
        <v>3.6558622999999821</v>
      </c>
      <c r="X119" s="86" t="e">
        <f>((PI()*((42-2*'Gen Calcs'!$E$13)^2)/4)/144)*(A162-#REF!)*(W119+14.7)/14.7</f>
        <v>#REF!</v>
      </c>
      <c r="Y119" s="86" t="e">
        <f t="shared" si="47"/>
        <v>#REF!</v>
      </c>
      <c r="Z119" s="86" t="e">
        <f t="shared" si="48"/>
        <v>#REF!</v>
      </c>
      <c r="AA119" s="83">
        <f>MAX(B$2:B119)-B119</f>
        <v>182.47039999999993</v>
      </c>
      <c r="AB119" s="83">
        <f t="shared" si="34"/>
        <v>79.009683199999969</v>
      </c>
      <c r="AC119" s="83">
        <f t="shared" si="35"/>
        <v>103.91573276410868</v>
      </c>
      <c r="AD119" s="72">
        <f t="shared" si="36"/>
        <v>103.91573276410868</v>
      </c>
      <c r="AE119" s="73">
        <f t="shared" si="43"/>
        <v>907.92027688745009</v>
      </c>
      <c r="AF119" s="73">
        <f>SUM(AE$2:AE119)</f>
        <v>100703.34750021464</v>
      </c>
      <c r="AG119" s="73">
        <f t="shared" si="44"/>
        <v>1073026.5549268946</v>
      </c>
    </row>
    <row r="120" spans="1:33" x14ac:dyDescent="0.25">
      <c r="A120" s="100">
        <v>107099.92</v>
      </c>
      <c r="B120" s="97">
        <v>642.73509999999999</v>
      </c>
      <c r="C120" s="97">
        <v>0.6</v>
      </c>
      <c r="D120" s="80">
        <f t="shared" si="49"/>
        <v>100</v>
      </c>
      <c r="E120" s="81">
        <f t="shared" si="37"/>
        <v>6616.6076625842816</v>
      </c>
      <c r="F120" s="81">
        <f>SUM(E$2:E120)</f>
        <v>759109.73750746413</v>
      </c>
      <c r="G120" s="43">
        <f t="shared" si="31"/>
        <v>1</v>
      </c>
      <c r="H120" s="78">
        <v>1</v>
      </c>
      <c r="I120" s="15">
        <f t="shared" si="38"/>
        <v>0.6</v>
      </c>
      <c r="J120" s="16">
        <f>VLOOKUP(G120,Inputs!$L$3:$P$15,5,FALSE)</f>
        <v>2000</v>
      </c>
      <c r="K120" s="16">
        <f t="shared" si="39"/>
        <v>1825</v>
      </c>
      <c r="L120" s="79">
        <f>Inputs!$P$8-B120</f>
        <v>295.45590000000004</v>
      </c>
      <c r="M120" s="79">
        <f>Inputs!$Q$8+L120*0.433</f>
        <v>1952.9324047</v>
      </c>
      <c r="N120" s="82">
        <f t="shared" si="40"/>
        <v>107099.92</v>
      </c>
      <c r="O120" s="83">
        <f t="shared" si="41"/>
        <v>642.73509999999999</v>
      </c>
      <c r="P120" s="84">
        <f>IF(O120="","",Inputs!$C$5-O120)</f>
        <v>182.44939999999997</v>
      </c>
      <c r="Q120" s="83">
        <f>IF(N120="","",TS!J120)</f>
        <v>2000</v>
      </c>
      <c r="R120" s="83">
        <f>IF(N120="","",TS!K120)</f>
        <v>1825</v>
      </c>
      <c r="S120" s="83">
        <f>Inputs!$H$5+TS!P120*0.4333</f>
        <v>1954.02104147</v>
      </c>
      <c r="T120" s="83">
        <f>Inputs!$G$5+TS!P120*0.4333</f>
        <v>1969.02104147</v>
      </c>
      <c r="U120" s="85">
        <f t="shared" si="42"/>
        <v>0.98451052073500001</v>
      </c>
      <c r="V120" s="86">
        <f>O120-MAX(O120:O177)</f>
        <v>-8.4221000000000004</v>
      </c>
      <c r="W120" s="86">
        <f t="shared" si="46"/>
        <v>3.6467693000000003</v>
      </c>
      <c r="X120" s="86" t="e">
        <f>((PI()*((42-2*'Gen Calcs'!$E$13)^2)/4)/144)*(A163-#REF!)*(W120+14.7)/14.7</f>
        <v>#REF!</v>
      </c>
      <c r="Y120" s="86" t="e">
        <f t="shared" si="47"/>
        <v>#REF!</v>
      </c>
      <c r="Z120" s="86" t="e">
        <f t="shared" si="48"/>
        <v>#REF!</v>
      </c>
      <c r="AA120" s="83">
        <f>MAX(B$2:B120)-B120</f>
        <v>182.44939999999997</v>
      </c>
      <c r="AB120" s="83">
        <f t="shared" si="34"/>
        <v>79.000590199999991</v>
      </c>
      <c r="AC120" s="83">
        <f t="shared" si="35"/>
        <v>104.00373347393214</v>
      </c>
      <c r="AD120" s="72">
        <f t="shared" si="36"/>
        <v>104.00373347393214</v>
      </c>
      <c r="AE120" s="73">
        <f t="shared" si="43"/>
        <v>907.92027688745009</v>
      </c>
      <c r="AF120" s="73">
        <f>SUM(AE$2:AE120)</f>
        <v>101611.2677771021</v>
      </c>
      <c r="AG120" s="73">
        <f t="shared" si="44"/>
        <v>1072118.6346500071</v>
      </c>
    </row>
    <row r="121" spans="1:33" x14ac:dyDescent="0.25">
      <c r="A121" s="99">
        <v>107199.92</v>
      </c>
      <c r="B121" s="96">
        <v>643.01520000000005</v>
      </c>
      <c r="C121" s="96">
        <v>0.6</v>
      </c>
      <c r="D121" s="80">
        <f t="shared" si="49"/>
        <v>100</v>
      </c>
      <c r="E121" s="81">
        <f t="shared" si="37"/>
        <v>6791.2436711181272</v>
      </c>
      <c r="F121" s="81">
        <f>SUM(E$2:E121)</f>
        <v>765900.9811785823</v>
      </c>
      <c r="G121" s="43">
        <f t="shared" si="31"/>
        <v>1</v>
      </c>
      <c r="H121" s="78">
        <v>1</v>
      </c>
      <c r="I121" s="15">
        <f t="shared" si="38"/>
        <v>0.6</v>
      </c>
      <c r="J121" s="16">
        <f>VLOOKUP(G121,Inputs!$L$3:$P$15,5,FALSE)</f>
        <v>2000</v>
      </c>
      <c r="K121" s="16">
        <f t="shared" si="39"/>
        <v>1825</v>
      </c>
      <c r="L121" s="79">
        <f>Inputs!$P$8-B121</f>
        <v>295.17579999999998</v>
      </c>
      <c r="M121" s="79">
        <f>Inputs!$Q$8+L121*0.433</f>
        <v>1952.8111214</v>
      </c>
      <c r="N121" s="82">
        <f t="shared" si="40"/>
        <v>107199.92</v>
      </c>
      <c r="O121" s="83">
        <f t="shared" si="41"/>
        <v>643.01520000000005</v>
      </c>
      <c r="P121" s="84">
        <f>IF(O121="","",Inputs!$C$5-O121)</f>
        <v>182.16929999999991</v>
      </c>
      <c r="Q121" s="83">
        <f>IF(N121="","",TS!J121)</f>
        <v>2000</v>
      </c>
      <c r="R121" s="83">
        <f>IF(N121="","",TS!K121)</f>
        <v>1825</v>
      </c>
      <c r="S121" s="83">
        <f>Inputs!$H$5+TS!P121*0.4333</f>
        <v>1953.8996741399999</v>
      </c>
      <c r="T121" s="83">
        <f>Inputs!$G$5+TS!P121*0.4333</f>
        <v>1968.8996741399999</v>
      </c>
      <c r="U121" s="85">
        <f t="shared" si="42"/>
        <v>0.98444983706999989</v>
      </c>
      <c r="V121" s="86">
        <f>O121-MAX(O121:O177)</f>
        <v>-8.1419999999999391</v>
      </c>
      <c r="W121" s="86">
        <f t="shared" si="46"/>
        <v>3.5254859999999737</v>
      </c>
      <c r="X121" s="86" t="e">
        <f>((PI()*((42-2*'Gen Calcs'!$E$13)^2)/4)/144)*(A164-#REF!)*(W121+14.7)/14.7</f>
        <v>#REF!</v>
      </c>
      <c r="Y121" s="86" t="e">
        <f t="shared" si="47"/>
        <v>#REF!</v>
      </c>
      <c r="Z121" s="86" t="e">
        <f t="shared" si="48"/>
        <v>#REF!</v>
      </c>
      <c r="AA121" s="83">
        <f>MAX(B$2:B121)-B121</f>
        <v>182.16929999999991</v>
      </c>
      <c r="AB121" s="83">
        <f t="shared" si="34"/>
        <v>78.87930689999996</v>
      </c>
      <c r="AC121" s="83">
        <f t="shared" si="35"/>
        <v>104.09188335632783</v>
      </c>
      <c r="AD121" s="72">
        <f t="shared" si="36"/>
        <v>104.09188335632783</v>
      </c>
      <c r="AE121" s="73">
        <f t="shared" si="43"/>
        <v>907.92027688745009</v>
      </c>
      <c r="AF121" s="73">
        <f>SUM(AE$2:AE121)</f>
        <v>102519.18805398955</v>
      </c>
      <c r="AG121" s="73">
        <f t="shared" si="44"/>
        <v>1071210.7143731196</v>
      </c>
    </row>
    <row r="122" spans="1:33" x14ac:dyDescent="0.25">
      <c r="A122" s="100">
        <v>107299.92</v>
      </c>
      <c r="B122" s="97">
        <v>642.9624</v>
      </c>
      <c r="C122" s="97">
        <v>0.6</v>
      </c>
      <c r="D122" s="80">
        <f t="shared" si="49"/>
        <v>100</v>
      </c>
      <c r="E122" s="81">
        <f t="shared" si="37"/>
        <v>6791.2436711181272</v>
      </c>
      <c r="F122" s="81">
        <f>SUM(E$2:E122)</f>
        <v>772692.22484970046</v>
      </c>
      <c r="G122" s="43">
        <f t="shared" si="31"/>
        <v>1</v>
      </c>
      <c r="H122" s="78">
        <v>1</v>
      </c>
      <c r="I122" s="15">
        <f t="shared" si="38"/>
        <v>0.6</v>
      </c>
      <c r="J122" s="16">
        <f>VLOOKUP(G122,Inputs!$L$3:$P$15,5,FALSE)</f>
        <v>2000</v>
      </c>
      <c r="K122" s="16">
        <f t="shared" si="39"/>
        <v>1825</v>
      </c>
      <c r="L122" s="79">
        <f>Inputs!$P$8-B122</f>
        <v>295.22860000000003</v>
      </c>
      <c r="M122" s="79">
        <f>Inputs!$Q$8+L122*0.433</f>
        <v>1952.8339837999999</v>
      </c>
      <c r="N122" s="82">
        <f t="shared" si="40"/>
        <v>107299.92</v>
      </c>
      <c r="O122" s="83">
        <f t="shared" si="41"/>
        <v>642.9624</v>
      </c>
      <c r="P122" s="84">
        <f>IF(O122="","",Inputs!$C$5-O122)</f>
        <v>182.22209999999995</v>
      </c>
      <c r="Q122" s="83">
        <f>IF(N122="","",TS!J122)</f>
        <v>2000</v>
      </c>
      <c r="R122" s="83">
        <f>IF(N122="","",TS!K122)</f>
        <v>1825</v>
      </c>
      <c r="S122" s="83">
        <f>Inputs!$H$5+TS!P122*0.4333</f>
        <v>1953.9225523799998</v>
      </c>
      <c r="T122" s="83">
        <f>Inputs!$G$5+TS!P122*0.4333</f>
        <v>1968.9225523799998</v>
      </c>
      <c r="U122" s="85">
        <f t="shared" si="42"/>
        <v>0.9844612761899999</v>
      </c>
      <c r="V122" s="86">
        <f>O122-MAX(O122:O177)</f>
        <v>-8.1947999999999865</v>
      </c>
      <c r="W122" s="86">
        <f t="shared" si="46"/>
        <v>3.5483483999999943</v>
      </c>
      <c r="X122" s="86" t="e">
        <f>((PI()*((42-2*'Gen Calcs'!$E$13)^2)/4)/144)*(A165-#REF!)*(W122+14.7)/14.7</f>
        <v>#REF!</v>
      </c>
      <c r="Y122" s="86" t="e">
        <f t="shared" si="47"/>
        <v>#REF!</v>
      </c>
      <c r="Z122" s="86" t="e">
        <f t="shared" si="48"/>
        <v>#REF!</v>
      </c>
      <c r="AA122" s="83">
        <f>MAX(B$2:B122)-B122</f>
        <v>182.22209999999995</v>
      </c>
      <c r="AB122" s="83">
        <f t="shared" si="34"/>
        <v>78.902169299999983</v>
      </c>
      <c r="AC122" s="83">
        <f t="shared" si="35"/>
        <v>104.18018279091766</v>
      </c>
      <c r="AD122" s="72">
        <f t="shared" si="36"/>
        <v>104.18018279091766</v>
      </c>
      <c r="AE122" s="73">
        <f t="shared" si="43"/>
        <v>907.92027688745009</v>
      </c>
      <c r="AF122" s="73">
        <f>SUM(AE$2:AE122)</f>
        <v>103427.108330877</v>
      </c>
      <c r="AG122" s="73">
        <f t="shared" si="44"/>
        <v>1070302.7940962322</v>
      </c>
    </row>
    <row r="123" spans="1:33" x14ac:dyDescent="0.25">
      <c r="A123" s="99">
        <v>107399.92</v>
      </c>
      <c r="B123" s="96">
        <v>643.02099999999996</v>
      </c>
      <c r="C123" s="96">
        <v>0.6</v>
      </c>
      <c r="D123" s="80">
        <f t="shared" si="49"/>
        <v>100</v>
      </c>
      <c r="E123" s="81">
        <f t="shared" si="37"/>
        <v>6791.2436711181272</v>
      </c>
      <c r="F123" s="81">
        <f>SUM(E$2:E123)</f>
        <v>779483.46852081863</v>
      </c>
      <c r="G123" s="43">
        <f t="shared" si="31"/>
        <v>1</v>
      </c>
      <c r="H123" s="78">
        <v>1</v>
      </c>
      <c r="I123" s="15">
        <f t="shared" si="38"/>
        <v>0.6</v>
      </c>
      <c r="J123" s="16">
        <f>VLOOKUP(G123,Inputs!$L$3:$P$15,5,FALSE)</f>
        <v>2000</v>
      </c>
      <c r="K123" s="16">
        <f t="shared" si="39"/>
        <v>1825</v>
      </c>
      <c r="L123" s="79">
        <f>Inputs!$P$8-B123</f>
        <v>295.17000000000007</v>
      </c>
      <c r="M123" s="79">
        <f>Inputs!$Q$8+L123*0.433</f>
        <v>1952.80861</v>
      </c>
      <c r="N123" s="82">
        <f t="shared" si="40"/>
        <v>107399.92</v>
      </c>
      <c r="O123" s="83">
        <f t="shared" si="41"/>
        <v>643.02099999999996</v>
      </c>
      <c r="P123" s="84">
        <f>IF(O123="","",Inputs!$C$5-O123)</f>
        <v>182.1635</v>
      </c>
      <c r="Q123" s="83">
        <f>IF(N123="","",TS!J123)</f>
        <v>2000</v>
      </c>
      <c r="R123" s="83">
        <f>IF(N123="","",TS!K123)</f>
        <v>1825</v>
      </c>
      <c r="S123" s="83">
        <f>Inputs!$H$5+TS!P123*0.4333</f>
        <v>1953.8971609999999</v>
      </c>
      <c r="T123" s="83">
        <f>Inputs!$G$5+TS!P123*0.4333</f>
        <v>1968.8971609999999</v>
      </c>
      <c r="U123" s="85">
        <f t="shared" si="42"/>
        <v>0.98444858049999995</v>
      </c>
      <c r="V123" s="86">
        <f>O123-MAX(O123:O177)</f>
        <v>-8.1362000000000307</v>
      </c>
      <c r="W123" s="86">
        <f t="shared" si="46"/>
        <v>3.5229746000000133</v>
      </c>
      <c r="X123" s="86" t="e">
        <f>((PI()*((42-2*'Gen Calcs'!$E$13)^2)/4)/144)*(A166-#REF!)*(W123+14.7)/14.7</f>
        <v>#REF!</v>
      </c>
      <c r="Y123" s="86" t="e">
        <f t="shared" si="47"/>
        <v>#REF!</v>
      </c>
      <c r="Z123" s="86" t="e">
        <f t="shared" si="48"/>
        <v>#REF!</v>
      </c>
      <c r="AA123" s="83">
        <f>MAX(B$2:B123)-B123</f>
        <v>182.1635</v>
      </c>
      <c r="AB123" s="83">
        <f t="shared" si="34"/>
        <v>78.8767955</v>
      </c>
      <c r="AC123" s="83">
        <f t="shared" si="35"/>
        <v>104.26863215861277</v>
      </c>
      <c r="AD123" s="72">
        <f t="shared" si="36"/>
        <v>104.26863215861277</v>
      </c>
      <c r="AE123" s="73">
        <f t="shared" si="43"/>
        <v>907.92027688745009</v>
      </c>
      <c r="AF123" s="73">
        <f>SUM(AE$2:AE123)</f>
        <v>104335.02860776446</v>
      </c>
      <c r="AG123" s="73">
        <f t="shared" si="44"/>
        <v>1069394.8738193447</v>
      </c>
    </row>
    <row r="124" spans="1:33" x14ac:dyDescent="0.25">
      <c r="A124" s="100">
        <v>107499.92</v>
      </c>
      <c r="B124" s="97">
        <v>643.13009999999997</v>
      </c>
      <c r="C124" s="97">
        <v>0.6</v>
      </c>
      <c r="D124" s="80">
        <f t="shared" si="49"/>
        <v>100</v>
      </c>
      <c r="E124" s="81">
        <f t="shared" si="37"/>
        <v>6791.2436711181272</v>
      </c>
      <c r="F124" s="81">
        <f>SUM(E$2:E124)</f>
        <v>786274.71219193679</v>
      </c>
      <c r="G124" s="43">
        <f t="shared" si="31"/>
        <v>1</v>
      </c>
      <c r="H124" s="78">
        <v>1</v>
      </c>
      <c r="I124" s="15">
        <f t="shared" si="38"/>
        <v>0.6</v>
      </c>
      <c r="J124" s="16">
        <f>VLOOKUP(G124,Inputs!$L$3:$P$15,5,FALSE)</f>
        <v>2000</v>
      </c>
      <c r="K124" s="16">
        <f t="shared" si="39"/>
        <v>1825</v>
      </c>
      <c r="L124" s="79">
        <f>Inputs!$P$8-B124</f>
        <v>295.06090000000006</v>
      </c>
      <c r="M124" s="79">
        <f>Inputs!$Q$8+L124*0.433</f>
        <v>1952.7613696999999</v>
      </c>
      <c r="N124" s="82">
        <f t="shared" si="40"/>
        <v>107499.92</v>
      </c>
      <c r="O124" s="83">
        <f t="shared" si="41"/>
        <v>643.13009999999997</v>
      </c>
      <c r="P124" s="84">
        <f>IF(O124="","",Inputs!$C$5-O124)</f>
        <v>182.05439999999999</v>
      </c>
      <c r="Q124" s="83">
        <f>IF(N124="","",TS!J124)</f>
        <v>2000</v>
      </c>
      <c r="R124" s="83">
        <f>IF(N124="","",TS!K124)</f>
        <v>1825</v>
      </c>
      <c r="S124" s="83">
        <f>Inputs!$H$5+TS!P124*0.4333</f>
        <v>1953.8498879700001</v>
      </c>
      <c r="T124" s="83">
        <f>Inputs!$G$5+TS!P124*0.4333</f>
        <v>1968.8498879700001</v>
      </c>
      <c r="U124" s="85">
        <f t="shared" si="42"/>
        <v>0.98442494398500002</v>
      </c>
      <c r="V124" s="86">
        <f>O124-MAX(O124:O177)</f>
        <v>-8.0271000000000186</v>
      </c>
      <c r="W124" s="86">
        <f t="shared" si="46"/>
        <v>3.475734300000008</v>
      </c>
      <c r="X124" s="86" t="e">
        <f>((PI()*((42-2*'Gen Calcs'!$E$13)^2)/4)/144)*(A167-#REF!)*(W124+14.7)/14.7</f>
        <v>#REF!</v>
      </c>
      <c r="Y124" s="86" t="e">
        <f t="shared" si="47"/>
        <v>#REF!</v>
      </c>
      <c r="Z124" s="86" t="e">
        <f t="shared" si="48"/>
        <v>#REF!</v>
      </c>
      <c r="AA124" s="83">
        <f>MAX(B$2:B124)-B124</f>
        <v>182.05439999999999</v>
      </c>
      <c r="AB124" s="83">
        <f t="shared" si="34"/>
        <v>78.829555199999987</v>
      </c>
      <c r="AC124" s="83">
        <f t="shared" si="35"/>
        <v>104.35723184161897</v>
      </c>
      <c r="AD124" s="72">
        <f t="shared" si="36"/>
        <v>104.35723184161897</v>
      </c>
      <c r="AE124" s="73">
        <f t="shared" si="43"/>
        <v>907.92027688745009</v>
      </c>
      <c r="AF124" s="73">
        <f>SUM(AE$2:AE124)</f>
        <v>105242.94888465191</v>
      </c>
      <c r="AG124" s="73">
        <f t="shared" si="44"/>
        <v>1068486.9535424572</v>
      </c>
    </row>
    <row r="125" spans="1:33" x14ac:dyDescent="0.25">
      <c r="A125" s="99">
        <v>107599.92</v>
      </c>
      <c r="B125" s="96">
        <v>643.48130000000003</v>
      </c>
      <c r="C125" s="96">
        <v>0.6</v>
      </c>
      <c r="D125" s="80">
        <f t="shared" si="49"/>
        <v>100</v>
      </c>
      <c r="E125" s="81">
        <f t="shared" si="37"/>
        <v>6791.2436711181272</v>
      </c>
      <c r="F125" s="81">
        <f>SUM(E$2:E125)</f>
        <v>793065.95586305496</v>
      </c>
      <c r="G125" s="43">
        <f t="shared" si="31"/>
        <v>1</v>
      </c>
      <c r="H125" s="78">
        <v>1</v>
      </c>
      <c r="I125" s="15">
        <f t="shared" si="38"/>
        <v>0.6</v>
      </c>
      <c r="J125" s="16">
        <f>VLOOKUP(G125,Inputs!$L$3:$P$15,5,FALSE)</f>
        <v>2000</v>
      </c>
      <c r="K125" s="16">
        <f t="shared" si="39"/>
        <v>1825</v>
      </c>
      <c r="L125" s="79">
        <f>Inputs!$P$8-B125</f>
        <v>294.7097</v>
      </c>
      <c r="M125" s="79">
        <f>Inputs!$Q$8+L125*0.433</f>
        <v>1952.6093000999999</v>
      </c>
      <c r="N125" s="82">
        <f t="shared" si="40"/>
        <v>107599.92</v>
      </c>
      <c r="O125" s="83">
        <f t="shared" si="41"/>
        <v>643.48130000000003</v>
      </c>
      <c r="P125" s="84">
        <f>IF(O125="","",Inputs!$C$5-O125)</f>
        <v>181.70319999999992</v>
      </c>
      <c r="Q125" s="83">
        <f>IF(N125="","",TS!J125)</f>
        <v>2000</v>
      </c>
      <c r="R125" s="83">
        <f>IF(N125="","",TS!K125)</f>
        <v>1825</v>
      </c>
      <c r="S125" s="83">
        <f>Inputs!$H$5+TS!P125*0.4333</f>
        <v>1953.6977130099999</v>
      </c>
      <c r="T125" s="83">
        <f>Inputs!$G$5+TS!P125*0.4333</f>
        <v>1968.6977130099999</v>
      </c>
      <c r="U125" s="85">
        <f t="shared" si="42"/>
        <v>0.98434885650499993</v>
      </c>
      <c r="V125" s="86">
        <f>O125-MAX(O125:O177)</f>
        <v>-7.675899999999956</v>
      </c>
      <c r="W125" s="86">
        <f t="shared" si="46"/>
        <v>3.323664699999981</v>
      </c>
      <c r="X125" s="86" t="e">
        <f>((PI()*((42-2*'Gen Calcs'!$E$13)^2)/4)/144)*(A168-#REF!)*(W125+14.7)/14.7</f>
        <v>#REF!</v>
      </c>
      <c r="Y125" s="86" t="e">
        <f t="shared" si="47"/>
        <v>#REF!</v>
      </c>
      <c r="Z125" s="86" t="e">
        <f t="shared" si="48"/>
        <v>#REF!</v>
      </c>
      <c r="AA125" s="83">
        <f>MAX(B$2:B125)-B125</f>
        <v>181.70319999999992</v>
      </c>
      <c r="AB125" s="83">
        <f t="shared" si="34"/>
        <v>78.677485599999969</v>
      </c>
      <c r="AC125" s="83">
        <f t="shared" si="35"/>
        <v>104.44598222344226</v>
      </c>
      <c r="AD125" s="72">
        <f t="shared" si="36"/>
        <v>104.44598222344226</v>
      </c>
      <c r="AE125" s="73">
        <f t="shared" si="43"/>
        <v>907.92027688745009</v>
      </c>
      <c r="AF125" s="73">
        <f>SUM(AE$2:AE125)</f>
        <v>106150.86916153936</v>
      </c>
      <c r="AG125" s="73">
        <f t="shared" si="44"/>
        <v>1067579.0332655697</v>
      </c>
    </row>
    <row r="126" spans="1:33" x14ac:dyDescent="0.25">
      <c r="A126" s="100">
        <v>107699.92</v>
      </c>
      <c r="B126" s="97">
        <v>643.73969999999997</v>
      </c>
      <c r="C126" s="97">
        <v>0.6</v>
      </c>
      <c r="D126" s="80">
        <f t="shared" si="49"/>
        <v>100</v>
      </c>
      <c r="E126" s="81">
        <f t="shared" si="37"/>
        <v>6791.2436711181272</v>
      </c>
      <c r="F126" s="81">
        <f>SUM(E$2:E126)</f>
        <v>799857.19953417312</v>
      </c>
      <c r="G126" s="43">
        <f t="shared" si="31"/>
        <v>1</v>
      </c>
      <c r="H126" s="78">
        <v>1</v>
      </c>
      <c r="I126" s="15">
        <f t="shared" si="38"/>
        <v>0.6</v>
      </c>
      <c r="J126" s="16">
        <f>VLOOKUP(G126,Inputs!$L$3:$P$15,5,FALSE)</f>
        <v>2000</v>
      </c>
      <c r="K126" s="16">
        <f t="shared" si="39"/>
        <v>1825</v>
      </c>
      <c r="L126" s="79">
        <f>Inputs!$P$8-B126</f>
        <v>294.45130000000006</v>
      </c>
      <c r="M126" s="79">
        <f>Inputs!$Q$8+L126*0.433</f>
        <v>1952.4974129</v>
      </c>
      <c r="N126" s="82">
        <f t="shared" si="40"/>
        <v>107699.92</v>
      </c>
      <c r="O126" s="83">
        <f t="shared" si="41"/>
        <v>643.73969999999997</v>
      </c>
      <c r="P126" s="84">
        <f>IF(O126="","",Inputs!$C$5-O126)</f>
        <v>181.44479999999999</v>
      </c>
      <c r="Q126" s="83">
        <f>IF(N126="","",TS!J126)</f>
        <v>2000</v>
      </c>
      <c r="R126" s="83">
        <f>IF(N126="","",TS!K126)</f>
        <v>1825</v>
      </c>
      <c r="S126" s="83">
        <f>Inputs!$H$5+TS!P126*0.4333</f>
        <v>1953.5857482899999</v>
      </c>
      <c r="T126" s="83">
        <f>Inputs!$G$5+TS!P126*0.4333</f>
        <v>1968.5857482899999</v>
      </c>
      <c r="U126" s="85">
        <f t="shared" si="42"/>
        <v>0.98429287414499989</v>
      </c>
      <c r="V126" s="86">
        <f>O126-MAX(O126:O177)</f>
        <v>-7.4175000000000182</v>
      </c>
      <c r="W126" s="86">
        <f t="shared" ref="W126:W157" si="50">-(V126)*0.433</f>
        <v>3.2117775000000077</v>
      </c>
      <c r="X126" s="86" t="e">
        <f>((PI()*((42-2*'Gen Calcs'!$E$13)^2)/4)/144)*(A169-#REF!)*(W126+14.7)/14.7</f>
        <v>#REF!</v>
      </c>
      <c r="Y126" s="86" t="e">
        <f t="shared" ref="Y126:Y157" si="51">X126/1000</f>
        <v>#REF!</v>
      </c>
      <c r="Z126" s="86" t="e">
        <f t="shared" si="48"/>
        <v>#REF!</v>
      </c>
      <c r="AA126" s="83">
        <f>MAX(B$2:B126)-B126</f>
        <v>181.44479999999999</v>
      </c>
      <c r="AB126" s="83">
        <f t="shared" si="34"/>
        <v>78.565598399999999</v>
      </c>
      <c r="AC126" s="83">
        <f t="shared" si="35"/>
        <v>104.53488368889431</v>
      </c>
      <c r="AD126" s="72">
        <f t="shared" si="36"/>
        <v>104.53488368889431</v>
      </c>
      <c r="AE126" s="73">
        <f t="shared" si="43"/>
        <v>907.92027688745009</v>
      </c>
      <c r="AF126" s="73">
        <f>SUM(AE$2:AE126)</f>
        <v>107058.78943842681</v>
      </c>
      <c r="AG126" s="73">
        <f t="shared" si="44"/>
        <v>1066671.1129886825</v>
      </c>
    </row>
    <row r="127" spans="1:33" x14ac:dyDescent="0.25">
      <c r="A127" s="99">
        <v>107799.92</v>
      </c>
      <c r="B127" s="96">
        <v>644.13160000000005</v>
      </c>
      <c r="C127" s="96">
        <v>0.6</v>
      </c>
      <c r="D127" s="80">
        <f t="shared" si="49"/>
        <v>100</v>
      </c>
      <c r="E127" s="81">
        <f t="shared" si="37"/>
        <v>6791.2436711181272</v>
      </c>
      <c r="F127" s="81">
        <f>SUM(E$2:E127)</f>
        <v>806648.44320529129</v>
      </c>
      <c r="G127" s="43">
        <f t="shared" si="31"/>
        <v>1</v>
      </c>
      <c r="H127" s="78">
        <v>1</v>
      </c>
      <c r="I127" s="15">
        <f t="shared" si="38"/>
        <v>0.6</v>
      </c>
      <c r="J127" s="16">
        <f>VLOOKUP(G127,Inputs!$L$3:$P$15,5,FALSE)</f>
        <v>2000</v>
      </c>
      <c r="K127" s="16">
        <f t="shared" si="39"/>
        <v>1825</v>
      </c>
      <c r="L127" s="79">
        <f>Inputs!$P$8-B127</f>
        <v>294.05939999999998</v>
      </c>
      <c r="M127" s="79">
        <f>Inputs!$Q$8+L127*0.433</f>
        <v>1952.3277201999999</v>
      </c>
      <c r="N127" s="82">
        <f t="shared" si="40"/>
        <v>107799.92</v>
      </c>
      <c r="O127" s="83">
        <f t="shared" si="41"/>
        <v>644.13160000000005</v>
      </c>
      <c r="P127" s="84">
        <f>IF(O127="","",Inputs!$C$5-O127)</f>
        <v>181.05289999999991</v>
      </c>
      <c r="Q127" s="83">
        <f>IF(N127="","",TS!J127)</f>
        <v>2000</v>
      </c>
      <c r="R127" s="83">
        <f>IF(N127="","",TS!K127)</f>
        <v>1825</v>
      </c>
      <c r="S127" s="83">
        <f>Inputs!$H$5+TS!P127*0.4333</f>
        <v>1953.4159380199999</v>
      </c>
      <c r="T127" s="83">
        <f>Inputs!$G$5+TS!P127*0.4333</f>
        <v>1968.4159380199999</v>
      </c>
      <c r="U127" s="85">
        <f t="shared" si="42"/>
        <v>0.98420796900999996</v>
      </c>
      <c r="V127" s="86">
        <f>O127-MAX(O127:O177)</f>
        <v>-7.0255999999999403</v>
      </c>
      <c r="W127" s="86">
        <f t="shared" si="50"/>
        <v>3.0420847999999743</v>
      </c>
      <c r="X127" s="86" t="e">
        <f>((PI()*((42-2*'Gen Calcs'!$E$13)^2)/4)/144)*(A170-#REF!)*(W127+14.7)/14.7</f>
        <v>#REF!</v>
      </c>
      <c r="Y127" s="86" t="e">
        <f t="shared" si="51"/>
        <v>#REF!</v>
      </c>
      <c r="Z127" s="86" t="e">
        <f t="shared" ref="Z127:Z158" si="52">IF(Y127&gt;Z126,Y127,Z126)</f>
        <v>#REF!</v>
      </c>
      <c r="AA127" s="83">
        <f>MAX(B$2:B127)-B127</f>
        <v>181.05289999999991</v>
      </c>
      <c r="AB127" s="83">
        <f t="shared" si="34"/>
        <v>78.395905699999958</v>
      </c>
      <c r="AC127" s="83">
        <f t="shared" si="35"/>
        <v>104.62393662409818</v>
      </c>
      <c r="AD127" s="72">
        <f t="shared" si="36"/>
        <v>104.62393662409818</v>
      </c>
      <c r="AE127" s="73">
        <f t="shared" si="43"/>
        <v>907.92027688745009</v>
      </c>
      <c r="AF127" s="73">
        <f>SUM(AE$2:AE127)</f>
        <v>107966.70971531427</v>
      </c>
      <c r="AG127" s="73">
        <f t="shared" si="44"/>
        <v>1065763.192711795</v>
      </c>
    </row>
    <row r="128" spans="1:33" x14ac:dyDescent="0.25">
      <c r="A128" s="100">
        <v>107899.92</v>
      </c>
      <c r="B128" s="97">
        <v>644.16430000000003</v>
      </c>
      <c r="C128" s="97">
        <v>0.6</v>
      </c>
      <c r="D128" s="80">
        <f t="shared" si="49"/>
        <v>100</v>
      </c>
      <c r="E128" s="81">
        <f t="shared" si="37"/>
        <v>6791.2436711181272</v>
      </c>
      <c r="F128" s="81">
        <f>SUM(E$2:E128)</f>
        <v>813439.68687640945</v>
      </c>
      <c r="G128" s="43">
        <f t="shared" si="31"/>
        <v>1</v>
      </c>
      <c r="H128" s="78">
        <v>1</v>
      </c>
      <c r="I128" s="15">
        <f t="shared" si="38"/>
        <v>0.6</v>
      </c>
      <c r="J128" s="16">
        <f>VLOOKUP(G128,Inputs!$L$3:$P$15,5,FALSE)</f>
        <v>2000</v>
      </c>
      <c r="K128" s="16">
        <f t="shared" si="39"/>
        <v>1825</v>
      </c>
      <c r="L128" s="79">
        <f>Inputs!$P$8-B128</f>
        <v>294.02670000000001</v>
      </c>
      <c r="M128" s="79">
        <f>Inputs!$Q$8+L128*0.433</f>
        <v>1952.3135611</v>
      </c>
      <c r="N128" s="82">
        <f t="shared" si="40"/>
        <v>107899.92</v>
      </c>
      <c r="O128" s="83">
        <f t="shared" si="41"/>
        <v>644.16430000000003</v>
      </c>
      <c r="P128" s="84">
        <f>IF(O128="","",Inputs!$C$5-O128)</f>
        <v>181.02019999999993</v>
      </c>
      <c r="Q128" s="83">
        <f>IF(N128="","",TS!J128)</f>
        <v>2000</v>
      </c>
      <c r="R128" s="83">
        <f>IF(N128="","",TS!K128)</f>
        <v>1825</v>
      </c>
      <c r="S128" s="83">
        <f>Inputs!$H$5+TS!P128*0.4333</f>
        <v>1953.4017691099998</v>
      </c>
      <c r="T128" s="83">
        <f>Inputs!$G$5+TS!P128*0.4333</f>
        <v>1968.4017691099998</v>
      </c>
      <c r="U128" s="85">
        <f t="shared" si="42"/>
        <v>0.98420088455499988</v>
      </c>
      <c r="V128" s="86">
        <f>O128-MAX(O128:O177)</f>
        <v>-6.9928999999999633</v>
      </c>
      <c r="W128" s="86">
        <f t="shared" si="50"/>
        <v>3.027925699999984</v>
      </c>
      <c r="X128" s="86" t="e">
        <f>((PI()*((42-2*'Gen Calcs'!$E$13)^2)/4)/144)*(A171-#REF!)*(W128+14.7)/14.7</f>
        <v>#REF!</v>
      </c>
      <c r="Y128" s="86" t="e">
        <f t="shared" si="51"/>
        <v>#REF!</v>
      </c>
      <c r="Z128" s="86" t="e">
        <f t="shared" si="52"/>
        <v>#REF!</v>
      </c>
      <c r="AA128" s="83">
        <f>MAX(B$2:B128)-B128</f>
        <v>181.02019999999993</v>
      </c>
      <c r="AB128" s="83">
        <f t="shared" si="34"/>
        <v>78.381746599999971</v>
      </c>
      <c r="AC128" s="83">
        <f t="shared" si="35"/>
        <v>104.71314141649367</v>
      </c>
      <c r="AD128" s="72">
        <f t="shared" si="36"/>
        <v>104.71314141649367</v>
      </c>
      <c r="AE128" s="73">
        <f t="shared" si="43"/>
        <v>907.92027688745009</v>
      </c>
      <c r="AF128" s="73">
        <f>SUM(AE$2:AE128)</f>
        <v>108874.62999220172</v>
      </c>
      <c r="AG128" s="73">
        <f t="shared" si="44"/>
        <v>1064855.2724349075</v>
      </c>
    </row>
    <row r="129" spans="1:33" x14ac:dyDescent="0.25">
      <c r="A129" s="99">
        <v>107999.92</v>
      </c>
      <c r="B129" s="96">
        <v>644.28980000000001</v>
      </c>
      <c r="C129" s="96">
        <v>0.6</v>
      </c>
      <c r="D129" s="80">
        <f t="shared" si="49"/>
        <v>100</v>
      </c>
      <c r="E129" s="81">
        <f t="shared" si="37"/>
        <v>6791.2436711181272</v>
      </c>
      <c r="F129" s="81">
        <f>SUM(E$2:E129)</f>
        <v>820230.93054752762</v>
      </c>
      <c r="G129" s="43">
        <f t="shared" si="31"/>
        <v>1</v>
      </c>
      <c r="H129" s="78">
        <v>1</v>
      </c>
      <c r="I129" s="15">
        <f t="shared" si="38"/>
        <v>0.6</v>
      </c>
      <c r="J129" s="16">
        <f>VLOOKUP(G129,Inputs!$L$3:$P$15,5,FALSE)</f>
        <v>2000</v>
      </c>
      <c r="K129" s="16">
        <f t="shared" si="39"/>
        <v>1825</v>
      </c>
      <c r="L129" s="79">
        <f>Inputs!$P$8-B129</f>
        <v>293.90120000000002</v>
      </c>
      <c r="M129" s="79">
        <f>Inputs!$Q$8+L129*0.433</f>
        <v>1952.2592196000001</v>
      </c>
      <c r="N129" s="82">
        <f t="shared" si="40"/>
        <v>107999.92</v>
      </c>
      <c r="O129" s="83">
        <f t="shared" si="41"/>
        <v>644.28980000000001</v>
      </c>
      <c r="P129" s="84">
        <f>IF(O129="","",Inputs!$C$5-O129)</f>
        <v>180.89469999999994</v>
      </c>
      <c r="Q129" s="83">
        <f>IF(N129="","",TS!J129)</f>
        <v>2000</v>
      </c>
      <c r="R129" s="83">
        <f>IF(N129="","",TS!K129)</f>
        <v>1825</v>
      </c>
      <c r="S129" s="83">
        <f>Inputs!$H$5+TS!P129*0.4333</f>
        <v>1953.3473899599999</v>
      </c>
      <c r="T129" s="83">
        <f>Inputs!$G$5+TS!P129*0.4333</f>
        <v>1968.3473899599999</v>
      </c>
      <c r="U129" s="85">
        <f t="shared" si="42"/>
        <v>0.98417369497999996</v>
      </c>
      <c r="V129" s="86">
        <f>O129-MAX(O129:O177)</f>
        <v>-6.8673999999999751</v>
      </c>
      <c r="W129" s="86">
        <f t="shared" si="50"/>
        <v>2.9735841999999892</v>
      </c>
      <c r="X129" s="86" t="e">
        <f>((PI()*((42-2*'Gen Calcs'!$E$13)^2)/4)/144)*(A172-#REF!)*(W129+14.7)/14.7</f>
        <v>#REF!</v>
      </c>
      <c r="Y129" s="86" t="e">
        <f t="shared" si="51"/>
        <v>#REF!</v>
      </c>
      <c r="Z129" s="86" t="e">
        <f t="shared" si="52"/>
        <v>#REF!</v>
      </c>
      <c r="AA129" s="83">
        <f>MAX(B$2:B129)-B129</f>
        <v>180.89469999999994</v>
      </c>
      <c r="AB129" s="83">
        <f t="shared" si="34"/>
        <v>78.327405099999979</v>
      </c>
      <c r="AC129" s="83">
        <f t="shared" si="35"/>
        <v>104.80249845484316</v>
      </c>
      <c r="AD129" s="72">
        <f t="shared" si="36"/>
        <v>104.80249845484316</v>
      </c>
      <c r="AE129" s="73">
        <f t="shared" si="43"/>
        <v>907.92027688745009</v>
      </c>
      <c r="AF129" s="73">
        <f>SUM(AE$2:AE129)</f>
        <v>109782.55026908917</v>
      </c>
      <c r="AG129" s="73">
        <f t="shared" si="44"/>
        <v>1063947.35215802</v>
      </c>
    </row>
    <row r="130" spans="1:33" x14ac:dyDescent="0.25">
      <c r="A130" s="100">
        <v>108099.92</v>
      </c>
      <c r="B130" s="97">
        <v>643.87350000000004</v>
      </c>
      <c r="C130" s="97">
        <v>0.6</v>
      </c>
      <c r="D130" s="80">
        <f t="shared" si="49"/>
        <v>100</v>
      </c>
      <c r="E130" s="81">
        <f t="shared" si="37"/>
        <v>6791.2436711181272</v>
      </c>
      <c r="F130" s="81">
        <f>SUM(E$2:E130)</f>
        <v>827022.17421864579</v>
      </c>
      <c r="G130" s="43">
        <f t="shared" si="31"/>
        <v>1</v>
      </c>
      <c r="H130" s="78">
        <v>1</v>
      </c>
      <c r="I130" s="15">
        <f t="shared" si="38"/>
        <v>0.6</v>
      </c>
      <c r="J130" s="16">
        <f>VLOOKUP(G130,Inputs!$L$3:$P$15,5,FALSE)</f>
        <v>2000</v>
      </c>
      <c r="K130" s="16">
        <f t="shared" si="39"/>
        <v>1825</v>
      </c>
      <c r="L130" s="79">
        <f>Inputs!$P$8-B130</f>
        <v>294.3175</v>
      </c>
      <c r="M130" s="79">
        <f>Inputs!$Q$8+L130*0.433</f>
        <v>1952.4394775000001</v>
      </c>
      <c r="N130" s="82">
        <f t="shared" si="40"/>
        <v>108099.92</v>
      </c>
      <c r="O130" s="83">
        <f t="shared" si="41"/>
        <v>643.87350000000004</v>
      </c>
      <c r="P130" s="84">
        <f>IF(O130="","",Inputs!$C$5-O130)</f>
        <v>181.31099999999992</v>
      </c>
      <c r="Q130" s="83">
        <f>IF(N130="","",TS!J130)</f>
        <v>2000</v>
      </c>
      <c r="R130" s="83">
        <f>IF(N130="","",TS!K130)</f>
        <v>1825</v>
      </c>
      <c r="S130" s="83">
        <f>Inputs!$H$5+TS!P130*0.4333</f>
        <v>1953.5277727499999</v>
      </c>
      <c r="T130" s="83">
        <f>Inputs!$G$5+TS!P130*0.4333</f>
        <v>1968.5277727499999</v>
      </c>
      <c r="U130" s="85">
        <f t="shared" si="42"/>
        <v>0.98426388637499995</v>
      </c>
      <c r="V130" s="86">
        <f>O130-MAX(O130:O177)</f>
        <v>-7.2836999999999534</v>
      </c>
      <c r="W130" s="86">
        <f t="shared" si="50"/>
        <v>3.1538420999999799</v>
      </c>
      <c r="X130" s="86" t="e">
        <f>((PI()*((42-2*'Gen Calcs'!$E$13)^2)/4)/144)*(A173-#REF!)*(W130+14.7)/14.7</f>
        <v>#REF!</v>
      </c>
      <c r="Y130" s="86" t="e">
        <f t="shared" si="51"/>
        <v>#REF!</v>
      </c>
      <c r="Z130" s="86" t="e">
        <f t="shared" si="52"/>
        <v>#REF!</v>
      </c>
      <c r="AA130" s="83">
        <f>MAX(B$2:B130)-B130</f>
        <v>181.31099999999992</v>
      </c>
      <c r="AB130" s="83">
        <f t="shared" si="34"/>
        <v>78.507662999999965</v>
      </c>
      <c r="AC130" s="83">
        <f t="shared" si="35"/>
        <v>104.89200812923713</v>
      </c>
      <c r="AD130" s="72">
        <f t="shared" si="36"/>
        <v>104.89200812923713</v>
      </c>
      <c r="AE130" s="73">
        <f t="shared" si="43"/>
        <v>907.92027688745009</v>
      </c>
      <c r="AF130" s="73">
        <f>SUM(AE$2:AE130)</f>
        <v>110690.47054597663</v>
      </c>
      <c r="AG130" s="73">
        <f t="shared" si="44"/>
        <v>1063039.4318811325</v>
      </c>
    </row>
    <row r="131" spans="1:33" x14ac:dyDescent="0.25">
      <c r="A131" s="99">
        <v>108159.1</v>
      </c>
      <c r="B131" s="96">
        <v>643.87350000000004</v>
      </c>
      <c r="C131" s="96">
        <v>0.86399999999999999</v>
      </c>
      <c r="D131" s="80">
        <f t="shared" si="49"/>
        <v>59.180000000007567</v>
      </c>
      <c r="E131" s="81">
        <f t="shared" si="37"/>
        <v>4019.0580045682213</v>
      </c>
      <c r="F131" s="81">
        <f>SUM(E$2:E131)</f>
        <v>831041.232223214</v>
      </c>
      <c r="G131" s="43">
        <f t="shared" ref="G131:G194" si="53">IF(C131=0.72,12,IF(C131=1,11,IF(C131=0.825,10,IF(C131=0.6,1,IF(C131=0.864,2,IF(C131=0.888,3))))))</f>
        <v>2</v>
      </c>
      <c r="H131" s="78">
        <v>1</v>
      </c>
      <c r="I131" s="15">
        <f t="shared" si="38"/>
        <v>0.86399999999999999</v>
      </c>
      <c r="J131" s="16">
        <f>VLOOKUP(G131,Inputs!$L$3:$P$15,5,FALSE)</f>
        <v>2880</v>
      </c>
      <c r="K131" s="16">
        <f t="shared" si="39"/>
        <v>1825</v>
      </c>
      <c r="L131" s="79">
        <f>Inputs!$P$8-B131</f>
        <v>294.3175</v>
      </c>
      <c r="M131" s="79">
        <f>Inputs!$Q$8+L131*0.433</f>
        <v>1952.4394775000001</v>
      </c>
      <c r="N131" s="82">
        <f t="shared" si="40"/>
        <v>108159.1</v>
      </c>
      <c r="O131" s="83">
        <f t="shared" si="41"/>
        <v>643.87350000000004</v>
      </c>
      <c r="P131" s="84">
        <f>IF(O131="","",Inputs!$C$5-O131)</f>
        <v>181.31099999999992</v>
      </c>
      <c r="Q131" s="83">
        <f>IF(N131="","",TS!J131)</f>
        <v>2880</v>
      </c>
      <c r="R131" s="83">
        <f>IF(N131="","",TS!K131)</f>
        <v>1825</v>
      </c>
      <c r="S131" s="83">
        <f>Inputs!$H$5+TS!P131*0.4333</f>
        <v>1953.5277727499999</v>
      </c>
      <c r="T131" s="83">
        <f>Inputs!$G$5+TS!P131*0.4333</f>
        <v>1968.5277727499999</v>
      </c>
      <c r="U131" s="85">
        <f t="shared" si="42"/>
        <v>0.68351658776041668</v>
      </c>
      <c r="V131" s="86">
        <f>O131-MAX(O131:O177)</f>
        <v>-7.2836999999999534</v>
      </c>
      <c r="W131" s="86">
        <f t="shared" si="50"/>
        <v>3.1538420999999799</v>
      </c>
      <c r="X131" s="86" t="e">
        <f>((PI()*((42-2*'Gen Calcs'!$E$13)^2)/4)/144)*(A174-#REF!)*(W131+14.7)/14.7</f>
        <v>#REF!</v>
      </c>
      <c r="Y131" s="86" t="e">
        <f t="shared" si="51"/>
        <v>#REF!</v>
      </c>
      <c r="Z131" s="86" t="e">
        <f t="shared" si="52"/>
        <v>#REF!</v>
      </c>
      <c r="AA131" s="83">
        <f>MAX(B$2:B131)-B131</f>
        <v>181.31099999999992</v>
      </c>
      <c r="AB131" s="83">
        <f t="shared" ref="AB131:AB177" si="54">AA131*0.433</f>
        <v>78.507662999999965</v>
      </c>
      <c r="AC131" s="83">
        <f t="shared" ref="AC131:AC194" si="55">((MAX(O$2:O$1348)-O131)-(MAX(O$2:O$1348)-O131))*0.433+AD131</f>
        <v>104.9436873184835</v>
      </c>
      <c r="AD131" s="72">
        <f t="shared" si="36"/>
        <v>104.9436873184835</v>
      </c>
      <c r="AE131" s="73">
        <f t="shared" si="43"/>
        <v>523.49042977511738</v>
      </c>
      <c r="AF131" s="73">
        <f>SUM(AE$2:AE131)</f>
        <v>111213.96097575175</v>
      </c>
      <c r="AG131" s="73">
        <f t="shared" si="44"/>
        <v>1062515.9414513574</v>
      </c>
    </row>
    <row r="132" spans="1:33" x14ac:dyDescent="0.25">
      <c r="A132" s="100">
        <v>108199.92</v>
      </c>
      <c r="B132" s="97">
        <v>643.16189999999995</v>
      </c>
      <c r="C132" s="97">
        <v>0.6</v>
      </c>
      <c r="D132" s="80">
        <f t="shared" si="49"/>
        <v>40.819999999992433</v>
      </c>
      <c r="E132" s="81">
        <f t="shared" si="37"/>
        <v>2772.1856665499054</v>
      </c>
      <c r="F132" s="81">
        <f>SUM(E$2:E132)</f>
        <v>833813.41788976395</v>
      </c>
      <c r="G132" s="43">
        <f t="shared" si="53"/>
        <v>1</v>
      </c>
      <c r="H132" s="78">
        <v>1</v>
      </c>
      <c r="I132" s="15">
        <f t="shared" si="38"/>
        <v>0.6</v>
      </c>
      <c r="J132" s="16">
        <f>VLOOKUP(G132,Inputs!$L$3:$P$15,5,FALSE)</f>
        <v>2000</v>
      </c>
      <c r="K132" s="16">
        <f t="shared" si="39"/>
        <v>1825</v>
      </c>
      <c r="L132" s="79">
        <f>Inputs!$P$8-B132</f>
        <v>295.02910000000008</v>
      </c>
      <c r="M132" s="79">
        <f>Inputs!$Q$8+L132*0.433</f>
        <v>1952.7476002999999</v>
      </c>
      <c r="N132" s="82">
        <f t="shared" si="40"/>
        <v>108199.92</v>
      </c>
      <c r="O132" s="83">
        <f t="shared" si="41"/>
        <v>643.16189999999995</v>
      </c>
      <c r="P132" s="84">
        <f>IF(O132="","",Inputs!$C$5-O132)</f>
        <v>182.02260000000001</v>
      </c>
      <c r="Q132" s="83">
        <f>IF(N132="","",TS!J132)</f>
        <v>2000</v>
      </c>
      <c r="R132" s="83">
        <f>IF(N132="","",TS!K132)</f>
        <v>1825</v>
      </c>
      <c r="S132" s="83">
        <f>Inputs!$H$5+TS!P132*0.4333</f>
        <v>1953.83610903</v>
      </c>
      <c r="T132" s="83">
        <f>Inputs!$G$5+TS!P132*0.4333</f>
        <v>1968.83610903</v>
      </c>
      <c r="U132" s="85">
        <f t="shared" si="42"/>
        <v>0.98441805451499997</v>
      </c>
      <c r="V132" s="86">
        <f>O132-MAX(O132:O177)</f>
        <v>-7.9953000000000429</v>
      </c>
      <c r="W132" s="86">
        <f t="shared" si="50"/>
        <v>3.4619649000000186</v>
      </c>
      <c r="X132" s="86" t="e">
        <f>((PI()*((42-2*'Gen Calcs'!$E$13)^2)/4)/144)*(A175-#REF!)*(W132+14.7)/14.7</f>
        <v>#REF!</v>
      </c>
      <c r="Y132" s="86" t="e">
        <f t="shared" si="51"/>
        <v>#REF!</v>
      </c>
      <c r="Z132" s="86" t="e">
        <f t="shared" si="52"/>
        <v>#REF!</v>
      </c>
      <c r="AA132" s="83">
        <f>MAX(B$2:B132)-B132</f>
        <v>182.02260000000001</v>
      </c>
      <c r="AB132" s="83">
        <f t="shared" si="54"/>
        <v>78.8157858</v>
      </c>
      <c r="AC132" s="83">
        <f t="shared" si="55"/>
        <v>104.98030518962869</v>
      </c>
      <c r="AD132" s="72">
        <f t="shared" ref="AD132:AD195" si="56">(AD$2*AF$1391)/AG132</f>
        <v>104.98030518962869</v>
      </c>
      <c r="AE132" s="73">
        <f t="shared" si="43"/>
        <v>370.6130570253884</v>
      </c>
      <c r="AF132" s="73">
        <f>SUM(AE$2:AE132)</f>
        <v>111584.57403277713</v>
      </c>
      <c r="AG132" s="73">
        <f t="shared" si="44"/>
        <v>1062145.328394332</v>
      </c>
    </row>
    <row r="133" spans="1:33" x14ac:dyDescent="0.25">
      <c r="A133" s="99">
        <v>108299.92</v>
      </c>
      <c r="B133" s="96">
        <v>642.36509999999998</v>
      </c>
      <c r="C133" s="96">
        <v>0.6</v>
      </c>
      <c r="D133" s="80">
        <f t="shared" si="49"/>
        <v>100</v>
      </c>
      <c r="E133" s="81">
        <f t="shared" ref="E133:E196" si="57">(PI()/4*(42/12-(2*C175/12))^2)*(D133)*7.48</f>
        <v>6791.2436711181272</v>
      </c>
      <c r="F133" s="81">
        <f>SUM(E$2:E133)</f>
        <v>840604.66156088212</v>
      </c>
      <c r="G133" s="43">
        <f t="shared" si="53"/>
        <v>1</v>
      </c>
      <c r="H133" s="78">
        <v>1</v>
      </c>
      <c r="I133" s="15">
        <f t="shared" ref="I133:I196" si="58">C133</f>
        <v>0.6</v>
      </c>
      <c r="J133" s="16">
        <f>VLOOKUP(G133,Inputs!$L$3:$P$15,5,FALSE)</f>
        <v>2000</v>
      </c>
      <c r="K133" s="16">
        <f t="shared" ref="K133:K196" si="59">IF(H133=1,1825,IF(H133=2,1825,2220))</f>
        <v>1825</v>
      </c>
      <c r="L133" s="79">
        <f>Inputs!$P$8-B133</f>
        <v>295.82590000000005</v>
      </c>
      <c r="M133" s="79">
        <f>Inputs!$Q$8+L133*0.433</f>
        <v>1953.0926147</v>
      </c>
      <c r="N133" s="82">
        <f t="shared" ref="N133:N196" si="60">A133</f>
        <v>108299.92</v>
      </c>
      <c r="O133" s="83">
        <f t="shared" ref="O133:O196" si="61">B133</f>
        <v>642.36509999999998</v>
      </c>
      <c r="P133" s="84">
        <f>IF(O133="","",Inputs!$C$5-O133)</f>
        <v>182.81939999999997</v>
      </c>
      <c r="Q133" s="83">
        <f>IF(N133="","",TS!J133)</f>
        <v>2000</v>
      </c>
      <c r="R133" s="83">
        <f>IF(N133="","",TS!K133)</f>
        <v>1825</v>
      </c>
      <c r="S133" s="83">
        <f>Inputs!$H$5+TS!P133*0.4333</f>
        <v>1954.1813624699998</v>
      </c>
      <c r="T133" s="83">
        <f>Inputs!$G$5+TS!P133*0.4333</f>
        <v>1969.1813624699998</v>
      </c>
      <c r="U133" s="85">
        <f t="shared" ref="U133:U196" si="62">T133/(140000*C133/42)</f>
        <v>0.98459068123499993</v>
      </c>
      <c r="V133" s="86">
        <f>O133-MAX(O133:O177)</f>
        <v>-8.7921000000000049</v>
      </c>
      <c r="W133" s="86">
        <f t="shared" si="50"/>
        <v>3.8069793000000023</v>
      </c>
      <c r="X133" s="86" t="e">
        <f>((PI()*((42-2*'Gen Calcs'!$E$13)^2)/4)/144)*(A176-#REF!)*(W133+14.7)/14.7</f>
        <v>#REF!</v>
      </c>
      <c r="Y133" s="86" t="e">
        <f t="shared" si="51"/>
        <v>#REF!</v>
      </c>
      <c r="Z133" s="86" t="e">
        <f t="shared" si="52"/>
        <v>#REF!</v>
      </c>
      <c r="AA133" s="83">
        <f>MAX(B$2:B133)-B133</f>
        <v>182.81939999999997</v>
      </c>
      <c r="AB133" s="83">
        <f t="shared" si="54"/>
        <v>79.160800199999983</v>
      </c>
      <c r="AC133" s="83">
        <f t="shared" si="55"/>
        <v>105.07011897401513</v>
      </c>
      <c r="AD133" s="72">
        <f t="shared" si="56"/>
        <v>105.07011897401513</v>
      </c>
      <c r="AE133" s="73">
        <f t="shared" ref="AE133:AE196" si="63">PI()*(((42-2*C133)/12)^2/4)*D133</f>
        <v>907.92027688745009</v>
      </c>
      <c r="AF133" s="73">
        <f>SUM(AE$2:AE133)</f>
        <v>112492.49430966459</v>
      </c>
      <c r="AG133" s="73">
        <f t="shared" ref="AG133:AG196" si="64">AF$1391-AF133</f>
        <v>1061237.4081174447</v>
      </c>
    </row>
    <row r="134" spans="1:33" x14ac:dyDescent="0.25">
      <c r="A134" s="100">
        <v>108399.92</v>
      </c>
      <c r="B134" s="97">
        <v>644.47519999999997</v>
      </c>
      <c r="C134" s="97">
        <v>0.6</v>
      </c>
      <c r="D134" s="80">
        <f t="shared" si="49"/>
        <v>100</v>
      </c>
      <c r="E134" s="81">
        <f t="shared" si="57"/>
        <v>6791.2436711181272</v>
      </c>
      <c r="F134" s="81">
        <f>SUM(E$2:E134)</f>
        <v>847395.90523200028</v>
      </c>
      <c r="G134" s="43">
        <f t="shared" si="53"/>
        <v>1</v>
      </c>
      <c r="H134" s="78">
        <v>1</v>
      </c>
      <c r="I134" s="15">
        <f t="shared" si="58"/>
        <v>0.6</v>
      </c>
      <c r="J134" s="16">
        <f>VLOOKUP(G134,Inputs!$L$3:$P$15,5,FALSE)</f>
        <v>2000</v>
      </c>
      <c r="K134" s="16">
        <f t="shared" si="59"/>
        <v>1825</v>
      </c>
      <c r="L134" s="79">
        <f>Inputs!$P$8-B134</f>
        <v>293.71580000000006</v>
      </c>
      <c r="M134" s="79">
        <f>Inputs!$Q$8+L134*0.433</f>
        <v>1952.1789414</v>
      </c>
      <c r="N134" s="82">
        <f t="shared" si="60"/>
        <v>108399.92</v>
      </c>
      <c r="O134" s="83">
        <f t="shared" si="61"/>
        <v>644.47519999999997</v>
      </c>
      <c r="P134" s="84">
        <f>IF(O134="","",Inputs!$C$5-O134)</f>
        <v>180.70929999999998</v>
      </c>
      <c r="Q134" s="83">
        <f>IF(N134="","",TS!J134)</f>
        <v>2000</v>
      </c>
      <c r="R134" s="83">
        <f>IF(N134="","",TS!K134)</f>
        <v>1825</v>
      </c>
      <c r="S134" s="83">
        <f>Inputs!$H$5+TS!P134*0.4333</f>
        <v>1953.26705614</v>
      </c>
      <c r="T134" s="83">
        <f>Inputs!$G$5+TS!P134*0.4333</f>
        <v>1968.26705614</v>
      </c>
      <c r="U134" s="85">
        <f t="shared" si="62"/>
        <v>0.98413352806999999</v>
      </c>
      <c r="V134" s="86">
        <f>O134-MAX(O134:O177)</f>
        <v>-6.6820000000000164</v>
      </c>
      <c r="W134" s="86">
        <f t="shared" si="50"/>
        <v>2.893306000000007</v>
      </c>
      <c r="X134" s="86" t="e">
        <f>((PI()*((42-2*'Gen Calcs'!$E$13)^2)/4)/144)*(A177-#REF!)*(W134+14.7)/14.7</f>
        <v>#REF!</v>
      </c>
      <c r="Y134" s="86" t="e">
        <f t="shared" si="51"/>
        <v>#REF!</v>
      </c>
      <c r="Z134" s="86" t="e">
        <f t="shared" si="52"/>
        <v>#REF!</v>
      </c>
      <c r="AA134" s="83">
        <f>MAX(B$2:B134)-B134</f>
        <v>180.70929999999998</v>
      </c>
      <c r="AB134" s="83">
        <f t="shared" si="54"/>
        <v>78.247126899999998</v>
      </c>
      <c r="AC134" s="83">
        <f t="shared" si="55"/>
        <v>105.16008656673554</v>
      </c>
      <c r="AD134" s="72">
        <f t="shared" si="56"/>
        <v>105.16008656673554</v>
      </c>
      <c r="AE134" s="73">
        <f t="shared" si="63"/>
        <v>907.92027688745009</v>
      </c>
      <c r="AF134" s="73">
        <f>SUM(AE$2:AE134)</f>
        <v>113400.41458655204</v>
      </c>
      <c r="AG134" s="73">
        <f t="shared" si="64"/>
        <v>1060329.4878405572</v>
      </c>
    </row>
    <row r="135" spans="1:33" x14ac:dyDescent="0.25">
      <c r="A135" s="99">
        <v>108499.92</v>
      </c>
      <c r="B135" s="96">
        <v>644.20090000000005</v>
      </c>
      <c r="C135" s="96">
        <v>0.6</v>
      </c>
      <c r="D135" s="80">
        <f t="shared" si="49"/>
        <v>100</v>
      </c>
      <c r="E135" s="81">
        <f t="shared" si="57"/>
        <v>6791.2436711181272</v>
      </c>
      <c r="F135" s="81">
        <f>SUM(E$2:E135)</f>
        <v>854187.14890311845</v>
      </c>
      <c r="G135" s="43">
        <f t="shared" si="53"/>
        <v>1</v>
      </c>
      <c r="H135" s="78">
        <v>1</v>
      </c>
      <c r="I135" s="15">
        <f t="shared" si="58"/>
        <v>0.6</v>
      </c>
      <c r="J135" s="16">
        <f>VLOOKUP(G135,Inputs!$L$3:$P$15,5,FALSE)</f>
        <v>2000</v>
      </c>
      <c r="K135" s="16">
        <f t="shared" si="59"/>
        <v>1825</v>
      </c>
      <c r="L135" s="79">
        <f>Inputs!$P$8-B135</f>
        <v>293.99009999999998</v>
      </c>
      <c r="M135" s="79">
        <f>Inputs!$Q$8+L135*0.433</f>
        <v>1952.2977132999999</v>
      </c>
      <c r="N135" s="82">
        <f t="shared" si="60"/>
        <v>108499.92</v>
      </c>
      <c r="O135" s="83">
        <f t="shared" si="61"/>
        <v>644.20090000000005</v>
      </c>
      <c r="P135" s="84">
        <f>IF(O135="","",Inputs!$C$5-O135)</f>
        <v>180.98359999999991</v>
      </c>
      <c r="Q135" s="83">
        <f>IF(N135="","",TS!J135)</f>
        <v>2000</v>
      </c>
      <c r="R135" s="83">
        <f>IF(N135="","",TS!K135)</f>
        <v>1825</v>
      </c>
      <c r="S135" s="83">
        <f>Inputs!$H$5+TS!P135*0.4333</f>
        <v>1953.3859103299999</v>
      </c>
      <c r="T135" s="83">
        <f>Inputs!$G$5+TS!P135*0.4333</f>
        <v>1968.3859103299999</v>
      </c>
      <c r="U135" s="85">
        <f t="shared" si="62"/>
        <v>0.98419295516499994</v>
      </c>
      <c r="V135" s="86">
        <f>O135-MAX(O135:O177)</f>
        <v>-6.956299999999942</v>
      </c>
      <c r="W135" s="86">
        <f t="shared" si="50"/>
        <v>3.0120778999999747</v>
      </c>
      <c r="X135" s="86" t="e">
        <f>((PI()*((42-2*'Gen Calcs'!$E$13)^2)/4)/144)*(A178-#REF!)*(W135+14.7)/14.7</f>
        <v>#REF!</v>
      </c>
      <c r="Y135" s="86" t="e">
        <f t="shared" si="51"/>
        <v>#REF!</v>
      </c>
      <c r="Z135" s="86" t="e">
        <f t="shared" si="52"/>
        <v>#REF!</v>
      </c>
      <c r="AA135" s="83">
        <f>MAX(B$2:B135)-B135</f>
        <v>180.98359999999991</v>
      </c>
      <c r="AB135" s="83">
        <f t="shared" si="54"/>
        <v>78.365898799999954</v>
      </c>
      <c r="AC135" s="83">
        <f t="shared" si="55"/>
        <v>105.25020836322942</v>
      </c>
      <c r="AD135" s="72">
        <f t="shared" si="56"/>
        <v>105.25020836322942</v>
      </c>
      <c r="AE135" s="73">
        <f t="shared" si="63"/>
        <v>907.92027688745009</v>
      </c>
      <c r="AF135" s="73">
        <f>SUM(AE$2:AE135)</f>
        <v>114308.33486343949</v>
      </c>
      <c r="AG135" s="73">
        <f t="shared" si="64"/>
        <v>1059421.5675636698</v>
      </c>
    </row>
    <row r="136" spans="1:33" x14ac:dyDescent="0.25">
      <c r="A136" s="100">
        <v>108599.92</v>
      </c>
      <c r="B136" s="97">
        <v>644.36249999999995</v>
      </c>
      <c r="C136" s="97">
        <v>0.6</v>
      </c>
      <c r="D136" s="80">
        <f t="shared" si="49"/>
        <v>100</v>
      </c>
      <c r="E136" s="81">
        <f t="shared" si="57"/>
        <v>6791.2436711181272</v>
      </c>
      <c r="F136" s="81">
        <f>SUM(E$2:E136)</f>
        <v>860978.39257423661</v>
      </c>
      <c r="G136" s="43">
        <f t="shared" si="53"/>
        <v>1</v>
      </c>
      <c r="H136" s="78">
        <v>1</v>
      </c>
      <c r="I136" s="15">
        <f t="shared" si="58"/>
        <v>0.6</v>
      </c>
      <c r="J136" s="16">
        <f>VLOOKUP(G136,Inputs!$L$3:$P$15,5,FALSE)</f>
        <v>2000</v>
      </c>
      <c r="K136" s="16">
        <f t="shared" si="59"/>
        <v>1825</v>
      </c>
      <c r="L136" s="79">
        <f>Inputs!$P$8-B136</f>
        <v>293.82850000000008</v>
      </c>
      <c r="M136" s="79">
        <f>Inputs!$Q$8+L136*0.433</f>
        <v>1952.2277405</v>
      </c>
      <c r="N136" s="82">
        <f t="shared" si="60"/>
        <v>108599.92</v>
      </c>
      <c r="O136" s="83">
        <f t="shared" si="61"/>
        <v>644.36249999999995</v>
      </c>
      <c r="P136" s="84">
        <f>IF(O136="","",Inputs!$C$5-O136)</f>
        <v>180.822</v>
      </c>
      <c r="Q136" s="83">
        <f>IF(N136="","",TS!J136)</f>
        <v>2000</v>
      </c>
      <c r="R136" s="83">
        <f>IF(N136="","",TS!K136)</f>
        <v>1825</v>
      </c>
      <c r="S136" s="83">
        <f>Inputs!$H$5+TS!P136*0.4333</f>
        <v>1953.3158890499999</v>
      </c>
      <c r="T136" s="83">
        <f>Inputs!$G$5+TS!P136*0.4333</f>
        <v>1968.3158890499999</v>
      </c>
      <c r="U136" s="85">
        <f t="shared" si="62"/>
        <v>0.98415794452499994</v>
      </c>
      <c r="V136" s="86">
        <f>O136-MAX(O136:O177)</f>
        <v>-6.7947000000000344</v>
      </c>
      <c r="W136" s="86">
        <f t="shared" si="50"/>
        <v>2.9421051000000147</v>
      </c>
      <c r="X136" s="86" t="e">
        <f>((PI()*((42-2*'Gen Calcs'!$E$13)^2)/4)/144)*(A179-#REF!)*(W136+14.7)/14.7</f>
        <v>#REF!</v>
      </c>
      <c r="Y136" s="86" t="e">
        <f t="shared" si="51"/>
        <v>#REF!</v>
      </c>
      <c r="Z136" s="86" t="e">
        <f t="shared" si="52"/>
        <v>#REF!</v>
      </c>
      <c r="AA136" s="83">
        <f>MAX(B$2:B136)-B136</f>
        <v>180.822</v>
      </c>
      <c r="AB136" s="83">
        <f t="shared" si="54"/>
        <v>78.295925999999994</v>
      </c>
      <c r="AC136" s="83">
        <f t="shared" si="55"/>
        <v>105.34048476029292</v>
      </c>
      <c r="AD136" s="72">
        <f t="shared" si="56"/>
        <v>105.34048476029292</v>
      </c>
      <c r="AE136" s="73">
        <f t="shared" si="63"/>
        <v>907.92027688745009</v>
      </c>
      <c r="AF136" s="73">
        <f>SUM(AE$2:AE136)</f>
        <v>115216.25514032695</v>
      </c>
      <c r="AG136" s="73">
        <f t="shared" si="64"/>
        <v>1058513.6472867823</v>
      </c>
    </row>
    <row r="137" spans="1:33" x14ac:dyDescent="0.25">
      <c r="A137" s="99">
        <v>108699.92</v>
      </c>
      <c r="B137" s="96">
        <v>644.95619999999997</v>
      </c>
      <c r="C137" s="96">
        <v>0.6</v>
      </c>
      <c r="D137" s="80">
        <f t="shared" si="49"/>
        <v>100</v>
      </c>
      <c r="E137" s="81">
        <f t="shared" si="57"/>
        <v>6791.2436711181272</v>
      </c>
      <c r="F137" s="81">
        <f>SUM(E$2:E137)</f>
        <v>867769.63624535478</v>
      </c>
      <c r="G137" s="43">
        <f t="shared" si="53"/>
        <v>1</v>
      </c>
      <c r="H137" s="78">
        <v>1</v>
      </c>
      <c r="I137" s="15">
        <f t="shared" si="58"/>
        <v>0.6</v>
      </c>
      <c r="J137" s="16">
        <f>VLOOKUP(G137,Inputs!$L$3:$P$15,5,FALSE)</f>
        <v>2000</v>
      </c>
      <c r="K137" s="16">
        <f t="shared" si="59"/>
        <v>1825</v>
      </c>
      <c r="L137" s="79">
        <f>Inputs!$P$8-B137</f>
        <v>293.23480000000006</v>
      </c>
      <c r="M137" s="79">
        <f>Inputs!$Q$8+L137*0.433</f>
        <v>1951.9706684</v>
      </c>
      <c r="N137" s="82">
        <f t="shared" si="60"/>
        <v>108699.92</v>
      </c>
      <c r="O137" s="83">
        <f t="shared" si="61"/>
        <v>644.95619999999997</v>
      </c>
      <c r="P137" s="84">
        <f>IF(O137="","",Inputs!$C$5-O137)</f>
        <v>180.22829999999999</v>
      </c>
      <c r="Q137" s="83">
        <f>IF(N137="","",TS!J137)</f>
        <v>2000</v>
      </c>
      <c r="R137" s="83">
        <f>IF(N137="","",TS!K137)</f>
        <v>1825</v>
      </c>
      <c r="S137" s="83">
        <f>Inputs!$H$5+TS!P137*0.4333</f>
        <v>1953.05863884</v>
      </c>
      <c r="T137" s="83">
        <f>Inputs!$G$5+TS!P137*0.4333</f>
        <v>1968.05863884</v>
      </c>
      <c r="U137" s="85">
        <f t="shared" si="62"/>
        <v>0.98402931941999994</v>
      </c>
      <c r="V137" s="86">
        <f>O137-MAX(O137:O177)</f>
        <v>-6.2010000000000218</v>
      </c>
      <c r="W137" s="86">
        <f t="shared" si="50"/>
        <v>2.6850330000000096</v>
      </c>
      <c r="X137" s="86" t="e">
        <f>((PI()*((42-2*'Gen Calcs'!$E$13)^2)/4)/144)*(A180-#REF!)*(W137+14.7)/14.7</f>
        <v>#REF!</v>
      </c>
      <c r="Y137" s="86" t="e">
        <f t="shared" si="51"/>
        <v>#REF!</v>
      </c>
      <c r="Z137" s="86" t="e">
        <f t="shared" si="52"/>
        <v>#REF!</v>
      </c>
      <c r="AA137" s="83">
        <f>MAX(B$2:B137)-B137</f>
        <v>180.22829999999999</v>
      </c>
      <c r="AB137" s="83">
        <f t="shared" si="54"/>
        <v>78.038853899999992</v>
      </c>
      <c r="AC137" s="83">
        <f t="shared" si="55"/>
        <v>105.43091615608483</v>
      </c>
      <c r="AD137" s="72">
        <f t="shared" si="56"/>
        <v>105.43091615608483</v>
      </c>
      <c r="AE137" s="73">
        <f t="shared" si="63"/>
        <v>907.92027688745009</v>
      </c>
      <c r="AF137" s="73">
        <f>SUM(AE$2:AE137)</f>
        <v>116124.1754172144</v>
      </c>
      <c r="AG137" s="73">
        <f t="shared" si="64"/>
        <v>1057605.7270098948</v>
      </c>
    </row>
    <row r="138" spans="1:33" x14ac:dyDescent="0.25">
      <c r="A138" s="100">
        <v>108799.92</v>
      </c>
      <c r="B138" s="97">
        <v>645.99260000000004</v>
      </c>
      <c r="C138" s="97">
        <v>0.6</v>
      </c>
      <c r="D138" s="80">
        <f t="shared" si="49"/>
        <v>100</v>
      </c>
      <c r="E138" s="81">
        <f t="shared" si="57"/>
        <v>6791.2436711181272</v>
      </c>
      <c r="F138" s="81">
        <f>SUM(E$2:E138)</f>
        <v>874560.87991647294</v>
      </c>
      <c r="G138" s="43">
        <f t="shared" si="53"/>
        <v>1</v>
      </c>
      <c r="H138" s="78">
        <v>1</v>
      </c>
      <c r="I138" s="15">
        <f t="shared" si="58"/>
        <v>0.6</v>
      </c>
      <c r="J138" s="16">
        <f>VLOOKUP(G138,Inputs!$L$3:$P$15,5,FALSE)</f>
        <v>2000</v>
      </c>
      <c r="K138" s="16">
        <f t="shared" si="59"/>
        <v>1825</v>
      </c>
      <c r="L138" s="79">
        <f>Inputs!$P$8-B138</f>
        <v>292.19839999999999</v>
      </c>
      <c r="M138" s="79">
        <f>Inputs!$Q$8+L138*0.433</f>
        <v>1951.5219072</v>
      </c>
      <c r="N138" s="82">
        <f t="shared" si="60"/>
        <v>108799.92</v>
      </c>
      <c r="O138" s="83">
        <f t="shared" si="61"/>
        <v>645.99260000000004</v>
      </c>
      <c r="P138" s="84">
        <f>IF(O138="","",Inputs!$C$5-O138)</f>
        <v>179.19189999999992</v>
      </c>
      <c r="Q138" s="83">
        <f>IF(N138="","",TS!J138)</f>
        <v>2000</v>
      </c>
      <c r="R138" s="83">
        <f>IF(N138="","",TS!K138)</f>
        <v>1825</v>
      </c>
      <c r="S138" s="83">
        <f>Inputs!$H$5+TS!P138*0.4333</f>
        <v>1952.60956672</v>
      </c>
      <c r="T138" s="83">
        <f>Inputs!$G$5+TS!P138*0.4333</f>
        <v>1967.60956672</v>
      </c>
      <c r="U138" s="85">
        <f t="shared" si="62"/>
        <v>0.98380478335999999</v>
      </c>
      <c r="V138" s="86">
        <f>O138-MAX(O138:O177)</f>
        <v>-5.1645999999999503</v>
      </c>
      <c r="W138" s="86">
        <f t="shared" si="50"/>
        <v>2.2362717999999786</v>
      </c>
      <c r="X138" s="86" t="e">
        <f>((PI()*((42-2*'Gen Calcs'!$E$13)^2)/4)/144)*(A181-#REF!)*(W138+14.7)/14.7</f>
        <v>#REF!</v>
      </c>
      <c r="Y138" s="86" t="e">
        <f t="shared" si="51"/>
        <v>#REF!</v>
      </c>
      <c r="Z138" s="86" t="e">
        <f t="shared" si="52"/>
        <v>#REF!</v>
      </c>
      <c r="AA138" s="83">
        <f>MAX(B$2:B138)-B138</f>
        <v>179.19189999999992</v>
      </c>
      <c r="AB138" s="83">
        <f t="shared" si="54"/>
        <v>77.590092699999971</v>
      </c>
      <c r="AC138" s="83">
        <f t="shared" si="55"/>
        <v>105.5215029501323</v>
      </c>
      <c r="AD138" s="72">
        <f t="shared" si="56"/>
        <v>105.5215029501323</v>
      </c>
      <c r="AE138" s="73">
        <f t="shared" si="63"/>
        <v>907.92027688745009</v>
      </c>
      <c r="AF138" s="73">
        <f>SUM(AE$2:AE138)</f>
        <v>117032.09569410185</v>
      </c>
      <c r="AG138" s="73">
        <f t="shared" si="64"/>
        <v>1056697.8067330073</v>
      </c>
    </row>
    <row r="139" spans="1:33" x14ac:dyDescent="0.25">
      <c r="A139" s="99">
        <v>108899.92</v>
      </c>
      <c r="B139" s="96">
        <v>646.57389999999998</v>
      </c>
      <c r="C139" s="96">
        <v>0.6</v>
      </c>
      <c r="D139" s="80">
        <f t="shared" si="49"/>
        <v>100</v>
      </c>
      <c r="E139" s="81">
        <f t="shared" si="57"/>
        <v>6791.2436711181272</v>
      </c>
      <c r="F139" s="81">
        <f>SUM(E$2:E139)</f>
        <v>881352.12358759111</v>
      </c>
      <c r="G139" s="43">
        <f t="shared" si="53"/>
        <v>1</v>
      </c>
      <c r="H139" s="78">
        <v>1</v>
      </c>
      <c r="I139" s="15">
        <f t="shared" si="58"/>
        <v>0.6</v>
      </c>
      <c r="J139" s="16">
        <f>VLOOKUP(G139,Inputs!$L$3:$P$15,5,FALSE)</f>
        <v>2000</v>
      </c>
      <c r="K139" s="16">
        <f t="shared" si="59"/>
        <v>1825</v>
      </c>
      <c r="L139" s="79">
        <f>Inputs!$P$8-B139</f>
        <v>291.61710000000005</v>
      </c>
      <c r="M139" s="79">
        <f>Inputs!$Q$8+L139*0.433</f>
        <v>1951.2702042999999</v>
      </c>
      <c r="N139" s="82">
        <f t="shared" si="60"/>
        <v>108899.92</v>
      </c>
      <c r="O139" s="83">
        <f t="shared" si="61"/>
        <v>646.57389999999998</v>
      </c>
      <c r="P139" s="84">
        <f>IF(O139="","",Inputs!$C$5-O139)</f>
        <v>178.61059999999998</v>
      </c>
      <c r="Q139" s="83">
        <f>IF(N139="","",TS!J139)</f>
        <v>2000</v>
      </c>
      <c r="R139" s="83">
        <f>IF(N139="","",TS!K139)</f>
        <v>1825</v>
      </c>
      <c r="S139" s="83">
        <f>Inputs!$H$5+TS!P139*0.4333</f>
        <v>1952.3576894299999</v>
      </c>
      <c r="T139" s="83">
        <f>Inputs!$G$5+TS!P139*0.4333</f>
        <v>1967.3576894299999</v>
      </c>
      <c r="U139" s="85">
        <f t="shared" si="62"/>
        <v>0.983678844715</v>
      </c>
      <c r="V139" s="86">
        <f>O139-MAX(O139:O177)</f>
        <v>-4.5833000000000084</v>
      </c>
      <c r="W139" s="86">
        <f t="shared" si="50"/>
        <v>1.9845689000000035</v>
      </c>
      <c r="X139" s="86" t="e">
        <f>((PI()*((42-2*'Gen Calcs'!$E$13)^2)/4)/144)*(A182-#REF!)*(W139+14.7)/14.7</f>
        <v>#REF!</v>
      </c>
      <c r="Y139" s="86" t="e">
        <f t="shared" si="51"/>
        <v>#REF!</v>
      </c>
      <c r="Z139" s="86" t="e">
        <f t="shared" si="52"/>
        <v>#REF!</v>
      </c>
      <c r="AA139" s="83">
        <f>MAX(B$2:B139)-B139</f>
        <v>178.61059999999998</v>
      </c>
      <c r="AB139" s="83">
        <f t="shared" si="54"/>
        <v>77.338389799999987</v>
      </c>
      <c r="AC139" s="83">
        <f t="shared" si="55"/>
        <v>105.61224554333677</v>
      </c>
      <c r="AD139" s="72">
        <f t="shared" si="56"/>
        <v>105.61224554333677</v>
      </c>
      <c r="AE139" s="73">
        <f t="shared" si="63"/>
        <v>907.92027688745009</v>
      </c>
      <c r="AF139" s="73">
        <f>SUM(AE$2:AE139)</f>
        <v>117940.01597098931</v>
      </c>
      <c r="AG139" s="73">
        <f t="shared" si="64"/>
        <v>1055789.8864561198</v>
      </c>
    </row>
    <row r="140" spans="1:33" x14ac:dyDescent="0.25">
      <c r="A140" s="100">
        <v>108999.92</v>
      </c>
      <c r="B140" s="97">
        <v>647.07370000000003</v>
      </c>
      <c r="C140" s="97">
        <v>0.6</v>
      </c>
      <c r="D140" s="80">
        <f t="shared" si="49"/>
        <v>100</v>
      </c>
      <c r="E140" s="81">
        <f t="shared" si="57"/>
        <v>6791.2436711181272</v>
      </c>
      <c r="F140" s="81">
        <f>SUM(E$2:E140)</f>
        <v>888143.36725870927</v>
      </c>
      <c r="G140" s="43">
        <f t="shared" si="53"/>
        <v>1</v>
      </c>
      <c r="H140" s="78">
        <v>1</v>
      </c>
      <c r="I140" s="15">
        <f t="shared" si="58"/>
        <v>0.6</v>
      </c>
      <c r="J140" s="16">
        <f>VLOOKUP(G140,Inputs!$L$3:$P$15,5,FALSE)</f>
        <v>2000</v>
      </c>
      <c r="K140" s="16">
        <f t="shared" si="59"/>
        <v>1825</v>
      </c>
      <c r="L140" s="79">
        <f>Inputs!$P$8-B140</f>
        <v>291.1173</v>
      </c>
      <c r="M140" s="79">
        <f>Inputs!$Q$8+L140*0.433</f>
        <v>1951.0537909</v>
      </c>
      <c r="N140" s="82">
        <f t="shared" si="60"/>
        <v>108999.92</v>
      </c>
      <c r="O140" s="83">
        <f t="shared" si="61"/>
        <v>647.07370000000003</v>
      </c>
      <c r="P140" s="84">
        <f>IF(O140="","",Inputs!$C$5-O140)</f>
        <v>178.11079999999993</v>
      </c>
      <c r="Q140" s="83">
        <f>IF(N140="","",TS!J140)</f>
        <v>2000</v>
      </c>
      <c r="R140" s="83">
        <f>IF(N140="","",TS!K140)</f>
        <v>1825</v>
      </c>
      <c r="S140" s="83">
        <f>Inputs!$H$5+TS!P140*0.4333</f>
        <v>1952.1411260899999</v>
      </c>
      <c r="T140" s="83">
        <f>Inputs!$G$5+TS!P140*0.4333</f>
        <v>1967.1411260899999</v>
      </c>
      <c r="U140" s="85">
        <f t="shared" si="62"/>
        <v>0.98357056304500001</v>
      </c>
      <c r="V140" s="86">
        <f>O140-MAX(O140:O177)</f>
        <v>-4.0834999999999582</v>
      </c>
      <c r="W140" s="86">
        <f t="shared" si="50"/>
        <v>1.7681554999999818</v>
      </c>
      <c r="X140" s="86" t="e">
        <f>((PI()*((42-2*'Gen Calcs'!$E$13)^2)/4)/144)*(A183-#REF!)*(W140+14.7)/14.7</f>
        <v>#REF!</v>
      </c>
      <c r="Y140" s="86" t="e">
        <f t="shared" si="51"/>
        <v>#REF!</v>
      </c>
      <c r="Z140" s="86" t="e">
        <f t="shared" si="52"/>
        <v>#REF!</v>
      </c>
      <c r="AA140" s="83">
        <f>MAX(B$2:B140)-B140</f>
        <v>178.11079999999993</v>
      </c>
      <c r="AB140" s="83">
        <f t="shared" si="54"/>
        <v>77.121976399999966</v>
      </c>
      <c r="AC140" s="83">
        <f t="shared" si="55"/>
        <v>105.70314433797984</v>
      </c>
      <c r="AD140" s="72">
        <f t="shared" si="56"/>
        <v>105.70314433797984</v>
      </c>
      <c r="AE140" s="73">
        <f t="shared" si="63"/>
        <v>907.92027688745009</v>
      </c>
      <c r="AF140" s="73">
        <f>SUM(AE$2:AE140)</f>
        <v>118847.93624787676</v>
      </c>
      <c r="AG140" s="73">
        <f t="shared" si="64"/>
        <v>1054881.9661792323</v>
      </c>
    </row>
    <row r="141" spans="1:33" x14ac:dyDescent="0.25">
      <c r="A141" s="99">
        <v>109036</v>
      </c>
      <c r="B141" s="96">
        <v>647.07370000000003</v>
      </c>
      <c r="C141" s="96">
        <v>0.86399999999999999</v>
      </c>
      <c r="D141" s="80">
        <f t="shared" si="49"/>
        <v>36.080000000001746</v>
      </c>
      <c r="E141" s="81">
        <f t="shared" si="57"/>
        <v>2450.2807165395388</v>
      </c>
      <c r="F141" s="81">
        <f>SUM(E$2:E141)</f>
        <v>890593.64797524887</v>
      </c>
      <c r="G141" s="43">
        <f t="shared" si="53"/>
        <v>2</v>
      </c>
      <c r="H141" s="78">
        <v>1</v>
      </c>
      <c r="I141" s="15">
        <f t="shared" si="58"/>
        <v>0.86399999999999999</v>
      </c>
      <c r="J141" s="16">
        <f>VLOOKUP(G141,Inputs!$L$3:$P$15,5,FALSE)</f>
        <v>2880</v>
      </c>
      <c r="K141" s="16">
        <f t="shared" si="59"/>
        <v>1825</v>
      </c>
      <c r="L141" s="79">
        <f>Inputs!$P$8-B141</f>
        <v>291.1173</v>
      </c>
      <c r="M141" s="79">
        <f>Inputs!$Q$8+L141*0.433</f>
        <v>1951.0537909</v>
      </c>
      <c r="N141" s="82">
        <f t="shared" si="60"/>
        <v>109036</v>
      </c>
      <c r="O141" s="83">
        <f t="shared" si="61"/>
        <v>647.07370000000003</v>
      </c>
      <c r="P141" s="84">
        <f>IF(O141="","",Inputs!$C$5-O141)</f>
        <v>178.11079999999993</v>
      </c>
      <c r="Q141" s="83">
        <f>IF(N141="","",TS!J141)</f>
        <v>2880</v>
      </c>
      <c r="R141" s="83">
        <f>IF(N141="","",TS!K141)</f>
        <v>1825</v>
      </c>
      <c r="S141" s="83">
        <f>Inputs!$H$5+TS!P141*0.4333</f>
        <v>1952.1411260899999</v>
      </c>
      <c r="T141" s="83">
        <f>Inputs!$G$5+TS!P141*0.4333</f>
        <v>1967.1411260899999</v>
      </c>
      <c r="U141" s="85">
        <f t="shared" si="62"/>
        <v>0.68303511322569443</v>
      </c>
      <c r="V141" s="86">
        <f>O141-MAX(O141:O177)</f>
        <v>-4.0834999999999582</v>
      </c>
      <c r="W141" s="86">
        <f t="shared" si="50"/>
        <v>1.7681554999999818</v>
      </c>
      <c r="X141" s="86" t="e">
        <f>((PI()*((42-2*'Gen Calcs'!$E$13)^2)/4)/144)*(A184-#REF!)*(W141+14.7)/14.7</f>
        <v>#REF!</v>
      </c>
      <c r="Y141" s="86" t="e">
        <f t="shared" si="51"/>
        <v>#REF!</v>
      </c>
      <c r="Z141" s="86" t="e">
        <f t="shared" si="52"/>
        <v>#REF!</v>
      </c>
      <c r="AA141" s="83">
        <f>MAX(B$2:B141)-B141</f>
        <v>178.11079999999993</v>
      </c>
      <c r="AB141" s="83">
        <f t="shared" si="54"/>
        <v>77.121976399999966</v>
      </c>
      <c r="AC141" s="83">
        <f t="shared" si="55"/>
        <v>105.73513445056545</v>
      </c>
      <c r="AD141" s="72">
        <f t="shared" si="56"/>
        <v>105.73513445056545</v>
      </c>
      <c r="AE141" s="73">
        <f t="shared" si="63"/>
        <v>319.15401666584546</v>
      </c>
      <c r="AF141" s="73">
        <f>SUM(AE$2:AE141)</f>
        <v>119167.09026454261</v>
      </c>
      <c r="AG141" s="73">
        <f t="shared" si="64"/>
        <v>1054562.8121625665</v>
      </c>
    </row>
    <row r="142" spans="1:33" x14ac:dyDescent="0.25">
      <c r="A142" s="100">
        <v>109099.92</v>
      </c>
      <c r="B142" s="97">
        <v>647.19560000000001</v>
      </c>
      <c r="C142" s="97">
        <v>0.6</v>
      </c>
      <c r="D142" s="80">
        <f t="shared" si="49"/>
        <v>63.919999999998254</v>
      </c>
      <c r="E142" s="81">
        <f t="shared" si="57"/>
        <v>4340.9629545785883</v>
      </c>
      <c r="F142" s="81">
        <f>SUM(E$2:E142)</f>
        <v>894934.61092982744</v>
      </c>
      <c r="G142" s="43">
        <f t="shared" si="53"/>
        <v>1</v>
      </c>
      <c r="H142" s="78">
        <v>1</v>
      </c>
      <c r="I142" s="15">
        <f t="shared" si="58"/>
        <v>0.6</v>
      </c>
      <c r="J142" s="16">
        <f>VLOOKUP(G142,Inputs!$L$3:$P$15,5,FALSE)</f>
        <v>2000</v>
      </c>
      <c r="K142" s="16">
        <f t="shared" si="59"/>
        <v>1825</v>
      </c>
      <c r="L142" s="79">
        <f>Inputs!$P$8-B142</f>
        <v>290.99540000000002</v>
      </c>
      <c r="M142" s="79">
        <f>Inputs!$Q$8+L142*0.433</f>
        <v>1951.0010081999999</v>
      </c>
      <c r="N142" s="82">
        <f t="shared" si="60"/>
        <v>109099.92</v>
      </c>
      <c r="O142" s="83">
        <f t="shared" si="61"/>
        <v>647.19560000000001</v>
      </c>
      <c r="P142" s="84">
        <f>IF(O142="","",Inputs!$C$5-O142)</f>
        <v>177.98889999999994</v>
      </c>
      <c r="Q142" s="83">
        <f>IF(N142="","",TS!J142)</f>
        <v>2000</v>
      </c>
      <c r="R142" s="83">
        <f>IF(N142="","",TS!K142)</f>
        <v>1825</v>
      </c>
      <c r="S142" s="83">
        <f>Inputs!$H$5+TS!P142*0.4333</f>
        <v>1952.0883068199998</v>
      </c>
      <c r="T142" s="83">
        <f>Inputs!$G$5+TS!P142*0.4333</f>
        <v>1967.0883068199998</v>
      </c>
      <c r="U142" s="85">
        <f t="shared" si="62"/>
        <v>0.9835441534099999</v>
      </c>
      <c r="V142" s="86">
        <f>O142-MAX(O142:O177)</f>
        <v>-3.9615999999999758</v>
      </c>
      <c r="W142" s="86">
        <f t="shared" si="50"/>
        <v>1.7153727999999895</v>
      </c>
      <c r="X142" s="86" t="e">
        <f>((PI()*((42-2*'Gen Calcs'!$E$13)^2)/4)/144)*(A185-#REF!)*(W142+14.7)/14.7</f>
        <v>#REF!</v>
      </c>
      <c r="Y142" s="86" t="e">
        <f t="shared" si="51"/>
        <v>#REF!</v>
      </c>
      <c r="Z142" s="86" t="e">
        <f t="shared" si="52"/>
        <v>#REF!</v>
      </c>
      <c r="AA142" s="83">
        <f>MAX(B$2:B142)-B142</f>
        <v>177.98889999999994</v>
      </c>
      <c r="AB142" s="83">
        <f t="shared" si="54"/>
        <v>77.069193699999971</v>
      </c>
      <c r="AC142" s="83">
        <f t="shared" si="55"/>
        <v>105.79335421127927</v>
      </c>
      <c r="AD142" s="72">
        <f t="shared" si="56"/>
        <v>105.79335421127927</v>
      </c>
      <c r="AE142" s="73">
        <f t="shared" si="63"/>
        <v>580.34264098644223</v>
      </c>
      <c r="AF142" s="73">
        <f>SUM(AE$2:AE142)</f>
        <v>119747.43290552906</v>
      </c>
      <c r="AG142" s="73">
        <f t="shared" si="64"/>
        <v>1053982.46952158</v>
      </c>
    </row>
    <row r="143" spans="1:33" x14ac:dyDescent="0.25">
      <c r="A143" s="99">
        <v>109199.92</v>
      </c>
      <c r="B143" s="96">
        <v>648.01829999999995</v>
      </c>
      <c r="C143" s="96">
        <v>0.6</v>
      </c>
      <c r="D143" s="80">
        <f t="shared" si="49"/>
        <v>100</v>
      </c>
      <c r="E143" s="81">
        <f t="shared" si="57"/>
        <v>6791.2436711181272</v>
      </c>
      <c r="F143" s="81">
        <f>SUM(E$2:E143)</f>
        <v>901725.8546009456</v>
      </c>
      <c r="G143" s="43">
        <f t="shared" si="53"/>
        <v>1</v>
      </c>
      <c r="H143" s="78">
        <v>1</v>
      </c>
      <c r="I143" s="15">
        <f t="shared" si="58"/>
        <v>0.6</v>
      </c>
      <c r="J143" s="16">
        <f>VLOOKUP(G143,Inputs!$L$3:$P$15,5,FALSE)</f>
        <v>2000</v>
      </c>
      <c r="K143" s="16">
        <f t="shared" si="59"/>
        <v>1825</v>
      </c>
      <c r="L143" s="79">
        <f>Inputs!$P$8-B143</f>
        <v>290.17270000000008</v>
      </c>
      <c r="M143" s="79">
        <f>Inputs!$Q$8+L143*0.433</f>
        <v>1950.6447791000001</v>
      </c>
      <c r="N143" s="82">
        <f t="shared" si="60"/>
        <v>109199.92</v>
      </c>
      <c r="O143" s="83">
        <f t="shared" si="61"/>
        <v>648.01829999999995</v>
      </c>
      <c r="P143" s="84">
        <f>IF(O143="","",Inputs!$C$5-O143)</f>
        <v>177.1662</v>
      </c>
      <c r="Q143" s="83">
        <f>IF(N143="","",TS!J143)</f>
        <v>2000</v>
      </c>
      <c r="R143" s="83">
        <f>IF(N143="","",TS!K143)</f>
        <v>1825</v>
      </c>
      <c r="S143" s="83">
        <f>Inputs!$H$5+TS!P143*0.4333</f>
        <v>1951.7318309099999</v>
      </c>
      <c r="T143" s="83">
        <f>Inputs!$G$5+TS!P143*0.4333</f>
        <v>1966.7318309099999</v>
      </c>
      <c r="U143" s="85">
        <f t="shared" si="62"/>
        <v>0.98336591545499996</v>
      </c>
      <c r="V143" s="86">
        <f>O143-MAX(O143:O177)</f>
        <v>-3.1389000000000351</v>
      </c>
      <c r="W143" s="86">
        <f t="shared" si="50"/>
        <v>1.3591437000000153</v>
      </c>
      <c r="X143" s="86" t="e">
        <f>((PI()*((42-2*'Gen Calcs'!$E$13)^2)/4)/144)*(A186-#REF!)*(W143+14.7)/14.7</f>
        <v>#REF!</v>
      </c>
      <c r="Y143" s="86" t="e">
        <f t="shared" si="51"/>
        <v>#REF!</v>
      </c>
      <c r="Z143" s="86" t="e">
        <f t="shared" si="52"/>
        <v>#REF!</v>
      </c>
      <c r="AA143" s="83">
        <f>MAX(B$2:B143)-B143</f>
        <v>177.1662</v>
      </c>
      <c r="AB143" s="83">
        <f t="shared" si="54"/>
        <v>76.712964600000006</v>
      </c>
      <c r="AC143" s="83">
        <f t="shared" si="55"/>
        <v>105.88456516260007</v>
      </c>
      <c r="AD143" s="72">
        <f t="shared" si="56"/>
        <v>105.88456516260007</v>
      </c>
      <c r="AE143" s="73">
        <f t="shared" si="63"/>
        <v>907.92027688745009</v>
      </c>
      <c r="AF143" s="73">
        <f>SUM(AE$2:AE143)</f>
        <v>120655.35318241651</v>
      </c>
      <c r="AG143" s="73">
        <f t="shared" si="64"/>
        <v>1053074.5492446928</v>
      </c>
    </row>
    <row r="144" spans="1:33" x14ac:dyDescent="0.25">
      <c r="A144" s="100">
        <v>109299.92</v>
      </c>
      <c r="B144" s="97">
        <v>648.31510000000003</v>
      </c>
      <c r="C144" s="97">
        <v>0.6</v>
      </c>
      <c r="D144" s="80">
        <f t="shared" si="49"/>
        <v>100</v>
      </c>
      <c r="E144" s="81">
        <f t="shared" si="57"/>
        <v>6791.2436711181272</v>
      </c>
      <c r="F144" s="81">
        <f>SUM(E$2:E144)</f>
        <v>908517.09827206377</v>
      </c>
      <c r="G144" s="43">
        <f t="shared" si="53"/>
        <v>1</v>
      </c>
      <c r="H144" s="78">
        <v>1</v>
      </c>
      <c r="I144" s="15">
        <f t="shared" si="58"/>
        <v>0.6</v>
      </c>
      <c r="J144" s="16">
        <f>VLOOKUP(G144,Inputs!$L$3:$P$15,5,FALSE)</f>
        <v>2000</v>
      </c>
      <c r="K144" s="16">
        <f t="shared" si="59"/>
        <v>1825</v>
      </c>
      <c r="L144" s="79">
        <f>Inputs!$P$8-B144</f>
        <v>289.8759</v>
      </c>
      <c r="M144" s="79">
        <f>Inputs!$Q$8+L144*0.433</f>
        <v>1950.5162647</v>
      </c>
      <c r="N144" s="82">
        <f t="shared" si="60"/>
        <v>109299.92</v>
      </c>
      <c r="O144" s="83">
        <f t="shared" si="61"/>
        <v>648.31510000000003</v>
      </c>
      <c r="P144" s="84">
        <f>IF(O144="","",Inputs!$C$5-O144)</f>
        <v>176.86939999999993</v>
      </c>
      <c r="Q144" s="83">
        <f>IF(N144="","",TS!J144)</f>
        <v>2000</v>
      </c>
      <c r="R144" s="83">
        <f>IF(N144="","",TS!K144)</f>
        <v>1825</v>
      </c>
      <c r="S144" s="83">
        <f>Inputs!$H$5+TS!P144*0.4333</f>
        <v>1951.6032274699999</v>
      </c>
      <c r="T144" s="83">
        <f>Inputs!$G$5+TS!P144*0.4333</f>
        <v>1966.6032274699999</v>
      </c>
      <c r="U144" s="85">
        <f t="shared" si="62"/>
        <v>0.98330161373499991</v>
      </c>
      <c r="V144" s="86">
        <f>O144-MAX(O144:O177)</f>
        <v>-2.8420999999999594</v>
      </c>
      <c r="W144" s="86">
        <f t="shared" si="50"/>
        <v>1.2306292999999824</v>
      </c>
      <c r="X144" s="86" t="e">
        <f>((PI()*((42-2*'Gen Calcs'!$E$13)^2)/4)/144)*(A187-#REF!)*(W144+14.7)/14.7</f>
        <v>#REF!</v>
      </c>
      <c r="Y144" s="86" t="e">
        <f t="shared" si="51"/>
        <v>#REF!</v>
      </c>
      <c r="Z144" s="86" t="e">
        <f t="shared" si="52"/>
        <v>#REF!</v>
      </c>
      <c r="AA144" s="83">
        <f>MAX(B$2:B144)-B144</f>
        <v>176.86939999999993</v>
      </c>
      <c r="AB144" s="83">
        <f t="shared" si="54"/>
        <v>76.584450199999964</v>
      </c>
      <c r="AC144" s="83">
        <f t="shared" si="55"/>
        <v>105.97593352676768</v>
      </c>
      <c r="AD144" s="72">
        <f t="shared" si="56"/>
        <v>105.97593352676768</v>
      </c>
      <c r="AE144" s="73">
        <f t="shared" si="63"/>
        <v>907.92027688745009</v>
      </c>
      <c r="AF144" s="73">
        <f>SUM(AE$2:AE144)</f>
        <v>121563.27345930396</v>
      </c>
      <c r="AG144" s="73">
        <f t="shared" si="64"/>
        <v>1052166.6289678053</v>
      </c>
    </row>
    <row r="145" spans="1:33" x14ac:dyDescent="0.25">
      <c r="A145" s="99">
        <v>109399.92</v>
      </c>
      <c r="B145" s="96">
        <v>648.67579999999998</v>
      </c>
      <c r="C145" s="96">
        <v>0.6</v>
      </c>
      <c r="D145" s="80">
        <f t="shared" si="49"/>
        <v>100</v>
      </c>
      <c r="E145" s="81">
        <f t="shared" si="57"/>
        <v>6791.2436711181272</v>
      </c>
      <c r="F145" s="81">
        <f>SUM(E$2:E145)</f>
        <v>915308.34194318193</v>
      </c>
      <c r="G145" s="43">
        <f t="shared" si="53"/>
        <v>1</v>
      </c>
      <c r="H145" s="78">
        <v>1</v>
      </c>
      <c r="I145" s="15">
        <f t="shared" si="58"/>
        <v>0.6</v>
      </c>
      <c r="J145" s="16">
        <f>VLOOKUP(G145,Inputs!$L$3:$P$15,5,FALSE)</f>
        <v>2000</v>
      </c>
      <c r="K145" s="16">
        <f t="shared" si="59"/>
        <v>1825</v>
      </c>
      <c r="L145" s="79">
        <f>Inputs!$P$8-B145</f>
        <v>289.51520000000005</v>
      </c>
      <c r="M145" s="79">
        <f>Inputs!$Q$8+L145*0.433</f>
        <v>1950.3600816000001</v>
      </c>
      <c r="N145" s="82">
        <f t="shared" si="60"/>
        <v>109399.92</v>
      </c>
      <c r="O145" s="83">
        <f t="shared" si="61"/>
        <v>648.67579999999998</v>
      </c>
      <c r="P145" s="84">
        <f>IF(O145="","",Inputs!$C$5-O145)</f>
        <v>176.50869999999998</v>
      </c>
      <c r="Q145" s="83">
        <f>IF(N145="","",TS!J145)</f>
        <v>2000</v>
      </c>
      <c r="R145" s="83">
        <f>IF(N145="","",TS!K145)</f>
        <v>1825</v>
      </c>
      <c r="S145" s="83">
        <f>Inputs!$H$5+TS!P145*0.4333</f>
        <v>1951.44693616</v>
      </c>
      <c r="T145" s="83">
        <f>Inputs!$G$5+TS!P145*0.4333</f>
        <v>1966.44693616</v>
      </c>
      <c r="U145" s="85">
        <f t="shared" si="62"/>
        <v>0.98322346807999994</v>
      </c>
      <c r="V145" s="86">
        <f>O145-MAX(O145:O177)</f>
        <v>-2.4814000000000078</v>
      </c>
      <c r="W145" s="86">
        <f t="shared" si="50"/>
        <v>1.0744462000000035</v>
      </c>
      <c r="X145" s="86" t="e">
        <f>((PI()*((42-2*'Gen Calcs'!$E$13)^2)/4)/144)*(A188-#REF!)*(W145+14.7)/14.7</f>
        <v>#REF!</v>
      </c>
      <c r="Y145" s="86" t="e">
        <f t="shared" si="51"/>
        <v>#REF!</v>
      </c>
      <c r="Z145" s="86" t="e">
        <f t="shared" si="52"/>
        <v>#REF!</v>
      </c>
      <c r="AA145" s="83">
        <f>MAX(B$2:B145)-B145</f>
        <v>176.50869999999998</v>
      </c>
      <c r="AB145" s="83">
        <f t="shared" si="54"/>
        <v>76.428267099999985</v>
      </c>
      <c r="AC145" s="83">
        <f t="shared" si="55"/>
        <v>106.0674597116312</v>
      </c>
      <c r="AD145" s="72">
        <f t="shared" si="56"/>
        <v>106.0674597116312</v>
      </c>
      <c r="AE145" s="73">
        <f t="shared" si="63"/>
        <v>907.92027688745009</v>
      </c>
      <c r="AF145" s="73">
        <f>SUM(AE$2:AE145)</f>
        <v>122471.19373619142</v>
      </c>
      <c r="AG145" s="73">
        <f t="shared" si="64"/>
        <v>1051258.7086909178</v>
      </c>
    </row>
    <row r="146" spans="1:33" x14ac:dyDescent="0.25">
      <c r="A146" s="100">
        <v>109421</v>
      </c>
      <c r="B146" s="97">
        <v>648.67579999999998</v>
      </c>
      <c r="C146" s="97">
        <v>0.6</v>
      </c>
      <c r="D146" s="80">
        <f t="shared" si="49"/>
        <v>21.080000000001746</v>
      </c>
      <c r="E146" s="81">
        <f t="shared" si="57"/>
        <v>1431.5941658718195</v>
      </c>
      <c r="F146" s="81">
        <f>SUM(E$2:E146)</f>
        <v>916739.93610905379</v>
      </c>
      <c r="G146" s="43">
        <f t="shared" si="53"/>
        <v>1</v>
      </c>
      <c r="H146" s="78">
        <v>1</v>
      </c>
      <c r="I146" s="15">
        <f t="shared" si="58"/>
        <v>0.6</v>
      </c>
      <c r="J146" s="16">
        <f>VLOOKUP(G146,Inputs!$L$3:$P$15,5,FALSE)</f>
        <v>2000</v>
      </c>
      <c r="K146" s="16">
        <f t="shared" si="59"/>
        <v>1825</v>
      </c>
      <c r="L146" s="79">
        <f>Inputs!$P$8-B146</f>
        <v>289.51520000000005</v>
      </c>
      <c r="M146" s="79">
        <f>Inputs!$Q$8+L146*0.433</f>
        <v>1950.3600816000001</v>
      </c>
      <c r="N146" s="82">
        <f t="shared" si="60"/>
        <v>109421</v>
      </c>
      <c r="O146" s="83">
        <f t="shared" si="61"/>
        <v>648.67579999999998</v>
      </c>
      <c r="P146" s="84">
        <f>IF(O146="","",Inputs!$C$5-O146)</f>
        <v>176.50869999999998</v>
      </c>
      <c r="Q146" s="83">
        <f>IF(N146="","",TS!J146)</f>
        <v>2000</v>
      </c>
      <c r="R146" s="83">
        <f>IF(N146="","",TS!K146)</f>
        <v>1825</v>
      </c>
      <c r="S146" s="83">
        <f>Inputs!$H$5+TS!P146*0.4333</f>
        <v>1951.44693616</v>
      </c>
      <c r="T146" s="83">
        <f>Inputs!$G$5+TS!P146*0.4333</f>
        <v>1966.44693616</v>
      </c>
      <c r="U146" s="85">
        <f t="shared" si="62"/>
        <v>0.98322346807999994</v>
      </c>
      <c r="V146" s="86">
        <f>O146-MAX(O146:O177)</f>
        <v>-2.4814000000000078</v>
      </c>
      <c r="W146" s="86">
        <f t="shared" si="50"/>
        <v>1.0744462000000035</v>
      </c>
      <c r="X146" s="86" t="e">
        <f>((PI()*((42-2*'Gen Calcs'!$E$13)^2)/4)/144)*(A189-#REF!)*(W146+14.7)/14.7</f>
        <v>#REF!</v>
      </c>
      <c r="Y146" s="86" t="e">
        <f t="shared" si="51"/>
        <v>#REF!</v>
      </c>
      <c r="Z146" s="86" t="e">
        <f t="shared" si="52"/>
        <v>#REF!</v>
      </c>
      <c r="AA146" s="83">
        <f>MAX(B$2:B146)-B146</f>
        <v>176.50869999999998</v>
      </c>
      <c r="AB146" s="83">
        <f t="shared" si="54"/>
        <v>76.428267099999985</v>
      </c>
      <c r="AC146" s="83">
        <f t="shared" si="55"/>
        <v>106.08677361067555</v>
      </c>
      <c r="AD146" s="72">
        <f t="shared" si="56"/>
        <v>106.08677361067555</v>
      </c>
      <c r="AE146" s="73">
        <f t="shared" si="63"/>
        <v>191.38959436789031</v>
      </c>
      <c r="AF146" s="73">
        <f>SUM(AE$2:AE146)</f>
        <v>122662.58333055931</v>
      </c>
      <c r="AG146" s="73">
        <f t="shared" si="64"/>
        <v>1051067.3190965499</v>
      </c>
    </row>
    <row r="147" spans="1:33" x14ac:dyDescent="0.25">
      <c r="A147" s="99">
        <v>109499.92</v>
      </c>
      <c r="B147" s="96">
        <v>648.87159999999994</v>
      </c>
      <c r="C147" s="96">
        <v>0.6</v>
      </c>
      <c r="D147" s="80">
        <f t="shared" si="49"/>
        <v>78.919999999998254</v>
      </c>
      <c r="E147" s="81">
        <f t="shared" si="57"/>
        <v>5359.6495052463069</v>
      </c>
      <c r="F147" s="81">
        <f>SUM(E$2:E147)</f>
        <v>922099.5856143001</v>
      </c>
      <c r="G147" s="43">
        <f t="shared" si="53"/>
        <v>1</v>
      </c>
      <c r="H147" s="78">
        <v>1</v>
      </c>
      <c r="I147" s="15">
        <f t="shared" si="58"/>
        <v>0.6</v>
      </c>
      <c r="J147" s="16">
        <f>VLOOKUP(G147,Inputs!$L$3:$P$15,5,FALSE)</f>
        <v>2000</v>
      </c>
      <c r="K147" s="16">
        <f t="shared" si="59"/>
        <v>1825</v>
      </c>
      <c r="L147" s="79">
        <f>Inputs!$P$8-B147</f>
        <v>289.31940000000009</v>
      </c>
      <c r="M147" s="79">
        <f>Inputs!$Q$8+L147*0.433</f>
        <v>1950.2753001999999</v>
      </c>
      <c r="N147" s="82">
        <f t="shared" si="60"/>
        <v>109499.92</v>
      </c>
      <c r="O147" s="83">
        <f t="shared" si="61"/>
        <v>648.87159999999994</v>
      </c>
      <c r="P147" s="84">
        <f>IF(O147="","",Inputs!$C$5-O147)</f>
        <v>176.31290000000001</v>
      </c>
      <c r="Q147" s="83">
        <f>IF(N147="","",TS!J147)</f>
        <v>2000</v>
      </c>
      <c r="R147" s="83">
        <f>IF(N147="","",TS!K147)</f>
        <v>1825</v>
      </c>
      <c r="S147" s="83">
        <f>Inputs!$H$5+TS!P147*0.4333</f>
        <v>1951.3620960199999</v>
      </c>
      <c r="T147" s="83">
        <f>Inputs!$G$5+TS!P147*0.4333</f>
        <v>1966.3620960199999</v>
      </c>
      <c r="U147" s="85">
        <f t="shared" si="62"/>
        <v>0.98318104800999995</v>
      </c>
      <c r="V147" s="86">
        <f>O147-MAX(O147:O177)</f>
        <v>-2.2856000000000449</v>
      </c>
      <c r="W147" s="86">
        <f t="shared" si="50"/>
        <v>0.98966480000001944</v>
      </c>
      <c r="X147" s="86" t="e">
        <f>((PI()*((42-2*'Gen Calcs'!$E$13)^2)/4)/144)*(A190-#REF!)*(W147+14.7)/14.7</f>
        <v>#REF!</v>
      </c>
      <c r="Y147" s="86" t="e">
        <f t="shared" si="51"/>
        <v>#REF!</v>
      </c>
      <c r="Z147" s="86" t="e">
        <f t="shared" si="52"/>
        <v>#REF!</v>
      </c>
      <c r="AA147" s="83">
        <f>MAX(B$2:B147)-B147</f>
        <v>176.31290000000001</v>
      </c>
      <c r="AB147" s="83">
        <f t="shared" si="54"/>
        <v>76.343485700000002</v>
      </c>
      <c r="AC147" s="83">
        <f t="shared" si="55"/>
        <v>106.15914412644993</v>
      </c>
      <c r="AD147" s="72">
        <f t="shared" si="56"/>
        <v>106.15914412644993</v>
      </c>
      <c r="AE147" s="73">
        <f t="shared" si="63"/>
        <v>716.53068251955972</v>
      </c>
      <c r="AF147" s="73">
        <f>SUM(AE$2:AE147)</f>
        <v>123379.11401307887</v>
      </c>
      <c r="AG147" s="73">
        <f t="shared" si="64"/>
        <v>1050350.7884140303</v>
      </c>
    </row>
    <row r="148" spans="1:33" x14ac:dyDescent="0.25">
      <c r="A148" s="100">
        <v>109599.92</v>
      </c>
      <c r="B148" s="97">
        <v>650.02539999999999</v>
      </c>
      <c r="C148" s="97">
        <v>0.6</v>
      </c>
      <c r="D148" s="80">
        <f t="shared" si="49"/>
        <v>100</v>
      </c>
      <c r="E148" s="81">
        <f t="shared" si="57"/>
        <v>6791.2436711181272</v>
      </c>
      <c r="F148" s="81">
        <f>SUM(E$2:E148)</f>
        <v>928890.82928541827</v>
      </c>
      <c r="G148" s="43">
        <f t="shared" si="53"/>
        <v>1</v>
      </c>
      <c r="H148" s="78">
        <v>1</v>
      </c>
      <c r="I148" s="15">
        <f t="shared" si="58"/>
        <v>0.6</v>
      </c>
      <c r="J148" s="16">
        <f>VLOOKUP(G148,Inputs!$L$3:$P$15,5,FALSE)</f>
        <v>2000</v>
      </c>
      <c r="K148" s="16">
        <f t="shared" si="59"/>
        <v>1825</v>
      </c>
      <c r="L148" s="79">
        <f>Inputs!$P$8-B148</f>
        <v>288.16560000000004</v>
      </c>
      <c r="M148" s="79">
        <f>Inputs!$Q$8+L148*0.433</f>
        <v>1949.7757048000001</v>
      </c>
      <c r="N148" s="82">
        <f t="shared" si="60"/>
        <v>109599.92</v>
      </c>
      <c r="O148" s="83">
        <f t="shared" si="61"/>
        <v>650.02539999999999</v>
      </c>
      <c r="P148" s="84">
        <f>IF(O148="","",Inputs!$C$5-O148)</f>
        <v>175.15909999999997</v>
      </c>
      <c r="Q148" s="83">
        <f>IF(N148="","",TS!J148)</f>
        <v>2000</v>
      </c>
      <c r="R148" s="83">
        <f>IF(N148="","",TS!K148)</f>
        <v>1825</v>
      </c>
      <c r="S148" s="83">
        <f>Inputs!$H$5+TS!P148*0.4333</f>
        <v>1950.8621544799998</v>
      </c>
      <c r="T148" s="83">
        <f>Inputs!$G$5+TS!P148*0.4333</f>
        <v>1965.8621544799998</v>
      </c>
      <c r="U148" s="85">
        <f t="shared" si="62"/>
        <v>0.98293107723999995</v>
      </c>
      <c r="V148" s="86">
        <f>O148-MAX(O148:O177)</f>
        <v>-1.1317999999999984</v>
      </c>
      <c r="W148" s="86">
        <f t="shared" si="50"/>
        <v>0.49006939999999927</v>
      </c>
      <c r="X148" s="86" t="e">
        <f>((PI()*((42-2*'Gen Calcs'!$E$13)^2)/4)/144)*(A191-#REF!)*(W148+14.7)/14.7</f>
        <v>#REF!</v>
      </c>
      <c r="Y148" s="86" t="e">
        <f t="shared" si="51"/>
        <v>#REF!</v>
      </c>
      <c r="Z148" s="86" t="e">
        <f t="shared" si="52"/>
        <v>#REF!</v>
      </c>
      <c r="AA148" s="83">
        <f>MAX(B$2:B148)-B148</f>
        <v>175.15909999999997</v>
      </c>
      <c r="AB148" s="83">
        <f t="shared" si="54"/>
        <v>75.843890299999984</v>
      </c>
      <c r="AC148" s="83">
        <f t="shared" si="55"/>
        <v>106.25098718189946</v>
      </c>
      <c r="AD148" s="72">
        <f t="shared" si="56"/>
        <v>106.25098718189946</v>
      </c>
      <c r="AE148" s="73">
        <f t="shared" si="63"/>
        <v>907.92027688745009</v>
      </c>
      <c r="AF148" s="73">
        <f>SUM(AE$2:AE148)</f>
        <v>124287.03428996632</v>
      </c>
      <c r="AG148" s="73">
        <f t="shared" si="64"/>
        <v>1049442.8681371429</v>
      </c>
    </row>
    <row r="149" spans="1:33" x14ac:dyDescent="0.25">
      <c r="A149" s="99">
        <v>109699.92</v>
      </c>
      <c r="B149" s="96">
        <v>651.15719999999999</v>
      </c>
      <c r="C149" s="96">
        <v>0.6</v>
      </c>
      <c r="D149" s="80">
        <f t="shared" si="49"/>
        <v>100</v>
      </c>
      <c r="E149" s="81">
        <f t="shared" si="57"/>
        <v>6791.2436711181272</v>
      </c>
      <c r="F149" s="81">
        <f>SUM(E$2:E149)</f>
        <v>935682.07295653643</v>
      </c>
      <c r="G149" s="43">
        <f t="shared" si="53"/>
        <v>1</v>
      </c>
      <c r="H149" s="78">
        <v>1</v>
      </c>
      <c r="I149" s="15">
        <f t="shared" si="58"/>
        <v>0.6</v>
      </c>
      <c r="J149" s="16">
        <f>VLOOKUP(G149,Inputs!$L$3:$P$15,5,FALSE)</f>
        <v>2000</v>
      </c>
      <c r="K149" s="16">
        <f t="shared" si="59"/>
        <v>1825</v>
      </c>
      <c r="L149" s="79">
        <f>Inputs!$P$8-B149</f>
        <v>287.03380000000004</v>
      </c>
      <c r="M149" s="79">
        <f>Inputs!$Q$8+L149*0.433</f>
        <v>1949.2856354</v>
      </c>
      <c r="N149" s="82">
        <f t="shared" si="60"/>
        <v>109699.92</v>
      </c>
      <c r="O149" s="83">
        <f t="shared" si="61"/>
        <v>651.15719999999999</v>
      </c>
      <c r="P149" s="84">
        <f>IF(O149="","",Inputs!$C$5-O149)</f>
        <v>174.02729999999997</v>
      </c>
      <c r="Q149" s="83">
        <f>IF(N149="","",TS!J149)</f>
        <v>2000</v>
      </c>
      <c r="R149" s="83">
        <f>IF(N149="","",TS!K149)</f>
        <v>1825</v>
      </c>
      <c r="S149" s="83">
        <f>Inputs!$H$5+TS!P149*0.4333</f>
        <v>1950.3717455399999</v>
      </c>
      <c r="T149" s="83">
        <f>Inputs!$G$5+TS!P149*0.4333</f>
        <v>1965.3717455399999</v>
      </c>
      <c r="U149" s="85">
        <f t="shared" si="62"/>
        <v>0.98268587276999997</v>
      </c>
      <c r="V149" s="86">
        <f>O149-MAX(O149:O177)</f>
        <v>0</v>
      </c>
      <c r="W149" s="86">
        <f t="shared" si="50"/>
        <v>0</v>
      </c>
      <c r="X149" s="86" t="e">
        <f>((PI()*((42-2*'Gen Calcs'!$E$13)^2)/4)/144)*(A192-#REF!)*(W149+14.7)/14.7</f>
        <v>#REF!</v>
      </c>
      <c r="Y149" s="86" t="e">
        <f t="shared" si="51"/>
        <v>#REF!</v>
      </c>
      <c r="Z149" s="86" t="e">
        <f t="shared" si="52"/>
        <v>#REF!</v>
      </c>
      <c r="AA149" s="83">
        <f>MAX(B$2:B149)-B149</f>
        <v>174.02729999999997</v>
      </c>
      <c r="AB149" s="83">
        <f t="shared" si="54"/>
        <v>75.353820899999988</v>
      </c>
      <c r="AC149" s="83">
        <f t="shared" si="55"/>
        <v>106.34298929007775</v>
      </c>
      <c r="AD149" s="72">
        <f t="shared" si="56"/>
        <v>106.34298929007775</v>
      </c>
      <c r="AE149" s="73">
        <f t="shared" si="63"/>
        <v>907.92027688745009</v>
      </c>
      <c r="AF149" s="73">
        <f>SUM(AE$2:AE149)</f>
        <v>125194.95456685378</v>
      </c>
      <c r="AG149" s="73">
        <f t="shared" si="64"/>
        <v>1048534.9478602554</v>
      </c>
    </row>
    <row r="150" spans="1:33" x14ac:dyDescent="0.25">
      <c r="A150" s="100">
        <v>109703</v>
      </c>
      <c r="B150" s="97">
        <v>651.15719999999999</v>
      </c>
      <c r="C150" s="97">
        <v>0.86399999999999999</v>
      </c>
      <c r="D150" s="80">
        <f t="shared" si="49"/>
        <v>3.0800000000017462</v>
      </c>
      <c r="E150" s="81">
        <f t="shared" si="57"/>
        <v>209.17030507055691</v>
      </c>
      <c r="F150" s="81">
        <f>SUM(E$2:E150)</f>
        <v>935891.24326160701</v>
      </c>
      <c r="G150" s="43">
        <f t="shared" si="53"/>
        <v>2</v>
      </c>
      <c r="H150" s="78">
        <v>1</v>
      </c>
      <c r="I150" s="15">
        <f t="shared" si="58"/>
        <v>0.86399999999999999</v>
      </c>
      <c r="J150" s="16">
        <f>VLOOKUP(G150,Inputs!$L$3:$P$15,5,FALSE)</f>
        <v>2880</v>
      </c>
      <c r="K150" s="16">
        <f t="shared" si="59"/>
        <v>1825</v>
      </c>
      <c r="L150" s="79">
        <f>Inputs!$P$8-B150</f>
        <v>287.03380000000004</v>
      </c>
      <c r="M150" s="79">
        <f>Inputs!$Q$8+L150*0.433</f>
        <v>1949.2856354</v>
      </c>
      <c r="N150" s="82">
        <f t="shared" si="60"/>
        <v>109703</v>
      </c>
      <c r="O150" s="83">
        <f t="shared" si="61"/>
        <v>651.15719999999999</v>
      </c>
      <c r="P150" s="84">
        <f>IF(O150="","",Inputs!$C$5-O150)</f>
        <v>174.02729999999997</v>
      </c>
      <c r="Q150" s="83">
        <f>IF(N150="","",TS!J150)</f>
        <v>2880</v>
      </c>
      <c r="R150" s="83">
        <f>IF(N150="","",TS!K150)</f>
        <v>1825</v>
      </c>
      <c r="S150" s="83">
        <f>Inputs!$H$5+TS!P150*0.4333</f>
        <v>1950.3717455399999</v>
      </c>
      <c r="T150" s="83">
        <f>Inputs!$G$5+TS!P150*0.4333</f>
        <v>1965.3717455399999</v>
      </c>
      <c r="U150" s="85">
        <f t="shared" si="62"/>
        <v>0.6824207449791666</v>
      </c>
      <c r="V150" s="86">
        <f>O150-MAX(O150:O177)</f>
        <v>0</v>
      </c>
      <c r="W150" s="86">
        <f t="shared" si="50"/>
        <v>0</v>
      </c>
      <c r="X150" s="86" t="e">
        <f>((PI()*((42-2*'Gen Calcs'!$E$13)^2)/4)/144)*(A193-#REF!)*(W150+14.7)/14.7</f>
        <v>#REF!</v>
      </c>
      <c r="Y150" s="86" t="e">
        <f t="shared" si="51"/>
        <v>#REF!</v>
      </c>
      <c r="Z150" s="86" t="e">
        <f t="shared" si="52"/>
        <v>#REF!</v>
      </c>
      <c r="AA150" s="83">
        <f>MAX(B$2:B150)-B150</f>
        <v>174.02729999999997</v>
      </c>
      <c r="AB150" s="83">
        <f t="shared" si="54"/>
        <v>75.353820899999988</v>
      </c>
      <c r="AC150" s="83">
        <f t="shared" si="55"/>
        <v>106.34575255001738</v>
      </c>
      <c r="AD150" s="72">
        <f t="shared" si="56"/>
        <v>106.34575255001738</v>
      </c>
      <c r="AE150" s="73">
        <f t="shared" si="63"/>
        <v>27.24485508124484</v>
      </c>
      <c r="AF150" s="73">
        <f>SUM(AE$2:AE150)</f>
        <v>125222.19942193502</v>
      </c>
      <c r="AG150" s="73">
        <f t="shared" si="64"/>
        <v>1048507.7030051742</v>
      </c>
    </row>
    <row r="151" spans="1:33" x14ac:dyDescent="0.25">
      <c r="A151" s="99">
        <v>109799.92</v>
      </c>
      <c r="B151" s="96">
        <v>650.73090000000002</v>
      </c>
      <c r="C151" s="96">
        <v>0.6</v>
      </c>
      <c r="D151" s="80">
        <f t="shared" si="49"/>
        <v>96.919999999998254</v>
      </c>
      <c r="E151" s="81">
        <f t="shared" si="57"/>
        <v>6582.0733660475698</v>
      </c>
      <c r="F151" s="81">
        <f>SUM(E$2:E151)</f>
        <v>942473.3166276546</v>
      </c>
      <c r="G151" s="43">
        <f t="shared" si="53"/>
        <v>1</v>
      </c>
      <c r="H151" s="78">
        <v>1</v>
      </c>
      <c r="I151" s="15">
        <f t="shared" si="58"/>
        <v>0.6</v>
      </c>
      <c r="J151" s="16">
        <f>VLOOKUP(G151,Inputs!$L$3:$P$15,5,FALSE)</f>
        <v>2000</v>
      </c>
      <c r="K151" s="16">
        <f t="shared" si="59"/>
        <v>1825</v>
      </c>
      <c r="L151" s="79">
        <f>Inputs!$P$8-B151</f>
        <v>287.46010000000001</v>
      </c>
      <c r="M151" s="79">
        <f>Inputs!$Q$8+L151*0.433</f>
        <v>1949.4702233</v>
      </c>
      <c r="N151" s="82">
        <f t="shared" si="60"/>
        <v>109799.92</v>
      </c>
      <c r="O151" s="83">
        <f t="shared" si="61"/>
        <v>650.73090000000002</v>
      </c>
      <c r="P151" s="84">
        <f>IF(O151="","",Inputs!$C$5-O151)</f>
        <v>174.45359999999994</v>
      </c>
      <c r="Q151" s="83">
        <f>IF(N151="","",TS!J151)</f>
        <v>2000</v>
      </c>
      <c r="R151" s="83">
        <f>IF(N151="","",TS!K151)</f>
        <v>1825</v>
      </c>
      <c r="S151" s="83">
        <f>Inputs!$H$5+TS!P151*0.4333</f>
        <v>1950.5564613299998</v>
      </c>
      <c r="T151" s="83">
        <f>Inputs!$G$5+TS!P151*0.4333</f>
        <v>1965.5564613299998</v>
      </c>
      <c r="U151" s="85">
        <f t="shared" si="62"/>
        <v>0.98277823066499992</v>
      </c>
      <c r="V151" s="86">
        <f>O151-MAX(O151:O177)</f>
        <v>-0.25639999999998508</v>
      </c>
      <c r="W151" s="86">
        <f t="shared" si="50"/>
        <v>0.11102119999999355</v>
      </c>
      <c r="X151" s="86" t="e">
        <f>((PI()*((42-2*'Gen Calcs'!$E$13)^2)/4)/144)*(A194-#REF!)*(W151+14.7)/14.7</f>
        <v>#REF!</v>
      </c>
      <c r="Y151" s="86" t="e">
        <f t="shared" si="51"/>
        <v>#REF!</v>
      </c>
      <c r="Z151" s="86" t="e">
        <f t="shared" si="52"/>
        <v>#REF!</v>
      </c>
      <c r="AA151" s="83">
        <f>MAX(B$2:B151)-B151</f>
        <v>174.45359999999994</v>
      </c>
      <c r="AB151" s="83">
        <f t="shared" si="54"/>
        <v>75.538408799999971</v>
      </c>
      <c r="AC151" s="83">
        <f t="shared" si="55"/>
        <v>106.43507780765123</v>
      </c>
      <c r="AD151" s="72">
        <f t="shared" si="56"/>
        <v>106.43507780765123</v>
      </c>
      <c r="AE151" s="73">
        <f t="shared" si="63"/>
        <v>879.95633235930075</v>
      </c>
      <c r="AF151" s="73">
        <f>SUM(AE$2:AE151)</f>
        <v>126102.15575429432</v>
      </c>
      <c r="AG151" s="73">
        <f t="shared" si="64"/>
        <v>1047627.7466728148</v>
      </c>
    </row>
    <row r="152" spans="1:33" x14ac:dyDescent="0.25">
      <c r="A152" s="100">
        <v>109899.92</v>
      </c>
      <c r="B152" s="97">
        <v>650.9873</v>
      </c>
      <c r="C152" s="97">
        <v>0.6</v>
      </c>
      <c r="D152" s="80">
        <f t="shared" si="49"/>
        <v>100</v>
      </c>
      <c r="E152" s="81">
        <f t="shared" si="57"/>
        <v>6791.2436711181272</v>
      </c>
      <c r="F152" s="81">
        <f>SUM(E$2:E152)</f>
        <v>949264.56029877276</v>
      </c>
      <c r="G152" s="43">
        <f t="shared" si="53"/>
        <v>1</v>
      </c>
      <c r="H152" s="78">
        <v>1</v>
      </c>
      <c r="I152" s="15">
        <f t="shared" si="58"/>
        <v>0.6</v>
      </c>
      <c r="J152" s="16">
        <f>VLOOKUP(G152,Inputs!$L$3:$P$15,5,FALSE)</f>
        <v>2000</v>
      </c>
      <c r="K152" s="16">
        <f t="shared" si="59"/>
        <v>1825</v>
      </c>
      <c r="L152" s="79">
        <f>Inputs!$P$8-B152</f>
        <v>287.20370000000003</v>
      </c>
      <c r="M152" s="79">
        <f>Inputs!$Q$8+L152*0.433</f>
        <v>1949.3592020999999</v>
      </c>
      <c r="N152" s="82">
        <f t="shared" si="60"/>
        <v>109899.92</v>
      </c>
      <c r="O152" s="83">
        <f t="shared" si="61"/>
        <v>650.9873</v>
      </c>
      <c r="P152" s="84">
        <f>IF(O152="","",Inputs!$C$5-O152)</f>
        <v>174.19719999999995</v>
      </c>
      <c r="Q152" s="83">
        <f>IF(N152="","",TS!J152)</f>
        <v>2000</v>
      </c>
      <c r="R152" s="83">
        <f>IF(N152="","",TS!K152)</f>
        <v>1825</v>
      </c>
      <c r="S152" s="83">
        <f>Inputs!$H$5+TS!P152*0.4333</f>
        <v>1950.4453632099999</v>
      </c>
      <c r="T152" s="83">
        <f>Inputs!$G$5+TS!P152*0.4333</f>
        <v>1965.4453632099999</v>
      </c>
      <c r="U152" s="85">
        <f t="shared" si="62"/>
        <v>0.98272268160499998</v>
      </c>
      <c r="V152" s="86">
        <f>O152-MAX(O152:O177)</f>
        <v>0</v>
      </c>
      <c r="W152" s="86">
        <f t="shared" si="50"/>
        <v>0</v>
      </c>
      <c r="X152" s="86" t="e">
        <f>((PI()*((42-2*'Gen Calcs'!$E$13)^2)/4)/144)*(A195-#REF!)*(W152+14.7)/14.7</f>
        <v>#REF!</v>
      </c>
      <c r="Y152" s="86" t="e">
        <f t="shared" si="51"/>
        <v>#REF!</v>
      </c>
      <c r="Z152" s="86" t="e">
        <f t="shared" si="52"/>
        <v>#REF!</v>
      </c>
      <c r="AA152" s="83">
        <f>MAX(B$2:B152)-B152</f>
        <v>174.19719999999995</v>
      </c>
      <c r="AB152" s="83">
        <f t="shared" si="54"/>
        <v>75.427387599999975</v>
      </c>
      <c r="AC152" s="83">
        <f t="shared" si="55"/>
        <v>106.52739913650804</v>
      </c>
      <c r="AD152" s="72">
        <f t="shared" si="56"/>
        <v>106.52739913650804</v>
      </c>
      <c r="AE152" s="73">
        <f t="shared" si="63"/>
        <v>907.92027688745009</v>
      </c>
      <c r="AF152" s="73">
        <f>SUM(AE$2:AE152)</f>
        <v>127010.07603118177</v>
      </c>
      <c r="AG152" s="73">
        <f t="shared" si="64"/>
        <v>1046719.8263959275</v>
      </c>
    </row>
    <row r="153" spans="1:33" x14ac:dyDescent="0.25">
      <c r="A153" s="99">
        <v>109999.92</v>
      </c>
      <c r="B153" s="96">
        <v>650.70330000000001</v>
      </c>
      <c r="C153" s="96">
        <v>0.6</v>
      </c>
      <c r="D153" s="80">
        <f t="shared" si="49"/>
        <v>100</v>
      </c>
      <c r="E153" s="81">
        <f t="shared" si="57"/>
        <v>6791.2436711181272</v>
      </c>
      <c r="F153" s="81">
        <f>SUM(E$2:E153)</f>
        <v>956055.80396989093</v>
      </c>
      <c r="G153" s="43">
        <f t="shared" si="53"/>
        <v>1</v>
      </c>
      <c r="H153" s="78">
        <v>1</v>
      </c>
      <c r="I153" s="15">
        <f t="shared" si="58"/>
        <v>0.6</v>
      </c>
      <c r="J153" s="16">
        <f>VLOOKUP(G153,Inputs!$L$3:$P$15,5,FALSE)</f>
        <v>2000</v>
      </c>
      <c r="K153" s="16">
        <f t="shared" si="59"/>
        <v>1825</v>
      </c>
      <c r="L153" s="79">
        <f>Inputs!$P$8-B153</f>
        <v>287.48770000000002</v>
      </c>
      <c r="M153" s="79">
        <f>Inputs!$Q$8+L153*0.433</f>
        <v>1949.4821741000001</v>
      </c>
      <c r="N153" s="82">
        <f t="shared" si="60"/>
        <v>109999.92</v>
      </c>
      <c r="O153" s="83">
        <f t="shared" si="61"/>
        <v>650.70330000000001</v>
      </c>
      <c r="P153" s="84">
        <f>IF(O153="","",Inputs!$C$5-O153)</f>
        <v>174.48119999999994</v>
      </c>
      <c r="Q153" s="83">
        <f>IF(N153="","",TS!J153)</f>
        <v>2000</v>
      </c>
      <c r="R153" s="83">
        <f>IF(N153="","",TS!K153)</f>
        <v>1825</v>
      </c>
      <c r="S153" s="83">
        <f>Inputs!$H$5+TS!P153*0.4333</f>
        <v>1950.5684204099998</v>
      </c>
      <c r="T153" s="83">
        <f>Inputs!$G$5+TS!P153*0.4333</f>
        <v>1965.5684204099998</v>
      </c>
      <c r="U153" s="85">
        <f t="shared" si="62"/>
        <v>0.98278421020499995</v>
      </c>
      <c r="V153" s="86">
        <f>O153-MAX(O153:O177)</f>
        <v>0</v>
      </c>
      <c r="W153" s="86">
        <f t="shared" si="50"/>
        <v>0</v>
      </c>
      <c r="X153" s="86" t="e">
        <f>((PI()*((42-2*'Gen Calcs'!$E$13)^2)/4)/144)*(A196-#REF!)*(W153+14.7)/14.7</f>
        <v>#REF!</v>
      </c>
      <c r="Y153" s="86" t="e">
        <f t="shared" si="51"/>
        <v>#REF!</v>
      </c>
      <c r="Z153" s="86" t="e">
        <f t="shared" si="52"/>
        <v>#REF!</v>
      </c>
      <c r="AA153" s="83">
        <f>MAX(B$2:B153)-B153</f>
        <v>174.48119999999994</v>
      </c>
      <c r="AB153" s="83">
        <f t="shared" si="54"/>
        <v>75.550359599999979</v>
      </c>
      <c r="AC153" s="83">
        <f t="shared" si="55"/>
        <v>106.61988076265345</v>
      </c>
      <c r="AD153" s="72">
        <f t="shared" si="56"/>
        <v>106.61988076265345</v>
      </c>
      <c r="AE153" s="73">
        <f t="shared" si="63"/>
        <v>907.92027688745009</v>
      </c>
      <c r="AF153" s="73">
        <f>SUM(AE$2:AE153)</f>
        <v>127917.99630806923</v>
      </c>
      <c r="AG153" s="73">
        <f t="shared" si="64"/>
        <v>1045811.90611904</v>
      </c>
    </row>
    <row r="154" spans="1:33" x14ac:dyDescent="0.25">
      <c r="A154" s="100">
        <v>110099.92</v>
      </c>
      <c r="B154" s="97">
        <v>650.54729999999995</v>
      </c>
      <c r="C154" s="97">
        <v>0.6</v>
      </c>
      <c r="D154" s="80">
        <f t="shared" si="49"/>
        <v>100</v>
      </c>
      <c r="E154" s="81">
        <f t="shared" si="57"/>
        <v>6616.6076625842816</v>
      </c>
      <c r="F154" s="81">
        <f>SUM(E$2:E154)</f>
        <v>962672.41163247521</v>
      </c>
      <c r="G154" s="43">
        <f t="shared" si="53"/>
        <v>1</v>
      </c>
      <c r="H154" s="78">
        <v>1</v>
      </c>
      <c r="I154" s="15">
        <f t="shared" si="58"/>
        <v>0.6</v>
      </c>
      <c r="J154" s="16">
        <f>VLOOKUP(G154,Inputs!$L$3:$P$15,5,FALSE)</f>
        <v>2000</v>
      </c>
      <c r="K154" s="16">
        <f t="shared" si="59"/>
        <v>1825</v>
      </c>
      <c r="L154" s="79">
        <f>Inputs!$P$8-B154</f>
        <v>287.64370000000008</v>
      </c>
      <c r="M154" s="79">
        <f>Inputs!$Q$8+L154*0.433</f>
        <v>1949.5497221000001</v>
      </c>
      <c r="N154" s="82">
        <f t="shared" si="60"/>
        <v>110099.92</v>
      </c>
      <c r="O154" s="83">
        <f t="shared" si="61"/>
        <v>650.54729999999995</v>
      </c>
      <c r="P154" s="84">
        <f>IF(O154="","",Inputs!$C$5-O154)</f>
        <v>174.63720000000001</v>
      </c>
      <c r="Q154" s="83">
        <f>IF(N154="","",TS!J154)</f>
        <v>2000</v>
      </c>
      <c r="R154" s="83">
        <f>IF(N154="","",TS!K154)</f>
        <v>1825</v>
      </c>
      <c r="S154" s="83">
        <f>Inputs!$H$5+TS!P154*0.4333</f>
        <v>1950.6360152099999</v>
      </c>
      <c r="T154" s="83">
        <f>Inputs!$G$5+TS!P154*0.4333</f>
        <v>1965.6360152099999</v>
      </c>
      <c r="U154" s="85">
        <f t="shared" si="62"/>
        <v>0.98281800760499993</v>
      </c>
      <c r="V154" s="86">
        <f>O154-MAX(O154:O177)</f>
        <v>0</v>
      </c>
      <c r="W154" s="86">
        <f t="shared" si="50"/>
        <v>0</v>
      </c>
      <c r="X154" s="86" t="e">
        <f>((PI()*((42-2*'Gen Calcs'!$E$13)^2)/4)/144)*(A197-#REF!)*(W154+14.7)/14.7</f>
        <v>#REF!</v>
      </c>
      <c r="Y154" s="86" t="e">
        <f t="shared" si="51"/>
        <v>#REF!</v>
      </c>
      <c r="Z154" s="86" t="e">
        <f t="shared" si="52"/>
        <v>#REF!</v>
      </c>
      <c r="AA154" s="83">
        <f>MAX(B$2:B154)-B154</f>
        <v>174.63720000000001</v>
      </c>
      <c r="AB154" s="83">
        <f t="shared" si="54"/>
        <v>75.617907600000009</v>
      </c>
      <c r="AC154" s="83">
        <f t="shared" si="55"/>
        <v>106.71252310393587</v>
      </c>
      <c r="AD154" s="72">
        <f t="shared" si="56"/>
        <v>106.71252310393587</v>
      </c>
      <c r="AE154" s="73">
        <f t="shared" si="63"/>
        <v>907.92027688745009</v>
      </c>
      <c r="AF154" s="73">
        <f>SUM(AE$2:AE154)</f>
        <v>128825.91658495668</v>
      </c>
      <c r="AG154" s="73">
        <f t="shared" si="64"/>
        <v>1044903.9858421525</v>
      </c>
    </row>
    <row r="155" spans="1:33" x14ac:dyDescent="0.25">
      <c r="A155" s="99">
        <v>110199.92</v>
      </c>
      <c r="B155" s="96">
        <v>650.45330000000001</v>
      </c>
      <c r="C155" s="96">
        <v>0.6</v>
      </c>
      <c r="D155" s="80">
        <f t="shared" si="49"/>
        <v>100</v>
      </c>
      <c r="E155" s="81">
        <f t="shared" si="57"/>
        <v>6791.2436711181272</v>
      </c>
      <c r="F155" s="81">
        <f>SUM(E$2:E155)</f>
        <v>969463.65530359338</v>
      </c>
      <c r="G155" s="43">
        <f t="shared" si="53"/>
        <v>1</v>
      </c>
      <c r="H155" s="78">
        <v>1</v>
      </c>
      <c r="I155" s="15">
        <f t="shared" si="58"/>
        <v>0.6</v>
      </c>
      <c r="J155" s="16">
        <f>VLOOKUP(G155,Inputs!$L$3:$P$15,5,FALSE)</f>
        <v>2000</v>
      </c>
      <c r="K155" s="16">
        <f t="shared" si="59"/>
        <v>1825</v>
      </c>
      <c r="L155" s="79">
        <f>Inputs!$P$8-B155</f>
        <v>287.73770000000002</v>
      </c>
      <c r="M155" s="79">
        <f>Inputs!$Q$8+L155*0.433</f>
        <v>1949.5904241000001</v>
      </c>
      <c r="N155" s="82">
        <f t="shared" si="60"/>
        <v>110199.92</v>
      </c>
      <c r="O155" s="83">
        <f t="shared" si="61"/>
        <v>650.45330000000001</v>
      </c>
      <c r="P155" s="84">
        <f>IF(O155="","",Inputs!$C$5-O155)</f>
        <v>174.73119999999994</v>
      </c>
      <c r="Q155" s="83">
        <f>IF(N155="","",TS!J155)</f>
        <v>2000</v>
      </c>
      <c r="R155" s="83">
        <f>IF(N155="","",TS!K155)</f>
        <v>1825</v>
      </c>
      <c r="S155" s="83">
        <f>Inputs!$H$5+TS!P155*0.4333</f>
        <v>1950.67674541</v>
      </c>
      <c r="T155" s="83">
        <f>Inputs!$G$5+TS!P155*0.4333</f>
        <v>1965.67674541</v>
      </c>
      <c r="U155" s="85">
        <f t="shared" si="62"/>
        <v>0.98283837270499996</v>
      </c>
      <c r="V155" s="86">
        <f>O155-MAX(O155:O177)</f>
        <v>0</v>
      </c>
      <c r="W155" s="86">
        <f t="shared" si="50"/>
        <v>0</v>
      </c>
      <c r="X155" s="86" t="e">
        <f>((PI()*((42-2*'Gen Calcs'!$E$13)^2)/4)/144)*(A198-#REF!)*(W155+14.7)/14.7</f>
        <v>#REF!</v>
      </c>
      <c r="Y155" s="86" t="e">
        <f t="shared" si="51"/>
        <v>#REF!</v>
      </c>
      <c r="Z155" s="86" t="e">
        <f t="shared" si="52"/>
        <v>#REF!</v>
      </c>
      <c r="AA155" s="83">
        <f>MAX(B$2:B155)-B155</f>
        <v>174.73119999999994</v>
      </c>
      <c r="AB155" s="83">
        <f t="shared" si="54"/>
        <v>75.658609599999977</v>
      </c>
      <c r="AC155" s="83">
        <f t="shared" si="55"/>
        <v>106.80532657965722</v>
      </c>
      <c r="AD155" s="72">
        <f t="shared" si="56"/>
        <v>106.80532657965722</v>
      </c>
      <c r="AE155" s="73">
        <f t="shared" si="63"/>
        <v>907.92027688745009</v>
      </c>
      <c r="AF155" s="73">
        <f>SUM(AE$2:AE155)</f>
        <v>129733.83686184413</v>
      </c>
      <c r="AG155" s="73">
        <f t="shared" si="64"/>
        <v>1043996.065565265</v>
      </c>
    </row>
    <row r="156" spans="1:33" x14ac:dyDescent="0.25">
      <c r="A156" s="100">
        <v>110299.92</v>
      </c>
      <c r="B156" s="97">
        <v>649.92359999999996</v>
      </c>
      <c r="C156" s="97">
        <v>0.6</v>
      </c>
      <c r="D156" s="80">
        <f t="shared" si="49"/>
        <v>100</v>
      </c>
      <c r="E156" s="81">
        <f t="shared" si="57"/>
        <v>6616.6076625842816</v>
      </c>
      <c r="F156" s="81">
        <f>SUM(E$2:E156)</f>
        <v>976080.26296617766</v>
      </c>
      <c r="G156" s="43">
        <f t="shared" si="53"/>
        <v>1</v>
      </c>
      <c r="H156" s="78">
        <v>1</v>
      </c>
      <c r="I156" s="15">
        <f t="shared" si="58"/>
        <v>0.6</v>
      </c>
      <c r="J156" s="16">
        <f>VLOOKUP(G156,Inputs!$L$3:$P$15,5,FALSE)</f>
        <v>2000</v>
      </c>
      <c r="K156" s="16">
        <f t="shared" si="59"/>
        <v>1825</v>
      </c>
      <c r="L156" s="79">
        <f>Inputs!$P$8-B156</f>
        <v>288.26740000000007</v>
      </c>
      <c r="M156" s="79">
        <f>Inputs!$Q$8+L156*0.433</f>
        <v>1949.8197842</v>
      </c>
      <c r="N156" s="82">
        <f t="shared" si="60"/>
        <v>110299.92</v>
      </c>
      <c r="O156" s="83">
        <f t="shared" si="61"/>
        <v>649.92359999999996</v>
      </c>
      <c r="P156" s="84">
        <f>IF(O156="","",Inputs!$C$5-O156)</f>
        <v>175.26089999999999</v>
      </c>
      <c r="Q156" s="83">
        <f>IF(N156="","",TS!J156)</f>
        <v>2000</v>
      </c>
      <c r="R156" s="83">
        <f>IF(N156="","",TS!K156)</f>
        <v>1825</v>
      </c>
      <c r="S156" s="83">
        <f>Inputs!$H$5+TS!P156*0.4333</f>
        <v>1950.9062644199998</v>
      </c>
      <c r="T156" s="83">
        <f>Inputs!$G$5+TS!P156*0.4333</f>
        <v>1965.9062644199998</v>
      </c>
      <c r="U156" s="85">
        <f t="shared" si="62"/>
        <v>0.98295313220999991</v>
      </c>
      <c r="V156" s="86">
        <f>O156-MAX(O156:O177)</f>
        <v>-0.31870000000003529</v>
      </c>
      <c r="W156" s="86">
        <f t="shared" si="50"/>
        <v>0.13799710000001528</v>
      </c>
      <c r="X156" s="86" t="e">
        <f>((PI()*((42-2*'Gen Calcs'!$E$13)^2)/4)/144)*(A199-#REF!)*(W156+14.7)/14.7</f>
        <v>#REF!</v>
      </c>
      <c r="Y156" s="86" t="e">
        <f t="shared" si="51"/>
        <v>#REF!</v>
      </c>
      <c r="Z156" s="86" t="e">
        <f t="shared" si="52"/>
        <v>#REF!</v>
      </c>
      <c r="AA156" s="83">
        <f>MAX(B$2:B156)-B156</f>
        <v>175.26089999999999</v>
      </c>
      <c r="AB156" s="83">
        <f t="shared" si="54"/>
        <v>75.887969699999999</v>
      </c>
      <c r="AC156" s="83">
        <f t="shared" si="55"/>
        <v>106.89829161057936</v>
      </c>
      <c r="AD156" s="72">
        <f t="shared" si="56"/>
        <v>106.89829161057936</v>
      </c>
      <c r="AE156" s="73">
        <f t="shared" si="63"/>
        <v>907.92027688745009</v>
      </c>
      <c r="AF156" s="73">
        <f>SUM(AE$2:AE156)</f>
        <v>130641.75713873158</v>
      </c>
      <c r="AG156" s="73">
        <f t="shared" si="64"/>
        <v>1043088.1452883777</v>
      </c>
    </row>
    <row r="157" spans="1:33" x14ac:dyDescent="0.25">
      <c r="A157" s="99">
        <v>110399.92</v>
      </c>
      <c r="B157" s="96">
        <v>649.19650000000001</v>
      </c>
      <c r="C157" s="96">
        <v>0.6</v>
      </c>
      <c r="D157" s="80">
        <f t="shared" si="49"/>
        <v>100</v>
      </c>
      <c r="E157" s="81">
        <f t="shared" si="57"/>
        <v>6791.2436711181272</v>
      </c>
      <c r="F157" s="81">
        <f>SUM(E$2:E157)</f>
        <v>982871.50663729582</v>
      </c>
      <c r="G157" s="43">
        <f t="shared" si="53"/>
        <v>1</v>
      </c>
      <c r="H157" s="78">
        <v>1</v>
      </c>
      <c r="I157" s="15">
        <f t="shared" si="58"/>
        <v>0.6</v>
      </c>
      <c r="J157" s="16">
        <f>VLOOKUP(G157,Inputs!$L$3:$P$15,5,FALSE)</f>
        <v>2000</v>
      </c>
      <c r="K157" s="16">
        <f t="shared" si="59"/>
        <v>1825</v>
      </c>
      <c r="L157" s="79">
        <f>Inputs!$P$8-B157</f>
        <v>288.99450000000002</v>
      </c>
      <c r="M157" s="79">
        <f>Inputs!$Q$8+L157*0.433</f>
        <v>1950.1346185</v>
      </c>
      <c r="N157" s="82">
        <f t="shared" si="60"/>
        <v>110399.92</v>
      </c>
      <c r="O157" s="83">
        <f t="shared" si="61"/>
        <v>649.19650000000001</v>
      </c>
      <c r="P157" s="84">
        <f>IF(O157="","",Inputs!$C$5-O157)</f>
        <v>175.98799999999994</v>
      </c>
      <c r="Q157" s="83">
        <f>IF(N157="","",TS!J157)</f>
        <v>2000</v>
      </c>
      <c r="R157" s="83">
        <f>IF(N157="","",TS!K157)</f>
        <v>1825</v>
      </c>
      <c r="S157" s="83">
        <f>Inputs!$H$5+TS!P157*0.4333</f>
        <v>1951.22131685</v>
      </c>
      <c r="T157" s="83">
        <f>Inputs!$G$5+TS!P157*0.4333</f>
        <v>1966.22131685</v>
      </c>
      <c r="U157" s="85">
        <f t="shared" si="62"/>
        <v>0.98311065842500001</v>
      </c>
      <c r="V157" s="86">
        <f>O157-MAX(O157:O177)</f>
        <v>-1.0457999999999856</v>
      </c>
      <c r="W157" s="86">
        <f t="shared" si="50"/>
        <v>0.45283139999999378</v>
      </c>
      <c r="X157" s="86" t="e">
        <f>((PI()*((42-2*'Gen Calcs'!$E$13)^2)/4)/144)*(A200-#REF!)*(W157+14.7)/14.7</f>
        <v>#REF!</v>
      </c>
      <c r="Y157" s="86" t="e">
        <f t="shared" si="51"/>
        <v>#REF!</v>
      </c>
      <c r="Z157" s="86" t="e">
        <f t="shared" si="52"/>
        <v>#REF!</v>
      </c>
      <c r="AA157" s="83">
        <f>MAX(B$2:B157)-B157</f>
        <v>175.98799999999994</v>
      </c>
      <c r="AB157" s="83">
        <f t="shared" si="54"/>
        <v>76.202803999999972</v>
      </c>
      <c r="AC157" s="83">
        <f t="shared" si="55"/>
        <v>106.99141861893035</v>
      </c>
      <c r="AD157" s="72">
        <f t="shared" si="56"/>
        <v>106.99141861893035</v>
      </c>
      <c r="AE157" s="73">
        <f t="shared" si="63"/>
        <v>907.92027688745009</v>
      </c>
      <c r="AF157" s="73">
        <f>SUM(AE$2:AE157)</f>
        <v>131549.67741561902</v>
      </c>
      <c r="AG157" s="73">
        <f t="shared" si="64"/>
        <v>1042180.2250114902</v>
      </c>
    </row>
    <row r="158" spans="1:33" x14ac:dyDescent="0.25">
      <c r="A158" s="100">
        <v>110499.92</v>
      </c>
      <c r="B158" s="97">
        <v>645.39549999999997</v>
      </c>
      <c r="C158" s="97">
        <v>0.6</v>
      </c>
      <c r="D158" s="80">
        <f t="shared" si="49"/>
        <v>100</v>
      </c>
      <c r="E158" s="81">
        <f t="shared" si="57"/>
        <v>6791.2436711181272</v>
      </c>
      <c r="F158" s="81">
        <f>SUM(E$2:E158)</f>
        <v>989662.75030841399</v>
      </c>
      <c r="G158" s="43">
        <f t="shared" si="53"/>
        <v>1</v>
      </c>
      <c r="H158" s="78">
        <v>1</v>
      </c>
      <c r="I158" s="15">
        <f t="shared" si="58"/>
        <v>0.6</v>
      </c>
      <c r="J158" s="16">
        <f>VLOOKUP(G158,Inputs!$L$3:$P$15,5,FALSE)</f>
        <v>2000</v>
      </c>
      <c r="K158" s="16">
        <f t="shared" si="59"/>
        <v>1825</v>
      </c>
      <c r="L158" s="79">
        <f>Inputs!$P$8-B158</f>
        <v>292.79550000000006</v>
      </c>
      <c r="M158" s="79">
        <f>Inputs!$Q$8+L158*0.433</f>
        <v>1951.7804515</v>
      </c>
      <c r="N158" s="82">
        <f t="shared" si="60"/>
        <v>110499.92</v>
      </c>
      <c r="O158" s="83">
        <f t="shared" si="61"/>
        <v>645.39549999999997</v>
      </c>
      <c r="P158" s="84">
        <f>IF(O158="","",Inputs!$C$5-O158)</f>
        <v>179.78899999999999</v>
      </c>
      <c r="Q158" s="83">
        <f>IF(N158="","",TS!J158)</f>
        <v>2000</v>
      </c>
      <c r="R158" s="83">
        <f>IF(N158="","",TS!K158)</f>
        <v>1825</v>
      </c>
      <c r="S158" s="83">
        <f>Inputs!$H$5+TS!P158*0.4333</f>
        <v>1952.8682901499999</v>
      </c>
      <c r="T158" s="83">
        <f>Inputs!$G$5+TS!P158*0.4333</f>
        <v>1967.8682901499999</v>
      </c>
      <c r="U158" s="85">
        <f t="shared" si="62"/>
        <v>0.98393414507499999</v>
      </c>
      <c r="V158" s="86">
        <f>O158-MAX(O158:O177)</f>
        <v>-4.8468000000000302</v>
      </c>
      <c r="W158" s="86">
        <f t="shared" ref="W158:W177" si="65">-(V158)*0.433</f>
        <v>2.098664400000013</v>
      </c>
      <c r="X158" s="86" t="e">
        <f>((PI()*((42-2*'Gen Calcs'!$E$13)^2)/4)/144)*(A201-#REF!)*(W158+14.7)/14.7</f>
        <v>#REF!</v>
      </c>
      <c r="Y158" s="86" t="e">
        <f t="shared" ref="Y158:Y177" si="66">X158/1000</f>
        <v>#REF!</v>
      </c>
      <c r="Z158" s="86" t="e">
        <f t="shared" si="52"/>
        <v>#REF!</v>
      </c>
      <c r="AA158" s="83">
        <f>MAX(B$2:B158)-B158</f>
        <v>179.78899999999999</v>
      </c>
      <c r="AB158" s="83">
        <f t="shared" si="54"/>
        <v>77.848636999999997</v>
      </c>
      <c r="AC158" s="83">
        <f t="shared" si="55"/>
        <v>107.08470802841084</v>
      </c>
      <c r="AD158" s="72">
        <f t="shared" si="56"/>
        <v>107.08470802841084</v>
      </c>
      <c r="AE158" s="73">
        <f t="shared" si="63"/>
        <v>907.92027688745009</v>
      </c>
      <c r="AF158" s="73">
        <f>SUM(AE$2:AE158)</f>
        <v>132457.59769250648</v>
      </c>
      <c r="AG158" s="73">
        <f t="shared" si="64"/>
        <v>1041272.3047346027</v>
      </c>
    </row>
    <row r="159" spans="1:33" x14ac:dyDescent="0.25">
      <c r="A159" s="99">
        <v>110599.92</v>
      </c>
      <c r="B159" s="96">
        <v>640.13739999999996</v>
      </c>
      <c r="C159" s="96">
        <v>0.6</v>
      </c>
      <c r="D159" s="80">
        <f t="shared" si="49"/>
        <v>100</v>
      </c>
      <c r="E159" s="81">
        <f t="shared" si="57"/>
        <v>6791.2436711181272</v>
      </c>
      <c r="F159" s="81">
        <f>SUM(E$2:E159)</f>
        <v>996453.99397953216</v>
      </c>
      <c r="G159" s="43">
        <f t="shared" si="53"/>
        <v>1</v>
      </c>
      <c r="H159" s="78">
        <v>1</v>
      </c>
      <c r="I159" s="15">
        <f t="shared" si="58"/>
        <v>0.6</v>
      </c>
      <c r="J159" s="16">
        <f>VLOOKUP(G159,Inputs!$L$3:$P$15,5,FALSE)</f>
        <v>2000</v>
      </c>
      <c r="K159" s="16">
        <f t="shared" si="59"/>
        <v>1825</v>
      </c>
      <c r="L159" s="79">
        <f>Inputs!$P$8-B159</f>
        <v>298.05360000000007</v>
      </c>
      <c r="M159" s="79">
        <f>Inputs!$Q$8+L159*0.433</f>
        <v>1954.0572088000001</v>
      </c>
      <c r="N159" s="82">
        <f t="shared" si="60"/>
        <v>110599.92</v>
      </c>
      <c r="O159" s="83">
        <f t="shared" si="61"/>
        <v>640.13739999999996</v>
      </c>
      <c r="P159" s="84">
        <f>IF(O159="","",Inputs!$C$5-O159)</f>
        <v>185.0471</v>
      </c>
      <c r="Q159" s="83">
        <f>IF(N159="","",TS!J159)</f>
        <v>2000</v>
      </c>
      <c r="R159" s="83">
        <f>IF(N159="","",TS!K159)</f>
        <v>1825</v>
      </c>
      <c r="S159" s="83">
        <f>Inputs!$H$5+TS!P159*0.4333</f>
        <v>1955.14662488</v>
      </c>
      <c r="T159" s="83">
        <f>Inputs!$G$5+TS!P159*0.4333</f>
        <v>1970.14662488</v>
      </c>
      <c r="U159" s="85">
        <f t="shared" si="62"/>
        <v>0.98507331243999996</v>
      </c>
      <c r="V159" s="86">
        <f>O159-MAX(O159:O177)</f>
        <v>-10.104900000000043</v>
      </c>
      <c r="W159" s="86">
        <f t="shared" si="65"/>
        <v>4.3754217000000191</v>
      </c>
      <c r="X159" s="86" t="e">
        <f>((PI()*((42-2*'Gen Calcs'!$E$13)^2)/4)/144)*(A202-#REF!)*(W159+14.7)/14.7</f>
        <v>#REF!</v>
      </c>
      <c r="Y159" s="86" t="e">
        <f t="shared" si="66"/>
        <v>#REF!</v>
      </c>
      <c r="Z159" s="86" t="e">
        <f t="shared" ref="Z159:Z177" si="67">IF(Y159&gt;Z158,Y159,Z158)</f>
        <v>#REF!</v>
      </c>
      <c r="AA159" s="83">
        <f>MAX(B$2:B159)-B159</f>
        <v>185.0471</v>
      </c>
      <c r="AB159" s="83">
        <f t="shared" si="54"/>
        <v>80.125394299999996</v>
      </c>
      <c r="AC159" s="83">
        <f t="shared" si="55"/>
        <v>107.17816026420054</v>
      </c>
      <c r="AD159" s="72">
        <f t="shared" si="56"/>
        <v>107.17816026420054</v>
      </c>
      <c r="AE159" s="73">
        <f t="shared" si="63"/>
        <v>907.92027688745009</v>
      </c>
      <c r="AF159" s="73">
        <f>SUM(AE$2:AE159)</f>
        <v>133365.51796939393</v>
      </c>
      <c r="AG159" s="73">
        <f t="shared" si="64"/>
        <v>1040364.3844577153</v>
      </c>
    </row>
    <row r="160" spans="1:33" x14ac:dyDescent="0.25">
      <c r="A160" s="100">
        <v>110688.3</v>
      </c>
      <c r="B160" s="97">
        <v>640.13739999999996</v>
      </c>
      <c r="C160" s="97">
        <v>0.86399999999999999</v>
      </c>
      <c r="D160" s="80">
        <f t="shared" si="49"/>
        <v>88.380000000004657</v>
      </c>
      <c r="E160" s="81">
        <f t="shared" si="57"/>
        <v>6002.1011565345161</v>
      </c>
      <c r="F160" s="81">
        <f>SUM(E$2:E160)</f>
        <v>1002456.0951360667</v>
      </c>
      <c r="G160" s="43">
        <f t="shared" si="53"/>
        <v>2</v>
      </c>
      <c r="H160" s="78">
        <v>1</v>
      </c>
      <c r="I160" s="15">
        <f t="shared" si="58"/>
        <v>0.86399999999999999</v>
      </c>
      <c r="J160" s="16">
        <f>VLOOKUP(G160,Inputs!$L$3:$P$15,5,FALSE)</f>
        <v>2880</v>
      </c>
      <c r="K160" s="16">
        <f t="shared" si="59"/>
        <v>1825</v>
      </c>
      <c r="L160" s="79">
        <f>Inputs!$P$8-B160</f>
        <v>298.05360000000007</v>
      </c>
      <c r="M160" s="79">
        <f>Inputs!$Q$8+L160*0.433</f>
        <v>1954.0572088000001</v>
      </c>
      <c r="N160" s="82">
        <f t="shared" si="60"/>
        <v>110688.3</v>
      </c>
      <c r="O160" s="83">
        <f t="shared" si="61"/>
        <v>640.13739999999996</v>
      </c>
      <c r="P160" s="84">
        <f>IF(O160="","",Inputs!$C$5-O160)</f>
        <v>185.0471</v>
      </c>
      <c r="Q160" s="83">
        <f>IF(N160="","",TS!J160)</f>
        <v>2880</v>
      </c>
      <c r="R160" s="83">
        <f>IF(N160="","",TS!K160)</f>
        <v>1825</v>
      </c>
      <c r="S160" s="83">
        <f>Inputs!$H$5+TS!P160*0.4333</f>
        <v>1955.14662488</v>
      </c>
      <c r="T160" s="83">
        <f>Inputs!$G$5+TS!P160*0.4333</f>
        <v>1970.14662488</v>
      </c>
      <c r="U160" s="85">
        <f t="shared" si="62"/>
        <v>0.68407868919444448</v>
      </c>
      <c r="V160" s="86">
        <f>O160-MAX(O160:O177)</f>
        <v>-10.104900000000043</v>
      </c>
      <c r="W160" s="86">
        <f t="shared" si="65"/>
        <v>4.3754217000000191</v>
      </c>
      <c r="X160" s="86" t="e">
        <f>((PI()*((42-2*'Gen Calcs'!$E$13)^2)/4)/144)*(A203-#REF!)*(W160+14.7)/14.7</f>
        <v>#REF!</v>
      </c>
      <c r="Y160" s="86" t="e">
        <f t="shared" si="66"/>
        <v>#REF!</v>
      </c>
      <c r="Z160" s="86" t="e">
        <f t="shared" si="67"/>
        <v>#REF!</v>
      </c>
      <c r="AA160" s="83">
        <f>MAX(B$2:B160)-B160</f>
        <v>185.0471</v>
      </c>
      <c r="AB160" s="83">
        <f t="shared" si="54"/>
        <v>80.125394299999996</v>
      </c>
      <c r="AC160" s="83">
        <f t="shared" si="55"/>
        <v>107.25876027121366</v>
      </c>
      <c r="AD160" s="72">
        <f t="shared" si="56"/>
        <v>107.25876027121366</v>
      </c>
      <c r="AE160" s="73">
        <f t="shared" si="63"/>
        <v>781.78580911661709</v>
      </c>
      <c r="AF160" s="73">
        <f>SUM(AE$2:AE160)</f>
        <v>134147.30377851054</v>
      </c>
      <c r="AG160" s="73">
        <f t="shared" si="64"/>
        <v>1039582.5986485987</v>
      </c>
    </row>
    <row r="161" spans="1:33" x14ac:dyDescent="0.25">
      <c r="A161" s="99">
        <v>110699.92</v>
      </c>
      <c r="B161" s="96">
        <v>650.2423</v>
      </c>
      <c r="C161" s="96">
        <v>0.6</v>
      </c>
      <c r="D161" s="80">
        <f t="shared" si="49"/>
        <v>11.619999999995343</v>
      </c>
      <c r="E161" s="81">
        <f t="shared" si="57"/>
        <v>789.14251458361002</v>
      </c>
      <c r="F161" s="81">
        <f>SUM(E$2:E161)</f>
        <v>1003245.2376506503</v>
      </c>
      <c r="G161" s="43">
        <f t="shared" si="53"/>
        <v>1</v>
      </c>
      <c r="H161" s="78">
        <v>1</v>
      </c>
      <c r="I161" s="15">
        <f t="shared" si="58"/>
        <v>0.6</v>
      </c>
      <c r="J161" s="16">
        <f>VLOOKUP(G161,Inputs!$L$3:$P$15,5,FALSE)</f>
        <v>2000</v>
      </c>
      <c r="K161" s="16">
        <f t="shared" si="59"/>
        <v>1825</v>
      </c>
      <c r="L161" s="79">
        <f>Inputs!$P$8-B161</f>
        <v>287.94870000000003</v>
      </c>
      <c r="M161" s="79">
        <f>Inputs!$Q$8+L161*0.433</f>
        <v>1949.6817871000001</v>
      </c>
      <c r="N161" s="82">
        <f t="shared" si="60"/>
        <v>110699.92</v>
      </c>
      <c r="O161" s="83">
        <f t="shared" si="61"/>
        <v>650.2423</v>
      </c>
      <c r="P161" s="84">
        <f>IF(O161="","",Inputs!$C$5-O161)</f>
        <v>174.94219999999996</v>
      </c>
      <c r="Q161" s="83">
        <f>IF(N161="","",TS!J161)</f>
        <v>2000</v>
      </c>
      <c r="R161" s="83">
        <f>IF(N161="","",TS!K161)</f>
        <v>1825</v>
      </c>
      <c r="S161" s="83">
        <f>Inputs!$H$5+TS!P161*0.4333</f>
        <v>1950.7681717099999</v>
      </c>
      <c r="T161" s="83">
        <f>Inputs!$G$5+TS!P161*0.4333</f>
        <v>1965.7681717099999</v>
      </c>
      <c r="U161" s="85">
        <f t="shared" si="62"/>
        <v>0.98288408585499998</v>
      </c>
      <c r="V161" s="86">
        <f>O161-MAX(O161:O177)</f>
        <v>0</v>
      </c>
      <c r="W161" s="86">
        <f t="shared" si="65"/>
        <v>0</v>
      </c>
      <c r="X161" s="86" t="e">
        <f>((PI()*((42-2*'Gen Calcs'!$E$13)^2)/4)/144)*(A204-#REF!)*(W161+14.7)/14.7</f>
        <v>#REF!</v>
      </c>
      <c r="Y161" s="86" t="e">
        <f t="shared" si="66"/>
        <v>#REF!</v>
      </c>
      <c r="Z161" s="86" t="e">
        <f t="shared" si="67"/>
        <v>#REF!</v>
      </c>
      <c r="AA161" s="83">
        <f>MAX(B$2:B161)-B161</f>
        <v>174.94219999999996</v>
      </c>
      <c r="AB161" s="83">
        <f t="shared" si="54"/>
        <v>75.749972599999978</v>
      </c>
      <c r="AC161" s="83">
        <f t="shared" si="55"/>
        <v>107.2696463554618</v>
      </c>
      <c r="AD161" s="72">
        <f t="shared" si="56"/>
        <v>107.2696463554618</v>
      </c>
      <c r="AE161" s="73">
        <f t="shared" si="63"/>
        <v>105.50033617427941</v>
      </c>
      <c r="AF161" s="73">
        <f>SUM(AE$2:AE161)</f>
        <v>134252.80411468481</v>
      </c>
      <c r="AG161" s="73">
        <f t="shared" si="64"/>
        <v>1039477.0983124244</v>
      </c>
    </row>
    <row r="162" spans="1:33" x14ac:dyDescent="0.25">
      <c r="A162" s="100">
        <v>110768.3</v>
      </c>
      <c r="B162" s="97">
        <v>650.2423</v>
      </c>
      <c r="C162" s="97">
        <v>0.86399999999999999</v>
      </c>
      <c r="D162" s="80">
        <f t="shared" si="49"/>
        <v>68.380000000004657</v>
      </c>
      <c r="E162" s="81">
        <f t="shared" si="57"/>
        <v>4524.4363196754393</v>
      </c>
      <c r="F162" s="81">
        <f>SUM(E$2:E162)</f>
        <v>1007769.6739703257</v>
      </c>
      <c r="G162" s="43">
        <f t="shared" si="53"/>
        <v>2</v>
      </c>
      <c r="H162" s="78">
        <v>1</v>
      </c>
      <c r="I162" s="15">
        <f t="shared" si="58"/>
        <v>0.86399999999999999</v>
      </c>
      <c r="J162" s="16">
        <f>VLOOKUP(G162,Inputs!$L$3:$P$15,5,FALSE)</f>
        <v>2880</v>
      </c>
      <c r="K162" s="16">
        <f t="shared" si="59"/>
        <v>1825</v>
      </c>
      <c r="L162" s="79">
        <f>Inputs!$P$8-B162</f>
        <v>287.94870000000003</v>
      </c>
      <c r="M162" s="79">
        <f>Inputs!$Q$8+L162*0.433</f>
        <v>1949.6817871000001</v>
      </c>
      <c r="N162" s="82">
        <f t="shared" si="60"/>
        <v>110768.3</v>
      </c>
      <c r="O162" s="83">
        <f t="shared" si="61"/>
        <v>650.2423</v>
      </c>
      <c r="P162" s="84">
        <f>IF(O162="","",Inputs!$C$5-O162)</f>
        <v>174.94219999999996</v>
      </c>
      <c r="Q162" s="83">
        <f>IF(N162="","",TS!J162)</f>
        <v>2880</v>
      </c>
      <c r="R162" s="83">
        <f>IF(N162="","",TS!K162)</f>
        <v>1825</v>
      </c>
      <c r="S162" s="83">
        <f>Inputs!$H$5+TS!P162*0.4333</f>
        <v>1950.7681717099999</v>
      </c>
      <c r="T162" s="83">
        <f>Inputs!$G$5+TS!P162*0.4333</f>
        <v>1965.7681717099999</v>
      </c>
      <c r="U162" s="85">
        <f t="shared" si="62"/>
        <v>0.68255839295486109</v>
      </c>
      <c r="V162" s="86">
        <f>O162-MAX(O162:O177)</f>
        <v>0</v>
      </c>
      <c r="W162" s="86">
        <f t="shared" si="65"/>
        <v>0</v>
      </c>
      <c r="X162" s="86" t="e">
        <f>((PI()*((42-2*'Gen Calcs'!$E$13)^2)/4)/144)*(A205-#REF!)*(W162+14.7)/14.7</f>
        <v>#REF!</v>
      </c>
      <c r="Y162" s="86" t="e">
        <f t="shared" si="66"/>
        <v>#REF!</v>
      </c>
      <c r="Z162" s="86" t="e">
        <f t="shared" si="67"/>
        <v>#REF!</v>
      </c>
      <c r="AA162" s="83">
        <f>MAX(B$2:B162)-B162</f>
        <v>174.94219999999996</v>
      </c>
      <c r="AB162" s="83">
        <f t="shared" si="54"/>
        <v>75.749972599999978</v>
      </c>
      <c r="AC162" s="83">
        <f t="shared" si="55"/>
        <v>107.33210284851572</v>
      </c>
      <c r="AD162" s="72">
        <f t="shared" si="56"/>
        <v>107.33210284851572</v>
      </c>
      <c r="AE162" s="73">
        <f t="shared" si="63"/>
        <v>604.87116573201058</v>
      </c>
      <c r="AF162" s="73">
        <f>SUM(AE$2:AE162)</f>
        <v>134857.67528041682</v>
      </c>
      <c r="AG162" s="73">
        <f t="shared" si="64"/>
        <v>1038872.2271466923</v>
      </c>
    </row>
    <row r="163" spans="1:33" x14ac:dyDescent="0.25">
      <c r="A163" s="99">
        <v>110799.92</v>
      </c>
      <c r="B163" s="96">
        <v>649.74329999999998</v>
      </c>
      <c r="C163" s="96">
        <v>0.6</v>
      </c>
      <c r="D163" s="80">
        <f t="shared" si="49"/>
        <v>31.619999999995343</v>
      </c>
      <c r="E163" s="81">
        <f t="shared" si="57"/>
        <v>2147.3912488072356</v>
      </c>
      <c r="F163" s="81">
        <f>SUM(E$2:E163)</f>
        <v>1009917.0652191329</v>
      </c>
      <c r="G163" s="43">
        <f t="shared" si="53"/>
        <v>1</v>
      </c>
      <c r="H163" s="78">
        <v>1</v>
      </c>
      <c r="I163" s="15">
        <f t="shared" si="58"/>
        <v>0.6</v>
      </c>
      <c r="J163" s="16">
        <f>VLOOKUP(G163,Inputs!$L$3:$P$15,5,FALSE)</f>
        <v>2000</v>
      </c>
      <c r="K163" s="16">
        <f t="shared" si="59"/>
        <v>1825</v>
      </c>
      <c r="L163" s="79">
        <f>Inputs!$P$8-B163</f>
        <v>288.44770000000005</v>
      </c>
      <c r="M163" s="79">
        <f>Inputs!$Q$8+L163*0.433</f>
        <v>1949.8978541000001</v>
      </c>
      <c r="N163" s="82">
        <f t="shared" si="60"/>
        <v>110799.92</v>
      </c>
      <c r="O163" s="83">
        <f t="shared" si="61"/>
        <v>649.74329999999998</v>
      </c>
      <c r="P163" s="84">
        <f>IF(O163="","",Inputs!$C$5-O163)</f>
        <v>175.44119999999998</v>
      </c>
      <c r="Q163" s="83">
        <f>IF(N163="","",TS!J163)</f>
        <v>2000</v>
      </c>
      <c r="R163" s="83">
        <f>IF(N163="","",TS!K163)</f>
        <v>1825</v>
      </c>
      <c r="S163" s="83">
        <f>Inputs!$H$5+TS!P163*0.4333</f>
        <v>1950.9843884099998</v>
      </c>
      <c r="T163" s="83">
        <f>Inputs!$G$5+TS!P163*0.4333</f>
        <v>1965.9843884099998</v>
      </c>
      <c r="U163" s="85">
        <f t="shared" si="62"/>
        <v>0.98299219420499995</v>
      </c>
      <c r="V163" s="86">
        <f>O163-MAX(O163:O177)</f>
        <v>0</v>
      </c>
      <c r="W163" s="86">
        <f t="shared" si="65"/>
        <v>0</v>
      </c>
      <c r="X163" s="86" t="e">
        <f>((PI()*((42-2*'Gen Calcs'!$E$13)^2)/4)/144)*(A206-#REF!)*(W163+14.7)/14.7</f>
        <v>#REF!</v>
      </c>
      <c r="Y163" s="86" t="e">
        <f t="shared" si="66"/>
        <v>#REF!</v>
      </c>
      <c r="Z163" s="86" t="e">
        <f t="shared" si="67"/>
        <v>#REF!</v>
      </c>
      <c r="AA163" s="83">
        <f>MAX(B$2:B163)-B163</f>
        <v>175.44119999999998</v>
      </c>
      <c r="AB163" s="83">
        <f t="shared" si="54"/>
        <v>75.966039599999988</v>
      </c>
      <c r="AC163" s="83">
        <f t="shared" si="55"/>
        <v>107.36177145263083</v>
      </c>
      <c r="AD163" s="72">
        <f t="shared" si="56"/>
        <v>107.36177145263083</v>
      </c>
      <c r="AE163" s="73">
        <f t="shared" si="63"/>
        <v>287.08439155176944</v>
      </c>
      <c r="AF163" s="73">
        <f>SUM(AE$2:AE163)</f>
        <v>135144.75967196858</v>
      </c>
      <c r="AG163" s="73">
        <f t="shared" si="64"/>
        <v>1038585.1427551406</v>
      </c>
    </row>
    <row r="164" spans="1:33" x14ac:dyDescent="0.25">
      <c r="A164" s="100">
        <v>110899.92</v>
      </c>
      <c r="B164" s="97">
        <v>649.31479999999999</v>
      </c>
      <c r="C164" s="97">
        <v>0.6</v>
      </c>
      <c r="D164" s="80">
        <f t="shared" si="49"/>
        <v>100</v>
      </c>
      <c r="E164" s="81">
        <f t="shared" si="57"/>
        <v>6616.6076625842816</v>
      </c>
      <c r="F164" s="81">
        <f>SUM(E$2:E164)</f>
        <v>1016533.6728817172</v>
      </c>
      <c r="G164" s="43">
        <f t="shared" si="53"/>
        <v>1</v>
      </c>
      <c r="H164" s="78">
        <v>1</v>
      </c>
      <c r="I164" s="15">
        <f t="shared" si="58"/>
        <v>0.6</v>
      </c>
      <c r="J164" s="16">
        <f>VLOOKUP(G164,Inputs!$L$3:$P$15,5,FALSE)</f>
        <v>2000</v>
      </c>
      <c r="K164" s="16">
        <f t="shared" si="59"/>
        <v>1825</v>
      </c>
      <c r="L164" s="79">
        <f>Inputs!$P$8-B164</f>
        <v>288.87620000000004</v>
      </c>
      <c r="M164" s="79">
        <f>Inputs!$Q$8+L164*0.433</f>
        <v>1950.0833946</v>
      </c>
      <c r="N164" s="82">
        <f t="shared" si="60"/>
        <v>110899.92</v>
      </c>
      <c r="O164" s="83">
        <f t="shared" si="61"/>
        <v>649.31479999999999</v>
      </c>
      <c r="P164" s="84">
        <f>IF(O164="","",Inputs!$C$5-O164)</f>
        <v>175.86969999999997</v>
      </c>
      <c r="Q164" s="83">
        <f>IF(N164="","",TS!J164)</f>
        <v>2000</v>
      </c>
      <c r="R164" s="83">
        <f>IF(N164="","",TS!K164)</f>
        <v>1825</v>
      </c>
      <c r="S164" s="83">
        <f>Inputs!$H$5+TS!P164*0.4333</f>
        <v>1951.17005746</v>
      </c>
      <c r="T164" s="83">
        <f>Inputs!$G$5+TS!P164*0.4333</f>
        <v>1966.17005746</v>
      </c>
      <c r="U164" s="85">
        <f t="shared" si="62"/>
        <v>0.98308502872999992</v>
      </c>
      <c r="V164" s="86">
        <f>O164-MAX(O164:O177)</f>
        <v>0</v>
      </c>
      <c r="W164" s="86">
        <f t="shared" si="65"/>
        <v>0</v>
      </c>
      <c r="X164" s="86" t="e">
        <f>((PI()*((42-2*'Gen Calcs'!$E$13)^2)/4)/144)*(A207-#REF!)*(W164+14.7)/14.7</f>
        <v>#REF!</v>
      </c>
      <c r="Y164" s="86" t="e">
        <f t="shared" si="66"/>
        <v>#REF!</v>
      </c>
      <c r="Z164" s="86" t="e">
        <f t="shared" si="67"/>
        <v>#REF!</v>
      </c>
      <c r="AA164" s="83">
        <f>MAX(B$2:B164)-B164</f>
        <v>175.86969999999997</v>
      </c>
      <c r="AB164" s="83">
        <f t="shared" si="54"/>
        <v>76.15158009999999</v>
      </c>
      <c r="AC164" s="83">
        <f t="shared" si="55"/>
        <v>107.45570810957275</v>
      </c>
      <c r="AD164" s="72">
        <f t="shared" si="56"/>
        <v>107.45570810957275</v>
      </c>
      <c r="AE164" s="73">
        <f t="shared" si="63"/>
        <v>907.92027688745009</v>
      </c>
      <c r="AF164" s="73">
        <f>SUM(AE$2:AE164)</f>
        <v>136052.67994885604</v>
      </c>
      <c r="AG164" s="73">
        <f t="shared" si="64"/>
        <v>1037677.2224782532</v>
      </c>
    </row>
    <row r="165" spans="1:33" x14ac:dyDescent="0.25">
      <c r="A165" s="99">
        <v>110999.92</v>
      </c>
      <c r="B165" s="96">
        <v>648.97919999999999</v>
      </c>
      <c r="C165" s="96">
        <v>0.6</v>
      </c>
      <c r="D165" s="80">
        <f t="shared" si="49"/>
        <v>100</v>
      </c>
      <c r="E165" s="81">
        <f t="shared" si="57"/>
        <v>6791.2436711181272</v>
      </c>
      <c r="F165" s="81">
        <f>SUM(E$2:E165)</f>
        <v>1023324.9165528354</v>
      </c>
      <c r="G165" s="43">
        <f t="shared" si="53"/>
        <v>1</v>
      </c>
      <c r="H165" s="78">
        <v>1</v>
      </c>
      <c r="I165" s="15">
        <f t="shared" si="58"/>
        <v>0.6</v>
      </c>
      <c r="J165" s="16">
        <f>VLOOKUP(G165,Inputs!$L$3:$P$15,5,FALSE)</f>
        <v>2000</v>
      </c>
      <c r="K165" s="16">
        <f t="shared" si="59"/>
        <v>1825</v>
      </c>
      <c r="L165" s="79">
        <f>Inputs!$P$8-B165</f>
        <v>289.21180000000004</v>
      </c>
      <c r="M165" s="79">
        <f>Inputs!$Q$8+L165*0.433</f>
        <v>1950.2287094000001</v>
      </c>
      <c r="N165" s="82">
        <f t="shared" si="60"/>
        <v>110999.92</v>
      </c>
      <c r="O165" s="83">
        <f t="shared" si="61"/>
        <v>648.97919999999999</v>
      </c>
      <c r="P165" s="84">
        <f>IF(O165="","",Inputs!$C$5-O165)</f>
        <v>176.20529999999997</v>
      </c>
      <c r="Q165" s="83">
        <f>IF(N165="","",TS!J165)</f>
        <v>2000</v>
      </c>
      <c r="R165" s="83">
        <f>IF(N165="","",TS!K165)</f>
        <v>1825</v>
      </c>
      <c r="S165" s="83">
        <f>Inputs!$H$5+TS!P165*0.4333</f>
        <v>1951.3154729399998</v>
      </c>
      <c r="T165" s="83">
        <f>Inputs!$G$5+TS!P165*0.4333</f>
        <v>1966.3154729399998</v>
      </c>
      <c r="U165" s="85">
        <f t="shared" si="62"/>
        <v>0.98315773646999993</v>
      </c>
      <c r="V165" s="86">
        <f>O165-MAX(O165:O177)</f>
        <v>0</v>
      </c>
      <c r="W165" s="86">
        <f t="shared" si="65"/>
        <v>0</v>
      </c>
      <c r="X165" s="86" t="e">
        <f>((PI()*((42-2*'Gen Calcs'!$E$13)^2)/4)/144)*(A208-#REF!)*(W165+14.7)/14.7</f>
        <v>#REF!</v>
      </c>
      <c r="Y165" s="86" t="e">
        <f t="shared" si="66"/>
        <v>#REF!</v>
      </c>
      <c r="Z165" s="86" t="e">
        <f t="shared" si="67"/>
        <v>#REF!</v>
      </c>
      <c r="AA165" s="83">
        <f>MAX(B$2:B165)-B165</f>
        <v>176.20529999999997</v>
      </c>
      <c r="AB165" s="83">
        <f t="shared" si="54"/>
        <v>76.296894899999984</v>
      </c>
      <c r="AC165" s="83">
        <f t="shared" si="55"/>
        <v>107.54980929105338</v>
      </c>
      <c r="AD165" s="72">
        <f t="shared" si="56"/>
        <v>107.54980929105338</v>
      </c>
      <c r="AE165" s="73">
        <f t="shared" si="63"/>
        <v>907.92027688745009</v>
      </c>
      <c r="AF165" s="73">
        <f>SUM(AE$2:AE165)</f>
        <v>136960.60022574349</v>
      </c>
      <c r="AG165" s="73">
        <f t="shared" si="64"/>
        <v>1036769.3022013657</v>
      </c>
    </row>
    <row r="166" spans="1:33" x14ac:dyDescent="0.25">
      <c r="A166" s="100">
        <v>111099.92</v>
      </c>
      <c r="B166" s="97">
        <v>648.69200000000001</v>
      </c>
      <c r="C166" s="97">
        <v>0.6</v>
      </c>
      <c r="D166" s="80">
        <f t="shared" si="49"/>
        <v>100</v>
      </c>
      <c r="E166" s="81">
        <f t="shared" si="57"/>
        <v>6791.2436711181272</v>
      </c>
      <c r="F166" s="81">
        <f>SUM(E$2:E166)</f>
        <v>1030116.1602239535</v>
      </c>
      <c r="G166" s="43">
        <f t="shared" si="53"/>
        <v>1</v>
      </c>
      <c r="H166" s="78">
        <v>1</v>
      </c>
      <c r="I166" s="15">
        <f t="shared" si="58"/>
        <v>0.6</v>
      </c>
      <c r="J166" s="16">
        <f>VLOOKUP(G166,Inputs!$L$3:$P$15,5,FALSE)</f>
        <v>2000</v>
      </c>
      <c r="K166" s="16">
        <f t="shared" si="59"/>
        <v>1825</v>
      </c>
      <c r="L166" s="79">
        <f>Inputs!$P$8-B166</f>
        <v>289.49900000000002</v>
      </c>
      <c r="M166" s="79">
        <f>Inputs!$Q$8+L166*0.433</f>
        <v>1950.353067</v>
      </c>
      <c r="N166" s="82">
        <f t="shared" si="60"/>
        <v>111099.92</v>
      </c>
      <c r="O166" s="83">
        <f t="shared" si="61"/>
        <v>648.69200000000001</v>
      </c>
      <c r="P166" s="84">
        <f>IF(O166="","",Inputs!$C$5-O166)</f>
        <v>176.49249999999995</v>
      </c>
      <c r="Q166" s="83">
        <f>IF(N166="","",TS!J166)</f>
        <v>2000</v>
      </c>
      <c r="R166" s="83">
        <f>IF(N166="","",TS!K166)</f>
        <v>1825</v>
      </c>
      <c r="S166" s="83">
        <f>Inputs!$H$5+TS!P166*0.4333</f>
        <v>1951.4399166999999</v>
      </c>
      <c r="T166" s="83">
        <f>Inputs!$G$5+TS!P166*0.4333</f>
        <v>1966.4399166999999</v>
      </c>
      <c r="U166" s="85">
        <f t="shared" si="62"/>
        <v>0.98321995834999998</v>
      </c>
      <c r="V166" s="86">
        <f>O166-MAX(O166:O177)</f>
        <v>0</v>
      </c>
      <c r="W166" s="86">
        <f t="shared" si="65"/>
        <v>0</v>
      </c>
      <c r="X166" s="86" t="e">
        <f>((PI()*((42-2*'Gen Calcs'!$E$13)^2)/4)/144)*(A209-#REF!)*(W166+14.7)/14.7</f>
        <v>#REF!</v>
      </c>
      <c r="Y166" s="86" t="e">
        <f t="shared" si="66"/>
        <v>#REF!</v>
      </c>
      <c r="Z166" s="86" t="e">
        <f t="shared" si="67"/>
        <v>#REF!</v>
      </c>
      <c r="AA166" s="83">
        <f>MAX(B$2:B166)-B166</f>
        <v>176.49249999999995</v>
      </c>
      <c r="AB166" s="83">
        <f t="shared" si="54"/>
        <v>76.42125249999998</v>
      </c>
      <c r="AC166" s="83">
        <f t="shared" si="55"/>
        <v>107.64407542968412</v>
      </c>
      <c r="AD166" s="72">
        <f t="shared" si="56"/>
        <v>107.64407542968412</v>
      </c>
      <c r="AE166" s="73">
        <f t="shared" si="63"/>
        <v>907.92027688745009</v>
      </c>
      <c r="AF166" s="73">
        <f>SUM(AE$2:AE166)</f>
        <v>137868.52050263094</v>
      </c>
      <c r="AG166" s="73">
        <f t="shared" si="64"/>
        <v>1035861.3819244782</v>
      </c>
    </row>
    <row r="167" spans="1:33" x14ac:dyDescent="0.25">
      <c r="A167" s="99">
        <v>111199.92</v>
      </c>
      <c r="B167" s="96">
        <v>648.42679999999996</v>
      </c>
      <c r="C167" s="96">
        <v>0.6</v>
      </c>
      <c r="D167" s="80">
        <f t="shared" si="49"/>
        <v>100</v>
      </c>
      <c r="E167" s="81">
        <f t="shared" si="57"/>
        <v>6616.6076625842816</v>
      </c>
      <c r="F167" s="81">
        <f>SUM(E$2:E167)</f>
        <v>1036732.7678865378</v>
      </c>
      <c r="G167" s="43">
        <f t="shared" si="53"/>
        <v>1</v>
      </c>
      <c r="H167" s="78">
        <v>1</v>
      </c>
      <c r="I167" s="15">
        <f t="shared" si="58"/>
        <v>0.6</v>
      </c>
      <c r="J167" s="16">
        <f>VLOOKUP(G167,Inputs!$L$3:$P$15,5,FALSE)</f>
        <v>2000</v>
      </c>
      <c r="K167" s="16">
        <f t="shared" si="59"/>
        <v>1825</v>
      </c>
      <c r="L167" s="79">
        <f>Inputs!$P$8-B167</f>
        <v>289.76420000000007</v>
      </c>
      <c r="M167" s="79">
        <f>Inputs!$Q$8+L167*0.433</f>
        <v>1950.4678986000001</v>
      </c>
      <c r="N167" s="82">
        <f t="shared" si="60"/>
        <v>111199.92</v>
      </c>
      <c r="O167" s="83">
        <f t="shared" si="61"/>
        <v>648.42679999999996</v>
      </c>
      <c r="P167" s="84">
        <f>IF(O167="","",Inputs!$C$5-O167)</f>
        <v>176.7577</v>
      </c>
      <c r="Q167" s="83">
        <f>IF(N167="","",TS!J167)</f>
        <v>2000</v>
      </c>
      <c r="R167" s="83">
        <f>IF(N167="","",TS!K167)</f>
        <v>1825</v>
      </c>
      <c r="S167" s="83">
        <f>Inputs!$H$5+TS!P167*0.4333</f>
        <v>1951.5548278599999</v>
      </c>
      <c r="T167" s="83">
        <f>Inputs!$G$5+TS!P167*0.4333</f>
        <v>1966.5548278599999</v>
      </c>
      <c r="U167" s="85">
        <f t="shared" si="62"/>
        <v>0.98327741393000001</v>
      </c>
      <c r="V167" s="86">
        <f>O167-MAX(O167:O177)</f>
        <v>-7.260000000007949E-2</v>
      </c>
      <c r="W167" s="86">
        <f t="shared" si="65"/>
        <v>3.1435800000034417E-2</v>
      </c>
      <c r="X167" s="86" t="e">
        <f>((PI()*((42-2*'Gen Calcs'!$E$13)^2)/4)/144)*(A210-#REF!)*(W167+14.7)/14.7</f>
        <v>#REF!</v>
      </c>
      <c r="Y167" s="86" t="e">
        <f t="shared" si="66"/>
        <v>#REF!</v>
      </c>
      <c r="Z167" s="86" t="e">
        <f t="shared" si="67"/>
        <v>#REF!</v>
      </c>
      <c r="AA167" s="83">
        <f>MAX(B$2:B167)-B167</f>
        <v>176.7577</v>
      </c>
      <c r="AB167" s="83">
        <f t="shared" si="54"/>
        <v>76.536084099999997</v>
      </c>
      <c r="AC167" s="83">
        <f t="shared" si="55"/>
        <v>107.73850695959449</v>
      </c>
      <c r="AD167" s="72">
        <f t="shared" si="56"/>
        <v>107.73850695959449</v>
      </c>
      <c r="AE167" s="73">
        <f t="shared" si="63"/>
        <v>907.92027688745009</v>
      </c>
      <c r="AF167" s="73">
        <f>SUM(AE$2:AE167)</f>
        <v>138776.44077951839</v>
      </c>
      <c r="AG167" s="73">
        <f t="shared" si="64"/>
        <v>1034953.4616475909</v>
      </c>
    </row>
    <row r="168" spans="1:33" x14ac:dyDescent="0.25">
      <c r="A168" s="100">
        <v>111299.92</v>
      </c>
      <c r="B168" s="97">
        <v>648.23710000000005</v>
      </c>
      <c r="C168" s="97">
        <v>0.6</v>
      </c>
      <c r="D168" s="80">
        <f t="shared" si="49"/>
        <v>100</v>
      </c>
      <c r="E168" s="81">
        <f t="shared" si="57"/>
        <v>6791.2436711181272</v>
      </c>
      <c r="F168" s="81">
        <f>SUM(E$2:E168)</f>
        <v>1043524.011557656</v>
      </c>
      <c r="G168" s="43">
        <f t="shared" si="53"/>
        <v>1</v>
      </c>
      <c r="H168" s="78">
        <v>1</v>
      </c>
      <c r="I168" s="15">
        <f t="shared" si="58"/>
        <v>0.6</v>
      </c>
      <c r="J168" s="16">
        <f>VLOOKUP(G168,Inputs!$L$3:$P$15,5,FALSE)</f>
        <v>2000</v>
      </c>
      <c r="K168" s="16">
        <f t="shared" si="59"/>
        <v>1825</v>
      </c>
      <c r="L168" s="79">
        <f>Inputs!$P$8-B168</f>
        <v>289.95389999999998</v>
      </c>
      <c r="M168" s="79">
        <f>Inputs!$Q$8+L168*0.433</f>
        <v>1950.5500387</v>
      </c>
      <c r="N168" s="82">
        <f t="shared" si="60"/>
        <v>111299.92</v>
      </c>
      <c r="O168" s="83">
        <f t="shared" si="61"/>
        <v>648.23710000000005</v>
      </c>
      <c r="P168" s="84">
        <f>IF(O168="","",Inputs!$C$5-O168)</f>
        <v>176.9473999999999</v>
      </c>
      <c r="Q168" s="83">
        <f>IF(N168="","",TS!J168)</f>
        <v>2000</v>
      </c>
      <c r="R168" s="83">
        <f>IF(N168="","",TS!K168)</f>
        <v>1825</v>
      </c>
      <c r="S168" s="83">
        <f>Inputs!$H$5+TS!P168*0.4333</f>
        <v>1951.63702487</v>
      </c>
      <c r="T168" s="83">
        <f>Inputs!$G$5+TS!P168*0.4333</f>
        <v>1966.63702487</v>
      </c>
      <c r="U168" s="85">
        <f t="shared" si="62"/>
        <v>0.98331851243500001</v>
      </c>
      <c r="V168" s="86">
        <f>O168-MAX(O168:O177)</f>
        <v>-0.26229999999998199</v>
      </c>
      <c r="W168" s="86">
        <f t="shared" si="65"/>
        <v>0.11357589999999221</v>
      </c>
      <c r="X168" s="86" t="e">
        <f>((PI()*((42-2*'Gen Calcs'!$E$13)^2)/4)/144)*(A211-#REF!)*(W168+14.7)/14.7</f>
        <v>#REF!</v>
      </c>
      <c r="Y168" s="86" t="e">
        <f t="shared" si="66"/>
        <v>#REF!</v>
      </c>
      <c r="Z168" s="86" t="e">
        <f t="shared" si="67"/>
        <v>#REF!</v>
      </c>
      <c r="AA168" s="83">
        <f>MAX(B$2:B168)-B168</f>
        <v>176.9473999999999</v>
      </c>
      <c r="AB168" s="83">
        <f t="shared" si="54"/>
        <v>76.618224199999958</v>
      </c>
      <c r="AC168" s="83">
        <f t="shared" si="55"/>
        <v>107.83310431643868</v>
      </c>
      <c r="AD168" s="72">
        <f t="shared" si="56"/>
        <v>107.83310431643868</v>
      </c>
      <c r="AE168" s="73">
        <f t="shared" si="63"/>
        <v>907.92027688745009</v>
      </c>
      <c r="AF168" s="73">
        <f>SUM(AE$2:AE168)</f>
        <v>139684.36105640585</v>
      </c>
      <c r="AG168" s="73">
        <f t="shared" si="64"/>
        <v>1034045.5413707034</v>
      </c>
    </row>
    <row r="169" spans="1:33" x14ac:dyDescent="0.25">
      <c r="A169" s="99">
        <v>111399.92</v>
      </c>
      <c r="B169" s="96">
        <v>648.08339999999998</v>
      </c>
      <c r="C169" s="96">
        <v>0.6</v>
      </c>
      <c r="D169" s="80">
        <f t="shared" si="49"/>
        <v>100</v>
      </c>
      <c r="E169" s="81">
        <f t="shared" si="57"/>
        <v>6616.6076625842816</v>
      </c>
      <c r="F169" s="81">
        <f>SUM(E$2:E169)</f>
        <v>1050140.6192202403</v>
      </c>
      <c r="G169" s="43">
        <f t="shared" si="53"/>
        <v>1</v>
      </c>
      <c r="H169" s="78">
        <v>1</v>
      </c>
      <c r="I169" s="15">
        <f t="shared" si="58"/>
        <v>0.6</v>
      </c>
      <c r="J169" s="16">
        <f>VLOOKUP(G169,Inputs!$L$3:$P$15,5,FALSE)</f>
        <v>2000</v>
      </c>
      <c r="K169" s="16">
        <f t="shared" si="59"/>
        <v>1825</v>
      </c>
      <c r="L169" s="79">
        <f>Inputs!$P$8-B169</f>
        <v>290.10760000000005</v>
      </c>
      <c r="M169" s="79">
        <f>Inputs!$Q$8+L169*0.433</f>
        <v>1950.6165908</v>
      </c>
      <c r="N169" s="82">
        <f t="shared" si="60"/>
        <v>111399.92</v>
      </c>
      <c r="O169" s="83">
        <f t="shared" si="61"/>
        <v>648.08339999999998</v>
      </c>
      <c r="P169" s="84">
        <f>IF(O169="","",Inputs!$C$5-O169)</f>
        <v>177.10109999999997</v>
      </c>
      <c r="Q169" s="83">
        <f>IF(N169="","",TS!J169)</f>
        <v>2000</v>
      </c>
      <c r="R169" s="83">
        <f>IF(N169="","",TS!K169)</f>
        <v>1825</v>
      </c>
      <c r="S169" s="83">
        <f>Inputs!$H$5+TS!P169*0.4333</f>
        <v>1951.7036230799999</v>
      </c>
      <c r="T169" s="83">
        <f>Inputs!$G$5+TS!P169*0.4333</f>
        <v>1966.7036230799999</v>
      </c>
      <c r="U169" s="85">
        <f t="shared" si="62"/>
        <v>0.98335181153999995</v>
      </c>
      <c r="V169" s="86">
        <f>O169-MAX(O169:O177)</f>
        <v>-0.41600000000005366</v>
      </c>
      <c r="W169" s="86">
        <f t="shared" si="65"/>
        <v>0.18012800000002324</v>
      </c>
      <c r="X169" s="86" t="e">
        <f>((PI()*((42-2*'Gen Calcs'!$E$13)^2)/4)/144)*(A212-#REF!)*(W169+14.7)/14.7</f>
        <v>#REF!</v>
      </c>
      <c r="Y169" s="86" t="e">
        <f t="shared" si="66"/>
        <v>#REF!</v>
      </c>
      <c r="Z169" s="86" t="e">
        <f t="shared" si="67"/>
        <v>#REF!</v>
      </c>
      <c r="AA169" s="83">
        <f>MAX(B$2:B169)-B169</f>
        <v>177.10109999999997</v>
      </c>
      <c r="AB169" s="83">
        <f t="shared" si="54"/>
        <v>76.684776299999982</v>
      </c>
      <c r="AC169" s="83">
        <f t="shared" si="55"/>
        <v>107.92786793740233</v>
      </c>
      <c r="AD169" s="72">
        <f t="shared" si="56"/>
        <v>107.92786793740233</v>
      </c>
      <c r="AE169" s="73">
        <f t="shared" si="63"/>
        <v>907.92027688745009</v>
      </c>
      <c r="AF169" s="73">
        <f>SUM(AE$2:AE169)</f>
        <v>140592.2813332933</v>
      </c>
      <c r="AG169" s="73">
        <f t="shared" si="64"/>
        <v>1033137.6210938159</v>
      </c>
    </row>
    <row r="170" spans="1:33" x14ac:dyDescent="0.25">
      <c r="A170" s="100">
        <v>111499.92</v>
      </c>
      <c r="B170" s="97">
        <v>648.49940000000004</v>
      </c>
      <c r="C170" s="97">
        <v>0.6</v>
      </c>
      <c r="D170" s="80">
        <f t="shared" si="49"/>
        <v>100</v>
      </c>
      <c r="E170" s="81">
        <f t="shared" si="57"/>
        <v>6791.2436711181272</v>
      </c>
      <c r="F170" s="81">
        <f>SUM(E$2:E170)</f>
        <v>1056931.8628913583</v>
      </c>
      <c r="G170" s="43">
        <f t="shared" si="53"/>
        <v>1</v>
      </c>
      <c r="H170" s="78">
        <v>1</v>
      </c>
      <c r="I170" s="15">
        <f t="shared" si="58"/>
        <v>0.6</v>
      </c>
      <c r="J170" s="16">
        <f>VLOOKUP(G170,Inputs!$L$3:$P$15,5,FALSE)</f>
        <v>2000</v>
      </c>
      <c r="K170" s="16">
        <f t="shared" si="59"/>
        <v>1825</v>
      </c>
      <c r="L170" s="79">
        <f>Inputs!$P$8-B170</f>
        <v>289.69159999999999</v>
      </c>
      <c r="M170" s="79">
        <f>Inputs!$Q$8+L170*0.433</f>
        <v>1950.4364628000001</v>
      </c>
      <c r="N170" s="82">
        <f t="shared" si="60"/>
        <v>111499.92</v>
      </c>
      <c r="O170" s="83">
        <f t="shared" si="61"/>
        <v>648.49940000000004</v>
      </c>
      <c r="P170" s="84">
        <f>IF(O170="","",Inputs!$C$5-O170)</f>
        <v>176.68509999999992</v>
      </c>
      <c r="Q170" s="83">
        <f>IF(N170="","",TS!J170)</f>
        <v>2000</v>
      </c>
      <c r="R170" s="83">
        <f>IF(N170="","",TS!K170)</f>
        <v>1825</v>
      </c>
      <c r="S170" s="83">
        <f>Inputs!$H$5+TS!P170*0.4333</f>
        <v>1951.5233702799999</v>
      </c>
      <c r="T170" s="83">
        <f>Inputs!$G$5+TS!P170*0.4333</f>
        <v>1966.5233702799999</v>
      </c>
      <c r="U170" s="85">
        <f t="shared" si="62"/>
        <v>0.9832616851399999</v>
      </c>
      <c r="V170" s="86">
        <f>O170-MAX(O170:O177)</f>
        <v>0</v>
      </c>
      <c r="W170" s="86">
        <f t="shared" si="65"/>
        <v>0</v>
      </c>
      <c r="X170" s="86" t="e">
        <f>((PI()*((42-2*'Gen Calcs'!$E$13)^2)/4)/144)*(A213-#REF!)*(W170+14.7)/14.7</f>
        <v>#REF!</v>
      </c>
      <c r="Y170" s="86" t="e">
        <f t="shared" si="66"/>
        <v>#REF!</v>
      </c>
      <c r="Z170" s="86" t="e">
        <f t="shared" si="67"/>
        <v>#REF!</v>
      </c>
      <c r="AA170" s="83">
        <f>MAX(B$2:B170)-B170</f>
        <v>176.68509999999992</v>
      </c>
      <c r="AB170" s="83">
        <f t="shared" si="54"/>
        <v>76.504648299999971</v>
      </c>
      <c r="AC170" s="83">
        <f t="shared" si="55"/>
        <v>108.02279826120918</v>
      </c>
      <c r="AD170" s="72">
        <f t="shared" si="56"/>
        <v>108.02279826120918</v>
      </c>
      <c r="AE170" s="73">
        <f t="shared" si="63"/>
        <v>907.92027688745009</v>
      </c>
      <c r="AF170" s="73">
        <f>SUM(AE$2:AE170)</f>
        <v>141500.20161018075</v>
      </c>
      <c r="AG170" s="73">
        <f t="shared" si="64"/>
        <v>1032229.7008169284</v>
      </c>
    </row>
    <row r="171" spans="1:33" x14ac:dyDescent="0.25">
      <c r="A171" s="99">
        <v>111599.92</v>
      </c>
      <c r="B171" s="96">
        <v>648.27560000000005</v>
      </c>
      <c r="C171" s="96">
        <v>0.6</v>
      </c>
      <c r="D171" s="80">
        <f t="shared" si="49"/>
        <v>100</v>
      </c>
      <c r="E171" s="81">
        <f t="shared" si="57"/>
        <v>6791.2436711181272</v>
      </c>
      <c r="F171" s="81">
        <f>SUM(E$2:E171)</f>
        <v>1063723.1065624764</v>
      </c>
      <c r="G171" s="43">
        <f t="shared" si="53"/>
        <v>1</v>
      </c>
      <c r="H171" s="78">
        <v>1</v>
      </c>
      <c r="I171" s="15">
        <f t="shared" si="58"/>
        <v>0.6</v>
      </c>
      <c r="J171" s="16">
        <f>VLOOKUP(G171,Inputs!$L$3:$P$15,5,FALSE)</f>
        <v>2000</v>
      </c>
      <c r="K171" s="16">
        <f t="shared" si="59"/>
        <v>1825</v>
      </c>
      <c r="L171" s="79">
        <f>Inputs!$P$8-B171</f>
        <v>289.91539999999998</v>
      </c>
      <c r="M171" s="79">
        <f>Inputs!$Q$8+L171*0.433</f>
        <v>1950.5333682</v>
      </c>
      <c r="N171" s="82">
        <f t="shared" si="60"/>
        <v>111599.92</v>
      </c>
      <c r="O171" s="83">
        <f t="shared" si="61"/>
        <v>648.27560000000005</v>
      </c>
      <c r="P171" s="84">
        <f>IF(O171="","",Inputs!$C$5-O171)</f>
        <v>176.9088999999999</v>
      </c>
      <c r="Q171" s="83">
        <f>IF(N171="","",TS!J171)</f>
        <v>2000</v>
      </c>
      <c r="R171" s="83">
        <f>IF(N171="","",TS!K171)</f>
        <v>1825</v>
      </c>
      <c r="S171" s="83">
        <f>Inputs!$H$5+TS!P171*0.4333</f>
        <v>1951.6203428199999</v>
      </c>
      <c r="T171" s="83">
        <f>Inputs!$G$5+TS!P171*0.4333</f>
        <v>1966.6203428199999</v>
      </c>
      <c r="U171" s="85">
        <f t="shared" si="62"/>
        <v>0.98331017140999999</v>
      </c>
      <c r="V171" s="86">
        <f>O171-MAX(O171:O177)</f>
        <v>0</v>
      </c>
      <c r="W171" s="86">
        <f t="shared" si="65"/>
        <v>0</v>
      </c>
      <c r="X171" s="86" t="e">
        <f>((PI()*((42-2*'Gen Calcs'!$E$13)^2)/4)/144)*(A214-#REF!)*(W171+14.7)/14.7</f>
        <v>#REF!</v>
      </c>
      <c r="Y171" s="86" t="e">
        <f t="shared" si="66"/>
        <v>#REF!</v>
      </c>
      <c r="Z171" s="86" t="e">
        <f t="shared" si="67"/>
        <v>#REF!</v>
      </c>
      <c r="AA171" s="83">
        <f>MAX(B$2:B171)-B171</f>
        <v>176.9088999999999</v>
      </c>
      <c r="AB171" s="83">
        <f t="shared" si="54"/>
        <v>76.601553699999954</v>
      </c>
      <c r="AC171" s="83">
        <f t="shared" si="55"/>
        <v>108.11789572812792</v>
      </c>
      <c r="AD171" s="72">
        <f t="shared" si="56"/>
        <v>108.11789572812792</v>
      </c>
      <c r="AE171" s="73">
        <f t="shared" si="63"/>
        <v>907.92027688745009</v>
      </c>
      <c r="AF171" s="73">
        <f>SUM(AE$2:AE171)</f>
        <v>142408.12188706821</v>
      </c>
      <c r="AG171" s="73">
        <f t="shared" si="64"/>
        <v>1031321.7805400409</v>
      </c>
    </row>
    <row r="172" spans="1:33" s="73" customFormat="1" x14ac:dyDescent="0.25">
      <c r="A172" s="100">
        <v>111699.92</v>
      </c>
      <c r="B172" s="97">
        <v>647.3759</v>
      </c>
      <c r="C172" s="97">
        <v>0.6</v>
      </c>
      <c r="D172" s="80">
        <f t="shared" si="49"/>
        <v>100</v>
      </c>
      <c r="E172" s="81">
        <f t="shared" si="57"/>
        <v>6791.2436711181272</v>
      </c>
      <c r="F172" s="81">
        <f>SUM(E$2:E172)</f>
        <v>1070514.3502335944</v>
      </c>
      <c r="G172" s="43">
        <f t="shared" si="53"/>
        <v>1</v>
      </c>
      <c r="H172" s="78">
        <v>1</v>
      </c>
      <c r="I172" s="15">
        <f t="shared" si="58"/>
        <v>0.6</v>
      </c>
      <c r="J172" s="16">
        <f>VLOOKUP(G172,Inputs!$L$3:$P$15,5,FALSE)</f>
        <v>2000</v>
      </c>
      <c r="K172" s="16">
        <f t="shared" si="59"/>
        <v>1825</v>
      </c>
      <c r="L172" s="79">
        <f>Inputs!$P$8-B172</f>
        <v>290.81510000000003</v>
      </c>
      <c r="M172" s="79">
        <f>Inputs!$Q$8+L172*0.433</f>
        <v>1950.9229382999999</v>
      </c>
      <c r="N172" s="82">
        <f t="shared" si="60"/>
        <v>111699.92</v>
      </c>
      <c r="O172" s="83">
        <f t="shared" si="61"/>
        <v>647.3759</v>
      </c>
      <c r="P172" s="84">
        <f>IF(O172="","",Inputs!$C$5-O172)</f>
        <v>177.80859999999996</v>
      </c>
      <c r="Q172" s="83">
        <f>IF(N172="","",TS!J172)</f>
        <v>2000</v>
      </c>
      <c r="R172" s="83">
        <f>IF(N172="","",TS!K172)</f>
        <v>1825</v>
      </c>
      <c r="S172" s="83">
        <f>Inputs!$H$5+TS!P172*0.4333</f>
        <v>1952.0101828299998</v>
      </c>
      <c r="T172" s="83">
        <f>Inputs!$G$5+TS!P172*0.4333</f>
        <v>1967.0101828299998</v>
      </c>
      <c r="U172" s="85">
        <f t="shared" si="62"/>
        <v>0.98350509141499998</v>
      </c>
      <c r="V172" s="86">
        <f>O172-MAX(O172:O177)</f>
        <v>-0.1290000000000191</v>
      </c>
      <c r="W172" s="86">
        <f t="shared" si="65"/>
        <v>5.5857000000008268E-2</v>
      </c>
      <c r="X172" s="86" t="e">
        <f>((PI()*((42-2*'Gen Calcs'!$E$13)^2)/4)/144)*(A215-#REF!)*(W172+14.7)/14.7</f>
        <v>#REF!</v>
      </c>
      <c r="Y172" s="86" t="e">
        <f t="shared" si="66"/>
        <v>#REF!</v>
      </c>
      <c r="Z172" s="86" t="e">
        <f t="shared" si="67"/>
        <v>#REF!</v>
      </c>
      <c r="AA172" s="83">
        <f>MAX(B$2:B172)-B172</f>
        <v>177.80859999999996</v>
      </c>
      <c r="AB172" s="83">
        <f t="shared" si="54"/>
        <v>76.991123799999983</v>
      </c>
      <c r="AC172" s="83">
        <f t="shared" si="55"/>
        <v>108.21316077997892</v>
      </c>
      <c r="AD172" s="72">
        <f t="shared" si="56"/>
        <v>108.21316077997892</v>
      </c>
      <c r="AE172" s="73">
        <f t="shared" si="63"/>
        <v>907.92027688745009</v>
      </c>
      <c r="AF172" s="73">
        <f>SUM(AE$2:AE172)</f>
        <v>143316.04216395566</v>
      </c>
      <c r="AG172" s="73">
        <f t="shared" si="64"/>
        <v>1030413.8602631536</v>
      </c>
    </row>
    <row r="173" spans="1:33" x14ac:dyDescent="0.25">
      <c r="A173" s="99">
        <v>111799.92</v>
      </c>
      <c r="B173" s="96">
        <v>647.50490000000002</v>
      </c>
      <c r="C173" s="96">
        <v>0.6</v>
      </c>
      <c r="D173" s="80">
        <f t="shared" si="49"/>
        <v>100</v>
      </c>
      <c r="E173" s="81">
        <f t="shared" si="57"/>
        <v>6791.2436711181272</v>
      </c>
      <c r="F173" s="81">
        <f>SUM(E$2:E173)</f>
        <v>1077305.5939047125</v>
      </c>
      <c r="G173" s="43">
        <f t="shared" si="53"/>
        <v>1</v>
      </c>
      <c r="H173" s="78">
        <v>1</v>
      </c>
      <c r="I173" s="15">
        <f t="shared" si="58"/>
        <v>0.6</v>
      </c>
      <c r="J173" s="16">
        <f>VLOOKUP(G173,Inputs!$L$3:$P$15,5,FALSE)</f>
        <v>2000</v>
      </c>
      <c r="K173" s="16">
        <f t="shared" si="59"/>
        <v>1825</v>
      </c>
      <c r="L173" s="79">
        <f>Inputs!$P$8-B173</f>
        <v>290.68610000000001</v>
      </c>
      <c r="M173" s="79">
        <f>Inputs!$Q$8+L173*0.433</f>
        <v>1950.8670813000001</v>
      </c>
      <c r="N173" s="82">
        <f t="shared" si="60"/>
        <v>111799.92</v>
      </c>
      <c r="O173" s="83">
        <f t="shared" si="61"/>
        <v>647.50490000000002</v>
      </c>
      <c r="P173" s="84">
        <f>IF(O173="","",Inputs!$C$5-O173)</f>
        <v>177.67959999999994</v>
      </c>
      <c r="Q173" s="83">
        <f>IF(N173="","",TS!J173)</f>
        <v>2000</v>
      </c>
      <c r="R173" s="83">
        <f>IF(N173="","",TS!K173)</f>
        <v>1825</v>
      </c>
      <c r="S173" s="83">
        <f>Inputs!$H$5+TS!P173*0.4333</f>
        <v>1951.95428713</v>
      </c>
      <c r="T173" s="83">
        <f>Inputs!$G$5+TS!P173*0.4333</f>
        <v>1966.95428713</v>
      </c>
      <c r="U173" s="85">
        <f t="shared" si="62"/>
        <v>0.98347714356500004</v>
      </c>
      <c r="V173" s="86">
        <f>O173-MAX(O173:O177)</f>
        <v>0</v>
      </c>
      <c r="W173" s="86">
        <f t="shared" si="65"/>
        <v>0</v>
      </c>
      <c r="X173" s="86" t="e">
        <f>((PI()*((42-2*'Gen Calcs'!$E$13)^2)/4)/144)*(A216-#REF!)*(W173+14.7)/14.7</f>
        <v>#REF!</v>
      </c>
      <c r="Y173" s="86" t="e">
        <f t="shared" si="66"/>
        <v>#REF!</v>
      </c>
      <c r="Z173" s="86" t="e">
        <f t="shared" si="67"/>
        <v>#REF!</v>
      </c>
      <c r="AA173" s="83">
        <f>MAX(B$2:B173)-B173</f>
        <v>177.67959999999994</v>
      </c>
      <c r="AB173" s="83">
        <f t="shared" si="54"/>
        <v>76.935266799999965</v>
      </c>
      <c r="AC173" s="83">
        <f t="shared" si="55"/>
        <v>108.30859386014117</v>
      </c>
      <c r="AD173" s="72">
        <f t="shared" si="56"/>
        <v>108.30859386014117</v>
      </c>
      <c r="AE173" s="73">
        <f t="shared" si="63"/>
        <v>907.92027688745009</v>
      </c>
      <c r="AF173" s="73">
        <f>SUM(AE$2:AE173)</f>
        <v>144223.96244084311</v>
      </c>
      <c r="AG173" s="73">
        <f t="shared" si="64"/>
        <v>1029505.9399862661</v>
      </c>
    </row>
    <row r="174" spans="1:33" x14ac:dyDescent="0.25">
      <c r="A174" s="100">
        <v>111899.92</v>
      </c>
      <c r="B174" s="97">
        <v>647.36900000000003</v>
      </c>
      <c r="C174" s="97">
        <v>0.6</v>
      </c>
      <c r="D174" s="80">
        <f t="shared" si="49"/>
        <v>100</v>
      </c>
      <c r="E174" s="81">
        <f t="shared" si="57"/>
        <v>6791.2436711181272</v>
      </c>
      <c r="F174" s="81">
        <f>SUM(E$2:E174)</f>
        <v>1084096.8375758305</v>
      </c>
      <c r="G174" s="43">
        <f t="shared" si="53"/>
        <v>1</v>
      </c>
      <c r="H174" s="78">
        <v>1</v>
      </c>
      <c r="I174" s="15">
        <f t="shared" si="58"/>
        <v>0.6</v>
      </c>
      <c r="J174" s="16">
        <f>VLOOKUP(G174,Inputs!$L$3:$P$15,5,FALSE)</f>
        <v>2000</v>
      </c>
      <c r="K174" s="16">
        <f t="shared" si="59"/>
        <v>1825</v>
      </c>
      <c r="L174" s="79">
        <f>Inputs!$P$8-B174</f>
        <v>290.822</v>
      </c>
      <c r="M174" s="79">
        <f>Inputs!$Q$8+L174*0.433</f>
        <v>1950.9259259999999</v>
      </c>
      <c r="N174" s="82">
        <f t="shared" si="60"/>
        <v>111899.92</v>
      </c>
      <c r="O174" s="83">
        <f t="shared" si="61"/>
        <v>647.36900000000003</v>
      </c>
      <c r="P174" s="84">
        <f>IF(O174="","",Inputs!$C$5-O174)</f>
        <v>177.81549999999993</v>
      </c>
      <c r="Q174" s="83">
        <f>IF(N174="","",TS!J174)</f>
        <v>2000</v>
      </c>
      <c r="R174" s="83">
        <f>IF(N174="","",TS!K174)</f>
        <v>1825</v>
      </c>
      <c r="S174" s="83">
        <f>Inputs!$H$5+TS!P174*0.4333</f>
        <v>1952.0131726</v>
      </c>
      <c r="T174" s="83">
        <f>Inputs!$G$5+TS!P174*0.4333</f>
        <v>1967.0131726</v>
      </c>
      <c r="U174" s="85">
        <f t="shared" si="62"/>
        <v>0.98350658629999999</v>
      </c>
      <c r="V174" s="86">
        <f>O174-MAX(O174:O177)</f>
        <v>0</v>
      </c>
      <c r="W174" s="86">
        <f t="shared" si="65"/>
        <v>0</v>
      </c>
      <c r="X174" s="86" t="e">
        <f>((PI()*((42-2*'Gen Calcs'!$E$13)^2)/4)/144)*(A217-#REF!)*(W174+14.7)/14.7</f>
        <v>#REF!</v>
      </c>
      <c r="Y174" s="86" t="e">
        <f t="shared" si="66"/>
        <v>#REF!</v>
      </c>
      <c r="Z174" s="86" t="e">
        <f t="shared" si="67"/>
        <v>#REF!</v>
      </c>
      <c r="AA174" s="83">
        <f>MAX(B$2:B174)-B174</f>
        <v>177.81549999999993</v>
      </c>
      <c r="AB174" s="83">
        <f t="shared" si="54"/>
        <v>76.994111499999974</v>
      </c>
      <c r="AC174" s="83">
        <f t="shared" si="55"/>
        <v>108.40419541355908</v>
      </c>
      <c r="AD174" s="72">
        <f t="shared" si="56"/>
        <v>108.40419541355908</v>
      </c>
      <c r="AE174" s="73">
        <f t="shared" si="63"/>
        <v>907.92027688745009</v>
      </c>
      <c r="AF174" s="73">
        <f>SUM(AE$2:AE174)</f>
        <v>145131.88271773056</v>
      </c>
      <c r="AG174" s="73">
        <f t="shared" si="64"/>
        <v>1028598.0197093786</v>
      </c>
    </row>
    <row r="175" spans="1:33" x14ac:dyDescent="0.25">
      <c r="A175" s="99">
        <v>111999.92</v>
      </c>
      <c r="B175" s="96">
        <v>647.28840000000002</v>
      </c>
      <c r="C175" s="96">
        <v>0.6</v>
      </c>
      <c r="D175" s="80">
        <f t="shared" si="49"/>
        <v>100</v>
      </c>
      <c r="E175" s="81">
        <f t="shared" si="57"/>
        <v>6791.2436711181272</v>
      </c>
      <c r="F175" s="81">
        <f>SUM(E$2:E175)</f>
        <v>1090888.0812469486</v>
      </c>
      <c r="G175" s="43">
        <f t="shared" si="53"/>
        <v>1</v>
      </c>
      <c r="H175" s="78">
        <v>1</v>
      </c>
      <c r="I175" s="15">
        <f t="shared" si="58"/>
        <v>0.6</v>
      </c>
      <c r="J175" s="16">
        <f>VLOOKUP(G175,Inputs!$L$3:$P$15,5,FALSE)</f>
        <v>2000</v>
      </c>
      <c r="K175" s="16">
        <f t="shared" si="59"/>
        <v>1825</v>
      </c>
      <c r="L175" s="79">
        <f>Inputs!$P$8-B175</f>
        <v>290.90260000000001</v>
      </c>
      <c r="M175" s="79">
        <f>Inputs!$Q$8+L175*0.433</f>
        <v>1950.9608258000001</v>
      </c>
      <c r="N175" s="82">
        <f t="shared" si="60"/>
        <v>111999.92</v>
      </c>
      <c r="O175" s="83">
        <f t="shared" si="61"/>
        <v>647.28840000000002</v>
      </c>
      <c r="P175" s="84">
        <f>IF(O175="","",Inputs!$C$5-O175)</f>
        <v>177.89609999999993</v>
      </c>
      <c r="Q175" s="83">
        <f>IF(N175="","",TS!J175)</f>
        <v>2000</v>
      </c>
      <c r="R175" s="83">
        <f>IF(N175="","",TS!K175)</f>
        <v>1825</v>
      </c>
      <c r="S175" s="83">
        <f>Inputs!$H$5+TS!P175*0.4333</f>
        <v>1952.04809658</v>
      </c>
      <c r="T175" s="83">
        <f>Inputs!$G$5+TS!P175*0.4333</f>
        <v>1967.04809658</v>
      </c>
      <c r="U175" s="85">
        <f t="shared" si="62"/>
        <v>0.98352404828999995</v>
      </c>
      <c r="V175" s="86">
        <f>O175-MAX(O175:O177)</f>
        <v>-9.7999999999274223E-3</v>
      </c>
      <c r="W175" s="86">
        <f t="shared" si="65"/>
        <v>4.2433999999685742E-3</v>
      </c>
      <c r="X175" s="86" t="e">
        <f>((PI()*((42-2*'Gen Calcs'!$E$13)^2)/4)/144)*(A218-#REF!)*(W175+14.7)/14.7</f>
        <v>#REF!</v>
      </c>
      <c r="Y175" s="86" t="e">
        <f t="shared" si="66"/>
        <v>#REF!</v>
      </c>
      <c r="Z175" s="86" t="e">
        <f t="shared" si="67"/>
        <v>#REF!</v>
      </c>
      <c r="AA175" s="83">
        <f>MAX(B$2:B175)-B175</f>
        <v>177.89609999999993</v>
      </c>
      <c r="AB175" s="83">
        <f t="shared" si="54"/>
        <v>77.029011299999965</v>
      </c>
      <c r="AC175" s="83">
        <f t="shared" si="55"/>
        <v>108.49996588674937</v>
      </c>
      <c r="AD175" s="72">
        <f t="shared" si="56"/>
        <v>108.49996588674937</v>
      </c>
      <c r="AE175" s="73">
        <f t="shared" si="63"/>
        <v>907.92027688745009</v>
      </c>
      <c r="AF175" s="73">
        <f>SUM(AE$2:AE175)</f>
        <v>146039.80299461802</v>
      </c>
      <c r="AG175" s="73">
        <f t="shared" si="64"/>
        <v>1027690.0994324912</v>
      </c>
    </row>
    <row r="176" spans="1:33" x14ac:dyDescent="0.25">
      <c r="A176" s="100">
        <v>112099.92</v>
      </c>
      <c r="B176" s="97">
        <v>647.28570000000002</v>
      </c>
      <c r="C176" s="97">
        <v>0.6</v>
      </c>
      <c r="D176" s="80">
        <f t="shared" ref="D176:D239" si="68">A176-A175</f>
        <v>100</v>
      </c>
      <c r="E176" s="81">
        <f t="shared" si="57"/>
        <v>6616.6076625842816</v>
      </c>
      <c r="F176" s="81">
        <f>SUM(E$2:E176)</f>
        <v>1097504.6889095327</v>
      </c>
      <c r="G176" s="43">
        <f t="shared" si="53"/>
        <v>1</v>
      </c>
      <c r="H176" s="78">
        <v>1</v>
      </c>
      <c r="I176" s="15">
        <f t="shared" si="58"/>
        <v>0.6</v>
      </c>
      <c r="J176" s="16">
        <f>VLOOKUP(G176,Inputs!$L$3:$P$15,5,FALSE)</f>
        <v>2000</v>
      </c>
      <c r="K176" s="16">
        <f t="shared" si="59"/>
        <v>1825</v>
      </c>
      <c r="L176" s="79">
        <f>Inputs!$P$8-B176</f>
        <v>290.90530000000001</v>
      </c>
      <c r="M176" s="79">
        <f>Inputs!$Q$8+L176*0.433</f>
        <v>1950.9619949</v>
      </c>
      <c r="N176" s="82">
        <f t="shared" si="60"/>
        <v>112099.92</v>
      </c>
      <c r="O176" s="83">
        <f t="shared" si="61"/>
        <v>647.28570000000002</v>
      </c>
      <c r="P176" s="84">
        <f>IF(O176="","",Inputs!$C$5-O176)</f>
        <v>177.89879999999994</v>
      </c>
      <c r="Q176" s="83">
        <f>IF(N176="","",TS!J176)</f>
        <v>2000</v>
      </c>
      <c r="R176" s="83">
        <f>IF(N176="","",TS!K176)</f>
        <v>1825</v>
      </c>
      <c r="S176" s="83">
        <f>Inputs!$H$5+TS!P176*0.4333</f>
        <v>1952.0492664899998</v>
      </c>
      <c r="T176" s="83">
        <f>Inputs!$G$5+TS!P176*0.4333</f>
        <v>1967.0492664899998</v>
      </c>
      <c r="U176" s="85">
        <f t="shared" si="62"/>
        <v>0.98352463324499995</v>
      </c>
      <c r="V176" s="86">
        <f>O176-MAX(O176:O177)</f>
        <v>-1.2499999999931788E-2</v>
      </c>
      <c r="W176" s="86">
        <f t="shared" si="65"/>
        <v>5.4124999999704644E-3</v>
      </c>
      <c r="X176" s="86" t="e">
        <f>((PI()*((42-2*'Gen Calcs'!$E$13)^2)/4)/144)*(A219-#REF!)*(W176+14.7)/14.7</f>
        <v>#REF!</v>
      </c>
      <c r="Y176" s="86" t="e">
        <f t="shared" si="66"/>
        <v>#REF!</v>
      </c>
      <c r="Z176" s="86" t="e">
        <f t="shared" si="67"/>
        <v>#REF!</v>
      </c>
      <c r="AA176" s="83">
        <f>MAX(B$2:B176)-B176</f>
        <v>177.89879999999994</v>
      </c>
      <c r="AB176" s="83">
        <f t="shared" si="54"/>
        <v>77.030180399999978</v>
      </c>
      <c r="AC176" s="83">
        <f t="shared" si="55"/>
        <v>108.59590572780816</v>
      </c>
      <c r="AD176" s="72">
        <f t="shared" si="56"/>
        <v>108.59590572780816</v>
      </c>
      <c r="AE176" s="73">
        <f t="shared" si="63"/>
        <v>907.92027688745009</v>
      </c>
      <c r="AF176" s="73">
        <f>SUM(AE$2:AE176)</f>
        <v>146947.72327150547</v>
      </c>
      <c r="AG176" s="73">
        <f t="shared" si="64"/>
        <v>1026782.1791556037</v>
      </c>
    </row>
    <row r="177" spans="1:33" x14ac:dyDescent="0.25">
      <c r="A177" s="99">
        <v>112199.92</v>
      </c>
      <c r="B177" s="96">
        <v>647.29819999999995</v>
      </c>
      <c r="C177" s="96">
        <v>0.6</v>
      </c>
      <c r="D177" s="80">
        <f t="shared" si="68"/>
        <v>100</v>
      </c>
      <c r="E177" s="81">
        <f t="shared" si="57"/>
        <v>6791.2436711181272</v>
      </c>
      <c r="F177" s="81">
        <f>SUM(E$2:E177)</f>
        <v>1104295.9325806508</v>
      </c>
      <c r="G177" s="43">
        <f t="shared" si="53"/>
        <v>1</v>
      </c>
      <c r="H177" s="78">
        <v>1</v>
      </c>
      <c r="I177" s="15">
        <f t="shared" si="58"/>
        <v>0.6</v>
      </c>
      <c r="J177" s="16">
        <f>VLOOKUP(G177,Inputs!$L$3:$P$15,5,FALSE)</f>
        <v>2000</v>
      </c>
      <c r="K177" s="16">
        <f t="shared" si="59"/>
        <v>1825</v>
      </c>
      <c r="L177" s="79">
        <f>Inputs!$P$8-B177</f>
        <v>290.89280000000008</v>
      </c>
      <c r="M177" s="79">
        <f>Inputs!$Q$8+L177*0.433</f>
        <v>1950.9565824000001</v>
      </c>
      <c r="N177" s="82">
        <f t="shared" si="60"/>
        <v>112199.92</v>
      </c>
      <c r="O177" s="83">
        <f t="shared" si="61"/>
        <v>647.29819999999995</v>
      </c>
      <c r="P177" s="84">
        <f>IF(O177="","",Inputs!$C$5-O177)</f>
        <v>177.88630000000001</v>
      </c>
      <c r="Q177" s="83">
        <f>IF(N177="","",TS!J177)</f>
        <v>2000</v>
      </c>
      <c r="R177" s="83">
        <f>IF(N177="","",TS!K177)</f>
        <v>1825</v>
      </c>
      <c r="S177" s="83">
        <f>Inputs!$H$5+TS!P177*0.4333</f>
        <v>1952.04385024</v>
      </c>
      <c r="T177" s="83">
        <f>Inputs!$G$5+TS!P177*0.4333</f>
        <v>1967.04385024</v>
      </c>
      <c r="U177" s="85">
        <f t="shared" si="62"/>
        <v>0.98352192512000003</v>
      </c>
      <c r="V177" s="86">
        <f>O177-MAX(O177:O177)</f>
        <v>0</v>
      </c>
      <c r="W177" s="86">
        <f t="shared" si="65"/>
        <v>0</v>
      </c>
      <c r="X177" s="86" t="e">
        <f>((PI()*((42-2*'Gen Calcs'!$E$13)^2)/4)/144)*(A220-#REF!)*(W177+14.7)/14.7</f>
        <v>#REF!</v>
      </c>
      <c r="Y177" s="86" t="e">
        <f t="shared" si="66"/>
        <v>#REF!</v>
      </c>
      <c r="Z177" s="86" t="e">
        <f t="shared" si="67"/>
        <v>#REF!</v>
      </c>
      <c r="AA177" s="83">
        <f>MAX(B$2:B177)-B177</f>
        <v>177.88630000000001</v>
      </c>
      <c r="AB177" s="83">
        <f t="shared" si="54"/>
        <v>77.024767900000001</v>
      </c>
      <c r="AC177" s="83">
        <f t="shared" si="55"/>
        <v>108.69201538641778</v>
      </c>
      <c r="AD177" s="72">
        <f t="shared" si="56"/>
        <v>108.69201538641778</v>
      </c>
      <c r="AE177" s="73">
        <f t="shared" si="63"/>
        <v>907.92027688745009</v>
      </c>
      <c r="AF177" s="73">
        <f>SUM(AE$2:AE177)</f>
        <v>147855.64354839292</v>
      </c>
      <c r="AG177" s="73">
        <f t="shared" si="64"/>
        <v>1025874.2588787163</v>
      </c>
    </row>
    <row r="178" spans="1:33" x14ac:dyDescent="0.25">
      <c r="A178" s="100">
        <v>112299.92</v>
      </c>
      <c r="B178" s="97">
        <v>647.31600000000003</v>
      </c>
      <c r="C178" s="97">
        <v>0.6</v>
      </c>
      <c r="D178" s="80">
        <f t="shared" si="68"/>
        <v>100</v>
      </c>
      <c r="E178" s="81">
        <f t="shared" si="57"/>
        <v>6616.6076625842816</v>
      </c>
      <c r="F178" s="81">
        <f>SUM(E$2:E178)</f>
        <v>1110912.540243235</v>
      </c>
      <c r="G178" s="43">
        <f t="shared" si="53"/>
        <v>1</v>
      </c>
      <c r="H178" s="78">
        <v>1</v>
      </c>
      <c r="I178" s="15">
        <f t="shared" si="58"/>
        <v>0.6</v>
      </c>
      <c r="J178" s="16">
        <f>VLOOKUP(G178,Inputs!$L$3:$P$15,5,FALSE)</f>
        <v>2000</v>
      </c>
      <c r="K178" s="16">
        <f t="shared" si="59"/>
        <v>1825</v>
      </c>
      <c r="L178" s="79">
        <f>Inputs!$P$8-B178</f>
        <v>290.875</v>
      </c>
      <c r="M178" s="79">
        <f>Inputs!$Q$8+L178*0.433</f>
        <v>1950.948875</v>
      </c>
      <c r="N178" s="82">
        <f t="shared" si="60"/>
        <v>112299.92</v>
      </c>
      <c r="O178" s="83">
        <f t="shared" si="61"/>
        <v>647.31600000000003</v>
      </c>
      <c r="P178" s="84">
        <f>IF(O178="","",Inputs!$C$5-O178)</f>
        <v>177.86849999999993</v>
      </c>
      <c r="Q178" s="83">
        <f>IF(N178="","",TS!J178)</f>
        <v>2000</v>
      </c>
      <c r="R178" s="83">
        <f>IF(N178="","",TS!K178)</f>
        <v>1825</v>
      </c>
      <c r="S178" s="83">
        <f>Inputs!$H$5+TS!P178*0.4333</f>
        <v>1952.0361375</v>
      </c>
      <c r="T178" s="83">
        <f>Inputs!$G$5+TS!P178*0.4333</f>
        <v>1967.0361375</v>
      </c>
      <c r="U178" s="85">
        <f t="shared" si="62"/>
        <v>0.98351806875000003</v>
      </c>
      <c r="V178" s="86">
        <f t="shared" ref="V178:V241" si="69">O178-MAX(O178:O178)</f>
        <v>0</v>
      </c>
      <c r="W178" s="86">
        <f t="shared" ref="W178:W241" si="70">-(V178)*0.433</f>
        <v>0</v>
      </c>
      <c r="X178" s="86" t="e">
        <f>((PI()*((42-2*'Gen Calcs'!$E$13)^2)/4)/144)*(A221-#REF!)*(W178+14.7)/14.7</f>
        <v>#REF!</v>
      </c>
      <c r="Y178" s="86" t="e">
        <f t="shared" ref="Y178:Y241" si="71">X178/1000</f>
        <v>#REF!</v>
      </c>
      <c r="Z178" s="86" t="e">
        <f t="shared" ref="Z178:Z241" si="72">IF(Y178&gt;Z177,Y178,Z177)</f>
        <v>#REF!</v>
      </c>
      <c r="AA178" s="83">
        <f>MAX(B$2:B178)-B178</f>
        <v>177.86849999999993</v>
      </c>
      <c r="AB178" s="83">
        <f t="shared" ref="AB178:AB241" si="73">AA178*0.433</f>
        <v>77.017060499999971</v>
      </c>
      <c r="AC178" s="83">
        <f t="shared" si="55"/>
        <v>108.78829531385395</v>
      </c>
      <c r="AD178" s="72">
        <f t="shared" si="56"/>
        <v>108.78829531385395</v>
      </c>
      <c r="AE178" s="73">
        <f t="shared" si="63"/>
        <v>907.92027688745009</v>
      </c>
      <c r="AF178" s="73">
        <f>SUM(AE$2:AE178)</f>
        <v>148763.56382528038</v>
      </c>
      <c r="AG178" s="73">
        <f t="shared" si="64"/>
        <v>1024966.3386018288</v>
      </c>
    </row>
    <row r="179" spans="1:33" x14ac:dyDescent="0.25">
      <c r="A179" s="99">
        <v>112399.92</v>
      </c>
      <c r="B179" s="96">
        <v>647.51409999999998</v>
      </c>
      <c r="C179" s="96">
        <v>0.6</v>
      </c>
      <c r="D179" s="80">
        <f t="shared" si="68"/>
        <v>100</v>
      </c>
      <c r="E179" s="81">
        <f t="shared" si="57"/>
        <v>6791.2436711181272</v>
      </c>
      <c r="F179" s="81">
        <f>SUM(E$2:E179)</f>
        <v>1117703.783914353</v>
      </c>
      <c r="G179" s="43">
        <f t="shared" si="53"/>
        <v>1</v>
      </c>
      <c r="H179" s="78">
        <v>1</v>
      </c>
      <c r="I179" s="15">
        <f t="shared" si="58"/>
        <v>0.6</v>
      </c>
      <c r="J179" s="16">
        <f>VLOOKUP(G179,Inputs!$L$3:$P$15,5,FALSE)</f>
        <v>2000</v>
      </c>
      <c r="K179" s="16">
        <f t="shared" si="59"/>
        <v>1825</v>
      </c>
      <c r="L179" s="79">
        <f>Inputs!$P$8-B179</f>
        <v>290.67690000000005</v>
      </c>
      <c r="M179" s="79">
        <f>Inputs!$Q$8+L179*0.433</f>
        <v>1950.8630977</v>
      </c>
      <c r="N179" s="82">
        <f t="shared" si="60"/>
        <v>112399.92</v>
      </c>
      <c r="O179" s="83">
        <f t="shared" si="61"/>
        <v>647.51409999999998</v>
      </c>
      <c r="P179" s="84">
        <f>IF(O179="","",Inputs!$C$5-O179)</f>
        <v>177.67039999999997</v>
      </c>
      <c r="Q179" s="83">
        <f>IF(N179="","",TS!J179)</f>
        <v>2000</v>
      </c>
      <c r="R179" s="83">
        <f>IF(N179="","",TS!K179)</f>
        <v>1825</v>
      </c>
      <c r="S179" s="83">
        <f>Inputs!$H$5+TS!P179*0.4333</f>
        <v>1951.95030077</v>
      </c>
      <c r="T179" s="83">
        <f>Inputs!$G$5+TS!P179*0.4333</f>
        <v>1966.95030077</v>
      </c>
      <c r="U179" s="85">
        <f t="shared" si="62"/>
        <v>0.983475150385</v>
      </c>
      <c r="V179" s="86">
        <f t="shared" si="69"/>
        <v>0</v>
      </c>
      <c r="W179" s="86">
        <f t="shared" si="70"/>
        <v>0</v>
      </c>
      <c r="X179" s="86" t="e">
        <f>((PI()*((42-2*'Gen Calcs'!$E$13)^2)/4)/144)*(A222-#REF!)*(W179+14.7)/14.7</f>
        <v>#REF!</v>
      </c>
      <c r="Y179" s="86" t="e">
        <f t="shared" si="71"/>
        <v>#REF!</v>
      </c>
      <c r="Z179" s="86" t="e">
        <f t="shared" si="72"/>
        <v>#REF!</v>
      </c>
      <c r="AA179" s="83">
        <f>MAX(B$2:B179)-B179</f>
        <v>177.67039999999997</v>
      </c>
      <c r="AB179" s="83">
        <f t="shared" si="73"/>
        <v>76.931283199999982</v>
      </c>
      <c r="AC179" s="83">
        <f t="shared" si="55"/>
        <v>108.88474596299272</v>
      </c>
      <c r="AD179" s="72">
        <f t="shared" si="56"/>
        <v>108.88474596299272</v>
      </c>
      <c r="AE179" s="73">
        <f t="shared" si="63"/>
        <v>907.92027688745009</v>
      </c>
      <c r="AF179" s="73">
        <f>SUM(AE$2:AE179)</f>
        <v>149671.48410216783</v>
      </c>
      <c r="AG179" s="73">
        <f t="shared" si="64"/>
        <v>1024058.4183249413</v>
      </c>
    </row>
    <row r="180" spans="1:33" x14ac:dyDescent="0.25">
      <c r="A180" s="100">
        <v>112499.92</v>
      </c>
      <c r="B180" s="97">
        <v>647.71100000000001</v>
      </c>
      <c r="C180" s="97">
        <v>0.6</v>
      </c>
      <c r="D180" s="80">
        <f t="shared" si="68"/>
        <v>100</v>
      </c>
      <c r="E180" s="81">
        <f t="shared" si="57"/>
        <v>6791.2436711181272</v>
      </c>
      <c r="F180" s="81">
        <f>SUM(E$2:E180)</f>
        <v>1124495.027585471</v>
      </c>
      <c r="G180" s="43">
        <f t="shared" si="53"/>
        <v>1</v>
      </c>
      <c r="H180" s="78">
        <v>1</v>
      </c>
      <c r="I180" s="15">
        <f t="shared" si="58"/>
        <v>0.6</v>
      </c>
      <c r="J180" s="16">
        <f>VLOOKUP(G180,Inputs!$L$3:$P$15,5,FALSE)</f>
        <v>2000</v>
      </c>
      <c r="K180" s="16">
        <f t="shared" si="59"/>
        <v>1825</v>
      </c>
      <c r="L180" s="79">
        <f>Inputs!$P$8-B180</f>
        <v>290.48</v>
      </c>
      <c r="M180" s="79">
        <f>Inputs!$Q$8+L180*0.433</f>
        <v>1950.77784</v>
      </c>
      <c r="N180" s="82">
        <f t="shared" si="60"/>
        <v>112499.92</v>
      </c>
      <c r="O180" s="83">
        <f t="shared" si="61"/>
        <v>647.71100000000001</v>
      </c>
      <c r="P180" s="84">
        <f>IF(O180="","",Inputs!$C$5-O180)</f>
        <v>177.47349999999994</v>
      </c>
      <c r="Q180" s="83">
        <f>IF(N180="","",TS!J180)</f>
        <v>2000</v>
      </c>
      <c r="R180" s="83">
        <f>IF(N180="","",TS!K180)</f>
        <v>1825</v>
      </c>
      <c r="S180" s="83">
        <f>Inputs!$H$5+TS!P180*0.4333</f>
        <v>1951.8649839999998</v>
      </c>
      <c r="T180" s="83">
        <f>Inputs!$G$5+TS!P180*0.4333</f>
        <v>1966.8649839999998</v>
      </c>
      <c r="U180" s="85">
        <f t="shared" si="62"/>
        <v>0.98343249199999994</v>
      </c>
      <c r="V180" s="86">
        <f t="shared" si="69"/>
        <v>0</v>
      </c>
      <c r="W180" s="86">
        <f t="shared" si="70"/>
        <v>0</v>
      </c>
      <c r="X180" s="86" t="e">
        <f>((PI()*((42-2*'Gen Calcs'!$E$13)^2)/4)/144)*(A223-#REF!)*(W180+14.7)/14.7</f>
        <v>#REF!</v>
      </c>
      <c r="Y180" s="86" t="e">
        <f t="shared" si="71"/>
        <v>#REF!</v>
      </c>
      <c r="Z180" s="86" t="e">
        <f t="shared" si="72"/>
        <v>#REF!</v>
      </c>
      <c r="AA180" s="83">
        <f>MAX(B$2:B180)-B180</f>
        <v>177.47349999999994</v>
      </c>
      <c r="AB180" s="83">
        <f t="shared" si="73"/>
        <v>76.846025499999982</v>
      </c>
      <c r="AC180" s="83">
        <f t="shared" si="55"/>
        <v>108.98136778831767</v>
      </c>
      <c r="AD180" s="72">
        <f t="shared" si="56"/>
        <v>108.98136778831767</v>
      </c>
      <c r="AE180" s="73">
        <f t="shared" si="63"/>
        <v>907.92027688745009</v>
      </c>
      <c r="AF180" s="73">
        <f>SUM(AE$2:AE180)</f>
        <v>150579.40437905528</v>
      </c>
      <c r="AG180" s="73">
        <f t="shared" si="64"/>
        <v>1023150.4980480539</v>
      </c>
    </row>
    <row r="181" spans="1:33" x14ac:dyDescent="0.25">
      <c r="A181" s="99">
        <v>112599.92</v>
      </c>
      <c r="B181" s="96">
        <v>647.86599999999999</v>
      </c>
      <c r="C181" s="96">
        <v>0.6</v>
      </c>
      <c r="D181" s="80">
        <f t="shared" si="68"/>
        <v>100</v>
      </c>
      <c r="E181" s="81">
        <f t="shared" si="57"/>
        <v>6791.2436711181272</v>
      </c>
      <c r="F181" s="81">
        <f>SUM(E$2:E181)</f>
        <v>1131286.2712565891</v>
      </c>
      <c r="G181" s="43">
        <f t="shared" si="53"/>
        <v>1</v>
      </c>
      <c r="H181" s="78">
        <v>1</v>
      </c>
      <c r="I181" s="15">
        <f t="shared" si="58"/>
        <v>0.6</v>
      </c>
      <c r="J181" s="16">
        <f>VLOOKUP(G181,Inputs!$L$3:$P$15,5,FALSE)</f>
        <v>2000</v>
      </c>
      <c r="K181" s="16">
        <f t="shared" si="59"/>
        <v>1825</v>
      </c>
      <c r="L181" s="79">
        <f>Inputs!$P$8-B181</f>
        <v>290.32500000000005</v>
      </c>
      <c r="M181" s="79">
        <f>Inputs!$Q$8+L181*0.433</f>
        <v>1950.7107249999999</v>
      </c>
      <c r="N181" s="82">
        <f t="shared" si="60"/>
        <v>112599.92</v>
      </c>
      <c r="O181" s="83">
        <f t="shared" si="61"/>
        <v>647.86599999999999</v>
      </c>
      <c r="P181" s="84">
        <f>IF(O181="","",Inputs!$C$5-O181)</f>
        <v>177.31849999999997</v>
      </c>
      <c r="Q181" s="83">
        <f>IF(N181="","",TS!J181)</f>
        <v>2000</v>
      </c>
      <c r="R181" s="83">
        <f>IF(N181="","",TS!K181)</f>
        <v>1825</v>
      </c>
      <c r="S181" s="83">
        <f>Inputs!$H$5+TS!P181*0.4333</f>
        <v>1951.7978224999999</v>
      </c>
      <c r="T181" s="83">
        <f>Inputs!$G$5+TS!P181*0.4333</f>
        <v>1966.7978224999999</v>
      </c>
      <c r="U181" s="85">
        <f t="shared" si="62"/>
        <v>0.98339891125000001</v>
      </c>
      <c r="V181" s="86">
        <f t="shared" si="69"/>
        <v>0</v>
      </c>
      <c r="W181" s="86">
        <f t="shared" si="70"/>
        <v>0</v>
      </c>
      <c r="X181" s="86" t="e">
        <f>((PI()*((42-2*'Gen Calcs'!$E$13)^2)/4)/144)*(A224-#REF!)*(W181+14.7)/14.7</f>
        <v>#REF!</v>
      </c>
      <c r="Y181" s="86" t="e">
        <f t="shared" si="71"/>
        <v>#REF!</v>
      </c>
      <c r="Z181" s="86" t="e">
        <f t="shared" si="72"/>
        <v>#REF!</v>
      </c>
      <c r="AA181" s="83">
        <f>MAX(B$2:B181)-B181</f>
        <v>177.31849999999997</v>
      </c>
      <c r="AB181" s="83">
        <f t="shared" si="73"/>
        <v>76.778910499999981</v>
      </c>
      <c r="AC181" s="83">
        <f t="shared" si="55"/>
        <v>109.07816124592701</v>
      </c>
      <c r="AD181" s="72">
        <f t="shared" si="56"/>
        <v>109.07816124592701</v>
      </c>
      <c r="AE181" s="73">
        <f t="shared" si="63"/>
        <v>907.92027688745009</v>
      </c>
      <c r="AF181" s="73">
        <f>SUM(AE$2:AE181)</f>
        <v>151487.32465594274</v>
      </c>
      <c r="AG181" s="73">
        <f t="shared" si="64"/>
        <v>1022242.5777711665</v>
      </c>
    </row>
    <row r="182" spans="1:33" x14ac:dyDescent="0.25">
      <c r="A182" s="100">
        <v>112699.92</v>
      </c>
      <c r="B182" s="97">
        <v>648.02099999999996</v>
      </c>
      <c r="C182" s="97">
        <v>0.6</v>
      </c>
      <c r="D182" s="80">
        <f t="shared" si="68"/>
        <v>100</v>
      </c>
      <c r="E182" s="81">
        <f t="shared" si="57"/>
        <v>6616.6076625842816</v>
      </c>
      <c r="F182" s="81">
        <f>SUM(E$2:E182)</f>
        <v>1137902.8789191733</v>
      </c>
      <c r="G182" s="43">
        <f t="shared" si="53"/>
        <v>1</v>
      </c>
      <c r="H182" s="78">
        <v>1</v>
      </c>
      <c r="I182" s="15">
        <f t="shared" si="58"/>
        <v>0.6</v>
      </c>
      <c r="J182" s="16">
        <f>VLOOKUP(G182,Inputs!$L$3:$P$15,5,FALSE)</f>
        <v>2000</v>
      </c>
      <c r="K182" s="16">
        <f t="shared" si="59"/>
        <v>1825</v>
      </c>
      <c r="L182" s="79">
        <f>Inputs!$P$8-B182</f>
        <v>290.17000000000007</v>
      </c>
      <c r="M182" s="79">
        <f>Inputs!$Q$8+L182*0.433</f>
        <v>1950.6436100000001</v>
      </c>
      <c r="N182" s="82">
        <f t="shared" si="60"/>
        <v>112699.92</v>
      </c>
      <c r="O182" s="83">
        <f t="shared" si="61"/>
        <v>648.02099999999996</v>
      </c>
      <c r="P182" s="84">
        <f>IF(O182="","",Inputs!$C$5-O182)</f>
        <v>177.1635</v>
      </c>
      <c r="Q182" s="83">
        <f>IF(N182="","",TS!J182)</f>
        <v>2000</v>
      </c>
      <c r="R182" s="83">
        <f>IF(N182="","",TS!K182)</f>
        <v>1825</v>
      </c>
      <c r="S182" s="83">
        <f>Inputs!$H$5+TS!P182*0.4333</f>
        <v>1951.7306610000001</v>
      </c>
      <c r="T182" s="83">
        <f>Inputs!$G$5+TS!P182*0.4333</f>
        <v>1966.7306610000001</v>
      </c>
      <c r="U182" s="85">
        <f t="shared" si="62"/>
        <v>0.98336533050000008</v>
      </c>
      <c r="V182" s="86">
        <f t="shared" si="69"/>
        <v>0</v>
      </c>
      <c r="W182" s="86">
        <f t="shared" si="70"/>
        <v>0</v>
      </c>
      <c r="X182" s="86" t="e">
        <f>((PI()*((42-2*'Gen Calcs'!$E$13)^2)/4)/144)*(A225-#REF!)*(W182+14.7)/14.7</f>
        <v>#REF!</v>
      </c>
      <c r="Y182" s="86" t="e">
        <f t="shared" si="71"/>
        <v>#REF!</v>
      </c>
      <c r="Z182" s="86" t="e">
        <f t="shared" si="72"/>
        <v>#REF!</v>
      </c>
      <c r="AA182" s="83">
        <f>MAX(B$2:B182)-B182</f>
        <v>177.1635</v>
      </c>
      <c r="AB182" s="83">
        <f t="shared" si="73"/>
        <v>76.711795499999994</v>
      </c>
      <c r="AC182" s="83">
        <f t="shared" si="55"/>
        <v>109.1751267935407</v>
      </c>
      <c r="AD182" s="72">
        <f t="shared" si="56"/>
        <v>109.1751267935407</v>
      </c>
      <c r="AE182" s="73">
        <f t="shared" si="63"/>
        <v>907.92027688745009</v>
      </c>
      <c r="AF182" s="73">
        <f>SUM(AE$2:AE182)</f>
        <v>152395.24493283019</v>
      </c>
      <c r="AG182" s="73">
        <f t="shared" si="64"/>
        <v>1021334.657494279</v>
      </c>
    </row>
    <row r="183" spans="1:33" x14ac:dyDescent="0.25">
      <c r="A183" s="99">
        <v>112799.92</v>
      </c>
      <c r="B183" s="96">
        <v>648.28229999999996</v>
      </c>
      <c r="C183" s="96">
        <v>0.6</v>
      </c>
      <c r="D183" s="80">
        <f t="shared" si="68"/>
        <v>100</v>
      </c>
      <c r="E183" s="81">
        <f t="shared" si="57"/>
        <v>6791.2436711181272</v>
      </c>
      <c r="F183" s="81">
        <f>SUM(E$2:E183)</f>
        <v>1144694.1225902913</v>
      </c>
      <c r="G183" s="43">
        <f t="shared" si="53"/>
        <v>1</v>
      </c>
      <c r="H183" s="78">
        <v>1</v>
      </c>
      <c r="I183" s="15">
        <f t="shared" si="58"/>
        <v>0.6</v>
      </c>
      <c r="J183" s="16">
        <f>VLOOKUP(G183,Inputs!$L$3:$P$15,5,FALSE)</f>
        <v>2000</v>
      </c>
      <c r="K183" s="16">
        <f t="shared" si="59"/>
        <v>1825</v>
      </c>
      <c r="L183" s="79">
        <f>Inputs!$P$8-B183</f>
        <v>289.90870000000007</v>
      </c>
      <c r="M183" s="79">
        <f>Inputs!$Q$8+L183*0.433</f>
        <v>1950.5304671000001</v>
      </c>
      <c r="N183" s="82">
        <f t="shared" si="60"/>
        <v>112799.92</v>
      </c>
      <c r="O183" s="83">
        <f t="shared" si="61"/>
        <v>648.28229999999996</v>
      </c>
      <c r="P183" s="84">
        <f>IF(O183="","",Inputs!$C$5-O183)</f>
        <v>176.90219999999999</v>
      </c>
      <c r="Q183" s="83">
        <f>IF(N183="","",TS!J183)</f>
        <v>2000</v>
      </c>
      <c r="R183" s="83">
        <f>IF(N183="","",TS!K183)</f>
        <v>1825</v>
      </c>
      <c r="S183" s="83">
        <f>Inputs!$H$5+TS!P183*0.4333</f>
        <v>1951.6174397099999</v>
      </c>
      <c r="T183" s="83">
        <f>Inputs!$G$5+TS!P183*0.4333</f>
        <v>1966.6174397099999</v>
      </c>
      <c r="U183" s="85">
        <f t="shared" si="62"/>
        <v>0.9833087198549999</v>
      </c>
      <c r="V183" s="86">
        <f t="shared" si="69"/>
        <v>0</v>
      </c>
      <c r="W183" s="86">
        <f t="shared" si="70"/>
        <v>0</v>
      </c>
      <c r="X183" s="86" t="e">
        <f>((PI()*((42-2*'Gen Calcs'!$E$13)^2)/4)/144)*(A226-#REF!)*(W183+14.7)/14.7</f>
        <v>#REF!</v>
      </c>
      <c r="Y183" s="86" t="e">
        <f t="shared" si="71"/>
        <v>#REF!</v>
      </c>
      <c r="Z183" s="86" t="e">
        <f t="shared" si="72"/>
        <v>#REF!</v>
      </c>
      <c r="AA183" s="83">
        <f>MAX(B$2:B183)-B183</f>
        <v>176.90219999999999</v>
      </c>
      <c r="AB183" s="83">
        <f t="shared" si="73"/>
        <v>76.598652599999994</v>
      </c>
      <c r="AC183" s="83">
        <f t="shared" si="55"/>
        <v>109.27226489050776</v>
      </c>
      <c r="AD183" s="72">
        <f t="shared" si="56"/>
        <v>109.27226489050776</v>
      </c>
      <c r="AE183" s="73">
        <f t="shared" si="63"/>
        <v>907.92027688745009</v>
      </c>
      <c r="AF183" s="73">
        <f>SUM(AE$2:AE183)</f>
        <v>153303.16520971764</v>
      </c>
      <c r="AG183" s="73">
        <f t="shared" si="64"/>
        <v>1020426.7372173916</v>
      </c>
    </row>
    <row r="184" spans="1:33" x14ac:dyDescent="0.25">
      <c r="A184" s="100">
        <v>112899.92</v>
      </c>
      <c r="B184" s="97">
        <v>648.56920000000002</v>
      </c>
      <c r="C184" s="97">
        <v>0.6</v>
      </c>
      <c r="D184" s="80">
        <f t="shared" si="68"/>
        <v>100</v>
      </c>
      <c r="E184" s="81">
        <f t="shared" si="57"/>
        <v>6791.2436711181272</v>
      </c>
      <c r="F184" s="81">
        <f>SUM(E$2:E184)</f>
        <v>1151485.3662614094</v>
      </c>
      <c r="G184" s="43">
        <f t="shared" si="53"/>
        <v>1</v>
      </c>
      <c r="H184" s="78">
        <v>1</v>
      </c>
      <c r="I184" s="15">
        <f t="shared" si="58"/>
        <v>0.6</v>
      </c>
      <c r="J184" s="16">
        <f>VLOOKUP(G184,Inputs!$L$3:$P$15,5,FALSE)</f>
        <v>2000</v>
      </c>
      <c r="K184" s="16">
        <f t="shared" si="59"/>
        <v>1825</v>
      </c>
      <c r="L184" s="79">
        <f>Inputs!$P$8-B184</f>
        <v>289.62180000000001</v>
      </c>
      <c r="M184" s="79">
        <f>Inputs!$Q$8+L184*0.433</f>
        <v>1950.4062394</v>
      </c>
      <c r="N184" s="82">
        <f t="shared" si="60"/>
        <v>112899.92</v>
      </c>
      <c r="O184" s="83">
        <f t="shared" si="61"/>
        <v>648.56920000000002</v>
      </c>
      <c r="P184" s="84">
        <f>IF(O184="","",Inputs!$C$5-O184)</f>
        <v>176.61529999999993</v>
      </c>
      <c r="Q184" s="83">
        <f>IF(N184="","",TS!J184)</f>
        <v>2000</v>
      </c>
      <c r="R184" s="83">
        <f>IF(N184="","",TS!K184)</f>
        <v>1825</v>
      </c>
      <c r="S184" s="83">
        <f>Inputs!$H$5+TS!P184*0.4333</f>
        <v>1951.49312594</v>
      </c>
      <c r="T184" s="83">
        <f>Inputs!$G$5+TS!P184*0.4333</f>
        <v>1966.49312594</v>
      </c>
      <c r="U184" s="85">
        <f t="shared" si="62"/>
        <v>0.98324656297000002</v>
      </c>
      <c r="V184" s="86">
        <f t="shared" si="69"/>
        <v>0</v>
      </c>
      <c r="W184" s="86">
        <f t="shared" si="70"/>
        <v>0</v>
      </c>
      <c r="X184" s="86" t="e">
        <f>((PI()*((42-2*'Gen Calcs'!$E$13)^2)/4)/144)*(A227-#REF!)*(W184+14.7)/14.7</f>
        <v>#REF!</v>
      </c>
      <c r="Y184" s="86" t="e">
        <f t="shared" si="71"/>
        <v>#REF!</v>
      </c>
      <c r="Z184" s="86" t="e">
        <f t="shared" si="72"/>
        <v>#REF!</v>
      </c>
      <c r="AA184" s="83">
        <f>MAX(B$2:B184)-B184</f>
        <v>176.61529999999993</v>
      </c>
      <c r="AB184" s="83">
        <f t="shared" si="73"/>
        <v>76.474424899999974</v>
      </c>
      <c r="AC184" s="83">
        <f t="shared" si="55"/>
        <v>109.3695759978135</v>
      </c>
      <c r="AD184" s="72">
        <f t="shared" si="56"/>
        <v>109.3695759978135</v>
      </c>
      <c r="AE184" s="73">
        <f t="shared" si="63"/>
        <v>907.92027688745009</v>
      </c>
      <c r="AF184" s="73">
        <f>SUM(AE$2:AE184)</f>
        <v>154211.08548660509</v>
      </c>
      <c r="AG184" s="73">
        <f t="shared" si="64"/>
        <v>1019518.8169405041</v>
      </c>
    </row>
    <row r="185" spans="1:33" x14ac:dyDescent="0.25">
      <c r="A185" s="99">
        <v>112999.92</v>
      </c>
      <c r="B185" s="96">
        <v>648.88030000000003</v>
      </c>
      <c r="C185" s="96">
        <v>0.6</v>
      </c>
      <c r="D185" s="80">
        <f t="shared" si="68"/>
        <v>100</v>
      </c>
      <c r="E185" s="81">
        <f t="shared" si="57"/>
        <v>6791.2436711181272</v>
      </c>
      <c r="F185" s="81">
        <f>SUM(E$2:E185)</f>
        <v>1158276.6099325274</v>
      </c>
      <c r="G185" s="43">
        <f t="shared" si="53"/>
        <v>1</v>
      </c>
      <c r="H185" s="78">
        <v>1</v>
      </c>
      <c r="I185" s="15">
        <f t="shared" si="58"/>
        <v>0.6</v>
      </c>
      <c r="J185" s="16">
        <f>VLOOKUP(G185,Inputs!$L$3:$P$15,5,FALSE)</f>
        <v>2000</v>
      </c>
      <c r="K185" s="16">
        <f t="shared" si="59"/>
        <v>1825</v>
      </c>
      <c r="L185" s="79">
        <f>Inputs!$P$8-B185</f>
        <v>289.3107</v>
      </c>
      <c r="M185" s="79">
        <f>Inputs!$Q$8+L185*0.433</f>
        <v>1950.2715330999999</v>
      </c>
      <c r="N185" s="82">
        <f t="shared" si="60"/>
        <v>112999.92</v>
      </c>
      <c r="O185" s="83">
        <f t="shared" si="61"/>
        <v>648.88030000000003</v>
      </c>
      <c r="P185" s="84">
        <f>IF(O185="","",Inputs!$C$5-O185)</f>
        <v>176.30419999999992</v>
      </c>
      <c r="Q185" s="83">
        <f>IF(N185="","",TS!J185)</f>
        <v>2000</v>
      </c>
      <c r="R185" s="83">
        <f>IF(N185="","",TS!K185)</f>
        <v>1825</v>
      </c>
      <c r="S185" s="83">
        <f>Inputs!$H$5+TS!P185*0.4333</f>
        <v>1951.3583263099999</v>
      </c>
      <c r="T185" s="83">
        <f>Inputs!$G$5+TS!P185*0.4333</f>
        <v>1966.3583263099999</v>
      </c>
      <c r="U185" s="85">
        <f t="shared" si="62"/>
        <v>0.98317916315499998</v>
      </c>
      <c r="V185" s="86">
        <f t="shared" si="69"/>
        <v>0</v>
      </c>
      <c r="W185" s="86">
        <f t="shared" si="70"/>
        <v>0</v>
      </c>
      <c r="X185" s="86" t="e">
        <f>((PI()*((42-2*'Gen Calcs'!$E$13)^2)/4)/144)*(A228-#REF!)*(W185+14.7)/14.7</f>
        <v>#REF!</v>
      </c>
      <c r="Y185" s="86" t="e">
        <f t="shared" si="71"/>
        <v>#REF!</v>
      </c>
      <c r="Z185" s="86" t="e">
        <f t="shared" si="72"/>
        <v>#REF!</v>
      </c>
      <c r="AA185" s="83">
        <f>MAX(B$2:B185)-B185</f>
        <v>176.30419999999992</v>
      </c>
      <c r="AB185" s="83">
        <f t="shared" si="73"/>
        <v>76.339718599999969</v>
      </c>
      <c r="AC185" s="83">
        <f t="shared" si="55"/>
        <v>109.46706057808673</v>
      </c>
      <c r="AD185" s="72">
        <f t="shared" si="56"/>
        <v>109.46706057808673</v>
      </c>
      <c r="AE185" s="73">
        <f t="shared" si="63"/>
        <v>907.92027688745009</v>
      </c>
      <c r="AF185" s="73">
        <f>SUM(AE$2:AE185)</f>
        <v>155119.00576349255</v>
      </c>
      <c r="AG185" s="73">
        <f t="shared" si="64"/>
        <v>1018610.8966636166</v>
      </c>
    </row>
    <row r="186" spans="1:33" x14ac:dyDescent="0.25">
      <c r="A186" s="100">
        <v>113099.92</v>
      </c>
      <c r="B186" s="97">
        <v>649.1979</v>
      </c>
      <c r="C186" s="97">
        <v>0.6</v>
      </c>
      <c r="D186" s="80">
        <f t="shared" si="68"/>
        <v>100</v>
      </c>
      <c r="E186" s="81">
        <f t="shared" si="57"/>
        <v>6791.2436711181272</v>
      </c>
      <c r="F186" s="81">
        <f>SUM(E$2:E186)</f>
        <v>1165067.8536036455</v>
      </c>
      <c r="G186" s="43">
        <f t="shared" si="53"/>
        <v>1</v>
      </c>
      <c r="H186" s="78">
        <v>1</v>
      </c>
      <c r="I186" s="15">
        <f t="shared" si="58"/>
        <v>0.6</v>
      </c>
      <c r="J186" s="16">
        <f>VLOOKUP(G186,Inputs!$L$3:$P$15,5,FALSE)</f>
        <v>2000</v>
      </c>
      <c r="K186" s="16">
        <f t="shared" si="59"/>
        <v>1825</v>
      </c>
      <c r="L186" s="79">
        <f>Inputs!$P$8-B186</f>
        <v>288.99310000000003</v>
      </c>
      <c r="M186" s="79">
        <f>Inputs!$Q$8+L186*0.433</f>
        <v>1950.1340123</v>
      </c>
      <c r="N186" s="82">
        <f t="shared" si="60"/>
        <v>113099.92</v>
      </c>
      <c r="O186" s="83">
        <f t="shared" si="61"/>
        <v>649.1979</v>
      </c>
      <c r="P186" s="84">
        <f>IF(O186="","",Inputs!$C$5-O186)</f>
        <v>175.98659999999995</v>
      </c>
      <c r="Q186" s="83">
        <f>IF(N186="","",TS!J186)</f>
        <v>2000</v>
      </c>
      <c r="R186" s="83">
        <f>IF(N186="","",TS!K186)</f>
        <v>1825</v>
      </c>
      <c r="S186" s="83">
        <f>Inputs!$H$5+TS!P186*0.4333</f>
        <v>1951.2207102299999</v>
      </c>
      <c r="T186" s="83">
        <f>Inputs!$G$5+TS!P186*0.4333</f>
        <v>1966.2207102299999</v>
      </c>
      <c r="U186" s="85">
        <f t="shared" si="62"/>
        <v>0.983110355115</v>
      </c>
      <c r="V186" s="86">
        <f t="shared" si="69"/>
        <v>0</v>
      </c>
      <c r="W186" s="86">
        <f t="shared" si="70"/>
        <v>0</v>
      </c>
      <c r="X186" s="86" t="e">
        <f>((PI()*((42-2*'Gen Calcs'!$E$13)^2)/4)/144)*(A229-#REF!)*(W186+14.7)/14.7</f>
        <v>#REF!</v>
      </c>
      <c r="Y186" s="86" t="e">
        <f t="shared" si="71"/>
        <v>#REF!</v>
      </c>
      <c r="Z186" s="86" t="e">
        <f t="shared" si="72"/>
        <v>#REF!</v>
      </c>
      <c r="AA186" s="83">
        <f>MAX(B$2:B186)-B186</f>
        <v>175.98659999999995</v>
      </c>
      <c r="AB186" s="83">
        <f t="shared" si="73"/>
        <v>76.202197799999979</v>
      </c>
      <c r="AC186" s="83">
        <f t="shared" si="55"/>
        <v>109.56471909560722</v>
      </c>
      <c r="AD186" s="72">
        <f t="shared" si="56"/>
        <v>109.56471909560722</v>
      </c>
      <c r="AE186" s="73">
        <f t="shared" si="63"/>
        <v>907.92027688745009</v>
      </c>
      <c r="AF186" s="73">
        <f>SUM(AE$2:AE186)</f>
        <v>156026.92604038</v>
      </c>
      <c r="AG186" s="73">
        <f t="shared" si="64"/>
        <v>1017702.9763867292</v>
      </c>
    </row>
    <row r="187" spans="1:33" x14ac:dyDescent="0.25">
      <c r="A187" s="99">
        <v>113199.92</v>
      </c>
      <c r="B187" s="96">
        <v>650.08969999999999</v>
      </c>
      <c r="C187" s="96">
        <v>0.6</v>
      </c>
      <c r="D187" s="80">
        <f t="shared" si="68"/>
        <v>100</v>
      </c>
      <c r="E187" s="81">
        <f t="shared" si="57"/>
        <v>6791.2436711181272</v>
      </c>
      <c r="F187" s="81">
        <f>SUM(E$2:E187)</f>
        <v>1171859.0972747635</v>
      </c>
      <c r="G187" s="43">
        <f t="shared" si="53"/>
        <v>1</v>
      </c>
      <c r="H187" s="78">
        <v>1</v>
      </c>
      <c r="I187" s="15">
        <f t="shared" si="58"/>
        <v>0.6</v>
      </c>
      <c r="J187" s="16">
        <f>VLOOKUP(G187,Inputs!$L$3:$P$15,5,FALSE)</f>
        <v>2000</v>
      </c>
      <c r="K187" s="16">
        <f t="shared" si="59"/>
        <v>1825</v>
      </c>
      <c r="L187" s="79">
        <f>Inputs!$P$8-B187</f>
        <v>288.10130000000004</v>
      </c>
      <c r="M187" s="79">
        <f>Inputs!$Q$8+L187*0.433</f>
        <v>1949.7478629</v>
      </c>
      <c r="N187" s="82">
        <f t="shared" si="60"/>
        <v>113199.92</v>
      </c>
      <c r="O187" s="83">
        <f t="shared" si="61"/>
        <v>650.08969999999999</v>
      </c>
      <c r="P187" s="84">
        <f>IF(O187="","",Inputs!$C$5-O187)</f>
        <v>175.09479999999996</v>
      </c>
      <c r="Q187" s="83">
        <f>IF(N187="","",TS!J187)</f>
        <v>2000</v>
      </c>
      <c r="R187" s="83">
        <f>IF(N187="","",TS!K187)</f>
        <v>1825</v>
      </c>
      <c r="S187" s="83">
        <f>Inputs!$H$5+TS!P187*0.4333</f>
        <v>1950.83429329</v>
      </c>
      <c r="T187" s="83">
        <f>Inputs!$G$5+TS!P187*0.4333</f>
        <v>1965.83429329</v>
      </c>
      <c r="U187" s="85">
        <f t="shared" si="62"/>
        <v>0.98291714664499996</v>
      </c>
      <c r="V187" s="86">
        <f t="shared" si="69"/>
        <v>0</v>
      </c>
      <c r="W187" s="86">
        <f t="shared" si="70"/>
        <v>0</v>
      </c>
      <c r="X187" s="86" t="e">
        <f>((PI()*((42-2*'Gen Calcs'!$E$13)^2)/4)/144)*(A230-#REF!)*(W187+14.7)/14.7</f>
        <v>#REF!</v>
      </c>
      <c r="Y187" s="86" t="e">
        <f t="shared" si="71"/>
        <v>#REF!</v>
      </c>
      <c r="Z187" s="86" t="e">
        <f t="shared" si="72"/>
        <v>#REF!</v>
      </c>
      <c r="AA187" s="83">
        <f>MAX(B$2:B187)-B187</f>
        <v>175.09479999999996</v>
      </c>
      <c r="AB187" s="83">
        <f t="shared" si="73"/>
        <v>75.816048399999985</v>
      </c>
      <c r="AC187" s="83">
        <f t="shared" si="55"/>
        <v>109.66255201631296</v>
      </c>
      <c r="AD187" s="72">
        <f t="shared" si="56"/>
        <v>109.66255201631296</v>
      </c>
      <c r="AE187" s="73">
        <f t="shared" si="63"/>
        <v>907.92027688745009</v>
      </c>
      <c r="AF187" s="73">
        <f>SUM(AE$2:AE187)</f>
        <v>156934.84631726745</v>
      </c>
      <c r="AG187" s="73">
        <f t="shared" si="64"/>
        <v>1016795.0561098417</v>
      </c>
    </row>
    <row r="188" spans="1:33" x14ac:dyDescent="0.25">
      <c r="A188" s="100">
        <v>113299.92</v>
      </c>
      <c r="B188" s="97">
        <v>651.12890000000004</v>
      </c>
      <c r="C188" s="97">
        <v>0.6</v>
      </c>
      <c r="D188" s="80">
        <f t="shared" si="68"/>
        <v>100</v>
      </c>
      <c r="E188" s="81">
        <f t="shared" si="57"/>
        <v>6791.2436711181272</v>
      </c>
      <c r="F188" s="81">
        <f>SUM(E$2:E188)</f>
        <v>1178650.3409458816</v>
      </c>
      <c r="G188" s="43">
        <f t="shared" si="53"/>
        <v>1</v>
      </c>
      <c r="H188" s="78">
        <v>1</v>
      </c>
      <c r="I188" s="15">
        <f t="shared" si="58"/>
        <v>0.6</v>
      </c>
      <c r="J188" s="16">
        <f>VLOOKUP(G188,Inputs!$L$3:$P$15,5,FALSE)</f>
        <v>2000</v>
      </c>
      <c r="K188" s="16">
        <f t="shared" si="59"/>
        <v>1825</v>
      </c>
      <c r="L188" s="79">
        <f>Inputs!$P$8-B188</f>
        <v>287.06209999999999</v>
      </c>
      <c r="M188" s="79">
        <f>Inputs!$Q$8+L188*0.433</f>
        <v>1949.2978893</v>
      </c>
      <c r="N188" s="82">
        <f t="shared" si="60"/>
        <v>113299.92</v>
      </c>
      <c r="O188" s="83">
        <f t="shared" si="61"/>
        <v>651.12890000000004</v>
      </c>
      <c r="P188" s="84">
        <f>IF(O188="","",Inputs!$C$5-O188)</f>
        <v>174.05559999999991</v>
      </c>
      <c r="Q188" s="83">
        <f>IF(N188="","",TS!J188)</f>
        <v>2000</v>
      </c>
      <c r="R188" s="83">
        <f>IF(N188="","",TS!K188)</f>
        <v>1825</v>
      </c>
      <c r="S188" s="83">
        <f>Inputs!$H$5+TS!P188*0.4333</f>
        <v>1950.3840079299998</v>
      </c>
      <c r="T188" s="83">
        <f>Inputs!$G$5+TS!P188*0.4333</f>
        <v>1965.3840079299998</v>
      </c>
      <c r="U188" s="85">
        <f t="shared" si="62"/>
        <v>0.98269200396499989</v>
      </c>
      <c r="V188" s="86">
        <f t="shared" si="69"/>
        <v>0</v>
      </c>
      <c r="W188" s="86">
        <f t="shared" si="70"/>
        <v>0</v>
      </c>
      <c r="X188" s="86" t="e">
        <f>((PI()*((42-2*'Gen Calcs'!$E$13)^2)/4)/144)*(A231-#REF!)*(W188+14.7)/14.7</f>
        <v>#REF!</v>
      </c>
      <c r="Y188" s="86" t="e">
        <f t="shared" si="71"/>
        <v>#REF!</v>
      </c>
      <c r="Z188" s="86" t="e">
        <f t="shared" si="72"/>
        <v>#REF!</v>
      </c>
      <c r="AA188" s="83">
        <f>MAX(B$2:B188)-B188</f>
        <v>174.05559999999991</v>
      </c>
      <c r="AB188" s="83">
        <f t="shared" si="73"/>
        <v>75.366074799999964</v>
      </c>
      <c r="AC188" s="83">
        <f t="shared" si="55"/>
        <v>109.76055980780762</v>
      </c>
      <c r="AD188" s="72">
        <f t="shared" si="56"/>
        <v>109.76055980780762</v>
      </c>
      <c r="AE188" s="73">
        <f t="shared" si="63"/>
        <v>907.92027688745009</v>
      </c>
      <c r="AF188" s="73">
        <f>SUM(AE$2:AE188)</f>
        <v>157842.76659415491</v>
      </c>
      <c r="AG188" s="73">
        <f t="shared" si="64"/>
        <v>1015887.1358329543</v>
      </c>
    </row>
    <row r="189" spans="1:33" x14ac:dyDescent="0.25">
      <c r="A189" s="99">
        <v>113399.92</v>
      </c>
      <c r="B189" s="96">
        <v>652.09010000000001</v>
      </c>
      <c r="C189" s="96">
        <v>0.6</v>
      </c>
      <c r="D189" s="80">
        <f t="shared" si="68"/>
        <v>100</v>
      </c>
      <c r="E189" s="81">
        <f t="shared" si="57"/>
        <v>6791.2436711181272</v>
      </c>
      <c r="F189" s="81">
        <f>SUM(E$2:E189)</f>
        <v>1185441.5846169996</v>
      </c>
      <c r="G189" s="43">
        <f t="shared" si="53"/>
        <v>1</v>
      </c>
      <c r="H189" s="78">
        <v>1</v>
      </c>
      <c r="I189" s="15">
        <f t="shared" si="58"/>
        <v>0.6</v>
      </c>
      <c r="J189" s="16">
        <f>VLOOKUP(G189,Inputs!$L$3:$P$15,5,FALSE)</f>
        <v>2000</v>
      </c>
      <c r="K189" s="16">
        <f t="shared" si="59"/>
        <v>1825</v>
      </c>
      <c r="L189" s="79">
        <f>Inputs!$P$8-B189</f>
        <v>286.10090000000002</v>
      </c>
      <c r="M189" s="79">
        <f>Inputs!$Q$8+L189*0.433</f>
        <v>1948.8816896999999</v>
      </c>
      <c r="N189" s="82">
        <f t="shared" si="60"/>
        <v>113399.92</v>
      </c>
      <c r="O189" s="83">
        <f t="shared" si="61"/>
        <v>652.09010000000001</v>
      </c>
      <c r="P189" s="84">
        <f>IF(O189="","",Inputs!$C$5-O189)</f>
        <v>173.09439999999995</v>
      </c>
      <c r="Q189" s="83">
        <f>IF(N189="","",TS!J189)</f>
        <v>2000</v>
      </c>
      <c r="R189" s="83">
        <f>IF(N189="","",TS!K189)</f>
        <v>1825</v>
      </c>
      <c r="S189" s="83">
        <f>Inputs!$H$5+TS!P189*0.4333</f>
        <v>1949.96751997</v>
      </c>
      <c r="T189" s="83">
        <f>Inputs!$G$5+TS!P189*0.4333</f>
        <v>1964.96751997</v>
      </c>
      <c r="U189" s="85">
        <f t="shared" si="62"/>
        <v>0.98248375998500004</v>
      </c>
      <c r="V189" s="86">
        <f t="shared" si="69"/>
        <v>0</v>
      </c>
      <c r="W189" s="86">
        <f t="shared" si="70"/>
        <v>0</v>
      </c>
      <c r="X189" s="86" t="e">
        <f>((PI()*((42-2*'Gen Calcs'!$E$13)^2)/4)/144)*(A232-#REF!)*(W189+14.7)/14.7</f>
        <v>#REF!</v>
      </c>
      <c r="Y189" s="86" t="e">
        <f t="shared" si="71"/>
        <v>#REF!</v>
      </c>
      <c r="Z189" s="86" t="e">
        <f t="shared" si="72"/>
        <v>#REF!</v>
      </c>
      <c r="AA189" s="83">
        <f>MAX(B$2:B189)-B189</f>
        <v>173.09439999999995</v>
      </c>
      <c r="AB189" s="83">
        <f t="shared" si="73"/>
        <v>74.94987519999998</v>
      </c>
      <c r="AC189" s="83">
        <f t="shared" si="55"/>
        <v>109.85874293936804</v>
      </c>
      <c r="AD189" s="72">
        <f t="shared" si="56"/>
        <v>109.85874293936804</v>
      </c>
      <c r="AE189" s="73">
        <f t="shared" si="63"/>
        <v>907.92027688745009</v>
      </c>
      <c r="AF189" s="73">
        <f>SUM(AE$2:AE189)</f>
        <v>158750.68687104236</v>
      </c>
      <c r="AG189" s="73">
        <f t="shared" si="64"/>
        <v>1014979.2155560668</v>
      </c>
    </row>
    <row r="190" spans="1:33" x14ac:dyDescent="0.25">
      <c r="A190" s="100">
        <v>113499.92</v>
      </c>
      <c r="B190" s="97">
        <v>653.03219999999999</v>
      </c>
      <c r="C190" s="97">
        <v>0.6</v>
      </c>
      <c r="D190" s="80">
        <f t="shared" si="68"/>
        <v>100</v>
      </c>
      <c r="E190" s="81">
        <f t="shared" si="57"/>
        <v>6791.2436711181272</v>
      </c>
      <c r="F190" s="81">
        <f>SUM(E$2:E190)</f>
        <v>1192232.8282881177</v>
      </c>
      <c r="G190" s="43">
        <f t="shared" si="53"/>
        <v>1</v>
      </c>
      <c r="H190" s="78">
        <v>1</v>
      </c>
      <c r="I190" s="15">
        <f t="shared" si="58"/>
        <v>0.6</v>
      </c>
      <c r="J190" s="16">
        <f>VLOOKUP(G190,Inputs!$L$3:$P$15,5,FALSE)</f>
        <v>2000</v>
      </c>
      <c r="K190" s="16">
        <f t="shared" si="59"/>
        <v>1825</v>
      </c>
      <c r="L190" s="79">
        <f>Inputs!$P$8-B190</f>
        <v>285.15880000000004</v>
      </c>
      <c r="M190" s="79">
        <f>Inputs!$Q$8+L190*0.433</f>
        <v>1948.4737603999999</v>
      </c>
      <c r="N190" s="82">
        <f t="shared" si="60"/>
        <v>113499.92</v>
      </c>
      <c r="O190" s="83">
        <f t="shared" si="61"/>
        <v>653.03219999999999</v>
      </c>
      <c r="P190" s="84">
        <f>IF(O190="","",Inputs!$C$5-O190)</f>
        <v>172.15229999999997</v>
      </c>
      <c r="Q190" s="83">
        <f>IF(N190="","",TS!J190)</f>
        <v>2000</v>
      </c>
      <c r="R190" s="83">
        <f>IF(N190="","",TS!K190)</f>
        <v>1825</v>
      </c>
      <c r="S190" s="83">
        <f>Inputs!$H$5+TS!P190*0.4333</f>
        <v>1949.5593080399999</v>
      </c>
      <c r="T190" s="83">
        <f>Inputs!$G$5+TS!P190*0.4333</f>
        <v>1964.5593080399999</v>
      </c>
      <c r="U190" s="85">
        <f t="shared" si="62"/>
        <v>0.98227965401999995</v>
      </c>
      <c r="V190" s="86">
        <f t="shared" si="69"/>
        <v>0</v>
      </c>
      <c r="W190" s="86">
        <f t="shared" si="70"/>
        <v>0</v>
      </c>
      <c r="X190" s="86" t="e">
        <f>((PI()*((42-2*'Gen Calcs'!$E$13)^2)/4)/144)*(A233-#REF!)*(W190+14.7)/14.7</f>
        <v>#REF!</v>
      </c>
      <c r="Y190" s="86" t="e">
        <f t="shared" si="71"/>
        <v>#REF!</v>
      </c>
      <c r="Z190" s="86" t="e">
        <f t="shared" si="72"/>
        <v>#REF!</v>
      </c>
      <c r="AA190" s="83">
        <f>MAX(B$2:B190)-B190</f>
        <v>172.15229999999997</v>
      </c>
      <c r="AB190" s="83">
        <f t="shared" si="73"/>
        <v>74.541945899999988</v>
      </c>
      <c r="AC190" s="83">
        <f t="shared" si="55"/>
        <v>109.95710188195162</v>
      </c>
      <c r="AD190" s="72">
        <f t="shared" si="56"/>
        <v>109.95710188195162</v>
      </c>
      <c r="AE190" s="73">
        <f t="shared" si="63"/>
        <v>907.92027688745009</v>
      </c>
      <c r="AF190" s="73">
        <f>SUM(AE$2:AE190)</f>
        <v>159658.60714792981</v>
      </c>
      <c r="AG190" s="73">
        <f t="shared" si="64"/>
        <v>1014071.2952791794</v>
      </c>
    </row>
    <row r="191" spans="1:33" x14ac:dyDescent="0.25">
      <c r="A191" s="99">
        <v>113599.92</v>
      </c>
      <c r="B191" s="96">
        <v>654.31910000000005</v>
      </c>
      <c r="C191" s="96">
        <v>0.6</v>
      </c>
      <c r="D191" s="80">
        <f t="shared" si="68"/>
        <v>100</v>
      </c>
      <c r="E191" s="81">
        <f t="shared" si="57"/>
        <v>6791.2436711181272</v>
      </c>
      <c r="F191" s="81">
        <f>SUM(E$2:E191)</f>
        <v>1199024.0719592357</v>
      </c>
      <c r="G191" s="43">
        <f t="shared" si="53"/>
        <v>1</v>
      </c>
      <c r="H191" s="78">
        <v>1</v>
      </c>
      <c r="I191" s="15">
        <f t="shared" si="58"/>
        <v>0.6</v>
      </c>
      <c r="J191" s="16">
        <f>VLOOKUP(G191,Inputs!$L$3:$P$15,5,FALSE)</f>
        <v>2000</v>
      </c>
      <c r="K191" s="16">
        <f t="shared" si="59"/>
        <v>1825</v>
      </c>
      <c r="L191" s="79">
        <f>Inputs!$P$8-B191</f>
        <v>283.87189999999998</v>
      </c>
      <c r="M191" s="79">
        <f>Inputs!$Q$8+L191*0.433</f>
        <v>1947.9165327000001</v>
      </c>
      <c r="N191" s="82">
        <f t="shared" si="60"/>
        <v>113599.92</v>
      </c>
      <c r="O191" s="83">
        <f t="shared" si="61"/>
        <v>654.31910000000005</v>
      </c>
      <c r="P191" s="84">
        <f>IF(O191="","",Inputs!$C$5-O191)</f>
        <v>170.86539999999991</v>
      </c>
      <c r="Q191" s="83">
        <f>IF(N191="","",TS!J191)</f>
        <v>2000</v>
      </c>
      <c r="R191" s="83">
        <f>IF(N191="","",TS!K191)</f>
        <v>1825</v>
      </c>
      <c r="S191" s="83">
        <f>Inputs!$H$5+TS!P191*0.4333</f>
        <v>1949.0016942699999</v>
      </c>
      <c r="T191" s="83">
        <f>Inputs!$G$5+TS!P191*0.4333</f>
        <v>1964.0016942699999</v>
      </c>
      <c r="U191" s="85">
        <f t="shared" si="62"/>
        <v>0.98200084713499991</v>
      </c>
      <c r="V191" s="86">
        <f t="shared" si="69"/>
        <v>0</v>
      </c>
      <c r="W191" s="86">
        <f t="shared" si="70"/>
        <v>0</v>
      </c>
      <c r="X191" s="86" t="e">
        <f>((PI()*((42-2*'Gen Calcs'!$E$13)^2)/4)/144)*(A234-#REF!)*(W191+14.7)/14.7</f>
        <v>#REF!</v>
      </c>
      <c r="Y191" s="86" t="e">
        <f t="shared" si="71"/>
        <v>#REF!</v>
      </c>
      <c r="Z191" s="86" t="e">
        <f t="shared" si="72"/>
        <v>#REF!</v>
      </c>
      <c r="AA191" s="83">
        <f>MAX(B$2:B191)-B191</f>
        <v>170.86539999999991</v>
      </c>
      <c r="AB191" s="83">
        <f t="shared" si="73"/>
        <v>73.984718199999961</v>
      </c>
      <c r="AC191" s="83">
        <f t="shared" si="55"/>
        <v>110.05563710820392</v>
      </c>
      <c r="AD191" s="72">
        <f t="shared" si="56"/>
        <v>110.05563710820392</v>
      </c>
      <c r="AE191" s="73">
        <f t="shared" si="63"/>
        <v>907.92027688745009</v>
      </c>
      <c r="AF191" s="73">
        <f>SUM(AE$2:AE191)</f>
        <v>160566.52742481726</v>
      </c>
      <c r="AG191" s="73">
        <f t="shared" si="64"/>
        <v>1013163.375002292</v>
      </c>
    </row>
    <row r="192" spans="1:33" x14ac:dyDescent="0.25">
      <c r="A192" s="100">
        <v>113699.92</v>
      </c>
      <c r="B192" s="97">
        <v>656.2106</v>
      </c>
      <c r="C192" s="97">
        <v>0.6</v>
      </c>
      <c r="D192" s="80">
        <f t="shared" si="68"/>
        <v>100</v>
      </c>
      <c r="E192" s="81">
        <f t="shared" si="57"/>
        <v>6791.2436711181272</v>
      </c>
      <c r="F192" s="81">
        <f>SUM(E$2:E192)</f>
        <v>1205815.3156303538</v>
      </c>
      <c r="G192" s="43">
        <f t="shared" si="53"/>
        <v>1</v>
      </c>
      <c r="H192" s="78">
        <v>1</v>
      </c>
      <c r="I192" s="15">
        <f t="shared" si="58"/>
        <v>0.6</v>
      </c>
      <c r="J192" s="16">
        <f>VLOOKUP(G192,Inputs!$L$3:$P$15,5,FALSE)</f>
        <v>2000</v>
      </c>
      <c r="K192" s="16">
        <f t="shared" si="59"/>
        <v>1825</v>
      </c>
      <c r="L192" s="79">
        <f>Inputs!$P$8-B192</f>
        <v>281.98040000000003</v>
      </c>
      <c r="M192" s="79">
        <f>Inputs!$Q$8+L192*0.433</f>
        <v>1947.0975132000001</v>
      </c>
      <c r="N192" s="82">
        <f t="shared" si="60"/>
        <v>113699.92</v>
      </c>
      <c r="O192" s="83">
        <f t="shared" si="61"/>
        <v>656.2106</v>
      </c>
      <c r="P192" s="84">
        <f>IF(O192="","",Inputs!$C$5-O192)</f>
        <v>168.97389999999996</v>
      </c>
      <c r="Q192" s="83">
        <f>IF(N192="","",TS!J192)</f>
        <v>2000</v>
      </c>
      <c r="R192" s="83">
        <f>IF(N192="","",TS!K192)</f>
        <v>1825</v>
      </c>
      <c r="S192" s="83">
        <f>Inputs!$H$5+TS!P192*0.4333</f>
        <v>1948.1821073199999</v>
      </c>
      <c r="T192" s="83">
        <f>Inputs!$G$5+TS!P192*0.4333</f>
        <v>1963.1821073199999</v>
      </c>
      <c r="U192" s="85">
        <f t="shared" si="62"/>
        <v>0.98159105365999999</v>
      </c>
      <c r="V192" s="86">
        <f t="shared" si="69"/>
        <v>0</v>
      </c>
      <c r="W192" s="86">
        <f t="shared" si="70"/>
        <v>0</v>
      </c>
      <c r="X192" s="86" t="e">
        <f>((PI()*((42-2*'Gen Calcs'!$E$13)^2)/4)/144)*(A235-#REF!)*(W192+14.7)/14.7</f>
        <v>#REF!</v>
      </c>
      <c r="Y192" s="86" t="e">
        <f t="shared" si="71"/>
        <v>#REF!</v>
      </c>
      <c r="Z192" s="86" t="e">
        <f t="shared" si="72"/>
        <v>#REF!</v>
      </c>
      <c r="AA192" s="83">
        <f>MAX(B$2:B192)-B192</f>
        <v>168.97389999999996</v>
      </c>
      <c r="AB192" s="83">
        <f t="shared" si="73"/>
        <v>73.165698699999979</v>
      </c>
      <c r="AC192" s="83">
        <f t="shared" si="55"/>
        <v>110.15434909246625</v>
      </c>
      <c r="AD192" s="72">
        <f t="shared" si="56"/>
        <v>110.15434909246625</v>
      </c>
      <c r="AE192" s="73">
        <f t="shared" si="63"/>
        <v>907.92027688745009</v>
      </c>
      <c r="AF192" s="73">
        <f>SUM(AE$2:AE192)</f>
        <v>161474.44770170472</v>
      </c>
      <c r="AG192" s="73">
        <f t="shared" si="64"/>
        <v>1012255.4547254045</v>
      </c>
    </row>
    <row r="193" spans="1:33" x14ac:dyDescent="0.25">
      <c r="A193" s="99">
        <v>113799.92</v>
      </c>
      <c r="B193" s="96">
        <v>660.17840000000001</v>
      </c>
      <c r="C193" s="96">
        <v>0.6</v>
      </c>
      <c r="D193" s="80">
        <f t="shared" si="68"/>
        <v>100</v>
      </c>
      <c r="E193" s="81">
        <f t="shared" si="57"/>
        <v>6791.2436711181272</v>
      </c>
      <c r="F193" s="81">
        <f>SUM(E$2:E193)</f>
        <v>1212606.5593014718</v>
      </c>
      <c r="G193" s="43">
        <f t="shared" si="53"/>
        <v>1</v>
      </c>
      <c r="H193" s="78">
        <v>1</v>
      </c>
      <c r="I193" s="15">
        <f t="shared" si="58"/>
        <v>0.6</v>
      </c>
      <c r="J193" s="16">
        <f>VLOOKUP(G193,Inputs!$L$3:$P$15,5,FALSE)</f>
        <v>2000</v>
      </c>
      <c r="K193" s="16">
        <f t="shared" si="59"/>
        <v>1825</v>
      </c>
      <c r="L193" s="79">
        <f>Inputs!$P$8-B193</f>
        <v>278.01260000000002</v>
      </c>
      <c r="M193" s="79">
        <f>Inputs!$Q$8+L193*0.433</f>
        <v>1945.3794558</v>
      </c>
      <c r="N193" s="82">
        <f t="shared" si="60"/>
        <v>113799.92</v>
      </c>
      <c r="O193" s="83">
        <f t="shared" si="61"/>
        <v>660.17840000000001</v>
      </c>
      <c r="P193" s="84">
        <f>IF(O193="","",Inputs!$C$5-O193)</f>
        <v>165.00609999999995</v>
      </c>
      <c r="Q193" s="83">
        <f>IF(N193="","",TS!J193)</f>
        <v>2000</v>
      </c>
      <c r="R193" s="83">
        <f>IF(N193="","",TS!K193)</f>
        <v>1825</v>
      </c>
      <c r="S193" s="83">
        <f>Inputs!$H$5+TS!P193*0.4333</f>
        <v>1946.46285958</v>
      </c>
      <c r="T193" s="83">
        <f>Inputs!$G$5+TS!P193*0.4333</f>
        <v>1961.46285958</v>
      </c>
      <c r="U193" s="85">
        <f t="shared" si="62"/>
        <v>0.98073142978999994</v>
      </c>
      <c r="V193" s="86">
        <f t="shared" si="69"/>
        <v>0</v>
      </c>
      <c r="W193" s="86">
        <f t="shared" si="70"/>
        <v>0</v>
      </c>
      <c r="X193" s="86" t="e">
        <f>((PI()*((42-2*'Gen Calcs'!$E$13)^2)/4)/144)*(A236-#REF!)*(W193+14.7)/14.7</f>
        <v>#REF!</v>
      </c>
      <c r="Y193" s="86" t="e">
        <f t="shared" si="71"/>
        <v>#REF!</v>
      </c>
      <c r="Z193" s="86" t="e">
        <f t="shared" si="72"/>
        <v>#REF!</v>
      </c>
      <c r="AA193" s="83">
        <f>MAX(B$2:B193)-B193</f>
        <v>165.00609999999995</v>
      </c>
      <c r="AB193" s="83">
        <f t="shared" si="73"/>
        <v>71.447641299999972</v>
      </c>
      <c r="AC193" s="83">
        <f t="shared" si="55"/>
        <v>110.2532383107832</v>
      </c>
      <c r="AD193" s="72">
        <f t="shared" si="56"/>
        <v>110.2532383107832</v>
      </c>
      <c r="AE193" s="73">
        <f t="shared" si="63"/>
        <v>907.92027688745009</v>
      </c>
      <c r="AF193" s="73">
        <f>SUM(AE$2:AE193)</f>
        <v>162382.36797859217</v>
      </c>
      <c r="AG193" s="73">
        <f t="shared" si="64"/>
        <v>1011347.534448517</v>
      </c>
    </row>
    <row r="194" spans="1:33" x14ac:dyDescent="0.25">
      <c r="A194" s="100">
        <v>113899.92</v>
      </c>
      <c r="B194" s="97">
        <v>657.28449999999998</v>
      </c>
      <c r="C194" s="97">
        <v>0.6</v>
      </c>
      <c r="D194" s="80">
        <f t="shared" si="68"/>
        <v>100</v>
      </c>
      <c r="E194" s="81">
        <f t="shared" si="57"/>
        <v>6791.2436711181272</v>
      </c>
      <c r="F194" s="81">
        <f>SUM(E$2:E194)</f>
        <v>1219397.8029725899</v>
      </c>
      <c r="G194" s="43">
        <f t="shared" si="53"/>
        <v>1</v>
      </c>
      <c r="H194" s="78">
        <v>1</v>
      </c>
      <c r="I194" s="15">
        <f t="shared" si="58"/>
        <v>0.6</v>
      </c>
      <c r="J194" s="16">
        <f>VLOOKUP(G194,Inputs!$L$3:$P$15,5,FALSE)</f>
        <v>2000</v>
      </c>
      <c r="K194" s="16">
        <f t="shared" si="59"/>
        <v>1825</v>
      </c>
      <c r="L194" s="79">
        <f>Inputs!$P$8-B194</f>
        <v>280.90650000000005</v>
      </c>
      <c r="M194" s="79">
        <f>Inputs!$Q$8+L194*0.433</f>
        <v>1946.6325145000001</v>
      </c>
      <c r="N194" s="82">
        <f t="shared" si="60"/>
        <v>113899.92</v>
      </c>
      <c r="O194" s="83">
        <f t="shared" si="61"/>
        <v>657.28449999999998</v>
      </c>
      <c r="P194" s="84">
        <f>IF(O194="","",Inputs!$C$5-O194)</f>
        <v>167.89999999999998</v>
      </c>
      <c r="Q194" s="83">
        <f>IF(N194="","",TS!J194)</f>
        <v>2000</v>
      </c>
      <c r="R194" s="83">
        <f>IF(N194="","",TS!K194)</f>
        <v>1825</v>
      </c>
      <c r="S194" s="83">
        <f>Inputs!$H$5+TS!P194*0.4333</f>
        <v>1947.71678645</v>
      </c>
      <c r="T194" s="83">
        <f>Inputs!$G$5+TS!P194*0.4333</f>
        <v>1962.71678645</v>
      </c>
      <c r="U194" s="85">
        <f t="shared" si="62"/>
        <v>0.98135839322499996</v>
      </c>
      <c r="V194" s="86">
        <f t="shared" si="69"/>
        <v>0</v>
      </c>
      <c r="W194" s="86">
        <f t="shared" si="70"/>
        <v>0</v>
      </c>
      <c r="X194" s="86" t="e">
        <f>((PI()*((42-2*'Gen Calcs'!$E$13)^2)/4)/144)*(A237-#REF!)*(W194+14.7)/14.7</f>
        <v>#REF!</v>
      </c>
      <c r="Y194" s="86" t="e">
        <f t="shared" si="71"/>
        <v>#REF!</v>
      </c>
      <c r="Z194" s="86" t="e">
        <f t="shared" si="72"/>
        <v>#REF!</v>
      </c>
      <c r="AA194" s="83">
        <f>MAX(B$2:B194)-B194</f>
        <v>167.89999999999998</v>
      </c>
      <c r="AB194" s="83">
        <f t="shared" si="73"/>
        <v>72.700699999999983</v>
      </c>
      <c r="AC194" s="83">
        <f t="shared" si="55"/>
        <v>110.35230524091037</v>
      </c>
      <c r="AD194" s="72">
        <f t="shared" si="56"/>
        <v>110.35230524091037</v>
      </c>
      <c r="AE194" s="73">
        <f t="shared" si="63"/>
        <v>907.92027688745009</v>
      </c>
      <c r="AF194" s="73">
        <f>SUM(AE$2:AE194)</f>
        <v>163290.28825547962</v>
      </c>
      <c r="AG194" s="73">
        <f t="shared" si="64"/>
        <v>1010439.6141716295</v>
      </c>
    </row>
    <row r="195" spans="1:33" x14ac:dyDescent="0.25">
      <c r="A195" s="99">
        <v>113999.92</v>
      </c>
      <c r="B195" s="96">
        <v>662.33900000000006</v>
      </c>
      <c r="C195" s="96">
        <v>0.6</v>
      </c>
      <c r="D195" s="80">
        <f t="shared" si="68"/>
        <v>100</v>
      </c>
      <c r="E195" s="81">
        <f t="shared" si="57"/>
        <v>6791.2436711181272</v>
      </c>
      <c r="F195" s="81">
        <f>SUM(E$2:E195)</f>
        <v>1226189.0466437079</v>
      </c>
      <c r="G195" s="43">
        <f t="shared" ref="G195:G258" si="74">IF(C195=0.72,12,IF(C195=1,11,IF(C195=0.825,10,IF(C195=0.6,1,IF(C195=0.864,2,IF(C195=0.888,3))))))</f>
        <v>1</v>
      </c>
      <c r="H195" s="78">
        <v>1</v>
      </c>
      <c r="I195" s="15">
        <f t="shared" si="58"/>
        <v>0.6</v>
      </c>
      <c r="J195" s="16">
        <f>VLOOKUP(G195,Inputs!$L$3:$P$15,5,FALSE)</f>
        <v>2000</v>
      </c>
      <c r="K195" s="16">
        <f t="shared" si="59"/>
        <v>1825</v>
      </c>
      <c r="L195" s="79">
        <f>Inputs!$P$8-B195</f>
        <v>275.85199999999998</v>
      </c>
      <c r="M195" s="79">
        <f>Inputs!$Q$8+L195*0.433</f>
        <v>1944.4439159999999</v>
      </c>
      <c r="N195" s="82">
        <f t="shared" si="60"/>
        <v>113999.92</v>
      </c>
      <c r="O195" s="83">
        <f t="shared" si="61"/>
        <v>662.33900000000006</v>
      </c>
      <c r="P195" s="84">
        <f>IF(O195="","",Inputs!$C$5-O195)</f>
        <v>162.8454999999999</v>
      </c>
      <c r="Q195" s="83">
        <f>IF(N195="","",TS!J195)</f>
        <v>2000</v>
      </c>
      <c r="R195" s="83">
        <f>IF(N195="","",TS!K195)</f>
        <v>1825</v>
      </c>
      <c r="S195" s="83">
        <f>Inputs!$H$5+TS!P195*0.4333</f>
        <v>1945.5266715999999</v>
      </c>
      <c r="T195" s="83">
        <f>Inputs!$G$5+TS!P195*0.4333</f>
        <v>1960.5266715999999</v>
      </c>
      <c r="U195" s="85">
        <f t="shared" si="62"/>
        <v>0.98026333579999991</v>
      </c>
      <c r="V195" s="86">
        <f t="shared" si="69"/>
        <v>0</v>
      </c>
      <c r="W195" s="86">
        <f t="shared" si="70"/>
        <v>0</v>
      </c>
      <c r="X195" s="86" t="e">
        <f>((PI()*((42-2*'Gen Calcs'!$E$13)^2)/4)/144)*(A238-#REF!)*(W195+14.7)/14.7</f>
        <v>#REF!</v>
      </c>
      <c r="Y195" s="86" t="e">
        <f t="shared" si="71"/>
        <v>#REF!</v>
      </c>
      <c r="Z195" s="86" t="e">
        <f t="shared" si="72"/>
        <v>#REF!</v>
      </c>
      <c r="AA195" s="83">
        <f>MAX(B$2:B195)-B195</f>
        <v>162.8454999999999</v>
      </c>
      <c r="AB195" s="83">
        <f t="shared" si="73"/>
        <v>70.512101499999957</v>
      </c>
      <c r="AC195" s="83">
        <f t="shared" ref="AC195:AC258" si="75">((MAX(O$2:O$1348)-O195)-(MAX(O$2:O$1348)-O195))*0.433+AD195</f>
        <v>110.45155036232202</v>
      </c>
      <c r="AD195" s="72">
        <f t="shared" si="56"/>
        <v>110.45155036232202</v>
      </c>
      <c r="AE195" s="73">
        <f t="shared" si="63"/>
        <v>907.92027688745009</v>
      </c>
      <c r="AF195" s="73">
        <f>SUM(AE$2:AE195)</f>
        <v>164198.20853236708</v>
      </c>
      <c r="AG195" s="73">
        <f t="shared" si="64"/>
        <v>1009531.6938947421</v>
      </c>
    </row>
    <row r="196" spans="1:33" x14ac:dyDescent="0.25">
      <c r="A196" s="100">
        <v>114057.3</v>
      </c>
      <c r="B196" s="97">
        <v>662.33900000000006</v>
      </c>
      <c r="C196" s="97">
        <v>0.86399999999999999</v>
      </c>
      <c r="D196" s="80">
        <f t="shared" si="68"/>
        <v>57.380000000004657</v>
      </c>
      <c r="E196" s="81">
        <f t="shared" si="57"/>
        <v>3896.8156184878972</v>
      </c>
      <c r="F196" s="81">
        <f>SUM(E$2:E196)</f>
        <v>1230085.8622621959</v>
      </c>
      <c r="G196" s="43">
        <f t="shared" si="74"/>
        <v>2</v>
      </c>
      <c r="H196" s="78">
        <v>1</v>
      </c>
      <c r="I196" s="15">
        <f t="shared" si="58"/>
        <v>0.86399999999999999</v>
      </c>
      <c r="J196" s="16">
        <f>VLOOKUP(G196,Inputs!$L$3:$P$15,5,FALSE)</f>
        <v>2880</v>
      </c>
      <c r="K196" s="16">
        <f t="shared" si="59"/>
        <v>1825</v>
      </c>
      <c r="L196" s="79">
        <f>Inputs!$P$8-B196</f>
        <v>275.85199999999998</v>
      </c>
      <c r="M196" s="79">
        <f>Inputs!$Q$8+L196*0.433</f>
        <v>1944.4439159999999</v>
      </c>
      <c r="N196" s="82">
        <f t="shared" si="60"/>
        <v>114057.3</v>
      </c>
      <c r="O196" s="83">
        <f t="shared" si="61"/>
        <v>662.33900000000006</v>
      </c>
      <c r="P196" s="84">
        <f>IF(O196="","",Inputs!$C$5-O196)</f>
        <v>162.8454999999999</v>
      </c>
      <c r="Q196" s="83">
        <f>IF(N196="","",TS!J196)</f>
        <v>2880</v>
      </c>
      <c r="R196" s="83">
        <f>IF(N196="","",TS!K196)</f>
        <v>1825</v>
      </c>
      <c r="S196" s="83">
        <f>Inputs!$H$5+TS!P196*0.4333</f>
        <v>1945.5266715999999</v>
      </c>
      <c r="T196" s="83">
        <f>Inputs!$G$5+TS!P196*0.4333</f>
        <v>1960.5266715999999</v>
      </c>
      <c r="U196" s="85">
        <f t="shared" si="62"/>
        <v>0.68073842763888881</v>
      </c>
      <c r="V196" s="86">
        <f t="shared" si="69"/>
        <v>0</v>
      </c>
      <c r="W196" s="86">
        <f t="shared" si="70"/>
        <v>0</v>
      </c>
      <c r="X196" s="86" t="e">
        <f>((PI()*((42-2*'Gen Calcs'!$E$13)^2)/4)/144)*(A239-#REF!)*(W196+14.7)/14.7</f>
        <v>#REF!</v>
      </c>
      <c r="Y196" s="86" t="e">
        <f t="shared" si="71"/>
        <v>#REF!</v>
      </c>
      <c r="Z196" s="86" t="e">
        <f t="shared" si="72"/>
        <v>#REF!</v>
      </c>
      <c r="AA196" s="83">
        <f>MAX(B$2:B196)-B196</f>
        <v>162.8454999999999</v>
      </c>
      <c r="AB196" s="83">
        <f t="shared" si="73"/>
        <v>70.512101499999957</v>
      </c>
      <c r="AC196" s="83">
        <f t="shared" si="75"/>
        <v>110.50711066404135</v>
      </c>
      <c r="AD196" s="72">
        <f t="shared" ref="AD196:AD259" si="76">(AD$2*AF$1391)/AG196</f>
        <v>110.50711066404135</v>
      </c>
      <c r="AE196" s="73">
        <f t="shared" si="63"/>
        <v>507.56811187047708</v>
      </c>
      <c r="AF196" s="73">
        <f>SUM(AE$2:AE196)</f>
        <v>164705.77664423754</v>
      </c>
      <c r="AG196" s="73">
        <f t="shared" si="64"/>
        <v>1009024.1257828716</v>
      </c>
    </row>
    <row r="197" spans="1:33" x14ac:dyDescent="0.25">
      <c r="A197" s="99">
        <v>114099.92</v>
      </c>
      <c r="B197" s="96">
        <v>663.74429999999995</v>
      </c>
      <c r="C197" s="96">
        <v>0.6</v>
      </c>
      <c r="D197" s="80">
        <f t="shared" si="68"/>
        <v>42.619999999995343</v>
      </c>
      <c r="E197" s="81">
        <f t="shared" ref="E197:E260" si="77">(PI()/4*(42/12-(2*C239/12))^2)*(D197)*7.48</f>
        <v>2894.4280526302296</v>
      </c>
      <c r="F197" s="81">
        <f>SUM(E$2:E197)</f>
        <v>1232980.2903148262</v>
      </c>
      <c r="G197" s="43">
        <f t="shared" si="74"/>
        <v>1</v>
      </c>
      <c r="H197" s="78">
        <v>1</v>
      </c>
      <c r="I197" s="15">
        <f t="shared" ref="I197:I260" si="78">C197</f>
        <v>0.6</v>
      </c>
      <c r="J197" s="16">
        <f>VLOOKUP(G197,Inputs!$L$3:$P$15,5,FALSE)</f>
        <v>2000</v>
      </c>
      <c r="K197" s="16">
        <f t="shared" ref="K197:K260" si="79">IF(H197=1,1825,IF(H197=2,1825,2220))</f>
        <v>1825</v>
      </c>
      <c r="L197" s="79">
        <f>Inputs!$P$8-B197</f>
        <v>274.44670000000008</v>
      </c>
      <c r="M197" s="79">
        <f>Inputs!$Q$8+L197*0.433</f>
        <v>1943.8354211000001</v>
      </c>
      <c r="N197" s="82">
        <f t="shared" ref="N197:N260" si="80">A197</f>
        <v>114099.92</v>
      </c>
      <c r="O197" s="83">
        <f t="shared" ref="O197:O260" si="81">B197</f>
        <v>663.74429999999995</v>
      </c>
      <c r="P197" s="84">
        <f>IF(O197="","",Inputs!$C$5-O197)</f>
        <v>161.4402</v>
      </c>
      <c r="Q197" s="83">
        <f>IF(N197="","",TS!J197)</f>
        <v>2000</v>
      </c>
      <c r="R197" s="83">
        <f>IF(N197="","",TS!K197)</f>
        <v>1825</v>
      </c>
      <c r="S197" s="83">
        <f>Inputs!$H$5+TS!P197*0.4333</f>
        <v>1944.9177551099999</v>
      </c>
      <c r="T197" s="83">
        <f>Inputs!$G$5+TS!P197*0.4333</f>
        <v>1959.9177551099999</v>
      </c>
      <c r="U197" s="85">
        <f t="shared" ref="U197:U260" si="82">T197/(140000*C197/42)</f>
        <v>0.979958877555</v>
      </c>
      <c r="V197" s="86">
        <f t="shared" si="69"/>
        <v>0</v>
      </c>
      <c r="W197" s="86">
        <f t="shared" si="70"/>
        <v>0</v>
      </c>
      <c r="X197" s="86" t="e">
        <f>((PI()*((42-2*'Gen Calcs'!$E$13)^2)/4)/144)*(A240-#REF!)*(W197+14.7)/14.7</f>
        <v>#REF!</v>
      </c>
      <c r="Y197" s="86" t="e">
        <f t="shared" si="71"/>
        <v>#REF!</v>
      </c>
      <c r="Z197" s="86" t="e">
        <f t="shared" si="72"/>
        <v>#REF!</v>
      </c>
      <c r="AA197" s="83">
        <f>MAX(B$2:B197)-B197</f>
        <v>161.4402</v>
      </c>
      <c r="AB197" s="83">
        <f t="shared" si="73"/>
        <v>69.903606600000003</v>
      </c>
      <c r="AC197" s="83">
        <f t="shared" si="75"/>
        <v>110.549505837458</v>
      </c>
      <c r="AD197" s="72">
        <f t="shared" si="76"/>
        <v>110.549505837458</v>
      </c>
      <c r="AE197" s="73">
        <f t="shared" ref="AE197:AE260" si="83">PI()*(((42-2*C197)/12)^2/4)*D197</f>
        <v>386.95562200938895</v>
      </c>
      <c r="AF197" s="73">
        <f>SUM(AE$2:AE197)</f>
        <v>165092.73226624692</v>
      </c>
      <c r="AG197" s="73">
        <f t="shared" ref="AG197:AG260" si="84">AF$1391-AF197</f>
        <v>1008637.1701608623</v>
      </c>
    </row>
    <row r="198" spans="1:33" x14ac:dyDescent="0.25">
      <c r="A198" s="100">
        <v>114137.3</v>
      </c>
      <c r="B198" s="97">
        <v>663.74429999999995</v>
      </c>
      <c r="C198" s="97">
        <v>0.86399999999999999</v>
      </c>
      <c r="D198" s="80">
        <f t="shared" si="68"/>
        <v>37.380000000004657</v>
      </c>
      <c r="E198" s="81">
        <f t="shared" si="77"/>
        <v>2538.5668842642722</v>
      </c>
      <c r="F198" s="81">
        <f>SUM(E$2:E198)</f>
        <v>1235518.8571990905</v>
      </c>
      <c r="G198" s="43">
        <f t="shared" si="74"/>
        <v>2</v>
      </c>
      <c r="H198" s="78">
        <v>1</v>
      </c>
      <c r="I198" s="15">
        <f t="shared" si="78"/>
        <v>0.86399999999999999</v>
      </c>
      <c r="J198" s="16">
        <f>VLOOKUP(G198,Inputs!$L$3:$P$15,5,FALSE)</f>
        <v>2880</v>
      </c>
      <c r="K198" s="16">
        <f t="shared" si="79"/>
        <v>1825</v>
      </c>
      <c r="L198" s="79">
        <f>Inputs!$P$8-B198</f>
        <v>274.44670000000008</v>
      </c>
      <c r="M198" s="79">
        <f>Inputs!$Q$8+L198*0.433</f>
        <v>1943.8354211000001</v>
      </c>
      <c r="N198" s="82">
        <f t="shared" si="80"/>
        <v>114137.3</v>
      </c>
      <c r="O198" s="83">
        <f t="shared" si="81"/>
        <v>663.74429999999995</v>
      </c>
      <c r="P198" s="84">
        <f>IF(O198="","",Inputs!$C$5-O198)</f>
        <v>161.4402</v>
      </c>
      <c r="Q198" s="83">
        <f>IF(N198="","",TS!J198)</f>
        <v>2880</v>
      </c>
      <c r="R198" s="83">
        <f>IF(N198="","",TS!K198)</f>
        <v>1825</v>
      </c>
      <c r="S198" s="83">
        <f>Inputs!$H$5+TS!P198*0.4333</f>
        <v>1944.9177551099999</v>
      </c>
      <c r="T198" s="83">
        <f>Inputs!$G$5+TS!P198*0.4333</f>
        <v>1959.9177551099999</v>
      </c>
      <c r="U198" s="85">
        <f t="shared" si="82"/>
        <v>0.6805269983020833</v>
      </c>
      <c r="V198" s="86">
        <f t="shared" si="69"/>
        <v>0</v>
      </c>
      <c r="W198" s="86">
        <f t="shared" si="70"/>
        <v>0</v>
      </c>
      <c r="X198" s="86" t="e">
        <f>((PI()*((42-2*'Gen Calcs'!$E$13)^2)/4)/144)*(A241-#REF!)*(W198+14.7)/14.7</f>
        <v>#REF!</v>
      </c>
      <c r="Y198" s="86" t="e">
        <f t="shared" si="71"/>
        <v>#REF!</v>
      </c>
      <c r="Z198" s="86" t="e">
        <f t="shared" si="72"/>
        <v>#REF!</v>
      </c>
      <c r="AA198" s="83">
        <f>MAX(B$2:B198)-B198</f>
        <v>161.4402</v>
      </c>
      <c r="AB198" s="83">
        <f t="shared" si="73"/>
        <v>69.903606600000003</v>
      </c>
      <c r="AC198" s="83">
        <f t="shared" si="75"/>
        <v>110.58575828345474</v>
      </c>
      <c r="AD198" s="72">
        <f t="shared" si="76"/>
        <v>110.58575828345474</v>
      </c>
      <c r="AE198" s="73">
        <f t="shared" si="83"/>
        <v>330.65346848587063</v>
      </c>
      <c r="AF198" s="73">
        <f>SUM(AE$2:AE198)</f>
        <v>165423.38573473279</v>
      </c>
      <c r="AG198" s="73">
        <f t="shared" si="84"/>
        <v>1008306.5166923765</v>
      </c>
    </row>
    <row r="199" spans="1:33" x14ac:dyDescent="0.25">
      <c r="A199" s="99">
        <v>114199.92</v>
      </c>
      <c r="B199" s="96">
        <v>664.96199999999999</v>
      </c>
      <c r="C199" s="96">
        <v>0.6</v>
      </c>
      <c r="D199" s="80">
        <f t="shared" si="68"/>
        <v>62.619999999995343</v>
      </c>
      <c r="E199" s="81">
        <f t="shared" si="77"/>
        <v>4252.6767868538545</v>
      </c>
      <c r="F199" s="81">
        <f>SUM(E$2:E199)</f>
        <v>1239771.5339859445</v>
      </c>
      <c r="G199" s="43">
        <f t="shared" si="74"/>
        <v>1</v>
      </c>
      <c r="H199" s="78">
        <v>1</v>
      </c>
      <c r="I199" s="15">
        <f t="shared" si="78"/>
        <v>0.6</v>
      </c>
      <c r="J199" s="16">
        <f>VLOOKUP(G199,Inputs!$L$3:$P$15,5,FALSE)</f>
        <v>2000</v>
      </c>
      <c r="K199" s="16">
        <f t="shared" si="79"/>
        <v>1825</v>
      </c>
      <c r="L199" s="79">
        <f>Inputs!$P$8-B199</f>
        <v>273.22900000000004</v>
      </c>
      <c r="M199" s="79">
        <f>Inputs!$Q$8+L199*0.433</f>
        <v>1943.3081569999999</v>
      </c>
      <c r="N199" s="82">
        <f t="shared" si="80"/>
        <v>114199.92</v>
      </c>
      <c r="O199" s="83">
        <f t="shared" si="81"/>
        <v>664.96199999999999</v>
      </c>
      <c r="P199" s="84">
        <f>IF(O199="","",Inputs!$C$5-O199)</f>
        <v>160.22249999999997</v>
      </c>
      <c r="Q199" s="83">
        <f>IF(N199="","",TS!J199)</f>
        <v>2000</v>
      </c>
      <c r="R199" s="83">
        <f>IF(N199="","",TS!K199)</f>
        <v>1825</v>
      </c>
      <c r="S199" s="83">
        <f>Inputs!$H$5+TS!P199*0.4333</f>
        <v>1944.3901257</v>
      </c>
      <c r="T199" s="83">
        <f>Inputs!$G$5+TS!P199*0.4333</f>
        <v>1959.3901257</v>
      </c>
      <c r="U199" s="85">
        <f t="shared" si="82"/>
        <v>0.97969506284999996</v>
      </c>
      <c r="V199" s="86">
        <f t="shared" si="69"/>
        <v>0</v>
      </c>
      <c r="W199" s="86">
        <f t="shared" si="70"/>
        <v>0</v>
      </c>
      <c r="X199" s="86" t="e">
        <f>((PI()*((42-2*'Gen Calcs'!$E$13)^2)/4)/144)*(A242-#REF!)*(W199+14.7)/14.7</f>
        <v>#REF!</v>
      </c>
      <c r="Y199" s="86" t="e">
        <f t="shared" si="71"/>
        <v>#REF!</v>
      </c>
      <c r="Z199" s="86" t="e">
        <f t="shared" si="72"/>
        <v>#REF!</v>
      </c>
      <c r="AA199" s="83">
        <f>MAX(B$2:B199)-B199</f>
        <v>160.22249999999997</v>
      </c>
      <c r="AB199" s="83">
        <f t="shared" si="73"/>
        <v>69.376342499999978</v>
      </c>
      <c r="AC199" s="83">
        <f t="shared" si="75"/>
        <v>110.64814790533273</v>
      </c>
      <c r="AD199" s="72">
        <f t="shared" si="76"/>
        <v>110.64814790533273</v>
      </c>
      <c r="AE199" s="73">
        <f t="shared" si="83"/>
        <v>568.53967738687891</v>
      </c>
      <c r="AF199" s="73">
        <f>SUM(AE$2:AE199)</f>
        <v>165991.92541211966</v>
      </c>
      <c r="AG199" s="73">
        <f t="shared" si="84"/>
        <v>1007737.9770149896</v>
      </c>
    </row>
    <row r="200" spans="1:33" x14ac:dyDescent="0.25">
      <c r="A200" s="100">
        <v>114299.92</v>
      </c>
      <c r="B200" s="97">
        <v>666.92269999999996</v>
      </c>
      <c r="C200" s="97">
        <v>0.6</v>
      </c>
      <c r="D200" s="80">
        <f t="shared" si="68"/>
        <v>100</v>
      </c>
      <c r="E200" s="81">
        <f t="shared" si="77"/>
        <v>6791.2436711181272</v>
      </c>
      <c r="F200" s="81">
        <f>SUM(E$2:E200)</f>
        <v>1246562.7776570625</v>
      </c>
      <c r="G200" s="43">
        <f t="shared" si="74"/>
        <v>1</v>
      </c>
      <c r="H200" s="78">
        <v>1</v>
      </c>
      <c r="I200" s="15">
        <f t="shared" si="78"/>
        <v>0.6</v>
      </c>
      <c r="J200" s="16">
        <f>VLOOKUP(G200,Inputs!$L$3:$P$15,5,FALSE)</f>
        <v>2000</v>
      </c>
      <c r="K200" s="16">
        <f t="shared" si="79"/>
        <v>1825</v>
      </c>
      <c r="L200" s="79">
        <f>Inputs!$P$8-B200</f>
        <v>271.26830000000007</v>
      </c>
      <c r="M200" s="79">
        <f>Inputs!$Q$8+L200*0.433</f>
        <v>1942.4591739</v>
      </c>
      <c r="N200" s="82">
        <f t="shared" si="80"/>
        <v>114299.92</v>
      </c>
      <c r="O200" s="83">
        <f t="shared" si="81"/>
        <v>666.92269999999996</v>
      </c>
      <c r="P200" s="84">
        <f>IF(O200="","",Inputs!$C$5-O200)</f>
        <v>158.26179999999999</v>
      </c>
      <c r="Q200" s="83">
        <f>IF(N200="","",TS!J200)</f>
        <v>2000</v>
      </c>
      <c r="R200" s="83">
        <f>IF(N200="","",TS!K200)</f>
        <v>1825</v>
      </c>
      <c r="S200" s="83">
        <f>Inputs!$H$5+TS!P200*0.4333</f>
        <v>1943.5405543899999</v>
      </c>
      <c r="T200" s="83">
        <f>Inputs!$G$5+TS!P200*0.4333</f>
        <v>1958.5405543899999</v>
      </c>
      <c r="U200" s="85">
        <f t="shared" si="82"/>
        <v>0.97927027719499993</v>
      </c>
      <c r="V200" s="86">
        <f t="shared" si="69"/>
        <v>0</v>
      </c>
      <c r="W200" s="86">
        <f t="shared" si="70"/>
        <v>0</v>
      </c>
      <c r="X200" s="86" t="e">
        <f>((PI()*((42-2*'Gen Calcs'!$E$13)^2)/4)/144)*(A243-#REF!)*(W200+14.7)/14.7</f>
        <v>#REF!</v>
      </c>
      <c r="Y200" s="86" t="e">
        <f t="shared" si="71"/>
        <v>#REF!</v>
      </c>
      <c r="Z200" s="86" t="e">
        <f t="shared" si="72"/>
        <v>#REF!</v>
      </c>
      <c r="AA200" s="83">
        <f>MAX(B$2:B200)-B200</f>
        <v>158.26179999999999</v>
      </c>
      <c r="AB200" s="83">
        <f t="shared" si="73"/>
        <v>68.527359399999995</v>
      </c>
      <c r="AC200" s="83">
        <f t="shared" si="75"/>
        <v>110.74792611160596</v>
      </c>
      <c r="AD200" s="72">
        <f t="shared" si="76"/>
        <v>110.74792611160596</v>
      </c>
      <c r="AE200" s="73">
        <f t="shared" si="83"/>
        <v>907.92027688745009</v>
      </c>
      <c r="AF200" s="73">
        <f>SUM(AE$2:AE200)</f>
        <v>166899.84568900711</v>
      </c>
      <c r="AG200" s="73">
        <f t="shared" si="84"/>
        <v>1006830.0567381021</v>
      </c>
    </row>
    <row r="201" spans="1:33" x14ac:dyDescent="0.25">
      <c r="A201" s="99">
        <v>114399.92</v>
      </c>
      <c r="B201" s="96">
        <v>669.03020000000004</v>
      </c>
      <c r="C201" s="96">
        <v>0.6</v>
      </c>
      <c r="D201" s="80">
        <f t="shared" si="68"/>
        <v>100</v>
      </c>
      <c r="E201" s="81">
        <f t="shared" si="77"/>
        <v>6791.2436711181272</v>
      </c>
      <c r="F201" s="81">
        <f>SUM(E$2:E201)</f>
        <v>1253354.0213281806</v>
      </c>
      <c r="G201" s="43">
        <f t="shared" si="74"/>
        <v>1</v>
      </c>
      <c r="H201" s="78">
        <v>1</v>
      </c>
      <c r="I201" s="15">
        <f t="shared" si="78"/>
        <v>0.6</v>
      </c>
      <c r="J201" s="16">
        <f>VLOOKUP(G201,Inputs!$L$3:$P$15,5,FALSE)</f>
        <v>2000</v>
      </c>
      <c r="K201" s="16">
        <f t="shared" si="79"/>
        <v>1825</v>
      </c>
      <c r="L201" s="79">
        <f>Inputs!$P$8-B201</f>
        <v>269.16079999999999</v>
      </c>
      <c r="M201" s="79">
        <f>Inputs!$Q$8+L201*0.433</f>
        <v>1941.5466263999999</v>
      </c>
      <c r="N201" s="82">
        <f t="shared" si="80"/>
        <v>114399.92</v>
      </c>
      <c r="O201" s="83">
        <f t="shared" si="81"/>
        <v>669.03020000000004</v>
      </c>
      <c r="P201" s="84">
        <f>IF(O201="","",Inputs!$C$5-O201)</f>
        <v>156.15429999999992</v>
      </c>
      <c r="Q201" s="83">
        <f>IF(N201="","",TS!J201)</f>
        <v>2000</v>
      </c>
      <c r="R201" s="83">
        <f>IF(N201="","",TS!K201)</f>
        <v>1825</v>
      </c>
      <c r="S201" s="83">
        <f>Inputs!$H$5+TS!P201*0.4333</f>
        <v>1942.62737464</v>
      </c>
      <c r="T201" s="83">
        <f>Inputs!$G$5+TS!P201*0.4333</f>
        <v>1957.62737464</v>
      </c>
      <c r="U201" s="85">
        <f t="shared" si="82"/>
        <v>0.97881368731999996</v>
      </c>
      <c r="V201" s="86">
        <f t="shared" si="69"/>
        <v>0</v>
      </c>
      <c r="W201" s="86">
        <f t="shared" si="70"/>
        <v>0</v>
      </c>
      <c r="X201" s="86" t="e">
        <f>((PI()*((42-2*'Gen Calcs'!$E$13)^2)/4)/144)*(A244-#REF!)*(W201+14.7)/14.7</f>
        <v>#REF!</v>
      </c>
      <c r="Y201" s="86" t="e">
        <f t="shared" si="71"/>
        <v>#REF!</v>
      </c>
      <c r="Z201" s="86" t="e">
        <f t="shared" si="72"/>
        <v>#REF!</v>
      </c>
      <c r="AA201" s="83">
        <f>MAX(B$2:B201)-B201</f>
        <v>156.15429999999992</v>
      </c>
      <c r="AB201" s="83">
        <f t="shared" si="73"/>
        <v>67.614811899999964</v>
      </c>
      <c r="AC201" s="83">
        <f t="shared" si="75"/>
        <v>110.84788443252899</v>
      </c>
      <c r="AD201" s="72">
        <f t="shared" si="76"/>
        <v>110.84788443252899</v>
      </c>
      <c r="AE201" s="73">
        <f t="shared" si="83"/>
        <v>907.92027688745009</v>
      </c>
      <c r="AF201" s="73">
        <f>SUM(AE$2:AE201)</f>
        <v>167807.76596589456</v>
      </c>
      <c r="AG201" s="73">
        <f t="shared" si="84"/>
        <v>1005922.1364612146</v>
      </c>
    </row>
    <row r="202" spans="1:33" x14ac:dyDescent="0.25">
      <c r="A202" s="100">
        <v>114499.92</v>
      </c>
      <c r="B202" s="97">
        <v>671.26059999999995</v>
      </c>
      <c r="C202" s="97">
        <v>0.6</v>
      </c>
      <c r="D202" s="80">
        <f t="shared" si="68"/>
        <v>100</v>
      </c>
      <c r="E202" s="81">
        <f t="shared" si="77"/>
        <v>6791.2436711181272</v>
      </c>
      <c r="F202" s="81">
        <f>SUM(E$2:E202)</f>
        <v>1260145.2649992986</v>
      </c>
      <c r="G202" s="43">
        <f t="shared" si="74"/>
        <v>1</v>
      </c>
      <c r="H202" s="78">
        <v>1</v>
      </c>
      <c r="I202" s="15">
        <f t="shared" si="78"/>
        <v>0.6</v>
      </c>
      <c r="J202" s="16">
        <f>VLOOKUP(G202,Inputs!$L$3:$P$15,5,FALSE)</f>
        <v>2000</v>
      </c>
      <c r="K202" s="16">
        <f t="shared" si="79"/>
        <v>1825</v>
      </c>
      <c r="L202" s="79">
        <f>Inputs!$P$8-B202</f>
        <v>266.93040000000008</v>
      </c>
      <c r="M202" s="79">
        <f>Inputs!$Q$8+L202*0.433</f>
        <v>1940.5808632000001</v>
      </c>
      <c r="N202" s="82">
        <f t="shared" si="80"/>
        <v>114499.92</v>
      </c>
      <c r="O202" s="83">
        <f t="shared" si="81"/>
        <v>671.26059999999995</v>
      </c>
      <c r="P202" s="84">
        <f>IF(O202="","",Inputs!$C$5-O202)</f>
        <v>153.9239</v>
      </c>
      <c r="Q202" s="83">
        <f>IF(N202="","",TS!J202)</f>
        <v>2000</v>
      </c>
      <c r="R202" s="83">
        <f>IF(N202="","",TS!K202)</f>
        <v>1825</v>
      </c>
      <c r="S202" s="83">
        <f>Inputs!$H$5+TS!P202*0.4333</f>
        <v>1941.66094232</v>
      </c>
      <c r="T202" s="83">
        <f>Inputs!$G$5+TS!P202*0.4333</f>
        <v>1956.66094232</v>
      </c>
      <c r="U202" s="85">
        <f t="shared" si="82"/>
        <v>0.97833047116000005</v>
      </c>
      <c r="V202" s="86">
        <f t="shared" si="69"/>
        <v>0</v>
      </c>
      <c r="W202" s="86">
        <f t="shared" si="70"/>
        <v>0</v>
      </c>
      <c r="X202" s="86" t="e">
        <f>((PI()*((42-2*'Gen Calcs'!$E$13)^2)/4)/144)*(A245-#REF!)*(W202+14.7)/14.7</f>
        <v>#REF!</v>
      </c>
      <c r="Y202" s="86" t="e">
        <f t="shared" si="71"/>
        <v>#REF!</v>
      </c>
      <c r="Z202" s="86" t="e">
        <f t="shared" si="72"/>
        <v>#REF!</v>
      </c>
      <c r="AA202" s="83">
        <f>MAX(B$2:B202)-B202</f>
        <v>153.9239</v>
      </c>
      <c r="AB202" s="83">
        <f t="shared" si="73"/>
        <v>66.649048699999994</v>
      </c>
      <c r="AC202" s="83">
        <f t="shared" si="75"/>
        <v>110.94802335624338</v>
      </c>
      <c r="AD202" s="72">
        <f t="shared" si="76"/>
        <v>110.94802335624338</v>
      </c>
      <c r="AE202" s="73">
        <f t="shared" si="83"/>
        <v>907.92027688745009</v>
      </c>
      <c r="AF202" s="73">
        <f>SUM(AE$2:AE202)</f>
        <v>168715.68624278202</v>
      </c>
      <c r="AG202" s="73">
        <f t="shared" si="84"/>
        <v>1005014.2161843271</v>
      </c>
    </row>
    <row r="203" spans="1:33" x14ac:dyDescent="0.25">
      <c r="A203" s="99">
        <v>114599.92</v>
      </c>
      <c r="B203" s="96">
        <v>673.59320000000002</v>
      </c>
      <c r="C203" s="96">
        <v>0.6</v>
      </c>
      <c r="D203" s="80">
        <f t="shared" si="68"/>
        <v>100</v>
      </c>
      <c r="E203" s="81">
        <f t="shared" si="77"/>
        <v>6791.2436711181272</v>
      </c>
      <c r="F203" s="81">
        <f>SUM(E$2:E203)</f>
        <v>1266936.5086704167</v>
      </c>
      <c r="G203" s="43">
        <f t="shared" si="74"/>
        <v>1</v>
      </c>
      <c r="H203" s="78">
        <v>1</v>
      </c>
      <c r="I203" s="15">
        <f t="shared" si="78"/>
        <v>0.6</v>
      </c>
      <c r="J203" s="16">
        <f>VLOOKUP(G203,Inputs!$L$3:$P$15,5,FALSE)</f>
        <v>2000</v>
      </c>
      <c r="K203" s="16">
        <f t="shared" si="79"/>
        <v>1825</v>
      </c>
      <c r="L203" s="79">
        <f>Inputs!$P$8-B203</f>
        <v>264.59780000000001</v>
      </c>
      <c r="M203" s="79">
        <f>Inputs!$Q$8+L203*0.433</f>
        <v>1939.5708474</v>
      </c>
      <c r="N203" s="82">
        <f t="shared" si="80"/>
        <v>114599.92</v>
      </c>
      <c r="O203" s="83">
        <f t="shared" si="81"/>
        <v>673.59320000000002</v>
      </c>
      <c r="P203" s="84">
        <f>IF(O203="","",Inputs!$C$5-O203)</f>
        <v>151.59129999999993</v>
      </c>
      <c r="Q203" s="83">
        <f>IF(N203="","",TS!J203)</f>
        <v>2000</v>
      </c>
      <c r="R203" s="83">
        <f>IF(N203="","",TS!K203)</f>
        <v>1825</v>
      </c>
      <c r="S203" s="83">
        <f>Inputs!$H$5+TS!P203*0.4333</f>
        <v>1940.6502267399999</v>
      </c>
      <c r="T203" s="83">
        <f>Inputs!$G$5+TS!P203*0.4333</f>
        <v>1955.6502267399999</v>
      </c>
      <c r="U203" s="85">
        <f t="shared" si="82"/>
        <v>0.97782511336999989</v>
      </c>
      <c r="V203" s="86">
        <f t="shared" si="69"/>
        <v>0</v>
      </c>
      <c r="W203" s="86">
        <f t="shared" si="70"/>
        <v>0</v>
      </c>
      <c r="X203" s="86" t="e">
        <f>((PI()*((42-2*'Gen Calcs'!$E$13)^2)/4)/144)*(A246-#REF!)*(W203+14.7)/14.7</f>
        <v>#REF!</v>
      </c>
      <c r="Y203" s="86" t="e">
        <f t="shared" si="71"/>
        <v>#REF!</v>
      </c>
      <c r="Z203" s="86" t="e">
        <f t="shared" si="72"/>
        <v>#REF!</v>
      </c>
      <c r="AA203" s="83">
        <f>MAX(B$2:B203)-B203</f>
        <v>151.59129999999993</v>
      </c>
      <c r="AB203" s="83">
        <f t="shared" si="73"/>
        <v>65.639032899999975</v>
      </c>
      <c r="AC203" s="83">
        <f t="shared" si="75"/>
        <v>111.04834337265628</v>
      </c>
      <c r="AD203" s="72">
        <f t="shared" si="76"/>
        <v>111.04834337265628</v>
      </c>
      <c r="AE203" s="73">
        <f t="shared" si="83"/>
        <v>907.92027688745009</v>
      </c>
      <c r="AF203" s="73">
        <f>SUM(AE$2:AE203)</f>
        <v>169623.60651966947</v>
      </c>
      <c r="AG203" s="73">
        <f t="shared" si="84"/>
        <v>1004106.2959074397</v>
      </c>
    </row>
    <row r="204" spans="1:33" x14ac:dyDescent="0.25">
      <c r="A204" s="100">
        <v>114639.2</v>
      </c>
      <c r="B204" s="97">
        <v>673.59320000000002</v>
      </c>
      <c r="C204" s="97">
        <v>0.86399999999999999</v>
      </c>
      <c r="D204" s="80">
        <f t="shared" si="68"/>
        <v>39.279999999998836</v>
      </c>
      <c r="E204" s="81">
        <f t="shared" si="77"/>
        <v>2667.6005140151215</v>
      </c>
      <c r="F204" s="81">
        <f>SUM(E$2:E204)</f>
        <v>1269604.1091844318</v>
      </c>
      <c r="G204" s="43">
        <f t="shared" si="74"/>
        <v>2</v>
      </c>
      <c r="H204" s="78">
        <v>1</v>
      </c>
      <c r="I204" s="15">
        <f t="shared" si="78"/>
        <v>0.86399999999999999</v>
      </c>
      <c r="J204" s="16">
        <f>VLOOKUP(G204,Inputs!$L$3:$P$15,5,FALSE)</f>
        <v>2880</v>
      </c>
      <c r="K204" s="16">
        <f t="shared" si="79"/>
        <v>1825</v>
      </c>
      <c r="L204" s="79">
        <f>Inputs!$P$8-B204</f>
        <v>264.59780000000001</v>
      </c>
      <c r="M204" s="79">
        <f>Inputs!$Q$8+L204*0.433</f>
        <v>1939.5708474</v>
      </c>
      <c r="N204" s="82">
        <f t="shared" si="80"/>
        <v>114639.2</v>
      </c>
      <c r="O204" s="83">
        <f t="shared" si="81"/>
        <v>673.59320000000002</v>
      </c>
      <c r="P204" s="84">
        <f>IF(O204="","",Inputs!$C$5-O204)</f>
        <v>151.59129999999993</v>
      </c>
      <c r="Q204" s="83">
        <f>IF(N204="","",TS!J204)</f>
        <v>2880</v>
      </c>
      <c r="R204" s="83">
        <f>IF(N204="","",TS!K204)</f>
        <v>1825</v>
      </c>
      <c r="S204" s="83">
        <f>Inputs!$H$5+TS!P204*0.4333</f>
        <v>1940.6502267399999</v>
      </c>
      <c r="T204" s="83">
        <f>Inputs!$G$5+TS!P204*0.4333</f>
        <v>1955.6502267399999</v>
      </c>
      <c r="U204" s="85">
        <f t="shared" si="82"/>
        <v>0.67904521761805547</v>
      </c>
      <c r="V204" s="86">
        <f t="shared" si="69"/>
        <v>0</v>
      </c>
      <c r="W204" s="86">
        <f t="shared" si="70"/>
        <v>0</v>
      </c>
      <c r="X204" s="86" t="e">
        <f>((PI()*((42-2*'Gen Calcs'!$E$13)^2)/4)/144)*(A247-#REF!)*(W204+14.7)/14.7</f>
        <v>#REF!</v>
      </c>
      <c r="Y204" s="86" t="e">
        <f t="shared" si="71"/>
        <v>#REF!</v>
      </c>
      <c r="Z204" s="86" t="e">
        <f t="shared" si="72"/>
        <v>#REF!</v>
      </c>
      <c r="AA204" s="83">
        <f>MAX(B$2:B204)-B204</f>
        <v>151.59129999999993</v>
      </c>
      <c r="AB204" s="83">
        <f t="shared" si="73"/>
        <v>65.639032899999975</v>
      </c>
      <c r="AC204" s="83">
        <f t="shared" si="75"/>
        <v>111.0867837788132</v>
      </c>
      <c r="AD204" s="72">
        <f t="shared" si="76"/>
        <v>111.0867837788132</v>
      </c>
      <c r="AE204" s="73">
        <f t="shared" si="83"/>
        <v>347.46035960735674</v>
      </c>
      <c r="AF204" s="73">
        <f>SUM(AE$2:AE204)</f>
        <v>169971.06687927683</v>
      </c>
      <c r="AG204" s="73">
        <f t="shared" si="84"/>
        <v>1003758.8355478323</v>
      </c>
    </row>
    <row r="205" spans="1:33" x14ac:dyDescent="0.25">
      <c r="A205" s="99">
        <v>114699.92</v>
      </c>
      <c r="B205" s="96">
        <v>678.06479999999999</v>
      </c>
      <c r="C205" s="96">
        <v>0.6</v>
      </c>
      <c r="D205" s="80">
        <f t="shared" si="68"/>
        <v>60.720000000001164</v>
      </c>
      <c r="E205" s="81">
        <f t="shared" si="77"/>
        <v>4123.6431571030053</v>
      </c>
      <c r="F205" s="81">
        <f>SUM(E$2:E205)</f>
        <v>1273727.7523415349</v>
      </c>
      <c r="G205" s="43">
        <f t="shared" si="74"/>
        <v>1</v>
      </c>
      <c r="H205" s="78">
        <v>1</v>
      </c>
      <c r="I205" s="15">
        <f t="shared" si="78"/>
        <v>0.6</v>
      </c>
      <c r="J205" s="16">
        <f>VLOOKUP(G205,Inputs!$L$3:$P$15,5,FALSE)</f>
        <v>2000</v>
      </c>
      <c r="K205" s="16">
        <f t="shared" si="79"/>
        <v>1825</v>
      </c>
      <c r="L205" s="79">
        <f>Inputs!$P$8-B205</f>
        <v>260.12620000000004</v>
      </c>
      <c r="M205" s="79">
        <f>Inputs!$Q$8+L205*0.433</f>
        <v>1937.6346446</v>
      </c>
      <c r="N205" s="82">
        <f t="shared" si="80"/>
        <v>114699.92</v>
      </c>
      <c r="O205" s="83">
        <f t="shared" si="81"/>
        <v>678.06479999999999</v>
      </c>
      <c r="P205" s="84">
        <f>IF(O205="","",Inputs!$C$5-O205)</f>
        <v>147.11969999999997</v>
      </c>
      <c r="Q205" s="83">
        <f>IF(N205="","",TS!J205)</f>
        <v>2000</v>
      </c>
      <c r="R205" s="83">
        <f>IF(N205="","",TS!K205)</f>
        <v>1825</v>
      </c>
      <c r="S205" s="83">
        <f>Inputs!$H$5+TS!P205*0.4333</f>
        <v>1938.71268246</v>
      </c>
      <c r="T205" s="83">
        <f>Inputs!$G$5+TS!P205*0.4333</f>
        <v>1953.71268246</v>
      </c>
      <c r="U205" s="85">
        <f t="shared" si="82"/>
        <v>0.97685634122999998</v>
      </c>
      <c r="V205" s="86">
        <f t="shared" si="69"/>
        <v>0</v>
      </c>
      <c r="W205" s="86">
        <f t="shared" si="70"/>
        <v>0</v>
      </c>
      <c r="X205" s="86" t="e">
        <f>((PI()*((42-2*'Gen Calcs'!$E$13)^2)/4)/144)*(A248-#REF!)*(W205+14.7)/14.7</f>
        <v>#REF!</v>
      </c>
      <c r="Y205" s="86" t="e">
        <f t="shared" si="71"/>
        <v>#REF!</v>
      </c>
      <c r="Z205" s="86" t="e">
        <f t="shared" si="72"/>
        <v>#REF!</v>
      </c>
      <c r="AA205" s="83">
        <f>MAX(B$2:B205)-B205</f>
        <v>147.11969999999997</v>
      </c>
      <c r="AB205" s="83">
        <f t="shared" si="73"/>
        <v>63.702830099999986</v>
      </c>
      <c r="AC205" s="83">
        <f t="shared" si="75"/>
        <v>111.14782891698802</v>
      </c>
      <c r="AD205" s="72">
        <f t="shared" si="76"/>
        <v>111.14782891698802</v>
      </c>
      <c r="AE205" s="73">
        <f t="shared" si="83"/>
        <v>551.28919212607025</v>
      </c>
      <c r="AF205" s="73">
        <f>SUM(AE$2:AE205)</f>
        <v>170522.3560714029</v>
      </c>
      <c r="AG205" s="73">
        <f t="shared" si="84"/>
        <v>1003207.5463557063</v>
      </c>
    </row>
    <row r="206" spans="1:33" x14ac:dyDescent="0.25">
      <c r="A206" s="100">
        <v>114719.2</v>
      </c>
      <c r="B206" s="97">
        <v>678.06479999999999</v>
      </c>
      <c r="C206" s="97">
        <v>0.86399999999999999</v>
      </c>
      <c r="D206" s="80">
        <f t="shared" si="68"/>
        <v>19.279999999998836</v>
      </c>
      <c r="E206" s="81">
        <f t="shared" si="77"/>
        <v>1309.3517797914958</v>
      </c>
      <c r="F206" s="81">
        <f>SUM(E$2:E206)</f>
        <v>1275037.1041213265</v>
      </c>
      <c r="G206" s="43">
        <f t="shared" si="74"/>
        <v>2</v>
      </c>
      <c r="H206" s="78">
        <v>1</v>
      </c>
      <c r="I206" s="15">
        <f t="shared" si="78"/>
        <v>0.86399999999999999</v>
      </c>
      <c r="J206" s="16">
        <f>VLOOKUP(G206,Inputs!$L$3:$P$15,5,FALSE)</f>
        <v>2880</v>
      </c>
      <c r="K206" s="16">
        <f t="shared" si="79"/>
        <v>1825</v>
      </c>
      <c r="L206" s="79">
        <f>Inputs!$P$8-B206</f>
        <v>260.12620000000004</v>
      </c>
      <c r="M206" s="79">
        <f>Inputs!$Q$8+L206*0.433</f>
        <v>1937.6346446</v>
      </c>
      <c r="N206" s="82">
        <f t="shared" si="80"/>
        <v>114719.2</v>
      </c>
      <c r="O206" s="83">
        <f t="shared" si="81"/>
        <v>678.06479999999999</v>
      </c>
      <c r="P206" s="84">
        <f>IF(O206="","",Inputs!$C$5-O206)</f>
        <v>147.11969999999997</v>
      </c>
      <c r="Q206" s="83">
        <f>IF(N206="","",TS!J206)</f>
        <v>2880</v>
      </c>
      <c r="R206" s="83">
        <f>IF(N206="","",TS!K206)</f>
        <v>1825</v>
      </c>
      <c r="S206" s="83">
        <f>Inputs!$H$5+TS!P206*0.4333</f>
        <v>1938.71268246</v>
      </c>
      <c r="T206" s="83">
        <f>Inputs!$G$5+TS!P206*0.4333</f>
        <v>1953.71268246</v>
      </c>
      <c r="U206" s="85">
        <f t="shared" si="82"/>
        <v>0.6783724591875</v>
      </c>
      <c r="V206" s="86">
        <f t="shared" si="69"/>
        <v>0</v>
      </c>
      <c r="W206" s="86">
        <f t="shared" si="70"/>
        <v>0</v>
      </c>
      <c r="X206" s="86" t="e">
        <f>((PI()*((42-2*'Gen Calcs'!$E$13)^2)/4)/144)*(A249-#REF!)*(W206+14.7)/14.7</f>
        <v>#REF!</v>
      </c>
      <c r="Y206" s="86" t="e">
        <f t="shared" si="71"/>
        <v>#REF!</v>
      </c>
      <c r="Z206" s="86" t="e">
        <f t="shared" si="72"/>
        <v>#REF!</v>
      </c>
      <c r="AA206" s="83">
        <f>MAX(B$2:B206)-B206</f>
        <v>147.11969999999997</v>
      </c>
      <c r="AB206" s="83">
        <f t="shared" si="73"/>
        <v>63.702830099999986</v>
      </c>
      <c r="AC206" s="83">
        <f t="shared" si="75"/>
        <v>111.1667273086497</v>
      </c>
      <c r="AD206" s="72">
        <f t="shared" si="76"/>
        <v>111.1667273086497</v>
      </c>
      <c r="AE206" s="73">
        <f t="shared" si="83"/>
        <v>170.54571622275031</v>
      </c>
      <c r="AF206" s="73">
        <f>SUM(AE$2:AE206)</f>
        <v>170692.90178762565</v>
      </c>
      <c r="AG206" s="73">
        <f t="shared" si="84"/>
        <v>1003037.0006394836</v>
      </c>
    </row>
    <row r="207" spans="1:33" x14ac:dyDescent="0.25">
      <c r="A207" s="99">
        <v>114799.92</v>
      </c>
      <c r="B207" s="96">
        <v>681.5806</v>
      </c>
      <c r="C207" s="96">
        <v>0.6</v>
      </c>
      <c r="D207" s="80">
        <f t="shared" si="68"/>
        <v>80.720000000001164</v>
      </c>
      <c r="E207" s="81">
        <f t="shared" si="77"/>
        <v>5481.8918913266307</v>
      </c>
      <c r="F207" s="81">
        <f>SUM(E$2:E207)</f>
        <v>1280518.996012653</v>
      </c>
      <c r="G207" s="43">
        <f t="shared" si="74"/>
        <v>1</v>
      </c>
      <c r="H207" s="78">
        <v>1</v>
      </c>
      <c r="I207" s="15">
        <f t="shared" si="78"/>
        <v>0.6</v>
      </c>
      <c r="J207" s="16">
        <f>VLOOKUP(G207,Inputs!$L$3:$P$15,5,FALSE)</f>
        <v>2000</v>
      </c>
      <c r="K207" s="16">
        <f t="shared" si="79"/>
        <v>1825</v>
      </c>
      <c r="L207" s="79">
        <f>Inputs!$P$8-B207</f>
        <v>256.61040000000003</v>
      </c>
      <c r="M207" s="79">
        <f>Inputs!$Q$8+L207*0.433</f>
        <v>1936.1123032</v>
      </c>
      <c r="N207" s="82">
        <f t="shared" si="80"/>
        <v>114799.92</v>
      </c>
      <c r="O207" s="83">
        <f t="shared" si="81"/>
        <v>681.5806</v>
      </c>
      <c r="P207" s="84">
        <f>IF(O207="","",Inputs!$C$5-O207)</f>
        <v>143.60389999999995</v>
      </c>
      <c r="Q207" s="83">
        <f>IF(N207="","",TS!J207)</f>
        <v>2000</v>
      </c>
      <c r="R207" s="83">
        <f>IF(N207="","",TS!K207)</f>
        <v>1825</v>
      </c>
      <c r="S207" s="83">
        <f>Inputs!$H$5+TS!P207*0.4333</f>
        <v>1937.1892863199998</v>
      </c>
      <c r="T207" s="83">
        <f>Inputs!$G$5+TS!P207*0.4333</f>
        <v>1952.1892863199998</v>
      </c>
      <c r="U207" s="85">
        <f t="shared" si="82"/>
        <v>0.97609464315999994</v>
      </c>
      <c r="V207" s="86">
        <f t="shared" si="69"/>
        <v>0</v>
      </c>
      <c r="W207" s="86">
        <f t="shared" si="70"/>
        <v>0</v>
      </c>
      <c r="X207" s="86" t="e">
        <f>((PI()*((42-2*'Gen Calcs'!$E$13)^2)/4)/144)*(A250-#REF!)*(W207+14.7)/14.7</f>
        <v>#REF!</v>
      </c>
      <c r="Y207" s="86" t="e">
        <f t="shared" si="71"/>
        <v>#REF!</v>
      </c>
      <c r="Z207" s="86" t="e">
        <f t="shared" si="72"/>
        <v>#REF!</v>
      </c>
      <c r="AA207" s="83">
        <f>MAX(B$2:B207)-B207</f>
        <v>143.60389999999995</v>
      </c>
      <c r="AB207" s="83">
        <f t="shared" si="73"/>
        <v>62.180488699999977</v>
      </c>
      <c r="AC207" s="83">
        <f t="shared" si="75"/>
        <v>111.24801114080255</v>
      </c>
      <c r="AD207" s="72">
        <f t="shared" si="76"/>
        <v>111.24801114080255</v>
      </c>
      <c r="AE207" s="73">
        <f t="shared" si="83"/>
        <v>732.87324750356026</v>
      </c>
      <c r="AF207" s="73">
        <f>SUM(AE$2:AE207)</f>
        <v>171425.77503512922</v>
      </c>
      <c r="AG207" s="73">
        <f t="shared" si="84"/>
        <v>1002304.12739198</v>
      </c>
    </row>
    <row r="208" spans="1:33" x14ac:dyDescent="0.25">
      <c r="A208" s="100">
        <v>114899.92</v>
      </c>
      <c r="B208" s="97">
        <v>684.37559999999996</v>
      </c>
      <c r="C208" s="97">
        <v>0.6</v>
      </c>
      <c r="D208" s="80">
        <f t="shared" si="68"/>
        <v>100</v>
      </c>
      <c r="E208" s="81">
        <f t="shared" si="77"/>
        <v>6791.2436711181272</v>
      </c>
      <c r="F208" s="81">
        <f>SUM(E$2:E208)</f>
        <v>1287310.239683771</v>
      </c>
      <c r="G208" s="43">
        <f t="shared" si="74"/>
        <v>1</v>
      </c>
      <c r="H208" s="78">
        <v>1</v>
      </c>
      <c r="I208" s="15">
        <f t="shared" si="78"/>
        <v>0.6</v>
      </c>
      <c r="J208" s="16">
        <f>VLOOKUP(G208,Inputs!$L$3:$P$15,5,FALSE)</f>
        <v>2000</v>
      </c>
      <c r="K208" s="16">
        <f t="shared" si="79"/>
        <v>1825</v>
      </c>
      <c r="L208" s="79">
        <f>Inputs!$P$8-B208</f>
        <v>253.81540000000007</v>
      </c>
      <c r="M208" s="79">
        <f>Inputs!$Q$8+L208*0.433</f>
        <v>1934.9020682</v>
      </c>
      <c r="N208" s="82">
        <f t="shared" si="80"/>
        <v>114899.92</v>
      </c>
      <c r="O208" s="83">
        <f t="shared" si="81"/>
        <v>684.37559999999996</v>
      </c>
      <c r="P208" s="84">
        <f>IF(O208="","",Inputs!$C$5-O208)</f>
        <v>140.80889999999999</v>
      </c>
      <c r="Q208" s="83">
        <f>IF(N208="","",TS!J208)</f>
        <v>2000</v>
      </c>
      <c r="R208" s="83">
        <f>IF(N208="","",TS!K208)</f>
        <v>1825</v>
      </c>
      <c r="S208" s="83">
        <f>Inputs!$H$5+TS!P208*0.4333</f>
        <v>1935.97821282</v>
      </c>
      <c r="T208" s="83">
        <f>Inputs!$G$5+TS!P208*0.4333</f>
        <v>1950.97821282</v>
      </c>
      <c r="U208" s="85">
        <f t="shared" si="82"/>
        <v>0.97548910640999997</v>
      </c>
      <c r="V208" s="86">
        <f t="shared" si="69"/>
        <v>0</v>
      </c>
      <c r="W208" s="86">
        <f t="shared" si="70"/>
        <v>0</v>
      </c>
      <c r="X208" s="86" t="e">
        <f>((PI()*((42-2*'Gen Calcs'!$E$13)^2)/4)/144)*(A251-#REF!)*(W208+14.7)/14.7</f>
        <v>#REF!</v>
      </c>
      <c r="Y208" s="86" t="e">
        <f t="shared" si="71"/>
        <v>#REF!</v>
      </c>
      <c r="Z208" s="86" t="e">
        <f t="shared" si="72"/>
        <v>#REF!</v>
      </c>
      <c r="AA208" s="83">
        <f>MAX(B$2:B208)-B208</f>
        <v>140.80889999999999</v>
      </c>
      <c r="AB208" s="83">
        <f t="shared" si="73"/>
        <v>60.970253699999994</v>
      </c>
      <c r="AC208" s="83">
        <f t="shared" si="75"/>
        <v>111.34887463954608</v>
      </c>
      <c r="AD208" s="72">
        <f t="shared" si="76"/>
        <v>111.34887463954608</v>
      </c>
      <c r="AE208" s="73">
        <f t="shared" si="83"/>
        <v>907.92027688745009</v>
      </c>
      <c r="AF208" s="73">
        <f>SUM(AE$2:AE208)</f>
        <v>172333.69531201667</v>
      </c>
      <c r="AG208" s="73">
        <f t="shared" si="84"/>
        <v>1001396.2071150925</v>
      </c>
    </row>
    <row r="209" spans="1:33" x14ac:dyDescent="0.25">
      <c r="A209" s="99">
        <v>114983</v>
      </c>
      <c r="B209" s="96">
        <v>684.37559999999996</v>
      </c>
      <c r="C209" s="96">
        <v>0.86399999999999999</v>
      </c>
      <c r="D209" s="80">
        <f t="shared" si="68"/>
        <v>83.080000000001746</v>
      </c>
      <c r="E209" s="81">
        <f t="shared" si="77"/>
        <v>5497.0776460751367</v>
      </c>
      <c r="F209" s="81">
        <f>SUM(E$2:E209)</f>
        <v>1292807.3173298461</v>
      </c>
      <c r="G209" s="43">
        <f t="shared" si="74"/>
        <v>2</v>
      </c>
      <c r="H209" s="78">
        <v>1</v>
      </c>
      <c r="I209" s="15">
        <f t="shared" si="78"/>
        <v>0.86399999999999999</v>
      </c>
      <c r="J209" s="16">
        <f>VLOOKUP(G209,Inputs!$L$3:$P$15,5,FALSE)</f>
        <v>2880</v>
      </c>
      <c r="K209" s="16">
        <f t="shared" si="79"/>
        <v>1825</v>
      </c>
      <c r="L209" s="79">
        <f>Inputs!$P$8-B209</f>
        <v>253.81540000000007</v>
      </c>
      <c r="M209" s="79">
        <f>Inputs!$Q$8+L209*0.433</f>
        <v>1934.9020682</v>
      </c>
      <c r="N209" s="82">
        <f t="shared" si="80"/>
        <v>114983</v>
      </c>
      <c r="O209" s="83">
        <f t="shared" si="81"/>
        <v>684.37559999999996</v>
      </c>
      <c r="P209" s="84">
        <f>IF(O209="","",Inputs!$C$5-O209)</f>
        <v>140.80889999999999</v>
      </c>
      <c r="Q209" s="83">
        <f>IF(N209="","",TS!J209)</f>
        <v>2880</v>
      </c>
      <c r="R209" s="83">
        <f>IF(N209="","",TS!K209)</f>
        <v>1825</v>
      </c>
      <c r="S209" s="83">
        <f>Inputs!$H$5+TS!P209*0.4333</f>
        <v>1935.97821282</v>
      </c>
      <c r="T209" s="83">
        <f>Inputs!$G$5+TS!P209*0.4333</f>
        <v>1950.97821282</v>
      </c>
      <c r="U209" s="85">
        <f t="shared" si="82"/>
        <v>0.67742299056249999</v>
      </c>
      <c r="V209" s="86">
        <f t="shared" si="69"/>
        <v>0</v>
      </c>
      <c r="W209" s="86">
        <f t="shared" si="70"/>
        <v>0</v>
      </c>
      <c r="X209" s="86" t="e">
        <f>((PI()*((42-2*'Gen Calcs'!$E$13)^2)/4)/144)*(A252-#REF!)*(W209+14.7)/14.7</f>
        <v>#REF!</v>
      </c>
      <c r="Y209" s="86" t="e">
        <f t="shared" si="71"/>
        <v>#REF!</v>
      </c>
      <c r="Z209" s="86" t="e">
        <f t="shared" si="72"/>
        <v>#REF!</v>
      </c>
      <c r="AA209" s="83">
        <f>MAX(B$2:B209)-B209</f>
        <v>140.80889999999999</v>
      </c>
      <c r="AB209" s="83">
        <f t="shared" si="73"/>
        <v>60.970253699999994</v>
      </c>
      <c r="AC209" s="83">
        <f t="shared" si="75"/>
        <v>111.43065123013082</v>
      </c>
      <c r="AD209" s="72">
        <f t="shared" si="76"/>
        <v>111.43065123013082</v>
      </c>
      <c r="AE209" s="73">
        <f t="shared" si="83"/>
        <v>734.90342861967065</v>
      </c>
      <c r="AF209" s="73">
        <f>SUM(AE$2:AE209)</f>
        <v>173068.59874063634</v>
      </c>
      <c r="AG209" s="73">
        <f t="shared" si="84"/>
        <v>1000661.3036864728</v>
      </c>
    </row>
    <row r="210" spans="1:33" x14ac:dyDescent="0.25">
      <c r="A210" s="100">
        <v>114999.92</v>
      </c>
      <c r="B210" s="97">
        <v>687.15650000000005</v>
      </c>
      <c r="C210" s="97">
        <v>0.6</v>
      </c>
      <c r="D210" s="80">
        <f t="shared" si="68"/>
        <v>16.919999999998254</v>
      </c>
      <c r="E210" s="81">
        <f t="shared" si="77"/>
        <v>1149.0784291530686</v>
      </c>
      <c r="F210" s="81">
        <f>SUM(E$2:E210)</f>
        <v>1293956.395758999</v>
      </c>
      <c r="G210" s="43">
        <f t="shared" si="74"/>
        <v>1</v>
      </c>
      <c r="H210" s="78">
        <v>1</v>
      </c>
      <c r="I210" s="15">
        <f t="shared" si="78"/>
        <v>0.6</v>
      </c>
      <c r="J210" s="16">
        <f>VLOOKUP(G210,Inputs!$L$3:$P$15,5,FALSE)</f>
        <v>2000</v>
      </c>
      <c r="K210" s="16">
        <f t="shared" si="79"/>
        <v>1825</v>
      </c>
      <c r="L210" s="79">
        <f>Inputs!$P$8-B210</f>
        <v>251.03449999999998</v>
      </c>
      <c r="M210" s="79">
        <f>Inputs!$Q$8+L210*0.433</f>
        <v>1933.6979385</v>
      </c>
      <c r="N210" s="82">
        <f t="shared" si="80"/>
        <v>114999.92</v>
      </c>
      <c r="O210" s="83">
        <f t="shared" si="81"/>
        <v>687.15650000000005</v>
      </c>
      <c r="P210" s="84">
        <f>IF(O210="","",Inputs!$C$5-O210)</f>
        <v>138.02799999999991</v>
      </c>
      <c r="Q210" s="83">
        <f>IF(N210="","",TS!J210)</f>
        <v>2000</v>
      </c>
      <c r="R210" s="83">
        <f>IF(N210="","",TS!K210)</f>
        <v>1825</v>
      </c>
      <c r="S210" s="83">
        <f>Inputs!$H$5+TS!P210*0.4333</f>
        <v>1934.7732488499998</v>
      </c>
      <c r="T210" s="83">
        <f>Inputs!$G$5+TS!P210*0.4333</f>
        <v>1949.7732488499998</v>
      </c>
      <c r="U210" s="85">
        <f t="shared" si="82"/>
        <v>0.97488662442499996</v>
      </c>
      <c r="V210" s="86">
        <f t="shared" si="69"/>
        <v>0</v>
      </c>
      <c r="W210" s="86">
        <f t="shared" si="70"/>
        <v>0</v>
      </c>
      <c r="X210" s="86" t="e">
        <f>((PI()*((42-2*'Gen Calcs'!$E$13)^2)/4)/144)*(A253-#REF!)*(W210+14.7)/14.7</f>
        <v>#REF!</v>
      </c>
      <c r="Y210" s="86" t="e">
        <f t="shared" si="71"/>
        <v>#REF!</v>
      </c>
      <c r="Z210" s="86" t="e">
        <f t="shared" si="72"/>
        <v>#REF!</v>
      </c>
      <c r="AA210" s="83">
        <f>MAX(B$2:B210)-B210</f>
        <v>138.02799999999991</v>
      </c>
      <c r="AB210" s="83">
        <f t="shared" si="73"/>
        <v>59.766123999999962</v>
      </c>
      <c r="AC210" s="83">
        <f t="shared" si="75"/>
        <v>111.44776053301274</v>
      </c>
      <c r="AD210" s="72">
        <f t="shared" si="76"/>
        <v>111.44776053301274</v>
      </c>
      <c r="AE210" s="73">
        <f t="shared" si="83"/>
        <v>153.6201108493407</v>
      </c>
      <c r="AF210" s="73">
        <f>SUM(AE$2:AE210)</f>
        <v>173222.2188514857</v>
      </c>
      <c r="AG210" s="73">
        <f t="shared" si="84"/>
        <v>1000507.6835756234</v>
      </c>
    </row>
    <row r="211" spans="1:33" x14ac:dyDescent="0.25">
      <c r="A211" s="99">
        <v>115063</v>
      </c>
      <c r="B211" s="96">
        <v>687.15650000000005</v>
      </c>
      <c r="C211" s="96">
        <v>0.86399999999999999</v>
      </c>
      <c r="D211" s="80">
        <f t="shared" si="68"/>
        <v>63.080000000001746</v>
      </c>
      <c r="E211" s="81">
        <f t="shared" si="77"/>
        <v>4283.9165077414336</v>
      </c>
      <c r="F211" s="81">
        <f>SUM(E$2:E211)</f>
        <v>1298240.3122667405</v>
      </c>
      <c r="G211" s="43">
        <f t="shared" si="74"/>
        <v>2</v>
      </c>
      <c r="H211" s="78">
        <v>1</v>
      </c>
      <c r="I211" s="15">
        <f t="shared" si="78"/>
        <v>0.86399999999999999</v>
      </c>
      <c r="J211" s="16">
        <f>VLOOKUP(G211,Inputs!$L$3:$P$15,5,FALSE)</f>
        <v>2880</v>
      </c>
      <c r="K211" s="16">
        <f t="shared" si="79"/>
        <v>1825</v>
      </c>
      <c r="L211" s="79">
        <f>Inputs!$P$8-B211</f>
        <v>251.03449999999998</v>
      </c>
      <c r="M211" s="79">
        <f>Inputs!$Q$8+L211*0.433</f>
        <v>1933.6979385</v>
      </c>
      <c r="N211" s="82">
        <f t="shared" si="80"/>
        <v>115063</v>
      </c>
      <c r="O211" s="83">
        <f t="shared" si="81"/>
        <v>687.15650000000005</v>
      </c>
      <c r="P211" s="84">
        <f>IF(O211="","",Inputs!$C$5-O211)</f>
        <v>138.02799999999991</v>
      </c>
      <c r="Q211" s="83">
        <f>IF(N211="","",TS!J211)</f>
        <v>2880</v>
      </c>
      <c r="R211" s="83">
        <f>IF(N211="","",TS!K211)</f>
        <v>1825</v>
      </c>
      <c r="S211" s="83">
        <f>Inputs!$H$5+TS!P211*0.4333</f>
        <v>1934.7732488499998</v>
      </c>
      <c r="T211" s="83">
        <f>Inputs!$G$5+TS!P211*0.4333</f>
        <v>1949.7732488499998</v>
      </c>
      <c r="U211" s="85">
        <f t="shared" si="82"/>
        <v>0.67700460029513887</v>
      </c>
      <c r="V211" s="86">
        <f t="shared" si="69"/>
        <v>0</v>
      </c>
      <c r="W211" s="86">
        <f t="shared" si="70"/>
        <v>0</v>
      </c>
      <c r="X211" s="86" t="e">
        <f>((PI()*((42-2*'Gen Calcs'!$E$13)^2)/4)/144)*(A254-#REF!)*(W211+14.7)/14.7</f>
        <v>#REF!</v>
      </c>
      <c r="Y211" s="86" t="e">
        <f t="shared" si="71"/>
        <v>#REF!</v>
      </c>
      <c r="Z211" s="86" t="e">
        <f t="shared" si="72"/>
        <v>#REF!</v>
      </c>
      <c r="AA211" s="83">
        <f>MAX(B$2:B211)-B211</f>
        <v>138.02799999999991</v>
      </c>
      <c r="AB211" s="83">
        <f t="shared" si="73"/>
        <v>59.766123999999962</v>
      </c>
      <c r="AC211" s="83">
        <f t="shared" si="75"/>
        <v>111.50995026199708</v>
      </c>
      <c r="AD211" s="72">
        <f t="shared" si="76"/>
        <v>111.50995026199708</v>
      </c>
      <c r="AE211" s="73">
        <f t="shared" si="83"/>
        <v>557.98878523506414</v>
      </c>
      <c r="AF211" s="73">
        <f>SUM(AE$2:AE211)</f>
        <v>173780.20763672076</v>
      </c>
      <c r="AG211" s="73">
        <f t="shared" si="84"/>
        <v>999949.69479038846</v>
      </c>
    </row>
    <row r="212" spans="1:33" x14ac:dyDescent="0.25">
      <c r="A212" s="100">
        <v>115099.92</v>
      </c>
      <c r="B212" s="97">
        <v>687.77689999999996</v>
      </c>
      <c r="C212" s="97">
        <v>0.6</v>
      </c>
      <c r="D212" s="80">
        <f t="shared" si="68"/>
        <v>36.919999999998254</v>
      </c>
      <c r="E212" s="81">
        <f t="shared" si="77"/>
        <v>2507.3271633766935</v>
      </c>
      <c r="F212" s="81">
        <f>SUM(E$2:E212)</f>
        <v>1300747.6394301171</v>
      </c>
      <c r="G212" s="43">
        <f t="shared" si="74"/>
        <v>1</v>
      </c>
      <c r="H212" s="78">
        <v>1</v>
      </c>
      <c r="I212" s="15">
        <f t="shared" si="78"/>
        <v>0.6</v>
      </c>
      <c r="J212" s="16">
        <f>VLOOKUP(G212,Inputs!$L$3:$P$15,5,FALSE)</f>
        <v>2000</v>
      </c>
      <c r="K212" s="16">
        <f t="shared" si="79"/>
        <v>1825</v>
      </c>
      <c r="L212" s="79">
        <f>Inputs!$P$8-B212</f>
        <v>250.41410000000008</v>
      </c>
      <c r="M212" s="79">
        <f>Inputs!$Q$8+L212*0.433</f>
        <v>1933.4293053000001</v>
      </c>
      <c r="N212" s="82">
        <f t="shared" si="80"/>
        <v>115099.92</v>
      </c>
      <c r="O212" s="83">
        <f t="shared" si="81"/>
        <v>687.77689999999996</v>
      </c>
      <c r="P212" s="84">
        <f>IF(O212="","",Inputs!$C$5-O212)</f>
        <v>137.4076</v>
      </c>
      <c r="Q212" s="83">
        <f>IF(N212="","",TS!J212)</f>
        <v>2000</v>
      </c>
      <c r="R212" s="83">
        <f>IF(N212="","",TS!K212)</f>
        <v>1825</v>
      </c>
      <c r="S212" s="83">
        <f>Inputs!$H$5+TS!P212*0.4333</f>
        <v>1934.5044295299999</v>
      </c>
      <c r="T212" s="83">
        <f>Inputs!$G$5+TS!P212*0.4333</f>
        <v>1949.5044295299999</v>
      </c>
      <c r="U212" s="85">
        <f t="shared" si="82"/>
        <v>0.97475221476499996</v>
      </c>
      <c r="V212" s="86">
        <f t="shared" si="69"/>
        <v>0</v>
      </c>
      <c r="W212" s="86">
        <f t="shared" si="70"/>
        <v>0</v>
      </c>
      <c r="X212" s="86" t="e">
        <f>((PI()*((42-2*'Gen Calcs'!$E$13)^2)/4)/144)*(A255-#REF!)*(W212+14.7)/14.7</f>
        <v>#REF!</v>
      </c>
      <c r="Y212" s="86" t="e">
        <f t="shared" si="71"/>
        <v>#REF!</v>
      </c>
      <c r="Z212" s="86" t="e">
        <f t="shared" si="72"/>
        <v>#REF!</v>
      </c>
      <c r="AA212" s="83">
        <f>MAX(B$2:B212)-B212</f>
        <v>137.4076</v>
      </c>
      <c r="AB212" s="83">
        <f t="shared" si="73"/>
        <v>59.497490800000001</v>
      </c>
      <c r="AC212" s="83">
        <f t="shared" si="75"/>
        <v>111.54734327725861</v>
      </c>
      <c r="AD212" s="72">
        <f t="shared" si="76"/>
        <v>111.54734327725861</v>
      </c>
      <c r="AE212" s="73">
        <f t="shared" si="83"/>
        <v>335.20416622683069</v>
      </c>
      <c r="AF212" s="73">
        <f>SUM(AE$2:AE212)</f>
        <v>174115.41180294758</v>
      </c>
      <c r="AG212" s="73">
        <f t="shared" si="84"/>
        <v>999614.49062416167</v>
      </c>
    </row>
    <row r="213" spans="1:33" x14ac:dyDescent="0.25">
      <c r="A213" s="99">
        <v>115199.92</v>
      </c>
      <c r="B213" s="96">
        <v>694.0607</v>
      </c>
      <c r="C213" s="96">
        <v>0.6</v>
      </c>
      <c r="D213" s="80">
        <f t="shared" si="68"/>
        <v>100</v>
      </c>
      <c r="E213" s="81">
        <f t="shared" si="77"/>
        <v>6791.2436711181272</v>
      </c>
      <c r="F213" s="81">
        <f>SUM(E$2:E213)</f>
        <v>1307538.8831012351</v>
      </c>
      <c r="G213" s="43">
        <f t="shared" si="74"/>
        <v>1</v>
      </c>
      <c r="H213" s="78">
        <v>1</v>
      </c>
      <c r="I213" s="15">
        <f t="shared" si="78"/>
        <v>0.6</v>
      </c>
      <c r="J213" s="16">
        <f>VLOOKUP(G213,Inputs!$L$3:$P$15,5,FALSE)</f>
        <v>2000</v>
      </c>
      <c r="K213" s="16">
        <f t="shared" si="79"/>
        <v>1825</v>
      </c>
      <c r="L213" s="79">
        <f>Inputs!$P$8-B213</f>
        <v>244.13030000000003</v>
      </c>
      <c r="M213" s="79">
        <f>Inputs!$Q$8+L213*0.433</f>
        <v>1930.7084199000001</v>
      </c>
      <c r="N213" s="82">
        <f t="shared" si="80"/>
        <v>115199.92</v>
      </c>
      <c r="O213" s="83">
        <f t="shared" si="81"/>
        <v>694.0607</v>
      </c>
      <c r="P213" s="84">
        <f>IF(O213="","",Inputs!$C$5-O213)</f>
        <v>131.12379999999996</v>
      </c>
      <c r="Q213" s="83">
        <f>IF(N213="","",TS!J213)</f>
        <v>2000</v>
      </c>
      <c r="R213" s="83">
        <f>IF(N213="","",TS!K213)</f>
        <v>1825</v>
      </c>
      <c r="S213" s="83">
        <f>Inputs!$H$5+TS!P213*0.4333</f>
        <v>1931.7816589899999</v>
      </c>
      <c r="T213" s="83">
        <f>Inputs!$G$5+TS!P213*0.4333</f>
        <v>1946.7816589899999</v>
      </c>
      <c r="U213" s="85">
        <f t="shared" si="82"/>
        <v>0.97339082949499989</v>
      </c>
      <c r="V213" s="86">
        <f t="shared" si="69"/>
        <v>0</v>
      </c>
      <c r="W213" s="86">
        <f t="shared" si="70"/>
        <v>0</v>
      </c>
      <c r="X213" s="86" t="e">
        <f>((PI()*((42-2*'Gen Calcs'!$E$13)^2)/4)/144)*(A256-#REF!)*(W213+14.7)/14.7</f>
        <v>#REF!</v>
      </c>
      <c r="Y213" s="86" t="e">
        <f t="shared" si="71"/>
        <v>#REF!</v>
      </c>
      <c r="Z213" s="86" t="e">
        <f t="shared" si="72"/>
        <v>#REF!</v>
      </c>
      <c r="AA213" s="83">
        <f>MAX(B$2:B213)-B213</f>
        <v>131.12379999999996</v>
      </c>
      <c r="AB213" s="83">
        <f t="shared" si="73"/>
        <v>56.77660539999998</v>
      </c>
      <c r="AC213" s="83">
        <f t="shared" si="75"/>
        <v>111.6487505352074</v>
      </c>
      <c r="AD213" s="72">
        <f t="shared" si="76"/>
        <v>111.6487505352074</v>
      </c>
      <c r="AE213" s="73">
        <f t="shared" si="83"/>
        <v>907.92027688745009</v>
      </c>
      <c r="AF213" s="73">
        <f>SUM(AE$2:AE213)</f>
        <v>175023.33207983503</v>
      </c>
      <c r="AG213" s="73">
        <f t="shared" si="84"/>
        <v>998706.57034727419</v>
      </c>
    </row>
    <row r="214" spans="1:33" x14ac:dyDescent="0.25">
      <c r="A214" s="100">
        <v>115299.92</v>
      </c>
      <c r="B214" s="97">
        <v>700.69410000000005</v>
      </c>
      <c r="C214" s="97">
        <v>0.6</v>
      </c>
      <c r="D214" s="80">
        <f t="shared" si="68"/>
        <v>100</v>
      </c>
      <c r="E214" s="81">
        <f t="shared" si="77"/>
        <v>6791.2436711181272</v>
      </c>
      <c r="F214" s="81">
        <f>SUM(E$2:E214)</f>
        <v>1314330.1267723532</v>
      </c>
      <c r="G214" s="43">
        <f t="shared" si="74"/>
        <v>1</v>
      </c>
      <c r="H214" s="78">
        <v>1</v>
      </c>
      <c r="I214" s="15">
        <f t="shared" si="78"/>
        <v>0.6</v>
      </c>
      <c r="J214" s="16">
        <f>VLOOKUP(G214,Inputs!$L$3:$P$15,5,FALSE)</f>
        <v>2000</v>
      </c>
      <c r="K214" s="16">
        <f t="shared" si="79"/>
        <v>1825</v>
      </c>
      <c r="L214" s="79">
        <f>Inputs!$P$8-B214</f>
        <v>237.49689999999998</v>
      </c>
      <c r="M214" s="79">
        <f>Inputs!$Q$8+L214*0.433</f>
        <v>1927.8361577000001</v>
      </c>
      <c r="N214" s="82">
        <f t="shared" si="80"/>
        <v>115299.92</v>
      </c>
      <c r="O214" s="83">
        <f t="shared" si="81"/>
        <v>700.69410000000005</v>
      </c>
      <c r="P214" s="84">
        <f>IF(O214="","",Inputs!$C$5-O214)</f>
        <v>124.49039999999991</v>
      </c>
      <c r="Q214" s="83">
        <f>IF(N214="","",TS!J214)</f>
        <v>2000</v>
      </c>
      <c r="R214" s="83">
        <f>IF(N214="","",TS!K214)</f>
        <v>1825</v>
      </c>
      <c r="S214" s="83">
        <f>Inputs!$H$5+TS!P214*0.4333</f>
        <v>1928.9074067699999</v>
      </c>
      <c r="T214" s="83">
        <f>Inputs!$G$5+TS!P214*0.4333</f>
        <v>1943.9074067699999</v>
      </c>
      <c r="U214" s="85">
        <f t="shared" si="82"/>
        <v>0.97195370338499998</v>
      </c>
      <c r="V214" s="86">
        <f t="shared" si="69"/>
        <v>0</v>
      </c>
      <c r="W214" s="86">
        <f t="shared" si="70"/>
        <v>0</v>
      </c>
      <c r="X214" s="86" t="e">
        <f>((PI()*((42-2*'Gen Calcs'!$E$13)^2)/4)/144)*(A257-#REF!)*(W214+14.7)/14.7</f>
        <v>#REF!</v>
      </c>
      <c r="Y214" s="86" t="e">
        <f t="shared" si="71"/>
        <v>#REF!</v>
      </c>
      <c r="Z214" s="86" t="e">
        <f t="shared" si="72"/>
        <v>#REF!</v>
      </c>
      <c r="AA214" s="83">
        <f>MAX(B$2:B214)-B214</f>
        <v>124.49039999999991</v>
      </c>
      <c r="AB214" s="83">
        <f t="shared" si="73"/>
        <v>53.904343199999957</v>
      </c>
      <c r="AC214" s="83">
        <f t="shared" si="75"/>
        <v>111.75034233881719</v>
      </c>
      <c r="AD214" s="72">
        <f t="shared" si="76"/>
        <v>111.75034233881719</v>
      </c>
      <c r="AE214" s="73">
        <f t="shared" si="83"/>
        <v>907.92027688745009</v>
      </c>
      <c r="AF214" s="73">
        <f>SUM(AE$2:AE214)</f>
        <v>175931.25235672249</v>
      </c>
      <c r="AG214" s="73">
        <f t="shared" si="84"/>
        <v>997798.65007038671</v>
      </c>
    </row>
    <row r="215" spans="1:33" x14ac:dyDescent="0.25">
      <c r="A215" s="99">
        <v>115399.92</v>
      </c>
      <c r="B215" s="96">
        <v>700.65309999999999</v>
      </c>
      <c r="C215" s="96">
        <v>0.6</v>
      </c>
      <c r="D215" s="80">
        <f t="shared" si="68"/>
        <v>100</v>
      </c>
      <c r="E215" s="81">
        <f t="shared" si="77"/>
        <v>6791.2436711181272</v>
      </c>
      <c r="F215" s="81">
        <f>SUM(E$2:E215)</f>
        <v>1321121.3704434712</v>
      </c>
      <c r="G215" s="43">
        <f t="shared" si="74"/>
        <v>1</v>
      </c>
      <c r="H215" s="78">
        <v>1</v>
      </c>
      <c r="I215" s="15">
        <f t="shared" si="78"/>
        <v>0.6</v>
      </c>
      <c r="J215" s="16">
        <f>VLOOKUP(G215,Inputs!$L$3:$P$15,5,FALSE)</f>
        <v>2000</v>
      </c>
      <c r="K215" s="16">
        <f t="shared" si="79"/>
        <v>1825</v>
      </c>
      <c r="L215" s="79">
        <f>Inputs!$P$8-B215</f>
        <v>237.53790000000004</v>
      </c>
      <c r="M215" s="79">
        <f>Inputs!$Q$8+L215*0.433</f>
        <v>1927.8539106999999</v>
      </c>
      <c r="N215" s="82">
        <f t="shared" si="80"/>
        <v>115399.92</v>
      </c>
      <c r="O215" s="83">
        <f t="shared" si="81"/>
        <v>700.65309999999999</v>
      </c>
      <c r="P215" s="84">
        <f>IF(O215="","",Inputs!$C$5-O215)</f>
        <v>124.53139999999996</v>
      </c>
      <c r="Q215" s="83">
        <f>IF(N215="","",TS!J215)</f>
        <v>2000</v>
      </c>
      <c r="R215" s="83">
        <f>IF(N215="","",TS!K215)</f>
        <v>1825</v>
      </c>
      <c r="S215" s="83">
        <f>Inputs!$H$5+TS!P215*0.4333</f>
        <v>1928.9251720699999</v>
      </c>
      <c r="T215" s="83">
        <f>Inputs!$G$5+TS!P215*0.4333</f>
        <v>1943.9251720699999</v>
      </c>
      <c r="U215" s="85">
        <f t="shared" si="82"/>
        <v>0.97196258603499996</v>
      </c>
      <c r="V215" s="86">
        <f t="shared" si="69"/>
        <v>0</v>
      </c>
      <c r="W215" s="86">
        <f t="shared" si="70"/>
        <v>0</v>
      </c>
      <c r="X215" s="86" t="e">
        <f>((PI()*((42-2*'Gen Calcs'!$E$13)^2)/4)/144)*(A258-#REF!)*(W215+14.7)/14.7</f>
        <v>#REF!</v>
      </c>
      <c r="Y215" s="86" t="e">
        <f t="shared" si="71"/>
        <v>#REF!</v>
      </c>
      <c r="Z215" s="86" t="e">
        <f t="shared" si="72"/>
        <v>#REF!</v>
      </c>
      <c r="AA215" s="83">
        <f>MAX(B$2:B215)-B215</f>
        <v>124.53139999999996</v>
      </c>
      <c r="AB215" s="83">
        <f t="shared" si="73"/>
        <v>53.922096199999984</v>
      </c>
      <c r="AC215" s="83">
        <f t="shared" si="75"/>
        <v>111.85211919231401</v>
      </c>
      <c r="AD215" s="72">
        <f t="shared" si="76"/>
        <v>111.85211919231401</v>
      </c>
      <c r="AE215" s="73">
        <f t="shared" si="83"/>
        <v>907.92027688745009</v>
      </c>
      <c r="AF215" s="73">
        <f>SUM(AE$2:AE215)</f>
        <v>176839.17263360994</v>
      </c>
      <c r="AG215" s="73">
        <f t="shared" si="84"/>
        <v>996890.72979349922</v>
      </c>
    </row>
    <row r="216" spans="1:33" x14ac:dyDescent="0.25">
      <c r="A216" s="100">
        <v>115499.92</v>
      </c>
      <c r="B216" s="97">
        <v>684.61789999999996</v>
      </c>
      <c r="C216" s="97">
        <v>0.6</v>
      </c>
      <c r="D216" s="80">
        <f t="shared" si="68"/>
        <v>100</v>
      </c>
      <c r="E216" s="81">
        <f t="shared" si="77"/>
        <v>6791.2436711181272</v>
      </c>
      <c r="F216" s="81">
        <f>SUM(E$2:E216)</f>
        <v>1327912.6141145893</v>
      </c>
      <c r="G216" s="43">
        <f t="shared" si="74"/>
        <v>1</v>
      </c>
      <c r="H216" s="78">
        <v>1</v>
      </c>
      <c r="I216" s="15">
        <f t="shared" si="78"/>
        <v>0.6</v>
      </c>
      <c r="J216" s="16">
        <f>VLOOKUP(G216,Inputs!$L$3:$P$15,5,FALSE)</f>
        <v>2000</v>
      </c>
      <c r="K216" s="16">
        <f t="shared" si="79"/>
        <v>1825</v>
      </c>
      <c r="L216" s="79">
        <f>Inputs!$P$8-B216</f>
        <v>253.57310000000007</v>
      </c>
      <c r="M216" s="79">
        <f>Inputs!$Q$8+L216*0.433</f>
        <v>1934.7971523000001</v>
      </c>
      <c r="N216" s="82">
        <f t="shared" si="80"/>
        <v>115499.92</v>
      </c>
      <c r="O216" s="83">
        <f t="shared" si="81"/>
        <v>684.61789999999996</v>
      </c>
      <c r="P216" s="84">
        <f>IF(O216="","",Inputs!$C$5-O216)</f>
        <v>140.56659999999999</v>
      </c>
      <c r="Q216" s="83">
        <f>IF(N216="","",TS!J216)</f>
        <v>2000</v>
      </c>
      <c r="R216" s="83">
        <f>IF(N216="","",TS!K216)</f>
        <v>1825</v>
      </c>
      <c r="S216" s="83">
        <f>Inputs!$H$5+TS!P216*0.4333</f>
        <v>1935.87322423</v>
      </c>
      <c r="T216" s="83">
        <f>Inputs!$G$5+TS!P216*0.4333</f>
        <v>1950.87322423</v>
      </c>
      <c r="U216" s="85">
        <f t="shared" si="82"/>
        <v>0.97543661211499999</v>
      </c>
      <c r="V216" s="86">
        <f t="shared" si="69"/>
        <v>0</v>
      </c>
      <c r="W216" s="86">
        <f t="shared" si="70"/>
        <v>0</v>
      </c>
      <c r="X216" s="86" t="e">
        <f>((PI()*((42-2*'Gen Calcs'!$E$13)^2)/4)/144)*(A259-#REF!)*(W216+14.7)/14.7</f>
        <v>#REF!</v>
      </c>
      <c r="Y216" s="86" t="e">
        <f t="shared" si="71"/>
        <v>#REF!</v>
      </c>
      <c r="Z216" s="86" t="e">
        <f t="shared" si="72"/>
        <v>#REF!</v>
      </c>
      <c r="AA216" s="83">
        <f>MAX(B$2:B216)-B216</f>
        <v>140.56659999999999</v>
      </c>
      <c r="AB216" s="83">
        <f t="shared" si="73"/>
        <v>60.865337799999999</v>
      </c>
      <c r="AC216" s="83">
        <f t="shared" si="75"/>
        <v>111.95408160176244</v>
      </c>
      <c r="AD216" s="72">
        <f t="shared" si="76"/>
        <v>111.95408160176244</v>
      </c>
      <c r="AE216" s="73">
        <f t="shared" si="83"/>
        <v>907.92027688745009</v>
      </c>
      <c r="AF216" s="73">
        <f>SUM(AE$2:AE216)</f>
        <v>177747.09291049739</v>
      </c>
      <c r="AG216" s="73">
        <f t="shared" si="84"/>
        <v>995982.80951661174</v>
      </c>
    </row>
    <row r="217" spans="1:33" x14ac:dyDescent="0.25">
      <c r="A217" s="99">
        <v>115599.92</v>
      </c>
      <c r="B217" s="96">
        <v>668.54129999999998</v>
      </c>
      <c r="C217" s="96">
        <v>0.6</v>
      </c>
      <c r="D217" s="80">
        <f t="shared" si="68"/>
        <v>100</v>
      </c>
      <c r="E217" s="81">
        <f t="shared" si="77"/>
        <v>6791.2436711181272</v>
      </c>
      <c r="F217" s="81">
        <f>SUM(E$2:E217)</f>
        <v>1334703.8577857073</v>
      </c>
      <c r="G217" s="43">
        <f t="shared" si="74"/>
        <v>1</v>
      </c>
      <c r="H217" s="78">
        <v>1</v>
      </c>
      <c r="I217" s="15">
        <f t="shared" si="78"/>
        <v>0.6</v>
      </c>
      <c r="J217" s="16">
        <f>VLOOKUP(G217,Inputs!$L$3:$P$15,5,FALSE)</f>
        <v>2000</v>
      </c>
      <c r="K217" s="16">
        <f t="shared" si="79"/>
        <v>1825</v>
      </c>
      <c r="L217" s="79">
        <f>Inputs!$P$8-B217</f>
        <v>269.64970000000005</v>
      </c>
      <c r="M217" s="79">
        <f>Inputs!$Q$8+L217*0.433</f>
        <v>1941.7583201</v>
      </c>
      <c r="N217" s="82">
        <f t="shared" si="80"/>
        <v>115599.92</v>
      </c>
      <c r="O217" s="83">
        <f t="shared" si="81"/>
        <v>668.54129999999998</v>
      </c>
      <c r="P217" s="84">
        <f>IF(O217="","",Inputs!$C$5-O217)</f>
        <v>156.64319999999998</v>
      </c>
      <c r="Q217" s="83">
        <f>IF(N217="","",TS!J217)</f>
        <v>2000</v>
      </c>
      <c r="R217" s="83">
        <f>IF(N217="","",TS!K217)</f>
        <v>1825</v>
      </c>
      <c r="S217" s="83">
        <f>Inputs!$H$5+TS!P217*0.4333</f>
        <v>1942.8392150099999</v>
      </c>
      <c r="T217" s="83">
        <f>Inputs!$G$5+TS!P217*0.4333</f>
        <v>1957.8392150099999</v>
      </c>
      <c r="U217" s="85">
        <f t="shared" si="82"/>
        <v>0.97891960750499996</v>
      </c>
      <c r="V217" s="86">
        <f t="shared" si="69"/>
        <v>0</v>
      </c>
      <c r="W217" s="86">
        <f t="shared" si="70"/>
        <v>0</v>
      </c>
      <c r="X217" s="86" t="e">
        <f>((PI()*((42-2*'Gen Calcs'!$E$13)^2)/4)/144)*(A260-#REF!)*(W217+14.7)/14.7</f>
        <v>#REF!</v>
      </c>
      <c r="Y217" s="86" t="e">
        <f t="shared" si="71"/>
        <v>#REF!</v>
      </c>
      <c r="Z217" s="86" t="e">
        <f t="shared" si="72"/>
        <v>#REF!</v>
      </c>
      <c r="AA217" s="83">
        <f>MAX(B$2:B217)-B217</f>
        <v>156.64319999999998</v>
      </c>
      <c r="AB217" s="83">
        <f t="shared" si="73"/>
        <v>67.82650559999999</v>
      </c>
      <c r="AC217" s="83">
        <f t="shared" si="75"/>
        <v>112.05623007507404</v>
      </c>
      <c r="AD217" s="72">
        <f t="shared" si="76"/>
        <v>112.05623007507404</v>
      </c>
      <c r="AE217" s="73">
        <f t="shared" si="83"/>
        <v>907.92027688745009</v>
      </c>
      <c r="AF217" s="73">
        <f>SUM(AE$2:AE217)</f>
        <v>178655.01318738484</v>
      </c>
      <c r="AG217" s="73">
        <f t="shared" si="84"/>
        <v>995074.88923972438</v>
      </c>
    </row>
    <row r="218" spans="1:33" x14ac:dyDescent="0.25">
      <c r="A218" s="100">
        <v>115676.9</v>
      </c>
      <c r="B218" s="97">
        <v>668.54129999999998</v>
      </c>
      <c r="C218" s="97">
        <v>0.86399999999999999</v>
      </c>
      <c r="D218" s="80">
        <f t="shared" si="68"/>
        <v>76.979999999995925</v>
      </c>
      <c r="E218" s="81">
        <f t="shared" si="77"/>
        <v>5227.8993780264573</v>
      </c>
      <c r="F218" s="81">
        <f>SUM(E$2:E218)</f>
        <v>1339931.7571637337</v>
      </c>
      <c r="G218" s="43">
        <f t="shared" si="74"/>
        <v>2</v>
      </c>
      <c r="H218" s="78">
        <v>1</v>
      </c>
      <c r="I218" s="15">
        <f t="shared" si="78"/>
        <v>0.86399999999999999</v>
      </c>
      <c r="J218" s="16">
        <f>VLOOKUP(G218,Inputs!$L$3:$P$15,5,FALSE)</f>
        <v>2880</v>
      </c>
      <c r="K218" s="16">
        <f t="shared" si="79"/>
        <v>1825</v>
      </c>
      <c r="L218" s="79">
        <f>Inputs!$P$8-B218</f>
        <v>269.64970000000005</v>
      </c>
      <c r="M218" s="79">
        <f>Inputs!$Q$8+L218*0.433</f>
        <v>1941.7583201</v>
      </c>
      <c r="N218" s="82">
        <f t="shared" si="80"/>
        <v>115676.9</v>
      </c>
      <c r="O218" s="83">
        <f t="shared" si="81"/>
        <v>668.54129999999998</v>
      </c>
      <c r="P218" s="84">
        <f>IF(O218="","",Inputs!$C$5-O218)</f>
        <v>156.64319999999998</v>
      </c>
      <c r="Q218" s="83">
        <f>IF(N218="","",TS!J218)</f>
        <v>2880</v>
      </c>
      <c r="R218" s="83">
        <f>IF(N218="","",TS!K218)</f>
        <v>1825</v>
      </c>
      <c r="S218" s="83">
        <f>Inputs!$H$5+TS!P218*0.4333</f>
        <v>1942.8392150099999</v>
      </c>
      <c r="T218" s="83">
        <f>Inputs!$G$5+TS!P218*0.4333</f>
        <v>1957.8392150099999</v>
      </c>
      <c r="U218" s="85">
        <f t="shared" si="82"/>
        <v>0.67980528298958331</v>
      </c>
      <c r="V218" s="86">
        <f t="shared" si="69"/>
        <v>0</v>
      </c>
      <c r="W218" s="86">
        <f t="shared" si="70"/>
        <v>0</v>
      </c>
      <c r="X218" s="86" t="e">
        <f>((PI()*((42-2*'Gen Calcs'!$E$13)^2)/4)/144)*(A261-#REF!)*(W218+14.7)/14.7</f>
        <v>#REF!</v>
      </c>
      <c r="Y218" s="86" t="e">
        <f t="shared" si="71"/>
        <v>#REF!</v>
      </c>
      <c r="Z218" s="86" t="e">
        <f t="shared" si="72"/>
        <v>#REF!</v>
      </c>
      <c r="AA218" s="83">
        <f>MAX(B$2:B218)-B218</f>
        <v>156.64319999999998</v>
      </c>
      <c r="AB218" s="83">
        <f t="shared" si="73"/>
        <v>67.82650559999999</v>
      </c>
      <c r="AC218" s="83">
        <f t="shared" si="75"/>
        <v>112.13296432083889</v>
      </c>
      <c r="AD218" s="72">
        <f t="shared" si="76"/>
        <v>112.13296432083889</v>
      </c>
      <c r="AE218" s="73">
        <f t="shared" si="83"/>
        <v>680.94446238731416</v>
      </c>
      <c r="AF218" s="73">
        <f>SUM(AE$2:AE218)</f>
        <v>179335.95764977217</v>
      </c>
      <c r="AG218" s="73">
        <f t="shared" si="84"/>
        <v>994393.94477733702</v>
      </c>
    </row>
    <row r="219" spans="1:33" x14ac:dyDescent="0.25">
      <c r="A219" s="99">
        <v>115699.92</v>
      </c>
      <c r="B219" s="96">
        <v>639.84299999999996</v>
      </c>
      <c r="C219" s="96">
        <v>0.6</v>
      </c>
      <c r="D219" s="80">
        <f t="shared" si="68"/>
        <v>23.020000000004075</v>
      </c>
      <c r="E219" s="81">
        <f t="shared" si="77"/>
        <v>1563.3442930916697</v>
      </c>
      <c r="F219" s="81">
        <f>SUM(E$2:E219)</f>
        <v>1341495.1014568254</v>
      </c>
      <c r="G219" s="43">
        <f t="shared" si="74"/>
        <v>1</v>
      </c>
      <c r="H219" s="78">
        <v>1</v>
      </c>
      <c r="I219" s="15">
        <f t="shared" si="78"/>
        <v>0.6</v>
      </c>
      <c r="J219" s="16">
        <f>VLOOKUP(G219,Inputs!$L$3:$P$15,5,FALSE)</f>
        <v>2000</v>
      </c>
      <c r="K219" s="16">
        <f t="shared" si="79"/>
        <v>1825</v>
      </c>
      <c r="L219" s="79">
        <f>Inputs!$P$8-B219</f>
        <v>298.34800000000007</v>
      </c>
      <c r="M219" s="79">
        <f>Inputs!$Q$8+L219*0.433</f>
        <v>1954.1846840000001</v>
      </c>
      <c r="N219" s="82">
        <f t="shared" si="80"/>
        <v>115699.92</v>
      </c>
      <c r="O219" s="83">
        <f t="shared" si="81"/>
        <v>639.84299999999996</v>
      </c>
      <c r="P219" s="84">
        <f>IF(O219="","",Inputs!$C$5-O219)</f>
        <v>185.3415</v>
      </c>
      <c r="Q219" s="83">
        <f>IF(N219="","",TS!J219)</f>
        <v>2000</v>
      </c>
      <c r="R219" s="83">
        <f>IF(N219="","",TS!K219)</f>
        <v>1825</v>
      </c>
      <c r="S219" s="83">
        <f>Inputs!$H$5+TS!P219*0.4333</f>
        <v>1955.2741884</v>
      </c>
      <c r="T219" s="83">
        <f>Inputs!$G$5+TS!P219*0.4333</f>
        <v>1970.2741884</v>
      </c>
      <c r="U219" s="85">
        <f t="shared" si="82"/>
        <v>0.98513709419999995</v>
      </c>
      <c r="V219" s="86">
        <f t="shared" si="69"/>
        <v>0</v>
      </c>
      <c r="W219" s="86">
        <f t="shared" si="70"/>
        <v>0</v>
      </c>
      <c r="X219" s="86" t="e">
        <f>((PI()*((42-2*'Gen Calcs'!$E$13)^2)/4)/144)*(A262-#REF!)*(W219+14.7)/14.7</f>
        <v>#REF!</v>
      </c>
      <c r="Y219" s="86" t="e">
        <f t="shared" si="71"/>
        <v>#REF!</v>
      </c>
      <c r="Z219" s="86" t="e">
        <f t="shared" si="72"/>
        <v>#REF!</v>
      </c>
      <c r="AA219" s="83">
        <f>MAX(B$2:B219)-B219</f>
        <v>185.3415</v>
      </c>
      <c r="AB219" s="83">
        <f t="shared" si="73"/>
        <v>80.252869500000003</v>
      </c>
      <c r="AC219" s="83">
        <f t="shared" si="75"/>
        <v>112.15653755429146</v>
      </c>
      <c r="AD219" s="72">
        <f t="shared" si="76"/>
        <v>112.15653755429146</v>
      </c>
      <c r="AE219" s="73">
        <f t="shared" si="83"/>
        <v>209.00324773952801</v>
      </c>
      <c r="AF219" s="73">
        <f>SUM(AE$2:AE219)</f>
        <v>179544.96089751169</v>
      </c>
      <c r="AG219" s="73">
        <f t="shared" si="84"/>
        <v>994184.9415295975</v>
      </c>
    </row>
    <row r="220" spans="1:33" x14ac:dyDescent="0.25">
      <c r="A220" s="100">
        <v>115796.9</v>
      </c>
      <c r="B220" s="97">
        <v>639.84299999999996</v>
      </c>
      <c r="C220" s="97">
        <v>0.86399999999999999</v>
      </c>
      <c r="D220" s="80">
        <f t="shared" si="68"/>
        <v>96.979999999995925</v>
      </c>
      <c r="E220" s="81">
        <f t="shared" si="77"/>
        <v>6586.1481122500818</v>
      </c>
      <c r="F220" s="81">
        <f>SUM(E$2:E220)</f>
        <v>1348081.2495690754</v>
      </c>
      <c r="G220" s="43">
        <f t="shared" si="74"/>
        <v>2</v>
      </c>
      <c r="H220" s="78">
        <v>1</v>
      </c>
      <c r="I220" s="15">
        <f t="shared" si="78"/>
        <v>0.86399999999999999</v>
      </c>
      <c r="J220" s="16">
        <f>VLOOKUP(G220,Inputs!$L$3:$P$15,5,FALSE)</f>
        <v>2880</v>
      </c>
      <c r="K220" s="16">
        <f t="shared" si="79"/>
        <v>1825</v>
      </c>
      <c r="L220" s="79">
        <f>Inputs!$P$8-B220</f>
        <v>298.34800000000007</v>
      </c>
      <c r="M220" s="79">
        <f>Inputs!$Q$8+L220*0.433</f>
        <v>1954.1846840000001</v>
      </c>
      <c r="N220" s="82">
        <f t="shared" si="80"/>
        <v>115796.9</v>
      </c>
      <c r="O220" s="83">
        <f t="shared" si="81"/>
        <v>639.84299999999996</v>
      </c>
      <c r="P220" s="84">
        <f>IF(O220="","",Inputs!$C$5-O220)</f>
        <v>185.3415</v>
      </c>
      <c r="Q220" s="83">
        <f>IF(N220="","",TS!J220)</f>
        <v>2880</v>
      </c>
      <c r="R220" s="83">
        <f>IF(N220="","",TS!K220)</f>
        <v>1825</v>
      </c>
      <c r="S220" s="83">
        <f>Inputs!$H$5+TS!P220*0.4333</f>
        <v>1955.2741884</v>
      </c>
      <c r="T220" s="83">
        <f>Inputs!$G$5+TS!P220*0.4333</f>
        <v>1970.2741884</v>
      </c>
      <c r="U220" s="85">
        <f t="shared" si="82"/>
        <v>0.68412298208333333</v>
      </c>
      <c r="V220" s="86">
        <f t="shared" si="69"/>
        <v>0</v>
      </c>
      <c r="W220" s="86">
        <f t="shared" si="70"/>
        <v>0</v>
      </c>
      <c r="X220" s="86" t="e">
        <f>((PI()*((42-2*'Gen Calcs'!$E$13)^2)/4)/144)*(A263-#REF!)*(W220+14.7)/14.7</f>
        <v>#REF!</v>
      </c>
      <c r="Y220" s="86" t="e">
        <f t="shared" si="71"/>
        <v>#REF!</v>
      </c>
      <c r="Z220" s="86" t="e">
        <f t="shared" si="72"/>
        <v>#REF!</v>
      </c>
      <c r="AA220" s="83">
        <f>MAX(B$2:B220)-B220</f>
        <v>185.3415</v>
      </c>
      <c r="AB220" s="83">
        <f t="shared" si="73"/>
        <v>80.252869500000003</v>
      </c>
      <c r="AC220" s="83">
        <f t="shared" si="75"/>
        <v>112.25339840578263</v>
      </c>
      <c r="AD220" s="72">
        <f t="shared" si="76"/>
        <v>112.25339840578263</v>
      </c>
      <c r="AE220" s="73">
        <f t="shared" si="83"/>
        <v>857.85910577192055</v>
      </c>
      <c r="AF220" s="73">
        <f>SUM(AE$2:AE220)</f>
        <v>180402.82000328362</v>
      </c>
      <c r="AG220" s="73">
        <f t="shared" si="84"/>
        <v>993327.08242382552</v>
      </c>
    </row>
    <row r="221" spans="1:33" x14ac:dyDescent="0.25">
      <c r="A221" s="99">
        <v>115799.92</v>
      </c>
      <c r="B221" s="96">
        <v>632.14509999999996</v>
      </c>
      <c r="C221" s="96">
        <v>0.6</v>
      </c>
      <c r="D221" s="80">
        <f t="shared" si="68"/>
        <v>3.0200000000040745</v>
      </c>
      <c r="E221" s="81">
        <f t="shared" si="77"/>
        <v>205.09555886804415</v>
      </c>
      <c r="F221" s="81">
        <f>SUM(E$2:E221)</f>
        <v>1348286.3451279434</v>
      </c>
      <c r="G221" s="43">
        <f t="shared" si="74"/>
        <v>1</v>
      </c>
      <c r="H221" s="78">
        <v>1</v>
      </c>
      <c r="I221" s="15">
        <f t="shared" si="78"/>
        <v>0.6</v>
      </c>
      <c r="J221" s="16">
        <f>VLOOKUP(G221,Inputs!$L$3:$P$15,5,FALSE)</f>
        <v>2000</v>
      </c>
      <c r="K221" s="16">
        <f t="shared" si="79"/>
        <v>1825</v>
      </c>
      <c r="L221" s="79">
        <f>Inputs!$P$8-B221</f>
        <v>306.04590000000007</v>
      </c>
      <c r="M221" s="79">
        <f>Inputs!$Q$8+L221*0.433</f>
        <v>1957.5178747</v>
      </c>
      <c r="N221" s="82">
        <f t="shared" si="80"/>
        <v>115799.92</v>
      </c>
      <c r="O221" s="83">
        <f t="shared" si="81"/>
        <v>632.14509999999996</v>
      </c>
      <c r="P221" s="84">
        <f>IF(O221="","",Inputs!$C$5-O221)</f>
        <v>193.0394</v>
      </c>
      <c r="Q221" s="83">
        <f>IF(N221="","",TS!J221)</f>
        <v>2000</v>
      </c>
      <c r="R221" s="83">
        <f>IF(N221="","",TS!K221)</f>
        <v>1825</v>
      </c>
      <c r="S221" s="83">
        <f>Inputs!$H$5+TS!P221*0.4333</f>
        <v>1958.60968847</v>
      </c>
      <c r="T221" s="83">
        <f>Inputs!$G$5+TS!P221*0.4333</f>
        <v>1973.60968847</v>
      </c>
      <c r="U221" s="85">
        <f t="shared" si="82"/>
        <v>0.98680484423500003</v>
      </c>
      <c r="V221" s="86">
        <f t="shared" si="69"/>
        <v>0</v>
      </c>
      <c r="W221" s="86">
        <f t="shared" si="70"/>
        <v>0</v>
      </c>
      <c r="X221" s="86" t="e">
        <f>((PI()*((42-2*'Gen Calcs'!$E$13)^2)/4)/144)*(A264-#REF!)*(W221+14.7)/14.7</f>
        <v>#REF!</v>
      </c>
      <c r="Y221" s="86" t="e">
        <f t="shared" si="71"/>
        <v>#REF!</v>
      </c>
      <c r="Z221" s="86" t="e">
        <f t="shared" si="72"/>
        <v>#REF!</v>
      </c>
      <c r="AA221" s="83">
        <f>MAX(B$2:B221)-B221</f>
        <v>193.0394</v>
      </c>
      <c r="AB221" s="83">
        <f t="shared" si="73"/>
        <v>83.586060200000006</v>
      </c>
      <c r="AC221" s="83">
        <f t="shared" si="75"/>
        <v>112.25649706536957</v>
      </c>
      <c r="AD221" s="72">
        <f t="shared" si="76"/>
        <v>112.25649706536957</v>
      </c>
      <c r="AE221" s="73">
        <f t="shared" si="83"/>
        <v>27.419192362037986</v>
      </c>
      <c r="AF221" s="73">
        <f>SUM(AE$2:AE221)</f>
        <v>180430.23919564564</v>
      </c>
      <c r="AG221" s="73">
        <f t="shared" si="84"/>
        <v>993299.66323146352</v>
      </c>
    </row>
    <row r="222" spans="1:33" x14ac:dyDescent="0.25">
      <c r="A222" s="100">
        <v>115899.92</v>
      </c>
      <c r="B222" s="97">
        <v>627.45129999999995</v>
      </c>
      <c r="C222" s="97">
        <v>0.6</v>
      </c>
      <c r="D222" s="80">
        <f t="shared" si="68"/>
        <v>100</v>
      </c>
      <c r="E222" s="81">
        <f t="shared" si="77"/>
        <v>6791.2436711181272</v>
      </c>
      <c r="F222" s="81">
        <f>SUM(E$2:E222)</f>
        <v>1355077.5887990615</v>
      </c>
      <c r="G222" s="43">
        <f t="shared" si="74"/>
        <v>1</v>
      </c>
      <c r="H222" s="78">
        <v>1</v>
      </c>
      <c r="I222" s="15">
        <f t="shared" si="78"/>
        <v>0.6</v>
      </c>
      <c r="J222" s="16">
        <f>VLOOKUP(G222,Inputs!$L$3:$P$15,5,FALSE)</f>
        <v>2000</v>
      </c>
      <c r="K222" s="16">
        <f t="shared" si="79"/>
        <v>1825</v>
      </c>
      <c r="L222" s="79">
        <f>Inputs!$P$8-B222</f>
        <v>310.73970000000008</v>
      </c>
      <c r="M222" s="79">
        <f>Inputs!$Q$8+L222*0.433</f>
        <v>1959.5502901</v>
      </c>
      <c r="N222" s="82">
        <f t="shared" si="80"/>
        <v>115899.92</v>
      </c>
      <c r="O222" s="83">
        <f t="shared" si="81"/>
        <v>627.45129999999995</v>
      </c>
      <c r="P222" s="84">
        <f>IF(O222="","",Inputs!$C$5-O222)</f>
        <v>197.73320000000001</v>
      </c>
      <c r="Q222" s="83">
        <f>IF(N222="","",TS!J222)</f>
        <v>2000</v>
      </c>
      <c r="R222" s="83">
        <f>IF(N222="","",TS!K222)</f>
        <v>1825</v>
      </c>
      <c r="S222" s="83">
        <f>Inputs!$H$5+TS!P222*0.4333</f>
        <v>1960.64351201</v>
      </c>
      <c r="T222" s="83">
        <f>Inputs!$G$5+TS!P222*0.4333</f>
        <v>1975.64351201</v>
      </c>
      <c r="U222" s="85">
        <f t="shared" si="82"/>
        <v>0.987821756005</v>
      </c>
      <c r="V222" s="86">
        <f t="shared" si="69"/>
        <v>0</v>
      </c>
      <c r="W222" s="86">
        <f t="shared" si="70"/>
        <v>0</v>
      </c>
      <c r="X222" s="86" t="e">
        <f>((PI()*((42-2*'Gen Calcs'!$E$13)^2)/4)/144)*(A265-#REF!)*(W222+14.7)/14.7</f>
        <v>#REF!</v>
      </c>
      <c r="Y222" s="86" t="e">
        <f t="shared" si="71"/>
        <v>#REF!</v>
      </c>
      <c r="Z222" s="86" t="e">
        <f t="shared" si="72"/>
        <v>#REF!</v>
      </c>
      <c r="AA222" s="83">
        <f>MAX(B$2:B222)-B222</f>
        <v>197.73320000000001</v>
      </c>
      <c r="AB222" s="83">
        <f t="shared" si="73"/>
        <v>85.618475600000011</v>
      </c>
      <c r="AC222" s="83">
        <f t="shared" si="75"/>
        <v>112.35919839336989</v>
      </c>
      <c r="AD222" s="72">
        <f t="shared" si="76"/>
        <v>112.35919839336989</v>
      </c>
      <c r="AE222" s="73">
        <f t="shared" si="83"/>
        <v>907.92027688745009</v>
      </c>
      <c r="AF222" s="73">
        <f>SUM(AE$2:AE222)</f>
        <v>181338.15947253309</v>
      </c>
      <c r="AG222" s="73">
        <f t="shared" si="84"/>
        <v>992391.74295457616</v>
      </c>
    </row>
    <row r="223" spans="1:33" x14ac:dyDescent="0.25">
      <c r="A223" s="99">
        <v>115999.92</v>
      </c>
      <c r="B223" s="96">
        <v>625.05190000000005</v>
      </c>
      <c r="C223" s="96">
        <v>0.6</v>
      </c>
      <c r="D223" s="80">
        <f t="shared" si="68"/>
        <v>100</v>
      </c>
      <c r="E223" s="81">
        <f t="shared" si="77"/>
        <v>6791.2436711181272</v>
      </c>
      <c r="F223" s="81">
        <f>SUM(E$2:E223)</f>
        <v>1361868.8324701795</v>
      </c>
      <c r="G223" s="43">
        <f t="shared" si="74"/>
        <v>1</v>
      </c>
      <c r="H223" s="78">
        <v>1</v>
      </c>
      <c r="I223" s="15">
        <f t="shared" si="78"/>
        <v>0.6</v>
      </c>
      <c r="J223" s="16">
        <f>VLOOKUP(G223,Inputs!$L$3:$P$15,5,FALSE)</f>
        <v>2000</v>
      </c>
      <c r="K223" s="16">
        <f t="shared" si="79"/>
        <v>1825</v>
      </c>
      <c r="L223" s="79">
        <f>Inputs!$P$8-B223</f>
        <v>313.13909999999998</v>
      </c>
      <c r="M223" s="79">
        <f>Inputs!$Q$8+L223*0.433</f>
        <v>1960.5892303000001</v>
      </c>
      <c r="N223" s="82">
        <f t="shared" si="80"/>
        <v>115999.92</v>
      </c>
      <c r="O223" s="83">
        <f t="shared" si="81"/>
        <v>625.05190000000005</v>
      </c>
      <c r="P223" s="84">
        <f>IF(O223="","",Inputs!$C$5-O223)</f>
        <v>200.13259999999991</v>
      </c>
      <c r="Q223" s="83">
        <f>IF(N223="","",TS!J223)</f>
        <v>2000</v>
      </c>
      <c r="R223" s="83">
        <f>IF(N223="","",TS!K223)</f>
        <v>1825</v>
      </c>
      <c r="S223" s="83">
        <f>Inputs!$H$5+TS!P223*0.4333</f>
        <v>1961.6831720299999</v>
      </c>
      <c r="T223" s="83">
        <f>Inputs!$G$5+TS!P223*0.4333</f>
        <v>1976.6831720299999</v>
      </c>
      <c r="U223" s="85">
        <f t="shared" si="82"/>
        <v>0.988341586015</v>
      </c>
      <c r="V223" s="86">
        <f t="shared" si="69"/>
        <v>0</v>
      </c>
      <c r="W223" s="86">
        <f t="shared" si="70"/>
        <v>0</v>
      </c>
      <c r="X223" s="86" t="e">
        <f>((PI()*((42-2*'Gen Calcs'!$E$13)^2)/4)/144)*(A266-#REF!)*(W223+14.7)/14.7</f>
        <v>#REF!</v>
      </c>
      <c r="Y223" s="86" t="e">
        <f t="shared" si="71"/>
        <v>#REF!</v>
      </c>
      <c r="Z223" s="86" t="e">
        <f t="shared" si="72"/>
        <v>#REF!</v>
      </c>
      <c r="AA223" s="83">
        <f>MAX(B$2:B223)-B223</f>
        <v>200.13259999999991</v>
      </c>
      <c r="AB223" s="83">
        <f t="shared" si="73"/>
        <v>86.657415799999967</v>
      </c>
      <c r="AC223" s="83">
        <f t="shared" si="75"/>
        <v>112.46208781242331</v>
      </c>
      <c r="AD223" s="72">
        <f t="shared" si="76"/>
        <v>112.46208781242331</v>
      </c>
      <c r="AE223" s="73">
        <f t="shared" si="83"/>
        <v>907.92027688745009</v>
      </c>
      <c r="AF223" s="73">
        <f>SUM(AE$2:AE223)</f>
        <v>182246.07974942055</v>
      </c>
      <c r="AG223" s="73">
        <f t="shared" si="84"/>
        <v>991483.82267768867</v>
      </c>
    </row>
    <row r="224" spans="1:33" x14ac:dyDescent="0.25">
      <c r="A224" s="100">
        <v>116090.1</v>
      </c>
      <c r="B224" s="97">
        <v>625.05190000000005</v>
      </c>
      <c r="C224" s="97">
        <v>0.86399999999999999</v>
      </c>
      <c r="D224" s="80">
        <f t="shared" si="68"/>
        <v>90.180000000007567</v>
      </c>
      <c r="E224" s="81">
        <f t="shared" si="77"/>
        <v>6124.3435426148408</v>
      </c>
      <c r="F224" s="81">
        <f>SUM(E$2:E224)</f>
        <v>1367993.1760127945</v>
      </c>
      <c r="G224" s="43">
        <f t="shared" si="74"/>
        <v>2</v>
      </c>
      <c r="H224" s="78">
        <v>1</v>
      </c>
      <c r="I224" s="15">
        <f t="shared" si="78"/>
        <v>0.86399999999999999</v>
      </c>
      <c r="J224" s="16">
        <f>VLOOKUP(G224,Inputs!$L$3:$P$15,5,FALSE)</f>
        <v>2880</v>
      </c>
      <c r="K224" s="16">
        <f t="shared" si="79"/>
        <v>1825</v>
      </c>
      <c r="L224" s="79">
        <f>Inputs!$P$8-B224</f>
        <v>313.13909999999998</v>
      </c>
      <c r="M224" s="79">
        <f>Inputs!$Q$8+L224*0.433</f>
        <v>1960.5892303000001</v>
      </c>
      <c r="N224" s="82">
        <f t="shared" si="80"/>
        <v>116090.1</v>
      </c>
      <c r="O224" s="83">
        <f t="shared" si="81"/>
        <v>625.05190000000005</v>
      </c>
      <c r="P224" s="84">
        <f>IF(O224="","",Inputs!$C$5-O224)</f>
        <v>200.13259999999991</v>
      </c>
      <c r="Q224" s="83">
        <f>IF(N224="","",TS!J224)</f>
        <v>2880</v>
      </c>
      <c r="R224" s="83">
        <f>IF(N224="","",TS!K224)</f>
        <v>1825</v>
      </c>
      <c r="S224" s="83">
        <f>Inputs!$H$5+TS!P224*0.4333</f>
        <v>1961.6831720299999</v>
      </c>
      <c r="T224" s="83">
        <f>Inputs!$G$5+TS!P224*0.4333</f>
        <v>1976.6831720299999</v>
      </c>
      <c r="U224" s="85">
        <f t="shared" si="82"/>
        <v>0.68634832362152776</v>
      </c>
      <c r="V224" s="86">
        <f t="shared" si="69"/>
        <v>0</v>
      </c>
      <c r="W224" s="86">
        <f t="shared" si="70"/>
        <v>0</v>
      </c>
      <c r="X224" s="86" t="e">
        <f>((PI()*((42-2*'Gen Calcs'!$E$13)^2)/4)/144)*(A267-#REF!)*(W224+14.7)/14.7</f>
        <v>#REF!</v>
      </c>
      <c r="Y224" s="86" t="e">
        <f t="shared" si="71"/>
        <v>#REF!</v>
      </c>
      <c r="Z224" s="86" t="e">
        <f t="shared" si="72"/>
        <v>#REF!</v>
      </c>
      <c r="AA224" s="83">
        <f>MAX(B$2:B224)-B224</f>
        <v>200.13259999999991</v>
      </c>
      <c r="AB224" s="83">
        <f t="shared" si="73"/>
        <v>86.657415799999967</v>
      </c>
      <c r="AC224" s="83">
        <f t="shared" si="75"/>
        <v>112.5526431559495</v>
      </c>
      <c r="AD224" s="72">
        <f t="shared" si="76"/>
        <v>112.5526431559495</v>
      </c>
      <c r="AE224" s="73">
        <f t="shared" si="83"/>
        <v>797.70812702125738</v>
      </c>
      <c r="AF224" s="73">
        <f>SUM(AE$2:AE224)</f>
        <v>183043.78787644181</v>
      </c>
      <c r="AG224" s="73">
        <f t="shared" si="84"/>
        <v>990686.11455066735</v>
      </c>
    </row>
    <row r="225" spans="1:33" x14ac:dyDescent="0.25">
      <c r="A225" s="99">
        <v>116099.92</v>
      </c>
      <c r="B225" s="96">
        <v>623.25070000000005</v>
      </c>
      <c r="C225" s="96">
        <v>0.6</v>
      </c>
      <c r="D225" s="80">
        <f t="shared" si="68"/>
        <v>9.819999999992433</v>
      </c>
      <c r="E225" s="81">
        <f t="shared" si="77"/>
        <v>666.90012850328617</v>
      </c>
      <c r="F225" s="81">
        <f>SUM(E$2:E225)</f>
        <v>1368660.0761412978</v>
      </c>
      <c r="G225" s="43">
        <f t="shared" si="74"/>
        <v>1</v>
      </c>
      <c r="H225" s="78">
        <v>1</v>
      </c>
      <c r="I225" s="15">
        <f t="shared" si="78"/>
        <v>0.6</v>
      </c>
      <c r="J225" s="16">
        <f>VLOOKUP(G225,Inputs!$L$3:$P$15,5,FALSE)</f>
        <v>2000</v>
      </c>
      <c r="K225" s="16">
        <f t="shared" si="79"/>
        <v>1825</v>
      </c>
      <c r="L225" s="79">
        <f>Inputs!$P$8-B225</f>
        <v>314.94029999999998</v>
      </c>
      <c r="M225" s="79">
        <f>Inputs!$Q$8+L225*0.433</f>
        <v>1961.3691498999999</v>
      </c>
      <c r="N225" s="82">
        <f t="shared" si="80"/>
        <v>116099.92</v>
      </c>
      <c r="O225" s="83">
        <f t="shared" si="81"/>
        <v>623.25070000000005</v>
      </c>
      <c r="P225" s="84">
        <f>IF(O225="","",Inputs!$C$5-O225)</f>
        <v>201.93379999999991</v>
      </c>
      <c r="Q225" s="83">
        <f>IF(N225="","",TS!J225)</f>
        <v>2000</v>
      </c>
      <c r="R225" s="83">
        <f>IF(N225="","",TS!K225)</f>
        <v>1825</v>
      </c>
      <c r="S225" s="83">
        <f>Inputs!$H$5+TS!P225*0.4333</f>
        <v>1962.4636319899998</v>
      </c>
      <c r="T225" s="83">
        <f>Inputs!$G$5+TS!P225*0.4333</f>
        <v>1977.4636319899998</v>
      </c>
      <c r="U225" s="85">
        <f t="shared" si="82"/>
        <v>0.98873181599499993</v>
      </c>
      <c r="V225" s="86">
        <f t="shared" si="69"/>
        <v>0</v>
      </c>
      <c r="W225" s="86">
        <f t="shared" si="70"/>
        <v>0</v>
      </c>
      <c r="X225" s="86" t="e">
        <f>((PI()*((42-2*'Gen Calcs'!$E$13)^2)/4)/144)*(A268-#REF!)*(W225+14.7)/14.7</f>
        <v>#REF!</v>
      </c>
      <c r="Y225" s="86" t="e">
        <f t="shared" si="71"/>
        <v>#REF!</v>
      </c>
      <c r="Z225" s="86" t="e">
        <f t="shared" si="72"/>
        <v>#REF!</v>
      </c>
      <c r="AA225" s="83">
        <f>MAX(B$2:B225)-B225</f>
        <v>201.93379999999991</v>
      </c>
      <c r="AB225" s="83">
        <f t="shared" si="73"/>
        <v>87.437335399999952</v>
      </c>
      <c r="AC225" s="83">
        <f t="shared" si="75"/>
        <v>112.56277335343968</v>
      </c>
      <c r="AD225" s="72">
        <f t="shared" si="76"/>
        <v>112.56277335343968</v>
      </c>
      <c r="AE225" s="73">
        <f t="shared" si="83"/>
        <v>89.157771190278893</v>
      </c>
      <c r="AF225" s="73">
        <f>SUM(AE$2:AE225)</f>
        <v>183132.94564763209</v>
      </c>
      <c r="AG225" s="73">
        <f t="shared" si="84"/>
        <v>990596.95677947707</v>
      </c>
    </row>
    <row r="226" spans="1:33" x14ac:dyDescent="0.25">
      <c r="A226" s="100">
        <v>116199.92</v>
      </c>
      <c r="B226" s="97">
        <v>621.39369999999997</v>
      </c>
      <c r="C226" s="97">
        <v>0.6</v>
      </c>
      <c r="D226" s="80">
        <f t="shared" si="68"/>
        <v>100</v>
      </c>
      <c r="E226" s="81">
        <f t="shared" si="77"/>
        <v>6616.6076625842816</v>
      </c>
      <c r="F226" s="81">
        <f>SUM(E$2:E226)</f>
        <v>1375276.683803882</v>
      </c>
      <c r="G226" s="43">
        <f t="shared" si="74"/>
        <v>1</v>
      </c>
      <c r="H226" s="78">
        <v>1</v>
      </c>
      <c r="I226" s="15">
        <f t="shared" si="78"/>
        <v>0.6</v>
      </c>
      <c r="J226" s="16">
        <f>VLOOKUP(G226,Inputs!$L$3:$P$15,5,FALSE)</f>
        <v>2000</v>
      </c>
      <c r="K226" s="16">
        <f t="shared" si="79"/>
        <v>1825</v>
      </c>
      <c r="L226" s="79">
        <f>Inputs!$P$8-B226</f>
        <v>316.79730000000006</v>
      </c>
      <c r="M226" s="79">
        <f>Inputs!$Q$8+L226*0.433</f>
        <v>1962.1732308999999</v>
      </c>
      <c r="N226" s="82">
        <f t="shared" si="80"/>
        <v>116199.92</v>
      </c>
      <c r="O226" s="83">
        <f t="shared" si="81"/>
        <v>621.39369999999997</v>
      </c>
      <c r="P226" s="84">
        <f>IF(O226="","",Inputs!$C$5-O226)</f>
        <v>203.79079999999999</v>
      </c>
      <c r="Q226" s="83">
        <f>IF(N226="","",TS!J226)</f>
        <v>2000</v>
      </c>
      <c r="R226" s="83">
        <f>IF(N226="","",TS!K226)</f>
        <v>1825</v>
      </c>
      <c r="S226" s="83">
        <f>Inputs!$H$5+TS!P226*0.4333</f>
        <v>1963.26827009</v>
      </c>
      <c r="T226" s="83">
        <f>Inputs!$G$5+TS!P226*0.4333</f>
        <v>1978.26827009</v>
      </c>
      <c r="U226" s="85">
        <f t="shared" si="82"/>
        <v>0.98913413504500003</v>
      </c>
      <c r="V226" s="86">
        <f t="shared" si="69"/>
        <v>0</v>
      </c>
      <c r="W226" s="86">
        <f t="shared" si="70"/>
        <v>0</v>
      </c>
      <c r="X226" s="86" t="e">
        <f>((PI()*((42-2*'Gen Calcs'!$E$13)^2)/4)/144)*(A269-#REF!)*(W226+14.7)/14.7</f>
        <v>#REF!</v>
      </c>
      <c r="Y226" s="86" t="e">
        <f t="shared" si="71"/>
        <v>#REF!</v>
      </c>
      <c r="Z226" s="86" t="e">
        <f t="shared" si="72"/>
        <v>#REF!</v>
      </c>
      <c r="AA226" s="83">
        <f>MAX(B$2:B226)-B226</f>
        <v>203.79079999999999</v>
      </c>
      <c r="AB226" s="83">
        <f t="shared" si="73"/>
        <v>88.241416399999991</v>
      </c>
      <c r="AC226" s="83">
        <f t="shared" si="75"/>
        <v>112.66603611636916</v>
      </c>
      <c r="AD226" s="72">
        <f t="shared" si="76"/>
        <v>112.66603611636916</v>
      </c>
      <c r="AE226" s="73">
        <f t="shared" si="83"/>
        <v>907.92027688745009</v>
      </c>
      <c r="AF226" s="73">
        <f>SUM(AE$2:AE226)</f>
        <v>184040.86592451954</v>
      </c>
      <c r="AG226" s="73">
        <f t="shared" si="84"/>
        <v>989689.0365025897</v>
      </c>
    </row>
    <row r="227" spans="1:33" x14ac:dyDescent="0.25">
      <c r="A227" s="99">
        <v>116299.92</v>
      </c>
      <c r="B227" s="96">
        <v>619.11540000000002</v>
      </c>
      <c r="C227" s="96">
        <v>0.6</v>
      </c>
      <c r="D227" s="80">
        <f t="shared" si="68"/>
        <v>100</v>
      </c>
      <c r="E227" s="81">
        <f t="shared" si="77"/>
        <v>6791.2436711181272</v>
      </c>
      <c r="F227" s="81">
        <f>SUM(E$2:E227)</f>
        <v>1382067.927475</v>
      </c>
      <c r="G227" s="43">
        <f t="shared" si="74"/>
        <v>1</v>
      </c>
      <c r="H227" s="78">
        <v>1</v>
      </c>
      <c r="I227" s="15">
        <f t="shared" si="78"/>
        <v>0.6</v>
      </c>
      <c r="J227" s="16">
        <f>VLOOKUP(G227,Inputs!$L$3:$P$15,5,FALSE)</f>
        <v>2000</v>
      </c>
      <c r="K227" s="16">
        <f t="shared" si="79"/>
        <v>1825</v>
      </c>
      <c r="L227" s="79">
        <f>Inputs!$P$8-B227</f>
        <v>319.07560000000001</v>
      </c>
      <c r="M227" s="79">
        <f>Inputs!$Q$8+L227*0.433</f>
        <v>1963.1597348</v>
      </c>
      <c r="N227" s="82">
        <f t="shared" si="80"/>
        <v>116299.92</v>
      </c>
      <c r="O227" s="83">
        <f t="shared" si="81"/>
        <v>619.11540000000002</v>
      </c>
      <c r="P227" s="84">
        <f>IF(O227="","",Inputs!$C$5-O227)</f>
        <v>206.06909999999993</v>
      </c>
      <c r="Q227" s="83">
        <f>IF(N227="","",TS!J227)</f>
        <v>2000</v>
      </c>
      <c r="R227" s="83">
        <f>IF(N227="","",TS!K227)</f>
        <v>1825</v>
      </c>
      <c r="S227" s="83">
        <f>Inputs!$H$5+TS!P227*0.4333</f>
        <v>1964.2554574799999</v>
      </c>
      <c r="T227" s="83">
        <f>Inputs!$G$5+TS!P227*0.4333</f>
        <v>1979.2554574799999</v>
      </c>
      <c r="U227" s="85">
        <f t="shared" si="82"/>
        <v>0.98962772873999993</v>
      </c>
      <c r="V227" s="86">
        <f t="shared" si="69"/>
        <v>0</v>
      </c>
      <c r="W227" s="86">
        <f t="shared" si="70"/>
        <v>0</v>
      </c>
      <c r="X227" s="86" t="e">
        <f>((PI()*((42-2*'Gen Calcs'!$E$13)^2)/4)/144)*(A270-#REF!)*(W227+14.7)/14.7</f>
        <v>#REF!</v>
      </c>
      <c r="Y227" s="86" t="e">
        <f t="shared" si="71"/>
        <v>#REF!</v>
      </c>
      <c r="Z227" s="86" t="e">
        <f t="shared" si="72"/>
        <v>#REF!</v>
      </c>
      <c r="AA227" s="83">
        <f>MAX(B$2:B227)-B227</f>
        <v>206.06909999999993</v>
      </c>
      <c r="AB227" s="83">
        <f t="shared" si="73"/>
        <v>89.227920299999965</v>
      </c>
      <c r="AC227" s="83">
        <f t="shared" si="75"/>
        <v>112.76948851551798</v>
      </c>
      <c r="AD227" s="72">
        <f t="shared" si="76"/>
        <v>112.76948851551798</v>
      </c>
      <c r="AE227" s="73">
        <f t="shared" si="83"/>
        <v>907.92027688745009</v>
      </c>
      <c r="AF227" s="73">
        <f>SUM(AE$2:AE227)</f>
        <v>184948.786201407</v>
      </c>
      <c r="AG227" s="73">
        <f t="shared" si="84"/>
        <v>988781.11622570222</v>
      </c>
    </row>
    <row r="228" spans="1:33" x14ac:dyDescent="0.25">
      <c r="A228" s="100">
        <v>116399.92</v>
      </c>
      <c r="B228" s="97">
        <v>617.44029999999998</v>
      </c>
      <c r="C228" s="97">
        <v>0.6</v>
      </c>
      <c r="D228" s="80">
        <f t="shared" si="68"/>
        <v>100</v>
      </c>
      <c r="E228" s="81">
        <f t="shared" si="77"/>
        <v>6616.6076625842816</v>
      </c>
      <c r="F228" s="81">
        <f>SUM(E$2:E228)</f>
        <v>1388684.5351375842</v>
      </c>
      <c r="G228" s="43">
        <f t="shared" si="74"/>
        <v>1</v>
      </c>
      <c r="H228" s="78">
        <v>1</v>
      </c>
      <c r="I228" s="15">
        <f t="shared" si="78"/>
        <v>0.6</v>
      </c>
      <c r="J228" s="16">
        <f>VLOOKUP(G228,Inputs!$L$3:$P$15,5,FALSE)</f>
        <v>2000</v>
      </c>
      <c r="K228" s="16">
        <f t="shared" si="79"/>
        <v>1825</v>
      </c>
      <c r="L228" s="79">
        <f>Inputs!$P$8-B228</f>
        <v>320.75070000000005</v>
      </c>
      <c r="M228" s="79">
        <f>Inputs!$Q$8+L228*0.433</f>
        <v>1963.8850531000001</v>
      </c>
      <c r="N228" s="82">
        <f t="shared" si="80"/>
        <v>116399.92</v>
      </c>
      <c r="O228" s="83">
        <f t="shared" si="81"/>
        <v>617.44029999999998</v>
      </c>
      <c r="P228" s="84">
        <f>IF(O228="","",Inputs!$C$5-O228)</f>
        <v>207.74419999999998</v>
      </c>
      <c r="Q228" s="83">
        <f>IF(N228="","",TS!J228)</f>
        <v>2000</v>
      </c>
      <c r="R228" s="83">
        <f>IF(N228="","",TS!K228)</f>
        <v>1825</v>
      </c>
      <c r="S228" s="83">
        <f>Inputs!$H$5+TS!P228*0.4333</f>
        <v>1964.9812783099999</v>
      </c>
      <c r="T228" s="83">
        <f>Inputs!$G$5+TS!P228*0.4333</f>
        <v>1979.9812783099999</v>
      </c>
      <c r="U228" s="85">
        <f t="shared" si="82"/>
        <v>0.98999063915499996</v>
      </c>
      <c r="V228" s="86">
        <f t="shared" si="69"/>
        <v>0</v>
      </c>
      <c r="W228" s="86">
        <f t="shared" si="70"/>
        <v>0</v>
      </c>
      <c r="X228" s="86" t="e">
        <f>((PI()*((42-2*'Gen Calcs'!$E$13)^2)/4)/144)*(A271-#REF!)*(W228+14.7)/14.7</f>
        <v>#REF!</v>
      </c>
      <c r="Y228" s="86" t="e">
        <f t="shared" si="71"/>
        <v>#REF!</v>
      </c>
      <c r="Z228" s="86" t="e">
        <f t="shared" si="72"/>
        <v>#REF!</v>
      </c>
      <c r="AA228" s="83">
        <f>MAX(B$2:B228)-B228</f>
        <v>207.74419999999998</v>
      </c>
      <c r="AB228" s="83">
        <f t="shared" si="73"/>
        <v>89.953238599999992</v>
      </c>
      <c r="AC228" s="83">
        <f t="shared" si="75"/>
        <v>112.87313107375049</v>
      </c>
      <c r="AD228" s="72">
        <f t="shared" si="76"/>
        <v>112.87313107375049</v>
      </c>
      <c r="AE228" s="73">
        <f t="shared" si="83"/>
        <v>907.92027688745009</v>
      </c>
      <c r="AF228" s="73">
        <f>SUM(AE$2:AE228)</f>
        <v>185856.70647829445</v>
      </c>
      <c r="AG228" s="73">
        <f t="shared" si="84"/>
        <v>987873.19594881474</v>
      </c>
    </row>
    <row r="229" spans="1:33" x14ac:dyDescent="0.25">
      <c r="A229" s="99">
        <v>116499.92</v>
      </c>
      <c r="B229" s="96">
        <v>615.41890000000001</v>
      </c>
      <c r="C229" s="96">
        <v>0.6</v>
      </c>
      <c r="D229" s="80">
        <f t="shared" si="68"/>
        <v>100</v>
      </c>
      <c r="E229" s="81">
        <f t="shared" si="77"/>
        <v>6791.2436711181272</v>
      </c>
      <c r="F229" s="81">
        <f>SUM(E$2:E229)</f>
        <v>1395475.7788087022</v>
      </c>
      <c r="G229" s="43">
        <f t="shared" si="74"/>
        <v>1</v>
      </c>
      <c r="H229" s="78">
        <v>1</v>
      </c>
      <c r="I229" s="15">
        <f t="shared" si="78"/>
        <v>0.6</v>
      </c>
      <c r="J229" s="16">
        <f>VLOOKUP(G229,Inputs!$L$3:$P$15,5,FALSE)</f>
        <v>2000</v>
      </c>
      <c r="K229" s="16">
        <f t="shared" si="79"/>
        <v>1825</v>
      </c>
      <c r="L229" s="79">
        <f>Inputs!$P$8-B229</f>
        <v>322.77210000000002</v>
      </c>
      <c r="M229" s="79">
        <f>Inputs!$Q$8+L229*0.433</f>
        <v>1964.7603193</v>
      </c>
      <c r="N229" s="82">
        <f t="shared" si="80"/>
        <v>116499.92</v>
      </c>
      <c r="O229" s="83">
        <f t="shared" si="81"/>
        <v>615.41890000000001</v>
      </c>
      <c r="P229" s="84">
        <f>IF(O229="","",Inputs!$C$5-O229)</f>
        <v>209.76559999999995</v>
      </c>
      <c r="Q229" s="83">
        <f>IF(N229="","",TS!J229)</f>
        <v>2000</v>
      </c>
      <c r="R229" s="83">
        <f>IF(N229="","",TS!K229)</f>
        <v>1825</v>
      </c>
      <c r="S229" s="83">
        <f>Inputs!$H$5+TS!P229*0.4333</f>
        <v>1965.85715093</v>
      </c>
      <c r="T229" s="83">
        <f>Inputs!$G$5+TS!P229*0.4333</f>
        <v>1980.85715093</v>
      </c>
      <c r="U229" s="85">
        <f t="shared" si="82"/>
        <v>0.99042857546499996</v>
      </c>
      <c r="V229" s="86">
        <f t="shared" si="69"/>
        <v>0</v>
      </c>
      <c r="W229" s="86">
        <f t="shared" si="70"/>
        <v>0</v>
      </c>
      <c r="X229" s="86" t="e">
        <f>((PI()*((42-2*'Gen Calcs'!$E$13)^2)/4)/144)*(A272-#REF!)*(W229+14.7)/14.7</f>
        <v>#REF!</v>
      </c>
      <c r="Y229" s="86" t="e">
        <f t="shared" si="71"/>
        <v>#REF!</v>
      </c>
      <c r="Z229" s="86" t="e">
        <f t="shared" si="72"/>
        <v>#REF!</v>
      </c>
      <c r="AA229" s="83">
        <f>MAX(B$2:B229)-B229</f>
        <v>209.76559999999995</v>
      </c>
      <c r="AB229" s="83">
        <f t="shared" si="73"/>
        <v>90.828504799999976</v>
      </c>
      <c r="AC229" s="83">
        <f t="shared" si="75"/>
        <v>112.97696431585506</v>
      </c>
      <c r="AD229" s="72">
        <f t="shared" si="76"/>
        <v>112.97696431585506</v>
      </c>
      <c r="AE229" s="73">
        <f t="shared" si="83"/>
        <v>907.92027688745009</v>
      </c>
      <c r="AF229" s="73">
        <f>SUM(AE$2:AE229)</f>
        <v>186764.6267551819</v>
      </c>
      <c r="AG229" s="73">
        <f t="shared" si="84"/>
        <v>986965.27567192726</v>
      </c>
    </row>
    <row r="230" spans="1:33" x14ac:dyDescent="0.25">
      <c r="A230" s="100">
        <v>116599.92</v>
      </c>
      <c r="B230" s="97">
        <v>615.34720000000004</v>
      </c>
      <c r="C230" s="97">
        <v>0.6</v>
      </c>
      <c r="D230" s="80">
        <f t="shared" si="68"/>
        <v>100</v>
      </c>
      <c r="E230" s="81">
        <f t="shared" si="77"/>
        <v>6791.2436711181272</v>
      </c>
      <c r="F230" s="81">
        <f>SUM(E$2:E230)</f>
        <v>1402267.0224798203</v>
      </c>
      <c r="G230" s="43">
        <f t="shared" si="74"/>
        <v>1</v>
      </c>
      <c r="H230" s="78">
        <v>1</v>
      </c>
      <c r="I230" s="15">
        <f t="shared" si="78"/>
        <v>0.6</v>
      </c>
      <c r="J230" s="16">
        <f>VLOOKUP(G230,Inputs!$L$3:$P$15,5,FALSE)</f>
        <v>2000</v>
      </c>
      <c r="K230" s="16">
        <f t="shared" si="79"/>
        <v>1825</v>
      </c>
      <c r="L230" s="79">
        <f>Inputs!$P$8-B230</f>
        <v>322.84379999999999</v>
      </c>
      <c r="M230" s="79">
        <f>Inputs!$Q$8+L230*0.433</f>
        <v>1964.7913653999999</v>
      </c>
      <c r="N230" s="82">
        <f t="shared" si="80"/>
        <v>116599.92</v>
      </c>
      <c r="O230" s="83">
        <f t="shared" si="81"/>
        <v>615.34720000000004</v>
      </c>
      <c r="P230" s="84">
        <f>IF(O230="","",Inputs!$C$5-O230)</f>
        <v>209.83729999999991</v>
      </c>
      <c r="Q230" s="83">
        <f>IF(N230="","",TS!J230)</f>
        <v>2000</v>
      </c>
      <c r="R230" s="83">
        <f>IF(N230="","",TS!K230)</f>
        <v>1825</v>
      </c>
      <c r="S230" s="83">
        <f>Inputs!$H$5+TS!P230*0.4333</f>
        <v>1965.8882185399998</v>
      </c>
      <c r="T230" s="83">
        <f>Inputs!$G$5+TS!P230*0.4333</f>
        <v>1980.8882185399998</v>
      </c>
      <c r="U230" s="85">
        <f t="shared" si="82"/>
        <v>0.99044410926999993</v>
      </c>
      <c r="V230" s="86">
        <f t="shared" si="69"/>
        <v>0</v>
      </c>
      <c r="W230" s="86">
        <f t="shared" si="70"/>
        <v>0</v>
      </c>
      <c r="X230" s="86" t="e">
        <f>((PI()*((42-2*'Gen Calcs'!$E$13)^2)/4)/144)*(A273-#REF!)*(W230+14.7)/14.7</f>
        <v>#REF!</v>
      </c>
      <c r="Y230" s="86" t="e">
        <f t="shared" si="71"/>
        <v>#REF!</v>
      </c>
      <c r="Z230" s="86" t="e">
        <f t="shared" si="72"/>
        <v>#REF!</v>
      </c>
      <c r="AA230" s="83">
        <f>MAX(B$2:B230)-B230</f>
        <v>209.83729999999991</v>
      </c>
      <c r="AB230" s="83">
        <f t="shared" si="73"/>
        <v>90.859550899999959</v>
      </c>
      <c r="AC230" s="83">
        <f t="shared" si="75"/>
        <v>113.0809887685528</v>
      </c>
      <c r="AD230" s="72">
        <f t="shared" si="76"/>
        <v>113.0809887685528</v>
      </c>
      <c r="AE230" s="73">
        <f t="shared" si="83"/>
        <v>907.92027688745009</v>
      </c>
      <c r="AF230" s="73">
        <f>SUM(AE$2:AE230)</f>
        <v>187672.54703206936</v>
      </c>
      <c r="AG230" s="73">
        <f t="shared" si="84"/>
        <v>986057.35539503978</v>
      </c>
    </row>
    <row r="231" spans="1:33" x14ac:dyDescent="0.25">
      <c r="A231" s="99">
        <v>116699.92</v>
      </c>
      <c r="B231" s="96">
        <v>609.45659999999998</v>
      </c>
      <c r="C231" s="96">
        <v>0.6</v>
      </c>
      <c r="D231" s="80">
        <f t="shared" si="68"/>
        <v>100</v>
      </c>
      <c r="E231" s="81">
        <f t="shared" si="77"/>
        <v>6791.2436711181272</v>
      </c>
      <c r="F231" s="81">
        <f>SUM(E$2:E231)</f>
        <v>1409058.2661509383</v>
      </c>
      <c r="G231" s="43">
        <f t="shared" si="74"/>
        <v>1</v>
      </c>
      <c r="H231" s="78">
        <v>1</v>
      </c>
      <c r="I231" s="15">
        <f t="shared" si="78"/>
        <v>0.6</v>
      </c>
      <c r="J231" s="16">
        <f>VLOOKUP(G231,Inputs!$L$3:$P$15,5,FALSE)</f>
        <v>2000</v>
      </c>
      <c r="K231" s="16">
        <f t="shared" si="79"/>
        <v>1825</v>
      </c>
      <c r="L231" s="79">
        <f>Inputs!$P$8-B231</f>
        <v>328.73440000000005</v>
      </c>
      <c r="M231" s="79">
        <f>Inputs!$Q$8+L231*0.433</f>
        <v>1967.3419951999999</v>
      </c>
      <c r="N231" s="82">
        <f t="shared" si="80"/>
        <v>116699.92</v>
      </c>
      <c r="O231" s="83">
        <f t="shared" si="81"/>
        <v>609.45659999999998</v>
      </c>
      <c r="P231" s="84">
        <f>IF(O231="","",Inputs!$C$5-O231)</f>
        <v>215.72789999999998</v>
      </c>
      <c r="Q231" s="83">
        <f>IF(N231="","",TS!J231)</f>
        <v>2000</v>
      </c>
      <c r="R231" s="83">
        <f>IF(N231="","",TS!K231)</f>
        <v>1825</v>
      </c>
      <c r="S231" s="83">
        <f>Inputs!$H$5+TS!P231*0.4333</f>
        <v>1968.4406155199999</v>
      </c>
      <c r="T231" s="83">
        <f>Inputs!$G$5+TS!P231*0.4333</f>
        <v>1983.4406155199999</v>
      </c>
      <c r="U231" s="85">
        <f t="shared" si="82"/>
        <v>0.99172030775999997</v>
      </c>
      <c r="V231" s="86">
        <f t="shared" si="69"/>
        <v>0</v>
      </c>
      <c r="W231" s="86">
        <f t="shared" si="70"/>
        <v>0</v>
      </c>
      <c r="X231" s="86" t="e">
        <f>((PI()*((42-2*'Gen Calcs'!$E$13)^2)/4)/144)*(A274-#REF!)*(W231+14.7)/14.7</f>
        <v>#REF!</v>
      </c>
      <c r="Y231" s="86" t="e">
        <f t="shared" si="71"/>
        <v>#REF!</v>
      </c>
      <c r="Z231" s="86" t="e">
        <f t="shared" si="72"/>
        <v>#REF!</v>
      </c>
      <c r="AA231" s="83">
        <f>MAX(B$2:B231)-B231</f>
        <v>215.72789999999998</v>
      </c>
      <c r="AB231" s="83">
        <f t="shared" si="73"/>
        <v>93.410180699999984</v>
      </c>
      <c r="AC231" s="83">
        <f t="shared" si="75"/>
        <v>113.18520496050658</v>
      </c>
      <c r="AD231" s="72">
        <f t="shared" si="76"/>
        <v>113.18520496050658</v>
      </c>
      <c r="AE231" s="73">
        <f t="shared" si="83"/>
        <v>907.92027688745009</v>
      </c>
      <c r="AF231" s="73">
        <f>SUM(AE$2:AE231)</f>
        <v>188580.46730895681</v>
      </c>
      <c r="AG231" s="73">
        <f t="shared" si="84"/>
        <v>985149.43511815241</v>
      </c>
    </row>
    <row r="232" spans="1:33" x14ac:dyDescent="0.25">
      <c r="A232" s="100">
        <v>116799.92</v>
      </c>
      <c r="B232" s="97">
        <v>597.89009999999996</v>
      </c>
      <c r="C232" s="97">
        <v>0.6</v>
      </c>
      <c r="D232" s="80">
        <f t="shared" si="68"/>
        <v>100</v>
      </c>
      <c r="E232" s="81">
        <f t="shared" si="77"/>
        <v>6791.2436711181272</v>
      </c>
      <c r="F232" s="81">
        <f>SUM(E$2:E232)</f>
        <v>1415849.5098220564</v>
      </c>
      <c r="G232" s="43">
        <f t="shared" si="74"/>
        <v>1</v>
      </c>
      <c r="H232" s="78">
        <v>1</v>
      </c>
      <c r="I232" s="15">
        <f t="shared" si="78"/>
        <v>0.6</v>
      </c>
      <c r="J232" s="16">
        <f>VLOOKUP(G232,Inputs!$L$3:$P$15,5,FALSE)</f>
        <v>2000</v>
      </c>
      <c r="K232" s="16">
        <f t="shared" si="79"/>
        <v>1825</v>
      </c>
      <c r="L232" s="79">
        <f>Inputs!$P$8-B232</f>
        <v>340.30090000000007</v>
      </c>
      <c r="M232" s="79">
        <f>Inputs!$Q$8+L232*0.433</f>
        <v>1972.3502897000001</v>
      </c>
      <c r="N232" s="82">
        <f t="shared" si="80"/>
        <v>116799.92</v>
      </c>
      <c r="O232" s="83">
        <f t="shared" si="81"/>
        <v>597.89009999999996</v>
      </c>
      <c r="P232" s="84">
        <f>IF(O232="","",Inputs!$C$5-O232)</f>
        <v>227.2944</v>
      </c>
      <c r="Q232" s="83">
        <f>IF(N232="","",TS!J232)</f>
        <v>2000</v>
      </c>
      <c r="R232" s="83">
        <f>IF(N232="","",TS!K232)</f>
        <v>1825</v>
      </c>
      <c r="S232" s="83">
        <f>Inputs!$H$5+TS!P232*0.4333</f>
        <v>1973.45237997</v>
      </c>
      <c r="T232" s="83">
        <f>Inputs!$G$5+TS!P232*0.4333</f>
        <v>1988.45237997</v>
      </c>
      <c r="U232" s="85">
        <f t="shared" si="82"/>
        <v>0.99422618998500001</v>
      </c>
      <c r="V232" s="86">
        <f t="shared" si="69"/>
        <v>0</v>
      </c>
      <c r="W232" s="86">
        <f t="shared" si="70"/>
        <v>0</v>
      </c>
      <c r="X232" s="86" t="e">
        <f>((PI()*((42-2*'Gen Calcs'!$E$13)^2)/4)/144)*(A275-#REF!)*(W232+14.7)/14.7</f>
        <v>#REF!</v>
      </c>
      <c r="Y232" s="86" t="e">
        <f t="shared" si="71"/>
        <v>#REF!</v>
      </c>
      <c r="Z232" s="86" t="e">
        <f t="shared" si="72"/>
        <v>#REF!</v>
      </c>
      <c r="AA232" s="83">
        <f>MAX(B$2:B232)-B232</f>
        <v>227.2944</v>
      </c>
      <c r="AB232" s="83">
        <f t="shared" si="73"/>
        <v>98.418475200000003</v>
      </c>
      <c r="AC232" s="83">
        <f t="shared" si="75"/>
        <v>113.28961342232999</v>
      </c>
      <c r="AD232" s="72">
        <f t="shared" si="76"/>
        <v>113.28961342232999</v>
      </c>
      <c r="AE232" s="73">
        <f t="shared" si="83"/>
        <v>907.92027688745009</v>
      </c>
      <c r="AF232" s="73">
        <f>SUM(AE$2:AE232)</f>
        <v>189488.38758584426</v>
      </c>
      <c r="AG232" s="73">
        <f t="shared" si="84"/>
        <v>984241.51484126493</v>
      </c>
    </row>
    <row r="233" spans="1:33" x14ac:dyDescent="0.25">
      <c r="A233" s="99">
        <v>116899.92</v>
      </c>
      <c r="B233" s="96">
        <v>594.71540000000005</v>
      </c>
      <c r="C233" s="96">
        <v>0.6</v>
      </c>
      <c r="D233" s="80">
        <f t="shared" si="68"/>
        <v>100</v>
      </c>
      <c r="E233" s="81">
        <f t="shared" si="77"/>
        <v>6791.2436711181272</v>
      </c>
      <c r="F233" s="81">
        <f>SUM(E$2:E233)</f>
        <v>1422640.7534931744</v>
      </c>
      <c r="G233" s="43">
        <f t="shared" si="74"/>
        <v>1</v>
      </c>
      <c r="H233" s="78">
        <v>1</v>
      </c>
      <c r="I233" s="15">
        <f t="shared" si="78"/>
        <v>0.6</v>
      </c>
      <c r="J233" s="16">
        <f>VLOOKUP(G233,Inputs!$L$3:$P$15,5,FALSE)</f>
        <v>2000</v>
      </c>
      <c r="K233" s="16">
        <f t="shared" si="79"/>
        <v>1825</v>
      </c>
      <c r="L233" s="79">
        <f>Inputs!$P$8-B233</f>
        <v>343.47559999999999</v>
      </c>
      <c r="M233" s="79">
        <f>Inputs!$Q$8+L233*0.433</f>
        <v>1973.7249348</v>
      </c>
      <c r="N233" s="82">
        <f t="shared" si="80"/>
        <v>116899.92</v>
      </c>
      <c r="O233" s="83">
        <f t="shared" si="81"/>
        <v>594.71540000000005</v>
      </c>
      <c r="P233" s="84">
        <f>IF(O233="","",Inputs!$C$5-O233)</f>
        <v>230.46909999999991</v>
      </c>
      <c r="Q233" s="83">
        <f>IF(N233="","",TS!J233)</f>
        <v>2000</v>
      </c>
      <c r="R233" s="83">
        <f>IF(N233="","",TS!K233)</f>
        <v>1825</v>
      </c>
      <c r="S233" s="83">
        <f>Inputs!$H$5+TS!P233*0.4333</f>
        <v>1974.8279774799998</v>
      </c>
      <c r="T233" s="83">
        <f>Inputs!$G$5+TS!P233*0.4333</f>
        <v>1989.8279774799998</v>
      </c>
      <c r="U233" s="85">
        <f t="shared" si="82"/>
        <v>0.99491398873999992</v>
      </c>
      <c r="V233" s="86">
        <f t="shared" si="69"/>
        <v>0</v>
      </c>
      <c r="W233" s="86">
        <f t="shared" si="70"/>
        <v>0</v>
      </c>
      <c r="X233" s="86" t="e">
        <f>((PI()*((42-2*'Gen Calcs'!$E$13)^2)/4)/144)*(A276-#REF!)*(W233+14.7)/14.7</f>
        <v>#REF!</v>
      </c>
      <c r="Y233" s="86" t="e">
        <f t="shared" si="71"/>
        <v>#REF!</v>
      </c>
      <c r="Z233" s="86" t="e">
        <f t="shared" si="72"/>
        <v>#REF!</v>
      </c>
      <c r="AA233" s="83">
        <f>MAX(B$2:B233)-B233</f>
        <v>230.46909999999991</v>
      </c>
      <c r="AB233" s="83">
        <f t="shared" si="73"/>
        <v>99.793120299999956</v>
      </c>
      <c r="AC233" s="83">
        <f t="shared" si="75"/>
        <v>113.3942146865962</v>
      </c>
      <c r="AD233" s="72">
        <f t="shared" si="76"/>
        <v>113.3942146865962</v>
      </c>
      <c r="AE233" s="73">
        <f t="shared" si="83"/>
        <v>907.92027688745009</v>
      </c>
      <c r="AF233" s="73">
        <f>SUM(AE$2:AE233)</f>
        <v>190396.30786273172</v>
      </c>
      <c r="AG233" s="73">
        <f t="shared" si="84"/>
        <v>983333.59456437745</v>
      </c>
    </row>
    <row r="234" spans="1:33" x14ac:dyDescent="0.25">
      <c r="A234" s="100">
        <v>116999.92</v>
      </c>
      <c r="B234" s="97">
        <v>572.81079999999997</v>
      </c>
      <c r="C234" s="97">
        <v>0.6</v>
      </c>
      <c r="D234" s="80">
        <f t="shared" si="68"/>
        <v>100</v>
      </c>
      <c r="E234" s="81">
        <f t="shared" si="77"/>
        <v>6791.2436711181272</v>
      </c>
      <c r="F234" s="81">
        <f>SUM(E$2:E234)</f>
        <v>1429431.9971642925</v>
      </c>
      <c r="G234" s="43">
        <f t="shared" si="74"/>
        <v>1</v>
      </c>
      <c r="H234" s="78">
        <v>1</v>
      </c>
      <c r="I234" s="15">
        <f t="shared" si="78"/>
        <v>0.6</v>
      </c>
      <c r="J234" s="16">
        <f>VLOOKUP(G234,Inputs!$L$3:$P$15,5,FALSE)</f>
        <v>2000</v>
      </c>
      <c r="K234" s="16">
        <f t="shared" si="79"/>
        <v>1825</v>
      </c>
      <c r="L234" s="79">
        <f>Inputs!$P$8-B234</f>
        <v>365.38020000000006</v>
      </c>
      <c r="M234" s="79">
        <f>Inputs!$Q$8+L234*0.433</f>
        <v>1983.2096266000001</v>
      </c>
      <c r="N234" s="82">
        <f t="shared" si="80"/>
        <v>116999.92</v>
      </c>
      <c r="O234" s="83">
        <f t="shared" si="81"/>
        <v>572.81079999999997</v>
      </c>
      <c r="P234" s="84">
        <f>IF(O234="","",Inputs!$C$5-O234)</f>
        <v>252.37369999999999</v>
      </c>
      <c r="Q234" s="83">
        <f>IF(N234="","",TS!J234)</f>
        <v>2000</v>
      </c>
      <c r="R234" s="83">
        <f>IF(N234="","",TS!K234)</f>
        <v>1825</v>
      </c>
      <c r="S234" s="83">
        <f>Inputs!$H$5+TS!P234*0.4333</f>
        <v>1984.3192406599999</v>
      </c>
      <c r="T234" s="83">
        <f>Inputs!$G$5+TS!P234*0.4333</f>
        <v>1999.3192406599999</v>
      </c>
      <c r="U234" s="85">
        <f t="shared" si="82"/>
        <v>0.99965962032999989</v>
      </c>
      <c r="V234" s="86">
        <f t="shared" si="69"/>
        <v>0</v>
      </c>
      <c r="W234" s="86">
        <f t="shared" si="70"/>
        <v>0</v>
      </c>
      <c r="X234" s="86" t="e">
        <f>((PI()*((42-2*'Gen Calcs'!$E$13)^2)/4)/144)*(A277-#REF!)*(W234+14.7)/14.7</f>
        <v>#REF!</v>
      </c>
      <c r="Y234" s="86" t="e">
        <f t="shared" si="71"/>
        <v>#REF!</v>
      </c>
      <c r="Z234" s="86" t="e">
        <f t="shared" si="72"/>
        <v>#REF!</v>
      </c>
      <c r="AA234" s="83">
        <f>MAX(B$2:B234)-B234</f>
        <v>252.37369999999999</v>
      </c>
      <c r="AB234" s="83">
        <f t="shared" si="73"/>
        <v>109.27781209999999</v>
      </c>
      <c r="AC234" s="83">
        <f t="shared" si="75"/>
        <v>113.49900928784719</v>
      </c>
      <c r="AD234" s="72">
        <f t="shared" si="76"/>
        <v>113.49900928784719</v>
      </c>
      <c r="AE234" s="73">
        <f t="shared" si="83"/>
        <v>907.92027688745009</v>
      </c>
      <c r="AF234" s="73">
        <f>SUM(AE$2:AE234)</f>
        <v>191304.22813961917</v>
      </c>
      <c r="AG234" s="73">
        <f t="shared" si="84"/>
        <v>982425.67428749008</v>
      </c>
    </row>
    <row r="235" spans="1:33" x14ac:dyDescent="0.25">
      <c r="A235" s="99">
        <v>117099.92</v>
      </c>
      <c r="B235" s="96">
        <v>574.56920000000002</v>
      </c>
      <c r="C235" s="96">
        <v>0.6</v>
      </c>
      <c r="D235" s="80">
        <f t="shared" si="68"/>
        <v>100</v>
      </c>
      <c r="E235" s="81">
        <f t="shared" si="77"/>
        <v>6791.2436711181272</v>
      </c>
      <c r="F235" s="81">
        <f>SUM(E$2:E235)</f>
        <v>1436223.2408354105</v>
      </c>
      <c r="G235" s="43">
        <f t="shared" si="74"/>
        <v>1</v>
      </c>
      <c r="H235" s="78">
        <v>1</v>
      </c>
      <c r="I235" s="15">
        <f t="shared" si="78"/>
        <v>0.6</v>
      </c>
      <c r="J235" s="16">
        <f>VLOOKUP(G235,Inputs!$L$3:$P$15,5,FALSE)</f>
        <v>2000</v>
      </c>
      <c r="K235" s="16">
        <f t="shared" si="79"/>
        <v>1825</v>
      </c>
      <c r="L235" s="79">
        <f>Inputs!$P$8-B235</f>
        <v>363.62180000000001</v>
      </c>
      <c r="M235" s="79">
        <f>Inputs!$Q$8+L235*0.433</f>
        <v>1982.4482393999999</v>
      </c>
      <c r="N235" s="82">
        <f t="shared" si="80"/>
        <v>117099.92</v>
      </c>
      <c r="O235" s="83">
        <f t="shared" si="81"/>
        <v>574.56920000000002</v>
      </c>
      <c r="P235" s="84">
        <f>IF(O235="","",Inputs!$C$5-O235)</f>
        <v>250.61529999999993</v>
      </c>
      <c r="Q235" s="83">
        <f>IF(N235="","",TS!J235)</f>
        <v>2000</v>
      </c>
      <c r="R235" s="83">
        <f>IF(N235="","",TS!K235)</f>
        <v>1825</v>
      </c>
      <c r="S235" s="83">
        <f>Inputs!$H$5+TS!P235*0.4333</f>
        <v>1983.5573259399998</v>
      </c>
      <c r="T235" s="83">
        <f>Inputs!$G$5+TS!P235*0.4333</f>
        <v>1998.5573259399998</v>
      </c>
      <c r="U235" s="85">
        <f t="shared" si="82"/>
        <v>0.9992786629699999</v>
      </c>
      <c r="V235" s="86">
        <f t="shared" si="69"/>
        <v>0</v>
      </c>
      <c r="W235" s="86">
        <f t="shared" si="70"/>
        <v>0</v>
      </c>
      <c r="X235" s="86" t="e">
        <f>((PI()*((42-2*'Gen Calcs'!$E$13)^2)/4)/144)*(A278-#REF!)*(W235+14.7)/14.7</f>
        <v>#REF!</v>
      </c>
      <c r="Y235" s="86" t="e">
        <f t="shared" si="71"/>
        <v>#REF!</v>
      </c>
      <c r="Z235" s="86" t="e">
        <f t="shared" si="72"/>
        <v>#REF!</v>
      </c>
      <c r="AA235" s="83">
        <f>MAX(B$2:B235)-B235</f>
        <v>250.61529999999993</v>
      </c>
      <c r="AB235" s="83">
        <f t="shared" si="73"/>
        <v>108.51642489999998</v>
      </c>
      <c r="AC235" s="83">
        <f t="shared" si="75"/>
        <v>113.60399776260275</v>
      </c>
      <c r="AD235" s="72">
        <f t="shared" si="76"/>
        <v>113.60399776260275</v>
      </c>
      <c r="AE235" s="73">
        <f t="shared" si="83"/>
        <v>907.92027688745009</v>
      </c>
      <c r="AF235" s="73">
        <f>SUM(AE$2:AE235)</f>
        <v>192212.14841650662</v>
      </c>
      <c r="AG235" s="73">
        <f t="shared" si="84"/>
        <v>981517.7540106026</v>
      </c>
    </row>
    <row r="236" spans="1:33" x14ac:dyDescent="0.25">
      <c r="A236" s="100">
        <v>117199.92</v>
      </c>
      <c r="B236" s="97">
        <v>575.08780000000002</v>
      </c>
      <c r="C236" s="97">
        <v>0.6</v>
      </c>
      <c r="D236" s="80">
        <f t="shared" si="68"/>
        <v>100</v>
      </c>
      <c r="E236" s="81">
        <f t="shared" si="77"/>
        <v>6791.2436711181272</v>
      </c>
      <c r="F236" s="81">
        <f>SUM(E$2:E236)</f>
        <v>1443014.4845065286</v>
      </c>
      <c r="G236" s="43">
        <f t="shared" si="74"/>
        <v>1</v>
      </c>
      <c r="H236" s="78">
        <v>1</v>
      </c>
      <c r="I236" s="15">
        <f t="shared" si="78"/>
        <v>0.6</v>
      </c>
      <c r="J236" s="16">
        <f>VLOOKUP(G236,Inputs!$L$3:$P$15,5,FALSE)</f>
        <v>2000</v>
      </c>
      <c r="K236" s="16">
        <f t="shared" si="79"/>
        <v>1825</v>
      </c>
      <c r="L236" s="79">
        <f>Inputs!$P$8-B236</f>
        <v>363.10320000000002</v>
      </c>
      <c r="M236" s="79">
        <f>Inputs!$Q$8+L236*0.433</f>
        <v>1982.2236856</v>
      </c>
      <c r="N236" s="82">
        <f t="shared" si="80"/>
        <v>117199.92</v>
      </c>
      <c r="O236" s="83">
        <f t="shared" si="81"/>
        <v>575.08780000000002</v>
      </c>
      <c r="P236" s="84">
        <f>IF(O236="","",Inputs!$C$5-O236)</f>
        <v>250.09669999999994</v>
      </c>
      <c r="Q236" s="83">
        <f>IF(N236="","",TS!J236)</f>
        <v>2000</v>
      </c>
      <c r="R236" s="83">
        <f>IF(N236="","",TS!K236)</f>
        <v>1825</v>
      </c>
      <c r="S236" s="83">
        <f>Inputs!$H$5+TS!P236*0.4333</f>
        <v>1983.3326165599999</v>
      </c>
      <c r="T236" s="83">
        <f>Inputs!$G$5+TS!P236*0.4333</f>
        <v>1998.3326165599999</v>
      </c>
      <c r="U236" s="85">
        <f t="shared" si="82"/>
        <v>0.99916630827999997</v>
      </c>
      <c r="V236" s="86">
        <f t="shared" si="69"/>
        <v>0</v>
      </c>
      <c r="W236" s="86">
        <f t="shared" si="70"/>
        <v>0</v>
      </c>
      <c r="X236" s="86" t="e">
        <f>((PI()*((42-2*'Gen Calcs'!$E$13)^2)/4)/144)*(A279-#REF!)*(W236+14.7)/14.7</f>
        <v>#REF!</v>
      </c>
      <c r="Y236" s="86" t="e">
        <f t="shared" si="71"/>
        <v>#REF!</v>
      </c>
      <c r="Z236" s="86" t="e">
        <f t="shared" si="72"/>
        <v>#REF!</v>
      </c>
      <c r="AA236" s="83">
        <f>MAX(B$2:B236)-B236</f>
        <v>250.09669999999994</v>
      </c>
      <c r="AB236" s="83">
        <f t="shared" si="73"/>
        <v>108.29187109999998</v>
      </c>
      <c r="AC236" s="83">
        <f t="shared" si="75"/>
        <v>113.70918064936967</v>
      </c>
      <c r="AD236" s="72">
        <f t="shared" si="76"/>
        <v>113.70918064936967</v>
      </c>
      <c r="AE236" s="73">
        <f t="shared" si="83"/>
        <v>907.92027688745009</v>
      </c>
      <c r="AF236" s="73">
        <f>SUM(AE$2:AE236)</f>
        <v>193120.06869339407</v>
      </c>
      <c r="AG236" s="73">
        <f t="shared" si="84"/>
        <v>980609.83373371512</v>
      </c>
    </row>
    <row r="237" spans="1:33" x14ac:dyDescent="0.25">
      <c r="A237" s="99">
        <v>117299.92</v>
      </c>
      <c r="B237" s="96">
        <v>584.93859999999995</v>
      </c>
      <c r="C237" s="96">
        <v>0.6</v>
      </c>
      <c r="D237" s="80">
        <f t="shared" si="68"/>
        <v>100</v>
      </c>
      <c r="E237" s="81">
        <f t="shared" si="77"/>
        <v>6791.2436711181272</v>
      </c>
      <c r="F237" s="81">
        <f>SUM(E$2:E237)</f>
        <v>1449805.7281776466</v>
      </c>
      <c r="G237" s="43">
        <f t="shared" si="74"/>
        <v>1</v>
      </c>
      <c r="H237" s="78">
        <v>1</v>
      </c>
      <c r="I237" s="15">
        <f t="shared" si="78"/>
        <v>0.6</v>
      </c>
      <c r="J237" s="16">
        <f>VLOOKUP(G237,Inputs!$L$3:$P$15,5,FALSE)</f>
        <v>2000</v>
      </c>
      <c r="K237" s="16">
        <f t="shared" si="79"/>
        <v>1825</v>
      </c>
      <c r="L237" s="79">
        <f>Inputs!$P$8-B237</f>
        <v>353.25240000000008</v>
      </c>
      <c r="M237" s="79">
        <f>Inputs!$Q$8+L237*0.433</f>
        <v>1977.9582892000001</v>
      </c>
      <c r="N237" s="82">
        <f t="shared" si="80"/>
        <v>117299.92</v>
      </c>
      <c r="O237" s="83">
        <f t="shared" si="81"/>
        <v>584.93859999999995</v>
      </c>
      <c r="P237" s="84">
        <f>IF(O237="","",Inputs!$C$5-O237)</f>
        <v>240.24590000000001</v>
      </c>
      <c r="Q237" s="83">
        <f>IF(N237="","",TS!J237)</f>
        <v>2000</v>
      </c>
      <c r="R237" s="83">
        <f>IF(N237="","",TS!K237)</f>
        <v>1825</v>
      </c>
      <c r="S237" s="83">
        <f>Inputs!$H$5+TS!P237*0.4333</f>
        <v>1979.0642649199999</v>
      </c>
      <c r="T237" s="83">
        <f>Inputs!$G$5+TS!P237*0.4333</f>
        <v>1994.0642649199999</v>
      </c>
      <c r="U237" s="85">
        <f t="shared" si="82"/>
        <v>0.99703213246</v>
      </c>
      <c r="V237" s="86">
        <f t="shared" si="69"/>
        <v>0</v>
      </c>
      <c r="W237" s="86">
        <f t="shared" si="70"/>
        <v>0</v>
      </c>
      <c r="X237" s="86" t="e">
        <f>((PI()*((42-2*'Gen Calcs'!$E$13)^2)/4)/144)*(A280-#REF!)*(W237+14.7)/14.7</f>
        <v>#REF!</v>
      </c>
      <c r="Y237" s="86" t="e">
        <f t="shared" si="71"/>
        <v>#REF!</v>
      </c>
      <c r="Z237" s="86" t="e">
        <f t="shared" si="72"/>
        <v>#REF!</v>
      </c>
      <c r="AA237" s="83">
        <f>MAX(B$2:B237)-B237</f>
        <v>240.24590000000001</v>
      </c>
      <c r="AB237" s="83">
        <f t="shared" si="73"/>
        <v>104.02647470000001</v>
      </c>
      <c r="AC237" s="83">
        <f t="shared" si="75"/>
        <v>113.81455848865096</v>
      </c>
      <c r="AD237" s="72">
        <f t="shared" si="76"/>
        <v>113.81455848865096</v>
      </c>
      <c r="AE237" s="73">
        <f t="shared" si="83"/>
        <v>907.92027688745009</v>
      </c>
      <c r="AF237" s="73">
        <f>SUM(AE$2:AE237)</f>
        <v>194027.98897028153</v>
      </c>
      <c r="AG237" s="73">
        <f t="shared" si="84"/>
        <v>979701.91345682763</v>
      </c>
    </row>
    <row r="238" spans="1:33" x14ac:dyDescent="0.25">
      <c r="A238" s="100">
        <v>117399.92</v>
      </c>
      <c r="B238" s="97">
        <v>598.44740000000002</v>
      </c>
      <c r="C238" s="97">
        <v>0.6</v>
      </c>
      <c r="D238" s="80">
        <f t="shared" si="68"/>
        <v>100</v>
      </c>
      <c r="E238" s="81">
        <f t="shared" si="77"/>
        <v>6791.2436711181272</v>
      </c>
      <c r="F238" s="81">
        <f>SUM(E$2:E238)</f>
        <v>1456596.9718487647</v>
      </c>
      <c r="G238" s="43">
        <f t="shared" si="74"/>
        <v>1</v>
      </c>
      <c r="H238" s="78">
        <v>1</v>
      </c>
      <c r="I238" s="15">
        <f t="shared" si="78"/>
        <v>0.6</v>
      </c>
      <c r="J238" s="16">
        <f>VLOOKUP(G238,Inputs!$L$3:$P$15,5,FALSE)</f>
        <v>2000</v>
      </c>
      <c r="K238" s="16">
        <f t="shared" si="79"/>
        <v>1825</v>
      </c>
      <c r="L238" s="79">
        <f>Inputs!$P$8-B238</f>
        <v>339.74360000000001</v>
      </c>
      <c r="M238" s="79">
        <f>Inputs!$Q$8+L238*0.433</f>
        <v>1972.1089787999999</v>
      </c>
      <c r="N238" s="82">
        <f t="shared" si="80"/>
        <v>117399.92</v>
      </c>
      <c r="O238" s="83">
        <f t="shared" si="81"/>
        <v>598.44740000000002</v>
      </c>
      <c r="P238" s="84">
        <f>IF(O238="","",Inputs!$C$5-O238)</f>
        <v>226.73709999999994</v>
      </c>
      <c r="Q238" s="83">
        <f>IF(N238="","",TS!J238)</f>
        <v>2000</v>
      </c>
      <c r="R238" s="83">
        <f>IF(N238="","",TS!K238)</f>
        <v>1825</v>
      </c>
      <c r="S238" s="83">
        <f>Inputs!$H$5+TS!P238*0.4333</f>
        <v>1973.2109018799999</v>
      </c>
      <c r="T238" s="83">
        <f>Inputs!$G$5+TS!P238*0.4333</f>
        <v>1988.2109018799999</v>
      </c>
      <c r="U238" s="85">
        <f t="shared" si="82"/>
        <v>0.99410545094000002</v>
      </c>
      <c r="V238" s="86">
        <f t="shared" si="69"/>
        <v>0</v>
      </c>
      <c r="W238" s="86">
        <f t="shared" si="70"/>
        <v>0</v>
      </c>
      <c r="X238" s="86" t="e">
        <f>((PI()*((42-2*'Gen Calcs'!$E$13)^2)/4)/144)*(A281-#REF!)*(W238+14.7)/14.7</f>
        <v>#REF!</v>
      </c>
      <c r="Y238" s="86" t="e">
        <f t="shared" si="71"/>
        <v>#REF!</v>
      </c>
      <c r="Z238" s="86" t="e">
        <f t="shared" si="72"/>
        <v>#REF!</v>
      </c>
      <c r="AA238" s="83">
        <f>MAX(B$2:B238)-B238</f>
        <v>226.73709999999994</v>
      </c>
      <c r="AB238" s="83">
        <f t="shared" si="73"/>
        <v>98.177164299999973</v>
      </c>
      <c r="AC238" s="83">
        <f t="shared" si="75"/>
        <v>113.92013182295507</v>
      </c>
      <c r="AD238" s="72">
        <f t="shared" si="76"/>
        <v>113.92013182295507</v>
      </c>
      <c r="AE238" s="73">
        <f t="shared" si="83"/>
        <v>907.92027688745009</v>
      </c>
      <c r="AF238" s="73">
        <f>SUM(AE$2:AE238)</f>
        <v>194935.90924716898</v>
      </c>
      <c r="AG238" s="73">
        <f t="shared" si="84"/>
        <v>978793.99317994015</v>
      </c>
    </row>
    <row r="239" spans="1:33" x14ac:dyDescent="0.25">
      <c r="A239" s="99">
        <v>117499.92</v>
      </c>
      <c r="B239" s="96">
        <v>596.13699999999994</v>
      </c>
      <c r="C239" s="96">
        <v>0.6</v>
      </c>
      <c r="D239" s="80">
        <f t="shared" si="68"/>
        <v>100</v>
      </c>
      <c r="E239" s="81">
        <f t="shared" si="77"/>
        <v>6791.2436711181272</v>
      </c>
      <c r="F239" s="81">
        <f>SUM(E$2:E239)</f>
        <v>1463388.2155198827</v>
      </c>
      <c r="G239" s="43">
        <f t="shared" si="74"/>
        <v>1</v>
      </c>
      <c r="H239" s="78">
        <v>1</v>
      </c>
      <c r="I239" s="15">
        <f t="shared" si="78"/>
        <v>0.6</v>
      </c>
      <c r="J239" s="16">
        <f>VLOOKUP(G239,Inputs!$L$3:$P$15,5,FALSE)</f>
        <v>2000</v>
      </c>
      <c r="K239" s="16">
        <f t="shared" si="79"/>
        <v>1825</v>
      </c>
      <c r="L239" s="79">
        <f>Inputs!$P$8-B239</f>
        <v>342.05400000000009</v>
      </c>
      <c r="M239" s="79">
        <f>Inputs!$Q$8+L239*0.433</f>
        <v>1973.1093820000001</v>
      </c>
      <c r="N239" s="82">
        <f t="shared" si="80"/>
        <v>117499.92</v>
      </c>
      <c r="O239" s="83">
        <f t="shared" si="81"/>
        <v>596.13699999999994</v>
      </c>
      <c r="P239" s="84">
        <f>IF(O239="","",Inputs!$C$5-O239)</f>
        <v>229.04750000000001</v>
      </c>
      <c r="Q239" s="83">
        <f>IF(N239="","",TS!J239)</f>
        <v>2000</v>
      </c>
      <c r="R239" s="83">
        <f>IF(N239="","",TS!K239)</f>
        <v>1825</v>
      </c>
      <c r="S239" s="83">
        <f>Inputs!$H$5+TS!P239*0.4333</f>
        <v>1974.2119981999999</v>
      </c>
      <c r="T239" s="83">
        <f>Inputs!$G$5+TS!P239*0.4333</f>
        <v>1989.2119981999999</v>
      </c>
      <c r="U239" s="85">
        <f t="shared" si="82"/>
        <v>0.99460599909999992</v>
      </c>
      <c r="V239" s="86">
        <f t="shared" si="69"/>
        <v>0</v>
      </c>
      <c r="W239" s="86">
        <f t="shared" si="70"/>
        <v>0</v>
      </c>
      <c r="X239" s="86" t="e">
        <f>((PI()*((42-2*'Gen Calcs'!$E$13)^2)/4)/144)*(A282-#REF!)*(W239+14.7)/14.7</f>
        <v>#REF!</v>
      </c>
      <c r="Y239" s="86" t="e">
        <f t="shared" si="71"/>
        <v>#REF!</v>
      </c>
      <c r="Z239" s="86" t="e">
        <f t="shared" si="72"/>
        <v>#REF!</v>
      </c>
      <c r="AA239" s="83">
        <f>MAX(B$2:B239)-B239</f>
        <v>229.04750000000001</v>
      </c>
      <c r="AB239" s="83">
        <f t="shared" si="73"/>
        <v>99.177567500000009</v>
      </c>
      <c r="AC239" s="83">
        <f t="shared" si="75"/>
        <v>114.02590119680522</v>
      </c>
      <c r="AD239" s="72">
        <f t="shared" si="76"/>
        <v>114.02590119680522</v>
      </c>
      <c r="AE239" s="73">
        <f t="shared" si="83"/>
        <v>907.92027688745009</v>
      </c>
      <c r="AF239" s="73">
        <f>SUM(AE$2:AE239)</f>
        <v>195843.82952405643</v>
      </c>
      <c r="AG239" s="73">
        <f t="shared" si="84"/>
        <v>977886.07290305279</v>
      </c>
    </row>
    <row r="240" spans="1:33" x14ac:dyDescent="0.25">
      <c r="A240" s="100">
        <v>117599.92</v>
      </c>
      <c r="B240" s="97">
        <v>599.54549999999995</v>
      </c>
      <c r="C240" s="97">
        <v>0.6</v>
      </c>
      <c r="D240" s="80">
        <f t="shared" ref="D240:D303" si="85">A240-A239</f>
        <v>100</v>
      </c>
      <c r="E240" s="81">
        <f t="shared" si="77"/>
        <v>6791.2436711181272</v>
      </c>
      <c r="F240" s="81">
        <f>SUM(E$2:E240)</f>
        <v>1470179.4591910008</v>
      </c>
      <c r="G240" s="43">
        <f t="shared" si="74"/>
        <v>1</v>
      </c>
      <c r="H240" s="78">
        <v>1</v>
      </c>
      <c r="I240" s="15">
        <f t="shared" si="78"/>
        <v>0.6</v>
      </c>
      <c r="J240" s="16">
        <f>VLOOKUP(G240,Inputs!$L$3:$P$15,5,FALSE)</f>
        <v>2000</v>
      </c>
      <c r="K240" s="16">
        <f t="shared" si="79"/>
        <v>1825</v>
      </c>
      <c r="L240" s="79">
        <f>Inputs!$P$8-B240</f>
        <v>338.64550000000008</v>
      </c>
      <c r="M240" s="79">
        <f>Inputs!$Q$8+L240*0.433</f>
        <v>1971.6335015</v>
      </c>
      <c r="N240" s="82">
        <f t="shared" si="80"/>
        <v>117599.92</v>
      </c>
      <c r="O240" s="83">
        <f t="shared" si="81"/>
        <v>599.54549999999995</v>
      </c>
      <c r="P240" s="84">
        <f>IF(O240="","",Inputs!$C$5-O240)</f>
        <v>225.63900000000001</v>
      </c>
      <c r="Q240" s="83">
        <f>IF(N240="","",TS!J240)</f>
        <v>2000</v>
      </c>
      <c r="R240" s="83">
        <f>IF(N240="","",TS!K240)</f>
        <v>1825</v>
      </c>
      <c r="S240" s="83">
        <f>Inputs!$H$5+TS!P240*0.4333</f>
        <v>1972.73509515</v>
      </c>
      <c r="T240" s="83">
        <f>Inputs!$G$5+TS!P240*0.4333</f>
        <v>1987.73509515</v>
      </c>
      <c r="U240" s="85">
        <f t="shared" si="82"/>
        <v>0.99386754757499995</v>
      </c>
      <c r="V240" s="86">
        <f t="shared" si="69"/>
        <v>0</v>
      </c>
      <c r="W240" s="86">
        <f t="shared" si="70"/>
        <v>0</v>
      </c>
      <c r="X240" s="86" t="e">
        <f>((PI()*((42-2*'Gen Calcs'!$E$13)^2)/4)/144)*(A283-#REF!)*(W240+14.7)/14.7</f>
        <v>#REF!</v>
      </c>
      <c r="Y240" s="86" t="e">
        <f t="shared" si="71"/>
        <v>#REF!</v>
      </c>
      <c r="Z240" s="86" t="e">
        <f t="shared" si="72"/>
        <v>#REF!</v>
      </c>
      <c r="AA240" s="83">
        <f>MAX(B$2:B240)-B240</f>
        <v>225.63900000000001</v>
      </c>
      <c r="AB240" s="83">
        <f t="shared" si="73"/>
        <v>97.701687000000007</v>
      </c>
      <c r="AC240" s="83">
        <f t="shared" si="75"/>
        <v>114.13186715674881</v>
      </c>
      <c r="AD240" s="72">
        <f t="shared" si="76"/>
        <v>114.13186715674881</v>
      </c>
      <c r="AE240" s="73">
        <f t="shared" si="83"/>
        <v>907.92027688745009</v>
      </c>
      <c r="AF240" s="73">
        <f>SUM(AE$2:AE240)</f>
        <v>196751.74980094389</v>
      </c>
      <c r="AG240" s="73">
        <f t="shared" si="84"/>
        <v>976978.15262616531</v>
      </c>
    </row>
    <row r="241" spans="1:33" x14ac:dyDescent="0.25">
      <c r="A241" s="99">
        <v>117699.92</v>
      </c>
      <c r="B241" s="96">
        <v>606.34169999999995</v>
      </c>
      <c r="C241" s="96">
        <v>0.6</v>
      </c>
      <c r="D241" s="80">
        <f t="shared" si="85"/>
        <v>100</v>
      </c>
      <c r="E241" s="81">
        <f t="shared" si="77"/>
        <v>6791.2436711181272</v>
      </c>
      <c r="F241" s="81">
        <f>SUM(E$2:E241)</f>
        <v>1476970.7028621188</v>
      </c>
      <c r="G241" s="43">
        <f t="shared" si="74"/>
        <v>1</v>
      </c>
      <c r="H241" s="78">
        <v>1</v>
      </c>
      <c r="I241" s="15">
        <f t="shared" si="78"/>
        <v>0.6</v>
      </c>
      <c r="J241" s="16">
        <f>VLOOKUP(G241,Inputs!$L$3:$P$15,5,FALSE)</f>
        <v>2000</v>
      </c>
      <c r="K241" s="16">
        <f t="shared" si="79"/>
        <v>1825</v>
      </c>
      <c r="L241" s="79">
        <f>Inputs!$P$8-B241</f>
        <v>331.84930000000008</v>
      </c>
      <c r="M241" s="79">
        <f>Inputs!$Q$8+L241*0.433</f>
        <v>1968.6907469</v>
      </c>
      <c r="N241" s="82">
        <f t="shared" si="80"/>
        <v>117699.92</v>
      </c>
      <c r="O241" s="83">
        <f t="shared" si="81"/>
        <v>606.34169999999995</v>
      </c>
      <c r="P241" s="84">
        <f>IF(O241="","",Inputs!$C$5-O241)</f>
        <v>218.84280000000001</v>
      </c>
      <c r="Q241" s="83">
        <f>IF(N241="","",TS!J241)</f>
        <v>2000</v>
      </c>
      <c r="R241" s="83">
        <f>IF(N241="","",TS!K241)</f>
        <v>1825</v>
      </c>
      <c r="S241" s="83">
        <f>Inputs!$H$5+TS!P241*0.4333</f>
        <v>1969.79030169</v>
      </c>
      <c r="T241" s="83">
        <f>Inputs!$G$5+TS!P241*0.4333</f>
        <v>1984.79030169</v>
      </c>
      <c r="U241" s="85">
        <f t="shared" si="82"/>
        <v>0.99239515084499996</v>
      </c>
      <c r="V241" s="86">
        <f t="shared" si="69"/>
        <v>0</v>
      </c>
      <c r="W241" s="86">
        <f t="shared" si="70"/>
        <v>0</v>
      </c>
      <c r="X241" s="86" t="e">
        <f>((PI()*((42-2*'Gen Calcs'!$E$13)^2)/4)/144)*(A284-#REF!)*(W241+14.7)/14.7</f>
        <v>#REF!</v>
      </c>
      <c r="Y241" s="86" t="e">
        <f t="shared" si="71"/>
        <v>#REF!</v>
      </c>
      <c r="Z241" s="86" t="e">
        <f t="shared" si="72"/>
        <v>#REF!</v>
      </c>
      <c r="AA241" s="83">
        <f>MAX(B$2:B241)-B241</f>
        <v>218.84280000000001</v>
      </c>
      <c r="AB241" s="83">
        <f t="shared" si="73"/>
        <v>94.758932400000006</v>
      </c>
      <c r="AC241" s="83">
        <f t="shared" si="75"/>
        <v>114.23803025136675</v>
      </c>
      <c r="AD241" s="72">
        <f t="shared" si="76"/>
        <v>114.23803025136675</v>
      </c>
      <c r="AE241" s="73">
        <f t="shared" si="83"/>
        <v>907.92027688745009</v>
      </c>
      <c r="AF241" s="73">
        <f>SUM(AE$2:AE241)</f>
        <v>197659.67007783134</v>
      </c>
      <c r="AG241" s="73">
        <f t="shared" si="84"/>
        <v>976070.23234927782</v>
      </c>
    </row>
    <row r="242" spans="1:33" x14ac:dyDescent="0.25">
      <c r="A242" s="100">
        <v>117799.92</v>
      </c>
      <c r="B242" s="97">
        <v>618.6123</v>
      </c>
      <c r="C242" s="97">
        <v>0.6</v>
      </c>
      <c r="D242" s="80">
        <f t="shared" si="85"/>
        <v>100</v>
      </c>
      <c r="E242" s="81">
        <f t="shared" si="77"/>
        <v>6791.2436711181272</v>
      </c>
      <c r="F242" s="81">
        <f>SUM(E$2:E242)</f>
        <v>1483761.9465332369</v>
      </c>
      <c r="G242" s="43">
        <f t="shared" si="74"/>
        <v>1</v>
      </c>
      <c r="H242" s="78">
        <v>1</v>
      </c>
      <c r="I242" s="15">
        <f t="shared" si="78"/>
        <v>0.6</v>
      </c>
      <c r="J242" s="16">
        <f>VLOOKUP(G242,Inputs!$L$3:$P$15,5,FALSE)</f>
        <v>2000</v>
      </c>
      <c r="K242" s="16">
        <f t="shared" si="79"/>
        <v>1825</v>
      </c>
      <c r="L242" s="79">
        <f>Inputs!$P$8-B242</f>
        <v>319.57870000000003</v>
      </c>
      <c r="M242" s="79">
        <f>Inputs!$Q$8+L242*0.433</f>
        <v>1963.3775771000001</v>
      </c>
      <c r="N242" s="82">
        <f t="shared" si="80"/>
        <v>117799.92</v>
      </c>
      <c r="O242" s="83">
        <f t="shared" si="81"/>
        <v>618.6123</v>
      </c>
      <c r="P242" s="84">
        <f>IF(O242="","",Inputs!$C$5-O242)</f>
        <v>206.57219999999995</v>
      </c>
      <c r="Q242" s="83">
        <f>IF(N242="","",TS!J242)</f>
        <v>2000</v>
      </c>
      <c r="R242" s="83">
        <f>IF(N242="","",TS!K242)</f>
        <v>1825</v>
      </c>
      <c r="S242" s="83">
        <f>Inputs!$H$5+TS!P242*0.4333</f>
        <v>1964.47345071</v>
      </c>
      <c r="T242" s="83">
        <f>Inputs!$G$5+TS!P242*0.4333</f>
        <v>1979.47345071</v>
      </c>
      <c r="U242" s="85">
        <f t="shared" si="82"/>
        <v>0.98973672535500001</v>
      </c>
      <c r="V242" s="86">
        <f t="shared" ref="V242:V305" si="86">O242-MAX(O242:O242)</f>
        <v>0</v>
      </c>
      <c r="W242" s="86">
        <f t="shared" ref="W242:W305" si="87">-(V242)*0.433</f>
        <v>0</v>
      </c>
      <c r="X242" s="86" t="e">
        <f>((PI()*((42-2*'Gen Calcs'!$E$13)^2)/4)/144)*(A285-#REF!)*(W242+14.7)/14.7</f>
        <v>#REF!</v>
      </c>
      <c r="Y242" s="86" t="e">
        <f t="shared" ref="Y242:Y305" si="88">X242/1000</f>
        <v>#REF!</v>
      </c>
      <c r="Z242" s="86" t="e">
        <f t="shared" ref="Z242:Z305" si="89">IF(Y242&gt;Z241,Y242,Z241)</f>
        <v>#REF!</v>
      </c>
      <c r="AA242" s="83">
        <f>MAX(B$2:B242)-B242</f>
        <v>206.57219999999995</v>
      </c>
      <c r="AB242" s="83">
        <f t="shared" ref="AB242:AB305" si="90">AA242*0.433</f>
        <v>89.445762599999981</v>
      </c>
      <c r="AC242" s="83">
        <f t="shared" si="75"/>
        <v>114.34439103128292</v>
      </c>
      <c r="AD242" s="72">
        <f t="shared" si="76"/>
        <v>114.34439103128292</v>
      </c>
      <c r="AE242" s="73">
        <f t="shared" si="83"/>
        <v>907.92027688745009</v>
      </c>
      <c r="AF242" s="73">
        <f>SUM(AE$2:AE242)</f>
        <v>198567.59035471879</v>
      </c>
      <c r="AG242" s="73">
        <f t="shared" si="84"/>
        <v>975162.31207239046</v>
      </c>
    </row>
    <row r="243" spans="1:33" x14ac:dyDescent="0.25">
      <c r="A243" s="99">
        <v>117899.92</v>
      </c>
      <c r="B243" s="96">
        <v>628.33659999999998</v>
      </c>
      <c r="C243" s="96">
        <v>0.6</v>
      </c>
      <c r="D243" s="80">
        <f t="shared" si="85"/>
        <v>100</v>
      </c>
      <c r="E243" s="81">
        <f t="shared" si="77"/>
        <v>6791.2436711181272</v>
      </c>
      <c r="F243" s="81">
        <f>SUM(E$2:E243)</f>
        <v>1490553.1902043549</v>
      </c>
      <c r="G243" s="43">
        <f t="shared" si="74"/>
        <v>1</v>
      </c>
      <c r="H243" s="78">
        <v>1</v>
      </c>
      <c r="I243" s="15">
        <f t="shared" si="78"/>
        <v>0.6</v>
      </c>
      <c r="J243" s="16">
        <f>VLOOKUP(G243,Inputs!$L$3:$P$15,5,FALSE)</f>
        <v>2000</v>
      </c>
      <c r="K243" s="16">
        <f t="shared" si="79"/>
        <v>1825</v>
      </c>
      <c r="L243" s="79">
        <f>Inputs!$P$8-B243</f>
        <v>309.85440000000006</v>
      </c>
      <c r="M243" s="79">
        <f>Inputs!$Q$8+L243*0.433</f>
        <v>1959.1669552000001</v>
      </c>
      <c r="N243" s="82">
        <f t="shared" si="80"/>
        <v>117899.92</v>
      </c>
      <c r="O243" s="83">
        <f t="shared" si="81"/>
        <v>628.33659999999998</v>
      </c>
      <c r="P243" s="84">
        <f>IF(O243="","",Inputs!$C$5-O243)</f>
        <v>196.84789999999998</v>
      </c>
      <c r="Q243" s="83">
        <f>IF(N243="","",TS!J243)</f>
        <v>2000</v>
      </c>
      <c r="R243" s="83">
        <f>IF(N243="","",TS!K243)</f>
        <v>1825</v>
      </c>
      <c r="S243" s="83">
        <f>Inputs!$H$5+TS!P243*0.4333</f>
        <v>1960.2599115200001</v>
      </c>
      <c r="T243" s="83">
        <f>Inputs!$G$5+TS!P243*0.4333</f>
        <v>1975.2599115200001</v>
      </c>
      <c r="U243" s="85">
        <f t="shared" si="82"/>
        <v>0.98762995576000001</v>
      </c>
      <c r="V243" s="86">
        <f t="shared" si="86"/>
        <v>0</v>
      </c>
      <c r="W243" s="86">
        <f t="shared" si="87"/>
        <v>0</v>
      </c>
      <c r="X243" s="86" t="e">
        <f>((PI()*((42-2*'Gen Calcs'!$E$13)^2)/4)/144)*(A286-#REF!)*(W243+14.7)/14.7</f>
        <v>#REF!</v>
      </c>
      <c r="Y243" s="86" t="e">
        <f t="shared" si="88"/>
        <v>#REF!</v>
      </c>
      <c r="Z243" s="86" t="e">
        <f t="shared" si="89"/>
        <v>#REF!</v>
      </c>
      <c r="AA243" s="83">
        <f>MAX(B$2:B243)-B243</f>
        <v>196.84789999999998</v>
      </c>
      <c r="AB243" s="83">
        <f t="shared" si="90"/>
        <v>85.235140699999988</v>
      </c>
      <c r="AC243" s="83">
        <f t="shared" si="75"/>
        <v>114.45095004917385</v>
      </c>
      <c r="AD243" s="72">
        <f t="shared" si="76"/>
        <v>114.45095004917385</v>
      </c>
      <c r="AE243" s="73">
        <f t="shared" si="83"/>
        <v>907.92027688745009</v>
      </c>
      <c r="AF243" s="73">
        <f>SUM(AE$2:AE243)</f>
        <v>199475.51063160624</v>
      </c>
      <c r="AG243" s="73">
        <f t="shared" si="84"/>
        <v>974254.39179550298</v>
      </c>
    </row>
    <row r="244" spans="1:33" x14ac:dyDescent="0.25">
      <c r="A244" s="100">
        <v>117999.92</v>
      </c>
      <c r="B244" s="97">
        <v>635.67589999999996</v>
      </c>
      <c r="C244" s="97">
        <v>0.6</v>
      </c>
      <c r="D244" s="80">
        <f t="shared" si="85"/>
        <v>100</v>
      </c>
      <c r="E244" s="81">
        <f t="shared" si="77"/>
        <v>6791.2436711181272</v>
      </c>
      <c r="F244" s="81">
        <f>SUM(E$2:E244)</f>
        <v>1497344.433875473</v>
      </c>
      <c r="G244" s="43">
        <f t="shared" si="74"/>
        <v>1</v>
      </c>
      <c r="H244" s="78">
        <v>1</v>
      </c>
      <c r="I244" s="15">
        <f t="shared" si="78"/>
        <v>0.6</v>
      </c>
      <c r="J244" s="16">
        <f>VLOOKUP(G244,Inputs!$L$3:$P$15,5,FALSE)</f>
        <v>2000</v>
      </c>
      <c r="K244" s="16">
        <f t="shared" si="79"/>
        <v>1825</v>
      </c>
      <c r="L244" s="79">
        <f>Inputs!$P$8-B244</f>
        <v>302.51510000000007</v>
      </c>
      <c r="M244" s="79">
        <f>Inputs!$Q$8+L244*0.433</f>
        <v>1955.9890382999999</v>
      </c>
      <c r="N244" s="82">
        <f t="shared" si="80"/>
        <v>117999.92</v>
      </c>
      <c r="O244" s="83">
        <f t="shared" si="81"/>
        <v>635.67589999999996</v>
      </c>
      <c r="P244" s="84">
        <f>IF(O244="","",Inputs!$C$5-O244)</f>
        <v>189.5086</v>
      </c>
      <c r="Q244" s="83">
        <f>IF(N244="","",TS!J244)</f>
        <v>2000</v>
      </c>
      <c r="R244" s="83">
        <f>IF(N244="","",TS!K244)</f>
        <v>1825</v>
      </c>
      <c r="S244" s="83">
        <f>Inputs!$H$5+TS!P244*0.4333</f>
        <v>1957.0797928299999</v>
      </c>
      <c r="T244" s="83">
        <f>Inputs!$G$5+TS!P244*0.4333</f>
        <v>1972.0797928299999</v>
      </c>
      <c r="U244" s="85">
        <f t="shared" si="82"/>
        <v>0.98603989641499989</v>
      </c>
      <c r="V244" s="86">
        <f t="shared" si="86"/>
        <v>0</v>
      </c>
      <c r="W244" s="86">
        <f t="shared" si="87"/>
        <v>0</v>
      </c>
      <c r="X244" s="86" t="e">
        <f>((PI()*((42-2*'Gen Calcs'!$E$13)^2)/4)/144)*(A287-#REF!)*(W244+14.7)/14.7</f>
        <v>#REF!</v>
      </c>
      <c r="Y244" s="86" t="e">
        <f t="shared" si="88"/>
        <v>#REF!</v>
      </c>
      <c r="Z244" s="86" t="e">
        <f t="shared" si="89"/>
        <v>#REF!</v>
      </c>
      <c r="AA244" s="83">
        <f>MAX(B$2:B244)-B244</f>
        <v>189.5086</v>
      </c>
      <c r="AB244" s="83">
        <f t="shared" si="90"/>
        <v>82.057223800000003</v>
      </c>
      <c r="AC244" s="83">
        <f t="shared" si="75"/>
        <v>114.55770785977809</v>
      </c>
      <c r="AD244" s="72">
        <f t="shared" si="76"/>
        <v>114.55770785977809</v>
      </c>
      <c r="AE244" s="73">
        <f t="shared" si="83"/>
        <v>907.92027688745009</v>
      </c>
      <c r="AF244" s="73">
        <f>SUM(AE$2:AE244)</f>
        <v>200383.4309084937</v>
      </c>
      <c r="AG244" s="73">
        <f t="shared" si="84"/>
        <v>973346.47151861549</v>
      </c>
    </row>
    <row r="245" spans="1:33" x14ac:dyDescent="0.25">
      <c r="A245" s="99">
        <v>118099.92</v>
      </c>
      <c r="B245" s="96">
        <v>633.37649999999996</v>
      </c>
      <c r="C245" s="96">
        <v>0.6</v>
      </c>
      <c r="D245" s="80">
        <f t="shared" si="85"/>
        <v>100</v>
      </c>
      <c r="E245" s="81">
        <f t="shared" si="77"/>
        <v>6791.2436711181272</v>
      </c>
      <c r="F245" s="81">
        <f>SUM(E$2:E245)</f>
        <v>1504135.677546591</v>
      </c>
      <c r="G245" s="43">
        <f t="shared" si="74"/>
        <v>1</v>
      </c>
      <c r="H245" s="78">
        <v>1</v>
      </c>
      <c r="I245" s="15">
        <f t="shared" si="78"/>
        <v>0.6</v>
      </c>
      <c r="J245" s="16">
        <f>VLOOKUP(G245,Inputs!$L$3:$P$15,5,FALSE)</f>
        <v>2000</v>
      </c>
      <c r="K245" s="16">
        <f t="shared" si="79"/>
        <v>1825</v>
      </c>
      <c r="L245" s="79">
        <f>Inputs!$P$8-B245</f>
        <v>304.81450000000007</v>
      </c>
      <c r="M245" s="79">
        <f>Inputs!$Q$8+L245*0.433</f>
        <v>1956.9846785</v>
      </c>
      <c r="N245" s="82">
        <f t="shared" si="80"/>
        <v>118099.92</v>
      </c>
      <c r="O245" s="83">
        <f t="shared" si="81"/>
        <v>633.37649999999996</v>
      </c>
      <c r="P245" s="84">
        <f>IF(O245="","",Inputs!$C$5-O245)</f>
        <v>191.80799999999999</v>
      </c>
      <c r="Q245" s="83">
        <f>IF(N245="","",TS!J245)</f>
        <v>2000</v>
      </c>
      <c r="R245" s="83">
        <f>IF(N245="","",TS!K245)</f>
        <v>1825</v>
      </c>
      <c r="S245" s="83">
        <f>Inputs!$H$5+TS!P245*0.4333</f>
        <v>1958.07612285</v>
      </c>
      <c r="T245" s="83">
        <f>Inputs!$G$5+TS!P245*0.4333</f>
        <v>1973.07612285</v>
      </c>
      <c r="U245" s="85">
        <f t="shared" si="82"/>
        <v>0.986538061425</v>
      </c>
      <c r="V245" s="86">
        <f t="shared" si="86"/>
        <v>0</v>
      </c>
      <c r="W245" s="86">
        <f t="shared" si="87"/>
        <v>0</v>
      </c>
      <c r="X245" s="86" t="e">
        <f>((PI()*((42-2*'Gen Calcs'!$E$13)^2)/4)/144)*(A288-#REF!)*(W245+14.7)/14.7</f>
        <v>#REF!</v>
      </c>
      <c r="Y245" s="86" t="e">
        <f t="shared" si="88"/>
        <v>#REF!</v>
      </c>
      <c r="Z245" s="86" t="e">
        <f t="shared" si="89"/>
        <v>#REF!</v>
      </c>
      <c r="AA245" s="83">
        <f>MAX(B$2:B245)-B245</f>
        <v>191.80799999999999</v>
      </c>
      <c r="AB245" s="83">
        <f t="shared" si="90"/>
        <v>83.052864</v>
      </c>
      <c r="AC245" s="83">
        <f t="shared" si="75"/>
        <v>114.66466501990593</v>
      </c>
      <c r="AD245" s="72">
        <f t="shared" si="76"/>
        <v>114.66466501990593</v>
      </c>
      <c r="AE245" s="73">
        <f t="shared" si="83"/>
        <v>907.92027688745009</v>
      </c>
      <c r="AF245" s="73">
        <f>SUM(AE$2:AE245)</f>
        <v>201291.35118538115</v>
      </c>
      <c r="AG245" s="73">
        <f t="shared" si="84"/>
        <v>972438.55124172801</v>
      </c>
    </row>
    <row r="246" spans="1:33" x14ac:dyDescent="0.25">
      <c r="A246" s="100">
        <v>118199.92</v>
      </c>
      <c r="B246" s="97">
        <v>625.56290000000001</v>
      </c>
      <c r="C246" s="97">
        <v>0.6</v>
      </c>
      <c r="D246" s="80">
        <f t="shared" si="85"/>
        <v>100</v>
      </c>
      <c r="E246" s="81">
        <f t="shared" si="77"/>
        <v>6791.2436711181272</v>
      </c>
      <c r="F246" s="81">
        <f>SUM(E$2:E246)</f>
        <v>1510926.9212177091</v>
      </c>
      <c r="G246" s="43">
        <f t="shared" si="74"/>
        <v>1</v>
      </c>
      <c r="H246" s="78">
        <v>1</v>
      </c>
      <c r="I246" s="15">
        <f t="shared" si="78"/>
        <v>0.6</v>
      </c>
      <c r="J246" s="16">
        <f>VLOOKUP(G246,Inputs!$L$3:$P$15,5,FALSE)</f>
        <v>2000</v>
      </c>
      <c r="K246" s="16">
        <f t="shared" si="79"/>
        <v>1825</v>
      </c>
      <c r="L246" s="79">
        <f>Inputs!$P$8-B246</f>
        <v>312.62810000000002</v>
      </c>
      <c r="M246" s="79">
        <f>Inputs!$Q$8+L246*0.433</f>
        <v>1960.3679672999999</v>
      </c>
      <c r="N246" s="82">
        <f t="shared" si="80"/>
        <v>118199.92</v>
      </c>
      <c r="O246" s="83">
        <f t="shared" si="81"/>
        <v>625.56290000000001</v>
      </c>
      <c r="P246" s="84">
        <f>IF(O246="","",Inputs!$C$5-O246)</f>
        <v>199.62159999999994</v>
      </c>
      <c r="Q246" s="83">
        <f>IF(N246="","",TS!J246)</f>
        <v>2000</v>
      </c>
      <c r="R246" s="83">
        <f>IF(N246="","",TS!K246)</f>
        <v>1825</v>
      </c>
      <c r="S246" s="83">
        <f>Inputs!$H$5+TS!P246*0.4333</f>
        <v>1961.4617557299998</v>
      </c>
      <c r="T246" s="83">
        <f>Inputs!$G$5+TS!P246*0.4333</f>
        <v>1976.4617557299998</v>
      </c>
      <c r="U246" s="85">
        <f t="shared" si="82"/>
        <v>0.98823087786499986</v>
      </c>
      <c r="V246" s="86">
        <f t="shared" si="86"/>
        <v>0</v>
      </c>
      <c r="W246" s="86">
        <f t="shared" si="87"/>
        <v>0</v>
      </c>
      <c r="X246" s="86" t="e">
        <f>((PI()*((42-2*'Gen Calcs'!$E$13)^2)/4)/144)*(A289-#REF!)*(W246+14.7)/14.7</f>
        <v>#REF!</v>
      </c>
      <c r="Y246" s="86" t="e">
        <f t="shared" si="88"/>
        <v>#REF!</v>
      </c>
      <c r="Z246" s="86" t="e">
        <f t="shared" si="89"/>
        <v>#REF!</v>
      </c>
      <c r="AA246" s="83">
        <f>MAX(B$2:B246)-B246</f>
        <v>199.62159999999994</v>
      </c>
      <c r="AB246" s="83">
        <f t="shared" si="90"/>
        <v>86.436152799999974</v>
      </c>
      <c r="AC246" s="83">
        <f t="shared" si="75"/>
        <v>114.7718220884491</v>
      </c>
      <c r="AD246" s="72">
        <f t="shared" si="76"/>
        <v>114.7718220884491</v>
      </c>
      <c r="AE246" s="73">
        <f t="shared" si="83"/>
        <v>907.92027688745009</v>
      </c>
      <c r="AF246" s="73">
        <f>SUM(AE$2:AE246)</f>
        <v>202199.2714622686</v>
      </c>
      <c r="AG246" s="73">
        <f t="shared" si="84"/>
        <v>971530.63096484053</v>
      </c>
    </row>
    <row r="247" spans="1:33" x14ac:dyDescent="0.25">
      <c r="A247" s="99">
        <v>118299.92</v>
      </c>
      <c r="B247" s="96">
        <v>618.35770000000002</v>
      </c>
      <c r="C247" s="96">
        <v>0.6</v>
      </c>
      <c r="D247" s="80">
        <f t="shared" si="85"/>
        <v>100</v>
      </c>
      <c r="E247" s="81">
        <f t="shared" si="77"/>
        <v>6791.2436711181272</v>
      </c>
      <c r="F247" s="81">
        <f>SUM(E$2:E247)</f>
        <v>1517718.1648888271</v>
      </c>
      <c r="G247" s="43">
        <f t="shared" si="74"/>
        <v>1</v>
      </c>
      <c r="H247" s="78">
        <v>1</v>
      </c>
      <c r="I247" s="15">
        <f t="shared" si="78"/>
        <v>0.6</v>
      </c>
      <c r="J247" s="16">
        <f>VLOOKUP(G247,Inputs!$L$3:$P$15,5,FALSE)</f>
        <v>2000</v>
      </c>
      <c r="K247" s="16">
        <f t="shared" si="79"/>
        <v>1825</v>
      </c>
      <c r="L247" s="79">
        <f>Inputs!$P$8-B247</f>
        <v>319.83330000000001</v>
      </c>
      <c r="M247" s="79">
        <f>Inputs!$Q$8+L247*0.433</f>
        <v>1963.4878189000001</v>
      </c>
      <c r="N247" s="82">
        <f t="shared" si="80"/>
        <v>118299.92</v>
      </c>
      <c r="O247" s="83">
        <f t="shared" si="81"/>
        <v>618.35770000000002</v>
      </c>
      <c r="P247" s="84">
        <f>IF(O247="","",Inputs!$C$5-O247)</f>
        <v>206.82679999999993</v>
      </c>
      <c r="Q247" s="83">
        <f>IF(N247="","",TS!J247)</f>
        <v>2000</v>
      </c>
      <c r="R247" s="83">
        <f>IF(N247="","",TS!K247)</f>
        <v>1825</v>
      </c>
      <c r="S247" s="83">
        <f>Inputs!$H$5+TS!P247*0.4333</f>
        <v>1964.5837688899999</v>
      </c>
      <c r="T247" s="83">
        <f>Inputs!$G$5+TS!P247*0.4333</f>
        <v>1979.5837688899999</v>
      </c>
      <c r="U247" s="85">
        <f t="shared" si="82"/>
        <v>0.98979188444499999</v>
      </c>
      <c r="V247" s="86">
        <f t="shared" si="86"/>
        <v>0</v>
      </c>
      <c r="W247" s="86">
        <f t="shared" si="87"/>
        <v>0</v>
      </c>
      <c r="X247" s="86" t="e">
        <f>((PI()*((42-2*'Gen Calcs'!$E$13)^2)/4)/144)*(A290-#REF!)*(W247+14.7)/14.7</f>
        <v>#REF!</v>
      </c>
      <c r="Y247" s="86" t="e">
        <f t="shared" si="88"/>
        <v>#REF!</v>
      </c>
      <c r="Z247" s="86" t="e">
        <f t="shared" si="89"/>
        <v>#REF!</v>
      </c>
      <c r="AA247" s="83">
        <f>MAX(B$2:B247)-B247</f>
        <v>206.82679999999993</v>
      </c>
      <c r="AB247" s="83">
        <f t="shared" si="90"/>
        <v>89.556004399999978</v>
      </c>
      <c r="AC247" s="83">
        <f t="shared" si="75"/>
        <v>114.87917962639044</v>
      </c>
      <c r="AD247" s="72">
        <f t="shared" si="76"/>
        <v>114.87917962639044</v>
      </c>
      <c r="AE247" s="73">
        <f t="shared" si="83"/>
        <v>907.92027688745009</v>
      </c>
      <c r="AF247" s="73">
        <f>SUM(AE$2:AE247)</f>
        <v>203107.19173915606</v>
      </c>
      <c r="AG247" s="73">
        <f t="shared" si="84"/>
        <v>970622.71068795316</v>
      </c>
    </row>
    <row r="248" spans="1:33" x14ac:dyDescent="0.25">
      <c r="A248" s="100">
        <v>118399.92</v>
      </c>
      <c r="B248" s="97">
        <v>631.03890000000001</v>
      </c>
      <c r="C248" s="97">
        <v>0.6</v>
      </c>
      <c r="D248" s="80">
        <f t="shared" si="85"/>
        <v>100</v>
      </c>
      <c r="E248" s="81">
        <f t="shared" si="77"/>
        <v>6791.2436711181272</v>
      </c>
      <c r="F248" s="81">
        <f>SUM(E$2:E248)</f>
        <v>1524509.4085599452</v>
      </c>
      <c r="G248" s="43">
        <f t="shared" si="74"/>
        <v>1</v>
      </c>
      <c r="H248" s="78">
        <v>1</v>
      </c>
      <c r="I248" s="15">
        <f t="shared" si="78"/>
        <v>0.6</v>
      </c>
      <c r="J248" s="16">
        <f>VLOOKUP(G248,Inputs!$L$3:$P$15,5,FALSE)</f>
        <v>2000</v>
      </c>
      <c r="K248" s="16">
        <f t="shared" si="79"/>
        <v>1825</v>
      </c>
      <c r="L248" s="79">
        <f>Inputs!$P$8-B248</f>
        <v>307.15210000000002</v>
      </c>
      <c r="M248" s="79">
        <f>Inputs!$Q$8+L248*0.433</f>
        <v>1957.9968593000001</v>
      </c>
      <c r="N248" s="82">
        <f t="shared" si="80"/>
        <v>118399.92</v>
      </c>
      <c r="O248" s="83">
        <f t="shared" si="81"/>
        <v>631.03890000000001</v>
      </c>
      <c r="P248" s="84">
        <f>IF(O248="","",Inputs!$C$5-O248)</f>
        <v>194.14559999999994</v>
      </c>
      <c r="Q248" s="83">
        <f>IF(N248="","",TS!J248)</f>
        <v>2000</v>
      </c>
      <c r="R248" s="83">
        <f>IF(N248="","",TS!K248)</f>
        <v>1825</v>
      </c>
      <c r="S248" s="83">
        <f>Inputs!$H$5+TS!P248*0.4333</f>
        <v>1959.0890049299999</v>
      </c>
      <c r="T248" s="83">
        <f>Inputs!$G$5+TS!P248*0.4333</f>
        <v>1974.0890049299999</v>
      </c>
      <c r="U248" s="85">
        <f t="shared" si="82"/>
        <v>0.98704450246499997</v>
      </c>
      <c r="V248" s="86">
        <f t="shared" si="86"/>
        <v>0</v>
      </c>
      <c r="W248" s="86">
        <f t="shared" si="87"/>
        <v>0</v>
      </c>
      <c r="X248" s="86" t="e">
        <f>((PI()*((42-2*'Gen Calcs'!$E$13)^2)/4)/144)*(A291-#REF!)*(W248+14.7)/14.7</f>
        <v>#REF!</v>
      </c>
      <c r="Y248" s="86" t="e">
        <f t="shared" si="88"/>
        <v>#REF!</v>
      </c>
      <c r="Z248" s="86" t="e">
        <f t="shared" si="89"/>
        <v>#REF!</v>
      </c>
      <c r="AA248" s="83">
        <f>MAX(B$2:B248)-B248</f>
        <v>194.14559999999994</v>
      </c>
      <c r="AB248" s="83">
        <f t="shared" si="90"/>
        <v>84.065044799999981</v>
      </c>
      <c r="AC248" s="83">
        <f t="shared" si="75"/>
        <v>114.98673819681379</v>
      </c>
      <c r="AD248" s="72">
        <f t="shared" si="76"/>
        <v>114.98673819681379</v>
      </c>
      <c r="AE248" s="73">
        <f t="shared" si="83"/>
        <v>907.92027688745009</v>
      </c>
      <c r="AF248" s="73">
        <f>SUM(AE$2:AE248)</f>
        <v>204015.11201604351</v>
      </c>
      <c r="AG248" s="73">
        <f t="shared" si="84"/>
        <v>969714.79041106568</v>
      </c>
    </row>
    <row r="249" spans="1:33" x14ac:dyDescent="0.25">
      <c r="A249" s="99">
        <v>118499.92</v>
      </c>
      <c r="B249" s="96">
        <v>636.69889999999998</v>
      </c>
      <c r="C249" s="96">
        <v>0.6</v>
      </c>
      <c r="D249" s="80">
        <f t="shared" si="85"/>
        <v>100</v>
      </c>
      <c r="E249" s="81">
        <f t="shared" si="77"/>
        <v>6791.2436711181272</v>
      </c>
      <c r="F249" s="81">
        <f>SUM(E$2:E249)</f>
        <v>1531300.6522310632</v>
      </c>
      <c r="G249" s="43">
        <f t="shared" si="74"/>
        <v>1</v>
      </c>
      <c r="H249" s="78">
        <v>1</v>
      </c>
      <c r="I249" s="15">
        <f t="shared" si="78"/>
        <v>0.6</v>
      </c>
      <c r="J249" s="16">
        <f>VLOOKUP(G249,Inputs!$L$3:$P$15,5,FALSE)</f>
        <v>2000</v>
      </c>
      <c r="K249" s="16">
        <f t="shared" si="79"/>
        <v>1825</v>
      </c>
      <c r="L249" s="79">
        <f>Inputs!$P$8-B249</f>
        <v>301.49210000000005</v>
      </c>
      <c r="M249" s="79">
        <f>Inputs!$Q$8+L249*0.433</f>
        <v>1955.5460793</v>
      </c>
      <c r="N249" s="82">
        <f t="shared" si="80"/>
        <v>118499.92</v>
      </c>
      <c r="O249" s="83">
        <f t="shared" si="81"/>
        <v>636.69889999999998</v>
      </c>
      <c r="P249" s="84">
        <f>IF(O249="","",Inputs!$C$5-O249)</f>
        <v>188.48559999999998</v>
      </c>
      <c r="Q249" s="83">
        <f>IF(N249="","",TS!J249)</f>
        <v>2000</v>
      </c>
      <c r="R249" s="83">
        <f>IF(N249="","",TS!K249)</f>
        <v>1825</v>
      </c>
      <c r="S249" s="83">
        <f>Inputs!$H$5+TS!P249*0.4333</f>
        <v>1956.6365269299999</v>
      </c>
      <c r="T249" s="83">
        <f>Inputs!$G$5+TS!P249*0.4333</f>
        <v>1971.6365269299999</v>
      </c>
      <c r="U249" s="85">
        <f t="shared" si="82"/>
        <v>0.98581826346500001</v>
      </c>
      <c r="V249" s="86">
        <f t="shared" si="86"/>
        <v>0</v>
      </c>
      <c r="W249" s="86">
        <f t="shared" si="87"/>
        <v>0</v>
      </c>
      <c r="X249" s="86" t="e">
        <f>((PI()*((42-2*'Gen Calcs'!$E$13)^2)/4)/144)*(A292-#REF!)*(W249+14.7)/14.7</f>
        <v>#REF!</v>
      </c>
      <c r="Y249" s="86" t="e">
        <f t="shared" si="88"/>
        <v>#REF!</v>
      </c>
      <c r="Z249" s="86" t="e">
        <f t="shared" si="89"/>
        <v>#REF!</v>
      </c>
      <c r="AA249" s="83">
        <f>MAX(B$2:B249)-B249</f>
        <v>188.48559999999998</v>
      </c>
      <c r="AB249" s="83">
        <f t="shared" si="90"/>
        <v>81.614264799999987</v>
      </c>
      <c r="AC249" s="83">
        <f t="shared" si="75"/>
        <v>115.09449836491373</v>
      </c>
      <c r="AD249" s="72">
        <f t="shared" si="76"/>
        <v>115.09449836491373</v>
      </c>
      <c r="AE249" s="73">
        <f t="shared" si="83"/>
        <v>907.92027688745009</v>
      </c>
      <c r="AF249" s="73">
        <f>SUM(AE$2:AE249)</f>
        <v>204923.03229293096</v>
      </c>
      <c r="AG249" s="73">
        <f t="shared" si="84"/>
        <v>968806.8701341782</v>
      </c>
    </row>
    <row r="250" spans="1:33" x14ac:dyDescent="0.25">
      <c r="A250" s="100">
        <v>118599.92</v>
      </c>
      <c r="B250" s="97">
        <v>643.47379999999998</v>
      </c>
      <c r="C250" s="97">
        <v>0.6</v>
      </c>
      <c r="D250" s="80">
        <f t="shared" si="85"/>
        <v>100</v>
      </c>
      <c r="E250" s="81">
        <f t="shared" si="77"/>
        <v>6791.2436711181272</v>
      </c>
      <c r="F250" s="81">
        <f>SUM(E$2:E250)</f>
        <v>1538091.8959021813</v>
      </c>
      <c r="G250" s="43">
        <f t="shared" si="74"/>
        <v>1</v>
      </c>
      <c r="H250" s="78">
        <v>1</v>
      </c>
      <c r="I250" s="15">
        <f t="shared" si="78"/>
        <v>0.6</v>
      </c>
      <c r="J250" s="16">
        <f>VLOOKUP(G250,Inputs!$L$3:$P$15,5,FALSE)</f>
        <v>2000</v>
      </c>
      <c r="K250" s="16">
        <f t="shared" si="79"/>
        <v>1825</v>
      </c>
      <c r="L250" s="79">
        <f>Inputs!$P$8-B250</f>
        <v>294.71720000000005</v>
      </c>
      <c r="M250" s="79">
        <f>Inputs!$Q$8+L250*0.433</f>
        <v>1952.6125476</v>
      </c>
      <c r="N250" s="82">
        <f t="shared" si="80"/>
        <v>118599.92</v>
      </c>
      <c r="O250" s="83">
        <f t="shared" si="81"/>
        <v>643.47379999999998</v>
      </c>
      <c r="P250" s="84">
        <f>IF(O250="","",Inputs!$C$5-O250)</f>
        <v>181.71069999999997</v>
      </c>
      <c r="Q250" s="83">
        <f>IF(N250="","",TS!J250)</f>
        <v>2000</v>
      </c>
      <c r="R250" s="83">
        <f>IF(N250="","",TS!K250)</f>
        <v>1825</v>
      </c>
      <c r="S250" s="83">
        <f>Inputs!$H$5+TS!P250*0.4333</f>
        <v>1953.70096276</v>
      </c>
      <c r="T250" s="83">
        <f>Inputs!$G$5+TS!P250*0.4333</f>
        <v>1968.70096276</v>
      </c>
      <c r="U250" s="85">
        <f t="shared" si="82"/>
        <v>0.98435048138000003</v>
      </c>
      <c r="V250" s="86">
        <f t="shared" si="86"/>
        <v>0</v>
      </c>
      <c r="W250" s="86">
        <f t="shared" si="87"/>
        <v>0</v>
      </c>
      <c r="X250" s="86" t="e">
        <f>((PI()*((42-2*'Gen Calcs'!$E$13)^2)/4)/144)*(A293-#REF!)*(W250+14.7)/14.7</f>
        <v>#REF!</v>
      </c>
      <c r="Y250" s="86" t="e">
        <f t="shared" si="88"/>
        <v>#REF!</v>
      </c>
      <c r="Z250" s="86" t="e">
        <f t="shared" si="89"/>
        <v>#REF!</v>
      </c>
      <c r="AA250" s="83">
        <f>MAX(B$2:B250)-B250</f>
        <v>181.71069999999997</v>
      </c>
      <c r="AB250" s="83">
        <f t="shared" si="90"/>
        <v>78.680733099999983</v>
      </c>
      <c r="AC250" s="83">
        <f t="shared" si="75"/>
        <v>115.20246069800552</v>
      </c>
      <c r="AD250" s="72">
        <f t="shared" si="76"/>
        <v>115.20246069800552</v>
      </c>
      <c r="AE250" s="73">
        <f t="shared" si="83"/>
        <v>907.92027688745009</v>
      </c>
      <c r="AF250" s="73">
        <f>SUM(AE$2:AE250)</f>
        <v>205830.95256981842</v>
      </c>
      <c r="AG250" s="73">
        <f t="shared" si="84"/>
        <v>967898.94985729083</v>
      </c>
    </row>
    <row r="251" spans="1:33" x14ac:dyDescent="0.25">
      <c r="A251" s="99">
        <v>118690.1</v>
      </c>
      <c r="B251" s="96">
        <v>643.47379999999998</v>
      </c>
      <c r="C251" s="96">
        <v>0.86399999999999999</v>
      </c>
      <c r="D251" s="80">
        <f t="shared" si="85"/>
        <v>90.180000000007567</v>
      </c>
      <c r="E251" s="81">
        <f t="shared" si="77"/>
        <v>6124.3435426148408</v>
      </c>
      <c r="F251" s="81">
        <f>SUM(E$2:E251)</f>
        <v>1544216.2394447962</v>
      </c>
      <c r="G251" s="43">
        <f t="shared" si="74"/>
        <v>2</v>
      </c>
      <c r="H251" s="78">
        <v>1</v>
      </c>
      <c r="I251" s="15">
        <f t="shared" si="78"/>
        <v>0.86399999999999999</v>
      </c>
      <c r="J251" s="16">
        <f>VLOOKUP(G251,Inputs!$L$3:$P$15,5,FALSE)</f>
        <v>2880</v>
      </c>
      <c r="K251" s="16">
        <f t="shared" si="79"/>
        <v>1825</v>
      </c>
      <c r="L251" s="79">
        <f>Inputs!$P$8-B251</f>
        <v>294.71720000000005</v>
      </c>
      <c r="M251" s="79">
        <f>Inputs!$Q$8+L251*0.433</f>
        <v>1952.6125476</v>
      </c>
      <c r="N251" s="82">
        <f t="shared" si="80"/>
        <v>118690.1</v>
      </c>
      <c r="O251" s="83">
        <f t="shared" si="81"/>
        <v>643.47379999999998</v>
      </c>
      <c r="P251" s="84">
        <f>IF(O251="","",Inputs!$C$5-O251)</f>
        <v>181.71069999999997</v>
      </c>
      <c r="Q251" s="83">
        <f>IF(N251="","",TS!J251)</f>
        <v>2880</v>
      </c>
      <c r="R251" s="83">
        <f>IF(N251="","",TS!K251)</f>
        <v>1825</v>
      </c>
      <c r="S251" s="83">
        <f>Inputs!$H$5+TS!P251*0.4333</f>
        <v>1953.70096276</v>
      </c>
      <c r="T251" s="83">
        <f>Inputs!$G$5+TS!P251*0.4333</f>
        <v>1968.70096276</v>
      </c>
      <c r="U251" s="85">
        <f t="shared" si="82"/>
        <v>0.68357672318055562</v>
      </c>
      <c r="V251" s="86">
        <f t="shared" si="86"/>
        <v>0</v>
      </c>
      <c r="W251" s="86">
        <f t="shared" si="87"/>
        <v>0</v>
      </c>
      <c r="X251" s="86" t="e">
        <f>((PI()*((42-2*'Gen Calcs'!$E$13)^2)/4)/144)*(A294-#REF!)*(W251+14.7)/14.7</f>
        <v>#REF!</v>
      </c>
      <c r="Y251" s="86" t="e">
        <f t="shared" si="88"/>
        <v>#REF!</v>
      </c>
      <c r="Z251" s="86" t="e">
        <f t="shared" si="89"/>
        <v>#REF!</v>
      </c>
      <c r="AA251" s="83">
        <f>MAX(B$2:B251)-B251</f>
        <v>181.71069999999997</v>
      </c>
      <c r="AB251" s="83">
        <f t="shared" si="90"/>
        <v>78.680733099999983</v>
      </c>
      <c r="AC251" s="83">
        <f t="shared" si="75"/>
        <v>115.29748481253074</v>
      </c>
      <c r="AD251" s="72">
        <f t="shared" si="76"/>
        <v>115.29748481253074</v>
      </c>
      <c r="AE251" s="73">
        <f t="shared" si="83"/>
        <v>797.70812702125738</v>
      </c>
      <c r="AF251" s="73">
        <f>SUM(AE$2:AE251)</f>
        <v>206628.66069683968</v>
      </c>
      <c r="AG251" s="73">
        <f t="shared" si="84"/>
        <v>967101.24173026951</v>
      </c>
    </row>
    <row r="252" spans="1:33" x14ac:dyDescent="0.25">
      <c r="A252" s="100">
        <v>118699.92</v>
      </c>
      <c r="B252" s="97">
        <v>649.94640000000004</v>
      </c>
      <c r="C252" s="97">
        <v>0.6</v>
      </c>
      <c r="D252" s="80">
        <f t="shared" si="85"/>
        <v>9.819999999992433</v>
      </c>
      <c r="E252" s="81">
        <f t="shared" si="77"/>
        <v>666.90012850328617</v>
      </c>
      <c r="F252" s="81">
        <f>SUM(E$2:E252)</f>
        <v>1544883.1395732996</v>
      </c>
      <c r="G252" s="43">
        <f t="shared" si="74"/>
        <v>1</v>
      </c>
      <c r="H252" s="78">
        <v>1</v>
      </c>
      <c r="I252" s="15">
        <f t="shared" si="78"/>
        <v>0.6</v>
      </c>
      <c r="J252" s="16">
        <f>VLOOKUP(G252,Inputs!$L$3:$P$15,5,FALSE)</f>
        <v>2000</v>
      </c>
      <c r="K252" s="16">
        <f t="shared" si="79"/>
        <v>1825</v>
      </c>
      <c r="L252" s="79">
        <f>Inputs!$P$8-B252</f>
        <v>288.24459999999999</v>
      </c>
      <c r="M252" s="79">
        <f>Inputs!$Q$8+L252*0.433</f>
        <v>1949.8099118</v>
      </c>
      <c r="N252" s="82">
        <f t="shared" si="80"/>
        <v>118699.92</v>
      </c>
      <c r="O252" s="83">
        <f t="shared" si="81"/>
        <v>649.94640000000004</v>
      </c>
      <c r="P252" s="84">
        <f>IF(O252="","",Inputs!$C$5-O252)</f>
        <v>175.23809999999992</v>
      </c>
      <c r="Q252" s="83">
        <f>IF(N252="","",TS!J252)</f>
        <v>2000</v>
      </c>
      <c r="R252" s="83">
        <f>IF(N252="","",TS!K252)</f>
        <v>1825</v>
      </c>
      <c r="S252" s="83">
        <f>Inputs!$H$5+TS!P252*0.4333</f>
        <v>1950.8963851799999</v>
      </c>
      <c r="T252" s="83">
        <f>Inputs!$G$5+TS!P252*0.4333</f>
        <v>1965.8963851799999</v>
      </c>
      <c r="U252" s="85">
        <f t="shared" si="82"/>
        <v>0.98294819258999999</v>
      </c>
      <c r="V252" s="86">
        <f t="shared" si="86"/>
        <v>0</v>
      </c>
      <c r="W252" s="86">
        <f t="shared" si="87"/>
        <v>0</v>
      </c>
      <c r="X252" s="86" t="e">
        <f>((PI()*((42-2*'Gen Calcs'!$E$13)^2)/4)/144)*(A295-#REF!)*(W252+14.7)/14.7</f>
        <v>#REF!</v>
      </c>
      <c r="Y252" s="86" t="e">
        <f t="shared" si="88"/>
        <v>#REF!</v>
      </c>
      <c r="Z252" s="86" t="e">
        <f t="shared" si="89"/>
        <v>#REF!</v>
      </c>
      <c r="AA252" s="83">
        <f>MAX(B$2:B252)-B252</f>
        <v>175.23809999999992</v>
      </c>
      <c r="AB252" s="83">
        <f t="shared" si="90"/>
        <v>75.878097299999965</v>
      </c>
      <c r="AC252" s="83">
        <f t="shared" si="75"/>
        <v>115.30811515204795</v>
      </c>
      <c r="AD252" s="72">
        <f t="shared" si="76"/>
        <v>115.30811515204795</v>
      </c>
      <c r="AE252" s="73">
        <f t="shared" si="83"/>
        <v>89.157771190278893</v>
      </c>
      <c r="AF252" s="73">
        <f>SUM(AE$2:AE252)</f>
        <v>206717.81846802996</v>
      </c>
      <c r="AG252" s="73">
        <f t="shared" si="84"/>
        <v>967012.08395907923</v>
      </c>
    </row>
    <row r="253" spans="1:33" x14ac:dyDescent="0.25">
      <c r="A253" s="99">
        <v>118799.92</v>
      </c>
      <c r="B253" s="96">
        <v>656.39919999999995</v>
      </c>
      <c r="C253" s="96">
        <v>0.6</v>
      </c>
      <c r="D253" s="80">
        <f t="shared" si="85"/>
        <v>100</v>
      </c>
      <c r="E253" s="81">
        <f t="shared" si="77"/>
        <v>6791.2436711181272</v>
      </c>
      <c r="F253" s="81">
        <f>SUM(E$2:E253)</f>
        <v>1551674.3832444176</v>
      </c>
      <c r="G253" s="43">
        <f t="shared" si="74"/>
        <v>1</v>
      </c>
      <c r="H253" s="78">
        <v>1</v>
      </c>
      <c r="I253" s="15">
        <f t="shared" si="78"/>
        <v>0.6</v>
      </c>
      <c r="J253" s="16">
        <f>VLOOKUP(G253,Inputs!$L$3:$P$15,5,FALSE)</f>
        <v>2000</v>
      </c>
      <c r="K253" s="16">
        <f t="shared" si="79"/>
        <v>1825</v>
      </c>
      <c r="L253" s="79">
        <f>Inputs!$P$8-B253</f>
        <v>281.79180000000008</v>
      </c>
      <c r="M253" s="79">
        <f>Inputs!$Q$8+L253*0.433</f>
        <v>1947.0158494</v>
      </c>
      <c r="N253" s="82">
        <f t="shared" si="80"/>
        <v>118799.92</v>
      </c>
      <c r="O253" s="83">
        <f t="shared" si="81"/>
        <v>656.39919999999995</v>
      </c>
      <c r="P253" s="84">
        <f>IF(O253="","",Inputs!$C$5-O253)</f>
        <v>168.78530000000001</v>
      </c>
      <c r="Q253" s="83">
        <f>IF(N253="","",TS!J253)</f>
        <v>2000</v>
      </c>
      <c r="R253" s="83">
        <f>IF(N253="","",TS!K253)</f>
        <v>1825</v>
      </c>
      <c r="S253" s="83">
        <f>Inputs!$H$5+TS!P253*0.4333</f>
        <v>1948.1003869399999</v>
      </c>
      <c r="T253" s="83">
        <f>Inputs!$G$5+TS!P253*0.4333</f>
        <v>1963.1003869399999</v>
      </c>
      <c r="U253" s="85">
        <f t="shared" si="82"/>
        <v>0.98155019346999994</v>
      </c>
      <c r="V253" s="86">
        <f t="shared" si="86"/>
        <v>0</v>
      </c>
      <c r="W253" s="86">
        <f t="shared" si="87"/>
        <v>0</v>
      </c>
      <c r="X253" s="86" t="e">
        <f>((PI()*((42-2*'Gen Calcs'!$E$13)^2)/4)/144)*(A296-#REF!)*(W253+14.7)/14.7</f>
        <v>#REF!</v>
      </c>
      <c r="Y253" s="86" t="e">
        <f t="shared" si="88"/>
        <v>#REF!</v>
      </c>
      <c r="Z253" s="86" t="e">
        <f t="shared" si="89"/>
        <v>#REF!</v>
      </c>
      <c r="AA253" s="83">
        <f>MAX(B$2:B253)-B253</f>
        <v>168.78530000000001</v>
      </c>
      <c r="AB253" s="83">
        <f t="shared" si="90"/>
        <v>73.084034900000006</v>
      </c>
      <c r="AC253" s="83">
        <f t="shared" si="75"/>
        <v>115.41647880451086</v>
      </c>
      <c r="AD253" s="72">
        <f t="shared" si="76"/>
        <v>115.41647880451086</v>
      </c>
      <c r="AE253" s="73">
        <f t="shared" si="83"/>
        <v>907.92027688745009</v>
      </c>
      <c r="AF253" s="73">
        <f>SUM(AE$2:AE253)</f>
        <v>207625.73874491741</v>
      </c>
      <c r="AG253" s="73">
        <f t="shared" si="84"/>
        <v>966104.16368219175</v>
      </c>
    </row>
    <row r="254" spans="1:33" x14ac:dyDescent="0.25">
      <c r="A254" s="100">
        <v>118899.92</v>
      </c>
      <c r="B254" s="97">
        <v>658.17489999999998</v>
      </c>
      <c r="C254" s="97">
        <v>0.6</v>
      </c>
      <c r="D254" s="80">
        <f t="shared" si="85"/>
        <v>100</v>
      </c>
      <c r="E254" s="81">
        <f t="shared" si="77"/>
        <v>6791.2436711181272</v>
      </c>
      <c r="F254" s="81">
        <f>SUM(E$2:E254)</f>
        <v>1558465.6269155357</v>
      </c>
      <c r="G254" s="43">
        <f t="shared" si="74"/>
        <v>1</v>
      </c>
      <c r="H254" s="78">
        <v>1</v>
      </c>
      <c r="I254" s="15">
        <f t="shared" si="78"/>
        <v>0.6</v>
      </c>
      <c r="J254" s="16">
        <f>VLOOKUP(G254,Inputs!$L$3:$P$15,5,FALSE)</f>
        <v>2000</v>
      </c>
      <c r="K254" s="16">
        <f t="shared" si="79"/>
        <v>1825</v>
      </c>
      <c r="L254" s="79">
        <f>Inputs!$P$8-B254</f>
        <v>280.01610000000005</v>
      </c>
      <c r="M254" s="79">
        <f>Inputs!$Q$8+L254*0.433</f>
        <v>1946.2469713</v>
      </c>
      <c r="N254" s="82">
        <f t="shared" si="80"/>
        <v>118899.92</v>
      </c>
      <c r="O254" s="83">
        <f t="shared" si="81"/>
        <v>658.17489999999998</v>
      </c>
      <c r="P254" s="84">
        <f>IF(O254="","",Inputs!$C$5-O254)</f>
        <v>167.00959999999998</v>
      </c>
      <c r="Q254" s="83">
        <f>IF(N254="","",TS!J254)</f>
        <v>2000</v>
      </c>
      <c r="R254" s="83">
        <f>IF(N254="","",TS!K254)</f>
        <v>1825</v>
      </c>
      <c r="S254" s="83">
        <f>Inputs!$H$5+TS!P254*0.4333</f>
        <v>1947.33097613</v>
      </c>
      <c r="T254" s="83">
        <f>Inputs!$G$5+TS!P254*0.4333</f>
        <v>1962.33097613</v>
      </c>
      <c r="U254" s="85">
        <f t="shared" si="82"/>
        <v>0.98116548806499992</v>
      </c>
      <c r="V254" s="86">
        <f t="shared" si="86"/>
        <v>0</v>
      </c>
      <c r="W254" s="86">
        <f t="shared" si="87"/>
        <v>0</v>
      </c>
      <c r="X254" s="86" t="e">
        <f>((PI()*((42-2*'Gen Calcs'!$E$13)^2)/4)/144)*(A297-#REF!)*(W254+14.7)/14.7</f>
        <v>#REF!</v>
      </c>
      <c r="Y254" s="86" t="e">
        <f t="shared" si="88"/>
        <v>#REF!</v>
      </c>
      <c r="Z254" s="86" t="e">
        <f t="shared" si="89"/>
        <v>#REF!</v>
      </c>
      <c r="AA254" s="83">
        <f>MAX(B$2:B254)-B254</f>
        <v>167.00959999999998</v>
      </c>
      <c r="AB254" s="83">
        <f t="shared" si="90"/>
        <v>72.315156799999983</v>
      </c>
      <c r="AC254" s="83">
        <f t="shared" si="75"/>
        <v>115.52504632340613</v>
      </c>
      <c r="AD254" s="72">
        <f t="shared" si="76"/>
        <v>115.52504632340613</v>
      </c>
      <c r="AE254" s="73">
        <f t="shared" si="83"/>
        <v>907.92027688745009</v>
      </c>
      <c r="AF254" s="73">
        <f>SUM(AE$2:AE254)</f>
        <v>208533.65902180487</v>
      </c>
      <c r="AG254" s="73">
        <f t="shared" si="84"/>
        <v>965196.24340530438</v>
      </c>
    </row>
    <row r="255" spans="1:33" x14ac:dyDescent="0.25">
      <c r="A255" s="99">
        <v>118999.92</v>
      </c>
      <c r="B255" s="96">
        <v>658.42849999999999</v>
      </c>
      <c r="C255" s="96">
        <v>0.6</v>
      </c>
      <c r="D255" s="80">
        <f t="shared" si="85"/>
        <v>100</v>
      </c>
      <c r="E255" s="81">
        <f t="shared" si="77"/>
        <v>6791.2436711181272</v>
      </c>
      <c r="F255" s="81">
        <f>SUM(E$2:E255)</f>
        <v>1565256.8705866537</v>
      </c>
      <c r="G255" s="43">
        <f t="shared" si="74"/>
        <v>1</v>
      </c>
      <c r="H255" s="78">
        <v>1</v>
      </c>
      <c r="I255" s="15">
        <f t="shared" si="78"/>
        <v>0.6</v>
      </c>
      <c r="J255" s="16">
        <f>VLOOKUP(G255,Inputs!$L$3:$P$15,5,FALSE)</f>
        <v>2000</v>
      </c>
      <c r="K255" s="16">
        <f t="shared" si="79"/>
        <v>1825</v>
      </c>
      <c r="L255" s="79">
        <f>Inputs!$P$8-B255</f>
        <v>279.76250000000005</v>
      </c>
      <c r="M255" s="79">
        <f>Inputs!$Q$8+L255*0.433</f>
        <v>1946.1371624999999</v>
      </c>
      <c r="N255" s="82">
        <f t="shared" si="80"/>
        <v>118999.92</v>
      </c>
      <c r="O255" s="83">
        <f t="shared" si="81"/>
        <v>658.42849999999999</v>
      </c>
      <c r="P255" s="84">
        <f>IF(O255="","",Inputs!$C$5-O255)</f>
        <v>166.75599999999997</v>
      </c>
      <c r="Q255" s="83">
        <f>IF(N255="","",TS!J255)</f>
        <v>2000</v>
      </c>
      <c r="R255" s="83">
        <f>IF(N255="","",TS!K255)</f>
        <v>1825</v>
      </c>
      <c r="S255" s="83">
        <f>Inputs!$H$5+TS!P255*0.4333</f>
        <v>1947.22109125</v>
      </c>
      <c r="T255" s="83">
        <f>Inputs!$G$5+TS!P255*0.4333</f>
        <v>1962.22109125</v>
      </c>
      <c r="U255" s="85">
        <f t="shared" si="82"/>
        <v>0.981110545625</v>
      </c>
      <c r="V255" s="86">
        <f t="shared" si="86"/>
        <v>0</v>
      </c>
      <c r="W255" s="86">
        <f t="shared" si="87"/>
        <v>0</v>
      </c>
      <c r="X255" s="86" t="e">
        <f>((PI()*((42-2*'Gen Calcs'!$E$13)^2)/4)/144)*(A298-#REF!)*(W255+14.7)/14.7</f>
        <v>#REF!</v>
      </c>
      <c r="Y255" s="86" t="e">
        <f t="shared" si="88"/>
        <v>#REF!</v>
      </c>
      <c r="Z255" s="86" t="e">
        <f t="shared" si="89"/>
        <v>#REF!</v>
      </c>
      <c r="AA255" s="83">
        <f>MAX(B$2:B255)-B255</f>
        <v>166.75599999999997</v>
      </c>
      <c r="AB255" s="83">
        <f t="shared" si="90"/>
        <v>72.205347999999987</v>
      </c>
      <c r="AC255" s="83">
        <f t="shared" si="75"/>
        <v>115.63381828458171</v>
      </c>
      <c r="AD255" s="72">
        <f t="shared" si="76"/>
        <v>115.63381828458171</v>
      </c>
      <c r="AE255" s="73">
        <f t="shared" si="83"/>
        <v>907.92027688745009</v>
      </c>
      <c r="AF255" s="73">
        <f>SUM(AE$2:AE255)</f>
        <v>209441.57929869232</v>
      </c>
      <c r="AG255" s="73">
        <f t="shared" si="84"/>
        <v>964288.3231284169</v>
      </c>
    </row>
    <row r="256" spans="1:33" x14ac:dyDescent="0.25">
      <c r="A256" s="100">
        <v>119099.92</v>
      </c>
      <c r="B256" s="97">
        <v>657.37649999999996</v>
      </c>
      <c r="C256" s="97">
        <v>0.6</v>
      </c>
      <c r="D256" s="80">
        <f t="shared" si="85"/>
        <v>100</v>
      </c>
      <c r="E256" s="81">
        <f t="shared" si="77"/>
        <v>6791.2436711181272</v>
      </c>
      <c r="F256" s="81">
        <f>SUM(E$2:E256)</f>
        <v>1572048.1142577718</v>
      </c>
      <c r="G256" s="43">
        <f t="shared" si="74"/>
        <v>1</v>
      </c>
      <c r="H256" s="78">
        <v>1</v>
      </c>
      <c r="I256" s="15">
        <f t="shared" si="78"/>
        <v>0.6</v>
      </c>
      <c r="J256" s="16">
        <f>VLOOKUP(G256,Inputs!$L$3:$P$15,5,FALSE)</f>
        <v>2000</v>
      </c>
      <c r="K256" s="16">
        <f t="shared" si="79"/>
        <v>1825</v>
      </c>
      <c r="L256" s="79">
        <f>Inputs!$P$8-B256</f>
        <v>280.81450000000007</v>
      </c>
      <c r="M256" s="79">
        <f>Inputs!$Q$8+L256*0.433</f>
        <v>1946.5926785000001</v>
      </c>
      <c r="N256" s="82">
        <f t="shared" si="80"/>
        <v>119099.92</v>
      </c>
      <c r="O256" s="83">
        <f t="shared" si="81"/>
        <v>657.37649999999996</v>
      </c>
      <c r="P256" s="84">
        <f>IF(O256="","",Inputs!$C$5-O256)</f>
        <v>167.80799999999999</v>
      </c>
      <c r="Q256" s="83">
        <f>IF(N256="","",TS!J256)</f>
        <v>2000</v>
      </c>
      <c r="R256" s="83">
        <f>IF(N256="","",TS!K256)</f>
        <v>1825</v>
      </c>
      <c r="S256" s="83">
        <f>Inputs!$H$5+TS!P256*0.4333</f>
        <v>1947.67692285</v>
      </c>
      <c r="T256" s="83">
        <f>Inputs!$G$5+TS!P256*0.4333</f>
        <v>1962.67692285</v>
      </c>
      <c r="U256" s="85">
        <f t="shared" si="82"/>
        <v>0.98133846142500003</v>
      </c>
      <c r="V256" s="86">
        <f t="shared" si="86"/>
        <v>0</v>
      </c>
      <c r="W256" s="86">
        <f t="shared" si="87"/>
        <v>0</v>
      </c>
      <c r="X256" s="86" t="e">
        <f>((PI()*((42-2*'Gen Calcs'!$E$13)^2)/4)/144)*(A299-#REF!)*(W256+14.7)/14.7</f>
        <v>#REF!</v>
      </c>
      <c r="Y256" s="86" t="e">
        <f t="shared" si="88"/>
        <v>#REF!</v>
      </c>
      <c r="Z256" s="86" t="e">
        <f t="shared" si="89"/>
        <v>#REF!</v>
      </c>
      <c r="AA256" s="83">
        <f>MAX(B$2:B256)-B256</f>
        <v>167.80799999999999</v>
      </c>
      <c r="AB256" s="83">
        <f t="shared" si="90"/>
        <v>72.660863999999989</v>
      </c>
      <c r="AC256" s="83">
        <f t="shared" si="75"/>
        <v>115.74279526605626</v>
      </c>
      <c r="AD256" s="72">
        <f t="shared" si="76"/>
        <v>115.74279526605626</v>
      </c>
      <c r="AE256" s="73">
        <f t="shared" si="83"/>
        <v>907.92027688745009</v>
      </c>
      <c r="AF256" s="73">
        <f>SUM(AE$2:AE256)</f>
        <v>210349.49957557977</v>
      </c>
      <c r="AG256" s="73">
        <f t="shared" si="84"/>
        <v>963380.40285152942</v>
      </c>
    </row>
    <row r="257" spans="1:33" x14ac:dyDescent="0.25">
      <c r="A257" s="99">
        <v>119199.92</v>
      </c>
      <c r="B257" s="96">
        <v>656.47360000000003</v>
      </c>
      <c r="C257" s="96">
        <v>0.6</v>
      </c>
      <c r="D257" s="80">
        <f t="shared" si="85"/>
        <v>100</v>
      </c>
      <c r="E257" s="81">
        <f t="shared" si="77"/>
        <v>6791.2436711181272</v>
      </c>
      <c r="F257" s="81">
        <f>SUM(E$2:E257)</f>
        <v>1578839.3579288898</v>
      </c>
      <c r="G257" s="43">
        <f t="shared" si="74"/>
        <v>1</v>
      </c>
      <c r="H257" s="78">
        <v>1</v>
      </c>
      <c r="I257" s="15">
        <f t="shared" si="78"/>
        <v>0.6</v>
      </c>
      <c r="J257" s="16">
        <f>VLOOKUP(G257,Inputs!$L$3:$P$15,5,FALSE)</f>
        <v>2000</v>
      </c>
      <c r="K257" s="16">
        <f t="shared" si="79"/>
        <v>1825</v>
      </c>
      <c r="L257" s="79">
        <f>Inputs!$P$8-B257</f>
        <v>281.7174</v>
      </c>
      <c r="M257" s="79">
        <f>Inputs!$Q$8+L257*0.433</f>
        <v>1946.9836342000001</v>
      </c>
      <c r="N257" s="82">
        <f t="shared" si="80"/>
        <v>119199.92</v>
      </c>
      <c r="O257" s="83">
        <f t="shared" si="81"/>
        <v>656.47360000000003</v>
      </c>
      <c r="P257" s="84">
        <f>IF(O257="","",Inputs!$C$5-O257)</f>
        <v>168.71089999999992</v>
      </c>
      <c r="Q257" s="83">
        <f>IF(N257="","",TS!J257)</f>
        <v>2000</v>
      </c>
      <c r="R257" s="83">
        <f>IF(N257="","",TS!K257)</f>
        <v>1825</v>
      </c>
      <c r="S257" s="83">
        <f>Inputs!$H$5+TS!P257*0.4333</f>
        <v>1948.0681494199998</v>
      </c>
      <c r="T257" s="83">
        <f>Inputs!$G$5+TS!P257*0.4333</f>
        <v>1963.0681494199998</v>
      </c>
      <c r="U257" s="85">
        <f t="shared" si="82"/>
        <v>0.98153407470999987</v>
      </c>
      <c r="V257" s="86">
        <f t="shared" si="86"/>
        <v>0</v>
      </c>
      <c r="W257" s="86">
        <f t="shared" si="87"/>
        <v>0</v>
      </c>
      <c r="X257" s="86" t="e">
        <f>((PI()*((42-2*'Gen Calcs'!$E$13)^2)/4)/144)*(A300-#REF!)*(W257+14.7)/14.7</f>
        <v>#REF!</v>
      </c>
      <c r="Y257" s="86" t="e">
        <f t="shared" si="88"/>
        <v>#REF!</v>
      </c>
      <c r="Z257" s="86" t="e">
        <f t="shared" si="89"/>
        <v>#REF!</v>
      </c>
      <c r="AA257" s="83">
        <f>MAX(B$2:B257)-B257</f>
        <v>168.71089999999992</v>
      </c>
      <c r="AB257" s="83">
        <f t="shared" si="90"/>
        <v>73.051819699999967</v>
      </c>
      <c r="AC257" s="83">
        <f t="shared" si="75"/>
        <v>115.85197784802949</v>
      </c>
      <c r="AD257" s="72">
        <f t="shared" si="76"/>
        <v>115.85197784802949</v>
      </c>
      <c r="AE257" s="73">
        <f t="shared" si="83"/>
        <v>907.92027688745009</v>
      </c>
      <c r="AF257" s="73">
        <f>SUM(AE$2:AE257)</f>
        <v>211257.41985246722</v>
      </c>
      <c r="AG257" s="73">
        <f t="shared" si="84"/>
        <v>962472.48257464194</v>
      </c>
    </row>
    <row r="258" spans="1:33" x14ac:dyDescent="0.25">
      <c r="A258" s="100">
        <v>119299.92</v>
      </c>
      <c r="B258" s="97">
        <v>656.73509999999999</v>
      </c>
      <c r="C258" s="97">
        <v>0.6</v>
      </c>
      <c r="D258" s="80">
        <f t="shared" si="85"/>
        <v>100</v>
      </c>
      <c r="E258" s="81">
        <f t="shared" si="77"/>
        <v>6616.6076625842816</v>
      </c>
      <c r="F258" s="81">
        <f>SUM(E$2:E258)</f>
        <v>1585455.965591474</v>
      </c>
      <c r="G258" s="43">
        <f t="shared" si="74"/>
        <v>1</v>
      </c>
      <c r="H258" s="78">
        <v>1</v>
      </c>
      <c r="I258" s="15">
        <f t="shared" si="78"/>
        <v>0.6</v>
      </c>
      <c r="J258" s="16">
        <f>VLOOKUP(G258,Inputs!$L$3:$P$15,5,FALSE)</f>
        <v>2000</v>
      </c>
      <c r="K258" s="16">
        <f t="shared" si="79"/>
        <v>1825</v>
      </c>
      <c r="L258" s="79">
        <f>Inputs!$P$8-B258</f>
        <v>281.45590000000004</v>
      </c>
      <c r="M258" s="79">
        <f>Inputs!$Q$8+L258*0.433</f>
        <v>1946.8704047000001</v>
      </c>
      <c r="N258" s="82">
        <f t="shared" si="80"/>
        <v>119299.92</v>
      </c>
      <c r="O258" s="83">
        <f t="shared" si="81"/>
        <v>656.73509999999999</v>
      </c>
      <c r="P258" s="84">
        <f>IF(O258="","",Inputs!$C$5-O258)</f>
        <v>168.44939999999997</v>
      </c>
      <c r="Q258" s="83">
        <f>IF(N258="","",TS!J258)</f>
        <v>2000</v>
      </c>
      <c r="R258" s="83">
        <f>IF(N258="","",TS!K258)</f>
        <v>1825</v>
      </c>
      <c r="S258" s="83">
        <f>Inputs!$H$5+TS!P258*0.4333</f>
        <v>1947.95484147</v>
      </c>
      <c r="T258" s="83">
        <f>Inputs!$G$5+TS!P258*0.4333</f>
        <v>1962.95484147</v>
      </c>
      <c r="U258" s="85">
        <f t="shared" si="82"/>
        <v>0.98147742073499999</v>
      </c>
      <c r="V258" s="86">
        <f t="shared" si="86"/>
        <v>0</v>
      </c>
      <c r="W258" s="86">
        <f t="shared" si="87"/>
        <v>0</v>
      </c>
      <c r="X258" s="86" t="e">
        <f>((PI()*((42-2*'Gen Calcs'!$E$13)^2)/4)/144)*(A301-#REF!)*(W258+14.7)/14.7</f>
        <v>#REF!</v>
      </c>
      <c r="Y258" s="86" t="e">
        <f t="shared" si="88"/>
        <v>#REF!</v>
      </c>
      <c r="Z258" s="86" t="e">
        <f t="shared" si="89"/>
        <v>#REF!</v>
      </c>
      <c r="AA258" s="83">
        <f>MAX(B$2:B258)-B258</f>
        <v>168.44939999999997</v>
      </c>
      <c r="AB258" s="83">
        <f t="shared" si="90"/>
        <v>72.938590199999979</v>
      </c>
      <c r="AC258" s="83">
        <f t="shared" si="75"/>
        <v>115.96136661289245</v>
      </c>
      <c r="AD258" s="72">
        <f t="shared" si="76"/>
        <v>115.96136661289245</v>
      </c>
      <c r="AE258" s="73">
        <f t="shared" si="83"/>
        <v>907.92027688745009</v>
      </c>
      <c r="AF258" s="73">
        <f>SUM(AE$2:AE258)</f>
        <v>212165.34012935468</v>
      </c>
      <c r="AG258" s="73">
        <f t="shared" si="84"/>
        <v>961564.56229775446</v>
      </c>
    </row>
    <row r="259" spans="1:33" x14ac:dyDescent="0.25">
      <c r="A259" s="99">
        <v>119399.92</v>
      </c>
      <c r="B259" s="96">
        <v>659.07259999999997</v>
      </c>
      <c r="C259" s="96">
        <v>0.6</v>
      </c>
      <c r="D259" s="80">
        <f t="shared" si="85"/>
        <v>100</v>
      </c>
      <c r="E259" s="81">
        <f t="shared" si="77"/>
        <v>6616.6076625842816</v>
      </c>
      <c r="F259" s="81">
        <f>SUM(E$2:E259)</f>
        <v>1592072.5732540581</v>
      </c>
      <c r="G259" s="43">
        <f t="shared" ref="G259:G322" si="91">IF(C259=0.72,12,IF(C259=1,11,IF(C259=0.825,10,IF(C259=0.6,1,IF(C259=0.864,2,IF(C259=0.888,3))))))</f>
        <v>1</v>
      </c>
      <c r="H259" s="78">
        <v>1</v>
      </c>
      <c r="I259" s="15">
        <f t="shared" si="78"/>
        <v>0.6</v>
      </c>
      <c r="J259" s="16">
        <f>VLOOKUP(G259,Inputs!$L$3:$P$15,5,FALSE)</f>
        <v>2000</v>
      </c>
      <c r="K259" s="16">
        <f t="shared" si="79"/>
        <v>1825</v>
      </c>
      <c r="L259" s="79">
        <f>Inputs!$P$8-B259</f>
        <v>279.11840000000007</v>
      </c>
      <c r="M259" s="79">
        <f>Inputs!$Q$8+L259*0.433</f>
        <v>1945.8582672</v>
      </c>
      <c r="N259" s="82">
        <f t="shared" si="80"/>
        <v>119399.92</v>
      </c>
      <c r="O259" s="83">
        <f t="shared" si="81"/>
        <v>659.07259999999997</v>
      </c>
      <c r="P259" s="84">
        <f>IF(O259="","",Inputs!$C$5-O259)</f>
        <v>166.11189999999999</v>
      </c>
      <c r="Q259" s="83">
        <f>IF(N259="","",TS!J259)</f>
        <v>2000</v>
      </c>
      <c r="R259" s="83">
        <f>IF(N259="","",TS!K259)</f>
        <v>1825</v>
      </c>
      <c r="S259" s="83">
        <f>Inputs!$H$5+TS!P259*0.4333</f>
        <v>1946.9420027199999</v>
      </c>
      <c r="T259" s="83">
        <f>Inputs!$G$5+TS!P259*0.4333</f>
        <v>1961.9420027199999</v>
      </c>
      <c r="U259" s="85">
        <f t="shared" si="82"/>
        <v>0.98097100135999993</v>
      </c>
      <c r="V259" s="86">
        <f t="shared" si="86"/>
        <v>0</v>
      </c>
      <c r="W259" s="86">
        <f t="shared" si="87"/>
        <v>0</v>
      </c>
      <c r="X259" s="86" t="e">
        <f>((PI()*((42-2*'Gen Calcs'!$E$13)^2)/4)/144)*(A302-#REF!)*(W259+14.7)/14.7</f>
        <v>#REF!</v>
      </c>
      <c r="Y259" s="86" t="e">
        <f t="shared" si="88"/>
        <v>#REF!</v>
      </c>
      <c r="Z259" s="86" t="e">
        <f t="shared" si="89"/>
        <v>#REF!</v>
      </c>
      <c r="AA259" s="83">
        <f>MAX(B$2:B259)-B259</f>
        <v>166.11189999999999</v>
      </c>
      <c r="AB259" s="83">
        <f t="shared" si="90"/>
        <v>71.926452699999999</v>
      </c>
      <c r="AC259" s="83">
        <f t="shared" ref="AC259:AC322" si="92">((MAX(O$2:O$1348)-O259)-(MAX(O$2:O$1348)-O259))*0.433+AD259</f>
        <v>116.07096214523784</v>
      </c>
      <c r="AD259" s="72">
        <f t="shared" si="76"/>
        <v>116.07096214523784</v>
      </c>
      <c r="AE259" s="73">
        <f t="shared" si="83"/>
        <v>907.92027688745009</v>
      </c>
      <c r="AF259" s="73">
        <f>SUM(AE$2:AE259)</f>
        <v>213073.26040624213</v>
      </c>
      <c r="AG259" s="73">
        <f t="shared" si="84"/>
        <v>960656.64202086709</v>
      </c>
    </row>
    <row r="260" spans="1:33" x14ac:dyDescent="0.25">
      <c r="A260" s="100">
        <v>119499.92</v>
      </c>
      <c r="B260" s="97">
        <v>659.60979999999995</v>
      </c>
      <c r="C260" s="97">
        <v>0.6</v>
      </c>
      <c r="D260" s="80">
        <f t="shared" si="85"/>
        <v>100</v>
      </c>
      <c r="E260" s="81">
        <f t="shared" si="77"/>
        <v>6791.2436711181272</v>
      </c>
      <c r="F260" s="81">
        <f>SUM(E$2:E260)</f>
        <v>1598863.8169251762</v>
      </c>
      <c r="G260" s="43">
        <f t="shared" si="91"/>
        <v>1</v>
      </c>
      <c r="H260" s="78">
        <v>1</v>
      </c>
      <c r="I260" s="15">
        <f t="shared" si="78"/>
        <v>0.6</v>
      </c>
      <c r="J260" s="16">
        <f>VLOOKUP(G260,Inputs!$L$3:$P$15,5,FALSE)</f>
        <v>2000</v>
      </c>
      <c r="K260" s="16">
        <f t="shared" si="79"/>
        <v>1825</v>
      </c>
      <c r="L260" s="79">
        <f>Inputs!$P$8-B260</f>
        <v>278.58120000000008</v>
      </c>
      <c r="M260" s="79">
        <f>Inputs!$Q$8+L260*0.433</f>
        <v>1945.6256596000001</v>
      </c>
      <c r="N260" s="82">
        <f t="shared" si="80"/>
        <v>119499.92</v>
      </c>
      <c r="O260" s="83">
        <f t="shared" si="81"/>
        <v>659.60979999999995</v>
      </c>
      <c r="P260" s="84">
        <f>IF(O260="","",Inputs!$C$5-O260)</f>
        <v>165.57470000000001</v>
      </c>
      <c r="Q260" s="83">
        <f>IF(N260="","",TS!J260)</f>
        <v>2000</v>
      </c>
      <c r="R260" s="83">
        <f>IF(N260="","",TS!K260)</f>
        <v>1825</v>
      </c>
      <c r="S260" s="83">
        <f>Inputs!$H$5+TS!P260*0.4333</f>
        <v>1946.7092339599999</v>
      </c>
      <c r="T260" s="83">
        <f>Inputs!$G$5+TS!P260*0.4333</f>
        <v>1961.7092339599999</v>
      </c>
      <c r="U260" s="85">
        <f t="shared" si="82"/>
        <v>0.98085461697999998</v>
      </c>
      <c r="V260" s="86">
        <f t="shared" si="86"/>
        <v>0</v>
      </c>
      <c r="W260" s="86">
        <f t="shared" si="87"/>
        <v>0</v>
      </c>
      <c r="X260" s="86" t="e">
        <f>((PI()*((42-2*'Gen Calcs'!$E$13)^2)/4)/144)*(A303-#REF!)*(W260+14.7)/14.7</f>
        <v>#REF!</v>
      </c>
      <c r="Y260" s="86" t="e">
        <f t="shared" si="88"/>
        <v>#REF!</v>
      </c>
      <c r="Z260" s="86" t="e">
        <f t="shared" si="89"/>
        <v>#REF!</v>
      </c>
      <c r="AA260" s="83">
        <f>MAX(B$2:B260)-B260</f>
        <v>165.57470000000001</v>
      </c>
      <c r="AB260" s="83">
        <f t="shared" si="90"/>
        <v>71.693845100000004</v>
      </c>
      <c r="AC260" s="83">
        <f t="shared" si="92"/>
        <v>116.18076503187051</v>
      </c>
      <c r="AD260" s="72">
        <f t="shared" ref="AD260:AD296" si="93">(AD$2*AF$1391)/AG260</f>
        <v>116.18076503187051</v>
      </c>
      <c r="AE260" s="73">
        <f t="shared" si="83"/>
        <v>907.92027688745009</v>
      </c>
      <c r="AF260" s="73">
        <f>SUM(AE$2:AE260)</f>
        <v>213981.18068312958</v>
      </c>
      <c r="AG260" s="73">
        <f t="shared" si="84"/>
        <v>959748.72174397961</v>
      </c>
    </row>
    <row r="261" spans="1:33" x14ac:dyDescent="0.25">
      <c r="A261" s="101">
        <v>119599.92</v>
      </c>
      <c r="B261" s="98">
        <v>658.1635</v>
      </c>
      <c r="C261" s="98">
        <v>0.6</v>
      </c>
      <c r="D261" s="80">
        <f t="shared" si="85"/>
        <v>100</v>
      </c>
      <c r="E261" s="81">
        <f t="shared" ref="E261:E324" si="94">(PI()/4*(42/12-(2*C303/12))^2)*(D261)*7.48</f>
        <v>6791.2436711181272</v>
      </c>
      <c r="F261" s="81">
        <f>SUM(E$2:E261)</f>
        <v>1605655.0605962942</v>
      </c>
      <c r="G261" s="43">
        <f t="shared" si="91"/>
        <v>1</v>
      </c>
      <c r="H261" s="78">
        <v>1</v>
      </c>
      <c r="I261" s="15">
        <f t="shared" ref="I261:I324" si="95">C261</f>
        <v>0.6</v>
      </c>
      <c r="J261" s="16">
        <f>VLOOKUP(G261,Inputs!$L$3:$P$15,5,FALSE)</f>
        <v>2000</v>
      </c>
      <c r="K261" s="16">
        <f t="shared" ref="K261:K324" si="96">IF(H261=1,1825,IF(H261=2,1825,2220))</f>
        <v>1825</v>
      </c>
      <c r="L261" s="79">
        <f>Inputs!$P$8-B261</f>
        <v>280.02750000000003</v>
      </c>
      <c r="M261" s="79">
        <f>Inputs!$Q$8+L261*0.433</f>
        <v>1946.2519075</v>
      </c>
      <c r="N261" s="82">
        <f t="shared" ref="N261:N324" si="97">A261</f>
        <v>119599.92</v>
      </c>
      <c r="O261" s="83">
        <f t="shared" ref="O261:O324" si="98">B261</f>
        <v>658.1635</v>
      </c>
      <c r="P261" s="84">
        <f>IF(O261="","",Inputs!$C$5-O261)</f>
        <v>167.02099999999996</v>
      </c>
      <c r="Q261" s="83">
        <f>IF(N261="","",TS!J261)</f>
        <v>2000</v>
      </c>
      <c r="R261" s="83">
        <f>IF(N261="","",TS!K261)</f>
        <v>1825</v>
      </c>
      <c r="S261" s="83">
        <f>Inputs!$H$5+TS!P261*0.4333</f>
        <v>1947.3359157499999</v>
      </c>
      <c r="T261" s="83">
        <f>Inputs!$G$5+TS!P261*0.4333</f>
        <v>1962.3359157499999</v>
      </c>
      <c r="U261" s="85">
        <f t="shared" ref="U261:U324" si="99">T261/(140000*C261/42)</f>
        <v>0.981167957875</v>
      </c>
      <c r="V261" s="86">
        <f t="shared" si="86"/>
        <v>0</v>
      </c>
      <c r="W261" s="86">
        <f t="shared" si="87"/>
        <v>0</v>
      </c>
      <c r="X261" s="86" t="e">
        <f>((PI()*((42-2*'Gen Calcs'!$E$13)^2)/4)/144)*(A304-#REF!)*(W261+14.7)/14.7</f>
        <v>#REF!</v>
      </c>
      <c r="Y261" s="86" t="e">
        <f t="shared" si="88"/>
        <v>#REF!</v>
      </c>
      <c r="Z261" s="86" t="e">
        <f t="shared" si="89"/>
        <v>#REF!</v>
      </c>
      <c r="AA261" s="83">
        <f>MAX(B$2:B261)-B261</f>
        <v>167.02099999999996</v>
      </c>
      <c r="AB261" s="83">
        <f t="shared" si="90"/>
        <v>72.320092999999986</v>
      </c>
      <c r="AC261" s="83">
        <f t="shared" si="92"/>
        <v>116.29077586181782</v>
      </c>
      <c r="AD261" s="72">
        <f t="shared" si="93"/>
        <v>116.29077586181782</v>
      </c>
      <c r="AE261" s="73">
        <f t="shared" ref="AE261:AE324" si="100">PI()*(((42-2*C261)/12)^2/4)*D261</f>
        <v>907.92027688745009</v>
      </c>
      <c r="AF261" s="73">
        <f>SUM(AE$2:AE261)</f>
        <v>214889.10096001704</v>
      </c>
      <c r="AG261" s="73">
        <f t="shared" ref="AG261:AG324" si="101">AF$1391-AF261</f>
        <v>958840.80146709213</v>
      </c>
    </row>
    <row r="262" spans="1:33" x14ac:dyDescent="0.25">
      <c r="A262" s="100">
        <v>119699.92</v>
      </c>
      <c r="B262" s="97">
        <v>652.50040000000001</v>
      </c>
      <c r="C262" s="97">
        <v>0.6</v>
      </c>
      <c r="D262" s="80">
        <f t="shared" si="85"/>
        <v>100</v>
      </c>
      <c r="E262" s="81">
        <f t="shared" si="94"/>
        <v>6791.2436711181272</v>
      </c>
      <c r="F262" s="81">
        <f>SUM(E$2:E262)</f>
        <v>1612446.3042674123</v>
      </c>
      <c r="G262" s="43">
        <f t="shared" si="91"/>
        <v>1</v>
      </c>
      <c r="H262" s="78">
        <v>1</v>
      </c>
      <c r="I262" s="15">
        <f t="shared" si="95"/>
        <v>0.6</v>
      </c>
      <c r="J262" s="16">
        <f>VLOOKUP(G262,Inputs!$L$3:$P$15,5,FALSE)</f>
        <v>2000</v>
      </c>
      <c r="K262" s="16">
        <f t="shared" si="96"/>
        <v>1825</v>
      </c>
      <c r="L262" s="79">
        <f>Inputs!$P$8-B262</f>
        <v>285.69060000000002</v>
      </c>
      <c r="M262" s="79">
        <f>Inputs!$Q$8+L262*0.433</f>
        <v>1948.7040297999999</v>
      </c>
      <c r="N262" s="82">
        <f t="shared" si="97"/>
        <v>119699.92</v>
      </c>
      <c r="O262" s="83">
        <f t="shared" si="98"/>
        <v>652.50040000000001</v>
      </c>
      <c r="P262" s="84">
        <f>IF(O262="","",Inputs!$C$5-O262)</f>
        <v>172.68409999999994</v>
      </c>
      <c r="Q262" s="83">
        <f>IF(N262="","",TS!J262)</f>
        <v>2000</v>
      </c>
      <c r="R262" s="83">
        <f>IF(N262="","",TS!K262)</f>
        <v>1825</v>
      </c>
      <c r="S262" s="83">
        <f>Inputs!$H$5+TS!P262*0.4333</f>
        <v>1949.7897369799998</v>
      </c>
      <c r="T262" s="83">
        <f>Inputs!$G$5+TS!P262*0.4333</f>
        <v>1964.7897369799998</v>
      </c>
      <c r="U262" s="85">
        <f t="shared" si="99"/>
        <v>0.98239486848999991</v>
      </c>
      <c r="V262" s="86">
        <f t="shared" si="86"/>
        <v>0</v>
      </c>
      <c r="W262" s="86">
        <f t="shared" si="87"/>
        <v>0</v>
      </c>
      <c r="X262" s="86" t="e">
        <f>((PI()*((42-2*'Gen Calcs'!$E$13)^2)/4)/144)*(A305-#REF!)*(W262+14.7)/14.7</f>
        <v>#REF!</v>
      </c>
      <c r="Y262" s="86" t="e">
        <f t="shared" si="88"/>
        <v>#REF!</v>
      </c>
      <c r="Z262" s="86" t="e">
        <f t="shared" si="89"/>
        <v>#REF!</v>
      </c>
      <c r="AA262" s="83">
        <f>MAX(B$2:B262)-B262</f>
        <v>172.68409999999994</v>
      </c>
      <c r="AB262" s="83">
        <f t="shared" si="90"/>
        <v>74.772215299999971</v>
      </c>
      <c r="AC262" s="83">
        <f t="shared" si="92"/>
        <v>116.40099522634023</v>
      </c>
      <c r="AD262" s="72">
        <f t="shared" si="93"/>
        <v>116.40099522634023</v>
      </c>
      <c r="AE262" s="73">
        <f t="shared" si="100"/>
        <v>907.92027688745009</v>
      </c>
      <c r="AF262" s="73">
        <f>SUM(AE$2:AE262)</f>
        <v>215797.02123690449</v>
      </c>
      <c r="AG262" s="73">
        <f t="shared" si="101"/>
        <v>957932.88119020476</v>
      </c>
    </row>
    <row r="263" spans="1:33" x14ac:dyDescent="0.25">
      <c r="A263" s="99">
        <v>119799.92</v>
      </c>
      <c r="B263" s="96">
        <v>647.14459999999997</v>
      </c>
      <c r="C263" s="96">
        <v>0.6</v>
      </c>
      <c r="D263" s="80">
        <f t="shared" si="85"/>
        <v>100</v>
      </c>
      <c r="E263" s="81">
        <f t="shared" si="94"/>
        <v>6791.2436711181272</v>
      </c>
      <c r="F263" s="81">
        <f>SUM(E$2:E263)</f>
        <v>1619237.5479385303</v>
      </c>
      <c r="G263" s="43">
        <f t="shared" si="91"/>
        <v>1</v>
      </c>
      <c r="H263" s="78">
        <v>1</v>
      </c>
      <c r="I263" s="15">
        <f t="shared" si="95"/>
        <v>0.6</v>
      </c>
      <c r="J263" s="16">
        <f>VLOOKUP(G263,Inputs!$L$3:$P$15,5,FALSE)</f>
        <v>2000</v>
      </c>
      <c r="K263" s="16">
        <f t="shared" si="96"/>
        <v>1825</v>
      </c>
      <c r="L263" s="79">
        <f>Inputs!$P$8-B263</f>
        <v>291.04640000000006</v>
      </c>
      <c r="M263" s="79">
        <f>Inputs!$Q$8+L263*0.433</f>
        <v>1951.0230912</v>
      </c>
      <c r="N263" s="82">
        <f t="shared" si="97"/>
        <v>119799.92</v>
      </c>
      <c r="O263" s="83">
        <f t="shared" si="98"/>
        <v>647.14459999999997</v>
      </c>
      <c r="P263" s="84">
        <f>IF(O263="","",Inputs!$C$5-O263)</f>
        <v>178.03989999999999</v>
      </c>
      <c r="Q263" s="83">
        <f>IF(N263="","",TS!J263)</f>
        <v>2000</v>
      </c>
      <c r="R263" s="83">
        <f>IF(N263="","",TS!K263)</f>
        <v>1825</v>
      </c>
      <c r="S263" s="83">
        <f>Inputs!$H$5+TS!P263*0.4333</f>
        <v>1952.11040512</v>
      </c>
      <c r="T263" s="83">
        <f>Inputs!$G$5+TS!P263*0.4333</f>
        <v>1967.11040512</v>
      </c>
      <c r="U263" s="85">
        <f t="shared" si="99"/>
        <v>0.98355520255999995</v>
      </c>
      <c r="V263" s="86">
        <f t="shared" si="86"/>
        <v>0</v>
      </c>
      <c r="W263" s="86">
        <f t="shared" si="87"/>
        <v>0</v>
      </c>
      <c r="X263" s="86" t="e">
        <f>((PI()*((42-2*'Gen Calcs'!$E$13)^2)/4)/144)*(A306-#REF!)*(W263+14.7)/14.7</f>
        <v>#REF!</v>
      </c>
      <c r="Y263" s="86" t="e">
        <f t="shared" si="88"/>
        <v>#REF!</v>
      </c>
      <c r="Z263" s="86" t="e">
        <f t="shared" si="89"/>
        <v>#REF!</v>
      </c>
      <c r="AA263" s="83">
        <f>MAX(B$2:B263)-B263</f>
        <v>178.03989999999999</v>
      </c>
      <c r="AB263" s="83">
        <f t="shared" si="90"/>
        <v>77.091276699999995</v>
      </c>
      <c r="AC263" s="83">
        <f t="shared" si="92"/>
        <v>116.51142371894196</v>
      </c>
      <c r="AD263" s="72">
        <f t="shared" si="93"/>
        <v>116.51142371894196</v>
      </c>
      <c r="AE263" s="73">
        <f t="shared" si="100"/>
        <v>907.92027688745009</v>
      </c>
      <c r="AF263" s="73">
        <f>SUM(AE$2:AE263)</f>
        <v>216704.94151379194</v>
      </c>
      <c r="AG263" s="73">
        <f t="shared" si="101"/>
        <v>957024.96091331728</v>
      </c>
    </row>
    <row r="264" spans="1:33" x14ac:dyDescent="0.25">
      <c r="A264" s="100">
        <v>119899.92</v>
      </c>
      <c r="B264" s="97">
        <v>642.76909999999998</v>
      </c>
      <c r="C264" s="97">
        <v>0.6</v>
      </c>
      <c r="D264" s="80">
        <f t="shared" si="85"/>
        <v>100</v>
      </c>
      <c r="E264" s="81">
        <f t="shared" si="94"/>
        <v>6791.2436711181272</v>
      </c>
      <c r="F264" s="81">
        <f>SUM(E$2:E264)</f>
        <v>1626028.7916096484</v>
      </c>
      <c r="G264" s="43">
        <f t="shared" si="91"/>
        <v>1</v>
      </c>
      <c r="H264" s="78">
        <v>1</v>
      </c>
      <c r="I264" s="15">
        <f t="shared" si="95"/>
        <v>0.6</v>
      </c>
      <c r="J264" s="16">
        <f>VLOOKUP(G264,Inputs!$L$3:$P$15,5,FALSE)</f>
        <v>2000</v>
      </c>
      <c r="K264" s="16">
        <f t="shared" si="96"/>
        <v>1825</v>
      </c>
      <c r="L264" s="79">
        <f>Inputs!$P$8-B264</f>
        <v>295.42190000000005</v>
      </c>
      <c r="M264" s="79">
        <f>Inputs!$Q$8+L264*0.433</f>
        <v>1952.9176827000001</v>
      </c>
      <c r="N264" s="82">
        <f t="shared" si="97"/>
        <v>119899.92</v>
      </c>
      <c r="O264" s="83">
        <f t="shared" si="98"/>
        <v>642.76909999999998</v>
      </c>
      <c r="P264" s="84">
        <f>IF(O264="","",Inputs!$C$5-O264)</f>
        <v>182.41539999999998</v>
      </c>
      <c r="Q264" s="83">
        <f>IF(N264="","",TS!J264)</f>
        <v>2000</v>
      </c>
      <c r="R264" s="83">
        <f>IF(N264="","",TS!K264)</f>
        <v>1825</v>
      </c>
      <c r="S264" s="83">
        <f>Inputs!$H$5+TS!P264*0.4333</f>
        <v>1954.00630927</v>
      </c>
      <c r="T264" s="83">
        <f>Inputs!$G$5+TS!P264*0.4333</f>
        <v>1969.00630927</v>
      </c>
      <c r="U264" s="85">
        <f t="shared" si="99"/>
        <v>0.98450315463499993</v>
      </c>
      <c r="V264" s="86">
        <f t="shared" si="86"/>
        <v>0</v>
      </c>
      <c r="W264" s="86">
        <f t="shared" si="87"/>
        <v>0</v>
      </c>
      <c r="X264" s="86" t="e">
        <f>((PI()*((42-2*'Gen Calcs'!$E$13)^2)/4)/144)*(A307-#REF!)*(W264+14.7)/14.7</f>
        <v>#REF!</v>
      </c>
      <c r="Y264" s="86" t="e">
        <f t="shared" si="88"/>
        <v>#REF!</v>
      </c>
      <c r="Z264" s="86" t="e">
        <f t="shared" si="89"/>
        <v>#REF!</v>
      </c>
      <c r="AA264" s="83">
        <f>MAX(B$2:B264)-B264</f>
        <v>182.41539999999998</v>
      </c>
      <c r="AB264" s="83">
        <f t="shared" si="90"/>
        <v>78.985868199999985</v>
      </c>
      <c r="AC264" s="83">
        <f t="shared" si="92"/>
        <v>116.62206193538148</v>
      </c>
      <c r="AD264" s="72">
        <f t="shared" si="93"/>
        <v>116.62206193538148</v>
      </c>
      <c r="AE264" s="73">
        <f t="shared" si="100"/>
        <v>907.92027688745009</v>
      </c>
      <c r="AF264" s="73">
        <f>SUM(AE$2:AE264)</f>
        <v>217612.8617906794</v>
      </c>
      <c r="AG264" s="73">
        <f t="shared" si="101"/>
        <v>956117.0406364298</v>
      </c>
    </row>
    <row r="265" spans="1:33" x14ac:dyDescent="0.25">
      <c r="A265" s="99">
        <v>119999.92</v>
      </c>
      <c r="B265" s="96">
        <v>639.24519999999995</v>
      </c>
      <c r="C265" s="96">
        <v>0.6</v>
      </c>
      <c r="D265" s="80">
        <f t="shared" si="85"/>
        <v>100</v>
      </c>
      <c r="E265" s="81">
        <f t="shared" si="94"/>
        <v>6791.2436711181272</v>
      </c>
      <c r="F265" s="81">
        <f>SUM(E$2:E265)</f>
        <v>1632820.0352807664</v>
      </c>
      <c r="G265" s="43">
        <f t="shared" si="91"/>
        <v>1</v>
      </c>
      <c r="H265" s="78">
        <v>1</v>
      </c>
      <c r="I265" s="15">
        <f t="shared" si="95"/>
        <v>0.6</v>
      </c>
      <c r="J265" s="16">
        <f>VLOOKUP(G265,Inputs!$L$3:$P$15,5,FALSE)</f>
        <v>2000</v>
      </c>
      <c r="K265" s="16">
        <f t="shared" si="96"/>
        <v>1825</v>
      </c>
      <c r="L265" s="79">
        <f>Inputs!$P$8-B265</f>
        <v>298.94580000000008</v>
      </c>
      <c r="M265" s="79">
        <f>Inputs!$Q$8+L265*0.433</f>
        <v>1954.4435314</v>
      </c>
      <c r="N265" s="82">
        <f t="shared" si="97"/>
        <v>119999.92</v>
      </c>
      <c r="O265" s="83">
        <f t="shared" si="98"/>
        <v>639.24519999999995</v>
      </c>
      <c r="P265" s="84">
        <f>IF(O265="","",Inputs!$C$5-O265)</f>
        <v>185.9393</v>
      </c>
      <c r="Q265" s="83">
        <f>IF(N265="","",TS!J265)</f>
        <v>2000</v>
      </c>
      <c r="R265" s="83">
        <f>IF(N265="","",TS!K265)</f>
        <v>1825</v>
      </c>
      <c r="S265" s="83">
        <f>Inputs!$H$5+TS!P265*0.4333</f>
        <v>1955.53321514</v>
      </c>
      <c r="T265" s="83">
        <f>Inputs!$G$5+TS!P265*0.4333</f>
        <v>1970.53321514</v>
      </c>
      <c r="U265" s="85">
        <f t="shared" si="99"/>
        <v>0.98526660757000006</v>
      </c>
      <c r="V265" s="86">
        <f t="shared" si="86"/>
        <v>0</v>
      </c>
      <c r="W265" s="86">
        <f t="shared" si="87"/>
        <v>0</v>
      </c>
      <c r="X265" s="86" t="e">
        <f>((PI()*((42-2*'Gen Calcs'!$E$13)^2)/4)/144)*(A308-#REF!)*(W265+14.7)/14.7</f>
        <v>#REF!</v>
      </c>
      <c r="Y265" s="86" t="e">
        <f t="shared" si="88"/>
        <v>#REF!</v>
      </c>
      <c r="Z265" s="86" t="e">
        <f t="shared" si="89"/>
        <v>#REF!</v>
      </c>
      <c r="AA265" s="83">
        <f>MAX(B$2:B265)-B265</f>
        <v>185.9393</v>
      </c>
      <c r="AB265" s="83">
        <f t="shared" si="90"/>
        <v>80.511716899999996</v>
      </c>
      <c r="AC265" s="83">
        <f t="shared" si="92"/>
        <v>116.7329104736824</v>
      </c>
      <c r="AD265" s="72">
        <f t="shared" si="93"/>
        <v>116.7329104736824</v>
      </c>
      <c r="AE265" s="73">
        <f t="shared" si="100"/>
        <v>907.92027688745009</v>
      </c>
      <c r="AF265" s="73">
        <f>SUM(AE$2:AE265)</f>
        <v>218520.78206756685</v>
      </c>
      <c r="AG265" s="73">
        <f t="shared" si="101"/>
        <v>955209.12035954231</v>
      </c>
    </row>
    <row r="266" spans="1:33" x14ac:dyDescent="0.25">
      <c r="A266" s="100">
        <v>120099.92</v>
      </c>
      <c r="B266" s="97">
        <v>654.08690000000001</v>
      </c>
      <c r="C266" s="97">
        <v>0.6</v>
      </c>
      <c r="D266" s="80">
        <f t="shared" si="85"/>
        <v>100</v>
      </c>
      <c r="E266" s="81">
        <f t="shared" si="94"/>
        <v>6791.2436711181272</v>
      </c>
      <c r="F266" s="81">
        <f>SUM(E$2:E266)</f>
        <v>1639611.2789518845</v>
      </c>
      <c r="G266" s="43">
        <f t="shared" si="91"/>
        <v>1</v>
      </c>
      <c r="H266" s="78">
        <v>1</v>
      </c>
      <c r="I266" s="15">
        <f t="shared" si="95"/>
        <v>0.6</v>
      </c>
      <c r="J266" s="16">
        <f>VLOOKUP(G266,Inputs!$L$3:$P$15,5,FALSE)</f>
        <v>2000</v>
      </c>
      <c r="K266" s="16">
        <f t="shared" si="96"/>
        <v>1825</v>
      </c>
      <c r="L266" s="79">
        <f>Inputs!$P$8-B266</f>
        <v>284.10410000000002</v>
      </c>
      <c r="M266" s="79">
        <f>Inputs!$Q$8+L266*0.433</f>
        <v>1948.0170753</v>
      </c>
      <c r="N266" s="82">
        <f t="shared" si="97"/>
        <v>120099.92</v>
      </c>
      <c r="O266" s="83">
        <f t="shared" si="98"/>
        <v>654.08690000000001</v>
      </c>
      <c r="P266" s="84">
        <f>IF(O266="","",Inputs!$C$5-O266)</f>
        <v>171.09759999999994</v>
      </c>
      <c r="Q266" s="83">
        <f>IF(N266="","",TS!J266)</f>
        <v>2000</v>
      </c>
      <c r="R266" s="83">
        <f>IF(N266="","",TS!K266)</f>
        <v>1825</v>
      </c>
      <c r="S266" s="83">
        <f>Inputs!$H$5+TS!P266*0.4333</f>
        <v>1949.1023065299999</v>
      </c>
      <c r="T266" s="83">
        <f>Inputs!$G$5+TS!P266*0.4333</f>
        <v>1964.1023065299999</v>
      </c>
      <c r="U266" s="85">
        <f t="shared" si="99"/>
        <v>0.98205115326499992</v>
      </c>
      <c r="V266" s="86">
        <f t="shared" si="86"/>
        <v>0</v>
      </c>
      <c r="W266" s="86">
        <f t="shared" si="87"/>
        <v>0</v>
      </c>
      <c r="X266" s="86" t="e">
        <f>((PI()*((42-2*'Gen Calcs'!$E$13)^2)/4)/144)*(A309-#REF!)*(W266+14.7)/14.7</f>
        <v>#REF!</v>
      </c>
      <c r="Y266" s="86" t="e">
        <f t="shared" si="88"/>
        <v>#REF!</v>
      </c>
      <c r="Z266" s="86" t="e">
        <f t="shared" si="89"/>
        <v>#REF!</v>
      </c>
      <c r="AA266" s="83">
        <f>MAX(B$2:B266)-B266</f>
        <v>171.09759999999994</v>
      </c>
      <c r="AB266" s="83">
        <f t="shared" si="90"/>
        <v>74.085260799999972</v>
      </c>
      <c r="AC266" s="83">
        <f t="shared" si="92"/>
        <v>116.84396993414411</v>
      </c>
      <c r="AD266" s="72">
        <f t="shared" si="93"/>
        <v>116.84396993414411</v>
      </c>
      <c r="AE266" s="73">
        <f t="shared" si="100"/>
        <v>907.92027688745009</v>
      </c>
      <c r="AF266" s="73">
        <f>SUM(AE$2:AE266)</f>
        <v>219428.7023444543</v>
      </c>
      <c r="AG266" s="73">
        <f t="shared" si="101"/>
        <v>954301.20008265483</v>
      </c>
    </row>
    <row r="267" spans="1:33" x14ac:dyDescent="0.25">
      <c r="A267" s="99">
        <v>120199.92</v>
      </c>
      <c r="B267" s="96">
        <v>669.19010000000003</v>
      </c>
      <c r="C267" s="96">
        <v>0.6</v>
      </c>
      <c r="D267" s="80">
        <f t="shared" si="85"/>
        <v>100</v>
      </c>
      <c r="E267" s="81">
        <f t="shared" si="94"/>
        <v>6791.2436711181272</v>
      </c>
      <c r="F267" s="81">
        <f>SUM(E$2:E267)</f>
        <v>1646402.5226230025</v>
      </c>
      <c r="G267" s="43">
        <f t="shared" si="91"/>
        <v>1</v>
      </c>
      <c r="H267" s="78">
        <v>1</v>
      </c>
      <c r="I267" s="15">
        <f t="shared" si="95"/>
        <v>0.6</v>
      </c>
      <c r="J267" s="16">
        <f>VLOOKUP(G267,Inputs!$L$3:$P$15,5,FALSE)</f>
        <v>2000</v>
      </c>
      <c r="K267" s="16">
        <f t="shared" si="96"/>
        <v>1825</v>
      </c>
      <c r="L267" s="79">
        <f>Inputs!$P$8-B267</f>
        <v>269.0009</v>
      </c>
      <c r="M267" s="79">
        <f>Inputs!$Q$8+L267*0.433</f>
        <v>1941.4773897</v>
      </c>
      <c r="N267" s="82">
        <f t="shared" si="97"/>
        <v>120199.92</v>
      </c>
      <c r="O267" s="83">
        <f t="shared" si="98"/>
        <v>669.19010000000003</v>
      </c>
      <c r="P267" s="84">
        <f>IF(O267="","",Inputs!$C$5-O267)</f>
        <v>155.99439999999993</v>
      </c>
      <c r="Q267" s="83">
        <f>IF(N267="","",TS!J267)</f>
        <v>2000</v>
      </c>
      <c r="R267" s="83">
        <f>IF(N267="","",TS!K267)</f>
        <v>1825</v>
      </c>
      <c r="S267" s="83">
        <f>Inputs!$H$5+TS!P267*0.4333</f>
        <v>1942.5580899699999</v>
      </c>
      <c r="T267" s="83">
        <f>Inputs!$G$5+TS!P267*0.4333</f>
        <v>1957.5580899699999</v>
      </c>
      <c r="U267" s="85">
        <f t="shared" si="99"/>
        <v>0.9787790449849999</v>
      </c>
      <c r="V267" s="86">
        <f t="shared" si="86"/>
        <v>0</v>
      </c>
      <c r="W267" s="86">
        <f t="shared" si="87"/>
        <v>0</v>
      </c>
      <c r="X267" s="86" t="e">
        <f>((PI()*((42-2*'Gen Calcs'!$E$13)^2)/4)/144)*(A310-#REF!)*(W267+14.7)/14.7</f>
        <v>#REF!</v>
      </c>
      <c r="Y267" s="86" t="e">
        <f t="shared" si="88"/>
        <v>#REF!</v>
      </c>
      <c r="Z267" s="86" t="e">
        <f t="shared" si="89"/>
        <v>#REF!</v>
      </c>
      <c r="AA267" s="83">
        <f>MAX(B$2:B267)-B267</f>
        <v>155.99439999999993</v>
      </c>
      <c r="AB267" s="83">
        <f t="shared" si="90"/>
        <v>67.545575199999973</v>
      </c>
      <c r="AC267" s="83">
        <f t="shared" si="92"/>
        <v>116.95524091935269</v>
      </c>
      <c r="AD267" s="72">
        <f t="shared" si="93"/>
        <v>116.95524091935269</v>
      </c>
      <c r="AE267" s="73">
        <f t="shared" si="100"/>
        <v>907.92027688745009</v>
      </c>
      <c r="AF267" s="73">
        <f>SUM(AE$2:AE267)</f>
        <v>220336.62262134175</v>
      </c>
      <c r="AG267" s="73">
        <f t="shared" si="101"/>
        <v>953393.27980576747</v>
      </c>
    </row>
    <row r="268" spans="1:33" x14ac:dyDescent="0.25">
      <c r="A268" s="100">
        <v>120298.2</v>
      </c>
      <c r="B268" s="97">
        <v>669.19010000000003</v>
      </c>
      <c r="C268" s="97">
        <v>0.86399999999999999</v>
      </c>
      <c r="D268" s="80">
        <f t="shared" si="85"/>
        <v>98.279999999998836</v>
      </c>
      <c r="E268" s="81">
        <f t="shared" si="94"/>
        <v>6674.4342799748156</v>
      </c>
      <c r="F268" s="81">
        <f>SUM(E$2:E268)</f>
        <v>1653076.9569029773</v>
      </c>
      <c r="G268" s="43">
        <f t="shared" si="91"/>
        <v>2</v>
      </c>
      <c r="H268" s="78">
        <v>1</v>
      </c>
      <c r="I268" s="15">
        <f t="shared" si="95"/>
        <v>0.86399999999999999</v>
      </c>
      <c r="J268" s="16">
        <f>VLOOKUP(G268,Inputs!$L$3:$P$15,5,FALSE)</f>
        <v>2880</v>
      </c>
      <c r="K268" s="16">
        <f t="shared" si="96"/>
        <v>1825</v>
      </c>
      <c r="L268" s="79">
        <f>Inputs!$P$8-B268</f>
        <v>269.0009</v>
      </c>
      <c r="M268" s="79">
        <f>Inputs!$Q$8+L268*0.433</f>
        <v>1941.4773897</v>
      </c>
      <c r="N268" s="82">
        <f t="shared" si="97"/>
        <v>120298.2</v>
      </c>
      <c r="O268" s="83">
        <f t="shared" si="98"/>
        <v>669.19010000000003</v>
      </c>
      <c r="P268" s="84">
        <f>IF(O268="","",Inputs!$C$5-O268)</f>
        <v>155.99439999999993</v>
      </c>
      <c r="Q268" s="83">
        <f>IF(N268="","",TS!J268)</f>
        <v>2880</v>
      </c>
      <c r="R268" s="83">
        <f>IF(N268="","",TS!K268)</f>
        <v>1825</v>
      </c>
      <c r="S268" s="83">
        <f>Inputs!$H$5+TS!P268*0.4333</f>
        <v>1942.5580899699999</v>
      </c>
      <c r="T268" s="83">
        <f>Inputs!$G$5+TS!P268*0.4333</f>
        <v>1957.5580899699999</v>
      </c>
      <c r="U268" s="85">
        <f t="shared" si="99"/>
        <v>0.67970767012847222</v>
      </c>
      <c r="V268" s="86">
        <f t="shared" si="86"/>
        <v>0</v>
      </c>
      <c r="W268" s="86">
        <f t="shared" si="87"/>
        <v>0</v>
      </c>
      <c r="X268" s="86" t="e">
        <f>((PI()*((42-2*'Gen Calcs'!$E$13)^2)/4)/144)*(A311-#REF!)*(W268+14.7)/14.7</f>
        <v>#REF!</v>
      </c>
      <c r="Y268" s="86" t="e">
        <f t="shared" si="88"/>
        <v>#REF!</v>
      </c>
      <c r="Z268" s="86" t="e">
        <f t="shared" si="89"/>
        <v>#REF!</v>
      </c>
      <c r="AA268" s="83">
        <f>MAX(B$2:B268)-B268</f>
        <v>155.99439999999993</v>
      </c>
      <c r="AB268" s="83">
        <f t="shared" si="90"/>
        <v>67.545575199999973</v>
      </c>
      <c r="AC268" s="83">
        <f t="shared" si="92"/>
        <v>117.0619847367838</v>
      </c>
      <c r="AD268" s="72">
        <f t="shared" si="93"/>
        <v>117.0619847367838</v>
      </c>
      <c r="AE268" s="73">
        <f t="shared" si="100"/>
        <v>869.35855759194578</v>
      </c>
      <c r="AF268" s="73">
        <f>SUM(AE$2:AE268)</f>
        <v>221205.9811789337</v>
      </c>
      <c r="AG268" s="73">
        <f t="shared" si="101"/>
        <v>952523.92124817544</v>
      </c>
    </row>
    <row r="269" spans="1:33" x14ac:dyDescent="0.25">
      <c r="A269" s="99">
        <v>120299.92</v>
      </c>
      <c r="B269" s="96">
        <v>678.72119999999995</v>
      </c>
      <c r="C269" s="96">
        <v>0.6</v>
      </c>
      <c r="D269" s="80">
        <f t="shared" si="85"/>
        <v>1.7200000000011642</v>
      </c>
      <c r="E269" s="81">
        <f t="shared" si="94"/>
        <v>116.80939114331085</v>
      </c>
      <c r="F269" s="81">
        <f>SUM(E$2:E269)</f>
        <v>1653193.7662941206</v>
      </c>
      <c r="G269" s="43">
        <f t="shared" si="91"/>
        <v>1</v>
      </c>
      <c r="H269" s="78">
        <v>1</v>
      </c>
      <c r="I269" s="15">
        <f t="shared" si="95"/>
        <v>0.6</v>
      </c>
      <c r="J269" s="16">
        <f>VLOOKUP(G269,Inputs!$L$3:$P$15,5,FALSE)</f>
        <v>2000</v>
      </c>
      <c r="K269" s="16">
        <f t="shared" si="96"/>
        <v>1825</v>
      </c>
      <c r="L269" s="79">
        <f>Inputs!$P$8-B269</f>
        <v>259.46980000000008</v>
      </c>
      <c r="M269" s="79">
        <f>Inputs!$Q$8+L269*0.433</f>
        <v>1937.3504234</v>
      </c>
      <c r="N269" s="82">
        <f t="shared" si="97"/>
        <v>120299.92</v>
      </c>
      <c r="O269" s="83">
        <f t="shared" si="98"/>
        <v>678.72119999999995</v>
      </c>
      <c r="P269" s="84">
        <f>IF(O269="","",Inputs!$C$5-O269)</f>
        <v>146.4633</v>
      </c>
      <c r="Q269" s="83">
        <f>IF(N269="","",TS!J269)</f>
        <v>2000</v>
      </c>
      <c r="R269" s="83">
        <f>IF(N269="","",TS!K269)</f>
        <v>1825</v>
      </c>
      <c r="S269" s="83">
        <f>Inputs!$H$5+TS!P269*0.4333</f>
        <v>1938.4282643399999</v>
      </c>
      <c r="T269" s="83">
        <f>Inputs!$G$5+TS!P269*0.4333</f>
        <v>1953.4282643399999</v>
      </c>
      <c r="U269" s="85">
        <f t="shared" si="99"/>
        <v>0.97671413216999992</v>
      </c>
      <c r="V269" s="86">
        <f t="shared" si="86"/>
        <v>0</v>
      </c>
      <c r="W269" s="86">
        <f t="shared" si="87"/>
        <v>0</v>
      </c>
      <c r="X269" s="86" t="e">
        <f>((PI()*((42-2*'Gen Calcs'!$E$13)^2)/4)/144)*(A312-#REF!)*(W269+14.7)/14.7</f>
        <v>#REF!</v>
      </c>
      <c r="Y269" s="86" t="e">
        <f t="shared" si="88"/>
        <v>#REF!</v>
      </c>
      <c r="Z269" s="86" t="e">
        <f t="shared" si="89"/>
        <v>#REF!</v>
      </c>
      <c r="AA269" s="83">
        <f>MAX(B$2:B269)-B269</f>
        <v>146.4633</v>
      </c>
      <c r="AB269" s="83">
        <f t="shared" si="90"/>
        <v>63.418608900000002</v>
      </c>
      <c r="AC269" s="83">
        <f t="shared" si="92"/>
        <v>117.06390395021575</v>
      </c>
      <c r="AD269" s="72">
        <f t="shared" si="93"/>
        <v>117.06390395021575</v>
      </c>
      <c r="AE269" s="73">
        <f t="shared" si="100"/>
        <v>15.61622876247471</v>
      </c>
      <c r="AF269" s="73">
        <f>SUM(AE$2:AE269)</f>
        <v>221221.59740769616</v>
      </c>
      <c r="AG269" s="73">
        <f t="shared" si="101"/>
        <v>952508.305019413</v>
      </c>
    </row>
    <row r="270" spans="1:33" x14ac:dyDescent="0.25">
      <c r="A270" s="100">
        <v>120378.2</v>
      </c>
      <c r="B270" s="97">
        <v>678.72119999999995</v>
      </c>
      <c r="C270" s="97">
        <v>0.86399999999999999</v>
      </c>
      <c r="D270" s="80">
        <f t="shared" si="85"/>
        <v>78.279999999998836</v>
      </c>
      <c r="E270" s="81">
        <f t="shared" si="94"/>
        <v>5316.1855457511901</v>
      </c>
      <c r="F270" s="81">
        <f>SUM(E$2:E270)</f>
        <v>1658509.9518398717</v>
      </c>
      <c r="G270" s="43">
        <f t="shared" si="91"/>
        <v>2</v>
      </c>
      <c r="H270" s="78">
        <v>1</v>
      </c>
      <c r="I270" s="15">
        <f t="shared" si="95"/>
        <v>0.86399999999999999</v>
      </c>
      <c r="J270" s="16">
        <f>VLOOKUP(G270,Inputs!$L$3:$P$15,5,FALSE)</f>
        <v>2880</v>
      </c>
      <c r="K270" s="16">
        <f t="shared" si="96"/>
        <v>1825</v>
      </c>
      <c r="L270" s="79">
        <f>Inputs!$P$8-B270</f>
        <v>259.46980000000008</v>
      </c>
      <c r="M270" s="79">
        <f>Inputs!$Q$8+L270*0.433</f>
        <v>1937.3504234</v>
      </c>
      <c r="N270" s="82">
        <f t="shared" si="97"/>
        <v>120378.2</v>
      </c>
      <c r="O270" s="83">
        <f t="shared" si="98"/>
        <v>678.72119999999995</v>
      </c>
      <c r="P270" s="84">
        <f>IF(O270="","",Inputs!$C$5-O270)</f>
        <v>146.4633</v>
      </c>
      <c r="Q270" s="83">
        <f>IF(N270="","",TS!J270)</f>
        <v>2880</v>
      </c>
      <c r="R270" s="83">
        <f>IF(N270="","",TS!K270)</f>
        <v>1825</v>
      </c>
      <c r="S270" s="83">
        <f>Inputs!$H$5+TS!P270*0.4333</f>
        <v>1938.4282643399999</v>
      </c>
      <c r="T270" s="83">
        <f>Inputs!$G$5+TS!P270*0.4333</f>
        <v>1953.4282643399999</v>
      </c>
      <c r="U270" s="85">
        <f t="shared" si="99"/>
        <v>0.67827370289583333</v>
      </c>
      <c r="V270" s="86">
        <f t="shared" si="86"/>
        <v>0</v>
      </c>
      <c r="W270" s="86">
        <f t="shared" si="87"/>
        <v>0</v>
      </c>
      <c r="X270" s="86" t="e">
        <f>((PI()*((42-2*'Gen Calcs'!$E$13)^2)/4)/144)*(A313-#REF!)*(W270+14.7)/14.7</f>
        <v>#REF!</v>
      </c>
      <c r="Y270" s="86" t="e">
        <f t="shared" si="88"/>
        <v>#REF!</v>
      </c>
      <c r="Z270" s="86" t="e">
        <f t="shared" si="89"/>
        <v>#REF!</v>
      </c>
      <c r="AA270" s="83">
        <f>MAX(B$2:B270)-B270</f>
        <v>146.4633</v>
      </c>
      <c r="AB270" s="83">
        <f t="shared" si="90"/>
        <v>63.418608900000002</v>
      </c>
      <c r="AC270" s="83">
        <f t="shared" si="92"/>
        <v>117.14906767901677</v>
      </c>
      <c r="AD270" s="72">
        <f t="shared" si="93"/>
        <v>117.14906767901677</v>
      </c>
      <c r="AE270" s="73">
        <f t="shared" si="100"/>
        <v>692.44391420733928</v>
      </c>
      <c r="AF270" s="73">
        <f>SUM(AE$2:AE270)</f>
        <v>221914.0413219035</v>
      </c>
      <c r="AG270" s="73">
        <f t="shared" si="101"/>
        <v>951815.86110520572</v>
      </c>
    </row>
    <row r="271" spans="1:33" x14ac:dyDescent="0.25">
      <c r="A271" s="99">
        <v>120399.92</v>
      </c>
      <c r="B271" s="96">
        <v>684.57449999999994</v>
      </c>
      <c r="C271" s="96">
        <v>0.6</v>
      </c>
      <c r="D271" s="80">
        <f t="shared" si="85"/>
        <v>21.720000000001164</v>
      </c>
      <c r="E271" s="81">
        <f t="shared" si="94"/>
        <v>1475.0581253669361</v>
      </c>
      <c r="F271" s="81">
        <f>SUM(E$2:E271)</f>
        <v>1659985.0099652386</v>
      </c>
      <c r="G271" s="43">
        <f t="shared" si="91"/>
        <v>1</v>
      </c>
      <c r="H271" s="78">
        <v>1</v>
      </c>
      <c r="I271" s="15">
        <f t="shared" si="95"/>
        <v>0.6</v>
      </c>
      <c r="J271" s="16">
        <f>VLOOKUP(G271,Inputs!$L$3:$P$15,5,FALSE)</f>
        <v>2000</v>
      </c>
      <c r="K271" s="16">
        <f t="shared" si="96"/>
        <v>1825</v>
      </c>
      <c r="L271" s="79">
        <f>Inputs!$P$8-B271</f>
        <v>253.61650000000009</v>
      </c>
      <c r="M271" s="79">
        <f>Inputs!$Q$8+L271*0.433</f>
        <v>1934.8159445000001</v>
      </c>
      <c r="N271" s="82">
        <f t="shared" si="97"/>
        <v>120399.92</v>
      </c>
      <c r="O271" s="83">
        <f t="shared" si="98"/>
        <v>684.57449999999994</v>
      </c>
      <c r="P271" s="84">
        <f>IF(O271="","",Inputs!$C$5-O271)</f>
        <v>140.61000000000001</v>
      </c>
      <c r="Q271" s="83">
        <f>IF(N271="","",TS!J271)</f>
        <v>2000</v>
      </c>
      <c r="R271" s="83">
        <f>IF(N271="","",TS!K271)</f>
        <v>1825</v>
      </c>
      <c r="S271" s="83">
        <f>Inputs!$H$5+TS!P271*0.4333</f>
        <v>1935.8920294499999</v>
      </c>
      <c r="T271" s="83">
        <f>Inputs!$G$5+TS!P271*0.4333</f>
        <v>1950.8920294499999</v>
      </c>
      <c r="U271" s="85">
        <f t="shared" si="99"/>
        <v>0.97544601472499992</v>
      </c>
      <c r="V271" s="86">
        <f t="shared" si="86"/>
        <v>0</v>
      </c>
      <c r="W271" s="86">
        <f t="shared" si="87"/>
        <v>0</v>
      </c>
      <c r="X271" s="86" t="e">
        <f>((PI()*((42-2*'Gen Calcs'!$E$13)^2)/4)/144)*(A314-#REF!)*(W271+14.7)/14.7</f>
        <v>#REF!</v>
      </c>
      <c r="Y271" s="86" t="e">
        <f t="shared" si="88"/>
        <v>#REF!</v>
      </c>
      <c r="Z271" s="86" t="e">
        <f t="shared" si="89"/>
        <v>#REF!</v>
      </c>
      <c r="AA271" s="83">
        <f>MAX(B$2:B271)-B271</f>
        <v>140.61000000000001</v>
      </c>
      <c r="AB271" s="83">
        <f t="shared" si="90"/>
        <v>60.884130000000006</v>
      </c>
      <c r="AC271" s="83">
        <f t="shared" si="92"/>
        <v>117.17334403086247</v>
      </c>
      <c r="AD271" s="72">
        <f t="shared" si="93"/>
        <v>117.17334403086247</v>
      </c>
      <c r="AE271" s="73">
        <f t="shared" si="100"/>
        <v>197.20028413996471</v>
      </c>
      <c r="AF271" s="73">
        <f>SUM(AE$2:AE271)</f>
        <v>222111.24160604345</v>
      </c>
      <c r="AG271" s="73">
        <f t="shared" si="101"/>
        <v>951618.66082106577</v>
      </c>
    </row>
    <row r="272" spans="1:33" x14ac:dyDescent="0.25">
      <c r="A272" s="100">
        <v>120499.92</v>
      </c>
      <c r="B272" s="97">
        <v>686.90750000000003</v>
      </c>
      <c r="C272" s="97">
        <v>0.6</v>
      </c>
      <c r="D272" s="80">
        <f t="shared" si="85"/>
        <v>100</v>
      </c>
      <c r="E272" s="81">
        <f t="shared" si="94"/>
        <v>6791.2436711181272</v>
      </c>
      <c r="F272" s="81">
        <f>SUM(E$2:E272)</f>
        <v>1666776.2536363567</v>
      </c>
      <c r="G272" s="43">
        <f t="shared" si="91"/>
        <v>1</v>
      </c>
      <c r="H272" s="78">
        <v>1</v>
      </c>
      <c r="I272" s="15">
        <f t="shared" si="95"/>
        <v>0.6</v>
      </c>
      <c r="J272" s="16">
        <f>VLOOKUP(G272,Inputs!$L$3:$P$15,5,FALSE)</f>
        <v>2000</v>
      </c>
      <c r="K272" s="16">
        <f t="shared" si="96"/>
        <v>1825</v>
      </c>
      <c r="L272" s="79">
        <f>Inputs!$P$8-B272</f>
        <v>251.2835</v>
      </c>
      <c r="M272" s="79">
        <f>Inputs!$Q$8+L272*0.433</f>
        <v>1933.8057555</v>
      </c>
      <c r="N272" s="82">
        <f t="shared" si="97"/>
        <v>120499.92</v>
      </c>
      <c r="O272" s="83">
        <f t="shared" si="98"/>
        <v>686.90750000000003</v>
      </c>
      <c r="P272" s="84">
        <f>IF(O272="","",Inputs!$C$5-O272)</f>
        <v>138.27699999999993</v>
      </c>
      <c r="Q272" s="83">
        <f>IF(N272="","",TS!J272)</f>
        <v>2000</v>
      </c>
      <c r="R272" s="83">
        <f>IF(N272="","",TS!K272)</f>
        <v>1825</v>
      </c>
      <c r="S272" s="83">
        <f>Inputs!$H$5+TS!P272*0.4333</f>
        <v>1934.8811405499998</v>
      </c>
      <c r="T272" s="83">
        <f>Inputs!$G$5+TS!P272*0.4333</f>
        <v>1949.8811405499998</v>
      </c>
      <c r="U272" s="85">
        <f t="shared" si="99"/>
        <v>0.97494057027499992</v>
      </c>
      <c r="V272" s="86">
        <f t="shared" si="86"/>
        <v>0</v>
      </c>
      <c r="W272" s="86">
        <f t="shared" si="87"/>
        <v>0</v>
      </c>
      <c r="X272" s="86" t="e">
        <f>((PI()*((42-2*'Gen Calcs'!$E$13)^2)/4)/144)*(A315-#REF!)*(W272+14.7)/14.7</f>
        <v>#REF!</v>
      </c>
      <c r="Y272" s="86" t="e">
        <f t="shared" si="88"/>
        <v>#REF!</v>
      </c>
      <c r="Z272" s="86" t="e">
        <f t="shared" si="89"/>
        <v>#REF!</v>
      </c>
      <c r="AA272" s="83">
        <f>MAX(B$2:B272)-B272</f>
        <v>138.27699999999993</v>
      </c>
      <c r="AB272" s="83">
        <f t="shared" si="90"/>
        <v>59.873940999999967</v>
      </c>
      <c r="AC272" s="83">
        <f t="shared" si="92"/>
        <v>117.28524352922665</v>
      </c>
      <c r="AD272" s="72">
        <f t="shared" si="93"/>
        <v>117.28524352922665</v>
      </c>
      <c r="AE272" s="73">
        <f t="shared" si="100"/>
        <v>907.92027688745009</v>
      </c>
      <c r="AF272" s="73">
        <f>SUM(AE$2:AE272)</f>
        <v>223019.1618829309</v>
      </c>
      <c r="AG272" s="73">
        <f t="shared" si="101"/>
        <v>950710.74054417829</v>
      </c>
    </row>
    <row r="273" spans="1:33" x14ac:dyDescent="0.25">
      <c r="A273" s="99">
        <v>120599.92</v>
      </c>
      <c r="B273" s="96">
        <v>687.70680000000004</v>
      </c>
      <c r="C273" s="96">
        <v>0.6</v>
      </c>
      <c r="D273" s="80">
        <f t="shared" si="85"/>
        <v>100</v>
      </c>
      <c r="E273" s="81">
        <f t="shared" si="94"/>
        <v>6791.2436711181272</v>
      </c>
      <c r="F273" s="81">
        <f>SUM(E$2:E273)</f>
        <v>1673567.4973074747</v>
      </c>
      <c r="G273" s="43">
        <f t="shared" si="91"/>
        <v>1</v>
      </c>
      <c r="H273" s="78">
        <v>1</v>
      </c>
      <c r="I273" s="15">
        <f t="shared" si="95"/>
        <v>0.6</v>
      </c>
      <c r="J273" s="16">
        <f>VLOOKUP(G273,Inputs!$L$3:$P$15,5,FALSE)</f>
        <v>2000</v>
      </c>
      <c r="K273" s="16">
        <f t="shared" si="96"/>
        <v>1825</v>
      </c>
      <c r="L273" s="79">
        <f>Inputs!$P$8-B273</f>
        <v>250.48419999999999</v>
      </c>
      <c r="M273" s="79">
        <f>Inputs!$Q$8+L273*0.433</f>
        <v>1933.4596586</v>
      </c>
      <c r="N273" s="82">
        <f t="shared" si="97"/>
        <v>120599.92</v>
      </c>
      <c r="O273" s="83">
        <f t="shared" si="98"/>
        <v>687.70680000000004</v>
      </c>
      <c r="P273" s="84">
        <f>IF(O273="","",Inputs!$C$5-O273)</f>
        <v>137.47769999999991</v>
      </c>
      <c r="Q273" s="83">
        <f>IF(N273="","",TS!J273)</f>
        <v>2000</v>
      </c>
      <c r="R273" s="83">
        <f>IF(N273="","",TS!K273)</f>
        <v>1825</v>
      </c>
      <c r="S273" s="83">
        <f>Inputs!$H$5+TS!P273*0.4333</f>
        <v>1934.53480386</v>
      </c>
      <c r="T273" s="83">
        <f>Inputs!$G$5+TS!P273*0.4333</f>
        <v>1949.53480386</v>
      </c>
      <c r="U273" s="85">
        <f t="shared" si="99"/>
        <v>0.97476740193</v>
      </c>
      <c r="V273" s="86">
        <f t="shared" si="86"/>
        <v>0</v>
      </c>
      <c r="W273" s="86">
        <f t="shared" si="87"/>
        <v>0</v>
      </c>
      <c r="X273" s="86" t="e">
        <f>((PI()*((42-2*'Gen Calcs'!$E$13)^2)/4)/144)*(A316-#REF!)*(W273+14.7)/14.7</f>
        <v>#REF!</v>
      </c>
      <c r="Y273" s="86" t="e">
        <f t="shared" si="88"/>
        <v>#REF!</v>
      </c>
      <c r="Z273" s="86" t="e">
        <f t="shared" si="89"/>
        <v>#REF!</v>
      </c>
      <c r="AA273" s="83">
        <f>MAX(B$2:B273)-B273</f>
        <v>137.47769999999991</v>
      </c>
      <c r="AB273" s="83">
        <f t="shared" si="90"/>
        <v>59.52784409999996</v>
      </c>
      <c r="AC273" s="83">
        <f t="shared" si="92"/>
        <v>117.397356957938</v>
      </c>
      <c r="AD273" s="72">
        <f t="shared" si="93"/>
        <v>117.397356957938</v>
      </c>
      <c r="AE273" s="73">
        <f t="shared" si="100"/>
        <v>907.92027688745009</v>
      </c>
      <c r="AF273" s="73">
        <f>SUM(AE$2:AE273)</f>
        <v>223927.08215981835</v>
      </c>
      <c r="AG273" s="73">
        <f t="shared" si="101"/>
        <v>949802.82026729081</v>
      </c>
    </row>
    <row r="274" spans="1:33" x14ac:dyDescent="0.25">
      <c r="A274" s="100">
        <v>120699.92</v>
      </c>
      <c r="B274" s="97">
        <v>688.49900000000002</v>
      </c>
      <c r="C274" s="97">
        <v>0.6</v>
      </c>
      <c r="D274" s="80">
        <f t="shared" si="85"/>
        <v>100</v>
      </c>
      <c r="E274" s="81">
        <f t="shared" si="94"/>
        <v>6791.2436711181272</v>
      </c>
      <c r="F274" s="81">
        <f>SUM(E$2:E274)</f>
        <v>1680358.7409785928</v>
      </c>
      <c r="G274" s="43">
        <f t="shared" si="91"/>
        <v>1</v>
      </c>
      <c r="H274" s="78">
        <v>1</v>
      </c>
      <c r="I274" s="15">
        <f t="shared" si="95"/>
        <v>0.6</v>
      </c>
      <c r="J274" s="16">
        <f>VLOOKUP(G274,Inputs!$L$3:$P$15,5,FALSE)</f>
        <v>2000</v>
      </c>
      <c r="K274" s="16">
        <f t="shared" si="96"/>
        <v>1825</v>
      </c>
      <c r="L274" s="79">
        <f>Inputs!$P$8-B274</f>
        <v>249.69200000000001</v>
      </c>
      <c r="M274" s="79">
        <f>Inputs!$Q$8+L274*0.433</f>
        <v>1933.116636</v>
      </c>
      <c r="N274" s="82">
        <f t="shared" si="97"/>
        <v>120699.92</v>
      </c>
      <c r="O274" s="83">
        <f t="shared" si="98"/>
        <v>688.49900000000002</v>
      </c>
      <c r="P274" s="84">
        <f>IF(O274="","",Inputs!$C$5-O274)</f>
        <v>136.68549999999993</v>
      </c>
      <c r="Q274" s="83">
        <f>IF(N274="","",TS!J274)</f>
        <v>2000</v>
      </c>
      <c r="R274" s="83">
        <f>IF(N274="","",TS!K274)</f>
        <v>1825</v>
      </c>
      <c r="S274" s="83">
        <f>Inputs!$H$5+TS!P274*0.4333</f>
        <v>1934.1915435999999</v>
      </c>
      <c r="T274" s="83">
        <f>Inputs!$G$5+TS!P274*0.4333</f>
        <v>1949.1915435999999</v>
      </c>
      <c r="U274" s="85">
        <f t="shared" si="99"/>
        <v>0.97459577180000001</v>
      </c>
      <c r="V274" s="86">
        <f t="shared" si="86"/>
        <v>0</v>
      </c>
      <c r="W274" s="86">
        <f t="shared" si="87"/>
        <v>0</v>
      </c>
      <c r="X274" s="86" t="e">
        <f>((PI()*((42-2*'Gen Calcs'!$E$13)^2)/4)/144)*(A317-#REF!)*(W274+14.7)/14.7</f>
        <v>#REF!</v>
      </c>
      <c r="Y274" s="86" t="e">
        <f t="shared" si="88"/>
        <v>#REF!</v>
      </c>
      <c r="Z274" s="86" t="e">
        <f t="shared" si="89"/>
        <v>#REF!</v>
      </c>
      <c r="AA274" s="83">
        <f>MAX(B$2:B274)-B274</f>
        <v>136.68549999999993</v>
      </c>
      <c r="AB274" s="83">
        <f t="shared" si="90"/>
        <v>59.18482149999997</v>
      </c>
      <c r="AC274" s="83">
        <f t="shared" si="92"/>
        <v>117.5096849310741</v>
      </c>
      <c r="AD274" s="72">
        <f t="shared" si="93"/>
        <v>117.5096849310741</v>
      </c>
      <c r="AE274" s="73">
        <f t="shared" si="100"/>
        <v>907.92027688745009</v>
      </c>
      <c r="AF274" s="73">
        <f>SUM(AE$2:AE274)</f>
        <v>224835.00243670581</v>
      </c>
      <c r="AG274" s="73">
        <f t="shared" si="101"/>
        <v>948894.89999040333</v>
      </c>
    </row>
    <row r="275" spans="1:33" x14ac:dyDescent="0.25">
      <c r="A275" s="99">
        <v>120799.92</v>
      </c>
      <c r="B275" s="96">
        <v>688.05629999999996</v>
      </c>
      <c r="C275" s="96">
        <v>0.6</v>
      </c>
      <c r="D275" s="80">
        <f t="shared" si="85"/>
        <v>100</v>
      </c>
      <c r="E275" s="81">
        <f t="shared" si="94"/>
        <v>6791.2436711181272</v>
      </c>
      <c r="F275" s="81">
        <f>SUM(E$2:E275)</f>
        <v>1687149.9846497108</v>
      </c>
      <c r="G275" s="43">
        <f t="shared" si="91"/>
        <v>1</v>
      </c>
      <c r="H275" s="78">
        <v>1</v>
      </c>
      <c r="I275" s="15">
        <f t="shared" si="95"/>
        <v>0.6</v>
      </c>
      <c r="J275" s="16">
        <f>VLOOKUP(G275,Inputs!$L$3:$P$15,5,FALSE)</f>
        <v>2000</v>
      </c>
      <c r="K275" s="16">
        <f t="shared" si="96"/>
        <v>1825</v>
      </c>
      <c r="L275" s="79">
        <f>Inputs!$P$8-B275</f>
        <v>250.13470000000007</v>
      </c>
      <c r="M275" s="79">
        <f>Inputs!$Q$8+L275*0.433</f>
        <v>1933.3083251</v>
      </c>
      <c r="N275" s="82">
        <f t="shared" si="97"/>
        <v>120799.92</v>
      </c>
      <c r="O275" s="83">
        <f t="shared" si="98"/>
        <v>688.05629999999996</v>
      </c>
      <c r="P275" s="84">
        <f>IF(O275="","",Inputs!$C$5-O275)</f>
        <v>137.12819999999999</v>
      </c>
      <c r="Q275" s="83">
        <f>IF(N275="","",TS!J275)</f>
        <v>2000</v>
      </c>
      <c r="R275" s="83">
        <f>IF(N275="","",TS!K275)</f>
        <v>1825</v>
      </c>
      <c r="S275" s="83">
        <f>Inputs!$H$5+TS!P275*0.4333</f>
        <v>1934.38336551</v>
      </c>
      <c r="T275" s="83">
        <f>Inputs!$G$5+TS!P275*0.4333</f>
        <v>1949.38336551</v>
      </c>
      <c r="U275" s="85">
        <f t="shared" si="99"/>
        <v>0.97469168275499996</v>
      </c>
      <c r="V275" s="86">
        <f t="shared" si="86"/>
        <v>0</v>
      </c>
      <c r="W275" s="86">
        <f t="shared" si="87"/>
        <v>0</v>
      </c>
      <c r="X275" s="86" t="e">
        <f>((PI()*((42-2*'Gen Calcs'!$E$13)^2)/4)/144)*(A318-#REF!)*(W275+14.7)/14.7</f>
        <v>#REF!</v>
      </c>
      <c r="Y275" s="86" t="e">
        <f t="shared" si="88"/>
        <v>#REF!</v>
      </c>
      <c r="Z275" s="86" t="e">
        <f t="shared" si="89"/>
        <v>#REF!</v>
      </c>
      <c r="AA275" s="83">
        <f>MAX(B$2:B275)-B275</f>
        <v>137.12819999999999</v>
      </c>
      <c r="AB275" s="83">
        <f t="shared" si="90"/>
        <v>59.376510599999996</v>
      </c>
      <c r="AC275" s="83">
        <f t="shared" si="92"/>
        <v>117.62222806506504</v>
      </c>
      <c r="AD275" s="72">
        <f t="shared" si="93"/>
        <v>117.62222806506504</v>
      </c>
      <c r="AE275" s="73">
        <f t="shared" si="100"/>
        <v>907.92027688745009</v>
      </c>
      <c r="AF275" s="73">
        <f>SUM(AE$2:AE275)</f>
        <v>225742.92271359326</v>
      </c>
      <c r="AG275" s="73">
        <f t="shared" si="101"/>
        <v>947986.97971351596</v>
      </c>
    </row>
    <row r="276" spans="1:33" x14ac:dyDescent="0.25">
      <c r="A276" s="100">
        <v>120899.92</v>
      </c>
      <c r="B276" s="97">
        <v>687.32259999999997</v>
      </c>
      <c r="C276" s="97">
        <v>0.6</v>
      </c>
      <c r="D276" s="80">
        <f t="shared" si="85"/>
        <v>100</v>
      </c>
      <c r="E276" s="81">
        <f t="shared" si="94"/>
        <v>6791.2436711181272</v>
      </c>
      <c r="F276" s="81">
        <f>SUM(E$2:E276)</f>
        <v>1693941.2283208289</v>
      </c>
      <c r="G276" s="43">
        <f t="shared" si="91"/>
        <v>1</v>
      </c>
      <c r="H276" s="78">
        <v>1</v>
      </c>
      <c r="I276" s="15">
        <f t="shared" si="95"/>
        <v>0.6</v>
      </c>
      <c r="J276" s="16">
        <f>VLOOKUP(G276,Inputs!$L$3:$P$15,5,FALSE)</f>
        <v>2000</v>
      </c>
      <c r="K276" s="16">
        <f t="shared" si="96"/>
        <v>1825</v>
      </c>
      <c r="L276" s="79">
        <f>Inputs!$P$8-B276</f>
        <v>250.86840000000007</v>
      </c>
      <c r="M276" s="79">
        <f>Inputs!$Q$8+L276*0.433</f>
        <v>1933.6260172</v>
      </c>
      <c r="N276" s="82">
        <f t="shared" si="97"/>
        <v>120899.92</v>
      </c>
      <c r="O276" s="83">
        <f t="shared" si="98"/>
        <v>687.32259999999997</v>
      </c>
      <c r="P276" s="84">
        <f>IF(O276="","",Inputs!$C$5-O276)</f>
        <v>137.86189999999999</v>
      </c>
      <c r="Q276" s="83">
        <f>IF(N276="","",TS!J276)</f>
        <v>2000</v>
      </c>
      <c r="R276" s="83">
        <f>IF(N276="","",TS!K276)</f>
        <v>1825</v>
      </c>
      <c r="S276" s="83">
        <f>Inputs!$H$5+TS!P276*0.4333</f>
        <v>1934.70127772</v>
      </c>
      <c r="T276" s="83">
        <f>Inputs!$G$5+TS!P276*0.4333</f>
        <v>1949.70127772</v>
      </c>
      <c r="U276" s="85">
        <f t="shared" si="99"/>
        <v>0.97485063886000001</v>
      </c>
      <c r="V276" s="86">
        <f t="shared" si="86"/>
        <v>0</v>
      </c>
      <c r="W276" s="86">
        <f t="shared" si="87"/>
        <v>0</v>
      </c>
      <c r="X276" s="86" t="e">
        <f>((PI()*((42-2*'Gen Calcs'!$E$13)^2)/4)/144)*(A319-#REF!)*(W276+14.7)/14.7</f>
        <v>#REF!</v>
      </c>
      <c r="Y276" s="86" t="e">
        <f t="shared" si="88"/>
        <v>#REF!</v>
      </c>
      <c r="Z276" s="86" t="e">
        <f t="shared" si="89"/>
        <v>#REF!</v>
      </c>
      <c r="AA276" s="83">
        <f>MAX(B$2:B276)-B276</f>
        <v>137.86189999999999</v>
      </c>
      <c r="AB276" s="83">
        <f t="shared" si="90"/>
        <v>59.694202699999998</v>
      </c>
      <c r="AC276" s="83">
        <f t="shared" si="92"/>
        <v>117.73498697870473</v>
      </c>
      <c r="AD276" s="72">
        <f t="shared" si="93"/>
        <v>117.73498697870473</v>
      </c>
      <c r="AE276" s="73">
        <f t="shared" si="100"/>
        <v>907.92027688745009</v>
      </c>
      <c r="AF276" s="73">
        <f>SUM(AE$2:AE276)</f>
        <v>226650.84299048071</v>
      </c>
      <c r="AG276" s="73">
        <f t="shared" si="101"/>
        <v>947079.05943662848</v>
      </c>
    </row>
    <row r="277" spans="1:33" x14ac:dyDescent="0.25">
      <c r="A277" s="99">
        <v>120999.92</v>
      </c>
      <c r="B277" s="96">
        <v>681.84069999999997</v>
      </c>
      <c r="C277" s="96">
        <v>0.6</v>
      </c>
      <c r="D277" s="80">
        <f t="shared" si="85"/>
        <v>100</v>
      </c>
      <c r="E277" s="81">
        <f t="shared" si="94"/>
        <v>6791.2436711181272</v>
      </c>
      <c r="F277" s="81">
        <f>SUM(E$2:E277)</f>
        <v>1700732.4719919469</v>
      </c>
      <c r="G277" s="43">
        <f t="shared" si="91"/>
        <v>1</v>
      </c>
      <c r="H277" s="78">
        <v>1</v>
      </c>
      <c r="I277" s="15">
        <f t="shared" si="95"/>
        <v>0.6</v>
      </c>
      <c r="J277" s="16">
        <f>VLOOKUP(G277,Inputs!$L$3:$P$15,5,FALSE)</f>
        <v>2000</v>
      </c>
      <c r="K277" s="16">
        <f t="shared" si="96"/>
        <v>1825</v>
      </c>
      <c r="L277" s="79">
        <f>Inputs!$P$8-B277</f>
        <v>256.35030000000006</v>
      </c>
      <c r="M277" s="79">
        <f>Inputs!$Q$8+L277*0.433</f>
        <v>1935.9996799</v>
      </c>
      <c r="N277" s="82">
        <f t="shared" si="97"/>
        <v>120999.92</v>
      </c>
      <c r="O277" s="83">
        <f t="shared" si="98"/>
        <v>681.84069999999997</v>
      </c>
      <c r="P277" s="84">
        <f>IF(O277="","",Inputs!$C$5-O277)</f>
        <v>143.34379999999999</v>
      </c>
      <c r="Q277" s="83">
        <f>IF(N277="","",TS!J277)</f>
        <v>2000</v>
      </c>
      <c r="R277" s="83">
        <f>IF(N277="","",TS!K277)</f>
        <v>1825</v>
      </c>
      <c r="S277" s="83">
        <f>Inputs!$H$5+TS!P277*0.4333</f>
        <v>1937.0765849899999</v>
      </c>
      <c r="T277" s="83">
        <f>Inputs!$G$5+TS!P277*0.4333</f>
        <v>1952.0765849899999</v>
      </c>
      <c r="U277" s="85">
        <f t="shared" si="99"/>
        <v>0.97603829249499996</v>
      </c>
      <c r="V277" s="86">
        <f t="shared" si="86"/>
        <v>0</v>
      </c>
      <c r="W277" s="86">
        <f t="shared" si="87"/>
        <v>0</v>
      </c>
      <c r="X277" s="86" t="e">
        <f>((PI()*((42-2*'Gen Calcs'!$E$13)^2)/4)/144)*(A320-#REF!)*(W277+14.7)/14.7</f>
        <v>#REF!</v>
      </c>
      <c r="Y277" s="86" t="e">
        <f t="shared" si="88"/>
        <v>#REF!</v>
      </c>
      <c r="Z277" s="86" t="e">
        <f t="shared" si="89"/>
        <v>#REF!</v>
      </c>
      <c r="AA277" s="83">
        <f>MAX(B$2:B277)-B277</f>
        <v>143.34379999999999</v>
      </c>
      <c r="AB277" s="83">
        <f t="shared" si="90"/>
        <v>62.067865399999995</v>
      </c>
      <c r="AC277" s="83">
        <f t="shared" si="92"/>
        <v>117.84796229316208</v>
      </c>
      <c r="AD277" s="72">
        <f t="shared" si="93"/>
        <v>117.84796229316208</v>
      </c>
      <c r="AE277" s="73">
        <f t="shared" si="100"/>
        <v>907.92027688745009</v>
      </c>
      <c r="AF277" s="73">
        <f>SUM(AE$2:AE277)</f>
        <v>227558.76326736817</v>
      </c>
      <c r="AG277" s="73">
        <f t="shared" si="101"/>
        <v>946171.139159741</v>
      </c>
    </row>
    <row r="278" spans="1:33" x14ac:dyDescent="0.25">
      <c r="A278" s="100">
        <v>121099.92</v>
      </c>
      <c r="B278" s="97">
        <v>671.02</v>
      </c>
      <c r="C278" s="97">
        <v>0.6</v>
      </c>
      <c r="D278" s="80">
        <f t="shared" si="85"/>
        <v>100</v>
      </c>
      <c r="E278" s="81">
        <f t="shared" si="94"/>
        <v>6791.2436711181272</v>
      </c>
      <c r="F278" s="81">
        <f>SUM(E$2:E278)</f>
        <v>1707523.715663065</v>
      </c>
      <c r="G278" s="43">
        <f t="shared" si="91"/>
        <v>1</v>
      </c>
      <c r="H278" s="78">
        <v>1</v>
      </c>
      <c r="I278" s="15">
        <f t="shared" si="95"/>
        <v>0.6</v>
      </c>
      <c r="J278" s="16">
        <f>VLOOKUP(G278,Inputs!$L$3:$P$15,5,FALSE)</f>
        <v>2000</v>
      </c>
      <c r="K278" s="16">
        <f t="shared" si="96"/>
        <v>1825</v>
      </c>
      <c r="L278" s="79">
        <f>Inputs!$P$8-B278</f>
        <v>267.17100000000005</v>
      </c>
      <c r="M278" s="79">
        <f>Inputs!$Q$8+L278*0.433</f>
        <v>1940.685043</v>
      </c>
      <c r="N278" s="82">
        <f t="shared" si="97"/>
        <v>121099.92</v>
      </c>
      <c r="O278" s="83">
        <f t="shared" si="98"/>
        <v>671.02</v>
      </c>
      <c r="P278" s="84">
        <f>IF(O278="","",Inputs!$C$5-O278)</f>
        <v>154.16449999999998</v>
      </c>
      <c r="Q278" s="83">
        <f>IF(N278="","",TS!J278)</f>
        <v>2000</v>
      </c>
      <c r="R278" s="83">
        <f>IF(N278="","",TS!K278)</f>
        <v>1825</v>
      </c>
      <c r="S278" s="83">
        <f>Inputs!$H$5+TS!P278*0.4333</f>
        <v>1941.7651942999998</v>
      </c>
      <c r="T278" s="83">
        <f>Inputs!$G$5+TS!P278*0.4333</f>
        <v>1956.7651942999998</v>
      </c>
      <c r="U278" s="85">
        <f t="shared" si="99"/>
        <v>0.97838259714999998</v>
      </c>
      <c r="V278" s="86">
        <f t="shared" si="86"/>
        <v>0</v>
      </c>
      <c r="W278" s="86">
        <f t="shared" si="87"/>
        <v>0</v>
      </c>
      <c r="X278" s="86" t="e">
        <f>((PI()*((42-2*'Gen Calcs'!$E$13)^2)/4)/144)*(A321-#REF!)*(W278+14.7)/14.7</f>
        <v>#REF!</v>
      </c>
      <c r="Y278" s="86" t="e">
        <f t="shared" si="88"/>
        <v>#REF!</v>
      </c>
      <c r="Z278" s="86" t="e">
        <f t="shared" si="89"/>
        <v>#REF!</v>
      </c>
      <c r="AA278" s="83">
        <f>MAX(B$2:B278)-B278</f>
        <v>154.16449999999998</v>
      </c>
      <c r="AB278" s="83">
        <f t="shared" si="90"/>
        <v>66.753228499999992</v>
      </c>
      <c r="AC278" s="83">
        <f t="shared" si="92"/>
        <v>117.9611546319926</v>
      </c>
      <c r="AD278" s="72">
        <f t="shared" si="93"/>
        <v>117.9611546319926</v>
      </c>
      <c r="AE278" s="73">
        <f t="shared" si="100"/>
        <v>907.92027688745009</v>
      </c>
      <c r="AF278" s="73">
        <f>SUM(AE$2:AE278)</f>
        <v>228466.68354425562</v>
      </c>
      <c r="AG278" s="73">
        <f t="shared" si="101"/>
        <v>945263.21888285363</v>
      </c>
    </row>
    <row r="279" spans="1:33" x14ac:dyDescent="0.25">
      <c r="A279" s="99">
        <v>121199.92</v>
      </c>
      <c r="B279" s="96">
        <v>655.85929999999996</v>
      </c>
      <c r="C279" s="96">
        <v>0.6</v>
      </c>
      <c r="D279" s="80">
        <f t="shared" si="85"/>
        <v>100</v>
      </c>
      <c r="E279" s="81">
        <f t="shared" si="94"/>
        <v>6616.6076625842816</v>
      </c>
      <c r="F279" s="81">
        <f>SUM(E$2:E279)</f>
        <v>1714140.3233256491</v>
      </c>
      <c r="G279" s="43">
        <f t="shared" si="91"/>
        <v>1</v>
      </c>
      <c r="H279" s="78">
        <v>1</v>
      </c>
      <c r="I279" s="15">
        <f t="shared" si="95"/>
        <v>0.6</v>
      </c>
      <c r="J279" s="16">
        <f>VLOOKUP(G279,Inputs!$L$3:$P$15,5,FALSE)</f>
        <v>2000</v>
      </c>
      <c r="K279" s="16">
        <f t="shared" si="96"/>
        <v>1825</v>
      </c>
      <c r="L279" s="79">
        <f>Inputs!$P$8-B279</f>
        <v>282.33170000000007</v>
      </c>
      <c r="M279" s="79">
        <f>Inputs!$Q$8+L279*0.433</f>
        <v>1947.2496261000001</v>
      </c>
      <c r="N279" s="82">
        <f t="shared" si="97"/>
        <v>121199.92</v>
      </c>
      <c r="O279" s="83">
        <f t="shared" si="98"/>
        <v>655.85929999999996</v>
      </c>
      <c r="P279" s="84">
        <f>IF(O279="","",Inputs!$C$5-O279)</f>
        <v>169.3252</v>
      </c>
      <c r="Q279" s="83">
        <f>IF(N279="","",TS!J279)</f>
        <v>2000</v>
      </c>
      <c r="R279" s="83">
        <f>IF(N279="","",TS!K279)</f>
        <v>1825</v>
      </c>
      <c r="S279" s="83">
        <f>Inputs!$H$5+TS!P279*0.4333</f>
        <v>1948.33432561</v>
      </c>
      <c r="T279" s="83">
        <f>Inputs!$G$5+TS!P279*0.4333</f>
        <v>1963.33432561</v>
      </c>
      <c r="U279" s="85">
        <f t="shared" si="99"/>
        <v>0.98166716280499999</v>
      </c>
      <c r="V279" s="86">
        <f t="shared" si="86"/>
        <v>0</v>
      </c>
      <c r="W279" s="86">
        <f t="shared" si="87"/>
        <v>0</v>
      </c>
      <c r="X279" s="86" t="e">
        <f>((PI()*((42-2*'Gen Calcs'!$E$13)^2)/4)/144)*(A322-#REF!)*(W279+14.7)/14.7</f>
        <v>#REF!</v>
      </c>
      <c r="Y279" s="86" t="e">
        <f t="shared" si="88"/>
        <v>#REF!</v>
      </c>
      <c r="Z279" s="86" t="e">
        <f t="shared" si="89"/>
        <v>#REF!</v>
      </c>
      <c r="AA279" s="83">
        <f>MAX(B$2:B279)-B279</f>
        <v>169.3252</v>
      </c>
      <c r="AB279" s="83">
        <f t="shared" si="90"/>
        <v>73.317811599999999</v>
      </c>
      <c r="AC279" s="83">
        <f t="shared" si="92"/>
        <v>118.0745646211498</v>
      </c>
      <c r="AD279" s="72">
        <f t="shared" si="93"/>
        <v>118.0745646211498</v>
      </c>
      <c r="AE279" s="73">
        <f t="shared" si="100"/>
        <v>907.92027688745009</v>
      </c>
      <c r="AF279" s="73">
        <f>SUM(AE$2:AE279)</f>
        <v>229374.60382114307</v>
      </c>
      <c r="AG279" s="73">
        <f t="shared" si="101"/>
        <v>944355.29860596615</v>
      </c>
    </row>
    <row r="280" spans="1:33" x14ac:dyDescent="0.25">
      <c r="A280" s="100">
        <v>121299.92</v>
      </c>
      <c r="B280" s="97">
        <v>653.54190000000006</v>
      </c>
      <c r="C280" s="97">
        <v>0.6</v>
      </c>
      <c r="D280" s="80">
        <f t="shared" si="85"/>
        <v>100</v>
      </c>
      <c r="E280" s="81">
        <f t="shared" si="94"/>
        <v>6791.2436711181272</v>
      </c>
      <c r="F280" s="81">
        <f>SUM(E$2:E280)</f>
        <v>1720931.5669967672</v>
      </c>
      <c r="G280" s="43">
        <f t="shared" si="91"/>
        <v>1</v>
      </c>
      <c r="H280" s="78">
        <v>1</v>
      </c>
      <c r="I280" s="15">
        <f t="shared" si="95"/>
        <v>0.6</v>
      </c>
      <c r="J280" s="16">
        <f>VLOOKUP(G280,Inputs!$L$3:$P$15,5,FALSE)</f>
        <v>2000</v>
      </c>
      <c r="K280" s="16">
        <f t="shared" si="96"/>
        <v>1825</v>
      </c>
      <c r="L280" s="79">
        <f>Inputs!$P$8-B280</f>
        <v>284.64909999999998</v>
      </c>
      <c r="M280" s="79">
        <f>Inputs!$Q$8+L280*0.433</f>
        <v>1948.2530603</v>
      </c>
      <c r="N280" s="82">
        <f t="shared" si="97"/>
        <v>121299.92</v>
      </c>
      <c r="O280" s="83">
        <f t="shared" si="98"/>
        <v>653.54190000000006</v>
      </c>
      <c r="P280" s="84">
        <f>IF(O280="","",Inputs!$C$5-O280)</f>
        <v>171.6425999999999</v>
      </c>
      <c r="Q280" s="83">
        <f>IF(N280="","",TS!J280)</f>
        <v>2000</v>
      </c>
      <c r="R280" s="83">
        <f>IF(N280="","",TS!K280)</f>
        <v>1825</v>
      </c>
      <c r="S280" s="83">
        <f>Inputs!$H$5+TS!P280*0.4333</f>
        <v>1949.33845503</v>
      </c>
      <c r="T280" s="83">
        <f>Inputs!$G$5+TS!P280*0.4333</f>
        <v>1964.33845503</v>
      </c>
      <c r="U280" s="85">
        <f t="shared" si="99"/>
        <v>0.98216922751500002</v>
      </c>
      <c r="V280" s="86">
        <f t="shared" si="86"/>
        <v>0</v>
      </c>
      <c r="W280" s="86">
        <f t="shared" si="87"/>
        <v>0</v>
      </c>
      <c r="X280" s="86" t="e">
        <f>((PI()*((42-2*'Gen Calcs'!$E$13)^2)/4)/144)*(A323-#REF!)*(W280+14.7)/14.7</f>
        <v>#REF!</v>
      </c>
      <c r="Y280" s="86" t="e">
        <f t="shared" si="88"/>
        <v>#REF!</v>
      </c>
      <c r="Z280" s="86" t="e">
        <f t="shared" si="89"/>
        <v>#REF!</v>
      </c>
      <c r="AA280" s="83">
        <f>MAX(B$2:B280)-B280</f>
        <v>171.6425999999999</v>
      </c>
      <c r="AB280" s="83">
        <f t="shared" si="90"/>
        <v>74.321245799999957</v>
      </c>
      <c r="AC280" s="83">
        <f t="shared" si="92"/>
        <v>118.18819288899667</v>
      </c>
      <c r="AD280" s="72">
        <f t="shared" si="93"/>
        <v>118.18819288899667</v>
      </c>
      <c r="AE280" s="73">
        <f t="shared" si="100"/>
        <v>907.92027688745009</v>
      </c>
      <c r="AF280" s="73">
        <f>SUM(AE$2:AE280)</f>
        <v>230282.52409803052</v>
      </c>
      <c r="AG280" s="73">
        <f t="shared" si="101"/>
        <v>943447.37832907867</v>
      </c>
    </row>
    <row r="281" spans="1:33" x14ac:dyDescent="0.25">
      <c r="A281" s="99">
        <v>121399.92</v>
      </c>
      <c r="B281" s="96">
        <v>672.14760000000001</v>
      </c>
      <c r="C281" s="96">
        <v>0.6</v>
      </c>
      <c r="D281" s="80">
        <f t="shared" si="85"/>
        <v>100</v>
      </c>
      <c r="E281" s="81">
        <f t="shared" si="94"/>
        <v>6616.6076625842816</v>
      </c>
      <c r="F281" s="81">
        <f>SUM(E$2:E281)</f>
        <v>1727548.1746593514</v>
      </c>
      <c r="G281" s="43">
        <f t="shared" si="91"/>
        <v>1</v>
      </c>
      <c r="H281" s="78">
        <v>1</v>
      </c>
      <c r="I281" s="15">
        <f t="shared" si="95"/>
        <v>0.6</v>
      </c>
      <c r="J281" s="16">
        <f>VLOOKUP(G281,Inputs!$L$3:$P$15,5,FALSE)</f>
        <v>2000</v>
      </c>
      <c r="K281" s="16">
        <f t="shared" si="96"/>
        <v>1825</v>
      </c>
      <c r="L281" s="79">
        <f>Inputs!$P$8-B281</f>
        <v>266.04340000000002</v>
      </c>
      <c r="M281" s="79">
        <f>Inputs!$Q$8+L281*0.433</f>
        <v>1940.1967921999999</v>
      </c>
      <c r="N281" s="82">
        <f t="shared" si="97"/>
        <v>121399.92</v>
      </c>
      <c r="O281" s="83">
        <f t="shared" si="98"/>
        <v>672.14760000000001</v>
      </c>
      <c r="P281" s="84">
        <f>IF(O281="","",Inputs!$C$5-O281)</f>
        <v>153.03689999999995</v>
      </c>
      <c r="Q281" s="83">
        <f>IF(N281="","",TS!J281)</f>
        <v>2000</v>
      </c>
      <c r="R281" s="83">
        <f>IF(N281="","",TS!K281)</f>
        <v>1825</v>
      </c>
      <c r="S281" s="83">
        <f>Inputs!$H$5+TS!P281*0.4333</f>
        <v>1941.27660522</v>
      </c>
      <c r="T281" s="83">
        <f>Inputs!$G$5+TS!P281*0.4333</f>
        <v>1956.27660522</v>
      </c>
      <c r="U281" s="85">
        <f t="shared" si="99"/>
        <v>0.97813830261000001</v>
      </c>
      <c r="V281" s="86">
        <f t="shared" si="86"/>
        <v>0</v>
      </c>
      <c r="W281" s="86">
        <f t="shared" si="87"/>
        <v>0</v>
      </c>
      <c r="X281" s="86" t="e">
        <f>((PI()*((42-2*'Gen Calcs'!$E$13)^2)/4)/144)*(A324-#REF!)*(W281+14.7)/14.7</f>
        <v>#REF!</v>
      </c>
      <c r="Y281" s="86" t="e">
        <f t="shared" si="88"/>
        <v>#REF!</v>
      </c>
      <c r="Z281" s="86" t="e">
        <f t="shared" si="89"/>
        <v>#REF!</v>
      </c>
      <c r="AA281" s="83">
        <f>MAX(B$2:B281)-B281</f>
        <v>153.03689999999995</v>
      </c>
      <c r="AB281" s="83">
        <f t="shared" si="90"/>
        <v>66.264977699999974</v>
      </c>
      <c r="AC281" s="83">
        <f t="shared" si="92"/>
        <v>118.30204006631736</v>
      </c>
      <c r="AD281" s="72">
        <f t="shared" si="93"/>
        <v>118.30204006631736</v>
      </c>
      <c r="AE281" s="73">
        <f t="shared" si="100"/>
        <v>907.92027688745009</v>
      </c>
      <c r="AF281" s="73">
        <f>SUM(AE$2:AE281)</f>
        <v>231190.44437491798</v>
      </c>
      <c r="AG281" s="73">
        <f t="shared" si="101"/>
        <v>942539.45805219118</v>
      </c>
    </row>
    <row r="282" spans="1:33" x14ac:dyDescent="0.25">
      <c r="A282" s="100">
        <v>121499.92</v>
      </c>
      <c r="B282" s="97">
        <v>689.24130000000002</v>
      </c>
      <c r="C282" s="97">
        <v>0.6</v>
      </c>
      <c r="D282" s="80">
        <f t="shared" si="85"/>
        <v>100</v>
      </c>
      <c r="E282" s="81">
        <f t="shared" si="94"/>
        <v>6791.2436711181272</v>
      </c>
      <c r="F282" s="81">
        <f>SUM(E$2:E282)</f>
        <v>1734339.4183304694</v>
      </c>
      <c r="G282" s="43">
        <f t="shared" si="91"/>
        <v>1</v>
      </c>
      <c r="H282" s="78">
        <v>1</v>
      </c>
      <c r="I282" s="15">
        <f t="shared" si="95"/>
        <v>0.6</v>
      </c>
      <c r="J282" s="16">
        <f>VLOOKUP(G282,Inputs!$L$3:$P$15,5,FALSE)</f>
        <v>2000</v>
      </c>
      <c r="K282" s="16">
        <f t="shared" si="96"/>
        <v>1825</v>
      </c>
      <c r="L282" s="79">
        <f>Inputs!$P$8-B282</f>
        <v>248.94970000000001</v>
      </c>
      <c r="M282" s="79">
        <f>Inputs!$Q$8+L282*0.433</f>
        <v>1932.7952201000001</v>
      </c>
      <c r="N282" s="82">
        <f t="shared" si="97"/>
        <v>121499.92</v>
      </c>
      <c r="O282" s="83">
        <f t="shared" si="98"/>
        <v>689.24130000000002</v>
      </c>
      <c r="P282" s="84">
        <f>IF(O282="","",Inputs!$C$5-O282)</f>
        <v>135.94319999999993</v>
      </c>
      <c r="Q282" s="83">
        <f>IF(N282="","",TS!J282)</f>
        <v>2000</v>
      </c>
      <c r="R282" s="83">
        <f>IF(N282="","",TS!K282)</f>
        <v>1825</v>
      </c>
      <c r="S282" s="83">
        <f>Inputs!$H$5+TS!P282*0.4333</f>
        <v>1933.8699050099999</v>
      </c>
      <c r="T282" s="83">
        <f>Inputs!$G$5+TS!P282*0.4333</f>
        <v>1948.8699050099999</v>
      </c>
      <c r="U282" s="85">
        <f t="shared" si="99"/>
        <v>0.97443495250500001</v>
      </c>
      <c r="V282" s="86">
        <f t="shared" si="86"/>
        <v>0</v>
      </c>
      <c r="W282" s="86">
        <f t="shared" si="87"/>
        <v>0</v>
      </c>
      <c r="X282" s="86" t="e">
        <f>((PI()*((42-2*'Gen Calcs'!$E$13)^2)/4)/144)*(A325-#REF!)*(W282+14.7)/14.7</f>
        <v>#REF!</v>
      </c>
      <c r="Y282" s="86" t="e">
        <f t="shared" si="88"/>
        <v>#REF!</v>
      </c>
      <c r="Z282" s="86" t="e">
        <f t="shared" si="89"/>
        <v>#REF!</v>
      </c>
      <c r="AA282" s="83">
        <f>MAX(B$2:B282)-B282</f>
        <v>135.94319999999993</v>
      </c>
      <c r="AB282" s="83">
        <f t="shared" si="90"/>
        <v>58.863405599999972</v>
      </c>
      <c r="AC282" s="83">
        <f t="shared" si="92"/>
        <v>118.4161067863288</v>
      </c>
      <c r="AD282" s="72">
        <f t="shared" si="93"/>
        <v>118.4161067863288</v>
      </c>
      <c r="AE282" s="73">
        <f t="shared" si="100"/>
        <v>907.92027688745009</v>
      </c>
      <c r="AF282" s="73">
        <f>SUM(AE$2:AE282)</f>
        <v>232098.36465180543</v>
      </c>
      <c r="AG282" s="73">
        <f t="shared" si="101"/>
        <v>941631.5377753037</v>
      </c>
    </row>
    <row r="283" spans="1:33" x14ac:dyDescent="0.25">
      <c r="A283" s="99">
        <v>121599.92</v>
      </c>
      <c r="B283" s="96">
        <v>699.31039999999996</v>
      </c>
      <c r="C283" s="96">
        <v>0.6</v>
      </c>
      <c r="D283" s="80">
        <f t="shared" si="85"/>
        <v>100</v>
      </c>
      <c r="E283" s="81">
        <f t="shared" si="94"/>
        <v>6791.2436711181272</v>
      </c>
      <c r="F283" s="81">
        <f>SUM(E$2:E283)</f>
        <v>1741130.6620015875</v>
      </c>
      <c r="G283" s="43">
        <f t="shared" si="91"/>
        <v>1</v>
      </c>
      <c r="H283" s="78">
        <v>1</v>
      </c>
      <c r="I283" s="15">
        <f t="shared" si="95"/>
        <v>0.6</v>
      </c>
      <c r="J283" s="16">
        <f>VLOOKUP(G283,Inputs!$L$3:$P$15,5,FALSE)</f>
        <v>2000</v>
      </c>
      <c r="K283" s="16">
        <f t="shared" si="96"/>
        <v>1825</v>
      </c>
      <c r="L283" s="79">
        <f>Inputs!$P$8-B283</f>
        <v>238.88060000000007</v>
      </c>
      <c r="M283" s="79">
        <f>Inputs!$Q$8+L283*0.433</f>
        <v>1928.4352997999999</v>
      </c>
      <c r="N283" s="82">
        <f t="shared" si="97"/>
        <v>121599.92</v>
      </c>
      <c r="O283" s="83">
        <f t="shared" si="98"/>
        <v>699.31039999999996</v>
      </c>
      <c r="P283" s="84">
        <f>IF(O283="","",Inputs!$C$5-O283)</f>
        <v>125.8741</v>
      </c>
      <c r="Q283" s="83">
        <f>IF(N283="","",TS!J283)</f>
        <v>2000</v>
      </c>
      <c r="R283" s="83">
        <f>IF(N283="","",TS!K283)</f>
        <v>1825</v>
      </c>
      <c r="S283" s="83">
        <f>Inputs!$H$5+TS!P283*0.4333</f>
        <v>1929.5069639799999</v>
      </c>
      <c r="T283" s="83">
        <f>Inputs!$G$5+TS!P283*0.4333</f>
        <v>1944.5069639799999</v>
      </c>
      <c r="U283" s="85">
        <f t="shared" si="99"/>
        <v>0.97225348198999995</v>
      </c>
      <c r="V283" s="86">
        <f t="shared" si="86"/>
        <v>0</v>
      </c>
      <c r="W283" s="86">
        <f t="shared" si="87"/>
        <v>0</v>
      </c>
      <c r="X283" s="86" t="e">
        <f>((PI()*((42-2*'Gen Calcs'!$E$13)^2)/4)/144)*(A326-#REF!)*(W283+14.7)/14.7</f>
        <v>#REF!</v>
      </c>
      <c r="Y283" s="86" t="e">
        <f t="shared" si="88"/>
        <v>#REF!</v>
      </c>
      <c r="Z283" s="86" t="e">
        <f t="shared" si="89"/>
        <v>#REF!</v>
      </c>
      <c r="AA283" s="83">
        <f>MAX(B$2:B283)-B283</f>
        <v>125.8741</v>
      </c>
      <c r="AB283" s="83">
        <f t="shared" si="90"/>
        <v>54.503485300000001</v>
      </c>
      <c r="AC283" s="83">
        <f t="shared" si="92"/>
        <v>118.5303936846925</v>
      </c>
      <c r="AD283" s="72">
        <f t="shared" si="93"/>
        <v>118.5303936846925</v>
      </c>
      <c r="AE283" s="73">
        <f t="shared" si="100"/>
        <v>907.92027688745009</v>
      </c>
      <c r="AF283" s="73">
        <f>SUM(AE$2:AE283)</f>
        <v>233006.28492869288</v>
      </c>
      <c r="AG283" s="73">
        <f t="shared" si="101"/>
        <v>940723.61749841634</v>
      </c>
    </row>
    <row r="284" spans="1:33" x14ac:dyDescent="0.25">
      <c r="A284" s="100">
        <v>121699.92</v>
      </c>
      <c r="B284" s="97">
        <v>706.37829999999997</v>
      </c>
      <c r="C284" s="97">
        <v>0.6</v>
      </c>
      <c r="D284" s="80">
        <f t="shared" si="85"/>
        <v>100</v>
      </c>
      <c r="E284" s="81">
        <f t="shared" si="94"/>
        <v>6791.2436711181272</v>
      </c>
      <c r="F284" s="81">
        <f>SUM(E$2:E284)</f>
        <v>1747921.9056727055</v>
      </c>
      <c r="G284" s="43">
        <f t="shared" si="91"/>
        <v>1</v>
      </c>
      <c r="H284" s="78">
        <v>1</v>
      </c>
      <c r="I284" s="15">
        <f t="shared" si="95"/>
        <v>0.6</v>
      </c>
      <c r="J284" s="16">
        <f>VLOOKUP(G284,Inputs!$L$3:$P$15,5,FALSE)</f>
        <v>2000</v>
      </c>
      <c r="K284" s="16">
        <f t="shared" si="96"/>
        <v>1825</v>
      </c>
      <c r="L284" s="79">
        <f>Inputs!$P$8-B284</f>
        <v>231.81270000000006</v>
      </c>
      <c r="M284" s="79">
        <f>Inputs!$Q$8+L284*0.433</f>
        <v>1925.3748991</v>
      </c>
      <c r="N284" s="82">
        <f t="shared" si="97"/>
        <v>121699.92</v>
      </c>
      <c r="O284" s="83">
        <f t="shared" si="98"/>
        <v>706.37829999999997</v>
      </c>
      <c r="P284" s="84">
        <f>IF(O284="","",Inputs!$C$5-O284)</f>
        <v>118.80619999999999</v>
      </c>
      <c r="Q284" s="83">
        <f>IF(N284="","",TS!J284)</f>
        <v>2000</v>
      </c>
      <c r="R284" s="83">
        <f>IF(N284="","",TS!K284)</f>
        <v>1825</v>
      </c>
      <c r="S284" s="83">
        <f>Inputs!$H$5+TS!P284*0.4333</f>
        <v>1926.4444429099999</v>
      </c>
      <c r="T284" s="83">
        <f>Inputs!$G$5+TS!P284*0.4333</f>
        <v>1941.4444429099999</v>
      </c>
      <c r="U284" s="85">
        <f t="shared" si="99"/>
        <v>0.97072222145499998</v>
      </c>
      <c r="V284" s="86">
        <f t="shared" si="86"/>
        <v>0</v>
      </c>
      <c r="W284" s="86">
        <f t="shared" si="87"/>
        <v>0</v>
      </c>
      <c r="X284" s="86" t="e">
        <f>((PI()*((42-2*'Gen Calcs'!$E$13)^2)/4)/144)*(A327-#REF!)*(W284+14.7)/14.7</f>
        <v>#REF!</v>
      </c>
      <c r="Y284" s="86" t="e">
        <f t="shared" si="88"/>
        <v>#REF!</v>
      </c>
      <c r="Z284" s="86" t="e">
        <f t="shared" si="89"/>
        <v>#REF!</v>
      </c>
      <c r="AA284" s="83">
        <f>MAX(B$2:B284)-B284</f>
        <v>118.80619999999999</v>
      </c>
      <c r="AB284" s="83">
        <f t="shared" si="90"/>
        <v>51.443084599999992</v>
      </c>
      <c r="AC284" s="83">
        <f t="shared" si="92"/>
        <v>118.64490139952632</v>
      </c>
      <c r="AD284" s="72">
        <f t="shared" si="93"/>
        <v>118.64490139952632</v>
      </c>
      <c r="AE284" s="73">
        <f t="shared" si="100"/>
        <v>907.92027688745009</v>
      </c>
      <c r="AF284" s="73">
        <f>SUM(AE$2:AE284)</f>
        <v>233914.20520558034</v>
      </c>
      <c r="AG284" s="73">
        <f t="shared" si="101"/>
        <v>939815.69722152886</v>
      </c>
    </row>
    <row r="285" spans="1:33" x14ac:dyDescent="0.25">
      <c r="A285" s="99">
        <v>121799.92</v>
      </c>
      <c r="B285" s="96">
        <v>714.72199999999998</v>
      </c>
      <c r="C285" s="96">
        <v>0.6</v>
      </c>
      <c r="D285" s="80">
        <f t="shared" si="85"/>
        <v>100</v>
      </c>
      <c r="E285" s="81">
        <f t="shared" si="94"/>
        <v>6791.2436711181272</v>
      </c>
      <c r="F285" s="81">
        <f>SUM(E$2:E285)</f>
        <v>1754713.1493438235</v>
      </c>
      <c r="G285" s="43">
        <f t="shared" si="91"/>
        <v>1</v>
      </c>
      <c r="H285" s="78">
        <v>1</v>
      </c>
      <c r="I285" s="15">
        <f t="shared" si="95"/>
        <v>0.6</v>
      </c>
      <c r="J285" s="16">
        <f>VLOOKUP(G285,Inputs!$L$3:$P$15,5,FALSE)</f>
        <v>2000</v>
      </c>
      <c r="K285" s="16">
        <f t="shared" si="96"/>
        <v>1825</v>
      </c>
      <c r="L285" s="79">
        <f>Inputs!$P$8-B285</f>
        <v>223.46900000000005</v>
      </c>
      <c r="M285" s="79">
        <f>Inputs!$Q$8+L285*0.433</f>
        <v>1921.7620770000001</v>
      </c>
      <c r="N285" s="82">
        <f t="shared" si="97"/>
        <v>121799.92</v>
      </c>
      <c r="O285" s="83">
        <f t="shared" si="98"/>
        <v>714.72199999999998</v>
      </c>
      <c r="P285" s="84">
        <f>IF(O285="","",Inputs!$C$5-O285)</f>
        <v>110.46249999999998</v>
      </c>
      <c r="Q285" s="83">
        <f>IF(N285="","",TS!J285)</f>
        <v>2000</v>
      </c>
      <c r="R285" s="83">
        <f>IF(N285="","",TS!K285)</f>
        <v>1825</v>
      </c>
      <c r="S285" s="83">
        <f>Inputs!$H$5+TS!P285*0.4333</f>
        <v>1922.8291176999999</v>
      </c>
      <c r="T285" s="83">
        <f>Inputs!$G$5+TS!P285*0.4333</f>
        <v>1937.8291176999999</v>
      </c>
      <c r="U285" s="85">
        <f t="shared" si="99"/>
        <v>0.96891455884999989</v>
      </c>
      <c r="V285" s="86">
        <f t="shared" si="86"/>
        <v>0</v>
      </c>
      <c r="W285" s="86">
        <f t="shared" si="87"/>
        <v>0</v>
      </c>
      <c r="X285" s="86" t="e">
        <f>((PI()*((42-2*'Gen Calcs'!$E$13)^2)/4)/144)*(A328-#REF!)*(W285+14.7)/14.7</f>
        <v>#REF!</v>
      </c>
      <c r="Y285" s="86" t="e">
        <f t="shared" si="88"/>
        <v>#REF!</v>
      </c>
      <c r="Z285" s="86" t="e">
        <f t="shared" si="89"/>
        <v>#REF!</v>
      </c>
      <c r="AA285" s="83">
        <f>MAX(B$2:B285)-B285</f>
        <v>110.46249999999998</v>
      </c>
      <c r="AB285" s="83">
        <f t="shared" si="90"/>
        <v>47.830262499999989</v>
      </c>
      <c r="AC285" s="83">
        <f t="shared" si="92"/>
        <v>118.75963057141632</v>
      </c>
      <c r="AD285" s="72">
        <f t="shared" si="93"/>
        <v>118.75963057141632</v>
      </c>
      <c r="AE285" s="73">
        <f t="shared" si="100"/>
        <v>907.92027688745009</v>
      </c>
      <c r="AF285" s="73">
        <f>SUM(AE$2:AE285)</f>
        <v>234822.12548246779</v>
      </c>
      <c r="AG285" s="73">
        <f t="shared" si="101"/>
        <v>938907.77694464137</v>
      </c>
    </row>
    <row r="286" spans="1:33" x14ac:dyDescent="0.25">
      <c r="A286" s="100">
        <v>121899.92</v>
      </c>
      <c r="B286" s="97">
        <v>717.7876</v>
      </c>
      <c r="C286" s="97">
        <v>0.6</v>
      </c>
      <c r="D286" s="80">
        <f t="shared" si="85"/>
        <v>100</v>
      </c>
      <c r="E286" s="81">
        <f t="shared" si="94"/>
        <v>6791.2436711181272</v>
      </c>
      <c r="F286" s="81">
        <f>SUM(E$2:E286)</f>
        <v>1761504.3930149416</v>
      </c>
      <c r="G286" s="43">
        <f t="shared" si="91"/>
        <v>1</v>
      </c>
      <c r="H286" s="78">
        <v>1</v>
      </c>
      <c r="I286" s="15">
        <f t="shared" si="95"/>
        <v>0.6</v>
      </c>
      <c r="J286" s="16">
        <f>VLOOKUP(G286,Inputs!$L$3:$P$15,5,FALSE)</f>
        <v>2000</v>
      </c>
      <c r="K286" s="16">
        <f t="shared" si="96"/>
        <v>1825</v>
      </c>
      <c r="L286" s="79">
        <f>Inputs!$P$8-B286</f>
        <v>220.40340000000003</v>
      </c>
      <c r="M286" s="79">
        <f>Inputs!$Q$8+L286*0.433</f>
        <v>1920.4346722</v>
      </c>
      <c r="N286" s="82">
        <f t="shared" si="97"/>
        <v>121899.92</v>
      </c>
      <c r="O286" s="83">
        <f t="shared" si="98"/>
        <v>717.7876</v>
      </c>
      <c r="P286" s="84">
        <f>IF(O286="","",Inputs!$C$5-O286)</f>
        <v>107.39689999999996</v>
      </c>
      <c r="Q286" s="83">
        <f>IF(N286="","",TS!J286)</f>
        <v>2000</v>
      </c>
      <c r="R286" s="83">
        <f>IF(N286="","",TS!K286)</f>
        <v>1825</v>
      </c>
      <c r="S286" s="83">
        <f>Inputs!$H$5+TS!P286*0.4333</f>
        <v>1921.5007932199999</v>
      </c>
      <c r="T286" s="83">
        <f>Inputs!$G$5+TS!P286*0.4333</f>
        <v>1936.5007932199999</v>
      </c>
      <c r="U286" s="85">
        <f t="shared" si="99"/>
        <v>0.9682503966099999</v>
      </c>
      <c r="V286" s="86">
        <f t="shared" si="86"/>
        <v>0</v>
      </c>
      <c r="W286" s="86">
        <f t="shared" si="87"/>
        <v>0</v>
      </c>
      <c r="X286" s="86" t="e">
        <f>((PI()*((42-2*'Gen Calcs'!$E$13)^2)/4)/144)*(A329-#REF!)*(W286+14.7)/14.7</f>
        <v>#REF!</v>
      </c>
      <c r="Y286" s="86" t="e">
        <f t="shared" si="88"/>
        <v>#REF!</v>
      </c>
      <c r="Z286" s="86" t="e">
        <f t="shared" si="89"/>
        <v>#REF!</v>
      </c>
      <c r="AA286" s="83">
        <f>MAX(B$2:B286)-B286</f>
        <v>107.39689999999996</v>
      </c>
      <c r="AB286" s="83">
        <f t="shared" si="90"/>
        <v>46.502857699999979</v>
      </c>
      <c r="AC286" s="83">
        <f t="shared" si="92"/>
        <v>118.87458184342876</v>
      </c>
      <c r="AD286" s="72">
        <f t="shared" si="93"/>
        <v>118.87458184342876</v>
      </c>
      <c r="AE286" s="73">
        <f t="shared" si="100"/>
        <v>907.92027688745009</v>
      </c>
      <c r="AF286" s="73">
        <f>SUM(AE$2:AE286)</f>
        <v>235730.04575935524</v>
      </c>
      <c r="AG286" s="73">
        <f t="shared" si="101"/>
        <v>937999.85666775401</v>
      </c>
    </row>
    <row r="287" spans="1:33" x14ac:dyDescent="0.25">
      <c r="A287" s="99">
        <v>121999.92</v>
      </c>
      <c r="B287" s="96">
        <v>721.5367</v>
      </c>
      <c r="C287" s="96">
        <v>0.6</v>
      </c>
      <c r="D287" s="80">
        <f t="shared" si="85"/>
        <v>100</v>
      </c>
      <c r="E287" s="81">
        <f t="shared" si="94"/>
        <v>6791.2436711181272</v>
      </c>
      <c r="F287" s="81">
        <f>SUM(E$2:E287)</f>
        <v>1768295.6366860596</v>
      </c>
      <c r="G287" s="43">
        <f t="shared" si="91"/>
        <v>1</v>
      </c>
      <c r="H287" s="78">
        <v>1</v>
      </c>
      <c r="I287" s="15">
        <f t="shared" si="95"/>
        <v>0.6</v>
      </c>
      <c r="J287" s="16">
        <f>VLOOKUP(G287,Inputs!$L$3:$P$15,5,FALSE)</f>
        <v>2000</v>
      </c>
      <c r="K287" s="16">
        <f t="shared" si="96"/>
        <v>1825</v>
      </c>
      <c r="L287" s="79">
        <f>Inputs!$P$8-B287</f>
        <v>216.65430000000003</v>
      </c>
      <c r="M287" s="79">
        <f>Inputs!$Q$8+L287*0.433</f>
        <v>1918.8113119</v>
      </c>
      <c r="N287" s="82">
        <f t="shared" si="97"/>
        <v>121999.92</v>
      </c>
      <c r="O287" s="83">
        <f t="shared" si="98"/>
        <v>721.5367</v>
      </c>
      <c r="P287" s="84">
        <f>IF(O287="","",Inputs!$C$5-O287)</f>
        <v>103.64779999999996</v>
      </c>
      <c r="Q287" s="83">
        <f>IF(N287="","",TS!J287)</f>
        <v>2000</v>
      </c>
      <c r="R287" s="83">
        <f>IF(N287="","",TS!K287)</f>
        <v>1825</v>
      </c>
      <c r="S287" s="83">
        <f>Inputs!$H$5+TS!P287*0.4333</f>
        <v>1919.8763081899999</v>
      </c>
      <c r="T287" s="83">
        <f>Inputs!$G$5+TS!P287*0.4333</f>
        <v>1934.8763081899999</v>
      </c>
      <c r="U287" s="85">
        <f t="shared" si="99"/>
        <v>0.967438154095</v>
      </c>
      <c r="V287" s="86">
        <f t="shared" si="86"/>
        <v>0</v>
      </c>
      <c r="W287" s="86">
        <f t="shared" si="87"/>
        <v>0</v>
      </c>
      <c r="X287" s="86" t="e">
        <f>((PI()*((42-2*'Gen Calcs'!$E$13)^2)/4)/144)*(A330-#REF!)*(W287+14.7)/14.7</f>
        <v>#REF!</v>
      </c>
      <c r="Y287" s="86" t="e">
        <f t="shared" si="88"/>
        <v>#REF!</v>
      </c>
      <c r="Z287" s="86" t="e">
        <f t="shared" si="89"/>
        <v>#REF!</v>
      </c>
      <c r="AA287" s="83">
        <f>MAX(B$2:B287)-B287</f>
        <v>103.64779999999996</v>
      </c>
      <c r="AB287" s="83">
        <f t="shared" si="90"/>
        <v>44.879497399999984</v>
      </c>
      <c r="AC287" s="83">
        <f t="shared" si="92"/>
        <v>118.98975586112211</v>
      </c>
      <c r="AD287" s="72">
        <f t="shared" si="93"/>
        <v>118.98975586112211</v>
      </c>
      <c r="AE287" s="73">
        <f t="shared" si="100"/>
        <v>907.92027688745009</v>
      </c>
      <c r="AF287" s="73">
        <f>SUM(AE$2:AE287)</f>
        <v>236637.96603624269</v>
      </c>
      <c r="AG287" s="73">
        <f t="shared" si="101"/>
        <v>937091.93639086653</v>
      </c>
    </row>
    <row r="288" spans="1:33" x14ac:dyDescent="0.25">
      <c r="A288" s="100">
        <v>122099.92</v>
      </c>
      <c r="B288" s="97">
        <v>723.86500000000001</v>
      </c>
      <c r="C288" s="97">
        <v>0.6</v>
      </c>
      <c r="D288" s="80">
        <f t="shared" si="85"/>
        <v>100</v>
      </c>
      <c r="E288" s="81">
        <f t="shared" si="94"/>
        <v>6791.2436711181272</v>
      </c>
      <c r="F288" s="81">
        <f>SUM(E$2:E288)</f>
        <v>1775086.8803571777</v>
      </c>
      <c r="G288" s="43">
        <f t="shared" si="91"/>
        <v>1</v>
      </c>
      <c r="H288" s="78">
        <v>1</v>
      </c>
      <c r="I288" s="15">
        <f t="shared" si="95"/>
        <v>0.6</v>
      </c>
      <c r="J288" s="16">
        <f>VLOOKUP(G288,Inputs!$L$3:$P$15,5,FALSE)</f>
        <v>2000</v>
      </c>
      <c r="K288" s="16">
        <f t="shared" si="96"/>
        <v>1825</v>
      </c>
      <c r="L288" s="79">
        <f>Inputs!$P$8-B288</f>
        <v>214.32600000000002</v>
      </c>
      <c r="M288" s="79">
        <f>Inputs!$Q$8+L288*0.433</f>
        <v>1917.8031579999999</v>
      </c>
      <c r="N288" s="82">
        <f t="shared" si="97"/>
        <v>122099.92</v>
      </c>
      <c r="O288" s="83">
        <f t="shared" si="98"/>
        <v>723.86500000000001</v>
      </c>
      <c r="P288" s="84">
        <f>IF(O288="","",Inputs!$C$5-O288)</f>
        <v>101.31949999999995</v>
      </c>
      <c r="Q288" s="83">
        <f>IF(N288="","",TS!J288)</f>
        <v>2000</v>
      </c>
      <c r="R288" s="83">
        <f>IF(N288="","",TS!K288)</f>
        <v>1825</v>
      </c>
      <c r="S288" s="83">
        <f>Inputs!$H$5+TS!P288*0.4333</f>
        <v>1918.8674558</v>
      </c>
      <c r="T288" s="83">
        <f>Inputs!$G$5+TS!P288*0.4333</f>
        <v>1933.8674558</v>
      </c>
      <c r="U288" s="85">
        <f t="shared" si="99"/>
        <v>0.96693372789999998</v>
      </c>
      <c r="V288" s="86">
        <f t="shared" si="86"/>
        <v>0</v>
      </c>
      <c r="W288" s="86">
        <f t="shared" si="87"/>
        <v>0</v>
      </c>
      <c r="X288" s="86" t="e">
        <f>((PI()*((42-2*'Gen Calcs'!$E$13)^2)/4)/144)*(A331-#REF!)*(W288+14.7)/14.7</f>
        <v>#REF!</v>
      </c>
      <c r="Y288" s="86" t="e">
        <f t="shared" si="88"/>
        <v>#REF!</v>
      </c>
      <c r="Z288" s="86" t="e">
        <f t="shared" si="89"/>
        <v>#REF!</v>
      </c>
      <c r="AA288" s="83">
        <f>MAX(B$2:B288)-B288</f>
        <v>101.31949999999995</v>
      </c>
      <c r="AB288" s="83">
        <f t="shared" si="90"/>
        <v>43.871343499999981</v>
      </c>
      <c r="AC288" s="83">
        <f t="shared" si="92"/>
        <v>119.10515327255905</v>
      </c>
      <c r="AD288" s="72">
        <f t="shared" si="93"/>
        <v>119.10515327255905</v>
      </c>
      <c r="AE288" s="73">
        <f t="shared" si="100"/>
        <v>907.92027688745009</v>
      </c>
      <c r="AF288" s="73">
        <f>SUM(AE$2:AE288)</f>
        <v>237545.88631313015</v>
      </c>
      <c r="AG288" s="73">
        <f t="shared" si="101"/>
        <v>936184.01611397904</v>
      </c>
    </row>
    <row r="289" spans="1:33" x14ac:dyDescent="0.25">
      <c r="A289" s="99">
        <v>122199.92</v>
      </c>
      <c r="B289" s="96">
        <v>722.47069999999997</v>
      </c>
      <c r="C289" s="96">
        <v>0.6</v>
      </c>
      <c r="D289" s="80">
        <f t="shared" si="85"/>
        <v>100</v>
      </c>
      <c r="E289" s="81">
        <f t="shared" si="94"/>
        <v>6791.2436711181272</v>
      </c>
      <c r="F289" s="81">
        <f>SUM(E$2:E289)</f>
        <v>1781878.1240282957</v>
      </c>
      <c r="G289" s="43">
        <f t="shared" si="91"/>
        <v>1</v>
      </c>
      <c r="H289" s="78">
        <v>1</v>
      </c>
      <c r="I289" s="15">
        <f t="shared" si="95"/>
        <v>0.6</v>
      </c>
      <c r="J289" s="16">
        <f>VLOOKUP(G289,Inputs!$L$3:$P$15,5,FALSE)</f>
        <v>2000</v>
      </c>
      <c r="K289" s="16">
        <f t="shared" si="96"/>
        <v>1825</v>
      </c>
      <c r="L289" s="79">
        <f>Inputs!$P$8-B289</f>
        <v>215.72030000000007</v>
      </c>
      <c r="M289" s="79">
        <f>Inputs!$Q$8+L289*0.433</f>
        <v>1918.4068899000001</v>
      </c>
      <c r="N289" s="82">
        <f t="shared" si="97"/>
        <v>122199.92</v>
      </c>
      <c r="O289" s="83">
        <f t="shared" si="98"/>
        <v>722.47069999999997</v>
      </c>
      <c r="P289" s="84">
        <f>IF(O289="","",Inputs!$C$5-O289)</f>
        <v>102.71379999999999</v>
      </c>
      <c r="Q289" s="83">
        <f>IF(N289="","",TS!J289)</f>
        <v>2000</v>
      </c>
      <c r="R289" s="83">
        <f>IF(N289="","",TS!K289)</f>
        <v>1825</v>
      </c>
      <c r="S289" s="83">
        <f>Inputs!$H$5+TS!P289*0.4333</f>
        <v>1919.4716059899999</v>
      </c>
      <c r="T289" s="83">
        <f>Inputs!$G$5+TS!P289*0.4333</f>
        <v>1934.4716059899999</v>
      </c>
      <c r="U289" s="85">
        <f t="shared" si="99"/>
        <v>0.967235802995</v>
      </c>
      <c r="V289" s="86">
        <f t="shared" si="86"/>
        <v>0</v>
      </c>
      <c r="W289" s="86">
        <f t="shared" si="87"/>
        <v>0</v>
      </c>
      <c r="X289" s="86" t="e">
        <f>((PI()*((42-2*'Gen Calcs'!$E$13)^2)/4)/144)*(A332-#REF!)*(W289+14.7)/14.7</f>
        <v>#REF!</v>
      </c>
      <c r="Y289" s="86" t="e">
        <f t="shared" si="88"/>
        <v>#REF!</v>
      </c>
      <c r="Z289" s="86" t="e">
        <f t="shared" si="89"/>
        <v>#REF!</v>
      </c>
      <c r="AA289" s="83">
        <f>MAX(B$2:B289)-B289</f>
        <v>102.71379999999999</v>
      </c>
      <c r="AB289" s="83">
        <f t="shared" si="90"/>
        <v>44.475075399999994</v>
      </c>
      <c r="AC289" s="83">
        <f t="shared" si="92"/>
        <v>119.22077472831877</v>
      </c>
      <c r="AD289" s="72">
        <f t="shared" si="93"/>
        <v>119.22077472831877</v>
      </c>
      <c r="AE289" s="73">
        <f t="shared" si="100"/>
        <v>907.92027688745009</v>
      </c>
      <c r="AF289" s="73">
        <f>SUM(AE$2:AE289)</f>
        <v>238453.8065900176</v>
      </c>
      <c r="AG289" s="73">
        <f t="shared" si="101"/>
        <v>935276.09583709156</v>
      </c>
    </row>
    <row r="290" spans="1:33" x14ac:dyDescent="0.25">
      <c r="A290" s="100">
        <v>122299.92</v>
      </c>
      <c r="B290" s="97">
        <v>720.23159999999996</v>
      </c>
      <c r="C290" s="97">
        <v>0.6</v>
      </c>
      <c r="D290" s="80">
        <f t="shared" si="85"/>
        <v>100</v>
      </c>
      <c r="E290" s="81">
        <f t="shared" si="94"/>
        <v>6791.2436711181272</v>
      </c>
      <c r="F290" s="81">
        <f>SUM(E$2:E290)</f>
        <v>1788669.3676994138</v>
      </c>
      <c r="G290" s="43">
        <f t="shared" si="91"/>
        <v>1</v>
      </c>
      <c r="H290" s="78">
        <v>1</v>
      </c>
      <c r="I290" s="15">
        <f t="shared" si="95"/>
        <v>0.6</v>
      </c>
      <c r="J290" s="16">
        <f>VLOOKUP(G290,Inputs!$L$3:$P$15,5,FALSE)</f>
        <v>2000</v>
      </c>
      <c r="K290" s="16">
        <f t="shared" si="96"/>
        <v>1825</v>
      </c>
      <c r="L290" s="79">
        <f>Inputs!$P$8-B290</f>
        <v>217.95940000000007</v>
      </c>
      <c r="M290" s="79">
        <f>Inputs!$Q$8+L290*0.433</f>
        <v>1919.3764202</v>
      </c>
      <c r="N290" s="82">
        <f t="shared" si="97"/>
        <v>122299.92</v>
      </c>
      <c r="O290" s="83">
        <f t="shared" si="98"/>
        <v>720.23159999999996</v>
      </c>
      <c r="P290" s="84">
        <f>IF(O290="","",Inputs!$C$5-O290)</f>
        <v>104.9529</v>
      </c>
      <c r="Q290" s="83">
        <f>IF(N290="","",TS!J290)</f>
        <v>2000</v>
      </c>
      <c r="R290" s="83">
        <f>IF(N290="","",TS!K290)</f>
        <v>1825</v>
      </c>
      <c r="S290" s="83">
        <f>Inputs!$H$5+TS!P290*0.4333</f>
        <v>1920.4418080200001</v>
      </c>
      <c r="T290" s="83">
        <f>Inputs!$G$5+TS!P290*0.4333</f>
        <v>1935.4418080200001</v>
      </c>
      <c r="U290" s="85">
        <f t="shared" si="99"/>
        <v>0.96772090400999999</v>
      </c>
      <c r="V290" s="86">
        <f t="shared" si="86"/>
        <v>0</v>
      </c>
      <c r="W290" s="86">
        <f t="shared" si="87"/>
        <v>0</v>
      </c>
      <c r="X290" s="86" t="e">
        <f>((PI()*((42-2*'Gen Calcs'!$E$13)^2)/4)/144)*(A333-#REF!)*(W290+14.7)/14.7</f>
        <v>#REF!</v>
      </c>
      <c r="Y290" s="86" t="e">
        <f t="shared" si="88"/>
        <v>#REF!</v>
      </c>
      <c r="Z290" s="86" t="e">
        <f t="shared" si="89"/>
        <v>#REF!</v>
      </c>
      <c r="AA290" s="83">
        <f>MAX(B$2:B290)-B290</f>
        <v>104.9529</v>
      </c>
      <c r="AB290" s="83">
        <f t="shared" si="90"/>
        <v>45.444605699999997</v>
      </c>
      <c r="AC290" s="83">
        <f t="shared" si="92"/>
        <v>119.33662088150905</v>
      </c>
      <c r="AD290" s="72">
        <f t="shared" si="93"/>
        <v>119.33662088150905</v>
      </c>
      <c r="AE290" s="73">
        <f t="shared" si="100"/>
        <v>907.92027688745009</v>
      </c>
      <c r="AF290" s="73">
        <f>SUM(AE$2:AE290)</f>
        <v>239361.72686690505</v>
      </c>
      <c r="AG290" s="73">
        <f t="shared" si="101"/>
        <v>934368.17556020408</v>
      </c>
    </row>
    <row r="291" spans="1:33" x14ac:dyDescent="0.25">
      <c r="A291" s="99">
        <v>122399.92</v>
      </c>
      <c r="B291" s="96">
        <v>717.82249999999999</v>
      </c>
      <c r="C291" s="96">
        <v>0.6</v>
      </c>
      <c r="D291" s="80">
        <f t="shared" si="85"/>
        <v>100</v>
      </c>
      <c r="E291" s="81">
        <f t="shared" si="94"/>
        <v>6616.6076625842816</v>
      </c>
      <c r="F291" s="81">
        <f>SUM(E$2:E291)</f>
        <v>1795285.975361998</v>
      </c>
      <c r="G291" s="43">
        <f t="shared" si="91"/>
        <v>1</v>
      </c>
      <c r="H291" s="78">
        <v>1</v>
      </c>
      <c r="I291" s="15">
        <f t="shared" si="95"/>
        <v>0.6</v>
      </c>
      <c r="J291" s="16">
        <f>VLOOKUP(G291,Inputs!$L$3:$P$15,5,FALSE)</f>
        <v>2000</v>
      </c>
      <c r="K291" s="16">
        <f t="shared" si="96"/>
        <v>1825</v>
      </c>
      <c r="L291" s="79">
        <f>Inputs!$P$8-B291</f>
        <v>220.36850000000004</v>
      </c>
      <c r="M291" s="79">
        <f>Inputs!$Q$8+L291*0.433</f>
        <v>1920.4195605</v>
      </c>
      <c r="N291" s="82">
        <f t="shared" si="97"/>
        <v>122399.92</v>
      </c>
      <c r="O291" s="83">
        <f t="shared" si="98"/>
        <v>717.82249999999999</v>
      </c>
      <c r="P291" s="84">
        <f>IF(O291="","",Inputs!$C$5-O291)</f>
        <v>107.36199999999997</v>
      </c>
      <c r="Q291" s="83">
        <f>IF(N291="","",TS!J291)</f>
        <v>2000</v>
      </c>
      <c r="R291" s="83">
        <f>IF(N291="","",TS!K291)</f>
        <v>1825</v>
      </c>
      <c r="S291" s="83">
        <f>Inputs!$H$5+TS!P291*0.4333</f>
        <v>1921.4856710499998</v>
      </c>
      <c r="T291" s="83">
        <f>Inputs!$G$5+TS!P291*0.4333</f>
        <v>1936.4856710499998</v>
      </c>
      <c r="U291" s="85">
        <f t="shared" si="99"/>
        <v>0.9682428355249999</v>
      </c>
      <c r="V291" s="86">
        <f t="shared" si="86"/>
        <v>0</v>
      </c>
      <c r="W291" s="86">
        <f t="shared" si="87"/>
        <v>0</v>
      </c>
      <c r="X291" s="86" t="e">
        <f>((PI()*((42-2*'Gen Calcs'!$E$13)^2)/4)/144)*(A334-#REF!)*(W291+14.7)/14.7</f>
        <v>#REF!</v>
      </c>
      <c r="Y291" s="86" t="e">
        <f t="shared" si="88"/>
        <v>#REF!</v>
      </c>
      <c r="Z291" s="86" t="e">
        <f t="shared" si="89"/>
        <v>#REF!</v>
      </c>
      <c r="AA291" s="83">
        <f>MAX(B$2:B291)-B291</f>
        <v>107.36199999999997</v>
      </c>
      <c r="AB291" s="83">
        <f t="shared" si="90"/>
        <v>46.487745999999987</v>
      </c>
      <c r="AC291" s="83">
        <f t="shared" si="92"/>
        <v>119.45269238777865</v>
      </c>
      <c r="AD291" s="72">
        <f t="shared" si="93"/>
        <v>119.45269238777865</v>
      </c>
      <c r="AE291" s="73">
        <f t="shared" si="100"/>
        <v>907.92027688745009</v>
      </c>
      <c r="AF291" s="73">
        <f>SUM(AE$2:AE291)</f>
        <v>240269.64714379251</v>
      </c>
      <c r="AG291" s="73">
        <f t="shared" si="101"/>
        <v>933460.25528331671</v>
      </c>
    </row>
    <row r="292" spans="1:33" x14ac:dyDescent="0.25">
      <c r="A292" s="100">
        <v>122499.92</v>
      </c>
      <c r="B292" s="97">
        <v>715.07219999999995</v>
      </c>
      <c r="C292" s="97">
        <v>0.6</v>
      </c>
      <c r="D292" s="80">
        <f t="shared" si="85"/>
        <v>100</v>
      </c>
      <c r="E292" s="81">
        <f t="shared" si="94"/>
        <v>6791.2436711181272</v>
      </c>
      <c r="F292" s="81">
        <f>SUM(E$2:E292)</f>
        <v>1802077.219033116</v>
      </c>
      <c r="G292" s="43">
        <f t="shared" si="91"/>
        <v>1</v>
      </c>
      <c r="H292" s="78">
        <v>1</v>
      </c>
      <c r="I292" s="15">
        <f t="shared" si="95"/>
        <v>0.6</v>
      </c>
      <c r="J292" s="16">
        <f>VLOOKUP(G292,Inputs!$L$3:$P$15,5,FALSE)</f>
        <v>2000</v>
      </c>
      <c r="K292" s="16">
        <f t="shared" si="96"/>
        <v>1825</v>
      </c>
      <c r="L292" s="79">
        <f>Inputs!$P$8-B292</f>
        <v>223.11880000000008</v>
      </c>
      <c r="M292" s="79">
        <f>Inputs!$Q$8+L292*0.433</f>
        <v>1921.6104404</v>
      </c>
      <c r="N292" s="82">
        <f t="shared" si="97"/>
        <v>122499.92</v>
      </c>
      <c r="O292" s="83">
        <f t="shared" si="98"/>
        <v>715.07219999999995</v>
      </c>
      <c r="P292" s="84">
        <f>IF(O292="","",Inputs!$C$5-O292)</f>
        <v>110.1123</v>
      </c>
      <c r="Q292" s="83">
        <f>IF(N292="","",TS!J292)</f>
        <v>2000</v>
      </c>
      <c r="R292" s="83">
        <f>IF(N292="","",TS!K292)</f>
        <v>1825</v>
      </c>
      <c r="S292" s="83">
        <f>Inputs!$H$5+TS!P292*0.4333</f>
        <v>1922.6773760399999</v>
      </c>
      <c r="T292" s="83">
        <f>Inputs!$G$5+TS!P292*0.4333</f>
        <v>1937.6773760399999</v>
      </c>
      <c r="U292" s="85">
        <f t="shared" si="99"/>
        <v>0.96883868801999995</v>
      </c>
      <c r="V292" s="86">
        <f t="shared" si="86"/>
        <v>0</v>
      </c>
      <c r="W292" s="86">
        <f t="shared" si="87"/>
        <v>0</v>
      </c>
      <c r="X292" s="86" t="e">
        <f>((PI()*((42-2*'Gen Calcs'!$E$13)^2)/4)/144)*(A335-#REF!)*(W292+14.7)/14.7</f>
        <v>#REF!</v>
      </c>
      <c r="Y292" s="86" t="e">
        <f t="shared" si="88"/>
        <v>#REF!</v>
      </c>
      <c r="Z292" s="86" t="e">
        <f t="shared" si="89"/>
        <v>#REF!</v>
      </c>
      <c r="AA292" s="83">
        <f>MAX(B$2:B292)-B292</f>
        <v>110.1123</v>
      </c>
      <c r="AB292" s="83">
        <f t="shared" si="90"/>
        <v>47.6786259</v>
      </c>
      <c r="AC292" s="83">
        <f t="shared" si="92"/>
        <v>119.56898990532969</v>
      </c>
      <c r="AD292" s="72">
        <f t="shared" si="93"/>
        <v>119.56898990532969</v>
      </c>
      <c r="AE292" s="73">
        <f t="shared" si="100"/>
        <v>907.92027688745009</v>
      </c>
      <c r="AF292" s="73">
        <f>SUM(AE$2:AE292)</f>
        <v>241177.56742067996</v>
      </c>
      <c r="AG292" s="73">
        <f t="shared" si="101"/>
        <v>932552.33500642923</v>
      </c>
    </row>
    <row r="293" spans="1:33" x14ac:dyDescent="0.25">
      <c r="A293" s="99">
        <v>122599.92</v>
      </c>
      <c r="B293" s="96">
        <v>718.03120000000001</v>
      </c>
      <c r="C293" s="96">
        <v>0.6</v>
      </c>
      <c r="D293" s="80">
        <f t="shared" si="85"/>
        <v>100</v>
      </c>
      <c r="E293" s="81">
        <f t="shared" si="94"/>
        <v>6616.6076625842816</v>
      </c>
      <c r="F293" s="81">
        <f>SUM(E$2:E293)</f>
        <v>1808693.8266957002</v>
      </c>
      <c r="G293" s="43">
        <f t="shared" si="91"/>
        <v>1</v>
      </c>
      <c r="H293" s="78">
        <v>1</v>
      </c>
      <c r="I293" s="15">
        <f t="shared" si="95"/>
        <v>0.6</v>
      </c>
      <c r="J293" s="16">
        <f>VLOOKUP(G293,Inputs!$L$3:$P$15,5,FALSE)</f>
        <v>2000</v>
      </c>
      <c r="K293" s="16">
        <f t="shared" si="96"/>
        <v>1825</v>
      </c>
      <c r="L293" s="79">
        <f>Inputs!$P$8-B293</f>
        <v>220.15980000000002</v>
      </c>
      <c r="M293" s="79">
        <f>Inputs!$Q$8+L293*0.433</f>
        <v>1920.3291933999999</v>
      </c>
      <c r="N293" s="82">
        <f t="shared" si="97"/>
        <v>122599.92</v>
      </c>
      <c r="O293" s="83">
        <f t="shared" si="98"/>
        <v>718.03120000000001</v>
      </c>
      <c r="P293" s="84">
        <f>IF(O293="","",Inputs!$C$5-O293)</f>
        <v>107.15329999999994</v>
      </c>
      <c r="Q293" s="83">
        <f>IF(N293="","",TS!J293)</f>
        <v>2000</v>
      </c>
      <c r="R293" s="83">
        <f>IF(N293="","",TS!K293)</f>
        <v>1825</v>
      </c>
      <c r="S293" s="83">
        <f>Inputs!$H$5+TS!P293*0.4333</f>
        <v>1921.39524134</v>
      </c>
      <c r="T293" s="83">
        <f>Inputs!$G$5+TS!P293*0.4333</f>
        <v>1936.39524134</v>
      </c>
      <c r="U293" s="85">
        <f t="shared" si="99"/>
        <v>0.96819762067000004</v>
      </c>
      <c r="V293" s="86">
        <f t="shared" si="86"/>
        <v>0</v>
      </c>
      <c r="W293" s="86">
        <f t="shared" si="87"/>
        <v>0</v>
      </c>
      <c r="X293" s="86" t="e">
        <f>((PI()*((42-2*'Gen Calcs'!$E$13)^2)/4)/144)*(A336-#REF!)*(W293+14.7)/14.7</f>
        <v>#REF!</v>
      </c>
      <c r="Y293" s="86" t="e">
        <f t="shared" si="88"/>
        <v>#REF!</v>
      </c>
      <c r="Z293" s="86" t="e">
        <f t="shared" si="89"/>
        <v>#REF!</v>
      </c>
      <c r="AA293" s="83">
        <f>MAX(B$2:B293)-B293</f>
        <v>107.15329999999994</v>
      </c>
      <c r="AB293" s="83">
        <f t="shared" si="90"/>
        <v>46.397378899999978</v>
      </c>
      <c r="AC293" s="83">
        <f t="shared" si="92"/>
        <v>119.68551409492999</v>
      </c>
      <c r="AD293" s="72">
        <f t="shared" si="93"/>
        <v>119.68551409492999</v>
      </c>
      <c r="AE293" s="73">
        <f t="shared" si="100"/>
        <v>907.92027688745009</v>
      </c>
      <c r="AF293" s="73">
        <f>SUM(AE$2:AE293)</f>
        <v>242085.48769756741</v>
      </c>
      <c r="AG293" s="73">
        <f t="shared" si="101"/>
        <v>931644.41472954175</v>
      </c>
    </row>
    <row r="294" spans="1:33" x14ac:dyDescent="0.25">
      <c r="A294" s="100">
        <v>122699.92</v>
      </c>
      <c r="B294" s="97">
        <v>723.06470000000002</v>
      </c>
      <c r="C294" s="97">
        <v>0.6</v>
      </c>
      <c r="D294" s="80">
        <f t="shared" si="85"/>
        <v>100</v>
      </c>
      <c r="E294" s="81">
        <f t="shared" si="94"/>
        <v>6791.2436711181272</v>
      </c>
      <c r="F294" s="81">
        <f>SUM(E$2:E294)</f>
        <v>1815485.0703668182</v>
      </c>
      <c r="G294" s="43">
        <f t="shared" si="91"/>
        <v>1</v>
      </c>
      <c r="H294" s="78">
        <v>1</v>
      </c>
      <c r="I294" s="15">
        <f t="shared" si="95"/>
        <v>0.6</v>
      </c>
      <c r="J294" s="16">
        <f>VLOOKUP(G294,Inputs!$L$3:$P$15,5,FALSE)</f>
        <v>2000</v>
      </c>
      <c r="K294" s="16">
        <f t="shared" si="96"/>
        <v>1825</v>
      </c>
      <c r="L294" s="79">
        <f>Inputs!$P$8-B294</f>
        <v>215.12630000000001</v>
      </c>
      <c r="M294" s="79">
        <f>Inputs!$Q$8+L294*0.433</f>
        <v>1918.1496879000001</v>
      </c>
      <c r="N294" s="82">
        <f t="shared" si="97"/>
        <v>122699.92</v>
      </c>
      <c r="O294" s="83">
        <f t="shared" si="98"/>
        <v>723.06470000000002</v>
      </c>
      <c r="P294" s="84">
        <f>IF(O294="","",Inputs!$C$5-O294)</f>
        <v>102.11979999999994</v>
      </c>
      <c r="Q294" s="83">
        <f>IF(N294="","",TS!J294)</f>
        <v>2000</v>
      </c>
      <c r="R294" s="83">
        <f>IF(N294="","",TS!K294)</f>
        <v>1825</v>
      </c>
      <c r="S294" s="83">
        <f>Inputs!$H$5+TS!P294*0.4333</f>
        <v>1919.21422579</v>
      </c>
      <c r="T294" s="83">
        <f>Inputs!$G$5+TS!P294*0.4333</f>
        <v>1934.21422579</v>
      </c>
      <c r="U294" s="85">
        <f t="shared" si="99"/>
        <v>0.96710711289499995</v>
      </c>
      <c r="V294" s="86">
        <f t="shared" si="86"/>
        <v>0</v>
      </c>
      <c r="W294" s="86">
        <f t="shared" si="87"/>
        <v>0</v>
      </c>
      <c r="X294" s="86" t="e">
        <f>((PI()*((42-2*'Gen Calcs'!$E$13)^2)/4)/144)*(A337-#REF!)*(W294+14.7)/14.7</f>
        <v>#REF!</v>
      </c>
      <c r="Y294" s="86" t="e">
        <f t="shared" si="88"/>
        <v>#REF!</v>
      </c>
      <c r="Z294" s="86" t="e">
        <f t="shared" si="89"/>
        <v>#REF!</v>
      </c>
      <c r="AA294" s="83">
        <f>MAX(B$2:B294)-B294</f>
        <v>102.11979999999994</v>
      </c>
      <c r="AB294" s="83">
        <f t="shared" si="90"/>
        <v>44.217873399999974</v>
      </c>
      <c r="AC294" s="83">
        <f t="shared" si="92"/>
        <v>119.80226561992566</v>
      </c>
      <c r="AD294" s="72">
        <f t="shared" si="93"/>
        <v>119.80226561992566</v>
      </c>
      <c r="AE294" s="73">
        <f t="shared" si="100"/>
        <v>907.92027688745009</v>
      </c>
      <c r="AF294" s="73">
        <f>SUM(AE$2:AE294)</f>
        <v>242993.40797445487</v>
      </c>
      <c r="AG294" s="73">
        <f t="shared" si="101"/>
        <v>930736.49445265438</v>
      </c>
    </row>
    <row r="295" spans="1:33" x14ac:dyDescent="0.25">
      <c r="A295" s="99">
        <v>122799.92</v>
      </c>
      <c r="B295" s="96">
        <v>723.08119999999997</v>
      </c>
      <c r="C295" s="96">
        <v>0.6</v>
      </c>
      <c r="D295" s="80">
        <f t="shared" si="85"/>
        <v>100</v>
      </c>
      <c r="E295" s="81">
        <f t="shared" si="94"/>
        <v>6791.2436711181272</v>
      </c>
      <c r="F295" s="81">
        <f>SUM(E$2:E295)</f>
        <v>1822276.3140379363</v>
      </c>
      <c r="G295" s="43">
        <f t="shared" si="91"/>
        <v>1</v>
      </c>
      <c r="H295" s="78">
        <v>1</v>
      </c>
      <c r="I295" s="15">
        <f t="shared" si="95"/>
        <v>0.6</v>
      </c>
      <c r="J295" s="16">
        <f>VLOOKUP(G295,Inputs!$L$3:$P$15,5,FALSE)</f>
        <v>2000</v>
      </c>
      <c r="K295" s="16">
        <f t="shared" si="96"/>
        <v>1825</v>
      </c>
      <c r="L295" s="79">
        <f>Inputs!$P$8-B295</f>
        <v>215.10980000000006</v>
      </c>
      <c r="M295" s="79">
        <f>Inputs!$Q$8+L295*0.433</f>
        <v>1918.1425434</v>
      </c>
      <c r="N295" s="82">
        <f t="shared" si="97"/>
        <v>122799.92</v>
      </c>
      <c r="O295" s="83">
        <f t="shared" si="98"/>
        <v>723.08119999999997</v>
      </c>
      <c r="P295" s="84">
        <f>IF(O295="","",Inputs!$C$5-O295)</f>
        <v>102.10329999999999</v>
      </c>
      <c r="Q295" s="83">
        <f>IF(N295="","",TS!J295)</f>
        <v>2000</v>
      </c>
      <c r="R295" s="83">
        <f>IF(N295="","",TS!K295)</f>
        <v>1825</v>
      </c>
      <c r="S295" s="83">
        <f>Inputs!$H$5+TS!P295*0.4333</f>
        <v>1919.20707634</v>
      </c>
      <c r="T295" s="83">
        <f>Inputs!$G$5+TS!P295*0.4333</f>
        <v>1934.20707634</v>
      </c>
      <c r="U295" s="85">
        <f t="shared" si="99"/>
        <v>0.96710353816999994</v>
      </c>
      <c r="V295" s="86">
        <f t="shared" si="86"/>
        <v>0</v>
      </c>
      <c r="W295" s="86">
        <f t="shared" si="87"/>
        <v>0</v>
      </c>
      <c r="X295" s="86" t="e">
        <f>((PI()*((42-2*'Gen Calcs'!$E$13)^2)/4)/144)*(A338-#REF!)*(W295+14.7)/14.7</f>
        <v>#REF!</v>
      </c>
      <c r="Y295" s="86" t="e">
        <f t="shared" si="88"/>
        <v>#REF!</v>
      </c>
      <c r="Z295" s="86" t="e">
        <f t="shared" si="89"/>
        <v>#REF!</v>
      </c>
      <c r="AA295" s="83">
        <f>MAX(B$2:B295)-B295</f>
        <v>102.10329999999999</v>
      </c>
      <c r="AB295" s="83">
        <f t="shared" si="90"/>
        <v>44.210728899999992</v>
      </c>
      <c r="AC295" s="83">
        <f t="shared" si="92"/>
        <v>119.91924514625374</v>
      </c>
      <c r="AD295" s="72">
        <f t="shared" si="93"/>
        <v>119.91924514625374</v>
      </c>
      <c r="AE295" s="73">
        <f t="shared" si="100"/>
        <v>907.92027688745009</v>
      </c>
      <c r="AF295" s="73">
        <f>SUM(AE$2:AE295)</f>
        <v>243901.32825134232</v>
      </c>
      <c r="AG295" s="73">
        <f t="shared" si="101"/>
        <v>929828.5741757669</v>
      </c>
    </row>
    <row r="296" spans="1:33" x14ac:dyDescent="0.25">
      <c r="A296" s="100">
        <v>122899.92</v>
      </c>
      <c r="B296" s="97">
        <v>718.76670000000001</v>
      </c>
      <c r="C296" s="97">
        <v>0.6</v>
      </c>
      <c r="D296" s="80">
        <f t="shared" si="85"/>
        <v>100</v>
      </c>
      <c r="E296" s="81">
        <f t="shared" si="94"/>
        <v>6791.2436711181272</v>
      </c>
      <c r="F296" s="81">
        <f>SUM(E$2:E296)</f>
        <v>1829067.5577090543</v>
      </c>
      <c r="G296" s="43">
        <f t="shared" si="91"/>
        <v>1</v>
      </c>
      <c r="H296" s="78">
        <v>1</v>
      </c>
      <c r="I296" s="15">
        <f t="shared" si="95"/>
        <v>0.6</v>
      </c>
      <c r="J296" s="16">
        <f>VLOOKUP(G296,Inputs!$L$3:$P$15,5,FALSE)</f>
        <v>2000</v>
      </c>
      <c r="K296" s="16">
        <f t="shared" si="96"/>
        <v>1825</v>
      </c>
      <c r="L296" s="79">
        <f>Inputs!$P$8-B296</f>
        <v>219.42430000000002</v>
      </c>
      <c r="M296" s="79">
        <f>Inputs!$Q$8+L296*0.433</f>
        <v>1920.0107218999999</v>
      </c>
      <c r="N296" s="82">
        <f t="shared" si="97"/>
        <v>122899.92</v>
      </c>
      <c r="O296" s="83">
        <f t="shared" si="98"/>
        <v>718.76670000000001</v>
      </c>
      <c r="P296" s="84">
        <f>IF(O296="","",Inputs!$C$5-O296)</f>
        <v>106.41779999999994</v>
      </c>
      <c r="Q296" s="83">
        <f>IF(N296="","",TS!J296)</f>
        <v>2000</v>
      </c>
      <c r="R296" s="83">
        <f>IF(N296="","",TS!K296)</f>
        <v>1825</v>
      </c>
      <c r="S296" s="83">
        <f>Inputs!$H$5+TS!P296*0.4333</f>
        <v>1921.0765491899999</v>
      </c>
      <c r="T296" s="83">
        <f>Inputs!$G$5+TS!P296*0.4333</f>
        <v>1936.0765491899999</v>
      </c>
      <c r="U296" s="85">
        <f t="shared" si="99"/>
        <v>0.96803827459499991</v>
      </c>
      <c r="V296" s="86">
        <f t="shared" si="86"/>
        <v>0</v>
      </c>
      <c r="W296" s="86">
        <f t="shared" si="87"/>
        <v>0</v>
      </c>
      <c r="X296" s="86" t="e">
        <f>((PI()*((42-2*'Gen Calcs'!$E$13)^2)/4)/144)*(A339-#REF!)*(W296+14.7)/14.7</f>
        <v>#REF!</v>
      </c>
      <c r="Y296" s="86" t="e">
        <f t="shared" si="88"/>
        <v>#REF!</v>
      </c>
      <c r="Z296" s="86" t="e">
        <f t="shared" si="89"/>
        <v>#REF!</v>
      </c>
      <c r="AA296" s="83">
        <f>MAX(B$2:B296)-B296</f>
        <v>106.41779999999994</v>
      </c>
      <c r="AB296" s="83">
        <f t="shared" si="90"/>
        <v>46.078907399999977</v>
      </c>
      <c r="AC296" s="83">
        <f t="shared" si="92"/>
        <v>120.03645334245472</v>
      </c>
      <c r="AD296" s="72">
        <f t="shared" si="93"/>
        <v>120.03645334245472</v>
      </c>
      <c r="AE296" s="73">
        <f t="shared" si="100"/>
        <v>907.92027688745009</v>
      </c>
      <c r="AF296" s="73">
        <f>SUM(AE$2:AE296)</f>
        <v>244809.24852822977</v>
      </c>
      <c r="AG296" s="73">
        <f t="shared" si="101"/>
        <v>928920.65389887942</v>
      </c>
    </row>
    <row r="297" spans="1:33" x14ac:dyDescent="0.25">
      <c r="A297" s="99">
        <v>122999.92</v>
      </c>
      <c r="B297" s="96">
        <v>712.01779999999997</v>
      </c>
      <c r="C297" s="96">
        <v>0.6</v>
      </c>
      <c r="D297" s="80">
        <f t="shared" si="85"/>
        <v>100</v>
      </c>
      <c r="E297" s="81">
        <f t="shared" si="94"/>
        <v>6791.2436711181272</v>
      </c>
      <c r="F297" s="81">
        <f>SUM(E$2:E297)</f>
        <v>1835858.8013801724</v>
      </c>
      <c r="G297" s="43">
        <f t="shared" si="91"/>
        <v>1</v>
      </c>
      <c r="H297" s="78">
        <v>1</v>
      </c>
      <c r="I297" s="15">
        <f t="shared" si="95"/>
        <v>0.6</v>
      </c>
      <c r="J297" s="16">
        <f>VLOOKUP(G297,Inputs!$L$3:$P$15,5,FALSE)</f>
        <v>2000</v>
      </c>
      <c r="K297" s="16">
        <f t="shared" si="96"/>
        <v>1825</v>
      </c>
      <c r="L297" s="79">
        <f>Inputs!$P$8-B297</f>
        <v>226.17320000000007</v>
      </c>
      <c r="M297" s="79">
        <f>Inputs!$Q$8+L297*0.433</f>
        <v>1922.9329956000001</v>
      </c>
      <c r="N297" s="82">
        <f t="shared" si="97"/>
        <v>122999.92</v>
      </c>
      <c r="O297" s="83">
        <f t="shared" si="98"/>
        <v>712.01779999999997</v>
      </c>
      <c r="P297" s="84">
        <f>IF(O297="","",Inputs!$C$5-O297)</f>
        <v>113.16669999999999</v>
      </c>
      <c r="Q297" s="83">
        <f>IF(N297="","",TS!J297)</f>
        <v>2000</v>
      </c>
      <c r="R297" s="83">
        <f>IF(N297="","",TS!K297)</f>
        <v>1825</v>
      </c>
      <c r="S297" s="83">
        <f>Inputs!$H$5+TS!P297*0.4333</f>
        <v>1924.00084756</v>
      </c>
      <c r="T297" s="83">
        <f>Inputs!$G$5+TS!P297*0.4333</f>
        <v>1939.00084756</v>
      </c>
      <c r="U297" s="85">
        <f t="shared" si="99"/>
        <v>0.96950042378000001</v>
      </c>
      <c r="V297" s="86">
        <f t="shared" si="86"/>
        <v>0</v>
      </c>
      <c r="W297" s="86">
        <f t="shared" si="87"/>
        <v>0</v>
      </c>
      <c r="X297" s="86" t="e">
        <f>((PI()*((42-2*'Gen Calcs'!$E$13)^2)/4)/144)*(A340-#REF!)*(W297+14.7)/14.7</f>
        <v>#REF!</v>
      </c>
      <c r="Y297" s="86" t="e">
        <f t="shared" si="88"/>
        <v>#REF!</v>
      </c>
      <c r="Z297" s="86" t="e">
        <f t="shared" si="89"/>
        <v>#REF!</v>
      </c>
      <c r="AA297" s="83">
        <f>MAX(B$2:B297)-B297</f>
        <v>113.16669999999999</v>
      </c>
      <c r="AB297" s="83">
        <f t="shared" si="90"/>
        <v>49.001181099999997</v>
      </c>
      <c r="AC297" s="83">
        <v>120</v>
      </c>
      <c r="AD297" s="72">
        <v>120</v>
      </c>
      <c r="AE297" s="73">
        <f t="shared" si="100"/>
        <v>907.92027688745009</v>
      </c>
      <c r="AF297" s="73">
        <f>SUM(AE$2:AE297)</f>
        <v>245717.16880511722</v>
      </c>
      <c r="AG297" s="73">
        <f t="shared" si="101"/>
        <v>928012.73362199194</v>
      </c>
    </row>
    <row r="298" spans="1:33" x14ac:dyDescent="0.25">
      <c r="A298" s="100">
        <v>123099.92</v>
      </c>
      <c r="B298" s="97">
        <v>700.79280000000006</v>
      </c>
      <c r="C298" s="97">
        <v>0.6</v>
      </c>
      <c r="D298" s="80">
        <f t="shared" si="85"/>
        <v>100</v>
      </c>
      <c r="E298" s="81">
        <f t="shared" si="94"/>
        <v>6791.2436711181272</v>
      </c>
      <c r="F298" s="81">
        <f>SUM(E$2:E298)</f>
        <v>1842650.0450512904</v>
      </c>
      <c r="G298" s="43">
        <f t="shared" si="91"/>
        <v>1</v>
      </c>
      <c r="H298" s="78">
        <v>1</v>
      </c>
      <c r="I298" s="15">
        <f t="shared" si="95"/>
        <v>0.6</v>
      </c>
      <c r="J298" s="16">
        <f>VLOOKUP(G298,Inputs!$L$3:$P$15,5,FALSE)</f>
        <v>2000</v>
      </c>
      <c r="K298" s="16">
        <f t="shared" si="96"/>
        <v>1825</v>
      </c>
      <c r="L298" s="79">
        <f>Inputs!$P$8-B298</f>
        <v>237.39819999999997</v>
      </c>
      <c r="M298" s="79">
        <f>Inputs!$Q$8+L298*0.433</f>
        <v>1927.7934206</v>
      </c>
      <c r="N298" s="82">
        <f t="shared" si="97"/>
        <v>123099.92</v>
      </c>
      <c r="O298" s="83">
        <f t="shared" si="98"/>
        <v>700.79280000000006</v>
      </c>
      <c r="P298" s="84">
        <f>IF(O298="","",Inputs!$C$5-O298)</f>
        <v>124.3916999999999</v>
      </c>
      <c r="Q298" s="83">
        <f>IF(N298="","",TS!J298)</f>
        <v>2000</v>
      </c>
      <c r="R298" s="83">
        <f>IF(N298="","",TS!K298)</f>
        <v>1825</v>
      </c>
      <c r="S298" s="83">
        <f>Inputs!$H$5+TS!P298*0.4333</f>
        <v>1928.8646400599998</v>
      </c>
      <c r="T298" s="83">
        <f>Inputs!$G$5+TS!P298*0.4333</f>
        <v>1943.8646400599998</v>
      </c>
      <c r="U298" s="85">
        <f t="shared" si="99"/>
        <v>0.97193232002999996</v>
      </c>
      <c r="V298" s="86">
        <f t="shared" si="86"/>
        <v>0</v>
      </c>
      <c r="W298" s="86">
        <f t="shared" si="87"/>
        <v>0</v>
      </c>
      <c r="X298" s="86" t="e">
        <f>((PI()*((42-2*'Gen Calcs'!$E$13)^2)/4)/144)*(A341-#REF!)*(W298+14.7)/14.7</f>
        <v>#REF!</v>
      </c>
      <c r="Y298" s="86" t="e">
        <f t="shared" si="88"/>
        <v>#REF!</v>
      </c>
      <c r="Z298" s="86" t="e">
        <f t="shared" si="89"/>
        <v>#REF!</v>
      </c>
      <c r="AA298" s="83">
        <f>MAX(B$2:B298)-B298</f>
        <v>124.3916999999999</v>
      </c>
      <c r="AB298" s="83">
        <f t="shared" si="90"/>
        <v>53.861606099999953</v>
      </c>
      <c r="AC298" s="83">
        <f t="shared" si="92"/>
        <v>120</v>
      </c>
      <c r="AD298" s="72">
        <v>120</v>
      </c>
      <c r="AE298" s="73">
        <f t="shared" si="100"/>
        <v>907.92027688745009</v>
      </c>
      <c r="AF298" s="73">
        <f>SUM(AE$2:AE298)</f>
        <v>246625.08908200468</v>
      </c>
      <c r="AG298" s="73">
        <f t="shared" si="101"/>
        <v>927104.81334510446</v>
      </c>
    </row>
    <row r="299" spans="1:33" x14ac:dyDescent="0.25">
      <c r="A299" s="99">
        <v>123199.92</v>
      </c>
      <c r="B299" s="96">
        <v>704.23599999999999</v>
      </c>
      <c r="C299" s="96">
        <v>0.6</v>
      </c>
      <c r="D299" s="80">
        <f t="shared" si="85"/>
        <v>100</v>
      </c>
      <c r="E299" s="81">
        <f t="shared" si="94"/>
        <v>6791.2436711181272</v>
      </c>
      <c r="F299" s="81">
        <f>SUM(E$2:E299)</f>
        <v>1849441.2887224085</v>
      </c>
      <c r="G299" s="43">
        <f t="shared" si="91"/>
        <v>1</v>
      </c>
      <c r="H299" s="78">
        <v>1</v>
      </c>
      <c r="I299" s="15">
        <f t="shared" si="95"/>
        <v>0.6</v>
      </c>
      <c r="J299" s="16">
        <f>VLOOKUP(G299,Inputs!$L$3:$P$15,5,FALSE)</f>
        <v>2000</v>
      </c>
      <c r="K299" s="16">
        <f t="shared" si="96"/>
        <v>1825</v>
      </c>
      <c r="L299" s="79">
        <f>Inputs!$P$8-B299</f>
        <v>233.95500000000004</v>
      </c>
      <c r="M299" s="79">
        <f>Inputs!$Q$8+L299*0.433</f>
        <v>1926.3025150000001</v>
      </c>
      <c r="N299" s="82">
        <f t="shared" si="97"/>
        <v>123199.92</v>
      </c>
      <c r="O299" s="83">
        <f t="shared" si="98"/>
        <v>704.23599999999999</v>
      </c>
      <c r="P299" s="84">
        <f>IF(O299="","",Inputs!$C$5-O299)</f>
        <v>120.94849999999997</v>
      </c>
      <c r="Q299" s="83">
        <f>IF(N299="","",TS!J299)</f>
        <v>2000</v>
      </c>
      <c r="R299" s="83">
        <f>IF(N299="","",TS!K299)</f>
        <v>1825</v>
      </c>
      <c r="S299" s="83">
        <f>Inputs!$H$5+TS!P299*0.4333</f>
        <v>1927.3727014999999</v>
      </c>
      <c r="T299" s="83">
        <f>Inputs!$G$5+TS!P299*0.4333</f>
        <v>1942.3727014999999</v>
      </c>
      <c r="U299" s="85">
        <f t="shared" si="99"/>
        <v>0.97118635074999993</v>
      </c>
      <c r="V299" s="86">
        <f t="shared" si="86"/>
        <v>0</v>
      </c>
      <c r="W299" s="86">
        <f t="shared" si="87"/>
        <v>0</v>
      </c>
      <c r="X299" s="86" t="e">
        <f>((PI()*((42-2*'Gen Calcs'!$E$13)^2)/4)/144)*(A342-#REF!)*(W299+14.7)/14.7</f>
        <v>#REF!</v>
      </c>
      <c r="Y299" s="86" t="e">
        <f t="shared" si="88"/>
        <v>#REF!</v>
      </c>
      <c r="Z299" s="86" t="e">
        <f t="shared" si="89"/>
        <v>#REF!</v>
      </c>
      <c r="AA299" s="83">
        <f>MAX(B$2:B299)-B299</f>
        <v>120.94849999999997</v>
      </c>
      <c r="AB299" s="83">
        <f t="shared" si="90"/>
        <v>52.370700499999984</v>
      </c>
      <c r="AC299" s="83">
        <f t="shared" si="92"/>
        <v>120</v>
      </c>
      <c r="AD299" s="72">
        <v>120</v>
      </c>
      <c r="AE299" s="73">
        <f t="shared" si="100"/>
        <v>907.92027688745009</v>
      </c>
      <c r="AF299" s="73">
        <f>SUM(AE$2:AE299)</f>
        <v>247533.00935889213</v>
      </c>
      <c r="AG299" s="73">
        <f t="shared" si="101"/>
        <v>926196.89306821709</v>
      </c>
    </row>
    <row r="300" spans="1:33" x14ac:dyDescent="0.25">
      <c r="A300" s="100">
        <v>123215.6</v>
      </c>
      <c r="B300" s="97">
        <v>704.23599999999999</v>
      </c>
      <c r="C300" s="97">
        <v>0.86399999999999999</v>
      </c>
      <c r="D300" s="80">
        <f t="shared" si="85"/>
        <v>15.680000000007567</v>
      </c>
      <c r="E300" s="81">
        <f t="shared" si="94"/>
        <v>1064.867007631836</v>
      </c>
      <c r="F300" s="81">
        <f>SUM(E$2:E300)</f>
        <v>1850506.1557300403</v>
      </c>
      <c r="G300" s="43">
        <f t="shared" si="91"/>
        <v>2</v>
      </c>
      <c r="H300" s="78">
        <v>1</v>
      </c>
      <c r="I300" s="15">
        <f t="shared" si="95"/>
        <v>0.86399999999999999</v>
      </c>
      <c r="J300" s="16">
        <f>VLOOKUP(G300,Inputs!$L$3:$P$15,5,FALSE)</f>
        <v>2880</v>
      </c>
      <c r="K300" s="16">
        <f t="shared" si="96"/>
        <v>1825</v>
      </c>
      <c r="L300" s="79">
        <f>Inputs!$P$8-B300</f>
        <v>233.95500000000004</v>
      </c>
      <c r="M300" s="79">
        <f>Inputs!$Q$8+L300*0.433</f>
        <v>1926.3025150000001</v>
      </c>
      <c r="N300" s="82">
        <f t="shared" si="97"/>
        <v>123215.6</v>
      </c>
      <c r="O300" s="83">
        <f t="shared" si="98"/>
        <v>704.23599999999999</v>
      </c>
      <c r="P300" s="84">
        <f>IF(O300="","",Inputs!$C$5-O300)</f>
        <v>120.94849999999997</v>
      </c>
      <c r="Q300" s="83">
        <f>IF(N300="","",TS!J300)</f>
        <v>2880</v>
      </c>
      <c r="R300" s="83">
        <f>IF(N300="","",TS!K300)</f>
        <v>1825</v>
      </c>
      <c r="S300" s="83">
        <f>Inputs!$H$5+TS!P300*0.4333</f>
        <v>1927.3727014999999</v>
      </c>
      <c r="T300" s="83">
        <f>Inputs!$G$5+TS!P300*0.4333</f>
        <v>1942.3727014999999</v>
      </c>
      <c r="U300" s="85">
        <f t="shared" si="99"/>
        <v>0.67443496579861106</v>
      </c>
      <c r="V300" s="86">
        <f t="shared" si="86"/>
        <v>0</v>
      </c>
      <c r="W300" s="86">
        <f t="shared" si="87"/>
        <v>0</v>
      </c>
      <c r="X300" s="86" t="e">
        <f>((PI()*((42-2*'Gen Calcs'!$E$13)^2)/4)/144)*(A343-#REF!)*(W300+14.7)/14.7</f>
        <v>#REF!</v>
      </c>
      <c r="Y300" s="86" t="e">
        <f t="shared" si="88"/>
        <v>#REF!</v>
      </c>
      <c r="Z300" s="86" t="e">
        <f t="shared" si="89"/>
        <v>#REF!</v>
      </c>
      <c r="AA300" s="83">
        <f>MAX(B$2:B300)-B300</f>
        <v>120.94849999999997</v>
      </c>
      <c r="AB300" s="83">
        <f t="shared" si="90"/>
        <v>52.370700499999984</v>
      </c>
      <c r="AC300" s="83">
        <f t="shared" si="92"/>
        <v>120</v>
      </c>
      <c r="AD300" s="72">
        <v>120</v>
      </c>
      <c r="AE300" s="73">
        <f t="shared" si="100"/>
        <v>138.70108041359839</v>
      </c>
      <c r="AF300" s="73">
        <f>SUM(AE$2:AE300)</f>
        <v>247671.71043930572</v>
      </c>
      <c r="AG300" s="73">
        <f t="shared" si="101"/>
        <v>926058.19198780344</v>
      </c>
    </row>
    <row r="301" spans="1:33" x14ac:dyDescent="0.25">
      <c r="A301" s="99">
        <v>123295.6</v>
      </c>
      <c r="B301" s="96">
        <v>704.23599999999999</v>
      </c>
      <c r="C301" s="96">
        <v>0.86399999999999999</v>
      </c>
      <c r="D301" s="80">
        <f t="shared" si="85"/>
        <v>80</v>
      </c>
      <c r="E301" s="81">
        <f t="shared" si="94"/>
        <v>5432.9949368945017</v>
      </c>
      <c r="F301" s="81">
        <f>SUM(E$2:E301)</f>
        <v>1855939.1506669347</v>
      </c>
      <c r="G301" s="43">
        <f t="shared" si="91"/>
        <v>2</v>
      </c>
      <c r="H301" s="78">
        <v>1</v>
      </c>
      <c r="I301" s="15">
        <f t="shared" si="95"/>
        <v>0.86399999999999999</v>
      </c>
      <c r="J301" s="16">
        <f>VLOOKUP(G301,Inputs!$L$3:$P$15,5,FALSE)</f>
        <v>2880</v>
      </c>
      <c r="K301" s="16">
        <f t="shared" si="96"/>
        <v>1825</v>
      </c>
      <c r="L301" s="79">
        <f>Inputs!$P$8-B301</f>
        <v>233.95500000000004</v>
      </c>
      <c r="M301" s="79">
        <f>Inputs!$Q$8+L301*0.433</f>
        <v>1926.3025150000001</v>
      </c>
      <c r="N301" s="82">
        <f t="shared" si="97"/>
        <v>123295.6</v>
      </c>
      <c r="O301" s="83">
        <f t="shared" si="98"/>
        <v>704.23599999999999</v>
      </c>
      <c r="P301" s="84">
        <f>IF(O301="","",Inputs!$C$5-O301)</f>
        <v>120.94849999999997</v>
      </c>
      <c r="Q301" s="83">
        <f>IF(N301="","",TS!J301)</f>
        <v>2880</v>
      </c>
      <c r="R301" s="83">
        <f>IF(N301="","",TS!K301)</f>
        <v>1825</v>
      </c>
      <c r="S301" s="83">
        <f>Inputs!$H$5+TS!P301*0.4333</f>
        <v>1927.3727014999999</v>
      </c>
      <c r="T301" s="83">
        <f>Inputs!$G$5+TS!P301*0.4333</f>
        <v>1942.3727014999999</v>
      </c>
      <c r="U301" s="85">
        <f t="shared" si="99"/>
        <v>0.67443496579861106</v>
      </c>
      <c r="V301" s="86">
        <f t="shared" si="86"/>
        <v>0</v>
      </c>
      <c r="W301" s="86">
        <f t="shared" si="87"/>
        <v>0</v>
      </c>
      <c r="X301" s="86" t="e">
        <f>((PI()*((42-2*'Gen Calcs'!$E$13)^2)/4)/144)*(A344-#REF!)*(W301+14.7)/14.7</f>
        <v>#REF!</v>
      </c>
      <c r="Y301" s="86" t="e">
        <f t="shared" si="88"/>
        <v>#REF!</v>
      </c>
      <c r="Z301" s="86" t="e">
        <f t="shared" si="89"/>
        <v>#REF!</v>
      </c>
      <c r="AA301" s="83">
        <f>MAX(B$2:B301)-B301</f>
        <v>120.94849999999997</v>
      </c>
      <c r="AB301" s="83">
        <f t="shared" si="90"/>
        <v>52.370700499999984</v>
      </c>
      <c r="AC301" s="83">
        <f t="shared" si="92"/>
        <v>120</v>
      </c>
      <c r="AD301" s="72">
        <v>120</v>
      </c>
      <c r="AE301" s="73">
        <f t="shared" si="100"/>
        <v>707.6585735384258</v>
      </c>
      <c r="AF301" s="73">
        <f>SUM(AE$2:AE301)</f>
        <v>248379.36901284414</v>
      </c>
      <c r="AG301" s="73">
        <f t="shared" si="101"/>
        <v>925350.53341426502</v>
      </c>
    </row>
    <row r="302" spans="1:33" x14ac:dyDescent="0.25">
      <c r="A302" s="100">
        <v>123299.92</v>
      </c>
      <c r="B302" s="97">
        <v>710.89380000000006</v>
      </c>
      <c r="C302" s="97">
        <v>0.6</v>
      </c>
      <c r="D302" s="80">
        <f t="shared" si="85"/>
        <v>4.319999999992433</v>
      </c>
      <c r="E302" s="81">
        <f t="shared" si="94"/>
        <v>293.38172659178917</v>
      </c>
      <c r="F302" s="81">
        <f>SUM(E$2:E302)</f>
        <v>1856232.5323935265</v>
      </c>
      <c r="G302" s="43">
        <f t="shared" si="91"/>
        <v>1</v>
      </c>
      <c r="H302" s="78">
        <v>1</v>
      </c>
      <c r="I302" s="15">
        <f t="shared" si="95"/>
        <v>0.6</v>
      </c>
      <c r="J302" s="16">
        <f>VLOOKUP(G302,Inputs!$L$3:$P$15,5,FALSE)</f>
        <v>2000</v>
      </c>
      <c r="K302" s="16">
        <f t="shared" si="96"/>
        <v>1825</v>
      </c>
      <c r="L302" s="79">
        <f>Inputs!$P$8-B302</f>
        <v>227.29719999999998</v>
      </c>
      <c r="M302" s="79">
        <f>Inputs!$Q$8+L302*0.433</f>
        <v>1923.4196876000001</v>
      </c>
      <c r="N302" s="82">
        <f t="shared" si="97"/>
        <v>123299.92</v>
      </c>
      <c r="O302" s="83">
        <f t="shared" si="98"/>
        <v>710.89380000000006</v>
      </c>
      <c r="P302" s="84">
        <f>IF(O302="","",Inputs!$C$5-O302)</f>
        <v>114.2906999999999</v>
      </c>
      <c r="Q302" s="83">
        <f>IF(N302="","",TS!J302)</f>
        <v>2000</v>
      </c>
      <c r="R302" s="83">
        <f>IF(N302="","",TS!K302)</f>
        <v>1825</v>
      </c>
      <c r="S302" s="83">
        <f>Inputs!$H$5+TS!P302*0.4333</f>
        <v>1924.4878767599998</v>
      </c>
      <c r="T302" s="83">
        <f>Inputs!$G$5+TS!P302*0.4333</f>
        <v>1939.4878767599998</v>
      </c>
      <c r="U302" s="85">
        <f t="shared" si="99"/>
        <v>0.96974393837999995</v>
      </c>
      <c r="V302" s="86">
        <f t="shared" si="86"/>
        <v>0</v>
      </c>
      <c r="W302" s="86">
        <f t="shared" si="87"/>
        <v>0</v>
      </c>
      <c r="X302" s="86" t="e">
        <f>((PI()*((42-2*'Gen Calcs'!$E$13)^2)/4)/144)*(A345-#REF!)*(W302+14.7)/14.7</f>
        <v>#REF!</v>
      </c>
      <c r="Y302" s="86" t="e">
        <f t="shared" si="88"/>
        <v>#REF!</v>
      </c>
      <c r="Z302" s="86" t="e">
        <f t="shared" si="89"/>
        <v>#REF!</v>
      </c>
      <c r="AA302" s="83">
        <f>MAX(B$2:B302)-B302</f>
        <v>114.2906999999999</v>
      </c>
      <c r="AB302" s="83">
        <f t="shared" si="90"/>
        <v>49.487873099999959</v>
      </c>
      <c r="AC302" s="83">
        <f t="shared" si="92"/>
        <v>120</v>
      </c>
      <c r="AD302" s="72">
        <v>120</v>
      </c>
      <c r="AE302" s="73">
        <f t="shared" si="100"/>
        <v>39.222155961469142</v>
      </c>
      <c r="AF302" s="73">
        <f>SUM(AE$2:AE302)</f>
        <v>248418.59116880561</v>
      </c>
      <c r="AG302" s="73">
        <f t="shared" si="101"/>
        <v>925311.31125830358</v>
      </c>
    </row>
    <row r="303" spans="1:33" x14ac:dyDescent="0.25">
      <c r="A303" s="99">
        <v>123399.92</v>
      </c>
      <c r="B303" s="96">
        <v>700.99360000000001</v>
      </c>
      <c r="C303" s="96">
        <v>0.6</v>
      </c>
      <c r="D303" s="80">
        <f t="shared" si="85"/>
        <v>100</v>
      </c>
      <c r="E303" s="81">
        <f t="shared" si="94"/>
        <v>6791.2436711181272</v>
      </c>
      <c r="F303" s="81">
        <f>SUM(E$2:E303)</f>
        <v>1863023.7760646446</v>
      </c>
      <c r="G303" s="43">
        <f t="shared" si="91"/>
        <v>1</v>
      </c>
      <c r="H303" s="78">
        <v>1</v>
      </c>
      <c r="I303" s="15">
        <f t="shared" si="95"/>
        <v>0.6</v>
      </c>
      <c r="J303" s="16">
        <f>VLOOKUP(G303,Inputs!$L$3:$P$15,5,FALSE)</f>
        <v>2000</v>
      </c>
      <c r="K303" s="16">
        <f t="shared" si="96"/>
        <v>1825</v>
      </c>
      <c r="L303" s="79">
        <f>Inputs!$P$8-B303</f>
        <v>237.19740000000002</v>
      </c>
      <c r="M303" s="79">
        <f>Inputs!$Q$8+L303*0.433</f>
        <v>1927.7064742</v>
      </c>
      <c r="N303" s="82">
        <f t="shared" si="97"/>
        <v>123399.92</v>
      </c>
      <c r="O303" s="83">
        <f t="shared" si="98"/>
        <v>700.99360000000001</v>
      </c>
      <c r="P303" s="84">
        <f>IF(O303="","",Inputs!$C$5-O303)</f>
        <v>124.19089999999994</v>
      </c>
      <c r="Q303" s="83">
        <f>IF(N303="","",TS!J303)</f>
        <v>2000</v>
      </c>
      <c r="R303" s="83">
        <f>IF(N303="","",TS!K303)</f>
        <v>1825</v>
      </c>
      <c r="S303" s="83">
        <f>Inputs!$H$5+TS!P303*0.4333</f>
        <v>1928.77763342</v>
      </c>
      <c r="T303" s="83">
        <f>Inputs!$G$5+TS!P303*0.4333</f>
        <v>1943.77763342</v>
      </c>
      <c r="U303" s="85">
        <f t="shared" si="99"/>
        <v>0.97188881671000005</v>
      </c>
      <c r="V303" s="86">
        <f t="shared" si="86"/>
        <v>0</v>
      </c>
      <c r="W303" s="86">
        <f t="shared" si="87"/>
        <v>0</v>
      </c>
      <c r="X303" s="86" t="e">
        <f>((PI()*((42-2*'Gen Calcs'!$E$13)^2)/4)/144)*(A346-#REF!)*(W303+14.7)/14.7</f>
        <v>#REF!</v>
      </c>
      <c r="Y303" s="86" t="e">
        <f t="shared" si="88"/>
        <v>#REF!</v>
      </c>
      <c r="Z303" s="86" t="e">
        <f t="shared" si="89"/>
        <v>#REF!</v>
      </c>
      <c r="AA303" s="83">
        <f>MAX(B$2:B303)-B303</f>
        <v>124.19089999999994</v>
      </c>
      <c r="AB303" s="83">
        <f t="shared" si="90"/>
        <v>53.774659699999972</v>
      </c>
      <c r="AC303" s="83">
        <f t="shared" si="92"/>
        <v>120</v>
      </c>
      <c r="AD303" s="72">
        <v>120</v>
      </c>
      <c r="AE303" s="73">
        <f t="shared" si="100"/>
        <v>907.92027688745009</v>
      </c>
      <c r="AF303" s="73">
        <f>SUM(AE$2:AE303)</f>
        <v>249326.51144569306</v>
      </c>
      <c r="AG303" s="73">
        <f t="shared" si="101"/>
        <v>924403.3909814161</v>
      </c>
    </row>
    <row r="304" spans="1:33" x14ac:dyDescent="0.25">
      <c r="A304" s="100">
        <v>123499.92</v>
      </c>
      <c r="B304" s="97">
        <v>689.7047</v>
      </c>
      <c r="C304" s="97">
        <v>0.6</v>
      </c>
      <c r="D304" s="80">
        <f t="shared" ref="D304:D367" si="102">A304-A303</f>
        <v>100</v>
      </c>
      <c r="E304" s="81">
        <f t="shared" si="94"/>
        <v>6791.2436711181272</v>
      </c>
      <c r="F304" s="81">
        <f>SUM(E$2:E304)</f>
        <v>1869815.0197357626</v>
      </c>
      <c r="G304" s="43">
        <f t="shared" si="91"/>
        <v>1</v>
      </c>
      <c r="H304" s="78">
        <v>1</v>
      </c>
      <c r="I304" s="15">
        <f t="shared" si="95"/>
        <v>0.6</v>
      </c>
      <c r="J304" s="16">
        <f>VLOOKUP(G304,Inputs!$L$3:$P$15,5,FALSE)</f>
        <v>2000</v>
      </c>
      <c r="K304" s="16">
        <f t="shared" si="96"/>
        <v>1825</v>
      </c>
      <c r="L304" s="79">
        <f>Inputs!$P$8-B304</f>
        <v>248.48630000000003</v>
      </c>
      <c r="M304" s="79">
        <f>Inputs!$Q$8+L304*0.433</f>
        <v>1932.5945679000001</v>
      </c>
      <c r="N304" s="82">
        <f t="shared" si="97"/>
        <v>123499.92</v>
      </c>
      <c r="O304" s="83">
        <f t="shared" si="98"/>
        <v>689.7047</v>
      </c>
      <c r="P304" s="84">
        <f>IF(O304="","",Inputs!$C$5-O304)</f>
        <v>135.47979999999995</v>
      </c>
      <c r="Q304" s="83">
        <f>IF(N304="","",TS!J304)</f>
        <v>2000</v>
      </c>
      <c r="R304" s="83">
        <f>IF(N304="","",TS!K304)</f>
        <v>1825</v>
      </c>
      <c r="S304" s="83">
        <f>Inputs!$H$5+TS!P304*0.4333</f>
        <v>1933.66911379</v>
      </c>
      <c r="T304" s="83">
        <f>Inputs!$G$5+TS!P304*0.4333</f>
        <v>1948.66911379</v>
      </c>
      <c r="U304" s="85">
        <f t="shared" si="99"/>
        <v>0.97433455689500004</v>
      </c>
      <c r="V304" s="86">
        <f t="shared" si="86"/>
        <v>0</v>
      </c>
      <c r="W304" s="86">
        <f t="shared" si="87"/>
        <v>0</v>
      </c>
      <c r="X304" s="86" t="e">
        <f>((PI()*((42-2*'Gen Calcs'!$E$13)^2)/4)/144)*(A347-#REF!)*(W304+14.7)/14.7</f>
        <v>#REF!</v>
      </c>
      <c r="Y304" s="86" t="e">
        <f t="shared" si="88"/>
        <v>#REF!</v>
      </c>
      <c r="Z304" s="86" t="e">
        <f t="shared" si="89"/>
        <v>#REF!</v>
      </c>
      <c r="AA304" s="83">
        <f>MAX(B$2:B304)-B304</f>
        <v>135.47979999999995</v>
      </c>
      <c r="AB304" s="83">
        <f t="shared" si="90"/>
        <v>58.662753399999978</v>
      </c>
      <c r="AC304" s="83">
        <f t="shared" si="92"/>
        <v>120</v>
      </c>
      <c r="AD304" s="72">
        <v>120</v>
      </c>
      <c r="AE304" s="73">
        <f t="shared" si="100"/>
        <v>907.92027688745009</v>
      </c>
      <c r="AF304" s="73">
        <f>SUM(AE$2:AE304)</f>
        <v>250234.43172258051</v>
      </c>
      <c r="AG304" s="73">
        <f t="shared" si="101"/>
        <v>923495.47070452874</v>
      </c>
    </row>
    <row r="305" spans="1:33" x14ac:dyDescent="0.25">
      <c r="A305" s="99">
        <v>123599.92</v>
      </c>
      <c r="B305" s="96">
        <v>687.89859999999999</v>
      </c>
      <c r="C305" s="96">
        <v>0.6</v>
      </c>
      <c r="D305" s="80">
        <f t="shared" si="102"/>
        <v>100</v>
      </c>
      <c r="E305" s="81">
        <f t="shared" si="94"/>
        <v>6791.2436711181272</v>
      </c>
      <c r="F305" s="81">
        <f>SUM(E$2:E305)</f>
        <v>1876606.2634068807</v>
      </c>
      <c r="G305" s="43">
        <f t="shared" si="91"/>
        <v>1</v>
      </c>
      <c r="H305" s="78">
        <v>1</v>
      </c>
      <c r="I305" s="15">
        <f t="shared" si="95"/>
        <v>0.6</v>
      </c>
      <c r="J305" s="16">
        <f>VLOOKUP(G305,Inputs!$L$3:$P$15,5,FALSE)</f>
        <v>2000</v>
      </c>
      <c r="K305" s="16">
        <f t="shared" si="96"/>
        <v>1825</v>
      </c>
      <c r="L305" s="79">
        <f>Inputs!$P$8-B305</f>
        <v>250.29240000000004</v>
      </c>
      <c r="M305" s="79">
        <f>Inputs!$Q$8+L305*0.433</f>
        <v>1933.3766092000001</v>
      </c>
      <c r="N305" s="82">
        <f t="shared" si="97"/>
        <v>123599.92</v>
      </c>
      <c r="O305" s="83">
        <f t="shared" si="98"/>
        <v>687.89859999999999</v>
      </c>
      <c r="P305" s="84">
        <f>IF(O305="","",Inputs!$C$5-O305)</f>
        <v>137.28589999999997</v>
      </c>
      <c r="Q305" s="83">
        <f>IF(N305="","",TS!J305)</f>
        <v>2000</v>
      </c>
      <c r="R305" s="83">
        <f>IF(N305="","",TS!K305)</f>
        <v>1825</v>
      </c>
      <c r="S305" s="83">
        <f>Inputs!$H$5+TS!P305*0.4333</f>
        <v>1934.4516969199999</v>
      </c>
      <c r="T305" s="83">
        <f>Inputs!$G$5+TS!P305*0.4333</f>
        <v>1949.4516969199999</v>
      </c>
      <c r="U305" s="85">
        <f t="shared" si="99"/>
        <v>0.97472584845999999</v>
      </c>
      <c r="V305" s="86">
        <f t="shared" si="86"/>
        <v>0</v>
      </c>
      <c r="W305" s="86">
        <f t="shared" si="87"/>
        <v>0</v>
      </c>
      <c r="X305" s="86" t="e">
        <f>((PI()*((42-2*'Gen Calcs'!$E$13)^2)/4)/144)*(A348-#REF!)*(W305+14.7)/14.7</f>
        <v>#REF!</v>
      </c>
      <c r="Y305" s="86" t="e">
        <f t="shared" si="88"/>
        <v>#REF!</v>
      </c>
      <c r="Z305" s="86" t="e">
        <f t="shared" si="89"/>
        <v>#REF!</v>
      </c>
      <c r="AA305" s="83">
        <f>MAX(B$2:B305)-B305</f>
        <v>137.28589999999997</v>
      </c>
      <c r="AB305" s="83">
        <f t="shared" si="90"/>
        <v>59.444794699999989</v>
      </c>
      <c r="AC305" s="83">
        <f t="shared" si="92"/>
        <v>120</v>
      </c>
      <c r="AD305" s="72">
        <v>120</v>
      </c>
      <c r="AE305" s="73">
        <f t="shared" si="100"/>
        <v>907.92027688745009</v>
      </c>
      <c r="AF305" s="73">
        <f>SUM(AE$2:AE305)</f>
        <v>251142.35199946797</v>
      </c>
      <c r="AG305" s="73">
        <f t="shared" si="101"/>
        <v>922587.55042764125</v>
      </c>
    </row>
    <row r="306" spans="1:33" x14ac:dyDescent="0.25">
      <c r="A306" s="100">
        <v>123699.92</v>
      </c>
      <c r="B306" s="97">
        <v>694.41279999999995</v>
      </c>
      <c r="C306" s="97">
        <v>0.6</v>
      </c>
      <c r="D306" s="80">
        <f t="shared" si="102"/>
        <v>100</v>
      </c>
      <c r="E306" s="81">
        <f t="shared" si="94"/>
        <v>6791.2436711181272</v>
      </c>
      <c r="F306" s="81">
        <f>SUM(E$2:E306)</f>
        <v>1883397.5070779987</v>
      </c>
      <c r="G306" s="43">
        <f t="shared" si="91"/>
        <v>1</v>
      </c>
      <c r="H306" s="78">
        <v>1</v>
      </c>
      <c r="I306" s="15">
        <f t="shared" si="95"/>
        <v>0.6</v>
      </c>
      <c r="J306" s="16">
        <f>VLOOKUP(G306,Inputs!$L$3:$P$15,5,FALSE)</f>
        <v>2000</v>
      </c>
      <c r="K306" s="16">
        <f t="shared" si="96"/>
        <v>1825</v>
      </c>
      <c r="L306" s="79">
        <f>Inputs!$P$8-B306</f>
        <v>243.77820000000008</v>
      </c>
      <c r="M306" s="79">
        <f>Inputs!$Q$8+L306*0.433</f>
        <v>1930.5559605999999</v>
      </c>
      <c r="N306" s="82">
        <f t="shared" si="97"/>
        <v>123699.92</v>
      </c>
      <c r="O306" s="83">
        <f t="shared" si="98"/>
        <v>694.41279999999995</v>
      </c>
      <c r="P306" s="84">
        <f>IF(O306="","",Inputs!$C$5-O306)</f>
        <v>130.77170000000001</v>
      </c>
      <c r="Q306" s="83">
        <f>IF(N306="","",TS!J306)</f>
        <v>2000</v>
      </c>
      <c r="R306" s="83">
        <f>IF(N306="","",TS!K306)</f>
        <v>1825</v>
      </c>
      <c r="S306" s="83">
        <f>Inputs!$H$5+TS!P306*0.4333</f>
        <v>1931.6290940599999</v>
      </c>
      <c r="T306" s="83">
        <f>Inputs!$G$5+TS!P306*0.4333</f>
        <v>1946.6290940599999</v>
      </c>
      <c r="U306" s="85">
        <f t="shared" si="99"/>
        <v>0.97331454702999998</v>
      </c>
      <c r="V306" s="86">
        <f t="shared" ref="V306:V369" si="103">O306-MAX(O306:O306)</f>
        <v>0</v>
      </c>
      <c r="W306" s="86">
        <f t="shared" ref="W306:W369" si="104">-(V306)*0.433</f>
        <v>0</v>
      </c>
      <c r="X306" s="86" t="e">
        <f>((PI()*((42-2*'Gen Calcs'!$E$13)^2)/4)/144)*(A349-#REF!)*(W306+14.7)/14.7</f>
        <v>#REF!</v>
      </c>
      <c r="Y306" s="86" t="e">
        <f t="shared" ref="Y306:Y369" si="105">X306/1000</f>
        <v>#REF!</v>
      </c>
      <c r="Z306" s="86" t="e">
        <f t="shared" ref="Z306:Z369" si="106">IF(Y306&gt;Z305,Y306,Z305)</f>
        <v>#REF!</v>
      </c>
      <c r="AA306" s="83">
        <f>MAX(B$2:B306)-B306</f>
        <v>130.77170000000001</v>
      </c>
      <c r="AB306" s="83">
        <f t="shared" ref="AB306:AB369" si="107">AA306*0.433</f>
        <v>56.624146100000004</v>
      </c>
      <c r="AC306" s="83">
        <f t="shared" si="92"/>
        <v>120</v>
      </c>
      <c r="AD306" s="72">
        <v>120</v>
      </c>
      <c r="AE306" s="73">
        <f t="shared" si="100"/>
        <v>907.92027688745009</v>
      </c>
      <c r="AF306" s="73">
        <f>SUM(AE$2:AE306)</f>
        <v>252050.27227635542</v>
      </c>
      <c r="AG306" s="73">
        <f t="shared" si="101"/>
        <v>921679.63015075377</v>
      </c>
    </row>
    <row r="307" spans="1:33" x14ac:dyDescent="0.25">
      <c r="A307" s="99">
        <v>123799.92</v>
      </c>
      <c r="B307" s="96">
        <v>702.06439999999998</v>
      </c>
      <c r="C307" s="96">
        <v>0.6</v>
      </c>
      <c r="D307" s="80">
        <f t="shared" si="102"/>
        <v>100</v>
      </c>
      <c r="E307" s="81">
        <f t="shared" si="94"/>
        <v>6791.2436711181272</v>
      </c>
      <c r="F307" s="81">
        <f>SUM(E$2:E307)</f>
        <v>1890188.7507491168</v>
      </c>
      <c r="G307" s="43">
        <f t="shared" si="91"/>
        <v>1</v>
      </c>
      <c r="H307" s="78">
        <v>1</v>
      </c>
      <c r="I307" s="15">
        <f t="shared" si="95"/>
        <v>0.6</v>
      </c>
      <c r="J307" s="16">
        <f>VLOOKUP(G307,Inputs!$L$3:$P$15,5,FALSE)</f>
        <v>2000</v>
      </c>
      <c r="K307" s="16">
        <f t="shared" si="96"/>
        <v>1825</v>
      </c>
      <c r="L307" s="79">
        <f>Inputs!$P$8-B307</f>
        <v>236.12660000000005</v>
      </c>
      <c r="M307" s="79">
        <f>Inputs!$Q$8+L307*0.433</f>
        <v>1927.2428178</v>
      </c>
      <c r="N307" s="82">
        <f t="shared" si="97"/>
        <v>123799.92</v>
      </c>
      <c r="O307" s="83">
        <f t="shared" si="98"/>
        <v>702.06439999999998</v>
      </c>
      <c r="P307" s="84">
        <f>IF(O307="","",Inputs!$C$5-O307)</f>
        <v>123.12009999999998</v>
      </c>
      <c r="Q307" s="83">
        <f>IF(N307="","",TS!J307)</f>
        <v>2000</v>
      </c>
      <c r="R307" s="83">
        <f>IF(N307="","",TS!K307)</f>
        <v>1825</v>
      </c>
      <c r="S307" s="83">
        <f>Inputs!$H$5+TS!P307*0.4333</f>
        <v>1928.3136557799999</v>
      </c>
      <c r="T307" s="83">
        <f>Inputs!$G$5+TS!P307*0.4333</f>
        <v>1943.3136557799999</v>
      </c>
      <c r="U307" s="85">
        <f t="shared" si="99"/>
        <v>0.97165682788999996</v>
      </c>
      <c r="V307" s="86">
        <f t="shared" si="103"/>
        <v>0</v>
      </c>
      <c r="W307" s="86">
        <f t="shared" si="104"/>
        <v>0</v>
      </c>
      <c r="X307" s="86" t="e">
        <f>((PI()*((42-2*'Gen Calcs'!$E$13)^2)/4)/144)*(A350-#REF!)*(W307+14.7)/14.7</f>
        <v>#REF!</v>
      </c>
      <c r="Y307" s="86" t="e">
        <f t="shared" si="105"/>
        <v>#REF!</v>
      </c>
      <c r="Z307" s="86" t="e">
        <f t="shared" si="106"/>
        <v>#REF!</v>
      </c>
      <c r="AA307" s="83">
        <f>MAX(B$2:B307)-B307</f>
        <v>123.12009999999998</v>
      </c>
      <c r="AB307" s="83">
        <f t="shared" si="107"/>
        <v>53.311003299999989</v>
      </c>
      <c r="AC307" s="83">
        <f t="shared" si="92"/>
        <v>120</v>
      </c>
      <c r="AD307" s="72">
        <v>120</v>
      </c>
      <c r="AE307" s="73">
        <f t="shared" si="100"/>
        <v>907.92027688745009</v>
      </c>
      <c r="AF307" s="73">
        <f>SUM(AE$2:AE307)</f>
        <v>252958.19255324287</v>
      </c>
      <c r="AG307" s="73">
        <f t="shared" si="101"/>
        <v>920771.70987386629</v>
      </c>
    </row>
    <row r="308" spans="1:33" x14ac:dyDescent="0.25">
      <c r="A308" s="100">
        <v>123899.92</v>
      </c>
      <c r="B308" s="97">
        <v>710.54</v>
      </c>
      <c r="C308" s="97">
        <v>0.6</v>
      </c>
      <c r="D308" s="80">
        <f t="shared" si="102"/>
        <v>100</v>
      </c>
      <c r="E308" s="81">
        <f t="shared" si="94"/>
        <v>6791.2436711181272</v>
      </c>
      <c r="F308" s="81">
        <f>SUM(E$2:E308)</f>
        <v>1896979.9944202348</v>
      </c>
      <c r="G308" s="43">
        <f t="shared" si="91"/>
        <v>1</v>
      </c>
      <c r="H308" s="78">
        <v>1</v>
      </c>
      <c r="I308" s="15">
        <f t="shared" si="95"/>
        <v>0.6</v>
      </c>
      <c r="J308" s="16">
        <f>VLOOKUP(G308,Inputs!$L$3:$P$15,5,FALSE)</f>
        <v>2000</v>
      </c>
      <c r="K308" s="16">
        <f t="shared" si="96"/>
        <v>1825</v>
      </c>
      <c r="L308" s="79">
        <f>Inputs!$P$8-B308</f>
        <v>227.65100000000007</v>
      </c>
      <c r="M308" s="79">
        <f>Inputs!$Q$8+L308*0.433</f>
        <v>1923.572883</v>
      </c>
      <c r="N308" s="82">
        <f t="shared" si="97"/>
        <v>123899.92</v>
      </c>
      <c r="O308" s="83">
        <f t="shared" si="98"/>
        <v>710.54</v>
      </c>
      <c r="P308" s="84">
        <f>IF(O308="","",Inputs!$C$5-O308)</f>
        <v>114.64449999999999</v>
      </c>
      <c r="Q308" s="83">
        <f>IF(N308="","",TS!J308)</f>
        <v>2000</v>
      </c>
      <c r="R308" s="83">
        <f>IF(N308="","",TS!K308)</f>
        <v>1825</v>
      </c>
      <c r="S308" s="83">
        <f>Inputs!$H$5+TS!P308*0.4333</f>
        <v>1924.6411782999999</v>
      </c>
      <c r="T308" s="83">
        <f>Inputs!$G$5+TS!P308*0.4333</f>
        <v>1939.6411782999999</v>
      </c>
      <c r="U308" s="85">
        <f t="shared" si="99"/>
        <v>0.96982058914999991</v>
      </c>
      <c r="V308" s="86">
        <f t="shared" si="103"/>
        <v>0</v>
      </c>
      <c r="W308" s="86">
        <f t="shared" si="104"/>
        <v>0</v>
      </c>
      <c r="X308" s="86" t="e">
        <f>((PI()*((42-2*'Gen Calcs'!$E$13)^2)/4)/144)*(A351-#REF!)*(W308+14.7)/14.7</f>
        <v>#REF!</v>
      </c>
      <c r="Y308" s="86" t="e">
        <f t="shared" si="105"/>
        <v>#REF!</v>
      </c>
      <c r="Z308" s="86" t="e">
        <f t="shared" si="106"/>
        <v>#REF!</v>
      </c>
      <c r="AA308" s="83">
        <f>MAX(B$2:B308)-B308</f>
        <v>114.64449999999999</v>
      </c>
      <c r="AB308" s="83">
        <f t="shared" si="107"/>
        <v>49.641068499999996</v>
      </c>
      <c r="AC308" s="83">
        <f t="shared" si="92"/>
        <v>120</v>
      </c>
      <c r="AD308" s="72">
        <v>120</v>
      </c>
      <c r="AE308" s="73">
        <f t="shared" si="100"/>
        <v>907.92027688745009</v>
      </c>
      <c r="AF308" s="73">
        <f>SUM(AE$2:AE308)</f>
        <v>253866.11283013033</v>
      </c>
      <c r="AG308" s="73">
        <f t="shared" si="101"/>
        <v>919863.78959697881</v>
      </c>
    </row>
    <row r="309" spans="1:33" x14ac:dyDescent="0.25">
      <c r="A309" s="99">
        <v>123999.92</v>
      </c>
      <c r="B309" s="96">
        <v>716.98159999999996</v>
      </c>
      <c r="C309" s="96">
        <v>0.6</v>
      </c>
      <c r="D309" s="80">
        <f t="shared" si="102"/>
        <v>100</v>
      </c>
      <c r="E309" s="81">
        <f t="shared" si="94"/>
        <v>6791.2436711181272</v>
      </c>
      <c r="F309" s="81">
        <f>SUM(E$2:E309)</f>
        <v>1903771.2380913529</v>
      </c>
      <c r="G309" s="43">
        <f t="shared" si="91"/>
        <v>1</v>
      </c>
      <c r="H309" s="78">
        <v>1</v>
      </c>
      <c r="I309" s="15">
        <f t="shared" si="95"/>
        <v>0.6</v>
      </c>
      <c r="J309" s="16">
        <f>VLOOKUP(G309,Inputs!$L$3:$P$15,5,FALSE)</f>
        <v>2000</v>
      </c>
      <c r="K309" s="16">
        <f t="shared" si="96"/>
        <v>1825</v>
      </c>
      <c r="L309" s="79">
        <f>Inputs!$P$8-B309</f>
        <v>221.20940000000007</v>
      </c>
      <c r="M309" s="79">
        <f>Inputs!$Q$8+L309*0.433</f>
        <v>1920.7836702</v>
      </c>
      <c r="N309" s="82">
        <f t="shared" si="97"/>
        <v>123999.92</v>
      </c>
      <c r="O309" s="83">
        <f t="shared" si="98"/>
        <v>716.98159999999996</v>
      </c>
      <c r="P309" s="84">
        <f>IF(O309="","",Inputs!$C$5-O309)</f>
        <v>108.2029</v>
      </c>
      <c r="Q309" s="83">
        <f>IF(N309="","",TS!J309)</f>
        <v>2000</v>
      </c>
      <c r="R309" s="83">
        <f>IF(N309="","",TS!K309)</f>
        <v>1825</v>
      </c>
      <c r="S309" s="83">
        <f>Inputs!$H$5+TS!P309*0.4333</f>
        <v>1921.85003302</v>
      </c>
      <c r="T309" s="83">
        <f>Inputs!$G$5+TS!P309*0.4333</f>
        <v>1936.85003302</v>
      </c>
      <c r="U309" s="85">
        <f t="shared" si="99"/>
        <v>0.96842501651000001</v>
      </c>
      <c r="V309" s="86">
        <f t="shared" si="103"/>
        <v>0</v>
      </c>
      <c r="W309" s="86">
        <f t="shared" si="104"/>
        <v>0</v>
      </c>
      <c r="X309" s="86" t="e">
        <f>((PI()*((42-2*'Gen Calcs'!$E$13)^2)/4)/144)*(A352-#REF!)*(W309+14.7)/14.7</f>
        <v>#REF!</v>
      </c>
      <c r="Y309" s="86" t="e">
        <f t="shared" si="105"/>
        <v>#REF!</v>
      </c>
      <c r="Z309" s="86" t="e">
        <f t="shared" si="106"/>
        <v>#REF!</v>
      </c>
      <c r="AA309" s="83">
        <f>MAX(B$2:B309)-B309</f>
        <v>108.2029</v>
      </c>
      <c r="AB309" s="83">
        <f t="shared" si="107"/>
        <v>46.851855700000002</v>
      </c>
      <c r="AC309" s="83">
        <f t="shared" si="92"/>
        <v>120</v>
      </c>
      <c r="AD309" s="72">
        <v>120</v>
      </c>
      <c r="AE309" s="73">
        <f t="shared" si="100"/>
        <v>907.92027688745009</v>
      </c>
      <c r="AF309" s="73">
        <f>SUM(AE$2:AE309)</f>
        <v>254774.03310701778</v>
      </c>
      <c r="AG309" s="73">
        <f t="shared" si="101"/>
        <v>918955.86932009144</v>
      </c>
    </row>
    <row r="310" spans="1:33" x14ac:dyDescent="0.25">
      <c r="A310" s="100">
        <v>124099.92</v>
      </c>
      <c r="B310" s="97">
        <v>722.71879999999999</v>
      </c>
      <c r="C310" s="97">
        <v>0.6</v>
      </c>
      <c r="D310" s="80">
        <f t="shared" si="102"/>
        <v>100</v>
      </c>
      <c r="E310" s="81">
        <f t="shared" si="94"/>
        <v>6791.2436711181272</v>
      </c>
      <c r="F310" s="81">
        <f>SUM(E$2:E310)</f>
        <v>1910562.4817624709</v>
      </c>
      <c r="G310" s="43">
        <f t="shared" si="91"/>
        <v>1</v>
      </c>
      <c r="H310" s="78">
        <v>1</v>
      </c>
      <c r="I310" s="15">
        <f t="shared" si="95"/>
        <v>0.6</v>
      </c>
      <c r="J310" s="16">
        <f>VLOOKUP(G310,Inputs!$L$3:$P$15,5,FALSE)</f>
        <v>2000</v>
      </c>
      <c r="K310" s="16">
        <f t="shared" si="96"/>
        <v>1825</v>
      </c>
      <c r="L310" s="79">
        <f>Inputs!$P$8-B310</f>
        <v>215.47220000000004</v>
      </c>
      <c r="M310" s="79">
        <f>Inputs!$Q$8+L310*0.433</f>
        <v>1918.2994626</v>
      </c>
      <c r="N310" s="82">
        <f t="shared" si="97"/>
        <v>124099.92</v>
      </c>
      <c r="O310" s="83">
        <f t="shared" si="98"/>
        <v>722.71879999999999</v>
      </c>
      <c r="P310" s="84">
        <f>IF(O310="","",Inputs!$C$5-O310)</f>
        <v>102.46569999999997</v>
      </c>
      <c r="Q310" s="83">
        <f>IF(N310="","",TS!J310)</f>
        <v>2000</v>
      </c>
      <c r="R310" s="83">
        <f>IF(N310="","",TS!K310)</f>
        <v>1825</v>
      </c>
      <c r="S310" s="83">
        <f>Inputs!$H$5+TS!P310*0.4333</f>
        <v>1919.36410426</v>
      </c>
      <c r="T310" s="83">
        <f>Inputs!$G$5+TS!P310*0.4333</f>
        <v>1934.36410426</v>
      </c>
      <c r="U310" s="85">
        <f t="shared" si="99"/>
        <v>0.96718205212999997</v>
      </c>
      <c r="V310" s="86">
        <f t="shared" si="103"/>
        <v>0</v>
      </c>
      <c r="W310" s="86">
        <f t="shared" si="104"/>
        <v>0</v>
      </c>
      <c r="X310" s="86" t="e">
        <f>((PI()*((42-2*'Gen Calcs'!$E$13)^2)/4)/144)*(A353-#REF!)*(W310+14.7)/14.7</f>
        <v>#REF!</v>
      </c>
      <c r="Y310" s="86" t="e">
        <f t="shared" si="105"/>
        <v>#REF!</v>
      </c>
      <c r="Z310" s="86" t="e">
        <f t="shared" si="106"/>
        <v>#REF!</v>
      </c>
      <c r="AA310" s="83">
        <f>MAX(B$2:B310)-B310</f>
        <v>102.46569999999997</v>
      </c>
      <c r="AB310" s="83">
        <f t="shared" si="107"/>
        <v>44.36764809999999</v>
      </c>
      <c r="AC310" s="83">
        <f t="shared" si="92"/>
        <v>120</v>
      </c>
      <c r="AD310" s="72">
        <v>120</v>
      </c>
      <c r="AE310" s="73">
        <f t="shared" si="100"/>
        <v>907.92027688745009</v>
      </c>
      <c r="AF310" s="73">
        <f>SUM(AE$2:AE310)</f>
        <v>255681.95338390523</v>
      </c>
      <c r="AG310" s="73">
        <f t="shared" si="101"/>
        <v>918047.94904320396</v>
      </c>
    </row>
    <row r="311" spans="1:33" x14ac:dyDescent="0.25">
      <c r="A311" s="99">
        <v>124199.92</v>
      </c>
      <c r="B311" s="96">
        <v>725.79179999999997</v>
      </c>
      <c r="C311" s="96">
        <v>0.6</v>
      </c>
      <c r="D311" s="80">
        <f t="shared" si="102"/>
        <v>100</v>
      </c>
      <c r="E311" s="81">
        <f t="shared" si="94"/>
        <v>6791.2436711181272</v>
      </c>
      <c r="F311" s="81">
        <f>SUM(E$2:E311)</f>
        <v>1917353.725433589</v>
      </c>
      <c r="G311" s="43">
        <f t="shared" si="91"/>
        <v>1</v>
      </c>
      <c r="H311" s="78">
        <v>1</v>
      </c>
      <c r="I311" s="15">
        <f t="shared" si="95"/>
        <v>0.6</v>
      </c>
      <c r="J311" s="16">
        <f>VLOOKUP(G311,Inputs!$L$3:$P$15,5,FALSE)</f>
        <v>2000</v>
      </c>
      <c r="K311" s="16">
        <f t="shared" si="96"/>
        <v>1825</v>
      </c>
      <c r="L311" s="79">
        <f>Inputs!$P$8-B311</f>
        <v>212.39920000000006</v>
      </c>
      <c r="M311" s="79">
        <f>Inputs!$Q$8+L311*0.433</f>
        <v>1916.9688536000001</v>
      </c>
      <c r="N311" s="82">
        <f t="shared" si="97"/>
        <v>124199.92</v>
      </c>
      <c r="O311" s="83">
        <f t="shared" si="98"/>
        <v>725.79179999999997</v>
      </c>
      <c r="P311" s="84">
        <f>IF(O311="","",Inputs!$C$5-O311)</f>
        <v>99.392699999999991</v>
      </c>
      <c r="Q311" s="83">
        <f>IF(N311="","",TS!J311)</f>
        <v>2000</v>
      </c>
      <c r="R311" s="83">
        <f>IF(N311="","",TS!K311)</f>
        <v>1825</v>
      </c>
      <c r="S311" s="83">
        <f>Inputs!$H$5+TS!P311*0.4333</f>
        <v>1918.03257336</v>
      </c>
      <c r="T311" s="83">
        <f>Inputs!$G$5+TS!P311*0.4333</f>
        <v>1933.03257336</v>
      </c>
      <c r="U311" s="85">
        <f t="shared" si="99"/>
        <v>0.96651628668</v>
      </c>
      <c r="V311" s="86">
        <f t="shared" si="103"/>
        <v>0</v>
      </c>
      <c r="W311" s="86">
        <f t="shared" si="104"/>
        <v>0</v>
      </c>
      <c r="X311" s="86" t="e">
        <f>((PI()*((42-2*'Gen Calcs'!$E$13)^2)/4)/144)*(A354-#REF!)*(W311+14.7)/14.7</f>
        <v>#REF!</v>
      </c>
      <c r="Y311" s="86" t="e">
        <f t="shared" si="105"/>
        <v>#REF!</v>
      </c>
      <c r="Z311" s="86" t="e">
        <f t="shared" si="106"/>
        <v>#REF!</v>
      </c>
      <c r="AA311" s="83">
        <f>MAX(B$2:B311)-B311</f>
        <v>99.392699999999991</v>
      </c>
      <c r="AB311" s="83">
        <f t="shared" si="107"/>
        <v>43.037039099999994</v>
      </c>
      <c r="AC311" s="83">
        <f t="shared" si="92"/>
        <v>120</v>
      </c>
      <c r="AD311" s="72">
        <v>120</v>
      </c>
      <c r="AE311" s="73">
        <f t="shared" si="100"/>
        <v>907.92027688745009</v>
      </c>
      <c r="AF311" s="73">
        <f>SUM(AE$2:AE311)</f>
        <v>256589.87366079268</v>
      </c>
      <c r="AG311" s="73">
        <f t="shared" si="101"/>
        <v>917140.02876631648</v>
      </c>
    </row>
    <row r="312" spans="1:33" x14ac:dyDescent="0.25">
      <c r="A312" s="100">
        <v>124299.92</v>
      </c>
      <c r="B312" s="97">
        <v>728.32560000000001</v>
      </c>
      <c r="C312" s="97">
        <v>0.6</v>
      </c>
      <c r="D312" s="80">
        <f t="shared" si="102"/>
        <v>100</v>
      </c>
      <c r="E312" s="81">
        <f t="shared" si="94"/>
        <v>6791.2436711181272</v>
      </c>
      <c r="F312" s="81">
        <f>SUM(E$2:E312)</f>
        <v>1924144.969104707</v>
      </c>
      <c r="G312" s="43">
        <f t="shared" si="91"/>
        <v>1</v>
      </c>
      <c r="H312" s="78">
        <v>1</v>
      </c>
      <c r="I312" s="15">
        <f t="shared" si="95"/>
        <v>0.6</v>
      </c>
      <c r="J312" s="16">
        <f>VLOOKUP(G312,Inputs!$L$3:$P$15,5,FALSE)</f>
        <v>2000</v>
      </c>
      <c r="K312" s="16">
        <f t="shared" si="96"/>
        <v>1825</v>
      </c>
      <c r="L312" s="79">
        <f>Inputs!$P$8-B312</f>
        <v>209.86540000000002</v>
      </c>
      <c r="M312" s="79">
        <f>Inputs!$Q$8+L312*0.433</f>
        <v>1915.8717182</v>
      </c>
      <c r="N312" s="82">
        <f t="shared" si="97"/>
        <v>124299.92</v>
      </c>
      <c r="O312" s="83">
        <f t="shared" si="98"/>
        <v>728.32560000000001</v>
      </c>
      <c r="P312" s="84">
        <f>IF(O312="","",Inputs!$C$5-O312)</f>
        <v>96.858899999999949</v>
      </c>
      <c r="Q312" s="83">
        <f>IF(N312="","",TS!J312)</f>
        <v>2000</v>
      </c>
      <c r="R312" s="83">
        <f>IF(N312="","",TS!K312)</f>
        <v>1825</v>
      </c>
      <c r="S312" s="83">
        <f>Inputs!$H$5+TS!P312*0.4333</f>
        <v>1916.9346778199999</v>
      </c>
      <c r="T312" s="83">
        <f>Inputs!$G$5+TS!P312*0.4333</f>
        <v>1931.9346778199999</v>
      </c>
      <c r="U312" s="85">
        <f t="shared" si="99"/>
        <v>0.96596733890999997</v>
      </c>
      <c r="V312" s="86">
        <f t="shared" si="103"/>
        <v>0</v>
      </c>
      <c r="W312" s="86">
        <f t="shared" si="104"/>
        <v>0</v>
      </c>
      <c r="X312" s="86" t="e">
        <f>((PI()*((42-2*'Gen Calcs'!$E$13)^2)/4)/144)*(A355-#REF!)*(W312+14.7)/14.7</f>
        <v>#REF!</v>
      </c>
      <c r="Y312" s="86" t="e">
        <f t="shared" si="105"/>
        <v>#REF!</v>
      </c>
      <c r="Z312" s="86" t="e">
        <f t="shared" si="106"/>
        <v>#REF!</v>
      </c>
      <c r="AA312" s="83">
        <f>MAX(B$2:B312)-B312</f>
        <v>96.858899999999949</v>
      </c>
      <c r="AB312" s="83">
        <f t="shared" si="107"/>
        <v>41.939903699999981</v>
      </c>
      <c r="AC312" s="83">
        <f t="shared" si="92"/>
        <v>120</v>
      </c>
      <c r="AD312" s="72">
        <v>120</v>
      </c>
      <c r="AE312" s="73">
        <f t="shared" si="100"/>
        <v>907.92027688745009</v>
      </c>
      <c r="AF312" s="73">
        <f>SUM(AE$2:AE312)</f>
        <v>257497.79393768014</v>
      </c>
      <c r="AG312" s="73">
        <f t="shared" si="101"/>
        <v>916232.10848942911</v>
      </c>
    </row>
    <row r="313" spans="1:33" x14ac:dyDescent="0.25">
      <c r="A313" s="99">
        <v>124399.92</v>
      </c>
      <c r="B313" s="96">
        <v>728.97349999999994</v>
      </c>
      <c r="C313" s="96">
        <v>0.6</v>
      </c>
      <c r="D313" s="80">
        <f t="shared" si="102"/>
        <v>100</v>
      </c>
      <c r="E313" s="81">
        <f t="shared" si="94"/>
        <v>6791.2436711181272</v>
      </c>
      <c r="F313" s="81">
        <f>SUM(E$2:E313)</f>
        <v>1930936.2127758251</v>
      </c>
      <c r="G313" s="43">
        <f t="shared" si="91"/>
        <v>1</v>
      </c>
      <c r="H313" s="78">
        <v>1</v>
      </c>
      <c r="I313" s="15">
        <f t="shared" si="95"/>
        <v>0.6</v>
      </c>
      <c r="J313" s="16">
        <f>VLOOKUP(G313,Inputs!$L$3:$P$15,5,FALSE)</f>
        <v>2000</v>
      </c>
      <c r="K313" s="16">
        <f t="shared" si="96"/>
        <v>1825</v>
      </c>
      <c r="L313" s="79">
        <f>Inputs!$P$8-B313</f>
        <v>209.21750000000009</v>
      </c>
      <c r="M313" s="79">
        <f>Inputs!$Q$8+L313*0.433</f>
        <v>1915.5911775</v>
      </c>
      <c r="N313" s="82">
        <f t="shared" si="97"/>
        <v>124399.92</v>
      </c>
      <c r="O313" s="83">
        <f t="shared" si="98"/>
        <v>728.97349999999994</v>
      </c>
      <c r="P313" s="84">
        <f>IF(O313="","",Inputs!$C$5-O313)</f>
        <v>96.211000000000013</v>
      </c>
      <c r="Q313" s="83">
        <f>IF(N313="","",TS!J313)</f>
        <v>2000</v>
      </c>
      <c r="R313" s="83">
        <f>IF(N313="","",TS!K313)</f>
        <v>1825</v>
      </c>
      <c r="S313" s="83">
        <f>Inputs!$H$5+TS!P313*0.4333</f>
        <v>1916.6539427499999</v>
      </c>
      <c r="T313" s="83">
        <f>Inputs!$G$5+TS!P313*0.4333</f>
        <v>1931.6539427499999</v>
      </c>
      <c r="U313" s="85">
        <f t="shared" si="99"/>
        <v>0.96582697137499995</v>
      </c>
      <c r="V313" s="86">
        <f t="shared" si="103"/>
        <v>0</v>
      </c>
      <c r="W313" s="86">
        <f t="shared" si="104"/>
        <v>0</v>
      </c>
      <c r="X313" s="86" t="e">
        <f>((PI()*((42-2*'Gen Calcs'!$E$13)^2)/4)/144)*(A356-#REF!)*(W313+14.7)/14.7</f>
        <v>#REF!</v>
      </c>
      <c r="Y313" s="86" t="e">
        <f t="shared" si="105"/>
        <v>#REF!</v>
      </c>
      <c r="Z313" s="86" t="e">
        <f t="shared" si="106"/>
        <v>#REF!</v>
      </c>
      <c r="AA313" s="83">
        <f>MAX(B$2:B313)-B313</f>
        <v>96.211000000000013</v>
      </c>
      <c r="AB313" s="83">
        <f t="shared" si="107"/>
        <v>41.659363000000006</v>
      </c>
      <c r="AC313" s="83">
        <f t="shared" si="92"/>
        <v>120</v>
      </c>
      <c r="AD313" s="72">
        <v>120</v>
      </c>
      <c r="AE313" s="73">
        <f t="shared" si="100"/>
        <v>907.92027688745009</v>
      </c>
      <c r="AF313" s="73">
        <f>SUM(AE$2:AE313)</f>
        <v>258405.71421456759</v>
      </c>
      <c r="AG313" s="73">
        <f t="shared" si="101"/>
        <v>915324.18821254163</v>
      </c>
    </row>
    <row r="314" spans="1:33" x14ac:dyDescent="0.25">
      <c r="A314" s="100">
        <v>124499.92</v>
      </c>
      <c r="B314" s="97">
        <v>728.36950000000002</v>
      </c>
      <c r="C314" s="97">
        <v>0.6</v>
      </c>
      <c r="D314" s="80">
        <f t="shared" si="102"/>
        <v>100</v>
      </c>
      <c r="E314" s="81">
        <f t="shared" si="94"/>
        <v>6791.2436711181272</v>
      </c>
      <c r="F314" s="81">
        <f>SUM(E$2:E314)</f>
        <v>1937727.4564469431</v>
      </c>
      <c r="G314" s="43">
        <f t="shared" si="91"/>
        <v>1</v>
      </c>
      <c r="H314" s="78">
        <v>1</v>
      </c>
      <c r="I314" s="15">
        <f t="shared" si="95"/>
        <v>0.6</v>
      </c>
      <c r="J314" s="16">
        <f>VLOOKUP(G314,Inputs!$L$3:$P$15,5,FALSE)</f>
        <v>2000</v>
      </c>
      <c r="K314" s="16">
        <f t="shared" si="96"/>
        <v>1825</v>
      </c>
      <c r="L314" s="79">
        <f>Inputs!$P$8-B314</f>
        <v>209.82150000000001</v>
      </c>
      <c r="M314" s="79">
        <f>Inputs!$Q$8+L314*0.433</f>
        <v>1915.8527094999999</v>
      </c>
      <c r="N314" s="82">
        <f t="shared" si="97"/>
        <v>124499.92</v>
      </c>
      <c r="O314" s="83">
        <f t="shared" si="98"/>
        <v>728.36950000000002</v>
      </c>
      <c r="P314" s="84">
        <f>IF(O314="","",Inputs!$C$5-O314)</f>
        <v>96.814999999999941</v>
      </c>
      <c r="Q314" s="83">
        <f>IF(N314="","",TS!J314)</f>
        <v>2000</v>
      </c>
      <c r="R314" s="83">
        <f>IF(N314="","",TS!K314)</f>
        <v>1825</v>
      </c>
      <c r="S314" s="83">
        <f>Inputs!$H$5+TS!P314*0.4333</f>
        <v>1916.91565595</v>
      </c>
      <c r="T314" s="83">
        <f>Inputs!$G$5+TS!P314*0.4333</f>
        <v>1931.91565595</v>
      </c>
      <c r="U314" s="85">
        <f t="shared" si="99"/>
        <v>0.96595782797499996</v>
      </c>
      <c r="V314" s="86">
        <f t="shared" si="103"/>
        <v>0</v>
      </c>
      <c r="W314" s="86">
        <f t="shared" si="104"/>
        <v>0</v>
      </c>
      <c r="X314" s="86" t="e">
        <f>((PI()*((42-2*'Gen Calcs'!$E$13)^2)/4)/144)*(A357-#REF!)*(W314+14.7)/14.7</f>
        <v>#REF!</v>
      </c>
      <c r="Y314" s="86" t="e">
        <f t="shared" si="105"/>
        <v>#REF!</v>
      </c>
      <c r="Z314" s="86" t="e">
        <f t="shared" si="106"/>
        <v>#REF!</v>
      </c>
      <c r="AA314" s="83">
        <f>MAX(B$2:B314)-B314</f>
        <v>96.814999999999941</v>
      </c>
      <c r="AB314" s="83">
        <f t="shared" si="107"/>
        <v>41.920894999999973</v>
      </c>
      <c r="AC314" s="83">
        <f t="shared" si="92"/>
        <v>120</v>
      </c>
      <c r="AD314" s="72">
        <v>120</v>
      </c>
      <c r="AE314" s="73">
        <f t="shared" si="100"/>
        <v>907.92027688745009</v>
      </c>
      <c r="AF314" s="73">
        <f>SUM(AE$2:AE314)</f>
        <v>259313.63449145504</v>
      </c>
      <c r="AG314" s="73">
        <f t="shared" si="101"/>
        <v>914416.26793565415</v>
      </c>
    </row>
    <row r="315" spans="1:33" x14ac:dyDescent="0.25">
      <c r="A315" s="99">
        <v>124599.92</v>
      </c>
      <c r="B315" s="96">
        <v>726.97810000000004</v>
      </c>
      <c r="C315" s="96">
        <v>0.6</v>
      </c>
      <c r="D315" s="80">
        <f t="shared" si="102"/>
        <v>100</v>
      </c>
      <c r="E315" s="81">
        <f t="shared" si="94"/>
        <v>6791.2436711181272</v>
      </c>
      <c r="F315" s="81">
        <f>SUM(E$2:E315)</f>
        <v>1944518.7001180612</v>
      </c>
      <c r="G315" s="43">
        <f t="shared" si="91"/>
        <v>1</v>
      </c>
      <c r="H315" s="78">
        <v>1</v>
      </c>
      <c r="I315" s="15">
        <f t="shared" si="95"/>
        <v>0.6</v>
      </c>
      <c r="J315" s="16">
        <f>VLOOKUP(G315,Inputs!$L$3:$P$15,5,FALSE)</f>
        <v>2000</v>
      </c>
      <c r="K315" s="16">
        <f t="shared" si="96"/>
        <v>1825</v>
      </c>
      <c r="L315" s="79">
        <f>Inputs!$P$8-B315</f>
        <v>211.21289999999999</v>
      </c>
      <c r="M315" s="79">
        <f>Inputs!$Q$8+L315*0.433</f>
        <v>1916.4551856999999</v>
      </c>
      <c r="N315" s="82">
        <f t="shared" si="97"/>
        <v>124599.92</v>
      </c>
      <c r="O315" s="83">
        <f t="shared" si="98"/>
        <v>726.97810000000004</v>
      </c>
      <c r="P315" s="84">
        <f>IF(O315="","",Inputs!$C$5-O315)</f>
        <v>98.206399999999917</v>
      </c>
      <c r="Q315" s="83">
        <f>IF(N315="","",TS!J315)</f>
        <v>2000</v>
      </c>
      <c r="R315" s="83">
        <f>IF(N315="","",TS!K315)</f>
        <v>1825</v>
      </c>
      <c r="S315" s="83">
        <f>Inputs!$H$5+TS!P315*0.4333</f>
        <v>1917.51854957</v>
      </c>
      <c r="T315" s="83">
        <f>Inputs!$G$5+TS!P315*0.4333</f>
        <v>1932.51854957</v>
      </c>
      <c r="U315" s="85">
        <f t="shared" si="99"/>
        <v>0.96625927478499996</v>
      </c>
      <c r="V315" s="86">
        <f t="shared" si="103"/>
        <v>0</v>
      </c>
      <c r="W315" s="86">
        <f t="shared" si="104"/>
        <v>0</v>
      </c>
      <c r="X315" s="86" t="e">
        <f>((PI()*((42-2*'Gen Calcs'!$E$13)^2)/4)/144)*(A358-#REF!)*(W315+14.7)/14.7</f>
        <v>#REF!</v>
      </c>
      <c r="Y315" s="86" t="e">
        <f t="shared" si="105"/>
        <v>#REF!</v>
      </c>
      <c r="Z315" s="86" t="e">
        <f t="shared" si="106"/>
        <v>#REF!</v>
      </c>
      <c r="AA315" s="83">
        <f>MAX(B$2:B315)-B315</f>
        <v>98.206399999999917</v>
      </c>
      <c r="AB315" s="83">
        <f t="shared" si="107"/>
        <v>42.523371199999964</v>
      </c>
      <c r="AC315" s="83">
        <f t="shared" si="92"/>
        <v>120</v>
      </c>
      <c r="AD315" s="72">
        <v>120</v>
      </c>
      <c r="AE315" s="73">
        <f t="shared" si="100"/>
        <v>907.92027688745009</v>
      </c>
      <c r="AF315" s="73">
        <f>SUM(AE$2:AE315)</f>
        <v>260221.5547683425</v>
      </c>
      <c r="AG315" s="73">
        <f t="shared" si="101"/>
        <v>913508.34765876667</v>
      </c>
    </row>
    <row r="316" spans="1:33" x14ac:dyDescent="0.25">
      <c r="A316" s="100">
        <v>124699.92</v>
      </c>
      <c r="B316" s="97">
        <v>726.77440000000001</v>
      </c>
      <c r="C316" s="97">
        <v>0.6</v>
      </c>
      <c r="D316" s="80">
        <f t="shared" si="102"/>
        <v>100</v>
      </c>
      <c r="E316" s="81">
        <f t="shared" si="94"/>
        <v>6791.2436711181272</v>
      </c>
      <c r="F316" s="81">
        <f>SUM(E$2:E316)</f>
        <v>1951309.9437891792</v>
      </c>
      <c r="G316" s="43">
        <f t="shared" si="91"/>
        <v>1</v>
      </c>
      <c r="H316" s="78">
        <v>1</v>
      </c>
      <c r="I316" s="15">
        <f t="shared" si="95"/>
        <v>0.6</v>
      </c>
      <c r="J316" s="16">
        <f>VLOOKUP(G316,Inputs!$L$3:$P$15,5,FALSE)</f>
        <v>2000</v>
      </c>
      <c r="K316" s="16">
        <f t="shared" si="96"/>
        <v>1825</v>
      </c>
      <c r="L316" s="79">
        <f>Inputs!$P$8-B316</f>
        <v>211.41660000000002</v>
      </c>
      <c r="M316" s="79">
        <f>Inputs!$Q$8+L316*0.433</f>
        <v>1916.5433877999999</v>
      </c>
      <c r="N316" s="82">
        <f t="shared" si="97"/>
        <v>124699.92</v>
      </c>
      <c r="O316" s="83">
        <f t="shared" si="98"/>
        <v>726.77440000000001</v>
      </c>
      <c r="P316" s="84">
        <f>IF(O316="","",Inputs!$C$5-O316)</f>
        <v>98.410099999999943</v>
      </c>
      <c r="Q316" s="83">
        <f>IF(N316="","",TS!J316)</f>
        <v>2000</v>
      </c>
      <c r="R316" s="83">
        <f>IF(N316="","",TS!K316)</f>
        <v>1825</v>
      </c>
      <c r="S316" s="83">
        <f>Inputs!$H$5+TS!P316*0.4333</f>
        <v>1917.6068127799999</v>
      </c>
      <c r="T316" s="83">
        <f>Inputs!$G$5+TS!P316*0.4333</f>
        <v>1932.6068127799999</v>
      </c>
      <c r="U316" s="85">
        <f t="shared" si="99"/>
        <v>0.96630340639000001</v>
      </c>
      <c r="V316" s="86">
        <f t="shared" si="103"/>
        <v>0</v>
      </c>
      <c r="W316" s="86">
        <f t="shared" si="104"/>
        <v>0</v>
      </c>
      <c r="X316" s="86" t="e">
        <f>((PI()*((42-2*'Gen Calcs'!$E$13)^2)/4)/144)*(A359-#REF!)*(W316+14.7)/14.7</f>
        <v>#REF!</v>
      </c>
      <c r="Y316" s="86" t="e">
        <f t="shared" si="105"/>
        <v>#REF!</v>
      </c>
      <c r="Z316" s="86" t="e">
        <f t="shared" si="106"/>
        <v>#REF!</v>
      </c>
      <c r="AA316" s="83">
        <f>MAX(B$2:B316)-B316</f>
        <v>98.410099999999943</v>
      </c>
      <c r="AB316" s="83">
        <f t="shared" si="107"/>
        <v>42.611573299999975</v>
      </c>
      <c r="AC316" s="83">
        <f t="shared" si="92"/>
        <v>120</v>
      </c>
      <c r="AD316" s="72">
        <v>120</v>
      </c>
      <c r="AE316" s="73">
        <f t="shared" si="100"/>
        <v>907.92027688745009</v>
      </c>
      <c r="AF316" s="73">
        <f>SUM(AE$2:AE316)</f>
        <v>261129.47504522995</v>
      </c>
      <c r="AG316" s="73">
        <f t="shared" si="101"/>
        <v>912600.42738187918</v>
      </c>
    </row>
    <row r="317" spans="1:33" x14ac:dyDescent="0.25">
      <c r="A317" s="99">
        <v>124799.92</v>
      </c>
      <c r="B317" s="96">
        <v>727.53</v>
      </c>
      <c r="C317" s="96">
        <v>0.6</v>
      </c>
      <c r="D317" s="80">
        <f t="shared" si="102"/>
        <v>100</v>
      </c>
      <c r="E317" s="81">
        <f t="shared" si="94"/>
        <v>6791.2436711181272</v>
      </c>
      <c r="F317" s="81">
        <f>SUM(E$2:E317)</f>
        <v>1958101.1874602973</v>
      </c>
      <c r="G317" s="43">
        <f t="shared" si="91"/>
        <v>1</v>
      </c>
      <c r="H317" s="78">
        <v>1</v>
      </c>
      <c r="I317" s="15">
        <f t="shared" si="95"/>
        <v>0.6</v>
      </c>
      <c r="J317" s="16">
        <f>VLOOKUP(G317,Inputs!$L$3:$P$15,5,FALSE)</f>
        <v>2000</v>
      </c>
      <c r="K317" s="16">
        <f t="shared" si="96"/>
        <v>1825</v>
      </c>
      <c r="L317" s="79">
        <f>Inputs!$P$8-B317</f>
        <v>210.66100000000006</v>
      </c>
      <c r="M317" s="79">
        <f>Inputs!$Q$8+L317*0.433</f>
        <v>1916.2162129999999</v>
      </c>
      <c r="N317" s="82">
        <f t="shared" si="97"/>
        <v>124799.92</v>
      </c>
      <c r="O317" s="83">
        <f t="shared" si="98"/>
        <v>727.53</v>
      </c>
      <c r="P317" s="84">
        <f>IF(O317="","",Inputs!$C$5-O317)</f>
        <v>97.654499999999985</v>
      </c>
      <c r="Q317" s="83">
        <f>IF(N317="","",TS!J317)</f>
        <v>2000</v>
      </c>
      <c r="R317" s="83">
        <f>IF(N317="","",TS!K317)</f>
        <v>1825</v>
      </c>
      <c r="S317" s="83">
        <f>Inputs!$H$5+TS!P317*0.4333</f>
        <v>1917.2794113</v>
      </c>
      <c r="T317" s="83">
        <f>Inputs!$G$5+TS!P317*0.4333</f>
        <v>1932.2794113</v>
      </c>
      <c r="U317" s="85">
        <f t="shared" si="99"/>
        <v>0.96613970564999996</v>
      </c>
      <c r="V317" s="86">
        <f t="shared" si="103"/>
        <v>0</v>
      </c>
      <c r="W317" s="86">
        <f t="shared" si="104"/>
        <v>0</v>
      </c>
      <c r="X317" s="86" t="e">
        <f>((PI()*((42-2*'Gen Calcs'!$E$13)^2)/4)/144)*(A360-#REF!)*(W317+14.7)/14.7</f>
        <v>#REF!</v>
      </c>
      <c r="Y317" s="86" t="e">
        <f t="shared" si="105"/>
        <v>#REF!</v>
      </c>
      <c r="Z317" s="86" t="e">
        <f t="shared" si="106"/>
        <v>#REF!</v>
      </c>
      <c r="AA317" s="83">
        <f>MAX(B$2:B317)-B317</f>
        <v>97.654499999999985</v>
      </c>
      <c r="AB317" s="83">
        <f t="shared" si="107"/>
        <v>42.284398499999995</v>
      </c>
      <c r="AC317" s="83">
        <f t="shared" si="92"/>
        <v>120</v>
      </c>
      <c r="AD317" s="72">
        <v>120</v>
      </c>
      <c r="AE317" s="73">
        <f t="shared" si="100"/>
        <v>907.92027688745009</v>
      </c>
      <c r="AF317" s="73">
        <f>SUM(AE$2:AE317)</f>
        <v>262037.3953221174</v>
      </c>
      <c r="AG317" s="73">
        <f t="shared" si="101"/>
        <v>911692.50710499182</v>
      </c>
    </row>
    <row r="318" spans="1:33" x14ac:dyDescent="0.25">
      <c r="A318" s="100">
        <v>124899.92</v>
      </c>
      <c r="B318" s="97">
        <v>727.67380000000003</v>
      </c>
      <c r="C318" s="97">
        <v>0.6</v>
      </c>
      <c r="D318" s="80">
        <f t="shared" si="102"/>
        <v>100</v>
      </c>
      <c r="E318" s="81">
        <f t="shared" si="94"/>
        <v>6791.2436711181272</v>
      </c>
      <c r="F318" s="81">
        <f>SUM(E$2:E318)</f>
        <v>1964892.4311314153</v>
      </c>
      <c r="G318" s="43">
        <f t="shared" si="91"/>
        <v>1</v>
      </c>
      <c r="H318" s="78">
        <v>1</v>
      </c>
      <c r="I318" s="15">
        <f t="shared" si="95"/>
        <v>0.6</v>
      </c>
      <c r="J318" s="16">
        <f>VLOOKUP(G318,Inputs!$L$3:$P$15,5,FALSE)</f>
        <v>2000</v>
      </c>
      <c r="K318" s="16">
        <f t="shared" si="96"/>
        <v>1825</v>
      </c>
      <c r="L318" s="79">
        <f>Inputs!$P$8-B318</f>
        <v>210.5172</v>
      </c>
      <c r="M318" s="79">
        <f>Inputs!$Q$8+L318*0.433</f>
        <v>1916.1539476</v>
      </c>
      <c r="N318" s="82">
        <f t="shared" si="97"/>
        <v>124899.92</v>
      </c>
      <c r="O318" s="83">
        <f t="shared" si="98"/>
        <v>727.67380000000003</v>
      </c>
      <c r="P318" s="84">
        <f>IF(O318="","",Inputs!$C$5-O318)</f>
        <v>97.510699999999929</v>
      </c>
      <c r="Q318" s="83">
        <f>IF(N318="","",TS!J318)</f>
        <v>2000</v>
      </c>
      <c r="R318" s="83">
        <f>IF(N318="","",TS!K318)</f>
        <v>1825</v>
      </c>
      <c r="S318" s="83">
        <f>Inputs!$H$5+TS!P318*0.4333</f>
        <v>1917.21710276</v>
      </c>
      <c r="T318" s="83">
        <f>Inputs!$G$5+TS!P318*0.4333</f>
        <v>1932.21710276</v>
      </c>
      <c r="U318" s="85">
        <f t="shared" si="99"/>
        <v>0.96610855137999996</v>
      </c>
      <c r="V318" s="86">
        <f t="shared" si="103"/>
        <v>0</v>
      </c>
      <c r="W318" s="86">
        <f t="shared" si="104"/>
        <v>0</v>
      </c>
      <c r="X318" s="86" t="e">
        <f>((PI()*((42-2*'Gen Calcs'!$E$13)^2)/4)/144)*(A361-#REF!)*(W318+14.7)/14.7</f>
        <v>#REF!</v>
      </c>
      <c r="Y318" s="86" t="e">
        <f t="shared" si="105"/>
        <v>#REF!</v>
      </c>
      <c r="Z318" s="86" t="e">
        <f t="shared" si="106"/>
        <v>#REF!</v>
      </c>
      <c r="AA318" s="83">
        <f>MAX(B$2:B318)-B318</f>
        <v>97.510699999999929</v>
      </c>
      <c r="AB318" s="83">
        <f t="shared" si="107"/>
        <v>42.222133099999972</v>
      </c>
      <c r="AC318" s="83">
        <f t="shared" si="92"/>
        <v>120</v>
      </c>
      <c r="AD318" s="72">
        <v>120</v>
      </c>
      <c r="AE318" s="73">
        <f t="shared" si="100"/>
        <v>907.92027688745009</v>
      </c>
      <c r="AF318" s="73">
        <f>SUM(AE$2:AE318)</f>
        <v>262945.31559900485</v>
      </c>
      <c r="AG318" s="73">
        <f t="shared" si="101"/>
        <v>910784.58682810434</v>
      </c>
    </row>
    <row r="319" spans="1:33" x14ac:dyDescent="0.25">
      <c r="A319" s="99">
        <v>124999.92</v>
      </c>
      <c r="B319" s="96">
        <v>726.44470000000001</v>
      </c>
      <c r="C319" s="96">
        <v>0.6</v>
      </c>
      <c r="D319" s="80">
        <f t="shared" si="102"/>
        <v>100</v>
      </c>
      <c r="E319" s="81">
        <f t="shared" si="94"/>
        <v>6791.2436711181272</v>
      </c>
      <c r="F319" s="81">
        <f>SUM(E$2:E319)</f>
        <v>1971683.6748025334</v>
      </c>
      <c r="G319" s="43">
        <f t="shared" si="91"/>
        <v>1</v>
      </c>
      <c r="H319" s="78">
        <v>1</v>
      </c>
      <c r="I319" s="15">
        <f t="shared" si="95"/>
        <v>0.6</v>
      </c>
      <c r="J319" s="16">
        <f>VLOOKUP(G319,Inputs!$L$3:$P$15,5,FALSE)</f>
        <v>2000</v>
      </c>
      <c r="K319" s="16">
        <f t="shared" si="96"/>
        <v>1825</v>
      </c>
      <c r="L319" s="79">
        <f>Inputs!$P$8-B319</f>
        <v>211.74630000000002</v>
      </c>
      <c r="M319" s="79">
        <f>Inputs!$Q$8+L319*0.433</f>
        <v>1916.6861478999999</v>
      </c>
      <c r="N319" s="82">
        <f t="shared" si="97"/>
        <v>124999.92</v>
      </c>
      <c r="O319" s="83">
        <f t="shared" si="98"/>
        <v>726.44470000000001</v>
      </c>
      <c r="P319" s="84">
        <f>IF(O319="","",Inputs!$C$5-O319)</f>
        <v>98.739799999999946</v>
      </c>
      <c r="Q319" s="83">
        <f>IF(N319="","",TS!J319)</f>
        <v>2000</v>
      </c>
      <c r="R319" s="83">
        <f>IF(N319="","",TS!K319)</f>
        <v>1825</v>
      </c>
      <c r="S319" s="83">
        <f>Inputs!$H$5+TS!P319*0.4333</f>
        <v>1917.7496717899999</v>
      </c>
      <c r="T319" s="83">
        <f>Inputs!$G$5+TS!P319*0.4333</f>
        <v>1932.7496717899999</v>
      </c>
      <c r="U319" s="85">
        <f t="shared" si="99"/>
        <v>0.96637483589499995</v>
      </c>
      <c r="V319" s="86">
        <f t="shared" si="103"/>
        <v>0</v>
      </c>
      <c r="W319" s="86">
        <f t="shared" si="104"/>
        <v>0</v>
      </c>
      <c r="X319" s="86" t="e">
        <f>((PI()*((42-2*'Gen Calcs'!$E$13)^2)/4)/144)*(A362-#REF!)*(W319+14.7)/14.7</f>
        <v>#REF!</v>
      </c>
      <c r="Y319" s="86" t="e">
        <f t="shared" si="105"/>
        <v>#REF!</v>
      </c>
      <c r="Z319" s="86" t="e">
        <f t="shared" si="106"/>
        <v>#REF!</v>
      </c>
      <c r="AA319" s="83">
        <f>MAX(B$2:B319)-B319</f>
        <v>98.739799999999946</v>
      </c>
      <c r="AB319" s="83">
        <f t="shared" si="107"/>
        <v>42.754333399999979</v>
      </c>
      <c r="AC319" s="83">
        <f t="shared" si="92"/>
        <v>120</v>
      </c>
      <c r="AD319" s="72">
        <v>120</v>
      </c>
      <c r="AE319" s="73">
        <f t="shared" si="100"/>
        <v>907.92027688745009</v>
      </c>
      <c r="AF319" s="73">
        <f>SUM(AE$2:AE319)</f>
        <v>263853.23587589228</v>
      </c>
      <c r="AG319" s="73">
        <f t="shared" si="101"/>
        <v>909876.66655121697</v>
      </c>
    </row>
    <row r="320" spans="1:33" x14ac:dyDescent="0.25">
      <c r="A320" s="100">
        <v>125099.92</v>
      </c>
      <c r="B320" s="97">
        <v>724.29290000000003</v>
      </c>
      <c r="C320" s="97">
        <v>0.6</v>
      </c>
      <c r="D320" s="80">
        <f t="shared" si="102"/>
        <v>100</v>
      </c>
      <c r="E320" s="81">
        <f t="shared" si="94"/>
        <v>6791.2436711181272</v>
      </c>
      <c r="F320" s="81">
        <f>SUM(E$2:E320)</f>
        <v>1978474.9184736514</v>
      </c>
      <c r="G320" s="43">
        <f t="shared" si="91"/>
        <v>1</v>
      </c>
      <c r="H320" s="78">
        <v>1</v>
      </c>
      <c r="I320" s="15">
        <f t="shared" si="95"/>
        <v>0.6</v>
      </c>
      <c r="J320" s="16">
        <f>VLOOKUP(G320,Inputs!$L$3:$P$15,5,FALSE)</f>
        <v>2000</v>
      </c>
      <c r="K320" s="16">
        <f t="shared" si="96"/>
        <v>1825</v>
      </c>
      <c r="L320" s="79">
        <f>Inputs!$P$8-B320</f>
        <v>213.8981</v>
      </c>
      <c r="M320" s="79">
        <f>Inputs!$Q$8+L320*0.433</f>
        <v>1917.6178772999999</v>
      </c>
      <c r="N320" s="82">
        <f t="shared" si="97"/>
        <v>125099.92</v>
      </c>
      <c r="O320" s="83">
        <f t="shared" si="98"/>
        <v>724.29290000000003</v>
      </c>
      <c r="P320" s="84">
        <f>IF(O320="","",Inputs!$C$5-O320)</f>
        <v>100.89159999999993</v>
      </c>
      <c r="Q320" s="83">
        <f>IF(N320="","",TS!J320)</f>
        <v>2000</v>
      </c>
      <c r="R320" s="83">
        <f>IF(N320="","",TS!K320)</f>
        <v>1825</v>
      </c>
      <c r="S320" s="83">
        <f>Inputs!$H$5+TS!P320*0.4333</f>
        <v>1918.6820467299999</v>
      </c>
      <c r="T320" s="83">
        <f>Inputs!$G$5+TS!P320*0.4333</f>
        <v>1933.6820467299999</v>
      </c>
      <c r="U320" s="85">
        <f t="shared" si="99"/>
        <v>0.966841023365</v>
      </c>
      <c r="V320" s="86">
        <f t="shared" si="103"/>
        <v>0</v>
      </c>
      <c r="W320" s="86">
        <f t="shared" si="104"/>
        <v>0</v>
      </c>
      <c r="X320" s="86" t="e">
        <f>((PI()*((42-2*'Gen Calcs'!$E$13)^2)/4)/144)*(A363-#REF!)*(W320+14.7)/14.7</f>
        <v>#REF!</v>
      </c>
      <c r="Y320" s="86" t="e">
        <f t="shared" si="105"/>
        <v>#REF!</v>
      </c>
      <c r="Z320" s="86" t="e">
        <f t="shared" si="106"/>
        <v>#REF!</v>
      </c>
      <c r="AA320" s="83">
        <f>MAX(B$2:B320)-B320</f>
        <v>100.89159999999993</v>
      </c>
      <c r="AB320" s="83">
        <f t="shared" si="107"/>
        <v>43.686062799999966</v>
      </c>
      <c r="AC320" s="83">
        <f t="shared" si="92"/>
        <v>120</v>
      </c>
      <c r="AD320" s="72">
        <v>120</v>
      </c>
      <c r="AE320" s="73">
        <f t="shared" si="100"/>
        <v>907.92027688745009</v>
      </c>
      <c r="AF320" s="73">
        <f>SUM(AE$2:AE320)</f>
        <v>264761.1561527797</v>
      </c>
      <c r="AG320" s="73">
        <f t="shared" si="101"/>
        <v>908968.74627432949</v>
      </c>
    </row>
    <row r="321" spans="1:33" x14ac:dyDescent="0.25">
      <c r="A321" s="99">
        <v>125156.3</v>
      </c>
      <c r="B321" s="96">
        <v>724.29290000000003</v>
      </c>
      <c r="C321" s="96">
        <v>0.86399999999999999</v>
      </c>
      <c r="D321" s="80">
        <f t="shared" si="102"/>
        <v>56.380000000004657</v>
      </c>
      <c r="E321" s="81">
        <f t="shared" si="94"/>
        <v>3828.9031817767163</v>
      </c>
      <c r="F321" s="81">
        <f>SUM(E$2:E321)</f>
        <v>1982303.821655428</v>
      </c>
      <c r="G321" s="43">
        <f t="shared" si="91"/>
        <v>2</v>
      </c>
      <c r="H321" s="78">
        <v>1</v>
      </c>
      <c r="I321" s="15">
        <f t="shared" si="95"/>
        <v>0.86399999999999999</v>
      </c>
      <c r="J321" s="16">
        <f>VLOOKUP(G321,Inputs!$L$3:$P$15,5,FALSE)</f>
        <v>2880</v>
      </c>
      <c r="K321" s="16">
        <f t="shared" si="96"/>
        <v>1825</v>
      </c>
      <c r="L321" s="79">
        <f>Inputs!$P$8-B321</f>
        <v>213.8981</v>
      </c>
      <c r="M321" s="79">
        <f>Inputs!$Q$8+L321*0.433</f>
        <v>1917.6178772999999</v>
      </c>
      <c r="N321" s="82">
        <f t="shared" si="97"/>
        <v>125156.3</v>
      </c>
      <c r="O321" s="83">
        <f t="shared" si="98"/>
        <v>724.29290000000003</v>
      </c>
      <c r="P321" s="84">
        <f>IF(O321="","",Inputs!$C$5-O321)</f>
        <v>100.89159999999993</v>
      </c>
      <c r="Q321" s="83">
        <f>IF(N321="","",TS!J321)</f>
        <v>2880</v>
      </c>
      <c r="R321" s="83">
        <f>IF(N321="","",TS!K321)</f>
        <v>1825</v>
      </c>
      <c r="S321" s="83">
        <f>Inputs!$H$5+TS!P321*0.4333</f>
        <v>1918.6820467299999</v>
      </c>
      <c r="T321" s="83">
        <f>Inputs!$G$5+TS!P321*0.4333</f>
        <v>1933.6820467299999</v>
      </c>
      <c r="U321" s="85">
        <f t="shared" si="99"/>
        <v>0.67141737733680551</v>
      </c>
      <c r="V321" s="86">
        <f t="shared" si="103"/>
        <v>0</v>
      </c>
      <c r="W321" s="86">
        <f t="shared" si="104"/>
        <v>0</v>
      </c>
      <c r="X321" s="86" t="e">
        <f>((PI()*((42-2*'Gen Calcs'!$E$13)^2)/4)/144)*(A364-#REF!)*(W321+14.7)/14.7</f>
        <v>#REF!</v>
      </c>
      <c r="Y321" s="86" t="e">
        <f t="shared" si="105"/>
        <v>#REF!</v>
      </c>
      <c r="Z321" s="86" t="e">
        <f t="shared" si="106"/>
        <v>#REF!</v>
      </c>
      <c r="AA321" s="83">
        <f>MAX(B$2:B321)-B321</f>
        <v>100.89159999999993</v>
      </c>
      <c r="AB321" s="83">
        <f t="shared" si="107"/>
        <v>43.686062799999966</v>
      </c>
      <c r="AC321" s="83">
        <f t="shared" si="92"/>
        <v>120</v>
      </c>
      <c r="AD321" s="72">
        <v>120</v>
      </c>
      <c r="AE321" s="73">
        <f t="shared" si="100"/>
        <v>498.72237970124678</v>
      </c>
      <c r="AF321" s="73">
        <f>SUM(AE$2:AE321)</f>
        <v>265259.87853248097</v>
      </c>
      <c r="AG321" s="73">
        <f t="shared" si="101"/>
        <v>908470.02389462828</v>
      </c>
    </row>
    <row r="322" spans="1:33" x14ac:dyDescent="0.25">
      <c r="A322" s="100">
        <v>125199.92</v>
      </c>
      <c r="B322" s="97">
        <v>719.16369999999995</v>
      </c>
      <c r="C322" s="97">
        <v>0.6</v>
      </c>
      <c r="D322" s="80">
        <f t="shared" si="102"/>
        <v>43.619999999995343</v>
      </c>
      <c r="E322" s="81">
        <f t="shared" si="94"/>
        <v>2962.3404893414108</v>
      </c>
      <c r="F322" s="81">
        <f>SUM(E$2:E322)</f>
        <v>1985266.1621447694</v>
      </c>
      <c r="G322" s="43">
        <f t="shared" si="91"/>
        <v>1</v>
      </c>
      <c r="H322" s="78">
        <v>1</v>
      </c>
      <c r="I322" s="15">
        <f t="shared" si="95"/>
        <v>0.6</v>
      </c>
      <c r="J322" s="16">
        <f>VLOOKUP(G322,Inputs!$L$3:$P$15,5,FALSE)</f>
        <v>2000</v>
      </c>
      <c r="K322" s="16">
        <f t="shared" si="96"/>
        <v>1825</v>
      </c>
      <c r="L322" s="79">
        <f>Inputs!$P$8-B322</f>
        <v>219.02730000000008</v>
      </c>
      <c r="M322" s="79">
        <f>Inputs!$Q$8+L322*0.433</f>
        <v>1919.8388209</v>
      </c>
      <c r="N322" s="82">
        <f t="shared" si="97"/>
        <v>125199.92</v>
      </c>
      <c r="O322" s="83">
        <f t="shared" si="98"/>
        <v>719.16369999999995</v>
      </c>
      <c r="P322" s="84">
        <f>IF(O322="","",Inputs!$C$5-O322)</f>
        <v>106.02080000000001</v>
      </c>
      <c r="Q322" s="83">
        <f>IF(N322="","",TS!J322)</f>
        <v>2000</v>
      </c>
      <c r="R322" s="83">
        <f>IF(N322="","",TS!K322)</f>
        <v>1825</v>
      </c>
      <c r="S322" s="83">
        <f>Inputs!$H$5+TS!P322*0.4333</f>
        <v>1920.9045290899999</v>
      </c>
      <c r="T322" s="83">
        <f>Inputs!$G$5+TS!P322*0.4333</f>
        <v>1935.9045290899999</v>
      </c>
      <c r="U322" s="85">
        <f t="shared" si="99"/>
        <v>0.96795226454499994</v>
      </c>
      <c r="V322" s="86">
        <f t="shared" si="103"/>
        <v>0</v>
      </c>
      <c r="W322" s="86">
        <f t="shared" si="104"/>
        <v>0</v>
      </c>
      <c r="X322" s="86" t="e">
        <f>((PI()*((42-2*'Gen Calcs'!$E$13)^2)/4)/144)*(A365-#REF!)*(W322+14.7)/14.7</f>
        <v>#REF!</v>
      </c>
      <c r="Y322" s="86" t="e">
        <f t="shared" si="105"/>
        <v>#REF!</v>
      </c>
      <c r="Z322" s="86" t="e">
        <f t="shared" si="106"/>
        <v>#REF!</v>
      </c>
      <c r="AA322" s="83">
        <f>MAX(B$2:B322)-B322</f>
        <v>106.02080000000001</v>
      </c>
      <c r="AB322" s="83">
        <f t="shared" si="107"/>
        <v>45.9070064</v>
      </c>
      <c r="AC322" s="83">
        <f t="shared" si="92"/>
        <v>120</v>
      </c>
      <c r="AD322" s="72">
        <v>120</v>
      </c>
      <c r="AE322" s="73">
        <f t="shared" si="100"/>
        <v>396.03482477826344</v>
      </c>
      <c r="AF322" s="73">
        <f>SUM(AE$2:AE322)</f>
        <v>265655.91335725924</v>
      </c>
      <c r="AG322" s="73">
        <f t="shared" si="101"/>
        <v>908073.98906984995</v>
      </c>
    </row>
    <row r="323" spans="1:33" x14ac:dyDescent="0.25">
      <c r="A323" s="99">
        <v>125236.3</v>
      </c>
      <c r="B323" s="96">
        <v>719.16369999999995</v>
      </c>
      <c r="C323" s="96">
        <v>0.86399999999999999</v>
      </c>
      <c r="D323" s="80">
        <f t="shared" si="102"/>
        <v>36.380000000004657</v>
      </c>
      <c r="E323" s="81">
        <f t="shared" si="94"/>
        <v>2470.6544475530909</v>
      </c>
      <c r="F323" s="81">
        <f>SUM(E$2:E323)</f>
        <v>1987736.8165923224</v>
      </c>
      <c r="G323" s="43">
        <f t="shared" ref="G323:G386" si="108">IF(C323=0.72,12,IF(C323=1,11,IF(C323=0.825,10,IF(C323=0.6,1,IF(C323=0.864,2,IF(C323=0.888,3))))))</f>
        <v>2</v>
      </c>
      <c r="H323" s="78">
        <v>1</v>
      </c>
      <c r="I323" s="15">
        <f t="shared" si="95"/>
        <v>0.86399999999999999</v>
      </c>
      <c r="J323" s="16">
        <f>VLOOKUP(G323,Inputs!$L$3:$P$15,5,FALSE)</f>
        <v>2880</v>
      </c>
      <c r="K323" s="16">
        <f t="shared" si="96"/>
        <v>1825</v>
      </c>
      <c r="L323" s="79">
        <f>Inputs!$P$8-B323</f>
        <v>219.02730000000008</v>
      </c>
      <c r="M323" s="79">
        <f>Inputs!$Q$8+L323*0.433</f>
        <v>1919.8388209</v>
      </c>
      <c r="N323" s="82">
        <f t="shared" si="97"/>
        <v>125236.3</v>
      </c>
      <c r="O323" s="83">
        <f t="shared" si="98"/>
        <v>719.16369999999995</v>
      </c>
      <c r="P323" s="84">
        <f>IF(O323="","",Inputs!$C$5-O323)</f>
        <v>106.02080000000001</v>
      </c>
      <c r="Q323" s="83">
        <f>IF(N323="","",TS!J323)</f>
        <v>2880</v>
      </c>
      <c r="R323" s="83">
        <f>IF(N323="","",TS!K323)</f>
        <v>1825</v>
      </c>
      <c r="S323" s="83">
        <f>Inputs!$H$5+TS!P323*0.4333</f>
        <v>1920.9045290899999</v>
      </c>
      <c r="T323" s="83">
        <f>Inputs!$G$5+TS!P323*0.4333</f>
        <v>1935.9045290899999</v>
      </c>
      <c r="U323" s="85">
        <f t="shared" si="99"/>
        <v>0.67218907260069438</v>
      </c>
      <c r="V323" s="86">
        <f t="shared" si="103"/>
        <v>0</v>
      </c>
      <c r="W323" s="86">
        <f t="shared" si="104"/>
        <v>0</v>
      </c>
      <c r="X323" s="86" t="e">
        <f>((PI()*((42-2*'Gen Calcs'!$E$13)^2)/4)/144)*(A366-#REF!)*(W323+14.7)/14.7</f>
        <v>#REF!</v>
      </c>
      <c r="Y323" s="86" t="e">
        <f t="shared" si="105"/>
        <v>#REF!</v>
      </c>
      <c r="Z323" s="86" t="e">
        <f t="shared" si="106"/>
        <v>#REF!</v>
      </c>
      <c r="AA323" s="83">
        <f>MAX(B$2:B323)-B323</f>
        <v>106.02080000000001</v>
      </c>
      <c r="AB323" s="83">
        <f t="shared" si="107"/>
        <v>45.9070064</v>
      </c>
      <c r="AC323" s="83">
        <f t="shared" ref="AC323:AC386" si="109">((MAX(O$2:O$1348)-O323)-(MAX(O$2:O$1348)-O323))*0.433+AD323</f>
        <v>120</v>
      </c>
      <c r="AD323" s="72">
        <v>120</v>
      </c>
      <c r="AE323" s="73">
        <f t="shared" si="100"/>
        <v>321.80773631664033</v>
      </c>
      <c r="AF323" s="73">
        <f>SUM(AE$2:AE323)</f>
        <v>265977.72109357588</v>
      </c>
      <c r="AG323" s="73">
        <f t="shared" si="101"/>
        <v>907752.18133353326</v>
      </c>
    </row>
    <row r="324" spans="1:33" x14ac:dyDescent="0.25">
      <c r="A324" s="100">
        <v>125299.92</v>
      </c>
      <c r="B324" s="97">
        <v>713.35900000000004</v>
      </c>
      <c r="C324" s="97">
        <v>0.6</v>
      </c>
      <c r="D324" s="80">
        <f t="shared" si="102"/>
        <v>63.619999999995343</v>
      </c>
      <c r="E324" s="81">
        <f t="shared" si="94"/>
        <v>4320.5892235650363</v>
      </c>
      <c r="F324" s="81">
        <f>SUM(E$2:E324)</f>
        <v>1992057.4058158875</v>
      </c>
      <c r="G324" s="43">
        <f t="shared" si="108"/>
        <v>1</v>
      </c>
      <c r="H324" s="78">
        <v>1</v>
      </c>
      <c r="I324" s="15">
        <f t="shared" si="95"/>
        <v>0.6</v>
      </c>
      <c r="J324" s="16">
        <f>VLOOKUP(G324,Inputs!$L$3:$P$15,5,FALSE)</f>
        <v>2000</v>
      </c>
      <c r="K324" s="16">
        <f t="shared" si="96"/>
        <v>1825</v>
      </c>
      <c r="L324" s="79">
        <f>Inputs!$P$8-B324</f>
        <v>224.83199999999999</v>
      </c>
      <c r="M324" s="79">
        <f>Inputs!$Q$8+L324*0.433</f>
        <v>1922.3522559999999</v>
      </c>
      <c r="N324" s="82">
        <f t="shared" si="97"/>
        <v>125299.92</v>
      </c>
      <c r="O324" s="83">
        <f t="shared" si="98"/>
        <v>713.35900000000004</v>
      </c>
      <c r="P324" s="84">
        <f>IF(O324="","",Inputs!$C$5-O324)</f>
        <v>111.82549999999992</v>
      </c>
      <c r="Q324" s="83">
        <f>IF(N324="","",TS!J324)</f>
        <v>2000</v>
      </c>
      <c r="R324" s="83">
        <f>IF(N324="","",TS!K324)</f>
        <v>1825</v>
      </c>
      <c r="S324" s="83">
        <f>Inputs!$H$5+TS!P324*0.4333</f>
        <v>1923.4197055999998</v>
      </c>
      <c r="T324" s="83">
        <f>Inputs!$G$5+TS!P324*0.4333</f>
        <v>1938.4197055999998</v>
      </c>
      <c r="U324" s="85">
        <f t="shared" si="99"/>
        <v>0.96920985279999994</v>
      </c>
      <c r="V324" s="86">
        <f t="shared" si="103"/>
        <v>0</v>
      </c>
      <c r="W324" s="86">
        <f t="shared" si="104"/>
        <v>0</v>
      </c>
      <c r="X324" s="86" t="e">
        <f>((PI()*((42-2*'Gen Calcs'!$E$13)^2)/4)/144)*(A367-#REF!)*(W324+14.7)/14.7</f>
        <v>#REF!</v>
      </c>
      <c r="Y324" s="86" t="e">
        <f t="shared" si="105"/>
        <v>#REF!</v>
      </c>
      <c r="Z324" s="86" t="e">
        <f t="shared" si="106"/>
        <v>#REF!</v>
      </c>
      <c r="AA324" s="83">
        <f>MAX(B$2:B324)-B324</f>
        <v>111.82549999999992</v>
      </c>
      <c r="AB324" s="83">
        <f t="shared" si="107"/>
        <v>48.420441499999967</v>
      </c>
      <c r="AC324" s="83">
        <f t="shared" si="109"/>
        <v>120</v>
      </c>
      <c r="AD324" s="72">
        <v>120</v>
      </c>
      <c r="AE324" s="73">
        <f t="shared" si="100"/>
        <v>577.61888015575346</v>
      </c>
      <c r="AF324" s="73">
        <f>SUM(AE$2:AE324)</f>
        <v>266555.33997373161</v>
      </c>
      <c r="AG324" s="73">
        <f t="shared" si="101"/>
        <v>907174.56245337753</v>
      </c>
    </row>
    <row r="325" spans="1:33" x14ac:dyDescent="0.25">
      <c r="A325" s="99">
        <v>125399.92</v>
      </c>
      <c r="B325" s="96">
        <v>707.14300000000003</v>
      </c>
      <c r="C325" s="96">
        <v>0.6</v>
      </c>
      <c r="D325" s="80">
        <f t="shared" si="102"/>
        <v>100</v>
      </c>
      <c r="E325" s="81">
        <f t="shared" ref="E325:E388" si="110">(PI()/4*(42/12-(2*C367/12))^2)*(D325)*7.48</f>
        <v>6791.2436711181272</v>
      </c>
      <c r="F325" s="81">
        <f>SUM(E$2:E325)</f>
        <v>1998848.6494870055</v>
      </c>
      <c r="G325" s="43">
        <f t="shared" si="108"/>
        <v>1</v>
      </c>
      <c r="H325" s="78">
        <v>1</v>
      </c>
      <c r="I325" s="15">
        <f t="shared" ref="I325:I388" si="111">C325</f>
        <v>0.6</v>
      </c>
      <c r="J325" s="16">
        <f>VLOOKUP(G325,Inputs!$L$3:$P$15,5,FALSE)</f>
        <v>2000</v>
      </c>
      <c r="K325" s="16">
        <f t="shared" ref="K325:K388" si="112">IF(H325=1,1825,IF(H325=2,1825,2220))</f>
        <v>1825</v>
      </c>
      <c r="L325" s="79">
        <f>Inputs!$P$8-B325</f>
        <v>231.048</v>
      </c>
      <c r="M325" s="79">
        <f>Inputs!$Q$8+L325*0.433</f>
        <v>1925.043784</v>
      </c>
      <c r="N325" s="82">
        <f t="shared" ref="N325:N388" si="113">A325</f>
        <v>125399.92</v>
      </c>
      <c r="O325" s="83">
        <f t="shared" ref="O325:O388" si="114">B325</f>
        <v>707.14300000000003</v>
      </c>
      <c r="P325" s="84">
        <f>IF(O325="","",Inputs!$C$5-O325)</f>
        <v>118.04149999999993</v>
      </c>
      <c r="Q325" s="83">
        <f>IF(N325="","",TS!J325)</f>
        <v>2000</v>
      </c>
      <c r="R325" s="83">
        <f>IF(N325="","",TS!K325)</f>
        <v>1825</v>
      </c>
      <c r="S325" s="83">
        <f>Inputs!$H$5+TS!P325*0.4333</f>
        <v>1926.1130983999999</v>
      </c>
      <c r="T325" s="83">
        <f>Inputs!$G$5+TS!P325*0.4333</f>
        <v>1941.1130983999999</v>
      </c>
      <c r="U325" s="85">
        <f t="shared" ref="U325:U388" si="115">T325/(140000*C325/42)</f>
        <v>0.9705565491999999</v>
      </c>
      <c r="V325" s="86">
        <f t="shared" si="103"/>
        <v>0</v>
      </c>
      <c r="W325" s="86">
        <f t="shared" si="104"/>
        <v>0</v>
      </c>
      <c r="X325" s="86" t="e">
        <f>((PI()*((42-2*'Gen Calcs'!$E$13)^2)/4)/144)*(A368-#REF!)*(W325+14.7)/14.7</f>
        <v>#REF!</v>
      </c>
      <c r="Y325" s="86" t="e">
        <f t="shared" si="105"/>
        <v>#REF!</v>
      </c>
      <c r="Z325" s="86" t="e">
        <f t="shared" si="106"/>
        <v>#REF!</v>
      </c>
      <c r="AA325" s="83">
        <f>MAX(B$2:B325)-B325</f>
        <v>118.04149999999993</v>
      </c>
      <c r="AB325" s="83">
        <f t="shared" si="107"/>
        <v>51.111969499999965</v>
      </c>
      <c r="AC325" s="83">
        <f t="shared" si="109"/>
        <v>120</v>
      </c>
      <c r="AD325" s="72">
        <v>120</v>
      </c>
      <c r="AE325" s="73">
        <f t="shared" ref="AE325:AE388" si="116">PI()*(((42-2*C325)/12)^2/4)*D325</f>
        <v>907.92027688745009</v>
      </c>
      <c r="AF325" s="73">
        <f>SUM(AE$2:AE325)</f>
        <v>267463.26025061903</v>
      </c>
      <c r="AG325" s="73">
        <f t="shared" ref="AG325:AG388" si="117">AF$1391-AF325</f>
        <v>906266.64217649016</v>
      </c>
    </row>
    <row r="326" spans="1:33" x14ac:dyDescent="0.25">
      <c r="A326" s="100">
        <v>125499.92</v>
      </c>
      <c r="B326" s="97">
        <v>694.05229999999995</v>
      </c>
      <c r="C326" s="97">
        <v>0.6</v>
      </c>
      <c r="D326" s="80">
        <f t="shared" si="102"/>
        <v>100</v>
      </c>
      <c r="E326" s="81">
        <f t="shared" si="110"/>
        <v>6791.2436711181272</v>
      </c>
      <c r="F326" s="81">
        <f>SUM(E$2:E326)</f>
        <v>2005639.8931581236</v>
      </c>
      <c r="G326" s="43">
        <f t="shared" si="108"/>
        <v>1</v>
      </c>
      <c r="H326" s="78">
        <v>1</v>
      </c>
      <c r="I326" s="15">
        <f t="shared" si="111"/>
        <v>0.6</v>
      </c>
      <c r="J326" s="16">
        <f>VLOOKUP(G326,Inputs!$L$3:$P$15,5,FALSE)</f>
        <v>2000</v>
      </c>
      <c r="K326" s="16">
        <f t="shared" si="112"/>
        <v>1825</v>
      </c>
      <c r="L326" s="79">
        <f>Inputs!$P$8-B326</f>
        <v>244.13870000000009</v>
      </c>
      <c r="M326" s="79">
        <f>Inputs!$Q$8+L326*0.433</f>
        <v>1930.7120571</v>
      </c>
      <c r="N326" s="82">
        <f t="shared" si="113"/>
        <v>125499.92</v>
      </c>
      <c r="O326" s="83">
        <f t="shared" si="114"/>
        <v>694.05229999999995</v>
      </c>
      <c r="P326" s="84">
        <f>IF(O326="","",Inputs!$C$5-O326)</f>
        <v>131.13220000000001</v>
      </c>
      <c r="Q326" s="83">
        <f>IF(N326="","",TS!J326)</f>
        <v>2000</v>
      </c>
      <c r="R326" s="83">
        <f>IF(N326="","",TS!K326)</f>
        <v>1825</v>
      </c>
      <c r="S326" s="83">
        <f>Inputs!$H$5+TS!P326*0.4333</f>
        <v>1931.78529871</v>
      </c>
      <c r="T326" s="83">
        <f>Inputs!$G$5+TS!P326*0.4333</f>
        <v>1946.78529871</v>
      </c>
      <c r="U326" s="85">
        <f t="shared" si="115"/>
        <v>0.97339264935500003</v>
      </c>
      <c r="V326" s="86">
        <f t="shared" si="103"/>
        <v>0</v>
      </c>
      <c r="W326" s="86">
        <f t="shared" si="104"/>
        <v>0</v>
      </c>
      <c r="X326" s="86" t="e">
        <f>((PI()*((42-2*'Gen Calcs'!$E$13)^2)/4)/144)*(A369-#REF!)*(W326+14.7)/14.7</f>
        <v>#REF!</v>
      </c>
      <c r="Y326" s="86" t="e">
        <f t="shared" si="105"/>
        <v>#REF!</v>
      </c>
      <c r="Z326" s="86" t="e">
        <f t="shared" si="106"/>
        <v>#REF!</v>
      </c>
      <c r="AA326" s="83">
        <f>MAX(B$2:B326)-B326</f>
        <v>131.13220000000001</v>
      </c>
      <c r="AB326" s="83">
        <f t="shared" si="107"/>
        <v>56.780242600000001</v>
      </c>
      <c r="AC326" s="83">
        <f t="shared" si="109"/>
        <v>120</v>
      </c>
      <c r="AD326" s="72">
        <v>120</v>
      </c>
      <c r="AE326" s="73">
        <f t="shared" si="116"/>
        <v>907.92027688745009</v>
      </c>
      <c r="AF326" s="73">
        <f>SUM(AE$2:AE326)</f>
        <v>268371.18052750645</v>
      </c>
      <c r="AG326" s="73">
        <f t="shared" si="117"/>
        <v>905358.7218996028</v>
      </c>
    </row>
    <row r="327" spans="1:33" x14ac:dyDescent="0.25">
      <c r="A327" s="99">
        <v>125599.92</v>
      </c>
      <c r="B327" s="96">
        <v>685.59529999999995</v>
      </c>
      <c r="C327" s="96">
        <v>0.6</v>
      </c>
      <c r="D327" s="80">
        <f t="shared" si="102"/>
        <v>100</v>
      </c>
      <c r="E327" s="81">
        <f t="shared" si="110"/>
        <v>6791.2436711181272</v>
      </c>
      <c r="F327" s="81">
        <f>SUM(E$2:E327)</f>
        <v>2012431.1368292416</v>
      </c>
      <c r="G327" s="43">
        <f t="shared" si="108"/>
        <v>1</v>
      </c>
      <c r="H327" s="78">
        <v>1</v>
      </c>
      <c r="I327" s="15">
        <f t="shared" si="111"/>
        <v>0.6</v>
      </c>
      <c r="J327" s="16">
        <f>VLOOKUP(G327,Inputs!$L$3:$P$15,5,FALSE)</f>
        <v>2000</v>
      </c>
      <c r="K327" s="16">
        <f t="shared" si="112"/>
        <v>1825</v>
      </c>
      <c r="L327" s="79">
        <f>Inputs!$P$8-B327</f>
        <v>252.59570000000008</v>
      </c>
      <c r="M327" s="79">
        <f>Inputs!$Q$8+L327*0.433</f>
        <v>1934.3739381</v>
      </c>
      <c r="N327" s="82">
        <f t="shared" si="113"/>
        <v>125599.92</v>
      </c>
      <c r="O327" s="83">
        <f t="shared" si="114"/>
        <v>685.59529999999995</v>
      </c>
      <c r="P327" s="84">
        <f>IF(O327="","",Inputs!$C$5-O327)</f>
        <v>139.58920000000001</v>
      </c>
      <c r="Q327" s="83">
        <f>IF(N327="","",TS!J327)</f>
        <v>2000</v>
      </c>
      <c r="R327" s="83">
        <f>IF(N327="","",TS!K327)</f>
        <v>1825</v>
      </c>
      <c r="S327" s="83">
        <f>Inputs!$H$5+TS!P327*0.4333</f>
        <v>1935.4497168099999</v>
      </c>
      <c r="T327" s="83">
        <f>Inputs!$G$5+TS!P327*0.4333</f>
        <v>1950.4497168099999</v>
      </c>
      <c r="U327" s="85">
        <f t="shared" si="115"/>
        <v>0.97522485840499995</v>
      </c>
      <c r="V327" s="86">
        <f t="shared" si="103"/>
        <v>0</v>
      </c>
      <c r="W327" s="86">
        <f t="shared" si="104"/>
        <v>0</v>
      </c>
      <c r="X327" s="86" t="e">
        <f>((PI()*((42-2*'Gen Calcs'!$E$13)^2)/4)/144)*(A370-#REF!)*(W327+14.7)/14.7</f>
        <v>#REF!</v>
      </c>
      <c r="Y327" s="86" t="e">
        <f t="shared" si="105"/>
        <v>#REF!</v>
      </c>
      <c r="Z327" s="86" t="e">
        <f t="shared" si="106"/>
        <v>#REF!</v>
      </c>
      <c r="AA327" s="83">
        <f>MAX(B$2:B327)-B327</f>
        <v>139.58920000000001</v>
      </c>
      <c r="AB327" s="83">
        <f t="shared" si="107"/>
        <v>60.442123600000002</v>
      </c>
      <c r="AC327" s="83">
        <f t="shared" si="109"/>
        <v>120</v>
      </c>
      <c r="AD327" s="72">
        <v>120</v>
      </c>
      <c r="AE327" s="73">
        <f t="shared" si="116"/>
        <v>907.92027688745009</v>
      </c>
      <c r="AF327" s="73">
        <f>SUM(AE$2:AE327)</f>
        <v>269279.10080439388</v>
      </c>
      <c r="AG327" s="73">
        <f t="shared" si="117"/>
        <v>904450.80162271531</v>
      </c>
    </row>
    <row r="328" spans="1:33" x14ac:dyDescent="0.25">
      <c r="A328" s="100">
        <v>125699.92</v>
      </c>
      <c r="B328" s="97">
        <v>703.16510000000005</v>
      </c>
      <c r="C328" s="97">
        <v>0.6</v>
      </c>
      <c r="D328" s="80">
        <f t="shared" si="102"/>
        <v>100</v>
      </c>
      <c r="E328" s="81">
        <f t="shared" si="110"/>
        <v>6791.2436711181272</v>
      </c>
      <c r="F328" s="81">
        <f>SUM(E$2:E328)</f>
        <v>2019222.3805003597</v>
      </c>
      <c r="G328" s="43">
        <f t="shared" si="108"/>
        <v>1</v>
      </c>
      <c r="H328" s="78">
        <v>1</v>
      </c>
      <c r="I328" s="15">
        <f t="shared" si="111"/>
        <v>0.6</v>
      </c>
      <c r="J328" s="16">
        <f>VLOOKUP(G328,Inputs!$L$3:$P$15,5,FALSE)</f>
        <v>2000</v>
      </c>
      <c r="K328" s="16">
        <f t="shared" si="112"/>
        <v>1825</v>
      </c>
      <c r="L328" s="79">
        <f>Inputs!$P$8-B328</f>
        <v>235.02589999999998</v>
      </c>
      <c r="M328" s="79">
        <f>Inputs!$Q$8+L328*0.433</f>
        <v>1926.7662147000001</v>
      </c>
      <c r="N328" s="82">
        <f t="shared" si="113"/>
        <v>125699.92</v>
      </c>
      <c r="O328" s="83">
        <f t="shared" si="114"/>
        <v>703.16510000000005</v>
      </c>
      <c r="P328" s="84">
        <f>IF(O328="","",Inputs!$C$5-O328)</f>
        <v>122.01939999999991</v>
      </c>
      <c r="Q328" s="83">
        <f>IF(N328="","",TS!J328)</f>
        <v>2000</v>
      </c>
      <c r="R328" s="83">
        <f>IF(N328="","",TS!K328)</f>
        <v>1825</v>
      </c>
      <c r="S328" s="83">
        <f>Inputs!$H$5+TS!P328*0.4333</f>
        <v>1927.8367224699998</v>
      </c>
      <c r="T328" s="83">
        <f>Inputs!$G$5+TS!P328*0.4333</f>
        <v>1942.8367224699998</v>
      </c>
      <c r="U328" s="85">
        <f t="shared" si="115"/>
        <v>0.97141836123499992</v>
      </c>
      <c r="V328" s="86">
        <f t="shared" si="103"/>
        <v>0</v>
      </c>
      <c r="W328" s="86">
        <f t="shared" si="104"/>
        <v>0</v>
      </c>
      <c r="X328" s="86" t="e">
        <f>((PI()*((42-2*'Gen Calcs'!$E$13)^2)/4)/144)*(A371-#REF!)*(W328+14.7)/14.7</f>
        <v>#REF!</v>
      </c>
      <c r="Y328" s="86" t="e">
        <f t="shared" si="105"/>
        <v>#REF!</v>
      </c>
      <c r="Z328" s="86" t="e">
        <f t="shared" si="106"/>
        <v>#REF!</v>
      </c>
      <c r="AA328" s="83">
        <f>MAX(B$2:B328)-B328</f>
        <v>122.01939999999991</v>
      </c>
      <c r="AB328" s="83">
        <f t="shared" si="107"/>
        <v>52.834400199999955</v>
      </c>
      <c r="AC328" s="83">
        <f t="shared" si="109"/>
        <v>120</v>
      </c>
      <c r="AD328" s="72">
        <v>120</v>
      </c>
      <c r="AE328" s="73">
        <f t="shared" si="116"/>
        <v>907.92027688745009</v>
      </c>
      <c r="AF328" s="73">
        <f>SUM(AE$2:AE328)</f>
        <v>270187.0210812813</v>
      </c>
      <c r="AG328" s="73">
        <f t="shared" si="117"/>
        <v>903542.88134582783</v>
      </c>
    </row>
    <row r="329" spans="1:33" x14ac:dyDescent="0.25">
      <c r="A329" s="99">
        <v>125723.1</v>
      </c>
      <c r="B329" s="96">
        <v>703.16510000000005</v>
      </c>
      <c r="C329" s="96">
        <v>0.6</v>
      </c>
      <c r="D329" s="80">
        <f t="shared" si="102"/>
        <v>23.180000000007567</v>
      </c>
      <c r="E329" s="81">
        <f t="shared" si="110"/>
        <v>1574.2102829656958</v>
      </c>
      <c r="F329" s="81">
        <f>SUM(E$2:E329)</f>
        <v>2020796.5907833255</v>
      </c>
      <c r="G329" s="43">
        <f t="shared" si="108"/>
        <v>1</v>
      </c>
      <c r="H329" s="78">
        <v>1</v>
      </c>
      <c r="I329" s="15">
        <f t="shared" si="111"/>
        <v>0.6</v>
      </c>
      <c r="J329" s="16">
        <f>VLOOKUP(G329,Inputs!$L$3:$P$15,5,FALSE)</f>
        <v>2000</v>
      </c>
      <c r="K329" s="16">
        <f t="shared" si="112"/>
        <v>1825</v>
      </c>
      <c r="L329" s="79">
        <f>Inputs!$P$8-B329</f>
        <v>235.02589999999998</v>
      </c>
      <c r="M329" s="79">
        <f>Inputs!$Q$8+L329*0.433</f>
        <v>1926.7662147000001</v>
      </c>
      <c r="N329" s="82">
        <f t="shared" si="113"/>
        <v>125723.1</v>
      </c>
      <c r="O329" s="83">
        <f t="shared" si="114"/>
        <v>703.16510000000005</v>
      </c>
      <c r="P329" s="84">
        <f>IF(O329="","",Inputs!$C$5-O329)</f>
        <v>122.01939999999991</v>
      </c>
      <c r="Q329" s="83">
        <f>IF(N329="","",TS!J329)</f>
        <v>2000</v>
      </c>
      <c r="R329" s="83">
        <f>IF(N329="","",TS!K329)</f>
        <v>1825</v>
      </c>
      <c r="S329" s="83">
        <f>Inputs!$H$5+TS!P329*0.4333</f>
        <v>1927.8367224699998</v>
      </c>
      <c r="T329" s="83">
        <f>Inputs!$G$5+TS!P329*0.4333</f>
        <v>1942.8367224699998</v>
      </c>
      <c r="U329" s="85">
        <f t="shared" si="115"/>
        <v>0.97141836123499992</v>
      </c>
      <c r="V329" s="86">
        <f t="shared" si="103"/>
        <v>0</v>
      </c>
      <c r="W329" s="86">
        <f t="shared" si="104"/>
        <v>0</v>
      </c>
      <c r="X329" s="86" t="e">
        <f>((PI()*((42-2*'Gen Calcs'!$E$13)^2)/4)/144)*(A372-#REF!)*(W329+14.7)/14.7</f>
        <v>#REF!</v>
      </c>
      <c r="Y329" s="86" t="e">
        <f t="shared" si="105"/>
        <v>#REF!</v>
      </c>
      <c r="Z329" s="86" t="e">
        <f t="shared" si="106"/>
        <v>#REF!</v>
      </c>
      <c r="AA329" s="83">
        <f>MAX(B$2:B329)-B329</f>
        <v>122.01939999999991</v>
      </c>
      <c r="AB329" s="83">
        <f t="shared" si="107"/>
        <v>52.834400199999955</v>
      </c>
      <c r="AC329" s="83">
        <f t="shared" si="109"/>
        <v>120</v>
      </c>
      <c r="AD329" s="72">
        <v>120</v>
      </c>
      <c r="AE329" s="73">
        <f t="shared" si="116"/>
        <v>210.45592018257963</v>
      </c>
      <c r="AF329" s="73">
        <f>SUM(AE$2:AE329)</f>
        <v>270397.47700146388</v>
      </c>
      <c r="AG329" s="73">
        <f t="shared" si="117"/>
        <v>903332.42542564531</v>
      </c>
    </row>
    <row r="330" spans="1:33" x14ac:dyDescent="0.25">
      <c r="A330" s="100">
        <v>125798.1</v>
      </c>
      <c r="B330" s="97">
        <v>703.16510000000005</v>
      </c>
      <c r="C330" s="97">
        <v>0.6</v>
      </c>
      <c r="D330" s="80">
        <f t="shared" si="102"/>
        <v>75</v>
      </c>
      <c r="E330" s="81">
        <f t="shared" si="110"/>
        <v>5093.4327533385949</v>
      </c>
      <c r="F330" s="81">
        <f>SUM(E$2:E330)</f>
        <v>2025890.023536664</v>
      </c>
      <c r="G330" s="43">
        <f t="shared" si="108"/>
        <v>1</v>
      </c>
      <c r="H330" s="78">
        <v>1</v>
      </c>
      <c r="I330" s="15">
        <f t="shared" si="111"/>
        <v>0.6</v>
      </c>
      <c r="J330" s="16">
        <f>VLOOKUP(G330,Inputs!$L$3:$P$15,5,FALSE)</f>
        <v>2000</v>
      </c>
      <c r="K330" s="16">
        <f t="shared" si="112"/>
        <v>1825</v>
      </c>
      <c r="L330" s="79">
        <f>Inputs!$P$8-B330</f>
        <v>235.02589999999998</v>
      </c>
      <c r="M330" s="79">
        <f>Inputs!$Q$8+L330*0.433</f>
        <v>1926.7662147000001</v>
      </c>
      <c r="N330" s="82">
        <f t="shared" si="113"/>
        <v>125798.1</v>
      </c>
      <c r="O330" s="83">
        <f t="shared" si="114"/>
        <v>703.16510000000005</v>
      </c>
      <c r="P330" s="84">
        <f>IF(O330="","",Inputs!$C$5-O330)</f>
        <v>122.01939999999991</v>
      </c>
      <c r="Q330" s="83">
        <f>IF(N330="","",TS!J330)</f>
        <v>2000</v>
      </c>
      <c r="R330" s="83">
        <f>IF(N330="","",TS!K330)</f>
        <v>1825</v>
      </c>
      <c r="S330" s="83">
        <f>Inputs!$H$5+TS!P330*0.4333</f>
        <v>1927.8367224699998</v>
      </c>
      <c r="T330" s="83">
        <f>Inputs!$G$5+TS!P330*0.4333</f>
        <v>1942.8367224699998</v>
      </c>
      <c r="U330" s="85">
        <f t="shared" si="115"/>
        <v>0.97141836123499992</v>
      </c>
      <c r="V330" s="86">
        <f t="shared" si="103"/>
        <v>0</v>
      </c>
      <c r="W330" s="86">
        <f t="shared" si="104"/>
        <v>0</v>
      </c>
      <c r="X330" s="86" t="e">
        <f>((PI()*((42-2*'Gen Calcs'!$E$13)^2)/4)/144)*(A373-#REF!)*(W330+14.7)/14.7</f>
        <v>#REF!</v>
      </c>
      <c r="Y330" s="86" t="e">
        <f t="shared" si="105"/>
        <v>#REF!</v>
      </c>
      <c r="Z330" s="86" t="e">
        <f t="shared" si="106"/>
        <v>#REF!</v>
      </c>
      <c r="AA330" s="83">
        <f>MAX(B$2:B330)-B330</f>
        <v>122.01939999999991</v>
      </c>
      <c r="AB330" s="83">
        <f t="shared" si="107"/>
        <v>52.834400199999955</v>
      </c>
      <c r="AC330" s="83">
        <f t="shared" si="109"/>
        <v>120</v>
      </c>
      <c r="AD330" s="72">
        <v>120</v>
      </c>
      <c r="AE330" s="73">
        <f t="shared" si="116"/>
        <v>680.94020766558754</v>
      </c>
      <c r="AF330" s="73">
        <f>SUM(AE$2:AE330)</f>
        <v>271078.41720912949</v>
      </c>
      <c r="AG330" s="73">
        <f t="shared" si="117"/>
        <v>902651.48521797964</v>
      </c>
    </row>
    <row r="331" spans="1:33" x14ac:dyDescent="0.25">
      <c r="A331" s="99">
        <v>125799.92</v>
      </c>
      <c r="B331" s="96">
        <v>708.97919999999999</v>
      </c>
      <c r="C331" s="96">
        <v>0.6</v>
      </c>
      <c r="D331" s="80">
        <f t="shared" si="102"/>
        <v>1.819999999992433</v>
      </c>
      <c r="E331" s="81">
        <f t="shared" si="110"/>
        <v>123.60063481383602</v>
      </c>
      <c r="F331" s="81">
        <f>SUM(E$2:E331)</f>
        <v>2026013.6241714777</v>
      </c>
      <c r="G331" s="43">
        <f t="shared" si="108"/>
        <v>1</v>
      </c>
      <c r="H331" s="78">
        <v>1</v>
      </c>
      <c r="I331" s="15">
        <f t="shared" si="111"/>
        <v>0.6</v>
      </c>
      <c r="J331" s="16">
        <f>VLOOKUP(G331,Inputs!$L$3:$P$15,5,FALSE)</f>
        <v>2000</v>
      </c>
      <c r="K331" s="16">
        <f t="shared" si="112"/>
        <v>1825</v>
      </c>
      <c r="L331" s="79">
        <f>Inputs!$P$8-B331</f>
        <v>229.21180000000004</v>
      </c>
      <c r="M331" s="79">
        <f>Inputs!$Q$8+L331*0.433</f>
        <v>1924.2487094000001</v>
      </c>
      <c r="N331" s="82">
        <f t="shared" si="113"/>
        <v>125799.92</v>
      </c>
      <c r="O331" s="83">
        <f t="shared" si="114"/>
        <v>708.97919999999999</v>
      </c>
      <c r="P331" s="84">
        <f>IF(O331="","",Inputs!$C$5-O331)</f>
        <v>116.20529999999997</v>
      </c>
      <c r="Q331" s="83">
        <f>IF(N331="","",TS!J331)</f>
        <v>2000</v>
      </c>
      <c r="R331" s="83">
        <f>IF(N331="","",TS!K331)</f>
        <v>1825</v>
      </c>
      <c r="S331" s="83">
        <f>Inputs!$H$5+TS!P331*0.4333</f>
        <v>1925.31747294</v>
      </c>
      <c r="T331" s="83">
        <f>Inputs!$G$5+TS!P331*0.4333</f>
        <v>1940.31747294</v>
      </c>
      <c r="U331" s="85">
        <f t="shared" si="115"/>
        <v>0.97015873647000006</v>
      </c>
      <c r="V331" s="86">
        <f t="shared" si="103"/>
        <v>0</v>
      </c>
      <c r="W331" s="86">
        <f t="shared" si="104"/>
        <v>0</v>
      </c>
      <c r="X331" s="86" t="e">
        <f>((PI()*((42-2*'Gen Calcs'!$E$13)^2)/4)/144)*(A374-#REF!)*(W331+14.7)/14.7</f>
        <v>#REF!</v>
      </c>
      <c r="Y331" s="86" t="e">
        <f t="shared" si="105"/>
        <v>#REF!</v>
      </c>
      <c r="Z331" s="86" t="e">
        <f t="shared" si="106"/>
        <v>#REF!</v>
      </c>
      <c r="AA331" s="83">
        <f>MAX(B$2:B331)-B331</f>
        <v>116.20529999999997</v>
      </c>
      <c r="AB331" s="83">
        <f t="shared" si="107"/>
        <v>50.316894899999987</v>
      </c>
      <c r="AC331" s="83">
        <f t="shared" si="109"/>
        <v>120</v>
      </c>
      <c r="AD331" s="72">
        <v>120</v>
      </c>
      <c r="AE331" s="73">
        <f t="shared" si="116"/>
        <v>16.524149039282889</v>
      </c>
      <c r="AF331" s="73">
        <f>SUM(AE$2:AE331)</f>
        <v>271094.94135816878</v>
      </c>
      <c r="AG331" s="73">
        <f t="shared" si="117"/>
        <v>902634.96106894035</v>
      </c>
    </row>
    <row r="332" spans="1:33" x14ac:dyDescent="0.25">
      <c r="A332" s="100">
        <v>125899.92</v>
      </c>
      <c r="B332" s="97">
        <v>711.40890000000002</v>
      </c>
      <c r="C332" s="97">
        <v>0.6</v>
      </c>
      <c r="D332" s="80">
        <f t="shared" si="102"/>
        <v>100</v>
      </c>
      <c r="E332" s="81">
        <f t="shared" si="110"/>
        <v>6791.2436711181272</v>
      </c>
      <c r="F332" s="81">
        <f>SUM(E$2:E332)</f>
        <v>2032804.8678425958</v>
      </c>
      <c r="G332" s="43">
        <f t="shared" si="108"/>
        <v>1</v>
      </c>
      <c r="H332" s="78">
        <v>1</v>
      </c>
      <c r="I332" s="15">
        <f t="shared" si="111"/>
        <v>0.6</v>
      </c>
      <c r="J332" s="16">
        <f>VLOOKUP(G332,Inputs!$L$3:$P$15,5,FALSE)</f>
        <v>2000</v>
      </c>
      <c r="K332" s="16">
        <f t="shared" si="112"/>
        <v>1825</v>
      </c>
      <c r="L332" s="79">
        <f>Inputs!$P$8-B332</f>
        <v>226.78210000000001</v>
      </c>
      <c r="M332" s="79">
        <f>Inputs!$Q$8+L332*0.433</f>
        <v>1923.1966493</v>
      </c>
      <c r="N332" s="82">
        <f t="shared" si="113"/>
        <v>125899.92</v>
      </c>
      <c r="O332" s="83">
        <f t="shared" si="114"/>
        <v>711.40890000000002</v>
      </c>
      <c r="P332" s="84">
        <f>IF(O332="","",Inputs!$C$5-O332)</f>
        <v>113.77559999999994</v>
      </c>
      <c r="Q332" s="83">
        <f>IF(N332="","",TS!J332)</f>
        <v>2000</v>
      </c>
      <c r="R332" s="83">
        <f>IF(N332="","",TS!K332)</f>
        <v>1825</v>
      </c>
      <c r="S332" s="83">
        <f>Inputs!$H$5+TS!P332*0.4333</f>
        <v>1924.2646839299998</v>
      </c>
      <c r="T332" s="83">
        <f>Inputs!$G$5+TS!P332*0.4333</f>
        <v>1939.2646839299998</v>
      </c>
      <c r="U332" s="85">
        <f t="shared" si="115"/>
        <v>0.96963234196499992</v>
      </c>
      <c r="V332" s="86">
        <f t="shared" si="103"/>
        <v>0</v>
      </c>
      <c r="W332" s="86">
        <f t="shared" si="104"/>
        <v>0</v>
      </c>
      <c r="X332" s="86" t="e">
        <f>((PI()*((42-2*'Gen Calcs'!$E$13)^2)/4)/144)*(A375-#REF!)*(W332+14.7)/14.7</f>
        <v>#REF!</v>
      </c>
      <c r="Y332" s="86" t="e">
        <f t="shared" si="105"/>
        <v>#REF!</v>
      </c>
      <c r="Z332" s="86" t="e">
        <f t="shared" si="106"/>
        <v>#REF!</v>
      </c>
      <c r="AA332" s="83">
        <f>MAX(B$2:B332)-B332</f>
        <v>113.77559999999994</v>
      </c>
      <c r="AB332" s="83">
        <f t="shared" si="107"/>
        <v>49.264834799999974</v>
      </c>
      <c r="AC332" s="83">
        <f t="shared" si="109"/>
        <v>120</v>
      </c>
      <c r="AD332" s="72">
        <v>120</v>
      </c>
      <c r="AE332" s="73">
        <f t="shared" si="116"/>
        <v>907.92027688745009</v>
      </c>
      <c r="AF332" s="73">
        <f>SUM(AE$2:AE332)</f>
        <v>272002.86163505621</v>
      </c>
      <c r="AG332" s="73">
        <f t="shared" si="117"/>
        <v>901727.04079205298</v>
      </c>
    </row>
    <row r="333" spans="1:33" x14ac:dyDescent="0.25">
      <c r="A333" s="99">
        <v>125915.7</v>
      </c>
      <c r="B333" s="96">
        <v>711.40890000000002</v>
      </c>
      <c r="C333" s="96">
        <v>0.86399999999999999</v>
      </c>
      <c r="D333" s="80">
        <f t="shared" si="102"/>
        <v>15.779999999998836</v>
      </c>
      <c r="E333" s="81">
        <f t="shared" si="110"/>
        <v>1044.1006891557226</v>
      </c>
      <c r="F333" s="81">
        <f>SUM(E$2:E333)</f>
        <v>2033848.9685317515</v>
      </c>
      <c r="G333" s="43">
        <f t="shared" si="108"/>
        <v>2</v>
      </c>
      <c r="H333" s="78">
        <v>1</v>
      </c>
      <c r="I333" s="15">
        <f t="shared" si="111"/>
        <v>0.86399999999999999</v>
      </c>
      <c r="J333" s="16">
        <f>VLOOKUP(G333,Inputs!$L$3:$P$15,5,FALSE)</f>
        <v>2880</v>
      </c>
      <c r="K333" s="16">
        <f t="shared" si="112"/>
        <v>1825</v>
      </c>
      <c r="L333" s="79">
        <f>Inputs!$P$8-B333</f>
        <v>226.78210000000001</v>
      </c>
      <c r="M333" s="79">
        <f>Inputs!$Q$8+L333*0.433</f>
        <v>1923.1966493</v>
      </c>
      <c r="N333" s="82">
        <f t="shared" si="113"/>
        <v>125915.7</v>
      </c>
      <c r="O333" s="83">
        <f t="shared" si="114"/>
        <v>711.40890000000002</v>
      </c>
      <c r="P333" s="84">
        <f>IF(O333="","",Inputs!$C$5-O333)</f>
        <v>113.77559999999994</v>
      </c>
      <c r="Q333" s="83">
        <f>IF(N333="","",TS!J333)</f>
        <v>2880</v>
      </c>
      <c r="R333" s="83">
        <f>IF(N333="","",TS!K333)</f>
        <v>1825</v>
      </c>
      <c r="S333" s="83">
        <f>Inputs!$H$5+TS!P333*0.4333</f>
        <v>1924.2646839299998</v>
      </c>
      <c r="T333" s="83">
        <f>Inputs!$G$5+TS!P333*0.4333</f>
        <v>1939.2646839299998</v>
      </c>
      <c r="U333" s="85">
        <f t="shared" si="115"/>
        <v>0.67335579303124993</v>
      </c>
      <c r="V333" s="86">
        <f t="shared" si="103"/>
        <v>0</v>
      </c>
      <c r="W333" s="86">
        <f t="shared" si="104"/>
        <v>0</v>
      </c>
      <c r="X333" s="86" t="e">
        <f>((PI()*((42-2*'Gen Calcs'!$E$13)^2)/4)/144)*(A376-#REF!)*(W333+14.7)/14.7</f>
        <v>#REF!</v>
      </c>
      <c r="Y333" s="86" t="e">
        <f t="shared" si="105"/>
        <v>#REF!</v>
      </c>
      <c r="Z333" s="86" t="e">
        <f t="shared" si="106"/>
        <v>#REF!</v>
      </c>
      <c r="AA333" s="83">
        <f>MAX(B$2:B333)-B333</f>
        <v>113.77559999999994</v>
      </c>
      <c r="AB333" s="83">
        <f t="shared" si="107"/>
        <v>49.264834799999974</v>
      </c>
      <c r="AC333" s="83">
        <f t="shared" si="109"/>
        <v>120</v>
      </c>
      <c r="AD333" s="72">
        <v>120</v>
      </c>
      <c r="AE333" s="73">
        <f t="shared" si="116"/>
        <v>139.5856536304442</v>
      </c>
      <c r="AF333" s="73">
        <f>SUM(AE$2:AE333)</f>
        <v>272142.44728868664</v>
      </c>
      <c r="AG333" s="73">
        <f t="shared" si="117"/>
        <v>901587.45513842255</v>
      </c>
    </row>
    <row r="334" spans="1:33" x14ac:dyDescent="0.25">
      <c r="A334" s="100">
        <v>125999.92</v>
      </c>
      <c r="B334" s="97">
        <v>712.33969999999999</v>
      </c>
      <c r="C334" s="97">
        <v>0.6</v>
      </c>
      <c r="D334" s="80">
        <f t="shared" si="102"/>
        <v>84.220000000001164</v>
      </c>
      <c r="E334" s="81">
        <f t="shared" si="110"/>
        <v>5572.5069734285589</v>
      </c>
      <c r="F334" s="81">
        <f>SUM(E$2:E334)</f>
        <v>2039421.4755051802</v>
      </c>
      <c r="G334" s="43">
        <f t="shared" si="108"/>
        <v>1</v>
      </c>
      <c r="H334" s="78">
        <v>1</v>
      </c>
      <c r="I334" s="15">
        <f t="shared" si="111"/>
        <v>0.6</v>
      </c>
      <c r="J334" s="16">
        <f>VLOOKUP(G334,Inputs!$L$3:$P$15,5,FALSE)</f>
        <v>2000</v>
      </c>
      <c r="K334" s="16">
        <f t="shared" si="112"/>
        <v>1825</v>
      </c>
      <c r="L334" s="79">
        <f>Inputs!$P$8-B334</f>
        <v>225.85130000000004</v>
      </c>
      <c r="M334" s="79">
        <f>Inputs!$Q$8+L334*0.433</f>
        <v>1922.7936129</v>
      </c>
      <c r="N334" s="82">
        <f t="shared" si="113"/>
        <v>125999.92</v>
      </c>
      <c r="O334" s="83">
        <f t="shared" si="114"/>
        <v>712.33969999999999</v>
      </c>
      <c r="P334" s="84">
        <f>IF(O334="","",Inputs!$C$5-O334)</f>
        <v>112.84479999999996</v>
      </c>
      <c r="Q334" s="83">
        <f>IF(N334="","",TS!J334)</f>
        <v>2000</v>
      </c>
      <c r="R334" s="83">
        <f>IF(N334="","",TS!K334)</f>
        <v>1825</v>
      </c>
      <c r="S334" s="83">
        <f>Inputs!$H$5+TS!P334*0.4333</f>
        <v>1923.86136829</v>
      </c>
      <c r="T334" s="83">
        <f>Inputs!$G$5+TS!P334*0.4333</f>
        <v>1938.86136829</v>
      </c>
      <c r="U334" s="85">
        <f t="shared" si="115"/>
        <v>0.969430684145</v>
      </c>
      <c r="V334" s="86">
        <f t="shared" si="103"/>
        <v>0</v>
      </c>
      <c r="W334" s="86">
        <f t="shared" si="104"/>
        <v>0</v>
      </c>
      <c r="X334" s="86" t="e">
        <f>((PI()*((42-2*'Gen Calcs'!$E$13)^2)/4)/144)*(A377-#REF!)*(W334+14.7)/14.7</f>
        <v>#REF!</v>
      </c>
      <c r="Y334" s="86" t="e">
        <f t="shared" si="105"/>
        <v>#REF!</v>
      </c>
      <c r="Z334" s="86" t="e">
        <f t="shared" si="106"/>
        <v>#REF!</v>
      </c>
      <c r="AA334" s="83">
        <f>MAX(B$2:B334)-B334</f>
        <v>112.84479999999996</v>
      </c>
      <c r="AB334" s="83">
        <f t="shared" si="107"/>
        <v>48.861798399999984</v>
      </c>
      <c r="AC334" s="83">
        <f t="shared" si="109"/>
        <v>120</v>
      </c>
      <c r="AD334" s="72">
        <v>120</v>
      </c>
      <c r="AE334" s="73">
        <f t="shared" si="116"/>
        <v>764.65045719462103</v>
      </c>
      <c r="AF334" s="73">
        <f>SUM(AE$2:AE334)</f>
        <v>272907.09774588124</v>
      </c>
      <c r="AG334" s="73">
        <f t="shared" si="117"/>
        <v>900822.80468122801</v>
      </c>
    </row>
    <row r="335" spans="1:33" x14ac:dyDescent="0.25">
      <c r="A335" s="99">
        <v>126075.7</v>
      </c>
      <c r="B335" s="96">
        <v>712.33969999999999</v>
      </c>
      <c r="C335" s="96">
        <v>0.86399999999999999</v>
      </c>
      <c r="D335" s="80">
        <f t="shared" si="102"/>
        <v>75.779999999998836</v>
      </c>
      <c r="E335" s="81">
        <f t="shared" si="110"/>
        <v>5146.4044539732377</v>
      </c>
      <c r="F335" s="81">
        <f>SUM(E$2:E335)</f>
        <v>2044567.8799591535</v>
      </c>
      <c r="G335" s="43">
        <f t="shared" si="108"/>
        <v>2</v>
      </c>
      <c r="H335" s="78">
        <v>1</v>
      </c>
      <c r="I335" s="15">
        <f t="shared" si="111"/>
        <v>0.86399999999999999</v>
      </c>
      <c r="J335" s="16">
        <f>VLOOKUP(G335,Inputs!$L$3:$P$15,5,FALSE)</f>
        <v>2880</v>
      </c>
      <c r="K335" s="16">
        <f t="shared" si="112"/>
        <v>1825</v>
      </c>
      <c r="L335" s="79">
        <f>Inputs!$P$8-B335</f>
        <v>225.85130000000004</v>
      </c>
      <c r="M335" s="79">
        <f>Inputs!$Q$8+L335*0.433</f>
        <v>1922.7936129</v>
      </c>
      <c r="N335" s="82">
        <f t="shared" si="113"/>
        <v>126075.7</v>
      </c>
      <c r="O335" s="83">
        <f t="shared" si="114"/>
        <v>712.33969999999999</v>
      </c>
      <c r="P335" s="84">
        <f>IF(O335="","",Inputs!$C$5-O335)</f>
        <v>112.84479999999996</v>
      </c>
      <c r="Q335" s="83">
        <f>IF(N335="","",TS!J335)</f>
        <v>2880</v>
      </c>
      <c r="R335" s="83">
        <f>IF(N335="","",TS!K335)</f>
        <v>1825</v>
      </c>
      <c r="S335" s="83">
        <f>Inputs!$H$5+TS!P335*0.4333</f>
        <v>1923.86136829</v>
      </c>
      <c r="T335" s="83">
        <f>Inputs!$G$5+TS!P335*0.4333</f>
        <v>1938.86136829</v>
      </c>
      <c r="U335" s="85">
        <f t="shared" si="115"/>
        <v>0.67321575287847224</v>
      </c>
      <c r="V335" s="86">
        <f t="shared" si="103"/>
        <v>0</v>
      </c>
      <c r="W335" s="86">
        <f t="shared" si="104"/>
        <v>0</v>
      </c>
      <c r="X335" s="86" t="e">
        <f>((PI()*((42-2*'Gen Calcs'!$E$13)^2)/4)/144)*(A378-#REF!)*(W335+14.7)/14.7</f>
        <v>#REF!</v>
      </c>
      <c r="Y335" s="86" t="e">
        <f t="shared" si="105"/>
        <v>#REF!</v>
      </c>
      <c r="Z335" s="86" t="e">
        <f t="shared" si="106"/>
        <v>#REF!</v>
      </c>
      <c r="AA335" s="83">
        <f>MAX(B$2:B335)-B335</f>
        <v>112.84479999999996</v>
      </c>
      <c r="AB335" s="83">
        <f t="shared" si="107"/>
        <v>48.861798399999984</v>
      </c>
      <c r="AC335" s="83">
        <f t="shared" si="109"/>
        <v>120</v>
      </c>
      <c r="AD335" s="72">
        <v>120</v>
      </c>
      <c r="AE335" s="73">
        <f t="shared" si="116"/>
        <v>670.32958378426349</v>
      </c>
      <c r="AF335" s="73">
        <f>SUM(AE$2:AE335)</f>
        <v>273577.42732966552</v>
      </c>
      <c r="AG335" s="73">
        <f t="shared" si="117"/>
        <v>900152.47509744368</v>
      </c>
    </row>
    <row r="336" spans="1:33" x14ac:dyDescent="0.25">
      <c r="A336" s="100">
        <v>126099.92</v>
      </c>
      <c r="B336" s="97">
        <v>713.86980000000005</v>
      </c>
      <c r="C336" s="97">
        <v>0.6</v>
      </c>
      <c r="D336" s="80">
        <f t="shared" si="102"/>
        <v>24.220000000001164</v>
      </c>
      <c r="E336" s="81">
        <f t="shared" si="110"/>
        <v>1644.8392171448893</v>
      </c>
      <c r="F336" s="81">
        <f>SUM(E$2:E336)</f>
        <v>2046212.7191762985</v>
      </c>
      <c r="G336" s="43">
        <f t="shared" si="108"/>
        <v>1</v>
      </c>
      <c r="H336" s="78">
        <v>1</v>
      </c>
      <c r="I336" s="15">
        <f t="shared" si="111"/>
        <v>0.6</v>
      </c>
      <c r="J336" s="16">
        <f>VLOOKUP(G336,Inputs!$L$3:$P$15,5,FALSE)</f>
        <v>2000</v>
      </c>
      <c r="K336" s="16">
        <f t="shared" si="112"/>
        <v>1825</v>
      </c>
      <c r="L336" s="79">
        <f>Inputs!$P$8-B336</f>
        <v>224.32119999999998</v>
      </c>
      <c r="M336" s="79">
        <f>Inputs!$Q$8+L336*0.433</f>
        <v>1922.1310796</v>
      </c>
      <c r="N336" s="82">
        <f t="shared" si="113"/>
        <v>126099.92</v>
      </c>
      <c r="O336" s="83">
        <f t="shared" si="114"/>
        <v>713.86980000000005</v>
      </c>
      <c r="P336" s="84">
        <f>IF(O336="","",Inputs!$C$5-O336)</f>
        <v>111.3146999999999</v>
      </c>
      <c r="Q336" s="83">
        <f>IF(N336="","",TS!J336)</f>
        <v>2000</v>
      </c>
      <c r="R336" s="83">
        <f>IF(N336="","",TS!K336)</f>
        <v>1825</v>
      </c>
      <c r="S336" s="83">
        <f>Inputs!$H$5+TS!P336*0.4333</f>
        <v>1923.1983759599998</v>
      </c>
      <c r="T336" s="83">
        <f>Inputs!$G$5+TS!P336*0.4333</f>
        <v>1938.1983759599998</v>
      </c>
      <c r="U336" s="85">
        <f t="shared" si="115"/>
        <v>0.96909918797999994</v>
      </c>
      <c r="V336" s="86">
        <f t="shared" si="103"/>
        <v>0</v>
      </c>
      <c r="W336" s="86">
        <f t="shared" si="104"/>
        <v>0</v>
      </c>
      <c r="X336" s="86" t="e">
        <f>((PI()*((42-2*'Gen Calcs'!$E$13)^2)/4)/144)*(A379-#REF!)*(W336+14.7)/14.7</f>
        <v>#REF!</v>
      </c>
      <c r="Y336" s="86" t="e">
        <f t="shared" si="105"/>
        <v>#REF!</v>
      </c>
      <c r="Z336" s="86" t="e">
        <f t="shared" si="106"/>
        <v>#REF!</v>
      </c>
      <c r="AA336" s="83">
        <f>MAX(B$2:B336)-B336</f>
        <v>111.3146999999999</v>
      </c>
      <c r="AB336" s="83">
        <f t="shared" si="107"/>
        <v>48.199265099999955</v>
      </c>
      <c r="AC336" s="83">
        <f t="shared" si="109"/>
        <v>120</v>
      </c>
      <c r="AD336" s="72">
        <v>120</v>
      </c>
      <c r="AE336" s="73">
        <f t="shared" si="116"/>
        <v>219.89829106215097</v>
      </c>
      <c r="AF336" s="73">
        <f>SUM(AE$2:AE336)</f>
        <v>273797.32562072767</v>
      </c>
      <c r="AG336" s="73">
        <f t="shared" si="117"/>
        <v>899932.57680638158</v>
      </c>
    </row>
    <row r="337" spans="1:33" x14ac:dyDescent="0.25">
      <c r="A337" s="99">
        <v>126199.92</v>
      </c>
      <c r="B337" s="96">
        <v>718.98350000000005</v>
      </c>
      <c r="C337" s="96">
        <v>0.6</v>
      </c>
      <c r="D337" s="80">
        <f t="shared" si="102"/>
        <v>100</v>
      </c>
      <c r="E337" s="81">
        <f t="shared" si="110"/>
        <v>6791.2436711181272</v>
      </c>
      <c r="F337" s="81">
        <f>SUM(E$2:E337)</f>
        <v>2053003.9628474165</v>
      </c>
      <c r="G337" s="43">
        <f t="shared" si="108"/>
        <v>1</v>
      </c>
      <c r="H337" s="78">
        <v>1</v>
      </c>
      <c r="I337" s="15">
        <f t="shared" si="111"/>
        <v>0.6</v>
      </c>
      <c r="J337" s="16">
        <f>VLOOKUP(G337,Inputs!$L$3:$P$15,5,FALSE)</f>
        <v>2000</v>
      </c>
      <c r="K337" s="16">
        <f t="shared" si="112"/>
        <v>1825</v>
      </c>
      <c r="L337" s="79">
        <f>Inputs!$P$8-B337</f>
        <v>219.20749999999998</v>
      </c>
      <c r="M337" s="79">
        <f>Inputs!$Q$8+L337*0.433</f>
        <v>1919.9168474999999</v>
      </c>
      <c r="N337" s="82">
        <f t="shared" si="113"/>
        <v>126199.92</v>
      </c>
      <c r="O337" s="83">
        <f t="shared" si="114"/>
        <v>718.98350000000005</v>
      </c>
      <c r="P337" s="84">
        <f>IF(O337="","",Inputs!$C$5-O337)</f>
        <v>106.20099999999991</v>
      </c>
      <c r="Q337" s="83">
        <f>IF(N337="","",TS!J337)</f>
        <v>2000</v>
      </c>
      <c r="R337" s="83">
        <f>IF(N337="","",TS!K337)</f>
        <v>1825</v>
      </c>
      <c r="S337" s="83">
        <f>Inputs!$H$5+TS!P337*0.4333</f>
        <v>1920.9826097499999</v>
      </c>
      <c r="T337" s="83">
        <f>Inputs!$G$5+TS!P337*0.4333</f>
        <v>1935.9826097499999</v>
      </c>
      <c r="U337" s="85">
        <f t="shared" si="115"/>
        <v>0.96799130487499996</v>
      </c>
      <c r="V337" s="86">
        <f t="shared" si="103"/>
        <v>0</v>
      </c>
      <c r="W337" s="86">
        <f t="shared" si="104"/>
        <v>0</v>
      </c>
      <c r="X337" s="86" t="e">
        <f>((PI()*((42-2*'Gen Calcs'!$E$13)^2)/4)/144)*(A380-#REF!)*(W337+14.7)/14.7</f>
        <v>#REF!</v>
      </c>
      <c r="Y337" s="86" t="e">
        <f t="shared" si="105"/>
        <v>#REF!</v>
      </c>
      <c r="Z337" s="86" t="e">
        <f t="shared" si="106"/>
        <v>#REF!</v>
      </c>
      <c r="AA337" s="83">
        <f>MAX(B$2:B337)-B337</f>
        <v>106.20099999999991</v>
      </c>
      <c r="AB337" s="83">
        <f t="shared" si="107"/>
        <v>45.985032999999959</v>
      </c>
      <c r="AC337" s="83">
        <f t="shared" si="109"/>
        <v>120</v>
      </c>
      <c r="AD337" s="72">
        <v>120</v>
      </c>
      <c r="AE337" s="73">
        <f t="shared" si="116"/>
        <v>907.92027688745009</v>
      </c>
      <c r="AF337" s="73">
        <f>SUM(AE$2:AE337)</f>
        <v>274705.2458976151</v>
      </c>
      <c r="AG337" s="73">
        <f t="shared" si="117"/>
        <v>899024.6565294941</v>
      </c>
    </row>
    <row r="338" spans="1:33" x14ac:dyDescent="0.25">
      <c r="A338" s="100">
        <v>126299.92</v>
      </c>
      <c r="B338" s="97">
        <v>719.7396</v>
      </c>
      <c r="C338" s="97">
        <v>0.6</v>
      </c>
      <c r="D338" s="80">
        <f t="shared" si="102"/>
        <v>100</v>
      </c>
      <c r="E338" s="81">
        <f t="shared" si="110"/>
        <v>6791.2436711181272</v>
      </c>
      <c r="F338" s="81">
        <f>SUM(E$2:E338)</f>
        <v>2059795.2065185346</v>
      </c>
      <c r="G338" s="43">
        <f t="shared" si="108"/>
        <v>1</v>
      </c>
      <c r="H338" s="78">
        <v>1</v>
      </c>
      <c r="I338" s="15">
        <f t="shared" si="111"/>
        <v>0.6</v>
      </c>
      <c r="J338" s="16">
        <f>VLOOKUP(G338,Inputs!$L$3:$P$15,5,FALSE)</f>
        <v>2000</v>
      </c>
      <c r="K338" s="16">
        <f t="shared" si="112"/>
        <v>1825</v>
      </c>
      <c r="L338" s="79">
        <f>Inputs!$P$8-B338</f>
        <v>218.45140000000004</v>
      </c>
      <c r="M338" s="79">
        <f>Inputs!$Q$8+L338*0.433</f>
        <v>1919.5894562000001</v>
      </c>
      <c r="N338" s="82">
        <f t="shared" si="113"/>
        <v>126299.92</v>
      </c>
      <c r="O338" s="83">
        <f t="shared" si="114"/>
        <v>719.7396</v>
      </c>
      <c r="P338" s="84">
        <f>IF(O338="","",Inputs!$C$5-O338)</f>
        <v>105.44489999999996</v>
      </c>
      <c r="Q338" s="83">
        <f>IF(N338="","",TS!J338)</f>
        <v>2000</v>
      </c>
      <c r="R338" s="83">
        <f>IF(N338="","",TS!K338)</f>
        <v>1825</v>
      </c>
      <c r="S338" s="83">
        <f>Inputs!$H$5+TS!P338*0.4333</f>
        <v>1920.6549916199999</v>
      </c>
      <c r="T338" s="83">
        <f>Inputs!$G$5+TS!P338*0.4333</f>
        <v>1935.6549916199999</v>
      </c>
      <c r="U338" s="85">
        <f t="shared" si="115"/>
        <v>0.96782749580999994</v>
      </c>
      <c r="V338" s="86">
        <f t="shared" si="103"/>
        <v>0</v>
      </c>
      <c r="W338" s="86">
        <f t="shared" si="104"/>
        <v>0</v>
      </c>
      <c r="X338" s="86" t="e">
        <f>((PI()*((42-2*'Gen Calcs'!$E$13)^2)/4)/144)*(A381-#REF!)*(W338+14.7)/14.7</f>
        <v>#REF!</v>
      </c>
      <c r="Y338" s="86" t="e">
        <f t="shared" si="105"/>
        <v>#REF!</v>
      </c>
      <c r="Z338" s="86" t="e">
        <f t="shared" si="106"/>
        <v>#REF!</v>
      </c>
      <c r="AA338" s="83">
        <f>MAX(B$2:B338)-B338</f>
        <v>105.44489999999996</v>
      </c>
      <c r="AB338" s="83">
        <f t="shared" si="107"/>
        <v>45.657641699999985</v>
      </c>
      <c r="AC338" s="83">
        <f t="shared" si="109"/>
        <v>120</v>
      </c>
      <c r="AD338" s="72">
        <v>120</v>
      </c>
      <c r="AE338" s="73">
        <f t="shared" si="116"/>
        <v>907.92027688745009</v>
      </c>
      <c r="AF338" s="73">
        <f>SUM(AE$2:AE338)</f>
        <v>275613.16617450252</v>
      </c>
      <c r="AG338" s="73">
        <f t="shared" si="117"/>
        <v>898116.73625260661</v>
      </c>
    </row>
    <row r="339" spans="1:33" x14ac:dyDescent="0.25">
      <c r="A339" s="99">
        <v>126399.92</v>
      </c>
      <c r="B339" s="96">
        <v>715.82309999999995</v>
      </c>
      <c r="C339" s="96">
        <v>0.6</v>
      </c>
      <c r="D339" s="80">
        <f t="shared" si="102"/>
        <v>100</v>
      </c>
      <c r="E339" s="81">
        <f t="shared" si="110"/>
        <v>6791.2436711181272</v>
      </c>
      <c r="F339" s="81">
        <f>SUM(E$2:E339)</f>
        <v>2066586.4501896526</v>
      </c>
      <c r="G339" s="43">
        <f t="shared" si="108"/>
        <v>1</v>
      </c>
      <c r="H339" s="78">
        <v>1</v>
      </c>
      <c r="I339" s="15">
        <f t="shared" si="111"/>
        <v>0.6</v>
      </c>
      <c r="J339" s="16">
        <f>VLOOKUP(G339,Inputs!$L$3:$P$15,5,FALSE)</f>
        <v>2000</v>
      </c>
      <c r="K339" s="16">
        <f t="shared" si="112"/>
        <v>1825</v>
      </c>
      <c r="L339" s="79">
        <f>Inputs!$P$8-B339</f>
        <v>222.36790000000008</v>
      </c>
      <c r="M339" s="79">
        <f>Inputs!$Q$8+L339*0.433</f>
        <v>1921.2853007000001</v>
      </c>
      <c r="N339" s="82">
        <f t="shared" si="113"/>
        <v>126399.92</v>
      </c>
      <c r="O339" s="83">
        <f t="shared" si="114"/>
        <v>715.82309999999995</v>
      </c>
      <c r="P339" s="84">
        <f>IF(O339="","",Inputs!$C$5-O339)</f>
        <v>109.3614</v>
      </c>
      <c r="Q339" s="83">
        <f>IF(N339="","",TS!J339)</f>
        <v>2000</v>
      </c>
      <c r="R339" s="83">
        <f>IF(N339="","",TS!K339)</f>
        <v>1825</v>
      </c>
      <c r="S339" s="83">
        <f>Inputs!$H$5+TS!P339*0.4333</f>
        <v>1922.3520110699999</v>
      </c>
      <c r="T339" s="83">
        <f>Inputs!$G$5+TS!P339*0.4333</f>
        <v>1937.3520110699999</v>
      </c>
      <c r="U339" s="85">
        <f t="shared" si="115"/>
        <v>0.968676005535</v>
      </c>
      <c r="V339" s="86">
        <f t="shared" si="103"/>
        <v>0</v>
      </c>
      <c r="W339" s="86">
        <f t="shared" si="104"/>
        <v>0</v>
      </c>
      <c r="X339" s="86" t="e">
        <f>((PI()*((42-2*'Gen Calcs'!$E$13)^2)/4)/144)*(A382-#REF!)*(W339+14.7)/14.7</f>
        <v>#REF!</v>
      </c>
      <c r="Y339" s="86" t="e">
        <f t="shared" si="105"/>
        <v>#REF!</v>
      </c>
      <c r="Z339" s="86" t="e">
        <f t="shared" si="106"/>
        <v>#REF!</v>
      </c>
      <c r="AA339" s="83">
        <f>MAX(B$2:B339)-B339</f>
        <v>109.3614</v>
      </c>
      <c r="AB339" s="83">
        <f t="shared" si="107"/>
        <v>47.353486199999999</v>
      </c>
      <c r="AC339" s="83">
        <f t="shared" si="109"/>
        <v>120</v>
      </c>
      <c r="AD339" s="72">
        <v>120</v>
      </c>
      <c r="AE339" s="73">
        <f t="shared" si="116"/>
        <v>907.92027688745009</v>
      </c>
      <c r="AF339" s="73">
        <f>SUM(AE$2:AE339)</f>
        <v>276521.08645138994</v>
      </c>
      <c r="AG339" s="73">
        <f t="shared" si="117"/>
        <v>897208.81597571925</v>
      </c>
    </row>
    <row r="340" spans="1:33" x14ac:dyDescent="0.25">
      <c r="A340" s="100">
        <v>126499.92</v>
      </c>
      <c r="B340" s="97">
        <v>716.78120000000001</v>
      </c>
      <c r="C340" s="97">
        <v>0.6</v>
      </c>
      <c r="D340" s="80">
        <f t="shared" si="102"/>
        <v>100</v>
      </c>
      <c r="E340" s="81">
        <f t="shared" si="110"/>
        <v>6791.2436711181272</v>
      </c>
      <c r="F340" s="81">
        <f>SUM(E$2:E340)</f>
        <v>2073377.6938607707</v>
      </c>
      <c r="G340" s="43">
        <f t="shared" si="108"/>
        <v>1</v>
      </c>
      <c r="H340" s="78">
        <v>1</v>
      </c>
      <c r="I340" s="15">
        <f t="shared" si="111"/>
        <v>0.6</v>
      </c>
      <c r="J340" s="16">
        <f>VLOOKUP(G340,Inputs!$L$3:$P$15,5,FALSE)</f>
        <v>2000</v>
      </c>
      <c r="K340" s="16">
        <f t="shared" si="112"/>
        <v>1825</v>
      </c>
      <c r="L340" s="79">
        <f>Inputs!$P$8-B340</f>
        <v>221.40980000000002</v>
      </c>
      <c r="M340" s="79">
        <f>Inputs!$Q$8+L340*0.433</f>
        <v>1920.8704434000001</v>
      </c>
      <c r="N340" s="82">
        <f t="shared" si="113"/>
        <v>126499.92</v>
      </c>
      <c r="O340" s="83">
        <f t="shared" si="114"/>
        <v>716.78120000000001</v>
      </c>
      <c r="P340" s="84">
        <f>IF(O340="","",Inputs!$C$5-O340)</f>
        <v>108.40329999999994</v>
      </c>
      <c r="Q340" s="83">
        <f>IF(N340="","",TS!J340)</f>
        <v>2000</v>
      </c>
      <c r="R340" s="83">
        <f>IF(N340="","",TS!K340)</f>
        <v>1825</v>
      </c>
      <c r="S340" s="83">
        <f>Inputs!$H$5+TS!P340*0.4333</f>
        <v>1921.9368663399998</v>
      </c>
      <c r="T340" s="83">
        <f>Inputs!$G$5+TS!P340*0.4333</f>
        <v>1936.9368663399998</v>
      </c>
      <c r="U340" s="85">
        <f t="shared" si="115"/>
        <v>0.96846843316999986</v>
      </c>
      <c r="V340" s="86">
        <f t="shared" si="103"/>
        <v>0</v>
      </c>
      <c r="W340" s="86">
        <f t="shared" si="104"/>
        <v>0</v>
      </c>
      <c r="X340" s="86" t="e">
        <f>((PI()*((42-2*'Gen Calcs'!$E$13)^2)/4)/144)*(A383-#REF!)*(W340+14.7)/14.7</f>
        <v>#REF!</v>
      </c>
      <c r="Y340" s="86" t="e">
        <f t="shared" si="105"/>
        <v>#REF!</v>
      </c>
      <c r="Z340" s="86" t="e">
        <f t="shared" si="106"/>
        <v>#REF!</v>
      </c>
      <c r="AA340" s="83">
        <f>MAX(B$2:B340)-B340</f>
        <v>108.40329999999994</v>
      </c>
      <c r="AB340" s="83">
        <f t="shared" si="107"/>
        <v>46.938628899999976</v>
      </c>
      <c r="AC340" s="83">
        <f t="shared" si="109"/>
        <v>120</v>
      </c>
      <c r="AD340" s="72">
        <v>120</v>
      </c>
      <c r="AE340" s="73">
        <f t="shared" si="116"/>
        <v>907.92027688745009</v>
      </c>
      <c r="AF340" s="73">
        <f>SUM(AE$2:AE340)</f>
        <v>277429.00672827737</v>
      </c>
      <c r="AG340" s="73">
        <f t="shared" si="117"/>
        <v>896300.89569883188</v>
      </c>
    </row>
    <row r="341" spans="1:33" x14ac:dyDescent="0.25">
      <c r="A341" s="99">
        <v>126599.92</v>
      </c>
      <c r="B341" s="96">
        <v>720.22429999999997</v>
      </c>
      <c r="C341" s="96">
        <v>0.6</v>
      </c>
      <c r="D341" s="80">
        <f t="shared" si="102"/>
        <v>100</v>
      </c>
      <c r="E341" s="81">
        <f t="shared" si="110"/>
        <v>6791.2436711181272</v>
      </c>
      <c r="F341" s="81">
        <f>SUM(E$2:E341)</f>
        <v>2080168.9375318887</v>
      </c>
      <c r="G341" s="43">
        <f t="shared" si="108"/>
        <v>1</v>
      </c>
      <c r="H341" s="78">
        <v>1</v>
      </c>
      <c r="I341" s="15">
        <f t="shared" si="111"/>
        <v>0.6</v>
      </c>
      <c r="J341" s="16">
        <f>VLOOKUP(G341,Inputs!$L$3:$P$15,5,FALSE)</f>
        <v>2000</v>
      </c>
      <c r="K341" s="16">
        <f t="shared" si="112"/>
        <v>1825</v>
      </c>
      <c r="L341" s="79">
        <f>Inputs!$P$8-B341</f>
        <v>217.96670000000006</v>
      </c>
      <c r="M341" s="79">
        <f>Inputs!$Q$8+L341*0.433</f>
        <v>1919.3795811</v>
      </c>
      <c r="N341" s="82">
        <f t="shared" si="113"/>
        <v>126599.92</v>
      </c>
      <c r="O341" s="83">
        <f t="shared" si="114"/>
        <v>720.22429999999997</v>
      </c>
      <c r="P341" s="84">
        <f>IF(O341="","",Inputs!$C$5-O341)</f>
        <v>104.96019999999999</v>
      </c>
      <c r="Q341" s="83">
        <f>IF(N341="","",TS!J341)</f>
        <v>2000</v>
      </c>
      <c r="R341" s="83">
        <f>IF(N341="","",TS!K341)</f>
        <v>1825</v>
      </c>
      <c r="S341" s="83">
        <f>Inputs!$H$5+TS!P341*0.4333</f>
        <v>1920.4449711099999</v>
      </c>
      <c r="T341" s="83">
        <f>Inputs!$G$5+TS!P341*0.4333</f>
        <v>1935.4449711099999</v>
      </c>
      <c r="U341" s="85">
        <f t="shared" si="115"/>
        <v>0.96772248555499996</v>
      </c>
      <c r="V341" s="86">
        <f t="shared" si="103"/>
        <v>0</v>
      </c>
      <c r="W341" s="86">
        <f t="shared" si="104"/>
        <v>0</v>
      </c>
      <c r="X341" s="86" t="e">
        <f>((PI()*((42-2*'Gen Calcs'!$E$13)^2)/4)/144)*(A384-#REF!)*(W341+14.7)/14.7</f>
        <v>#REF!</v>
      </c>
      <c r="Y341" s="86" t="e">
        <f t="shared" si="105"/>
        <v>#REF!</v>
      </c>
      <c r="Z341" s="86" t="e">
        <f t="shared" si="106"/>
        <v>#REF!</v>
      </c>
      <c r="AA341" s="83">
        <f>MAX(B$2:B341)-B341</f>
        <v>104.96019999999999</v>
      </c>
      <c r="AB341" s="83">
        <f t="shared" si="107"/>
        <v>45.447766599999994</v>
      </c>
      <c r="AC341" s="83">
        <f t="shared" si="109"/>
        <v>120</v>
      </c>
      <c r="AD341" s="72">
        <v>120</v>
      </c>
      <c r="AE341" s="73">
        <f t="shared" si="116"/>
        <v>907.92027688745009</v>
      </c>
      <c r="AF341" s="73">
        <f>SUM(AE$2:AE341)</f>
        <v>278336.92700516479</v>
      </c>
      <c r="AG341" s="73">
        <f t="shared" si="117"/>
        <v>895392.9754219444</v>
      </c>
    </row>
    <row r="342" spans="1:33" x14ac:dyDescent="0.25">
      <c r="A342" s="100">
        <v>126699.92</v>
      </c>
      <c r="B342" s="97">
        <v>723.91660000000002</v>
      </c>
      <c r="C342" s="97">
        <v>0.6</v>
      </c>
      <c r="D342" s="80">
        <f t="shared" si="102"/>
        <v>100</v>
      </c>
      <c r="E342" s="81">
        <f t="shared" si="110"/>
        <v>6791.2436711181272</v>
      </c>
      <c r="F342" s="81">
        <f>SUM(E$2:E342)</f>
        <v>2086960.1812030068</v>
      </c>
      <c r="G342" s="43">
        <f t="shared" si="108"/>
        <v>1</v>
      </c>
      <c r="H342" s="78">
        <v>1</v>
      </c>
      <c r="I342" s="15">
        <f t="shared" si="111"/>
        <v>0.6</v>
      </c>
      <c r="J342" s="16">
        <f>VLOOKUP(G342,Inputs!$L$3:$P$15,5,FALSE)</f>
        <v>2000</v>
      </c>
      <c r="K342" s="16">
        <f t="shared" si="112"/>
        <v>1825</v>
      </c>
      <c r="L342" s="79">
        <f>Inputs!$P$8-B342</f>
        <v>214.27440000000001</v>
      </c>
      <c r="M342" s="79">
        <f>Inputs!$Q$8+L342*0.433</f>
        <v>1917.7808152</v>
      </c>
      <c r="N342" s="82">
        <f t="shared" si="113"/>
        <v>126699.92</v>
      </c>
      <c r="O342" s="83">
        <f t="shared" si="114"/>
        <v>723.91660000000002</v>
      </c>
      <c r="P342" s="84">
        <f>IF(O342="","",Inputs!$C$5-O342)</f>
        <v>101.26789999999994</v>
      </c>
      <c r="Q342" s="83">
        <f>IF(N342="","",TS!J342)</f>
        <v>2000</v>
      </c>
      <c r="R342" s="83">
        <f>IF(N342="","",TS!K342)</f>
        <v>1825</v>
      </c>
      <c r="S342" s="83">
        <f>Inputs!$H$5+TS!P342*0.4333</f>
        <v>1918.8450975199999</v>
      </c>
      <c r="T342" s="83">
        <f>Inputs!$G$5+TS!P342*0.4333</f>
        <v>1933.8450975199999</v>
      </c>
      <c r="U342" s="85">
        <f t="shared" si="115"/>
        <v>0.96692254875999994</v>
      </c>
      <c r="V342" s="86">
        <f t="shared" si="103"/>
        <v>0</v>
      </c>
      <c r="W342" s="86">
        <f t="shared" si="104"/>
        <v>0</v>
      </c>
      <c r="X342" s="86" t="e">
        <f>((PI()*((42-2*'Gen Calcs'!$E$13)^2)/4)/144)*(A385-#REF!)*(W342+14.7)/14.7</f>
        <v>#REF!</v>
      </c>
      <c r="Y342" s="86" t="e">
        <f t="shared" si="105"/>
        <v>#REF!</v>
      </c>
      <c r="Z342" s="86" t="e">
        <f t="shared" si="106"/>
        <v>#REF!</v>
      </c>
      <c r="AA342" s="83">
        <f>MAX(B$2:B342)-B342</f>
        <v>101.26789999999994</v>
      </c>
      <c r="AB342" s="83">
        <f t="shared" si="107"/>
        <v>43.849000699999976</v>
      </c>
      <c r="AC342" s="83">
        <f t="shared" si="109"/>
        <v>120</v>
      </c>
      <c r="AD342" s="72">
        <v>120</v>
      </c>
      <c r="AE342" s="73">
        <f t="shared" si="116"/>
        <v>907.92027688745009</v>
      </c>
      <c r="AF342" s="73">
        <f>SUM(AE$2:AE342)</f>
        <v>279244.84728205221</v>
      </c>
      <c r="AG342" s="73">
        <f t="shared" si="117"/>
        <v>894485.05514505692</v>
      </c>
    </row>
    <row r="343" spans="1:33" x14ac:dyDescent="0.25">
      <c r="A343" s="99">
        <v>126799.92</v>
      </c>
      <c r="B343" s="96">
        <v>727.28110000000004</v>
      </c>
      <c r="C343" s="96">
        <v>0.6</v>
      </c>
      <c r="D343" s="80">
        <f t="shared" si="102"/>
        <v>100</v>
      </c>
      <c r="E343" s="81">
        <f t="shared" si="110"/>
        <v>6791.2436711181272</v>
      </c>
      <c r="F343" s="81">
        <f>SUM(E$2:E343)</f>
        <v>2093751.4248741248</v>
      </c>
      <c r="G343" s="43">
        <f t="shared" si="108"/>
        <v>1</v>
      </c>
      <c r="H343" s="78">
        <v>1</v>
      </c>
      <c r="I343" s="15">
        <f t="shared" si="111"/>
        <v>0.6</v>
      </c>
      <c r="J343" s="16">
        <f>VLOOKUP(G343,Inputs!$L$3:$P$15,5,FALSE)</f>
        <v>2000</v>
      </c>
      <c r="K343" s="16">
        <f t="shared" si="112"/>
        <v>1825</v>
      </c>
      <c r="L343" s="79">
        <f>Inputs!$P$8-B343</f>
        <v>210.90989999999999</v>
      </c>
      <c r="M343" s="79">
        <f>Inputs!$Q$8+L343*0.433</f>
        <v>1916.3239867</v>
      </c>
      <c r="N343" s="82">
        <f t="shared" si="113"/>
        <v>126799.92</v>
      </c>
      <c r="O343" s="83">
        <f t="shared" si="114"/>
        <v>727.28110000000004</v>
      </c>
      <c r="P343" s="84">
        <f>IF(O343="","",Inputs!$C$5-O343)</f>
        <v>97.90339999999992</v>
      </c>
      <c r="Q343" s="83">
        <f>IF(N343="","",TS!J343)</f>
        <v>2000</v>
      </c>
      <c r="R343" s="83">
        <f>IF(N343="","",TS!K343)</f>
        <v>1825</v>
      </c>
      <c r="S343" s="83">
        <f>Inputs!$H$5+TS!P343*0.4333</f>
        <v>1917.3872596699998</v>
      </c>
      <c r="T343" s="83">
        <f>Inputs!$G$5+TS!P343*0.4333</f>
        <v>1932.3872596699998</v>
      </c>
      <c r="U343" s="85">
        <f t="shared" si="115"/>
        <v>0.9661936298349999</v>
      </c>
      <c r="V343" s="86">
        <f t="shared" si="103"/>
        <v>0</v>
      </c>
      <c r="W343" s="86">
        <f t="shared" si="104"/>
        <v>0</v>
      </c>
      <c r="X343" s="86" t="e">
        <f>((PI()*((42-2*'Gen Calcs'!$E$13)^2)/4)/144)*(A386-#REF!)*(W343+14.7)/14.7</f>
        <v>#REF!</v>
      </c>
      <c r="Y343" s="86" t="e">
        <f t="shared" si="105"/>
        <v>#REF!</v>
      </c>
      <c r="Z343" s="86" t="e">
        <f t="shared" si="106"/>
        <v>#REF!</v>
      </c>
      <c r="AA343" s="83">
        <f>MAX(B$2:B343)-B343</f>
        <v>97.90339999999992</v>
      </c>
      <c r="AB343" s="83">
        <f t="shared" si="107"/>
        <v>42.392172199999962</v>
      </c>
      <c r="AC343" s="83">
        <f t="shared" si="109"/>
        <v>120</v>
      </c>
      <c r="AD343" s="72">
        <v>120</v>
      </c>
      <c r="AE343" s="73">
        <f t="shared" si="116"/>
        <v>907.92027688745009</v>
      </c>
      <c r="AF343" s="73">
        <f>SUM(AE$2:AE343)</f>
        <v>280152.76755893964</v>
      </c>
      <c r="AG343" s="73">
        <f t="shared" si="117"/>
        <v>893577.13486816955</v>
      </c>
    </row>
    <row r="344" spans="1:33" x14ac:dyDescent="0.25">
      <c r="A344" s="100">
        <v>126899.92</v>
      </c>
      <c r="B344" s="97">
        <v>729.5847</v>
      </c>
      <c r="C344" s="97">
        <v>0.6</v>
      </c>
      <c r="D344" s="80">
        <f t="shared" si="102"/>
        <v>100</v>
      </c>
      <c r="E344" s="81">
        <f t="shared" si="110"/>
        <v>6791.2436711181272</v>
      </c>
      <c r="F344" s="81">
        <f>SUM(E$2:E344)</f>
        <v>2100542.6685452429</v>
      </c>
      <c r="G344" s="43">
        <f t="shared" si="108"/>
        <v>1</v>
      </c>
      <c r="H344" s="78">
        <v>1</v>
      </c>
      <c r="I344" s="15">
        <f t="shared" si="111"/>
        <v>0.6</v>
      </c>
      <c r="J344" s="16">
        <f>VLOOKUP(G344,Inputs!$L$3:$P$15,5,FALSE)</f>
        <v>2000</v>
      </c>
      <c r="K344" s="16">
        <f t="shared" si="112"/>
        <v>1825</v>
      </c>
      <c r="L344" s="79">
        <f>Inputs!$P$8-B344</f>
        <v>208.60630000000003</v>
      </c>
      <c r="M344" s="79">
        <f>Inputs!$Q$8+L344*0.433</f>
        <v>1915.3265279</v>
      </c>
      <c r="N344" s="82">
        <f t="shared" si="113"/>
        <v>126899.92</v>
      </c>
      <c r="O344" s="83">
        <f t="shared" si="114"/>
        <v>729.5847</v>
      </c>
      <c r="P344" s="84">
        <f>IF(O344="","",Inputs!$C$5-O344)</f>
        <v>95.599799999999959</v>
      </c>
      <c r="Q344" s="83">
        <f>IF(N344="","",TS!J344)</f>
        <v>2000</v>
      </c>
      <c r="R344" s="83">
        <f>IF(N344="","",TS!K344)</f>
        <v>1825</v>
      </c>
      <c r="S344" s="83">
        <f>Inputs!$H$5+TS!P344*0.4333</f>
        <v>1916.38910979</v>
      </c>
      <c r="T344" s="83">
        <f>Inputs!$G$5+TS!P344*0.4333</f>
        <v>1931.38910979</v>
      </c>
      <c r="U344" s="85">
        <f t="shared" si="115"/>
        <v>0.965694554895</v>
      </c>
      <c r="V344" s="86">
        <f t="shared" si="103"/>
        <v>0</v>
      </c>
      <c r="W344" s="86">
        <f t="shared" si="104"/>
        <v>0</v>
      </c>
      <c r="X344" s="86" t="e">
        <f>((PI()*((42-2*'Gen Calcs'!$E$13)^2)/4)/144)*(A387-#REF!)*(W344+14.7)/14.7</f>
        <v>#REF!</v>
      </c>
      <c r="Y344" s="86" t="e">
        <f t="shared" si="105"/>
        <v>#REF!</v>
      </c>
      <c r="Z344" s="86" t="e">
        <f t="shared" si="106"/>
        <v>#REF!</v>
      </c>
      <c r="AA344" s="83">
        <f>MAX(B$2:B344)-B344</f>
        <v>95.599799999999959</v>
      </c>
      <c r="AB344" s="83">
        <f t="shared" si="107"/>
        <v>41.394713399999979</v>
      </c>
      <c r="AC344" s="83">
        <f t="shared" si="109"/>
        <v>120</v>
      </c>
      <c r="AD344" s="72">
        <v>120</v>
      </c>
      <c r="AE344" s="73">
        <f t="shared" si="116"/>
        <v>907.92027688745009</v>
      </c>
      <c r="AF344" s="73">
        <f>SUM(AE$2:AE344)</f>
        <v>281060.68783582706</v>
      </c>
      <c r="AG344" s="73">
        <f t="shared" si="117"/>
        <v>892669.21459128219</v>
      </c>
    </row>
    <row r="345" spans="1:33" x14ac:dyDescent="0.25">
      <c r="A345" s="99">
        <v>126999.92</v>
      </c>
      <c r="B345" s="96">
        <v>731.02670000000001</v>
      </c>
      <c r="C345" s="96">
        <v>0.6</v>
      </c>
      <c r="D345" s="80">
        <f t="shared" si="102"/>
        <v>100</v>
      </c>
      <c r="E345" s="81">
        <f t="shared" si="110"/>
        <v>6791.2436711181272</v>
      </c>
      <c r="F345" s="81">
        <f>SUM(E$2:E345)</f>
        <v>2107333.9122163611</v>
      </c>
      <c r="G345" s="43">
        <f t="shared" si="108"/>
        <v>1</v>
      </c>
      <c r="H345" s="78">
        <v>1</v>
      </c>
      <c r="I345" s="15">
        <f t="shared" si="111"/>
        <v>0.6</v>
      </c>
      <c r="J345" s="16">
        <f>VLOOKUP(G345,Inputs!$L$3:$P$15,5,FALSE)</f>
        <v>2000</v>
      </c>
      <c r="K345" s="16">
        <f t="shared" si="112"/>
        <v>1825</v>
      </c>
      <c r="L345" s="79">
        <f>Inputs!$P$8-B345</f>
        <v>207.16430000000003</v>
      </c>
      <c r="M345" s="79">
        <f>Inputs!$Q$8+L345*0.433</f>
        <v>1914.7021419</v>
      </c>
      <c r="N345" s="82">
        <f t="shared" si="113"/>
        <v>126999.92</v>
      </c>
      <c r="O345" s="83">
        <f t="shared" si="114"/>
        <v>731.02670000000001</v>
      </c>
      <c r="P345" s="84">
        <f>IF(O345="","",Inputs!$C$5-O345)</f>
        <v>94.157799999999952</v>
      </c>
      <c r="Q345" s="83">
        <f>IF(N345="","",TS!J345)</f>
        <v>2000</v>
      </c>
      <c r="R345" s="83">
        <f>IF(N345="","",TS!K345)</f>
        <v>1825</v>
      </c>
      <c r="S345" s="83">
        <f>Inputs!$H$5+TS!P345*0.4333</f>
        <v>1915.76429119</v>
      </c>
      <c r="T345" s="83">
        <f>Inputs!$G$5+TS!P345*0.4333</f>
        <v>1930.76429119</v>
      </c>
      <c r="U345" s="85">
        <f t="shared" si="115"/>
        <v>0.96538214559500002</v>
      </c>
      <c r="V345" s="86">
        <f t="shared" si="103"/>
        <v>0</v>
      </c>
      <c r="W345" s="86">
        <f t="shared" si="104"/>
        <v>0</v>
      </c>
      <c r="X345" s="86" t="e">
        <f>((PI()*((42-2*'Gen Calcs'!$E$13)^2)/4)/144)*(A388-#REF!)*(W345+14.7)/14.7</f>
        <v>#REF!</v>
      </c>
      <c r="Y345" s="86" t="e">
        <f t="shared" si="105"/>
        <v>#REF!</v>
      </c>
      <c r="Z345" s="86" t="e">
        <f t="shared" si="106"/>
        <v>#REF!</v>
      </c>
      <c r="AA345" s="83">
        <f>MAX(B$2:B345)-B345</f>
        <v>94.157799999999952</v>
      </c>
      <c r="AB345" s="83">
        <f t="shared" si="107"/>
        <v>40.770327399999978</v>
      </c>
      <c r="AC345" s="83">
        <f t="shared" si="109"/>
        <v>120</v>
      </c>
      <c r="AD345" s="72">
        <v>120</v>
      </c>
      <c r="AE345" s="73">
        <f t="shared" si="116"/>
        <v>907.92027688745009</v>
      </c>
      <c r="AF345" s="73">
        <f>SUM(AE$2:AE345)</f>
        <v>281968.60811271449</v>
      </c>
      <c r="AG345" s="73">
        <f t="shared" si="117"/>
        <v>891761.2943143947</v>
      </c>
    </row>
    <row r="346" spans="1:33" x14ac:dyDescent="0.25">
      <c r="A346" s="100">
        <v>127099.92</v>
      </c>
      <c r="B346" s="97">
        <v>732.07849999999996</v>
      </c>
      <c r="C346" s="97">
        <v>0.6</v>
      </c>
      <c r="D346" s="80">
        <f t="shared" si="102"/>
        <v>100</v>
      </c>
      <c r="E346" s="81">
        <f t="shared" si="110"/>
        <v>6791.2436711181272</v>
      </c>
      <c r="F346" s="81">
        <f>SUM(E$2:E346)</f>
        <v>2114125.1558874794</v>
      </c>
      <c r="G346" s="43">
        <f t="shared" si="108"/>
        <v>1</v>
      </c>
      <c r="H346" s="78">
        <v>1</v>
      </c>
      <c r="I346" s="15">
        <f t="shared" si="111"/>
        <v>0.6</v>
      </c>
      <c r="J346" s="16">
        <f>VLOOKUP(G346,Inputs!$L$3:$P$15,5,FALSE)</f>
        <v>2000</v>
      </c>
      <c r="K346" s="16">
        <f t="shared" si="112"/>
        <v>1825</v>
      </c>
      <c r="L346" s="79">
        <f>Inputs!$P$8-B346</f>
        <v>206.11250000000007</v>
      </c>
      <c r="M346" s="79">
        <f>Inputs!$Q$8+L346*0.433</f>
        <v>1914.2467125000001</v>
      </c>
      <c r="N346" s="82">
        <f t="shared" si="113"/>
        <v>127099.92</v>
      </c>
      <c r="O346" s="83">
        <f t="shared" si="114"/>
        <v>732.07849999999996</v>
      </c>
      <c r="P346" s="84">
        <f>IF(O346="","",Inputs!$C$5-O346)</f>
        <v>93.105999999999995</v>
      </c>
      <c r="Q346" s="83">
        <f>IF(N346="","",TS!J346)</f>
        <v>2000</v>
      </c>
      <c r="R346" s="83">
        <f>IF(N346="","",TS!K346)</f>
        <v>1825</v>
      </c>
      <c r="S346" s="83">
        <f>Inputs!$H$5+TS!P346*0.4333</f>
        <v>1915.3085462499998</v>
      </c>
      <c r="T346" s="83">
        <f>Inputs!$G$5+TS!P346*0.4333</f>
        <v>1930.3085462499998</v>
      </c>
      <c r="U346" s="85">
        <f t="shared" si="115"/>
        <v>0.96515427312499991</v>
      </c>
      <c r="V346" s="86">
        <f t="shared" si="103"/>
        <v>0</v>
      </c>
      <c r="W346" s="86">
        <f t="shared" si="104"/>
        <v>0</v>
      </c>
      <c r="X346" s="86" t="e">
        <f>((PI()*((42-2*'Gen Calcs'!$E$13)^2)/4)/144)*(A389-#REF!)*(W346+14.7)/14.7</f>
        <v>#REF!</v>
      </c>
      <c r="Y346" s="86" t="e">
        <f t="shared" si="105"/>
        <v>#REF!</v>
      </c>
      <c r="Z346" s="86" t="e">
        <f t="shared" si="106"/>
        <v>#REF!</v>
      </c>
      <c r="AA346" s="83">
        <f>MAX(B$2:B346)-B346</f>
        <v>93.105999999999995</v>
      </c>
      <c r="AB346" s="83">
        <f t="shared" si="107"/>
        <v>40.314897999999999</v>
      </c>
      <c r="AC346" s="83">
        <f t="shared" si="109"/>
        <v>120</v>
      </c>
      <c r="AD346" s="72">
        <v>120</v>
      </c>
      <c r="AE346" s="73">
        <f t="shared" si="116"/>
        <v>907.92027688745009</v>
      </c>
      <c r="AF346" s="73">
        <f>SUM(AE$2:AE346)</f>
        <v>282876.52838960191</v>
      </c>
      <c r="AG346" s="73">
        <f t="shared" si="117"/>
        <v>890853.37403750722</v>
      </c>
    </row>
    <row r="347" spans="1:33" x14ac:dyDescent="0.25">
      <c r="A347" s="99">
        <v>127199.92</v>
      </c>
      <c r="B347" s="96">
        <v>730.38040000000001</v>
      </c>
      <c r="C347" s="96">
        <v>0.6</v>
      </c>
      <c r="D347" s="80">
        <f t="shared" si="102"/>
        <v>100</v>
      </c>
      <c r="E347" s="81">
        <f t="shared" si="110"/>
        <v>6791.2436711181272</v>
      </c>
      <c r="F347" s="81">
        <f>SUM(E$2:E347)</f>
        <v>2120916.3995585977</v>
      </c>
      <c r="G347" s="43">
        <f t="shared" si="108"/>
        <v>1</v>
      </c>
      <c r="H347" s="78">
        <v>1</v>
      </c>
      <c r="I347" s="15">
        <f t="shared" si="111"/>
        <v>0.6</v>
      </c>
      <c r="J347" s="16">
        <f>VLOOKUP(G347,Inputs!$L$3:$P$15,5,FALSE)</f>
        <v>2000</v>
      </c>
      <c r="K347" s="16">
        <f t="shared" si="112"/>
        <v>1825</v>
      </c>
      <c r="L347" s="79">
        <f>Inputs!$P$8-B347</f>
        <v>207.81060000000002</v>
      </c>
      <c r="M347" s="79">
        <f>Inputs!$Q$8+L347*0.433</f>
        <v>1914.9819898000001</v>
      </c>
      <c r="N347" s="82">
        <f t="shared" si="113"/>
        <v>127199.92</v>
      </c>
      <c r="O347" s="83">
        <f t="shared" si="114"/>
        <v>730.38040000000001</v>
      </c>
      <c r="P347" s="84">
        <f>IF(O347="","",Inputs!$C$5-O347)</f>
        <v>94.804099999999949</v>
      </c>
      <c r="Q347" s="83">
        <f>IF(N347="","",TS!J347)</f>
        <v>2000</v>
      </c>
      <c r="R347" s="83">
        <f>IF(N347="","",TS!K347)</f>
        <v>1825</v>
      </c>
      <c r="S347" s="83">
        <f>Inputs!$H$5+TS!P347*0.4333</f>
        <v>1916.04433298</v>
      </c>
      <c r="T347" s="83">
        <f>Inputs!$G$5+TS!P347*0.4333</f>
        <v>1931.04433298</v>
      </c>
      <c r="U347" s="85">
        <f t="shared" si="115"/>
        <v>0.96552216649</v>
      </c>
      <c r="V347" s="86">
        <f t="shared" si="103"/>
        <v>0</v>
      </c>
      <c r="W347" s="86">
        <f t="shared" si="104"/>
        <v>0</v>
      </c>
      <c r="X347" s="86" t="e">
        <f>((PI()*((42-2*'Gen Calcs'!$E$13)^2)/4)/144)*(A390-#REF!)*(W347+14.7)/14.7</f>
        <v>#REF!</v>
      </c>
      <c r="Y347" s="86" t="e">
        <f t="shared" si="105"/>
        <v>#REF!</v>
      </c>
      <c r="Z347" s="86" t="e">
        <f t="shared" si="106"/>
        <v>#REF!</v>
      </c>
      <c r="AA347" s="83">
        <f>MAX(B$2:B347)-B347</f>
        <v>94.804099999999949</v>
      </c>
      <c r="AB347" s="83">
        <f t="shared" si="107"/>
        <v>41.050175299999978</v>
      </c>
      <c r="AC347" s="83">
        <f t="shared" si="109"/>
        <v>120</v>
      </c>
      <c r="AD347" s="72">
        <v>120</v>
      </c>
      <c r="AE347" s="73">
        <f t="shared" si="116"/>
        <v>907.92027688745009</v>
      </c>
      <c r="AF347" s="73">
        <f>SUM(AE$2:AE347)</f>
        <v>283784.44866648933</v>
      </c>
      <c r="AG347" s="73">
        <f t="shared" si="117"/>
        <v>889945.45376061986</v>
      </c>
    </row>
    <row r="348" spans="1:33" x14ac:dyDescent="0.25">
      <c r="A348" s="100">
        <v>127299.92</v>
      </c>
      <c r="B348" s="97">
        <v>727.00400000000002</v>
      </c>
      <c r="C348" s="97">
        <v>0.6</v>
      </c>
      <c r="D348" s="80">
        <f t="shared" si="102"/>
        <v>100</v>
      </c>
      <c r="E348" s="81">
        <f t="shared" si="110"/>
        <v>6791.2436711181272</v>
      </c>
      <c r="F348" s="81">
        <f>SUM(E$2:E348)</f>
        <v>2127707.643229716</v>
      </c>
      <c r="G348" s="43">
        <f t="shared" si="108"/>
        <v>1</v>
      </c>
      <c r="H348" s="78">
        <v>1</v>
      </c>
      <c r="I348" s="15">
        <f t="shared" si="111"/>
        <v>0.6</v>
      </c>
      <c r="J348" s="16">
        <f>VLOOKUP(G348,Inputs!$L$3:$P$15,5,FALSE)</f>
        <v>2000</v>
      </c>
      <c r="K348" s="16">
        <f t="shared" si="112"/>
        <v>1825</v>
      </c>
      <c r="L348" s="79">
        <f>Inputs!$P$8-B348</f>
        <v>211.18700000000001</v>
      </c>
      <c r="M348" s="79">
        <f>Inputs!$Q$8+L348*0.433</f>
        <v>1916.4439709999999</v>
      </c>
      <c r="N348" s="82">
        <f t="shared" si="113"/>
        <v>127299.92</v>
      </c>
      <c r="O348" s="83">
        <f t="shared" si="114"/>
        <v>727.00400000000002</v>
      </c>
      <c r="P348" s="84">
        <f>IF(O348="","",Inputs!$C$5-O348)</f>
        <v>98.180499999999938</v>
      </c>
      <c r="Q348" s="83">
        <f>IF(N348="","",TS!J348)</f>
        <v>2000</v>
      </c>
      <c r="R348" s="83">
        <f>IF(N348="","",TS!K348)</f>
        <v>1825</v>
      </c>
      <c r="S348" s="83">
        <f>Inputs!$H$5+TS!P348*0.4333</f>
        <v>1917.5073270999999</v>
      </c>
      <c r="T348" s="83">
        <f>Inputs!$G$5+TS!P348*0.4333</f>
        <v>1932.5073270999999</v>
      </c>
      <c r="U348" s="85">
        <f t="shared" si="115"/>
        <v>0.96625366354999997</v>
      </c>
      <c r="V348" s="86">
        <f t="shared" si="103"/>
        <v>0</v>
      </c>
      <c r="W348" s="86">
        <f t="shared" si="104"/>
        <v>0</v>
      </c>
      <c r="X348" s="86" t="e">
        <f>((PI()*((42-2*'Gen Calcs'!$E$13)^2)/4)/144)*(A391-#REF!)*(W348+14.7)/14.7</f>
        <v>#REF!</v>
      </c>
      <c r="Y348" s="86" t="e">
        <f t="shared" si="105"/>
        <v>#REF!</v>
      </c>
      <c r="Z348" s="86" t="e">
        <f t="shared" si="106"/>
        <v>#REF!</v>
      </c>
      <c r="AA348" s="83">
        <f>MAX(B$2:B348)-B348</f>
        <v>98.180499999999938</v>
      </c>
      <c r="AB348" s="83">
        <f t="shared" si="107"/>
        <v>42.512156499999975</v>
      </c>
      <c r="AC348" s="83">
        <f t="shared" si="109"/>
        <v>120</v>
      </c>
      <c r="AD348" s="72">
        <v>120</v>
      </c>
      <c r="AE348" s="73">
        <f t="shared" si="116"/>
        <v>907.92027688745009</v>
      </c>
      <c r="AF348" s="73">
        <f>SUM(AE$2:AE348)</f>
        <v>284692.36894337676</v>
      </c>
      <c r="AG348" s="73">
        <f t="shared" si="117"/>
        <v>889037.53348373249</v>
      </c>
    </row>
    <row r="349" spans="1:33" x14ac:dyDescent="0.25">
      <c r="A349" s="99">
        <v>127399.92</v>
      </c>
      <c r="B349" s="96">
        <v>723.87070000000006</v>
      </c>
      <c r="C349" s="96">
        <v>0.6</v>
      </c>
      <c r="D349" s="80">
        <f t="shared" si="102"/>
        <v>100</v>
      </c>
      <c r="E349" s="81">
        <f t="shared" si="110"/>
        <v>6791.2436711181272</v>
      </c>
      <c r="F349" s="81">
        <f>SUM(E$2:E349)</f>
        <v>2134498.8869008343</v>
      </c>
      <c r="G349" s="43">
        <f t="shared" si="108"/>
        <v>1</v>
      </c>
      <c r="H349" s="78">
        <v>1</v>
      </c>
      <c r="I349" s="15">
        <f t="shared" si="111"/>
        <v>0.6</v>
      </c>
      <c r="J349" s="16">
        <f>VLOOKUP(G349,Inputs!$L$3:$P$15,5,FALSE)</f>
        <v>2000</v>
      </c>
      <c r="K349" s="16">
        <f t="shared" si="112"/>
        <v>1825</v>
      </c>
      <c r="L349" s="79">
        <f>Inputs!$P$8-B349</f>
        <v>214.32029999999997</v>
      </c>
      <c r="M349" s="79">
        <f>Inputs!$Q$8+L349*0.433</f>
        <v>1917.8006899</v>
      </c>
      <c r="N349" s="82">
        <f t="shared" si="113"/>
        <v>127399.92</v>
      </c>
      <c r="O349" s="83">
        <f t="shared" si="114"/>
        <v>723.87070000000006</v>
      </c>
      <c r="P349" s="84">
        <f>IF(O349="","",Inputs!$C$5-O349)</f>
        <v>101.3137999999999</v>
      </c>
      <c r="Q349" s="83">
        <f>IF(N349="","",TS!J349)</f>
        <v>2000</v>
      </c>
      <c r="R349" s="83">
        <f>IF(N349="","",TS!K349)</f>
        <v>1825</v>
      </c>
      <c r="S349" s="83">
        <f>Inputs!$H$5+TS!P349*0.4333</f>
        <v>1918.8649859899999</v>
      </c>
      <c r="T349" s="83">
        <f>Inputs!$G$5+TS!P349*0.4333</f>
        <v>1933.8649859899999</v>
      </c>
      <c r="U349" s="85">
        <f t="shared" si="115"/>
        <v>0.96693249299499995</v>
      </c>
      <c r="V349" s="86">
        <f t="shared" si="103"/>
        <v>0</v>
      </c>
      <c r="W349" s="86">
        <f t="shared" si="104"/>
        <v>0</v>
      </c>
      <c r="X349" s="86" t="e">
        <f>((PI()*((42-2*'Gen Calcs'!$E$13)^2)/4)/144)*(A392-#REF!)*(W349+14.7)/14.7</f>
        <v>#REF!</v>
      </c>
      <c r="Y349" s="86" t="e">
        <f t="shared" si="105"/>
        <v>#REF!</v>
      </c>
      <c r="Z349" s="86" t="e">
        <f t="shared" si="106"/>
        <v>#REF!</v>
      </c>
      <c r="AA349" s="83">
        <f>MAX(B$2:B349)-B349</f>
        <v>101.3137999999999</v>
      </c>
      <c r="AB349" s="83">
        <f t="shared" si="107"/>
        <v>43.868875399999958</v>
      </c>
      <c r="AC349" s="83">
        <f t="shared" si="109"/>
        <v>120</v>
      </c>
      <c r="AD349" s="72">
        <v>120</v>
      </c>
      <c r="AE349" s="73">
        <f t="shared" si="116"/>
        <v>907.92027688745009</v>
      </c>
      <c r="AF349" s="73">
        <f>SUM(AE$2:AE349)</f>
        <v>285600.28922026418</v>
      </c>
      <c r="AG349" s="73">
        <f t="shared" si="117"/>
        <v>888129.61320684501</v>
      </c>
    </row>
    <row r="350" spans="1:33" x14ac:dyDescent="0.25">
      <c r="A350" s="100">
        <v>127499.92</v>
      </c>
      <c r="B350" s="97">
        <v>717.33900000000006</v>
      </c>
      <c r="C350" s="97">
        <v>0.6</v>
      </c>
      <c r="D350" s="80">
        <f t="shared" si="102"/>
        <v>100</v>
      </c>
      <c r="E350" s="81">
        <f t="shared" si="110"/>
        <v>6616.6076625842816</v>
      </c>
      <c r="F350" s="81">
        <f>SUM(E$2:E350)</f>
        <v>2141115.4945634184</v>
      </c>
      <c r="G350" s="43">
        <f t="shared" si="108"/>
        <v>1</v>
      </c>
      <c r="H350" s="78">
        <v>1</v>
      </c>
      <c r="I350" s="15">
        <f t="shared" si="111"/>
        <v>0.6</v>
      </c>
      <c r="J350" s="16">
        <f>VLOOKUP(G350,Inputs!$L$3:$P$15,5,FALSE)</f>
        <v>2000</v>
      </c>
      <c r="K350" s="16">
        <f t="shared" si="112"/>
        <v>1825</v>
      </c>
      <c r="L350" s="79">
        <f>Inputs!$P$8-B350</f>
        <v>220.85199999999998</v>
      </c>
      <c r="M350" s="79">
        <f>Inputs!$Q$8+L350*0.433</f>
        <v>1920.6289159999999</v>
      </c>
      <c r="N350" s="82">
        <f t="shared" si="113"/>
        <v>127499.92</v>
      </c>
      <c r="O350" s="83">
        <f t="shared" si="114"/>
        <v>717.33900000000006</v>
      </c>
      <c r="P350" s="84">
        <f>IF(O350="","",Inputs!$C$5-O350)</f>
        <v>107.8454999999999</v>
      </c>
      <c r="Q350" s="83">
        <f>IF(N350="","",TS!J350)</f>
        <v>2000</v>
      </c>
      <c r="R350" s="83">
        <f>IF(N350="","",TS!K350)</f>
        <v>1825</v>
      </c>
      <c r="S350" s="83">
        <f>Inputs!$H$5+TS!P350*0.4333</f>
        <v>1921.6951715999999</v>
      </c>
      <c r="T350" s="83">
        <f>Inputs!$G$5+TS!P350*0.4333</f>
        <v>1936.6951715999999</v>
      </c>
      <c r="U350" s="85">
        <f t="shared" si="115"/>
        <v>0.96834758579999991</v>
      </c>
      <c r="V350" s="86">
        <f t="shared" si="103"/>
        <v>0</v>
      </c>
      <c r="W350" s="86">
        <f t="shared" si="104"/>
        <v>0</v>
      </c>
      <c r="X350" s="86" t="e">
        <f>((PI()*((42-2*'Gen Calcs'!$E$13)^2)/4)/144)*(A393-#REF!)*(W350+14.7)/14.7</f>
        <v>#REF!</v>
      </c>
      <c r="Y350" s="86" t="e">
        <f t="shared" si="105"/>
        <v>#REF!</v>
      </c>
      <c r="Z350" s="86" t="e">
        <f t="shared" si="106"/>
        <v>#REF!</v>
      </c>
      <c r="AA350" s="83">
        <f>MAX(B$2:B350)-B350</f>
        <v>107.8454999999999</v>
      </c>
      <c r="AB350" s="83">
        <f t="shared" si="107"/>
        <v>46.69710149999996</v>
      </c>
      <c r="AC350" s="83">
        <f t="shared" si="109"/>
        <v>120</v>
      </c>
      <c r="AD350" s="72">
        <v>120</v>
      </c>
      <c r="AE350" s="73">
        <f t="shared" si="116"/>
        <v>907.92027688745009</v>
      </c>
      <c r="AF350" s="73">
        <f>SUM(AE$2:AE350)</f>
        <v>286508.20949715161</v>
      </c>
      <c r="AG350" s="73">
        <f t="shared" si="117"/>
        <v>887221.69292995753</v>
      </c>
    </row>
    <row r="351" spans="1:33" x14ac:dyDescent="0.25">
      <c r="A351" s="99">
        <v>127599.92</v>
      </c>
      <c r="B351" s="96">
        <v>710.55949999999996</v>
      </c>
      <c r="C351" s="96">
        <v>0.6</v>
      </c>
      <c r="D351" s="80">
        <f t="shared" si="102"/>
        <v>100</v>
      </c>
      <c r="E351" s="81">
        <f t="shared" si="110"/>
        <v>6791.2436711181272</v>
      </c>
      <c r="F351" s="81">
        <f>SUM(E$2:E351)</f>
        <v>2147906.7382345367</v>
      </c>
      <c r="G351" s="43">
        <f t="shared" si="108"/>
        <v>1</v>
      </c>
      <c r="H351" s="78">
        <v>1</v>
      </c>
      <c r="I351" s="15">
        <f t="shared" si="111"/>
        <v>0.6</v>
      </c>
      <c r="J351" s="16">
        <f>VLOOKUP(G351,Inputs!$L$3:$P$15,5,FALSE)</f>
        <v>2000</v>
      </c>
      <c r="K351" s="16">
        <f t="shared" si="112"/>
        <v>1825</v>
      </c>
      <c r="L351" s="79">
        <f>Inputs!$P$8-B351</f>
        <v>227.63150000000007</v>
      </c>
      <c r="M351" s="79">
        <f>Inputs!$Q$8+L351*0.433</f>
        <v>1923.5644394999999</v>
      </c>
      <c r="N351" s="82">
        <f t="shared" si="113"/>
        <v>127599.92</v>
      </c>
      <c r="O351" s="83">
        <f t="shared" si="114"/>
        <v>710.55949999999996</v>
      </c>
      <c r="P351" s="84">
        <f>IF(O351="","",Inputs!$C$5-O351)</f>
        <v>114.625</v>
      </c>
      <c r="Q351" s="83">
        <f>IF(N351="","",TS!J351)</f>
        <v>2000</v>
      </c>
      <c r="R351" s="83">
        <f>IF(N351="","",TS!K351)</f>
        <v>1825</v>
      </c>
      <c r="S351" s="83">
        <f>Inputs!$H$5+TS!P351*0.4333</f>
        <v>1924.63272895</v>
      </c>
      <c r="T351" s="83">
        <f>Inputs!$G$5+TS!P351*0.4333</f>
        <v>1939.63272895</v>
      </c>
      <c r="U351" s="85">
        <f t="shared" si="115"/>
        <v>0.96981636447499997</v>
      </c>
      <c r="V351" s="86">
        <f t="shared" si="103"/>
        <v>0</v>
      </c>
      <c r="W351" s="86">
        <f t="shared" si="104"/>
        <v>0</v>
      </c>
      <c r="X351" s="86" t="e">
        <f>((PI()*((42-2*'Gen Calcs'!$E$13)^2)/4)/144)*(A394-#REF!)*(W351+14.7)/14.7</f>
        <v>#REF!</v>
      </c>
      <c r="Y351" s="86" t="e">
        <f t="shared" si="105"/>
        <v>#REF!</v>
      </c>
      <c r="Z351" s="86" t="e">
        <f t="shared" si="106"/>
        <v>#REF!</v>
      </c>
      <c r="AA351" s="83">
        <f>MAX(B$2:B351)-B351</f>
        <v>114.625</v>
      </c>
      <c r="AB351" s="83">
        <f t="shared" si="107"/>
        <v>49.632624999999997</v>
      </c>
      <c r="AC351" s="83">
        <f t="shared" si="109"/>
        <v>120</v>
      </c>
      <c r="AD351" s="72">
        <v>120</v>
      </c>
      <c r="AE351" s="73">
        <f t="shared" si="116"/>
        <v>907.92027688745009</v>
      </c>
      <c r="AF351" s="73">
        <f>SUM(AE$2:AE351)</f>
        <v>287416.12977403903</v>
      </c>
      <c r="AG351" s="73">
        <f t="shared" si="117"/>
        <v>886313.77265307016</v>
      </c>
    </row>
    <row r="352" spans="1:33" x14ac:dyDescent="0.25">
      <c r="A352" s="100">
        <v>127699.92</v>
      </c>
      <c r="B352" s="97">
        <v>707.56050000000005</v>
      </c>
      <c r="C352" s="97">
        <v>0.6</v>
      </c>
      <c r="D352" s="80">
        <f t="shared" si="102"/>
        <v>100</v>
      </c>
      <c r="E352" s="81">
        <f t="shared" si="110"/>
        <v>6616.6076625842816</v>
      </c>
      <c r="F352" s="81">
        <f>SUM(E$2:E352)</f>
        <v>2154523.3458971209</v>
      </c>
      <c r="G352" s="43">
        <f t="shared" si="108"/>
        <v>1</v>
      </c>
      <c r="H352" s="78">
        <v>1</v>
      </c>
      <c r="I352" s="15">
        <f t="shared" si="111"/>
        <v>0.6</v>
      </c>
      <c r="J352" s="16">
        <f>VLOOKUP(G352,Inputs!$L$3:$P$15,5,FALSE)</f>
        <v>2000</v>
      </c>
      <c r="K352" s="16">
        <f t="shared" si="112"/>
        <v>1825</v>
      </c>
      <c r="L352" s="79">
        <f>Inputs!$P$8-B352</f>
        <v>230.63049999999998</v>
      </c>
      <c r="M352" s="79">
        <f>Inputs!$Q$8+L352*0.433</f>
        <v>1924.8630065</v>
      </c>
      <c r="N352" s="82">
        <f t="shared" si="113"/>
        <v>127699.92</v>
      </c>
      <c r="O352" s="83">
        <f t="shared" si="114"/>
        <v>707.56050000000005</v>
      </c>
      <c r="P352" s="84">
        <f>IF(O352="","",Inputs!$C$5-O352)</f>
        <v>117.62399999999991</v>
      </c>
      <c r="Q352" s="83">
        <f>IF(N352="","",TS!J352)</f>
        <v>2000</v>
      </c>
      <c r="R352" s="83">
        <f>IF(N352="","",TS!K352)</f>
        <v>1825</v>
      </c>
      <c r="S352" s="83">
        <f>Inputs!$H$5+TS!P352*0.4333</f>
        <v>1925.9321956499998</v>
      </c>
      <c r="T352" s="83">
        <f>Inputs!$G$5+TS!P352*0.4333</f>
        <v>1940.9321956499998</v>
      </c>
      <c r="U352" s="85">
        <f t="shared" si="115"/>
        <v>0.97046609782499993</v>
      </c>
      <c r="V352" s="86">
        <f t="shared" si="103"/>
        <v>0</v>
      </c>
      <c r="W352" s="86">
        <f t="shared" si="104"/>
        <v>0</v>
      </c>
      <c r="X352" s="86" t="e">
        <f>((PI()*((42-2*'Gen Calcs'!$E$13)^2)/4)/144)*(A395-#REF!)*(W352+14.7)/14.7</f>
        <v>#REF!</v>
      </c>
      <c r="Y352" s="86" t="e">
        <f t="shared" si="105"/>
        <v>#REF!</v>
      </c>
      <c r="Z352" s="86" t="e">
        <f t="shared" si="106"/>
        <v>#REF!</v>
      </c>
      <c r="AA352" s="83">
        <f>MAX(B$2:B352)-B352</f>
        <v>117.62399999999991</v>
      </c>
      <c r="AB352" s="83">
        <f t="shared" si="107"/>
        <v>50.93119199999996</v>
      </c>
      <c r="AC352" s="83">
        <f t="shared" si="109"/>
        <v>120</v>
      </c>
      <c r="AD352" s="72">
        <v>120</v>
      </c>
      <c r="AE352" s="73">
        <f t="shared" si="116"/>
        <v>907.92027688745009</v>
      </c>
      <c r="AF352" s="73">
        <f>SUM(AE$2:AE352)</f>
        <v>288324.05005092645</v>
      </c>
      <c r="AG352" s="73">
        <f t="shared" si="117"/>
        <v>885405.8523761828</v>
      </c>
    </row>
    <row r="353" spans="1:33" x14ac:dyDescent="0.25">
      <c r="A353" s="99">
        <v>127799.92</v>
      </c>
      <c r="B353" s="96">
        <v>705.17190000000005</v>
      </c>
      <c r="C353" s="96">
        <v>0.6</v>
      </c>
      <c r="D353" s="80">
        <f t="shared" si="102"/>
        <v>100</v>
      </c>
      <c r="E353" s="81">
        <f t="shared" si="110"/>
        <v>6791.2436711181272</v>
      </c>
      <c r="F353" s="81">
        <f>SUM(E$2:E353)</f>
        <v>2161314.5895682392</v>
      </c>
      <c r="G353" s="43">
        <f t="shared" si="108"/>
        <v>1</v>
      </c>
      <c r="H353" s="78">
        <v>1</v>
      </c>
      <c r="I353" s="15">
        <f t="shared" si="111"/>
        <v>0.6</v>
      </c>
      <c r="J353" s="16">
        <f>VLOOKUP(G353,Inputs!$L$3:$P$15,5,FALSE)</f>
        <v>2000</v>
      </c>
      <c r="K353" s="16">
        <f t="shared" si="112"/>
        <v>1825</v>
      </c>
      <c r="L353" s="79">
        <f>Inputs!$P$8-B353</f>
        <v>233.01909999999998</v>
      </c>
      <c r="M353" s="79">
        <f>Inputs!$Q$8+L353*0.433</f>
        <v>1925.8972702999999</v>
      </c>
      <c r="N353" s="82">
        <f t="shared" si="113"/>
        <v>127799.92</v>
      </c>
      <c r="O353" s="83">
        <f t="shared" si="114"/>
        <v>705.17190000000005</v>
      </c>
      <c r="P353" s="84">
        <f>IF(O353="","",Inputs!$C$5-O353)</f>
        <v>120.01259999999991</v>
      </c>
      <c r="Q353" s="83">
        <f>IF(N353="","",TS!J353)</f>
        <v>2000</v>
      </c>
      <c r="R353" s="83">
        <f>IF(N353="","",TS!K353)</f>
        <v>1825</v>
      </c>
      <c r="S353" s="83">
        <f>Inputs!$H$5+TS!P353*0.4333</f>
        <v>1926.9671760299998</v>
      </c>
      <c r="T353" s="83">
        <f>Inputs!$G$5+TS!P353*0.4333</f>
        <v>1941.9671760299998</v>
      </c>
      <c r="U353" s="85">
        <f t="shared" si="115"/>
        <v>0.97098358801499984</v>
      </c>
      <c r="V353" s="86">
        <f t="shared" si="103"/>
        <v>0</v>
      </c>
      <c r="W353" s="86">
        <f t="shared" si="104"/>
        <v>0</v>
      </c>
      <c r="X353" s="86" t="e">
        <f>((PI()*((42-2*'Gen Calcs'!$E$13)^2)/4)/144)*(A396-#REF!)*(W353+14.7)/14.7</f>
        <v>#REF!</v>
      </c>
      <c r="Y353" s="86" t="e">
        <f t="shared" si="105"/>
        <v>#REF!</v>
      </c>
      <c r="Z353" s="86" t="e">
        <f t="shared" si="106"/>
        <v>#REF!</v>
      </c>
      <c r="AA353" s="83">
        <f>MAX(B$2:B353)-B353</f>
        <v>120.01259999999991</v>
      </c>
      <c r="AB353" s="83">
        <f t="shared" si="107"/>
        <v>51.965455799999958</v>
      </c>
      <c r="AC353" s="83">
        <f t="shared" si="109"/>
        <v>120</v>
      </c>
      <c r="AD353" s="72">
        <v>120</v>
      </c>
      <c r="AE353" s="73">
        <f t="shared" si="116"/>
        <v>907.92027688745009</v>
      </c>
      <c r="AF353" s="73">
        <f>SUM(AE$2:AE353)</f>
        <v>289231.97032781388</v>
      </c>
      <c r="AG353" s="73">
        <f t="shared" si="117"/>
        <v>884497.93209929531</v>
      </c>
    </row>
    <row r="354" spans="1:33" x14ac:dyDescent="0.25">
      <c r="A354" s="100">
        <v>127899.92</v>
      </c>
      <c r="B354" s="97">
        <v>700.64779999999996</v>
      </c>
      <c r="C354" s="97">
        <v>0.6</v>
      </c>
      <c r="D354" s="80">
        <f t="shared" si="102"/>
        <v>100</v>
      </c>
      <c r="E354" s="81">
        <f t="shared" si="110"/>
        <v>6791.2436711181272</v>
      </c>
      <c r="F354" s="81">
        <f>SUM(E$2:E354)</f>
        <v>2168105.8332393575</v>
      </c>
      <c r="G354" s="43">
        <f t="shared" si="108"/>
        <v>1</v>
      </c>
      <c r="H354" s="78">
        <v>1</v>
      </c>
      <c r="I354" s="15">
        <f t="shared" si="111"/>
        <v>0.6</v>
      </c>
      <c r="J354" s="16">
        <f>VLOOKUP(G354,Inputs!$L$3:$P$15,5,FALSE)</f>
        <v>2000</v>
      </c>
      <c r="K354" s="16">
        <f t="shared" si="112"/>
        <v>1825</v>
      </c>
      <c r="L354" s="79">
        <f>Inputs!$P$8-B354</f>
        <v>237.54320000000007</v>
      </c>
      <c r="M354" s="79">
        <f>Inputs!$Q$8+L354*0.433</f>
        <v>1927.8562056000001</v>
      </c>
      <c r="N354" s="82">
        <f t="shared" si="113"/>
        <v>127899.92</v>
      </c>
      <c r="O354" s="83">
        <f t="shared" si="114"/>
        <v>700.64779999999996</v>
      </c>
      <c r="P354" s="84">
        <f>IF(O354="","",Inputs!$C$5-O354)</f>
        <v>124.5367</v>
      </c>
      <c r="Q354" s="83">
        <f>IF(N354="","",TS!J354)</f>
        <v>2000</v>
      </c>
      <c r="R354" s="83">
        <f>IF(N354="","",TS!K354)</f>
        <v>1825</v>
      </c>
      <c r="S354" s="83">
        <f>Inputs!$H$5+TS!P354*0.4333</f>
        <v>1928.9274685599999</v>
      </c>
      <c r="T354" s="83">
        <f>Inputs!$G$5+TS!P354*0.4333</f>
        <v>1943.9274685599999</v>
      </c>
      <c r="U354" s="85">
        <f t="shared" si="115"/>
        <v>0.97196373427999994</v>
      </c>
      <c r="V354" s="86">
        <f t="shared" si="103"/>
        <v>0</v>
      </c>
      <c r="W354" s="86">
        <f t="shared" si="104"/>
        <v>0</v>
      </c>
      <c r="X354" s="86" t="e">
        <f>((PI()*((42-2*'Gen Calcs'!$E$13)^2)/4)/144)*(A397-#REF!)*(W354+14.7)/14.7</f>
        <v>#REF!</v>
      </c>
      <c r="Y354" s="86" t="e">
        <f t="shared" si="105"/>
        <v>#REF!</v>
      </c>
      <c r="Z354" s="86" t="e">
        <f t="shared" si="106"/>
        <v>#REF!</v>
      </c>
      <c r="AA354" s="83">
        <f>MAX(B$2:B354)-B354</f>
        <v>124.5367</v>
      </c>
      <c r="AB354" s="83">
        <f t="shared" si="107"/>
        <v>53.924391100000001</v>
      </c>
      <c r="AC354" s="83">
        <f t="shared" si="109"/>
        <v>120</v>
      </c>
      <c r="AD354" s="72">
        <v>120</v>
      </c>
      <c r="AE354" s="73">
        <f t="shared" si="116"/>
        <v>907.92027688745009</v>
      </c>
      <c r="AF354" s="73">
        <f>SUM(AE$2:AE354)</f>
        <v>290139.8906047013</v>
      </c>
      <c r="AG354" s="73">
        <f t="shared" si="117"/>
        <v>883590.01182240783</v>
      </c>
    </row>
    <row r="355" spans="1:33" x14ac:dyDescent="0.25">
      <c r="A355" s="99">
        <v>127999.92</v>
      </c>
      <c r="B355" s="96">
        <v>693.52689999999996</v>
      </c>
      <c r="C355" s="96">
        <v>0.6</v>
      </c>
      <c r="D355" s="80">
        <f t="shared" si="102"/>
        <v>100</v>
      </c>
      <c r="E355" s="81">
        <f t="shared" si="110"/>
        <v>6791.2436711181272</v>
      </c>
      <c r="F355" s="81">
        <f>SUM(E$2:E355)</f>
        <v>2174897.0769104757</v>
      </c>
      <c r="G355" s="43">
        <f t="shared" si="108"/>
        <v>1</v>
      </c>
      <c r="H355" s="78">
        <v>1</v>
      </c>
      <c r="I355" s="15">
        <f t="shared" si="111"/>
        <v>0.6</v>
      </c>
      <c r="J355" s="16">
        <f>VLOOKUP(G355,Inputs!$L$3:$P$15,5,FALSE)</f>
        <v>2000</v>
      </c>
      <c r="K355" s="16">
        <f t="shared" si="112"/>
        <v>1825</v>
      </c>
      <c r="L355" s="79">
        <f>Inputs!$P$8-B355</f>
        <v>244.66410000000008</v>
      </c>
      <c r="M355" s="79">
        <f>Inputs!$Q$8+L355*0.433</f>
        <v>1930.9395552999999</v>
      </c>
      <c r="N355" s="82">
        <f t="shared" si="113"/>
        <v>127999.92</v>
      </c>
      <c r="O355" s="83">
        <f t="shared" si="114"/>
        <v>693.52689999999996</v>
      </c>
      <c r="P355" s="84">
        <f>IF(O355="","",Inputs!$C$5-O355)</f>
        <v>131.6576</v>
      </c>
      <c r="Q355" s="83">
        <f>IF(N355="","",TS!J355)</f>
        <v>2000</v>
      </c>
      <c r="R355" s="83">
        <f>IF(N355="","",TS!K355)</f>
        <v>1825</v>
      </c>
      <c r="S355" s="83">
        <f>Inputs!$H$5+TS!P355*0.4333</f>
        <v>1932.0129545299999</v>
      </c>
      <c r="T355" s="83">
        <f>Inputs!$G$5+TS!P355*0.4333</f>
        <v>1947.0129545299999</v>
      </c>
      <c r="U355" s="85">
        <f t="shared" si="115"/>
        <v>0.97350647726499995</v>
      </c>
      <c r="V355" s="86">
        <f t="shared" si="103"/>
        <v>0</v>
      </c>
      <c r="W355" s="86">
        <f t="shared" si="104"/>
        <v>0</v>
      </c>
      <c r="X355" s="86" t="e">
        <f>((PI()*((42-2*'Gen Calcs'!$E$13)^2)/4)/144)*(A398-#REF!)*(W355+14.7)/14.7</f>
        <v>#REF!</v>
      </c>
      <c r="Y355" s="86" t="e">
        <f t="shared" si="105"/>
        <v>#REF!</v>
      </c>
      <c r="Z355" s="86" t="e">
        <f t="shared" si="106"/>
        <v>#REF!</v>
      </c>
      <c r="AA355" s="83">
        <f>MAX(B$2:B355)-B355</f>
        <v>131.6576</v>
      </c>
      <c r="AB355" s="83">
        <f t="shared" si="107"/>
        <v>57.007740800000001</v>
      </c>
      <c r="AC355" s="83">
        <f t="shared" si="109"/>
        <v>120</v>
      </c>
      <c r="AD355" s="72">
        <v>120</v>
      </c>
      <c r="AE355" s="73">
        <f t="shared" si="116"/>
        <v>907.92027688745009</v>
      </c>
      <c r="AF355" s="73">
        <f>SUM(AE$2:AE355)</f>
        <v>291047.81088158872</v>
      </c>
      <c r="AG355" s="73">
        <f t="shared" si="117"/>
        <v>882682.09154552047</v>
      </c>
    </row>
    <row r="356" spans="1:33" x14ac:dyDescent="0.25">
      <c r="A356" s="100">
        <v>128099.92</v>
      </c>
      <c r="B356" s="97">
        <v>697.89269999999999</v>
      </c>
      <c r="C356" s="97">
        <v>0.6</v>
      </c>
      <c r="D356" s="80">
        <f t="shared" si="102"/>
        <v>100</v>
      </c>
      <c r="E356" s="81">
        <f t="shared" si="110"/>
        <v>6791.2436711181272</v>
      </c>
      <c r="F356" s="81">
        <f>SUM(E$2:E356)</f>
        <v>2181688.320581594</v>
      </c>
      <c r="G356" s="43">
        <f t="shared" si="108"/>
        <v>1</v>
      </c>
      <c r="H356" s="78">
        <v>1</v>
      </c>
      <c r="I356" s="15">
        <f t="shared" si="111"/>
        <v>0.6</v>
      </c>
      <c r="J356" s="16">
        <f>VLOOKUP(G356,Inputs!$L$3:$P$15,5,FALSE)</f>
        <v>2000</v>
      </c>
      <c r="K356" s="16">
        <f t="shared" si="112"/>
        <v>1825</v>
      </c>
      <c r="L356" s="79">
        <f>Inputs!$P$8-B356</f>
        <v>240.29830000000004</v>
      </c>
      <c r="M356" s="79">
        <f>Inputs!$Q$8+L356*0.433</f>
        <v>1929.0491638999999</v>
      </c>
      <c r="N356" s="82">
        <f t="shared" si="113"/>
        <v>128099.92</v>
      </c>
      <c r="O356" s="83">
        <f t="shared" si="114"/>
        <v>697.89269999999999</v>
      </c>
      <c r="P356" s="84">
        <f>IF(O356="","",Inputs!$C$5-O356)</f>
        <v>127.29179999999997</v>
      </c>
      <c r="Q356" s="83">
        <f>IF(N356="","",TS!J356)</f>
        <v>2000</v>
      </c>
      <c r="R356" s="83">
        <f>IF(N356="","",TS!K356)</f>
        <v>1825</v>
      </c>
      <c r="S356" s="83">
        <f>Inputs!$H$5+TS!P356*0.4333</f>
        <v>1930.12125339</v>
      </c>
      <c r="T356" s="83">
        <f>Inputs!$G$5+TS!P356*0.4333</f>
        <v>1945.12125339</v>
      </c>
      <c r="U356" s="85">
        <f t="shared" si="115"/>
        <v>0.97256062669499999</v>
      </c>
      <c r="V356" s="86">
        <f t="shared" si="103"/>
        <v>0</v>
      </c>
      <c r="W356" s="86">
        <f t="shared" si="104"/>
        <v>0</v>
      </c>
      <c r="X356" s="86" t="e">
        <f>((PI()*((42-2*'Gen Calcs'!$E$13)^2)/4)/144)*(A399-#REF!)*(W356+14.7)/14.7</f>
        <v>#REF!</v>
      </c>
      <c r="Y356" s="86" t="e">
        <f t="shared" si="105"/>
        <v>#REF!</v>
      </c>
      <c r="Z356" s="86" t="e">
        <f t="shared" si="106"/>
        <v>#REF!</v>
      </c>
      <c r="AA356" s="83">
        <f>MAX(B$2:B356)-B356</f>
        <v>127.29179999999997</v>
      </c>
      <c r="AB356" s="83">
        <f t="shared" si="107"/>
        <v>55.117349399999988</v>
      </c>
      <c r="AC356" s="83">
        <f t="shared" si="109"/>
        <v>120</v>
      </c>
      <c r="AD356" s="72">
        <v>120</v>
      </c>
      <c r="AE356" s="73">
        <f t="shared" si="116"/>
        <v>907.92027688745009</v>
      </c>
      <c r="AF356" s="73">
        <f>SUM(AE$2:AE356)</f>
        <v>291955.73115847615</v>
      </c>
      <c r="AG356" s="73">
        <f t="shared" si="117"/>
        <v>881774.1712686331</v>
      </c>
    </row>
    <row r="357" spans="1:33" x14ac:dyDescent="0.25">
      <c r="A357" s="99">
        <v>128199.92</v>
      </c>
      <c r="B357" s="96">
        <v>698.73260000000005</v>
      </c>
      <c r="C357" s="96">
        <v>0.6</v>
      </c>
      <c r="D357" s="80">
        <f t="shared" si="102"/>
        <v>100</v>
      </c>
      <c r="E357" s="81">
        <f t="shared" si="110"/>
        <v>6791.2436711181272</v>
      </c>
      <c r="F357" s="81">
        <f>SUM(E$2:E357)</f>
        <v>2188479.5642527123</v>
      </c>
      <c r="G357" s="43">
        <f t="shared" si="108"/>
        <v>1</v>
      </c>
      <c r="H357" s="78">
        <v>1</v>
      </c>
      <c r="I357" s="15">
        <f t="shared" si="111"/>
        <v>0.6</v>
      </c>
      <c r="J357" s="16">
        <f>VLOOKUP(G357,Inputs!$L$3:$P$15,5,FALSE)</f>
        <v>2000</v>
      </c>
      <c r="K357" s="16">
        <f t="shared" si="112"/>
        <v>1825</v>
      </c>
      <c r="L357" s="79">
        <f>Inputs!$P$8-B357</f>
        <v>239.45839999999998</v>
      </c>
      <c r="M357" s="79">
        <f>Inputs!$Q$8+L357*0.433</f>
        <v>1928.6854871999999</v>
      </c>
      <c r="N357" s="82">
        <f t="shared" si="113"/>
        <v>128199.92</v>
      </c>
      <c r="O357" s="83">
        <f t="shared" si="114"/>
        <v>698.73260000000005</v>
      </c>
      <c r="P357" s="84">
        <f>IF(O357="","",Inputs!$C$5-O357)</f>
        <v>126.45189999999991</v>
      </c>
      <c r="Q357" s="83">
        <f>IF(N357="","",TS!J357)</f>
        <v>2000</v>
      </c>
      <c r="R357" s="83">
        <f>IF(N357="","",TS!K357)</f>
        <v>1825</v>
      </c>
      <c r="S357" s="83">
        <f>Inputs!$H$5+TS!P357*0.4333</f>
        <v>1929.7573247199998</v>
      </c>
      <c r="T357" s="83">
        <f>Inputs!$G$5+TS!P357*0.4333</f>
        <v>1944.7573247199998</v>
      </c>
      <c r="U357" s="85">
        <f t="shared" si="115"/>
        <v>0.97237866235999992</v>
      </c>
      <c r="V357" s="86">
        <f t="shared" si="103"/>
        <v>0</v>
      </c>
      <c r="W357" s="86">
        <f t="shared" si="104"/>
        <v>0</v>
      </c>
      <c r="X357" s="86" t="e">
        <f>((PI()*((42-2*'Gen Calcs'!$E$13)^2)/4)/144)*(A400-#REF!)*(W357+14.7)/14.7</f>
        <v>#REF!</v>
      </c>
      <c r="Y357" s="86" t="e">
        <f t="shared" si="105"/>
        <v>#REF!</v>
      </c>
      <c r="Z357" s="86" t="e">
        <f t="shared" si="106"/>
        <v>#REF!</v>
      </c>
      <c r="AA357" s="83">
        <f>MAX(B$2:B357)-B357</f>
        <v>126.45189999999991</v>
      </c>
      <c r="AB357" s="83">
        <f t="shared" si="107"/>
        <v>54.75367269999996</v>
      </c>
      <c r="AC357" s="83">
        <f t="shared" si="109"/>
        <v>120</v>
      </c>
      <c r="AD357" s="72">
        <v>120</v>
      </c>
      <c r="AE357" s="73">
        <f t="shared" si="116"/>
        <v>907.92027688745009</v>
      </c>
      <c r="AF357" s="73">
        <f>SUM(AE$2:AE357)</f>
        <v>292863.65143536357</v>
      </c>
      <c r="AG357" s="73">
        <f t="shared" si="117"/>
        <v>880866.25099174562</v>
      </c>
    </row>
    <row r="358" spans="1:33" x14ac:dyDescent="0.25">
      <c r="A358" s="100">
        <v>128299.92</v>
      </c>
      <c r="B358" s="97">
        <v>703.80370000000005</v>
      </c>
      <c r="C358" s="97">
        <v>0.6</v>
      </c>
      <c r="D358" s="80">
        <f t="shared" si="102"/>
        <v>100</v>
      </c>
      <c r="E358" s="81">
        <f t="shared" si="110"/>
        <v>6791.2436711181272</v>
      </c>
      <c r="F358" s="81">
        <f>SUM(E$2:E358)</f>
        <v>2195270.8079238306</v>
      </c>
      <c r="G358" s="43">
        <f t="shared" si="108"/>
        <v>1</v>
      </c>
      <c r="H358" s="78">
        <v>1</v>
      </c>
      <c r="I358" s="15">
        <f t="shared" si="111"/>
        <v>0.6</v>
      </c>
      <c r="J358" s="16">
        <f>VLOOKUP(G358,Inputs!$L$3:$P$15,5,FALSE)</f>
        <v>2000</v>
      </c>
      <c r="K358" s="16">
        <f t="shared" si="112"/>
        <v>1825</v>
      </c>
      <c r="L358" s="79">
        <f>Inputs!$P$8-B358</f>
        <v>234.38729999999998</v>
      </c>
      <c r="M358" s="79">
        <f>Inputs!$Q$8+L358*0.433</f>
        <v>1926.4897008999999</v>
      </c>
      <c r="N358" s="82">
        <f t="shared" si="113"/>
        <v>128299.92</v>
      </c>
      <c r="O358" s="83">
        <f t="shared" si="114"/>
        <v>703.80370000000005</v>
      </c>
      <c r="P358" s="84">
        <f>IF(O358="","",Inputs!$C$5-O358)</f>
        <v>121.38079999999991</v>
      </c>
      <c r="Q358" s="83">
        <f>IF(N358="","",TS!J358)</f>
        <v>2000</v>
      </c>
      <c r="R358" s="83">
        <f>IF(N358="","",TS!K358)</f>
        <v>1825</v>
      </c>
      <c r="S358" s="83">
        <f>Inputs!$H$5+TS!P358*0.4333</f>
        <v>1927.56001709</v>
      </c>
      <c r="T358" s="83">
        <f>Inputs!$G$5+TS!P358*0.4333</f>
        <v>1942.56001709</v>
      </c>
      <c r="U358" s="85">
        <f t="shared" si="115"/>
        <v>0.97128000854499996</v>
      </c>
      <c r="V358" s="86">
        <f t="shared" si="103"/>
        <v>0</v>
      </c>
      <c r="W358" s="86">
        <f t="shared" si="104"/>
        <v>0</v>
      </c>
      <c r="X358" s="86" t="e">
        <f>((PI()*((42-2*'Gen Calcs'!$E$13)^2)/4)/144)*(A401-#REF!)*(W358+14.7)/14.7</f>
        <v>#REF!</v>
      </c>
      <c r="Y358" s="86" t="e">
        <f t="shared" si="105"/>
        <v>#REF!</v>
      </c>
      <c r="Z358" s="86" t="e">
        <f t="shared" si="106"/>
        <v>#REF!</v>
      </c>
      <c r="AA358" s="83">
        <f>MAX(B$2:B358)-B358</f>
        <v>121.38079999999991</v>
      </c>
      <c r="AB358" s="83">
        <f t="shared" si="107"/>
        <v>52.557886399999958</v>
      </c>
      <c r="AC358" s="83">
        <f t="shared" si="109"/>
        <v>120</v>
      </c>
      <c r="AD358" s="72">
        <v>120</v>
      </c>
      <c r="AE358" s="73">
        <f t="shared" si="116"/>
        <v>907.92027688745009</v>
      </c>
      <c r="AF358" s="73">
        <f>SUM(AE$2:AE358)</f>
        <v>293771.571712251</v>
      </c>
      <c r="AG358" s="73">
        <f t="shared" si="117"/>
        <v>879958.33071485814</v>
      </c>
    </row>
    <row r="359" spans="1:33" x14ac:dyDescent="0.25">
      <c r="A359" s="99">
        <v>128399.92</v>
      </c>
      <c r="B359" s="96">
        <v>708.95190000000002</v>
      </c>
      <c r="C359" s="96">
        <v>0.6</v>
      </c>
      <c r="D359" s="80">
        <f t="shared" si="102"/>
        <v>100</v>
      </c>
      <c r="E359" s="81">
        <f t="shared" si="110"/>
        <v>6791.2436711181272</v>
      </c>
      <c r="F359" s="81">
        <f>SUM(E$2:E359)</f>
        <v>2202062.0515949489</v>
      </c>
      <c r="G359" s="43">
        <f t="shared" si="108"/>
        <v>1</v>
      </c>
      <c r="H359" s="78">
        <v>1</v>
      </c>
      <c r="I359" s="15">
        <f t="shared" si="111"/>
        <v>0.6</v>
      </c>
      <c r="J359" s="16">
        <f>VLOOKUP(G359,Inputs!$L$3:$P$15,5,FALSE)</f>
        <v>2000</v>
      </c>
      <c r="K359" s="16">
        <f t="shared" si="112"/>
        <v>1825</v>
      </c>
      <c r="L359" s="79">
        <f>Inputs!$P$8-B359</f>
        <v>229.23910000000001</v>
      </c>
      <c r="M359" s="79">
        <f>Inputs!$Q$8+L359*0.433</f>
        <v>1924.2605303</v>
      </c>
      <c r="N359" s="82">
        <f t="shared" si="113"/>
        <v>128399.92</v>
      </c>
      <c r="O359" s="83">
        <f t="shared" si="114"/>
        <v>708.95190000000002</v>
      </c>
      <c r="P359" s="84">
        <f>IF(O359="","",Inputs!$C$5-O359)</f>
        <v>116.23259999999993</v>
      </c>
      <c r="Q359" s="83">
        <f>IF(N359="","",TS!J359)</f>
        <v>2000</v>
      </c>
      <c r="R359" s="83">
        <f>IF(N359="","",TS!K359)</f>
        <v>1825</v>
      </c>
      <c r="S359" s="83">
        <f>Inputs!$H$5+TS!P359*0.4333</f>
        <v>1925.32930203</v>
      </c>
      <c r="T359" s="83">
        <f>Inputs!$G$5+TS!P359*0.4333</f>
        <v>1940.32930203</v>
      </c>
      <c r="U359" s="85">
        <f t="shared" si="115"/>
        <v>0.97016465101500005</v>
      </c>
      <c r="V359" s="86">
        <f t="shared" si="103"/>
        <v>0</v>
      </c>
      <c r="W359" s="86">
        <f t="shared" si="104"/>
        <v>0</v>
      </c>
      <c r="X359" s="86" t="e">
        <f>((PI()*((42-2*'Gen Calcs'!$E$13)^2)/4)/144)*(A402-#REF!)*(W359+14.7)/14.7</f>
        <v>#REF!</v>
      </c>
      <c r="Y359" s="86" t="e">
        <f t="shared" si="105"/>
        <v>#REF!</v>
      </c>
      <c r="Z359" s="86" t="e">
        <f t="shared" si="106"/>
        <v>#REF!</v>
      </c>
      <c r="AA359" s="83">
        <f>MAX(B$2:B359)-B359</f>
        <v>116.23259999999993</v>
      </c>
      <c r="AB359" s="83">
        <f t="shared" si="107"/>
        <v>50.328715799999969</v>
      </c>
      <c r="AC359" s="83">
        <f t="shared" si="109"/>
        <v>120</v>
      </c>
      <c r="AD359" s="72">
        <v>120</v>
      </c>
      <c r="AE359" s="73">
        <f t="shared" si="116"/>
        <v>907.92027688745009</v>
      </c>
      <c r="AF359" s="73">
        <f>SUM(AE$2:AE359)</f>
        <v>294679.49198913842</v>
      </c>
      <c r="AG359" s="73">
        <f t="shared" si="117"/>
        <v>879050.41043797077</v>
      </c>
    </row>
    <row r="360" spans="1:33" x14ac:dyDescent="0.25">
      <c r="A360" s="100">
        <v>128499.92</v>
      </c>
      <c r="B360" s="97">
        <v>711.82740000000001</v>
      </c>
      <c r="C360" s="97">
        <v>0.6</v>
      </c>
      <c r="D360" s="80">
        <f t="shared" si="102"/>
        <v>100</v>
      </c>
      <c r="E360" s="81">
        <f t="shared" si="110"/>
        <v>6791.2436711181272</v>
      </c>
      <c r="F360" s="81">
        <f>SUM(E$2:E360)</f>
        <v>2208853.2952660671</v>
      </c>
      <c r="G360" s="43">
        <f t="shared" si="108"/>
        <v>1</v>
      </c>
      <c r="H360" s="78">
        <v>1</v>
      </c>
      <c r="I360" s="15">
        <f t="shared" si="111"/>
        <v>0.6</v>
      </c>
      <c r="J360" s="16">
        <f>VLOOKUP(G360,Inputs!$L$3:$P$15,5,FALSE)</f>
        <v>2000</v>
      </c>
      <c r="K360" s="16">
        <f t="shared" si="112"/>
        <v>1825</v>
      </c>
      <c r="L360" s="79">
        <f>Inputs!$P$8-B360</f>
        <v>226.36360000000002</v>
      </c>
      <c r="M360" s="79">
        <f>Inputs!$Q$8+L360*0.433</f>
        <v>1923.0154388000001</v>
      </c>
      <c r="N360" s="82">
        <f t="shared" si="113"/>
        <v>128499.92</v>
      </c>
      <c r="O360" s="83">
        <f t="shared" si="114"/>
        <v>711.82740000000001</v>
      </c>
      <c r="P360" s="84">
        <f>IF(O360="","",Inputs!$C$5-O360)</f>
        <v>113.35709999999995</v>
      </c>
      <c r="Q360" s="83">
        <f>IF(N360="","",TS!J360)</f>
        <v>2000</v>
      </c>
      <c r="R360" s="83">
        <f>IF(N360="","",TS!K360)</f>
        <v>1825</v>
      </c>
      <c r="S360" s="83">
        <f>Inputs!$H$5+TS!P360*0.4333</f>
        <v>1924.08334788</v>
      </c>
      <c r="T360" s="83">
        <f>Inputs!$G$5+TS!P360*0.4333</f>
        <v>1939.08334788</v>
      </c>
      <c r="U360" s="85">
        <f t="shared" si="115"/>
        <v>0.96954167394000002</v>
      </c>
      <c r="V360" s="86">
        <f t="shared" si="103"/>
        <v>0</v>
      </c>
      <c r="W360" s="86">
        <f t="shared" si="104"/>
        <v>0</v>
      </c>
      <c r="X360" s="86" t="e">
        <f>((PI()*((42-2*'Gen Calcs'!$E$13)^2)/4)/144)*(A403-#REF!)*(W360+14.7)/14.7</f>
        <v>#REF!</v>
      </c>
      <c r="Y360" s="86" t="e">
        <f t="shared" si="105"/>
        <v>#REF!</v>
      </c>
      <c r="Z360" s="86" t="e">
        <f t="shared" si="106"/>
        <v>#REF!</v>
      </c>
      <c r="AA360" s="83">
        <f>MAX(B$2:B360)-B360</f>
        <v>113.35709999999995</v>
      </c>
      <c r="AB360" s="83">
        <f t="shared" si="107"/>
        <v>49.083624299999975</v>
      </c>
      <c r="AC360" s="83">
        <f t="shared" si="109"/>
        <v>120</v>
      </c>
      <c r="AD360" s="72">
        <v>120</v>
      </c>
      <c r="AE360" s="73">
        <f t="shared" si="116"/>
        <v>907.92027688745009</v>
      </c>
      <c r="AF360" s="73">
        <f>SUM(AE$2:AE360)</f>
        <v>295587.41226602584</v>
      </c>
      <c r="AG360" s="73">
        <f t="shared" si="117"/>
        <v>878142.49016108341</v>
      </c>
    </row>
    <row r="361" spans="1:33" x14ac:dyDescent="0.25">
      <c r="A361" s="99">
        <v>128599.92</v>
      </c>
      <c r="B361" s="96">
        <v>715.08500000000004</v>
      </c>
      <c r="C361" s="96">
        <v>0.6</v>
      </c>
      <c r="D361" s="80">
        <f t="shared" si="102"/>
        <v>100</v>
      </c>
      <c r="E361" s="81">
        <f t="shared" si="110"/>
        <v>6791.2436711181272</v>
      </c>
      <c r="F361" s="81">
        <f>SUM(E$2:E361)</f>
        <v>2215644.5389371854</v>
      </c>
      <c r="G361" s="43">
        <f t="shared" si="108"/>
        <v>1</v>
      </c>
      <c r="H361" s="78">
        <v>1</v>
      </c>
      <c r="I361" s="15">
        <f t="shared" si="111"/>
        <v>0.6</v>
      </c>
      <c r="J361" s="16">
        <f>VLOOKUP(G361,Inputs!$L$3:$P$15,5,FALSE)</f>
        <v>2000</v>
      </c>
      <c r="K361" s="16">
        <f t="shared" si="112"/>
        <v>1825</v>
      </c>
      <c r="L361" s="79">
        <f>Inputs!$P$8-B361</f>
        <v>223.10599999999999</v>
      </c>
      <c r="M361" s="79">
        <f>Inputs!$Q$8+L361*0.433</f>
        <v>1921.604898</v>
      </c>
      <c r="N361" s="82">
        <f t="shared" si="113"/>
        <v>128599.92</v>
      </c>
      <c r="O361" s="83">
        <f t="shared" si="114"/>
        <v>715.08500000000004</v>
      </c>
      <c r="P361" s="84">
        <f>IF(O361="","",Inputs!$C$5-O361)</f>
        <v>110.09949999999992</v>
      </c>
      <c r="Q361" s="83">
        <f>IF(N361="","",TS!J361)</f>
        <v>2000</v>
      </c>
      <c r="R361" s="83">
        <f>IF(N361="","",TS!K361)</f>
        <v>1825</v>
      </c>
      <c r="S361" s="83">
        <f>Inputs!$H$5+TS!P361*0.4333</f>
        <v>1922.6718297999998</v>
      </c>
      <c r="T361" s="83">
        <f>Inputs!$G$5+TS!P361*0.4333</f>
        <v>1937.6718297999998</v>
      </c>
      <c r="U361" s="85">
        <f t="shared" si="115"/>
        <v>0.96883591489999987</v>
      </c>
      <c r="V361" s="86">
        <f t="shared" si="103"/>
        <v>0</v>
      </c>
      <c r="W361" s="86">
        <f t="shared" si="104"/>
        <v>0</v>
      </c>
      <c r="X361" s="86" t="e">
        <f>((PI()*((42-2*'Gen Calcs'!$E$13)^2)/4)/144)*(A404-#REF!)*(W361+14.7)/14.7</f>
        <v>#REF!</v>
      </c>
      <c r="Y361" s="86" t="e">
        <f t="shared" si="105"/>
        <v>#REF!</v>
      </c>
      <c r="Z361" s="86" t="e">
        <f t="shared" si="106"/>
        <v>#REF!</v>
      </c>
      <c r="AA361" s="83">
        <f>MAX(B$2:B361)-B361</f>
        <v>110.09949999999992</v>
      </c>
      <c r="AB361" s="83">
        <f t="shared" si="107"/>
        <v>47.673083499999969</v>
      </c>
      <c r="AC361" s="83">
        <f t="shared" si="109"/>
        <v>120</v>
      </c>
      <c r="AD361" s="72">
        <v>120</v>
      </c>
      <c r="AE361" s="73">
        <f t="shared" si="116"/>
        <v>907.92027688745009</v>
      </c>
      <c r="AF361" s="73">
        <f>SUM(AE$2:AE361)</f>
        <v>296495.33254291327</v>
      </c>
      <c r="AG361" s="73">
        <f t="shared" si="117"/>
        <v>877234.56988419592</v>
      </c>
    </row>
    <row r="362" spans="1:33" x14ac:dyDescent="0.25">
      <c r="A362" s="100">
        <v>128699.92</v>
      </c>
      <c r="B362" s="97">
        <v>718.62469999999996</v>
      </c>
      <c r="C362" s="97">
        <v>0.6</v>
      </c>
      <c r="D362" s="80">
        <f t="shared" si="102"/>
        <v>100</v>
      </c>
      <c r="E362" s="81">
        <f t="shared" si="110"/>
        <v>6791.2436711181272</v>
      </c>
      <c r="F362" s="81">
        <f>SUM(E$2:E362)</f>
        <v>2222435.7826083037</v>
      </c>
      <c r="G362" s="43">
        <f t="shared" si="108"/>
        <v>1</v>
      </c>
      <c r="H362" s="78">
        <v>1</v>
      </c>
      <c r="I362" s="15">
        <f t="shared" si="111"/>
        <v>0.6</v>
      </c>
      <c r="J362" s="16">
        <f>VLOOKUP(G362,Inputs!$L$3:$P$15,5,FALSE)</f>
        <v>2000</v>
      </c>
      <c r="K362" s="16">
        <f t="shared" si="112"/>
        <v>1825</v>
      </c>
      <c r="L362" s="79">
        <f>Inputs!$P$8-B362</f>
        <v>219.56630000000007</v>
      </c>
      <c r="M362" s="79">
        <f>Inputs!$Q$8+L362*0.433</f>
        <v>1920.0722079</v>
      </c>
      <c r="N362" s="82">
        <f t="shared" si="113"/>
        <v>128699.92</v>
      </c>
      <c r="O362" s="83">
        <f t="shared" si="114"/>
        <v>718.62469999999996</v>
      </c>
      <c r="P362" s="84">
        <f>IF(O362="","",Inputs!$C$5-O362)</f>
        <v>106.5598</v>
      </c>
      <c r="Q362" s="83">
        <f>IF(N362="","",TS!J362)</f>
        <v>2000</v>
      </c>
      <c r="R362" s="83">
        <f>IF(N362="","",TS!K362)</f>
        <v>1825</v>
      </c>
      <c r="S362" s="83">
        <f>Inputs!$H$5+TS!P362*0.4333</f>
        <v>1921.1380777899999</v>
      </c>
      <c r="T362" s="83">
        <f>Inputs!$G$5+TS!P362*0.4333</f>
        <v>1936.1380777899999</v>
      </c>
      <c r="U362" s="85">
        <f t="shared" si="115"/>
        <v>0.96806903889499996</v>
      </c>
      <c r="V362" s="86">
        <f t="shared" si="103"/>
        <v>0</v>
      </c>
      <c r="W362" s="86">
        <f t="shared" si="104"/>
        <v>0</v>
      </c>
      <c r="X362" s="86" t="e">
        <f>((PI()*((42-2*'Gen Calcs'!$E$13)^2)/4)/144)*(A405-#REF!)*(W362+14.7)/14.7</f>
        <v>#REF!</v>
      </c>
      <c r="Y362" s="86" t="e">
        <f t="shared" si="105"/>
        <v>#REF!</v>
      </c>
      <c r="Z362" s="86" t="e">
        <f t="shared" si="106"/>
        <v>#REF!</v>
      </c>
      <c r="AA362" s="83">
        <f>MAX(B$2:B362)-B362</f>
        <v>106.5598</v>
      </c>
      <c r="AB362" s="83">
        <f t="shared" si="107"/>
        <v>46.140393400000001</v>
      </c>
      <c r="AC362" s="83">
        <f t="shared" si="109"/>
        <v>120</v>
      </c>
      <c r="AD362" s="72">
        <v>120</v>
      </c>
      <c r="AE362" s="73">
        <f t="shared" si="116"/>
        <v>907.92027688745009</v>
      </c>
      <c r="AF362" s="73">
        <f>SUM(AE$2:AE362)</f>
        <v>297403.25281980069</v>
      </c>
      <c r="AG362" s="73">
        <f t="shared" si="117"/>
        <v>876326.64960730844</v>
      </c>
    </row>
    <row r="363" spans="1:33" x14ac:dyDescent="0.25">
      <c r="A363" s="99">
        <v>128799.92</v>
      </c>
      <c r="B363" s="96">
        <v>712.62289999999996</v>
      </c>
      <c r="C363" s="96">
        <v>0.6</v>
      </c>
      <c r="D363" s="80">
        <f t="shared" si="102"/>
        <v>100</v>
      </c>
      <c r="E363" s="81">
        <f t="shared" si="110"/>
        <v>6791.2436711181272</v>
      </c>
      <c r="F363" s="81">
        <f>SUM(E$2:E363)</f>
        <v>2229227.026279422</v>
      </c>
      <c r="G363" s="43">
        <f t="shared" si="108"/>
        <v>1</v>
      </c>
      <c r="H363" s="78">
        <v>1</v>
      </c>
      <c r="I363" s="15">
        <f t="shared" si="111"/>
        <v>0.6</v>
      </c>
      <c r="J363" s="16">
        <f>VLOOKUP(G363,Inputs!$L$3:$P$15,5,FALSE)</f>
        <v>2000</v>
      </c>
      <c r="K363" s="16">
        <f t="shared" si="112"/>
        <v>1825</v>
      </c>
      <c r="L363" s="79">
        <f>Inputs!$P$8-B363</f>
        <v>225.56810000000007</v>
      </c>
      <c r="M363" s="79">
        <f>Inputs!$Q$8+L363*0.433</f>
        <v>1922.6709873</v>
      </c>
      <c r="N363" s="82">
        <f t="shared" si="113"/>
        <v>128799.92</v>
      </c>
      <c r="O363" s="83">
        <f t="shared" si="114"/>
        <v>712.62289999999996</v>
      </c>
      <c r="P363" s="84">
        <f>IF(O363="","",Inputs!$C$5-O363)</f>
        <v>112.5616</v>
      </c>
      <c r="Q363" s="83">
        <f>IF(N363="","",TS!J363)</f>
        <v>2000</v>
      </c>
      <c r="R363" s="83">
        <f>IF(N363="","",TS!K363)</f>
        <v>1825</v>
      </c>
      <c r="S363" s="83">
        <f>Inputs!$H$5+TS!P363*0.4333</f>
        <v>1923.7386577299999</v>
      </c>
      <c r="T363" s="83">
        <f>Inputs!$G$5+TS!P363*0.4333</f>
        <v>1938.7386577299999</v>
      </c>
      <c r="U363" s="85">
        <f t="shared" si="115"/>
        <v>0.96936932886499994</v>
      </c>
      <c r="V363" s="86">
        <f t="shared" si="103"/>
        <v>0</v>
      </c>
      <c r="W363" s="86">
        <f t="shared" si="104"/>
        <v>0</v>
      </c>
      <c r="X363" s="86" t="e">
        <f>((PI()*((42-2*'Gen Calcs'!$E$13)^2)/4)/144)*(A406-#REF!)*(W363+14.7)/14.7</f>
        <v>#REF!</v>
      </c>
      <c r="Y363" s="86" t="e">
        <f t="shared" si="105"/>
        <v>#REF!</v>
      </c>
      <c r="Z363" s="86" t="e">
        <f t="shared" si="106"/>
        <v>#REF!</v>
      </c>
      <c r="AA363" s="83">
        <f>MAX(B$2:B363)-B363</f>
        <v>112.5616</v>
      </c>
      <c r="AB363" s="83">
        <f t="shared" si="107"/>
        <v>48.739172799999999</v>
      </c>
      <c r="AC363" s="83">
        <f t="shared" si="109"/>
        <v>120</v>
      </c>
      <c r="AD363" s="72">
        <v>120</v>
      </c>
      <c r="AE363" s="73">
        <f t="shared" si="116"/>
        <v>907.92027688745009</v>
      </c>
      <c r="AF363" s="73">
        <f>SUM(AE$2:AE363)</f>
        <v>298311.17309668812</v>
      </c>
      <c r="AG363" s="73">
        <f t="shared" si="117"/>
        <v>875418.72933042108</v>
      </c>
    </row>
    <row r="364" spans="1:33" x14ac:dyDescent="0.25">
      <c r="A364" s="100">
        <v>128899.92</v>
      </c>
      <c r="B364" s="97">
        <v>708.59400000000005</v>
      </c>
      <c r="C364" s="97">
        <v>0.6</v>
      </c>
      <c r="D364" s="80">
        <f t="shared" si="102"/>
        <v>100</v>
      </c>
      <c r="E364" s="81">
        <f t="shared" si="110"/>
        <v>6791.2436711181272</v>
      </c>
      <c r="F364" s="81">
        <f>SUM(E$2:E364)</f>
        <v>2236018.2699505403</v>
      </c>
      <c r="G364" s="43">
        <f t="shared" si="108"/>
        <v>1</v>
      </c>
      <c r="H364" s="78">
        <v>1</v>
      </c>
      <c r="I364" s="15">
        <f t="shared" si="111"/>
        <v>0.6</v>
      </c>
      <c r="J364" s="16">
        <f>VLOOKUP(G364,Inputs!$L$3:$P$15,5,FALSE)</f>
        <v>2000</v>
      </c>
      <c r="K364" s="16">
        <f t="shared" si="112"/>
        <v>1825</v>
      </c>
      <c r="L364" s="79">
        <f>Inputs!$P$8-B364</f>
        <v>229.59699999999998</v>
      </c>
      <c r="M364" s="79">
        <f>Inputs!$Q$8+L364*0.433</f>
        <v>1924.4155009999999</v>
      </c>
      <c r="N364" s="82">
        <f t="shared" si="113"/>
        <v>128899.92</v>
      </c>
      <c r="O364" s="83">
        <f t="shared" si="114"/>
        <v>708.59400000000005</v>
      </c>
      <c r="P364" s="84">
        <f>IF(O364="","",Inputs!$C$5-O364)</f>
        <v>116.59049999999991</v>
      </c>
      <c r="Q364" s="83">
        <f>IF(N364="","",TS!J364)</f>
        <v>2000</v>
      </c>
      <c r="R364" s="83">
        <f>IF(N364="","",TS!K364)</f>
        <v>1825</v>
      </c>
      <c r="S364" s="83">
        <f>Inputs!$H$5+TS!P364*0.4333</f>
        <v>1925.4843801</v>
      </c>
      <c r="T364" s="83">
        <f>Inputs!$G$5+TS!P364*0.4333</f>
        <v>1940.4843801</v>
      </c>
      <c r="U364" s="85">
        <f t="shared" si="115"/>
        <v>0.97024219005000001</v>
      </c>
      <c r="V364" s="86">
        <f t="shared" si="103"/>
        <v>0</v>
      </c>
      <c r="W364" s="86">
        <f t="shared" si="104"/>
        <v>0</v>
      </c>
      <c r="X364" s="86" t="e">
        <f>((PI()*((42-2*'Gen Calcs'!$E$13)^2)/4)/144)*(A407-#REF!)*(W364+14.7)/14.7</f>
        <v>#REF!</v>
      </c>
      <c r="Y364" s="86" t="e">
        <f t="shared" si="105"/>
        <v>#REF!</v>
      </c>
      <c r="Z364" s="86" t="e">
        <f t="shared" si="106"/>
        <v>#REF!</v>
      </c>
      <c r="AA364" s="83">
        <f>MAX(B$2:B364)-B364</f>
        <v>116.59049999999991</v>
      </c>
      <c r="AB364" s="83">
        <f t="shared" si="107"/>
        <v>50.483686499999962</v>
      </c>
      <c r="AC364" s="83">
        <f t="shared" si="109"/>
        <v>120</v>
      </c>
      <c r="AD364" s="72">
        <v>120</v>
      </c>
      <c r="AE364" s="73">
        <f t="shared" si="116"/>
        <v>907.92027688745009</v>
      </c>
      <c r="AF364" s="73">
        <f>SUM(AE$2:AE364)</f>
        <v>299219.09337357554</v>
      </c>
      <c r="AG364" s="73">
        <f t="shared" si="117"/>
        <v>874510.80905353371</v>
      </c>
    </row>
    <row r="365" spans="1:33" x14ac:dyDescent="0.25">
      <c r="A365" s="99">
        <v>128999.92</v>
      </c>
      <c r="B365" s="96">
        <v>706.53959999999995</v>
      </c>
      <c r="C365" s="96">
        <v>0.6</v>
      </c>
      <c r="D365" s="80">
        <f t="shared" si="102"/>
        <v>100</v>
      </c>
      <c r="E365" s="81">
        <f t="shared" si="110"/>
        <v>6616.6076625842816</v>
      </c>
      <c r="F365" s="81">
        <f>SUM(E$2:E365)</f>
        <v>2242634.8776131244</v>
      </c>
      <c r="G365" s="43">
        <f t="shared" si="108"/>
        <v>1</v>
      </c>
      <c r="H365" s="78">
        <v>1</v>
      </c>
      <c r="I365" s="15">
        <f t="shared" si="111"/>
        <v>0.6</v>
      </c>
      <c r="J365" s="16">
        <f>VLOOKUP(G365,Inputs!$L$3:$P$15,5,FALSE)</f>
        <v>2000</v>
      </c>
      <c r="K365" s="16">
        <f t="shared" si="112"/>
        <v>1825</v>
      </c>
      <c r="L365" s="79">
        <f>Inputs!$P$8-B365</f>
        <v>231.65140000000008</v>
      </c>
      <c r="M365" s="79">
        <f>Inputs!$Q$8+L365*0.433</f>
        <v>1925.3050562000001</v>
      </c>
      <c r="N365" s="82">
        <f t="shared" si="113"/>
        <v>128999.92</v>
      </c>
      <c r="O365" s="83">
        <f t="shared" si="114"/>
        <v>706.53959999999995</v>
      </c>
      <c r="P365" s="84">
        <f>IF(O365="","",Inputs!$C$5-O365)</f>
        <v>118.64490000000001</v>
      </c>
      <c r="Q365" s="83">
        <f>IF(N365="","",TS!J365)</f>
        <v>2000</v>
      </c>
      <c r="R365" s="83">
        <f>IF(N365="","",TS!K365)</f>
        <v>1825</v>
      </c>
      <c r="S365" s="83">
        <f>Inputs!$H$5+TS!P365*0.4333</f>
        <v>1926.3745516199999</v>
      </c>
      <c r="T365" s="83">
        <f>Inputs!$G$5+TS!P365*0.4333</f>
        <v>1941.3745516199999</v>
      </c>
      <c r="U365" s="85">
        <f t="shared" si="115"/>
        <v>0.97068727580999992</v>
      </c>
      <c r="V365" s="86">
        <f t="shared" si="103"/>
        <v>0</v>
      </c>
      <c r="W365" s="86">
        <f t="shared" si="104"/>
        <v>0</v>
      </c>
      <c r="X365" s="86" t="e">
        <f>((PI()*((42-2*'Gen Calcs'!$E$13)^2)/4)/144)*(A408-#REF!)*(W365+14.7)/14.7</f>
        <v>#REF!</v>
      </c>
      <c r="Y365" s="86" t="e">
        <f t="shared" si="105"/>
        <v>#REF!</v>
      </c>
      <c r="Z365" s="86" t="e">
        <f t="shared" si="106"/>
        <v>#REF!</v>
      </c>
      <c r="AA365" s="83">
        <f>MAX(B$2:B365)-B365</f>
        <v>118.64490000000001</v>
      </c>
      <c r="AB365" s="83">
        <f t="shared" si="107"/>
        <v>51.373241700000001</v>
      </c>
      <c r="AC365" s="83">
        <f t="shared" si="109"/>
        <v>120</v>
      </c>
      <c r="AD365" s="72">
        <v>120</v>
      </c>
      <c r="AE365" s="73">
        <f t="shared" si="116"/>
        <v>907.92027688745009</v>
      </c>
      <c r="AF365" s="73">
        <f>SUM(AE$2:AE365)</f>
        <v>300127.01365046296</v>
      </c>
      <c r="AG365" s="73">
        <f t="shared" si="117"/>
        <v>873602.88877664623</v>
      </c>
    </row>
    <row r="366" spans="1:33" x14ac:dyDescent="0.25">
      <c r="A366" s="100">
        <v>129099.92</v>
      </c>
      <c r="B366" s="97">
        <v>704.69949999999994</v>
      </c>
      <c r="C366" s="97">
        <v>0.6</v>
      </c>
      <c r="D366" s="80">
        <f t="shared" si="102"/>
        <v>100</v>
      </c>
      <c r="E366" s="81">
        <f t="shared" si="110"/>
        <v>6791.2436711181272</v>
      </c>
      <c r="F366" s="81">
        <f>SUM(E$2:E366)</f>
        <v>2249426.1212842427</v>
      </c>
      <c r="G366" s="43">
        <f t="shared" si="108"/>
        <v>1</v>
      </c>
      <c r="H366" s="78">
        <v>1</v>
      </c>
      <c r="I366" s="15">
        <f t="shared" si="111"/>
        <v>0.6</v>
      </c>
      <c r="J366" s="16">
        <f>VLOOKUP(G366,Inputs!$L$3:$P$15,5,FALSE)</f>
        <v>2000</v>
      </c>
      <c r="K366" s="16">
        <f t="shared" si="112"/>
        <v>1825</v>
      </c>
      <c r="L366" s="79">
        <f>Inputs!$P$8-B366</f>
        <v>233.49150000000009</v>
      </c>
      <c r="M366" s="79">
        <f>Inputs!$Q$8+L366*0.433</f>
        <v>1926.1018195000001</v>
      </c>
      <c r="N366" s="82">
        <f t="shared" si="113"/>
        <v>129099.92</v>
      </c>
      <c r="O366" s="83">
        <f t="shared" si="114"/>
        <v>704.69949999999994</v>
      </c>
      <c r="P366" s="84">
        <f>IF(O366="","",Inputs!$C$5-O366)</f>
        <v>120.48500000000001</v>
      </c>
      <c r="Q366" s="83">
        <f>IF(N366="","",TS!J366)</f>
        <v>2000</v>
      </c>
      <c r="R366" s="83">
        <f>IF(N366="","",TS!K366)</f>
        <v>1825</v>
      </c>
      <c r="S366" s="83">
        <f>Inputs!$H$5+TS!P366*0.4333</f>
        <v>1927.1718669499999</v>
      </c>
      <c r="T366" s="83">
        <f>Inputs!$G$5+TS!P366*0.4333</f>
        <v>1942.1718669499999</v>
      </c>
      <c r="U366" s="85">
        <f t="shared" si="115"/>
        <v>0.97108593347499994</v>
      </c>
      <c r="V366" s="86">
        <f t="shared" si="103"/>
        <v>0</v>
      </c>
      <c r="W366" s="86">
        <f t="shared" si="104"/>
        <v>0</v>
      </c>
      <c r="X366" s="86" t="e">
        <f>((PI()*((42-2*'Gen Calcs'!$E$13)^2)/4)/144)*(A409-#REF!)*(W366+14.7)/14.7</f>
        <v>#REF!</v>
      </c>
      <c r="Y366" s="86" t="e">
        <f t="shared" si="105"/>
        <v>#REF!</v>
      </c>
      <c r="Z366" s="86" t="e">
        <f t="shared" si="106"/>
        <v>#REF!</v>
      </c>
      <c r="AA366" s="83">
        <f>MAX(B$2:B366)-B366</f>
        <v>120.48500000000001</v>
      </c>
      <c r="AB366" s="83">
        <f t="shared" si="107"/>
        <v>52.170005000000003</v>
      </c>
      <c r="AC366" s="83">
        <f t="shared" si="109"/>
        <v>120</v>
      </c>
      <c r="AD366" s="72">
        <v>120</v>
      </c>
      <c r="AE366" s="73">
        <f t="shared" si="116"/>
        <v>907.92027688745009</v>
      </c>
      <c r="AF366" s="73">
        <f>SUM(AE$2:AE366)</f>
        <v>301034.93392735039</v>
      </c>
      <c r="AG366" s="73">
        <f t="shared" si="117"/>
        <v>872694.96849975875</v>
      </c>
    </row>
    <row r="367" spans="1:33" x14ac:dyDescent="0.25">
      <c r="A367" s="99">
        <v>129199.92</v>
      </c>
      <c r="B367" s="96">
        <v>698.41079999999999</v>
      </c>
      <c r="C367" s="96">
        <v>0.6</v>
      </c>
      <c r="D367" s="80">
        <f t="shared" si="102"/>
        <v>100</v>
      </c>
      <c r="E367" s="81">
        <f t="shared" si="110"/>
        <v>6791.2436711181272</v>
      </c>
      <c r="F367" s="81">
        <f>SUM(E$2:E367)</f>
        <v>2256217.364955361</v>
      </c>
      <c r="G367" s="43">
        <f t="shared" si="108"/>
        <v>1</v>
      </c>
      <c r="H367" s="78">
        <v>1</v>
      </c>
      <c r="I367" s="15">
        <f t="shared" si="111"/>
        <v>0.6</v>
      </c>
      <c r="J367" s="16">
        <f>VLOOKUP(G367,Inputs!$L$3:$P$15,5,FALSE)</f>
        <v>2000</v>
      </c>
      <c r="K367" s="16">
        <f t="shared" si="112"/>
        <v>1825</v>
      </c>
      <c r="L367" s="79">
        <f>Inputs!$P$8-B367</f>
        <v>239.78020000000004</v>
      </c>
      <c r="M367" s="79">
        <f>Inputs!$Q$8+L367*0.433</f>
        <v>1928.8248266000001</v>
      </c>
      <c r="N367" s="82">
        <f t="shared" si="113"/>
        <v>129199.92</v>
      </c>
      <c r="O367" s="83">
        <f t="shared" si="114"/>
        <v>698.41079999999999</v>
      </c>
      <c r="P367" s="84">
        <f>IF(O367="","",Inputs!$C$5-O367)</f>
        <v>126.77369999999996</v>
      </c>
      <c r="Q367" s="83">
        <f>IF(N367="","",TS!J367)</f>
        <v>2000</v>
      </c>
      <c r="R367" s="83">
        <f>IF(N367="","",TS!K367)</f>
        <v>1825</v>
      </c>
      <c r="S367" s="83">
        <f>Inputs!$H$5+TS!P367*0.4333</f>
        <v>1929.8967606599999</v>
      </c>
      <c r="T367" s="83">
        <f>Inputs!$G$5+TS!P367*0.4333</f>
        <v>1944.8967606599999</v>
      </c>
      <c r="U367" s="85">
        <f t="shared" si="115"/>
        <v>0.97244838032999992</v>
      </c>
      <c r="V367" s="86">
        <f t="shared" si="103"/>
        <v>0</v>
      </c>
      <c r="W367" s="86">
        <f t="shared" si="104"/>
        <v>0</v>
      </c>
      <c r="X367" s="86" t="e">
        <f>((PI()*((42-2*'Gen Calcs'!$E$13)^2)/4)/144)*(A410-#REF!)*(W367+14.7)/14.7</f>
        <v>#REF!</v>
      </c>
      <c r="Y367" s="86" t="e">
        <f t="shared" si="105"/>
        <v>#REF!</v>
      </c>
      <c r="Z367" s="86" t="e">
        <f t="shared" si="106"/>
        <v>#REF!</v>
      </c>
      <c r="AA367" s="83">
        <f>MAX(B$2:B367)-B367</f>
        <v>126.77369999999996</v>
      </c>
      <c r="AB367" s="83">
        <f t="shared" si="107"/>
        <v>54.893012099999986</v>
      </c>
      <c r="AC367" s="83">
        <f t="shared" si="109"/>
        <v>120</v>
      </c>
      <c r="AD367" s="72">
        <v>120</v>
      </c>
      <c r="AE367" s="73">
        <f t="shared" si="116"/>
        <v>907.92027688745009</v>
      </c>
      <c r="AF367" s="73">
        <f>SUM(AE$2:AE367)</f>
        <v>301942.85420423781</v>
      </c>
      <c r="AG367" s="73">
        <f t="shared" si="117"/>
        <v>871787.04822287138</v>
      </c>
    </row>
    <row r="368" spans="1:33" x14ac:dyDescent="0.25">
      <c r="A368" s="100">
        <v>129299.92</v>
      </c>
      <c r="B368" s="97">
        <v>695.12909999999999</v>
      </c>
      <c r="C368" s="97">
        <v>0.6</v>
      </c>
      <c r="D368" s="80">
        <f t="shared" ref="D368:D416" si="118">A368-A367</f>
        <v>100</v>
      </c>
      <c r="E368" s="81">
        <f t="shared" si="110"/>
        <v>6791.2436711181272</v>
      </c>
      <c r="F368" s="81">
        <f>SUM(E$2:E368)</f>
        <v>2263008.6086264793</v>
      </c>
      <c r="G368" s="43">
        <f t="shared" si="108"/>
        <v>1</v>
      </c>
      <c r="H368" s="78">
        <v>1</v>
      </c>
      <c r="I368" s="15">
        <f t="shared" si="111"/>
        <v>0.6</v>
      </c>
      <c r="J368" s="16">
        <f>VLOOKUP(G368,Inputs!$L$3:$P$15,5,FALSE)</f>
        <v>2000</v>
      </c>
      <c r="K368" s="16">
        <f t="shared" si="112"/>
        <v>1825</v>
      </c>
      <c r="L368" s="79">
        <f>Inputs!$P$8-B368</f>
        <v>243.06190000000004</v>
      </c>
      <c r="M368" s="79">
        <f>Inputs!$Q$8+L368*0.433</f>
        <v>1930.2458027</v>
      </c>
      <c r="N368" s="82">
        <f t="shared" si="113"/>
        <v>129299.92</v>
      </c>
      <c r="O368" s="83">
        <f t="shared" si="114"/>
        <v>695.12909999999999</v>
      </c>
      <c r="P368" s="84">
        <f>IF(O368="","",Inputs!$C$5-O368)</f>
        <v>130.05539999999996</v>
      </c>
      <c r="Q368" s="83">
        <f>IF(N368="","",TS!J368)</f>
        <v>2000</v>
      </c>
      <c r="R368" s="83">
        <f>IF(N368="","",TS!K368)</f>
        <v>1825</v>
      </c>
      <c r="S368" s="83">
        <f>Inputs!$H$5+TS!P368*0.4333</f>
        <v>1931.31872127</v>
      </c>
      <c r="T368" s="83">
        <f>Inputs!$G$5+TS!P368*0.4333</f>
        <v>1946.31872127</v>
      </c>
      <c r="U368" s="85">
        <f t="shared" si="115"/>
        <v>0.97315936063499997</v>
      </c>
      <c r="V368" s="86">
        <f t="shared" si="103"/>
        <v>0</v>
      </c>
      <c r="W368" s="86">
        <f t="shared" si="104"/>
        <v>0</v>
      </c>
      <c r="X368" s="86" t="e">
        <f>((PI()*((42-2*'Gen Calcs'!$E$13)^2)/4)/144)*(A411-#REF!)*(W368+14.7)/14.7</f>
        <v>#REF!</v>
      </c>
      <c r="Y368" s="86" t="e">
        <f t="shared" si="105"/>
        <v>#REF!</v>
      </c>
      <c r="Z368" s="86" t="e">
        <f t="shared" si="106"/>
        <v>#REF!</v>
      </c>
      <c r="AA368" s="83">
        <f>MAX(B$2:B368)-B368</f>
        <v>130.05539999999996</v>
      </c>
      <c r="AB368" s="83">
        <f t="shared" si="107"/>
        <v>56.313988199999983</v>
      </c>
      <c r="AC368" s="83">
        <f t="shared" si="109"/>
        <v>120</v>
      </c>
      <c r="AD368" s="72">
        <v>120</v>
      </c>
      <c r="AE368" s="73">
        <f t="shared" si="116"/>
        <v>907.92027688745009</v>
      </c>
      <c r="AF368" s="73">
        <f>SUM(AE$2:AE368)</f>
        <v>302850.77448112523</v>
      </c>
      <c r="AG368" s="73">
        <f t="shared" si="117"/>
        <v>870879.12794598402</v>
      </c>
    </row>
    <row r="369" spans="1:33" x14ac:dyDescent="0.25">
      <c r="A369" s="99">
        <v>129399.92</v>
      </c>
      <c r="B369" s="96">
        <v>692.21489999999994</v>
      </c>
      <c r="C369" s="96">
        <v>0.6</v>
      </c>
      <c r="D369" s="80">
        <f t="shared" si="118"/>
        <v>100</v>
      </c>
      <c r="E369" s="81">
        <f t="shared" si="110"/>
        <v>6616.6076625842816</v>
      </c>
      <c r="F369" s="81">
        <f>SUM(E$2:E369)</f>
        <v>2269625.2162890634</v>
      </c>
      <c r="G369" s="43">
        <f t="shared" si="108"/>
        <v>1</v>
      </c>
      <c r="H369" s="78">
        <v>1</v>
      </c>
      <c r="I369" s="15">
        <f t="shared" si="111"/>
        <v>0.6</v>
      </c>
      <c r="J369" s="16">
        <f>VLOOKUP(G369,Inputs!$L$3:$P$15,5,FALSE)</f>
        <v>2000</v>
      </c>
      <c r="K369" s="16">
        <f t="shared" si="112"/>
        <v>1825</v>
      </c>
      <c r="L369" s="79">
        <f>Inputs!$P$8-B369</f>
        <v>245.97610000000009</v>
      </c>
      <c r="M369" s="79">
        <f>Inputs!$Q$8+L369*0.433</f>
        <v>1931.5076513000001</v>
      </c>
      <c r="N369" s="82">
        <f t="shared" si="113"/>
        <v>129399.92</v>
      </c>
      <c r="O369" s="83">
        <f t="shared" si="114"/>
        <v>692.21489999999994</v>
      </c>
      <c r="P369" s="84">
        <f>IF(O369="","",Inputs!$C$5-O369)</f>
        <v>132.96960000000001</v>
      </c>
      <c r="Q369" s="83">
        <f>IF(N369="","",TS!J369)</f>
        <v>2000</v>
      </c>
      <c r="R369" s="83">
        <f>IF(N369="","",TS!K369)</f>
        <v>1825</v>
      </c>
      <c r="S369" s="83">
        <f>Inputs!$H$5+TS!P369*0.4333</f>
        <v>1932.5814441299999</v>
      </c>
      <c r="T369" s="83">
        <f>Inputs!$G$5+TS!P369*0.4333</f>
        <v>1947.5814441299999</v>
      </c>
      <c r="U369" s="85">
        <f t="shared" si="115"/>
        <v>0.97379072206499995</v>
      </c>
      <c r="V369" s="86">
        <f t="shared" si="103"/>
        <v>0</v>
      </c>
      <c r="W369" s="86">
        <f t="shared" si="104"/>
        <v>0</v>
      </c>
      <c r="X369" s="86" t="e">
        <f>((PI()*((42-2*'Gen Calcs'!$E$13)^2)/4)/144)*(A412-#REF!)*(W369+14.7)/14.7</f>
        <v>#REF!</v>
      </c>
      <c r="Y369" s="86" t="e">
        <f t="shared" si="105"/>
        <v>#REF!</v>
      </c>
      <c r="Z369" s="86" t="e">
        <f t="shared" si="106"/>
        <v>#REF!</v>
      </c>
      <c r="AA369" s="83">
        <f>MAX(B$2:B369)-B369</f>
        <v>132.96960000000001</v>
      </c>
      <c r="AB369" s="83">
        <f t="shared" si="107"/>
        <v>57.575836800000005</v>
      </c>
      <c r="AC369" s="83">
        <f t="shared" si="109"/>
        <v>120</v>
      </c>
      <c r="AD369" s="72">
        <v>120</v>
      </c>
      <c r="AE369" s="73">
        <f t="shared" si="116"/>
        <v>907.92027688745009</v>
      </c>
      <c r="AF369" s="73">
        <f>SUM(AE$2:AE369)</f>
        <v>303758.69475801266</v>
      </c>
      <c r="AG369" s="73">
        <f t="shared" si="117"/>
        <v>869971.20766909653</v>
      </c>
    </row>
    <row r="370" spans="1:33" x14ac:dyDescent="0.25">
      <c r="A370" s="100">
        <v>129499.92</v>
      </c>
      <c r="B370" s="97">
        <v>690.68730000000005</v>
      </c>
      <c r="C370" s="97">
        <v>0.6</v>
      </c>
      <c r="D370" s="80">
        <f t="shared" si="118"/>
        <v>100</v>
      </c>
      <c r="E370" s="81">
        <f t="shared" si="110"/>
        <v>6791.2436711181272</v>
      </c>
      <c r="F370" s="81">
        <f>SUM(E$2:E370)</f>
        <v>2276416.4599601817</v>
      </c>
      <c r="G370" s="43">
        <f t="shared" si="108"/>
        <v>1</v>
      </c>
      <c r="H370" s="78">
        <v>1</v>
      </c>
      <c r="I370" s="15">
        <f t="shared" si="111"/>
        <v>0.6</v>
      </c>
      <c r="J370" s="16">
        <f>VLOOKUP(G370,Inputs!$L$3:$P$15,5,FALSE)</f>
        <v>2000</v>
      </c>
      <c r="K370" s="16">
        <f t="shared" si="112"/>
        <v>1825</v>
      </c>
      <c r="L370" s="79">
        <f>Inputs!$P$8-B370</f>
        <v>247.50369999999998</v>
      </c>
      <c r="M370" s="79">
        <f>Inputs!$Q$8+L370*0.433</f>
        <v>1932.1691020999999</v>
      </c>
      <c r="N370" s="82">
        <f t="shared" si="113"/>
        <v>129499.92</v>
      </c>
      <c r="O370" s="83">
        <f t="shared" si="114"/>
        <v>690.68730000000005</v>
      </c>
      <c r="P370" s="84">
        <f>IF(O370="","",Inputs!$C$5-O370)</f>
        <v>134.49719999999991</v>
      </c>
      <c r="Q370" s="83">
        <f>IF(N370="","",TS!J370)</f>
        <v>2000</v>
      </c>
      <c r="R370" s="83">
        <f>IF(N370="","",TS!K370)</f>
        <v>1825</v>
      </c>
      <c r="S370" s="83">
        <f>Inputs!$H$5+TS!P370*0.4333</f>
        <v>1933.2433532099999</v>
      </c>
      <c r="T370" s="83">
        <f>Inputs!$G$5+TS!P370*0.4333</f>
        <v>1948.2433532099999</v>
      </c>
      <c r="U370" s="85">
        <f t="shared" si="115"/>
        <v>0.97412167660499993</v>
      </c>
      <c r="V370" s="86">
        <f t="shared" ref="V370:V373" si="119">O370-MAX(O370:O370)</f>
        <v>0</v>
      </c>
      <c r="W370" s="86">
        <f t="shared" ref="W370:W373" si="120">-(V370)*0.433</f>
        <v>0</v>
      </c>
      <c r="X370" s="86" t="e">
        <f>((PI()*((42-2*'Gen Calcs'!$E$13)^2)/4)/144)*(A413-#REF!)*(W370+14.7)/14.7</f>
        <v>#REF!</v>
      </c>
      <c r="Y370" s="86" t="e">
        <f t="shared" ref="Y370:Y373" si="121">X370/1000</f>
        <v>#REF!</v>
      </c>
      <c r="Z370" s="86" t="e">
        <f t="shared" ref="Z370:Z373" si="122">IF(Y370&gt;Z369,Y370,Z369)</f>
        <v>#REF!</v>
      </c>
      <c r="AA370" s="83">
        <f>MAX(B$2:B370)-B370</f>
        <v>134.49719999999991</v>
      </c>
      <c r="AB370" s="83">
        <f t="shared" ref="AB370:AB373" si="123">AA370*0.433</f>
        <v>58.237287599999959</v>
      </c>
      <c r="AC370" s="83">
        <f t="shared" si="109"/>
        <v>120</v>
      </c>
      <c r="AD370" s="72">
        <v>120</v>
      </c>
      <c r="AE370" s="73">
        <f t="shared" si="116"/>
        <v>907.92027688745009</v>
      </c>
      <c r="AF370" s="73">
        <f>SUM(AE$2:AE370)</f>
        <v>304666.61503490008</v>
      </c>
      <c r="AG370" s="73">
        <f t="shared" si="117"/>
        <v>869063.28739220905</v>
      </c>
    </row>
    <row r="371" spans="1:33" x14ac:dyDescent="0.25">
      <c r="A371" s="99">
        <v>129599.92</v>
      </c>
      <c r="B371" s="96">
        <v>694.23149999999998</v>
      </c>
      <c r="C371" s="96">
        <v>0.6</v>
      </c>
      <c r="D371" s="80">
        <f t="shared" si="118"/>
        <v>100</v>
      </c>
      <c r="E371" s="81">
        <f t="shared" si="110"/>
        <v>6791.2436711181272</v>
      </c>
      <c r="F371" s="81">
        <f>SUM(E$2:E371)</f>
        <v>2283207.7036313</v>
      </c>
      <c r="G371" s="43">
        <f t="shared" si="108"/>
        <v>1</v>
      </c>
      <c r="H371" s="78">
        <v>1</v>
      </c>
      <c r="I371" s="15">
        <f t="shared" si="111"/>
        <v>0.6</v>
      </c>
      <c r="J371" s="16">
        <f>VLOOKUP(G371,Inputs!$L$3:$P$15,5,FALSE)</f>
        <v>2000</v>
      </c>
      <c r="K371" s="16">
        <f t="shared" si="112"/>
        <v>1825</v>
      </c>
      <c r="L371" s="79">
        <f>Inputs!$P$8-B371</f>
        <v>243.95950000000005</v>
      </c>
      <c r="M371" s="79">
        <f>Inputs!$Q$8+L371*0.433</f>
        <v>1930.6344635</v>
      </c>
      <c r="N371" s="82">
        <f t="shared" si="113"/>
        <v>129599.92</v>
      </c>
      <c r="O371" s="83">
        <f t="shared" si="114"/>
        <v>694.23149999999998</v>
      </c>
      <c r="P371" s="84">
        <f>IF(O371="","",Inputs!$C$5-O371)</f>
        <v>130.95299999999997</v>
      </c>
      <c r="Q371" s="83">
        <f>IF(N371="","",TS!J371)</f>
        <v>2000</v>
      </c>
      <c r="R371" s="83">
        <f>IF(N371="","",TS!K371)</f>
        <v>1825</v>
      </c>
      <c r="S371" s="83">
        <f>Inputs!$H$5+TS!P371*0.4333</f>
        <v>1931.7076513499999</v>
      </c>
      <c r="T371" s="83">
        <f>Inputs!$G$5+TS!P371*0.4333</f>
        <v>1946.7076513499999</v>
      </c>
      <c r="U371" s="85">
        <f t="shared" si="115"/>
        <v>0.97335382567499995</v>
      </c>
      <c r="V371" s="86">
        <f t="shared" si="119"/>
        <v>0</v>
      </c>
      <c r="W371" s="86">
        <f t="shared" si="120"/>
        <v>0</v>
      </c>
      <c r="X371" s="86" t="e">
        <f>((PI()*((42-2*'Gen Calcs'!$E$13)^2)/4)/144)*(A414-#REF!)*(W371+14.7)/14.7</f>
        <v>#REF!</v>
      </c>
      <c r="Y371" s="86" t="e">
        <f t="shared" si="121"/>
        <v>#REF!</v>
      </c>
      <c r="Z371" s="86" t="e">
        <f t="shared" si="122"/>
        <v>#REF!</v>
      </c>
      <c r="AA371" s="83">
        <f>MAX(B$2:B371)-B371</f>
        <v>130.95299999999997</v>
      </c>
      <c r="AB371" s="83">
        <f t="shared" si="123"/>
        <v>56.702648999999987</v>
      </c>
      <c r="AC371" s="83">
        <f t="shared" si="109"/>
        <v>120</v>
      </c>
      <c r="AD371" s="72">
        <v>120</v>
      </c>
      <c r="AE371" s="73">
        <f t="shared" si="116"/>
        <v>907.92027688745009</v>
      </c>
      <c r="AF371" s="73">
        <f>SUM(AE$2:AE371)</f>
        <v>305574.53531178751</v>
      </c>
      <c r="AG371" s="73">
        <f t="shared" si="117"/>
        <v>868155.36711532169</v>
      </c>
    </row>
    <row r="372" spans="1:33" x14ac:dyDescent="0.25">
      <c r="A372" s="100">
        <v>129699.92</v>
      </c>
      <c r="B372" s="97">
        <v>700.46770000000004</v>
      </c>
      <c r="C372" s="97">
        <v>0.6</v>
      </c>
      <c r="D372" s="80">
        <f t="shared" si="118"/>
        <v>100</v>
      </c>
      <c r="E372" s="81">
        <f t="shared" si="110"/>
        <v>6791.2436711181272</v>
      </c>
      <c r="F372" s="81">
        <f>SUM(E$2:E372)</f>
        <v>2289998.9473024183</v>
      </c>
      <c r="G372" s="43">
        <f t="shared" si="108"/>
        <v>1</v>
      </c>
      <c r="H372" s="78">
        <v>1</v>
      </c>
      <c r="I372" s="15">
        <f t="shared" si="111"/>
        <v>0.6</v>
      </c>
      <c r="J372" s="16">
        <f>VLOOKUP(G372,Inputs!$L$3:$P$15,5,FALSE)</f>
        <v>2000</v>
      </c>
      <c r="K372" s="16">
        <f t="shared" si="112"/>
        <v>1825</v>
      </c>
      <c r="L372" s="79">
        <f>Inputs!$P$8-B372</f>
        <v>237.72329999999999</v>
      </c>
      <c r="M372" s="79">
        <f>Inputs!$Q$8+L372*0.433</f>
        <v>1927.9341889</v>
      </c>
      <c r="N372" s="82">
        <f t="shared" si="113"/>
        <v>129699.92</v>
      </c>
      <c r="O372" s="83">
        <f t="shared" si="114"/>
        <v>700.46770000000004</v>
      </c>
      <c r="P372" s="84">
        <f>IF(O372="","",Inputs!$C$5-O372)</f>
        <v>124.71679999999992</v>
      </c>
      <c r="Q372" s="83">
        <f>IF(N372="","",TS!J372)</f>
        <v>2000</v>
      </c>
      <c r="R372" s="83">
        <f>IF(N372="","",TS!K372)</f>
        <v>1825</v>
      </c>
      <c r="S372" s="83">
        <f>Inputs!$H$5+TS!P372*0.4333</f>
        <v>1929.00550589</v>
      </c>
      <c r="T372" s="83">
        <f>Inputs!$G$5+TS!P372*0.4333</f>
        <v>1944.00550589</v>
      </c>
      <c r="U372" s="85">
        <f t="shared" si="115"/>
        <v>0.97200275294500005</v>
      </c>
      <c r="V372" s="86">
        <f t="shared" si="119"/>
        <v>0</v>
      </c>
      <c r="W372" s="86">
        <f t="shared" si="120"/>
        <v>0</v>
      </c>
      <c r="X372" s="86" t="e">
        <f>((PI()*((42-2*'Gen Calcs'!$E$13)^2)/4)/144)*(A415-#REF!)*(W372+14.7)/14.7</f>
        <v>#REF!</v>
      </c>
      <c r="Y372" s="86" t="e">
        <f t="shared" si="121"/>
        <v>#REF!</v>
      </c>
      <c r="Z372" s="86" t="e">
        <f t="shared" si="122"/>
        <v>#REF!</v>
      </c>
      <c r="AA372" s="83">
        <f>MAX(B$2:B372)-B372</f>
        <v>124.71679999999992</v>
      </c>
      <c r="AB372" s="83">
        <f t="shared" si="123"/>
        <v>54.002374399999965</v>
      </c>
      <c r="AC372" s="83">
        <f t="shared" si="109"/>
        <v>120</v>
      </c>
      <c r="AD372" s="72">
        <v>120</v>
      </c>
      <c r="AE372" s="73">
        <f t="shared" si="116"/>
        <v>907.92027688745009</v>
      </c>
      <c r="AF372" s="73">
        <f>SUM(AE$2:AE372)</f>
        <v>306482.45558867493</v>
      </c>
      <c r="AG372" s="73">
        <f t="shared" si="117"/>
        <v>867247.44683843432</v>
      </c>
    </row>
    <row r="373" spans="1:33" x14ac:dyDescent="0.25">
      <c r="A373" s="99">
        <v>129799.92</v>
      </c>
      <c r="B373" s="96">
        <v>705.65899999999999</v>
      </c>
      <c r="C373" s="96">
        <v>0.6</v>
      </c>
      <c r="D373" s="80">
        <f t="shared" si="118"/>
        <v>100</v>
      </c>
      <c r="E373" s="81">
        <f t="shared" si="110"/>
        <v>6791.2436711181272</v>
      </c>
      <c r="F373" s="81">
        <f>SUM(E$2:E373)</f>
        <v>2296790.1909735366</v>
      </c>
      <c r="G373" s="43">
        <f t="shared" si="108"/>
        <v>1</v>
      </c>
      <c r="H373" s="78">
        <v>1</v>
      </c>
      <c r="I373" s="15">
        <f t="shared" si="111"/>
        <v>0.6</v>
      </c>
      <c r="J373" s="16">
        <f>VLOOKUP(G373,Inputs!$L$3:$P$15,5,FALSE)</f>
        <v>2000</v>
      </c>
      <c r="K373" s="16">
        <f t="shared" si="112"/>
        <v>1825</v>
      </c>
      <c r="L373" s="79">
        <f>Inputs!$P$8-B373</f>
        <v>232.53200000000004</v>
      </c>
      <c r="M373" s="79">
        <f>Inputs!$Q$8+L373*0.433</f>
        <v>1925.6863559999999</v>
      </c>
      <c r="N373" s="82">
        <f t="shared" si="113"/>
        <v>129799.92</v>
      </c>
      <c r="O373" s="83">
        <f t="shared" si="114"/>
        <v>705.65899999999999</v>
      </c>
      <c r="P373" s="84">
        <f>IF(O373="","",Inputs!$C$5-O373)</f>
        <v>119.52549999999997</v>
      </c>
      <c r="Q373" s="83">
        <f>IF(N373="","",TS!J373)</f>
        <v>2000</v>
      </c>
      <c r="R373" s="83">
        <f>IF(N373="","",TS!K373)</f>
        <v>1825</v>
      </c>
      <c r="S373" s="83">
        <f>Inputs!$H$5+TS!P373*0.4333</f>
        <v>1926.7561155999999</v>
      </c>
      <c r="T373" s="83">
        <f>Inputs!$G$5+TS!P373*0.4333</f>
        <v>1941.7561155999999</v>
      </c>
      <c r="U373" s="85">
        <f t="shared" si="115"/>
        <v>0.97087805779999992</v>
      </c>
      <c r="V373" s="86">
        <f t="shared" si="119"/>
        <v>0</v>
      </c>
      <c r="W373" s="86">
        <f t="shared" si="120"/>
        <v>0</v>
      </c>
      <c r="X373" s="86" t="e">
        <f>((PI()*((42-2*'Gen Calcs'!$E$13)^2)/4)/144)*(A416-#REF!)*(W373+14.7)/14.7</f>
        <v>#REF!</v>
      </c>
      <c r="Y373" s="86" t="e">
        <f t="shared" si="121"/>
        <v>#REF!</v>
      </c>
      <c r="Z373" s="86" t="e">
        <f t="shared" si="122"/>
        <v>#REF!</v>
      </c>
      <c r="AA373" s="83">
        <f>MAX(B$2:B373)-B373</f>
        <v>119.52549999999997</v>
      </c>
      <c r="AB373" s="83">
        <f t="shared" si="123"/>
        <v>51.754541499999988</v>
      </c>
      <c r="AC373" s="83">
        <f t="shared" si="109"/>
        <v>120</v>
      </c>
      <c r="AD373" s="72">
        <v>120</v>
      </c>
      <c r="AE373" s="73">
        <f t="shared" si="116"/>
        <v>907.92027688745009</v>
      </c>
      <c r="AF373" s="73">
        <f>SUM(AE$2:AE373)</f>
        <v>307390.37586556235</v>
      </c>
      <c r="AG373" s="73">
        <f t="shared" si="117"/>
        <v>866339.52656154684</v>
      </c>
    </row>
    <row r="374" spans="1:33" x14ac:dyDescent="0.25">
      <c r="A374" s="100">
        <v>129899.92</v>
      </c>
      <c r="B374" s="97">
        <v>710.54859999999996</v>
      </c>
      <c r="C374" s="97">
        <v>0.6</v>
      </c>
      <c r="D374" s="80">
        <f t="shared" si="118"/>
        <v>100</v>
      </c>
      <c r="E374" s="81">
        <f t="shared" si="110"/>
        <v>6791.2436711181272</v>
      </c>
      <c r="F374" s="81">
        <f>SUM(E$2:E374)</f>
        <v>2303581.4346446549</v>
      </c>
      <c r="G374" s="43">
        <f t="shared" si="108"/>
        <v>1</v>
      </c>
      <c r="H374" s="78">
        <v>1</v>
      </c>
      <c r="I374" s="15">
        <f t="shared" si="111"/>
        <v>0.6</v>
      </c>
      <c r="J374" s="16">
        <f>VLOOKUP(G374,Inputs!$L$3:$P$15,5,FALSE)</f>
        <v>2000</v>
      </c>
      <c r="K374" s="16">
        <f t="shared" si="112"/>
        <v>1825</v>
      </c>
      <c r="L374" s="79">
        <f>Inputs!$P$8-B374</f>
        <v>227.64240000000007</v>
      </c>
      <c r="M374" s="79">
        <f>Inputs!$Q$8+L374*0.433</f>
        <v>1923.5691592000001</v>
      </c>
      <c r="N374" s="82">
        <f t="shared" si="113"/>
        <v>129899.92</v>
      </c>
      <c r="O374" s="83">
        <f t="shared" si="114"/>
        <v>710.54859999999996</v>
      </c>
      <c r="P374" s="84">
        <f>IF(O374="","",Inputs!$C$5-O374)</f>
        <v>114.63589999999999</v>
      </c>
      <c r="Q374" s="83">
        <f>IF(N374="","",TS!J374)</f>
        <v>2000</v>
      </c>
      <c r="R374" s="83">
        <f>IF(N374="","",TS!K374)</f>
        <v>1825</v>
      </c>
      <c r="S374" s="83">
        <f>Inputs!$H$5+TS!P374*0.4333</f>
        <v>1924.6374519199999</v>
      </c>
      <c r="T374" s="83">
        <f>Inputs!$G$5+TS!P374*0.4333</f>
        <v>1939.6374519199999</v>
      </c>
      <c r="U374" s="85">
        <f t="shared" si="115"/>
        <v>0.96981872595999996</v>
      </c>
      <c r="V374" s="86">
        <f t="shared" ref="V374:V437" si="124">O374-MAX(O374:O374)</f>
        <v>0</v>
      </c>
      <c r="W374" s="86">
        <f t="shared" ref="W374:W437" si="125">-(V374)*0.433</f>
        <v>0</v>
      </c>
      <c r="X374" s="86" t="e">
        <f>((PI()*((42-2*'Gen Calcs'!$E$13)^2)/4)/144)*(A417-#REF!)*(W374+14.7)/14.7</f>
        <v>#REF!</v>
      </c>
      <c r="Y374" s="86" t="e">
        <f t="shared" ref="Y374:Y437" si="126">X374/1000</f>
        <v>#REF!</v>
      </c>
      <c r="Z374" s="86" t="e">
        <f t="shared" ref="Z374:Z437" si="127">IF(Y374&gt;Z373,Y374,Z373)</f>
        <v>#REF!</v>
      </c>
      <c r="AA374" s="83">
        <f>MAX(B$2:B374)-B374</f>
        <v>114.63589999999999</v>
      </c>
      <c r="AB374" s="83">
        <f t="shared" ref="AB374:AB437" si="128">AA374*0.433</f>
        <v>49.637344699999993</v>
      </c>
      <c r="AC374" s="83">
        <f t="shared" si="109"/>
        <v>120</v>
      </c>
      <c r="AD374" s="72">
        <v>120</v>
      </c>
      <c r="AE374" s="73">
        <f t="shared" si="116"/>
        <v>907.92027688745009</v>
      </c>
      <c r="AF374" s="73">
        <f>SUM(AE$2:AE374)</f>
        <v>308298.29614244978</v>
      </c>
      <c r="AG374" s="73">
        <f t="shared" si="117"/>
        <v>865431.60628465936</v>
      </c>
    </row>
    <row r="375" spans="1:33" x14ac:dyDescent="0.25">
      <c r="A375" s="99">
        <v>129918.1</v>
      </c>
      <c r="B375" s="96">
        <v>710.54859999999996</v>
      </c>
      <c r="C375" s="96">
        <v>0.86399999999999999</v>
      </c>
      <c r="D375" s="80">
        <f t="shared" si="118"/>
        <v>18.180000000007567</v>
      </c>
      <c r="E375" s="81">
        <f t="shared" si="110"/>
        <v>1234.6480994097894</v>
      </c>
      <c r="F375" s="81">
        <f>SUM(E$2:E375)</f>
        <v>2304816.0827440647</v>
      </c>
      <c r="G375" s="43">
        <f t="shared" si="108"/>
        <v>2</v>
      </c>
      <c r="H375" s="78">
        <v>1</v>
      </c>
      <c r="I375" s="15">
        <f t="shared" si="111"/>
        <v>0.86399999999999999</v>
      </c>
      <c r="J375" s="16">
        <f>VLOOKUP(G375,Inputs!$L$3:$P$15,5,FALSE)</f>
        <v>2880</v>
      </c>
      <c r="K375" s="16">
        <f t="shared" si="112"/>
        <v>1825</v>
      </c>
      <c r="L375" s="79">
        <f>Inputs!$P$8-B375</f>
        <v>227.64240000000007</v>
      </c>
      <c r="M375" s="79">
        <f>Inputs!$Q$8+L375*0.433</f>
        <v>1923.5691592000001</v>
      </c>
      <c r="N375" s="82">
        <f t="shared" si="113"/>
        <v>129918.1</v>
      </c>
      <c r="O375" s="83">
        <f t="shared" si="114"/>
        <v>710.54859999999996</v>
      </c>
      <c r="P375" s="84">
        <f>IF(O375="","",Inputs!$C$5-O375)</f>
        <v>114.63589999999999</v>
      </c>
      <c r="Q375" s="83">
        <f>IF(N375="","",TS!J375)</f>
        <v>2880</v>
      </c>
      <c r="R375" s="83">
        <f>IF(N375="","",TS!K375)</f>
        <v>1825</v>
      </c>
      <c r="S375" s="83">
        <f>Inputs!$H$5+TS!P375*0.4333</f>
        <v>1924.6374519199999</v>
      </c>
      <c r="T375" s="83">
        <f>Inputs!$G$5+TS!P375*0.4333</f>
        <v>1939.6374519199999</v>
      </c>
      <c r="U375" s="85">
        <f t="shared" si="115"/>
        <v>0.67348522636111108</v>
      </c>
      <c r="V375" s="86">
        <f t="shared" si="124"/>
        <v>0</v>
      </c>
      <c r="W375" s="86">
        <f t="shared" si="125"/>
        <v>0</v>
      </c>
      <c r="X375" s="86" t="e">
        <f>((PI()*((42-2*'Gen Calcs'!$E$13)^2)/4)/144)*(A418-#REF!)*(W375+14.7)/14.7</f>
        <v>#REF!</v>
      </c>
      <c r="Y375" s="86" t="e">
        <f t="shared" si="126"/>
        <v>#REF!</v>
      </c>
      <c r="Z375" s="86" t="e">
        <f t="shared" si="127"/>
        <v>#REF!</v>
      </c>
      <c r="AA375" s="83">
        <f>MAX(B$2:B375)-B375</f>
        <v>114.63589999999999</v>
      </c>
      <c r="AB375" s="83">
        <f t="shared" si="128"/>
        <v>49.637344699999993</v>
      </c>
      <c r="AC375" s="83">
        <f t="shared" si="109"/>
        <v>120</v>
      </c>
      <c r="AD375" s="72">
        <v>120</v>
      </c>
      <c r="AE375" s="73">
        <f t="shared" si="116"/>
        <v>160.8154108366742</v>
      </c>
      <c r="AF375" s="73">
        <f>SUM(AE$2:AE375)</f>
        <v>308459.11155328644</v>
      </c>
      <c r="AG375" s="73">
        <f t="shared" si="117"/>
        <v>865270.79087382276</v>
      </c>
    </row>
    <row r="376" spans="1:33" x14ac:dyDescent="0.25">
      <c r="A376" s="100">
        <v>129998.1</v>
      </c>
      <c r="B376" s="97">
        <v>710.54859999999996</v>
      </c>
      <c r="C376" s="97">
        <v>0.86399999999999999</v>
      </c>
      <c r="D376" s="80">
        <f t="shared" si="118"/>
        <v>80</v>
      </c>
      <c r="E376" s="81">
        <f t="shared" si="110"/>
        <v>5432.9949368945017</v>
      </c>
      <c r="F376" s="81">
        <f>SUM(E$2:E376)</f>
        <v>2310249.0776809594</v>
      </c>
      <c r="G376" s="43">
        <f t="shared" si="108"/>
        <v>2</v>
      </c>
      <c r="H376" s="78">
        <v>1</v>
      </c>
      <c r="I376" s="15">
        <f t="shared" si="111"/>
        <v>0.86399999999999999</v>
      </c>
      <c r="J376" s="16">
        <f>VLOOKUP(G376,Inputs!$L$3:$P$15,5,FALSE)</f>
        <v>2880</v>
      </c>
      <c r="K376" s="16">
        <f t="shared" si="112"/>
        <v>1825</v>
      </c>
      <c r="L376" s="79">
        <f>Inputs!$P$8-B376</f>
        <v>227.64240000000007</v>
      </c>
      <c r="M376" s="79">
        <f>Inputs!$Q$8+L376*0.433</f>
        <v>1923.5691592000001</v>
      </c>
      <c r="N376" s="82">
        <f t="shared" si="113"/>
        <v>129998.1</v>
      </c>
      <c r="O376" s="83">
        <f t="shared" si="114"/>
        <v>710.54859999999996</v>
      </c>
      <c r="P376" s="84">
        <f>IF(O376="","",Inputs!$C$5-O376)</f>
        <v>114.63589999999999</v>
      </c>
      <c r="Q376" s="83">
        <f>IF(N376="","",TS!J376)</f>
        <v>2880</v>
      </c>
      <c r="R376" s="83">
        <f>IF(N376="","",TS!K376)</f>
        <v>1825</v>
      </c>
      <c r="S376" s="83">
        <f>Inputs!$H$5+TS!P376*0.4333</f>
        <v>1924.6374519199999</v>
      </c>
      <c r="T376" s="83">
        <f>Inputs!$G$5+TS!P376*0.4333</f>
        <v>1939.6374519199999</v>
      </c>
      <c r="U376" s="85">
        <f t="shared" si="115"/>
        <v>0.67348522636111108</v>
      </c>
      <c r="V376" s="86">
        <f t="shared" si="124"/>
        <v>0</v>
      </c>
      <c r="W376" s="86">
        <f t="shared" si="125"/>
        <v>0</v>
      </c>
      <c r="X376" s="86" t="e">
        <f>((PI()*((42-2*'Gen Calcs'!$E$13)^2)/4)/144)*(A419-#REF!)*(W376+14.7)/14.7</f>
        <v>#REF!</v>
      </c>
      <c r="Y376" s="86" t="e">
        <f t="shared" si="126"/>
        <v>#REF!</v>
      </c>
      <c r="Z376" s="86" t="e">
        <f t="shared" si="127"/>
        <v>#REF!</v>
      </c>
      <c r="AA376" s="83">
        <f>MAX(B$2:B376)-B376</f>
        <v>114.63589999999999</v>
      </c>
      <c r="AB376" s="83">
        <f t="shared" si="128"/>
        <v>49.637344699999993</v>
      </c>
      <c r="AC376" s="83">
        <f t="shared" si="109"/>
        <v>120</v>
      </c>
      <c r="AD376" s="72">
        <v>120</v>
      </c>
      <c r="AE376" s="73">
        <f t="shared" si="116"/>
        <v>707.6585735384258</v>
      </c>
      <c r="AF376" s="73">
        <f>SUM(AE$2:AE376)</f>
        <v>309166.77012682485</v>
      </c>
      <c r="AG376" s="73">
        <f t="shared" si="117"/>
        <v>864563.13230028434</v>
      </c>
    </row>
    <row r="377" spans="1:33" x14ac:dyDescent="0.25">
      <c r="A377" s="99">
        <v>129999.92</v>
      </c>
      <c r="B377" s="96">
        <v>714.85810000000004</v>
      </c>
      <c r="C377" s="96">
        <v>0.6</v>
      </c>
      <c r="D377" s="80">
        <f t="shared" si="118"/>
        <v>1.819999999992433</v>
      </c>
      <c r="E377" s="81">
        <f t="shared" si="110"/>
        <v>123.60063481383602</v>
      </c>
      <c r="F377" s="81">
        <f>SUM(E$2:E377)</f>
        <v>2310372.6783157731</v>
      </c>
      <c r="G377" s="43">
        <f t="shared" si="108"/>
        <v>1</v>
      </c>
      <c r="H377" s="78">
        <v>1</v>
      </c>
      <c r="I377" s="15">
        <f t="shared" si="111"/>
        <v>0.6</v>
      </c>
      <c r="J377" s="16">
        <f>VLOOKUP(G377,Inputs!$L$3:$P$15,5,FALSE)</f>
        <v>2000</v>
      </c>
      <c r="K377" s="16">
        <f t="shared" si="112"/>
        <v>1825</v>
      </c>
      <c r="L377" s="79">
        <f>Inputs!$P$8-B377</f>
        <v>223.3329</v>
      </c>
      <c r="M377" s="79">
        <f>Inputs!$Q$8+L377*0.433</f>
        <v>1921.7031457000001</v>
      </c>
      <c r="N377" s="82">
        <f t="shared" si="113"/>
        <v>129999.92</v>
      </c>
      <c r="O377" s="83">
        <f t="shared" si="114"/>
        <v>714.85810000000004</v>
      </c>
      <c r="P377" s="84">
        <f>IF(O377="","",Inputs!$C$5-O377)</f>
        <v>110.32639999999992</v>
      </c>
      <c r="Q377" s="83">
        <f>IF(N377="","",TS!J377)</f>
        <v>2000</v>
      </c>
      <c r="R377" s="83">
        <f>IF(N377="","",TS!K377)</f>
        <v>1825</v>
      </c>
      <c r="S377" s="83">
        <f>Inputs!$H$5+TS!P377*0.4333</f>
        <v>1922.7701455699998</v>
      </c>
      <c r="T377" s="83">
        <f>Inputs!$G$5+TS!P377*0.4333</f>
        <v>1937.7701455699998</v>
      </c>
      <c r="U377" s="85">
        <f t="shared" si="115"/>
        <v>0.96888507278499991</v>
      </c>
      <c r="V377" s="86">
        <f t="shared" si="124"/>
        <v>0</v>
      </c>
      <c r="W377" s="86">
        <f t="shared" si="125"/>
        <v>0</v>
      </c>
      <c r="X377" s="86" t="e">
        <f>((PI()*((42-2*'Gen Calcs'!$E$13)^2)/4)/144)*(A420-#REF!)*(W377+14.7)/14.7</f>
        <v>#REF!</v>
      </c>
      <c r="Y377" s="86" t="e">
        <f t="shared" si="126"/>
        <v>#REF!</v>
      </c>
      <c r="Z377" s="86" t="e">
        <f t="shared" si="127"/>
        <v>#REF!</v>
      </c>
      <c r="AA377" s="83">
        <f>MAX(B$2:B377)-B377</f>
        <v>110.32639999999992</v>
      </c>
      <c r="AB377" s="83">
        <f t="shared" si="128"/>
        <v>47.771331199999963</v>
      </c>
      <c r="AC377" s="83">
        <f t="shared" si="109"/>
        <v>120</v>
      </c>
      <c r="AD377" s="72">
        <v>120</v>
      </c>
      <c r="AE377" s="73">
        <f t="shared" si="116"/>
        <v>16.524149039282889</v>
      </c>
      <c r="AF377" s="73">
        <f>SUM(AE$2:AE377)</f>
        <v>309183.29427586414</v>
      </c>
      <c r="AG377" s="73">
        <f t="shared" si="117"/>
        <v>864546.60815124505</v>
      </c>
    </row>
    <row r="378" spans="1:33" x14ac:dyDescent="0.25">
      <c r="A378" s="100">
        <v>130099.92</v>
      </c>
      <c r="B378" s="97">
        <v>717.58</v>
      </c>
      <c r="C378" s="97">
        <v>0.6</v>
      </c>
      <c r="D378" s="80">
        <f t="shared" si="118"/>
        <v>100</v>
      </c>
      <c r="E378" s="81">
        <f t="shared" si="110"/>
        <v>6791.2436711181272</v>
      </c>
      <c r="F378" s="81">
        <f>SUM(E$2:E378)</f>
        <v>2317163.9219868914</v>
      </c>
      <c r="G378" s="43">
        <f t="shared" si="108"/>
        <v>1</v>
      </c>
      <c r="H378" s="78">
        <v>1</v>
      </c>
      <c r="I378" s="15">
        <f t="shared" si="111"/>
        <v>0.6</v>
      </c>
      <c r="J378" s="16">
        <f>VLOOKUP(G378,Inputs!$L$3:$P$15,5,FALSE)</f>
        <v>2000</v>
      </c>
      <c r="K378" s="16">
        <f t="shared" si="112"/>
        <v>1825</v>
      </c>
      <c r="L378" s="79">
        <f>Inputs!$P$8-B378</f>
        <v>220.61099999999999</v>
      </c>
      <c r="M378" s="79">
        <f>Inputs!$Q$8+L378*0.433</f>
        <v>1920.5245629999999</v>
      </c>
      <c r="N378" s="82">
        <f t="shared" si="113"/>
        <v>130099.92</v>
      </c>
      <c r="O378" s="83">
        <f t="shared" si="114"/>
        <v>717.58</v>
      </c>
      <c r="P378" s="84">
        <f>IF(O378="","",Inputs!$C$5-O378)</f>
        <v>107.60449999999992</v>
      </c>
      <c r="Q378" s="83">
        <f>IF(N378="","",TS!J378)</f>
        <v>2000</v>
      </c>
      <c r="R378" s="83">
        <f>IF(N378="","",TS!K378)</f>
        <v>1825</v>
      </c>
      <c r="S378" s="83">
        <f>Inputs!$H$5+TS!P378*0.4333</f>
        <v>1921.5907462999999</v>
      </c>
      <c r="T378" s="83">
        <f>Inputs!$G$5+TS!P378*0.4333</f>
        <v>1936.5907462999999</v>
      </c>
      <c r="U378" s="85">
        <f t="shared" si="115"/>
        <v>0.96829537314999992</v>
      </c>
      <c r="V378" s="86">
        <f t="shared" si="124"/>
        <v>0</v>
      </c>
      <c r="W378" s="86">
        <f t="shared" si="125"/>
        <v>0</v>
      </c>
      <c r="X378" s="86" t="e">
        <f>((PI()*((42-2*'Gen Calcs'!$E$13)^2)/4)/144)*(A421-#REF!)*(W378+14.7)/14.7</f>
        <v>#REF!</v>
      </c>
      <c r="Y378" s="86" t="e">
        <f t="shared" si="126"/>
        <v>#REF!</v>
      </c>
      <c r="Z378" s="86" t="e">
        <f t="shared" si="127"/>
        <v>#REF!</v>
      </c>
      <c r="AA378" s="83">
        <f>MAX(B$2:B378)-B378</f>
        <v>107.60449999999992</v>
      </c>
      <c r="AB378" s="83">
        <f t="shared" si="128"/>
        <v>46.592748499999963</v>
      </c>
      <c r="AC378" s="83">
        <f t="shared" si="109"/>
        <v>120</v>
      </c>
      <c r="AD378" s="72">
        <v>120</v>
      </c>
      <c r="AE378" s="73">
        <f t="shared" si="116"/>
        <v>907.92027688745009</v>
      </c>
      <c r="AF378" s="73">
        <f>SUM(AE$2:AE378)</f>
        <v>310091.21455275157</v>
      </c>
      <c r="AG378" s="73">
        <f t="shared" si="117"/>
        <v>863638.68787435768</v>
      </c>
    </row>
    <row r="379" spans="1:33" x14ac:dyDescent="0.25">
      <c r="A379" s="99">
        <v>130199.92</v>
      </c>
      <c r="B379" s="96">
        <v>715.53039999999999</v>
      </c>
      <c r="C379" s="96">
        <v>0.6</v>
      </c>
      <c r="D379" s="80">
        <f t="shared" si="118"/>
        <v>100</v>
      </c>
      <c r="E379" s="81">
        <f t="shared" si="110"/>
        <v>6791.2436711181272</v>
      </c>
      <c r="F379" s="81">
        <f>SUM(E$2:E379)</f>
        <v>2323955.1656580097</v>
      </c>
      <c r="G379" s="43">
        <f t="shared" si="108"/>
        <v>1</v>
      </c>
      <c r="H379" s="78">
        <v>1</v>
      </c>
      <c r="I379" s="15">
        <f t="shared" si="111"/>
        <v>0.6</v>
      </c>
      <c r="J379" s="16">
        <f>VLOOKUP(G379,Inputs!$L$3:$P$15,5,FALSE)</f>
        <v>2000</v>
      </c>
      <c r="K379" s="16">
        <f t="shared" si="112"/>
        <v>1825</v>
      </c>
      <c r="L379" s="79">
        <f>Inputs!$P$8-B379</f>
        <v>222.66060000000004</v>
      </c>
      <c r="M379" s="79">
        <f>Inputs!$Q$8+L379*0.433</f>
        <v>1921.4120398</v>
      </c>
      <c r="N379" s="82">
        <f t="shared" si="113"/>
        <v>130199.92</v>
      </c>
      <c r="O379" s="83">
        <f t="shared" si="114"/>
        <v>715.53039999999999</v>
      </c>
      <c r="P379" s="84">
        <f>IF(O379="","",Inputs!$C$5-O379)</f>
        <v>109.65409999999997</v>
      </c>
      <c r="Q379" s="83">
        <f>IF(N379="","",TS!J379)</f>
        <v>2000</v>
      </c>
      <c r="R379" s="83">
        <f>IF(N379="","",TS!K379)</f>
        <v>1825</v>
      </c>
      <c r="S379" s="83">
        <f>Inputs!$H$5+TS!P379*0.4333</f>
        <v>1922.47883798</v>
      </c>
      <c r="T379" s="83">
        <f>Inputs!$G$5+TS!P379*0.4333</f>
        <v>1937.47883798</v>
      </c>
      <c r="U379" s="85">
        <f t="shared" si="115"/>
        <v>0.96873941899000005</v>
      </c>
      <c r="V379" s="86">
        <f t="shared" si="124"/>
        <v>0</v>
      </c>
      <c r="W379" s="86">
        <f t="shared" si="125"/>
        <v>0</v>
      </c>
      <c r="X379" s="86" t="e">
        <f>((PI()*((42-2*'Gen Calcs'!$E$13)^2)/4)/144)*(A422-#REF!)*(W379+14.7)/14.7</f>
        <v>#REF!</v>
      </c>
      <c r="Y379" s="86" t="e">
        <f t="shared" si="126"/>
        <v>#REF!</v>
      </c>
      <c r="Z379" s="86" t="e">
        <f t="shared" si="127"/>
        <v>#REF!</v>
      </c>
      <c r="AA379" s="83">
        <f>MAX(B$2:B379)-B379</f>
        <v>109.65409999999997</v>
      </c>
      <c r="AB379" s="83">
        <f t="shared" si="128"/>
        <v>47.480225299999987</v>
      </c>
      <c r="AC379" s="83">
        <f t="shared" si="109"/>
        <v>120</v>
      </c>
      <c r="AD379" s="72">
        <v>120</v>
      </c>
      <c r="AE379" s="73">
        <f t="shared" si="116"/>
        <v>907.92027688745009</v>
      </c>
      <c r="AF379" s="73">
        <f>SUM(AE$2:AE379)</f>
        <v>310999.13482963899</v>
      </c>
      <c r="AG379" s="73">
        <f t="shared" si="117"/>
        <v>862730.7675974702</v>
      </c>
    </row>
    <row r="380" spans="1:33" x14ac:dyDescent="0.25">
      <c r="A380" s="100">
        <v>130299.92</v>
      </c>
      <c r="B380" s="97">
        <v>712.55679999999995</v>
      </c>
      <c r="C380" s="97">
        <v>0.6</v>
      </c>
      <c r="D380" s="80">
        <f t="shared" si="118"/>
        <v>100</v>
      </c>
      <c r="E380" s="81">
        <f t="shared" si="110"/>
        <v>6791.2436711181272</v>
      </c>
      <c r="F380" s="81">
        <f>SUM(E$2:E380)</f>
        <v>2330746.409329128</v>
      </c>
      <c r="G380" s="43">
        <f t="shared" si="108"/>
        <v>1</v>
      </c>
      <c r="H380" s="78">
        <v>1</v>
      </c>
      <c r="I380" s="15">
        <f t="shared" si="111"/>
        <v>0.6</v>
      </c>
      <c r="J380" s="16">
        <f>VLOOKUP(G380,Inputs!$L$3:$P$15,5,FALSE)</f>
        <v>2000</v>
      </c>
      <c r="K380" s="16">
        <f t="shared" si="112"/>
        <v>1825</v>
      </c>
      <c r="L380" s="79">
        <f>Inputs!$P$8-B380</f>
        <v>225.63420000000008</v>
      </c>
      <c r="M380" s="79">
        <f>Inputs!$Q$8+L380*0.433</f>
        <v>1922.6996085999999</v>
      </c>
      <c r="N380" s="82">
        <f t="shared" si="113"/>
        <v>130299.92</v>
      </c>
      <c r="O380" s="83">
        <f t="shared" si="114"/>
        <v>712.55679999999995</v>
      </c>
      <c r="P380" s="84">
        <f>IF(O380="","",Inputs!$C$5-O380)</f>
        <v>112.6277</v>
      </c>
      <c r="Q380" s="83">
        <f>IF(N380="","",TS!J380)</f>
        <v>2000</v>
      </c>
      <c r="R380" s="83">
        <f>IF(N380="","",TS!K380)</f>
        <v>1825</v>
      </c>
      <c r="S380" s="83">
        <f>Inputs!$H$5+TS!P380*0.4333</f>
        <v>1923.76729886</v>
      </c>
      <c r="T380" s="83">
        <f>Inputs!$G$5+TS!P380*0.4333</f>
        <v>1938.76729886</v>
      </c>
      <c r="U380" s="85">
        <f t="shared" si="115"/>
        <v>0.96938364942999999</v>
      </c>
      <c r="V380" s="86">
        <f t="shared" si="124"/>
        <v>0</v>
      </c>
      <c r="W380" s="86">
        <f t="shared" si="125"/>
        <v>0</v>
      </c>
      <c r="X380" s="86" t="e">
        <f>((PI()*((42-2*'Gen Calcs'!$E$13)^2)/4)/144)*(A423-#REF!)*(W380+14.7)/14.7</f>
        <v>#REF!</v>
      </c>
      <c r="Y380" s="86" t="e">
        <f t="shared" si="126"/>
        <v>#REF!</v>
      </c>
      <c r="Z380" s="86" t="e">
        <f t="shared" si="127"/>
        <v>#REF!</v>
      </c>
      <c r="AA380" s="83">
        <f>MAX(B$2:B380)-B380</f>
        <v>112.6277</v>
      </c>
      <c r="AB380" s="83">
        <f t="shared" si="128"/>
        <v>48.767794100000003</v>
      </c>
      <c r="AC380" s="83">
        <f t="shared" si="109"/>
        <v>120</v>
      </c>
      <c r="AD380" s="72">
        <v>120</v>
      </c>
      <c r="AE380" s="73">
        <f t="shared" si="116"/>
        <v>907.92027688745009</v>
      </c>
      <c r="AF380" s="73">
        <f>SUM(AE$2:AE380)</f>
        <v>311907.05510652642</v>
      </c>
      <c r="AG380" s="73">
        <f t="shared" si="117"/>
        <v>861822.84732058272</v>
      </c>
    </row>
    <row r="381" spans="1:33" x14ac:dyDescent="0.25">
      <c r="A381" s="99">
        <v>130399.92</v>
      </c>
      <c r="B381" s="96">
        <v>710.53399999999999</v>
      </c>
      <c r="C381" s="96">
        <v>0.6</v>
      </c>
      <c r="D381" s="80">
        <f t="shared" si="118"/>
        <v>100</v>
      </c>
      <c r="E381" s="81">
        <f t="shared" si="110"/>
        <v>6791.2436711181272</v>
      </c>
      <c r="F381" s="81">
        <f>SUM(E$2:E381)</f>
        <v>2337537.6530002463</v>
      </c>
      <c r="G381" s="43">
        <f t="shared" si="108"/>
        <v>1</v>
      </c>
      <c r="H381" s="78">
        <v>1</v>
      </c>
      <c r="I381" s="15">
        <f t="shared" si="111"/>
        <v>0.6</v>
      </c>
      <c r="J381" s="16">
        <f>VLOOKUP(G381,Inputs!$L$3:$P$15,5,FALSE)</f>
        <v>2000</v>
      </c>
      <c r="K381" s="16">
        <f t="shared" si="112"/>
        <v>1825</v>
      </c>
      <c r="L381" s="79">
        <f>Inputs!$P$8-B381</f>
        <v>227.65700000000004</v>
      </c>
      <c r="M381" s="79">
        <f>Inputs!$Q$8+L381*0.433</f>
        <v>1923.5754810000001</v>
      </c>
      <c r="N381" s="82">
        <f t="shared" si="113"/>
        <v>130399.92</v>
      </c>
      <c r="O381" s="83">
        <f t="shared" si="114"/>
        <v>710.53399999999999</v>
      </c>
      <c r="P381" s="84">
        <f>IF(O381="","",Inputs!$C$5-O381)</f>
        <v>114.65049999999997</v>
      </c>
      <c r="Q381" s="83">
        <f>IF(N381="","",TS!J381)</f>
        <v>2000</v>
      </c>
      <c r="R381" s="83">
        <f>IF(N381="","",TS!K381)</f>
        <v>1825</v>
      </c>
      <c r="S381" s="83">
        <f>Inputs!$H$5+TS!P381*0.4333</f>
        <v>1924.6437781</v>
      </c>
      <c r="T381" s="83">
        <f>Inputs!$G$5+TS!P381*0.4333</f>
        <v>1939.6437781</v>
      </c>
      <c r="U381" s="85">
        <f t="shared" si="115"/>
        <v>0.96982188905</v>
      </c>
      <c r="V381" s="86">
        <f t="shared" si="124"/>
        <v>0</v>
      </c>
      <c r="W381" s="86">
        <f t="shared" si="125"/>
        <v>0</v>
      </c>
      <c r="X381" s="86" t="e">
        <f>((PI()*((42-2*'Gen Calcs'!$E$13)^2)/4)/144)*(A424-#REF!)*(W381+14.7)/14.7</f>
        <v>#REF!</v>
      </c>
      <c r="Y381" s="86" t="e">
        <f t="shared" si="126"/>
        <v>#REF!</v>
      </c>
      <c r="Z381" s="86" t="e">
        <f t="shared" si="127"/>
        <v>#REF!</v>
      </c>
      <c r="AA381" s="83">
        <f>MAX(B$2:B381)-B381</f>
        <v>114.65049999999997</v>
      </c>
      <c r="AB381" s="83">
        <f t="shared" si="128"/>
        <v>49.643666499999988</v>
      </c>
      <c r="AC381" s="83">
        <f t="shared" si="109"/>
        <v>120</v>
      </c>
      <c r="AD381" s="72">
        <v>120</v>
      </c>
      <c r="AE381" s="73">
        <f t="shared" si="116"/>
        <v>907.92027688745009</v>
      </c>
      <c r="AF381" s="73">
        <f>SUM(AE$2:AE381)</f>
        <v>312814.97538341384</v>
      </c>
      <c r="AG381" s="73">
        <f t="shared" si="117"/>
        <v>860914.92704369535</v>
      </c>
    </row>
    <row r="382" spans="1:33" x14ac:dyDescent="0.25">
      <c r="A382" s="100">
        <v>130499.92</v>
      </c>
      <c r="B382" s="97">
        <v>708.23389999999995</v>
      </c>
      <c r="C382" s="97">
        <v>0.6</v>
      </c>
      <c r="D382" s="80">
        <f t="shared" si="118"/>
        <v>100</v>
      </c>
      <c r="E382" s="81">
        <f t="shared" si="110"/>
        <v>6791.2436711181272</v>
      </c>
      <c r="F382" s="81">
        <f>SUM(E$2:E382)</f>
        <v>2344328.8966713645</v>
      </c>
      <c r="G382" s="43">
        <f t="shared" si="108"/>
        <v>1</v>
      </c>
      <c r="H382" s="78">
        <v>1</v>
      </c>
      <c r="I382" s="15">
        <f t="shared" si="111"/>
        <v>0.6</v>
      </c>
      <c r="J382" s="16">
        <f>VLOOKUP(G382,Inputs!$L$3:$P$15,5,FALSE)</f>
        <v>2000</v>
      </c>
      <c r="K382" s="16">
        <f t="shared" si="112"/>
        <v>1825</v>
      </c>
      <c r="L382" s="79">
        <f>Inputs!$P$8-B382</f>
        <v>229.95710000000008</v>
      </c>
      <c r="M382" s="79">
        <f>Inputs!$Q$8+L382*0.433</f>
        <v>1924.5714243</v>
      </c>
      <c r="N382" s="82">
        <f t="shared" si="113"/>
        <v>130499.92</v>
      </c>
      <c r="O382" s="83">
        <f t="shared" si="114"/>
        <v>708.23389999999995</v>
      </c>
      <c r="P382" s="84">
        <f>IF(O382="","",Inputs!$C$5-O382)</f>
        <v>116.95060000000001</v>
      </c>
      <c r="Q382" s="83">
        <f>IF(N382="","",TS!J382)</f>
        <v>2000</v>
      </c>
      <c r="R382" s="83">
        <f>IF(N382="","",TS!K382)</f>
        <v>1825</v>
      </c>
      <c r="S382" s="83">
        <f>Inputs!$H$5+TS!P382*0.4333</f>
        <v>1925.6404114299999</v>
      </c>
      <c r="T382" s="83">
        <f>Inputs!$G$5+TS!P382*0.4333</f>
        <v>1940.6404114299999</v>
      </c>
      <c r="U382" s="85">
        <f t="shared" si="115"/>
        <v>0.97032020571499988</v>
      </c>
      <c r="V382" s="86">
        <f t="shared" si="124"/>
        <v>0</v>
      </c>
      <c r="W382" s="86">
        <f t="shared" si="125"/>
        <v>0</v>
      </c>
      <c r="X382" s="86" t="e">
        <f>((PI()*((42-2*'Gen Calcs'!$E$13)^2)/4)/144)*(A425-#REF!)*(W382+14.7)/14.7</f>
        <v>#REF!</v>
      </c>
      <c r="Y382" s="86" t="e">
        <f t="shared" si="126"/>
        <v>#REF!</v>
      </c>
      <c r="Z382" s="86" t="e">
        <f t="shared" si="127"/>
        <v>#REF!</v>
      </c>
      <c r="AA382" s="83">
        <f>MAX(B$2:B382)-B382</f>
        <v>116.95060000000001</v>
      </c>
      <c r="AB382" s="83">
        <f t="shared" si="128"/>
        <v>50.639609800000002</v>
      </c>
      <c r="AC382" s="83">
        <f t="shared" si="109"/>
        <v>120</v>
      </c>
      <c r="AD382" s="72">
        <v>120</v>
      </c>
      <c r="AE382" s="73">
        <f t="shared" si="116"/>
        <v>907.92027688745009</v>
      </c>
      <c r="AF382" s="73">
        <f>SUM(AE$2:AE382)</f>
        <v>313722.89566030126</v>
      </c>
      <c r="AG382" s="73">
        <f t="shared" si="117"/>
        <v>860007.00676680799</v>
      </c>
    </row>
    <row r="383" spans="1:33" x14ac:dyDescent="0.25">
      <c r="A383" s="99">
        <v>130599.92</v>
      </c>
      <c r="B383" s="96">
        <v>708.97649999999999</v>
      </c>
      <c r="C383" s="96">
        <v>0.6</v>
      </c>
      <c r="D383" s="80">
        <f t="shared" si="118"/>
        <v>100</v>
      </c>
      <c r="E383" s="81">
        <f t="shared" si="110"/>
        <v>6791.2436711181272</v>
      </c>
      <c r="F383" s="81">
        <f>SUM(E$2:E383)</f>
        <v>2351120.1403424828</v>
      </c>
      <c r="G383" s="43">
        <f t="shared" si="108"/>
        <v>1</v>
      </c>
      <c r="H383" s="78">
        <v>1</v>
      </c>
      <c r="I383" s="15">
        <f t="shared" si="111"/>
        <v>0.6</v>
      </c>
      <c r="J383" s="16">
        <f>VLOOKUP(G383,Inputs!$L$3:$P$15,5,FALSE)</f>
        <v>2000</v>
      </c>
      <c r="K383" s="16">
        <f t="shared" si="112"/>
        <v>1825</v>
      </c>
      <c r="L383" s="79">
        <f>Inputs!$P$8-B383</f>
        <v>229.21450000000004</v>
      </c>
      <c r="M383" s="79">
        <f>Inputs!$Q$8+L383*0.433</f>
        <v>1924.2498785</v>
      </c>
      <c r="N383" s="82">
        <f t="shared" si="113"/>
        <v>130599.92</v>
      </c>
      <c r="O383" s="83">
        <f t="shared" si="114"/>
        <v>708.97649999999999</v>
      </c>
      <c r="P383" s="84">
        <f>IF(O383="","",Inputs!$C$5-O383)</f>
        <v>116.20799999999997</v>
      </c>
      <c r="Q383" s="83">
        <f>IF(N383="","",TS!J383)</f>
        <v>2000</v>
      </c>
      <c r="R383" s="83">
        <f>IF(N383="","",TS!K383)</f>
        <v>1825</v>
      </c>
      <c r="S383" s="83">
        <f>Inputs!$H$5+TS!P383*0.4333</f>
        <v>1925.3186428499998</v>
      </c>
      <c r="T383" s="83">
        <f>Inputs!$G$5+TS!P383*0.4333</f>
        <v>1940.3186428499998</v>
      </c>
      <c r="U383" s="85">
        <f t="shared" si="115"/>
        <v>0.97015932142499994</v>
      </c>
      <c r="V383" s="86">
        <f t="shared" si="124"/>
        <v>0</v>
      </c>
      <c r="W383" s="86">
        <f t="shared" si="125"/>
        <v>0</v>
      </c>
      <c r="X383" s="86" t="e">
        <f>((PI()*((42-2*'Gen Calcs'!$E$13)^2)/4)/144)*(A426-#REF!)*(W383+14.7)/14.7</f>
        <v>#REF!</v>
      </c>
      <c r="Y383" s="86" t="e">
        <f t="shared" si="126"/>
        <v>#REF!</v>
      </c>
      <c r="Z383" s="86" t="e">
        <f t="shared" si="127"/>
        <v>#REF!</v>
      </c>
      <c r="AA383" s="83">
        <f>MAX(B$2:B383)-B383</f>
        <v>116.20799999999997</v>
      </c>
      <c r="AB383" s="83">
        <f t="shared" si="128"/>
        <v>50.318063999999985</v>
      </c>
      <c r="AC383" s="83">
        <f t="shared" si="109"/>
        <v>120</v>
      </c>
      <c r="AD383" s="72">
        <v>120</v>
      </c>
      <c r="AE383" s="73">
        <f t="shared" si="116"/>
        <v>907.92027688745009</v>
      </c>
      <c r="AF383" s="73">
        <f>SUM(AE$2:AE383)</f>
        <v>314630.81593718869</v>
      </c>
      <c r="AG383" s="73">
        <f t="shared" si="117"/>
        <v>859099.0864899205</v>
      </c>
    </row>
    <row r="384" spans="1:33" x14ac:dyDescent="0.25">
      <c r="A384" s="100">
        <v>130699.92</v>
      </c>
      <c r="B384" s="97">
        <v>712.65949999999998</v>
      </c>
      <c r="C384" s="97">
        <v>0.6</v>
      </c>
      <c r="D384" s="80">
        <f t="shared" si="118"/>
        <v>100</v>
      </c>
      <c r="E384" s="81">
        <f t="shared" si="110"/>
        <v>6791.2436711181272</v>
      </c>
      <c r="F384" s="81">
        <f>SUM(E$2:E384)</f>
        <v>2357911.3840136011</v>
      </c>
      <c r="G384" s="43">
        <f t="shared" si="108"/>
        <v>1</v>
      </c>
      <c r="H384" s="78">
        <v>1</v>
      </c>
      <c r="I384" s="15">
        <f t="shared" si="111"/>
        <v>0.6</v>
      </c>
      <c r="J384" s="16">
        <f>VLOOKUP(G384,Inputs!$L$3:$P$15,5,FALSE)</f>
        <v>2000</v>
      </c>
      <c r="K384" s="16">
        <f t="shared" si="112"/>
        <v>1825</v>
      </c>
      <c r="L384" s="79">
        <f>Inputs!$P$8-B384</f>
        <v>225.53150000000005</v>
      </c>
      <c r="M384" s="79">
        <f>Inputs!$Q$8+L384*0.433</f>
        <v>1922.6551395000001</v>
      </c>
      <c r="N384" s="82">
        <f t="shared" si="113"/>
        <v>130699.92</v>
      </c>
      <c r="O384" s="83">
        <f t="shared" si="114"/>
        <v>712.65949999999998</v>
      </c>
      <c r="P384" s="84">
        <f>IF(O384="","",Inputs!$C$5-O384)</f>
        <v>112.52499999999998</v>
      </c>
      <c r="Q384" s="83">
        <f>IF(N384="","",TS!J384)</f>
        <v>2000</v>
      </c>
      <c r="R384" s="83">
        <f>IF(N384="","",TS!K384)</f>
        <v>1825</v>
      </c>
      <c r="S384" s="83">
        <f>Inputs!$H$5+TS!P384*0.4333</f>
        <v>1923.72279895</v>
      </c>
      <c r="T384" s="83">
        <f>Inputs!$G$5+TS!P384*0.4333</f>
        <v>1938.72279895</v>
      </c>
      <c r="U384" s="85">
        <f t="shared" si="115"/>
        <v>0.969361399475</v>
      </c>
      <c r="V384" s="86">
        <f t="shared" si="124"/>
        <v>0</v>
      </c>
      <c r="W384" s="86">
        <f t="shared" si="125"/>
        <v>0</v>
      </c>
      <c r="X384" s="86" t="e">
        <f>((PI()*((42-2*'Gen Calcs'!$E$13)^2)/4)/144)*(A427-#REF!)*(W384+14.7)/14.7</f>
        <v>#REF!</v>
      </c>
      <c r="Y384" s="86" t="e">
        <f t="shared" si="126"/>
        <v>#REF!</v>
      </c>
      <c r="Z384" s="86" t="e">
        <f t="shared" si="127"/>
        <v>#REF!</v>
      </c>
      <c r="AA384" s="83">
        <f>MAX(B$2:B384)-B384</f>
        <v>112.52499999999998</v>
      </c>
      <c r="AB384" s="83">
        <f t="shared" si="128"/>
        <v>48.723324999999988</v>
      </c>
      <c r="AC384" s="83">
        <f t="shared" si="109"/>
        <v>120</v>
      </c>
      <c r="AD384" s="72">
        <v>120</v>
      </c>
      <c r="AE384" s="73">
        <f t="shared" si="116"/>
        <v>907.92027688745009</v>
      </c>
      <c r="AF384" s="73">
        <f>SUM(AE$2:AE384)</f>
        <v>315538.73621407611</v>
      </c>
      <c r="AG384" s="73">
        <f t="shared" si="117"/>
        <v>858191.16621303302</v>
      </c>
    </row>
    <row r="385" spans="1:33" x14ac:dyDescent="0.25">
      <c r="A385" s="99">
        <v>130799.92</v>
      </c>
      <c r="B385" s="96">
        <v>716.00819999999999</v>
      </c>
      <c r="C385" s="96">
        <v>0.6</v>
      </c>
      <c r="D385" s="80">
        <f t="shared" si="118"/>
        <v>100</v>
      </c>
      <c r="E385" s="81">
        <f t="shared" si="110"/>
        <v>6791.2436711181272</v>
      </c>
      <c r="F385" s="81">
        <f>SUM(E$2:E385)</f>
        <v>2364702.6276847194</v>
      </c>
      <c r="G385" s="43">
        <f t="shared" si="108"/>
        <v>1</v>
      </c>
      <c r="H385" s="78">
        <v>1</v>
      </c>
      <c r="I385" s="15">
        <f t="shared" si="111"/>
        <v>0.6</v>
      </c>
      <c r="J385" s="16">
        <f>VLOOKUP(G385,Inputs!$L$3:$P$15,5,FALSE)</f>
        <v>2000</v>
      </c>
      <c r="K385" s="16">
        <f t="shared" si="112"/>
        <v>1825</v>
      </c>
      <c r="L385" s="79">
        <f>Inputs!$P$8-B385</f>
        <v>222.18280000000004</v>
      </c>
      <c r="M385" s="79">
        <f>Inputs!$Q$8+L385*0.433</f>
        <v>1921.2051524000001</v>
      </c>
      <c r="N385" s="82">
        <f t="shared" si="113"/>
        <v>130799.92</v>
      </c>
      <c r="O385" s="83">
        <f t="shared" si="114"/>
        <v>716.00819999999999</v>
      </c>
      <c r="P385" s="84">
        <f>IF(O385="","",Inputs!$C$5-O385)</f>
        <v>109.17629999999997</v>
      </c>
      <c r="Q385" s="83">
        <f>IF(N385="","",TS!J385)</f>
        <v>2000</v>
      </c>
      <c r="R385" s="83">
        <f>IF(N385="","",TS!K385)</f>
        <v>1825</v>
      </c>
      <c r="S385" s="83">
        <f>Inputs!$H$5+TS!P385*0.4333</f>
        <v>1922.27180724</v>
      </c>
      <c r="T385" s="83">
        <f>Inputs!$G$5+TS!P385*0.4333</f>
        <v>1937.27180724</v>
      </c>
      <c r="U385" s="85">
        <f t="shared" si="115"/>
        <v>0.96863590362000007</v>
      </c>
      <c r="V385" s="86">
        <f t="shared" si="124"/>
        <v>0</v>
      </c>
      <c r="W385" s="86">
        <f t="shared" si="125"/>
        <v>0</v>
      </c>
      <c r="X385" s="86" t="e">
        <f>((PI()*((42-2*'Gen Calcs'!$E$13)^2)/4)/144)*(A428-#REF!)*(W385+14.7)/14.7</f>
        <v>#REF!</v>
      </c>
      <c r="Y385" s="86" t="e">
        <f t="shared" si="126"/>
        <v>#REF!</v>
      </c>
      <c r="Z385" s="86" t="e">
        <f t="shared" si="127"/>
        <v>#REF!</v>
      </c>
      <c r="AA385" s="83">
        <f>MAX(B$2:B385)-B385</f>
        <v>109.17629999999997</v>
      </c>
      <c r="AB385" s="83">
        <f t="shared" si="128"/>
        <v>47.273337899999987</v>
      </c>
      <c r="AC385" s="83">
        <f t="shared" si="109"/>
        <v>120</v>
      </c>
      <c r="AD385" s="72">
        <v>120</v>
      </c>
      <c r="AE385" s="73">
        <f t="shared" si="116"/>
        <v>907.92027688745009</v>
      </c>
      <c r="AF385" s="73">
        <f>SUM(AE$2:AE385)</f>
        <v>316446.65649096353</v>
      </c>
      <c r="AG385" s="73">
        <f t="shared" si="117"/>
        <v>857283.24593614566</v>
      </c>
    </row>
    <row r="386" spans="1:33" x14ac:dyDescent="0.25">
      <c r="A386" s="100">
        <v>130899.92</v>
      </c>
      <c r="B386" s="97">
        <v>718.1413</v>
      </c>
      <c r="C386" s="97">
        <v>0.6</v>
      </c>
      <c r="D386" s="80">
        <f t="shared" si="118"/>
        <v>100</v>
      </c>
      <c r="E386" s="81">
        <f t="shared" si="110"/>
        <v>6791.2436711181272</v>
      </c>
      <c r="F386" s="81">
        <f>SUM(E$2:E386)</f>
        <v>2371493.8713558377</v>
      </c>
      <c r="G386" s="43">
        <f t="shared" si="108"/>
        <v>1</v>
      </c>
      <c r="H386" s="78">
        <v>1</v>
      </c>
      <c r="I386" s="15">
        <f t="shared" si="111"/>
        <v>0.6</v>
      </c>
      <c r="J386" s="16">
        <f>VLOOKUP(G386,Inputs!$L$3:$P$15,5,FALSE)</f>
        <v>2000</v>
      </c>
      <c r="K386" s="16">
        <f t="shared" si="112"/>
        <v>1825</v>
      </c>
      <c r="L386" s="79">
        <f>Inputs!$P$8-B386</f>
        <v>220.04970000000003</v>
      </c>
      <c r="M386" s="79">
        <f>Inputs!$Q$8+L386*0.433</f>
        <v>1920.2815201000001</v>
      </c>
      <c r="N386" s="82">
        <f t="shared" si="113"/>
        <v>130899.92</v>
      </c>
      <c r="O386" s="83">
        <f t="shared" si="114"/>
        <v>718.1413</v>
      </c>
      <c r="P386" s="84">
        <f>IF(O386="","",Inputs!$C$5-O386)</f>
        <v>107.04319999999996</v>
      </c>
      <c r="Q386" s="83">
        <f>IF(N386="","",TS!J386)</f>
        <v>2000</v>
      </c>
      <c r="R386" s="83">
        <f>IF(N386="","",TS!K386)</f>
        <v>1825</v>
      </c>
      <c r="S386" s="83">
        <f>Inputs!$H$5+TS!P386*0.4333</f>
        <v>1921.34753501</v>
      </c>
      <c r="T386" s="83">
        <f>Inputs!$G$5+TS!P386*0.4333</f>
        <v>1936.34753501</v>
      </c>
      <c r="U386" s="85">
        <f t="shared" si="115"/>
        <v>0.96817376750499995</v>
      </c>
      <c r="V386" s="86">
        <f t="shared" si="124"/>
        <v>0</v>
      </c>
      <c r="W386" s="86">
        <f t="shared" si="125"/>
        <v>0</v>
      </c>
      <c r="X386" s="86" t="e">
        <f>((PI()*((42-2*'Gen Calcs'!$E$13)^2)/4)/144)*(A429-#REF!)*(W386+14.7)/14.7</f>
        <v>#REF!</v>
      </c>
      <c r="Y386" s="86" t="e">
        <f t="shared" si="126"/>
        <v>#REF!</v>
      </c>
      <c r="Z386" s="86" t="e">
        <f t="shared" si="127"/>
        <v>#REF!</v>
      </c>
      <c r="AA386" s="83">
        <f>MAX(B$2:B386)-B386</f>
        <v>107.04319999999996</v>
      </c>
      <c r="AB386" s="83">
        <f t="shared" si="128"/>
        <v>46.349705599999979</v>
      </c>
      <c r="AC386" s="83">
        <f t="shared" si="109"/>
        <v>120</v>
      </c>
      <c r="AD386" s="72">
        <v>120</v>
      </c>
      <c r="AE386" s="73">
        <f t="shared" si="116"/>
        <v>907.92027688745009</v>
      </c>
      <c r="AF386" s="73">
        <f>SUM(AE$2:AE386)</f>
        <v>317354.57676785096</v>
      </c>
      <c r="AG386" s="73">
        <f t="shared" si="117"/>
        <v>856375.32565925829</v>
      </c>
    </row>
    <row r="387" spans="1:33" x14ac:dyDescent="0.25">
      <c r="A387" s="99">
        <v>130999.92</v>
      </c>
      <c r="B387" s="96">
        <v>721.80759999999998</v>
      </c>
      <c r="C387" s="96">
        <v>0.6</v>
      </c>
      <c r="D387" s="80">
        <f t="shared" si="118"/>
        <v>100</v>
      </c>
      <c r="E387" s="81">
        <f t="shared" si="110"/>
        <v>6791.2436711181272</v>
      </c>
      <c r="F387" s="81">
        <f>SUM(E$2:E387)</f>
        <v>2378285.115026956</v>
      </c>
      <c r="G387" s="43">
        <f t="shared" ref="G387:G450" si="129">IF(C387=0.72,12,IF(C387=1,11,IF(C387=0.825,10,IF(C387=0.6,1,IF(C387=0.864,2,IF(C387=0.888,3))))))</f>
        <v>1</v>
      </c>
      <c r="H387" s="78">
        <v>1</v>
      </c>
      <c r="I387" s="15">
        <f t="shared" si="111"/>
        <v>0.6</v>
      </c>
      <c r="J387" s="16">
        <f>VLOOKUP(G387,Inputs!$L$3:$P$15,5,FALSE)</f>
        <v>2000</v>
      </c>
      <c r="K387" s="16">
        <f t="shared" si="112"/>
        <v>1825</v>
      </c>
      <c r="L387" s="79">
        <f>Inputs!$P$8-B387</f>
        <v>216.38340000000005</v>
      </c>
      <c r="M387" s="79">
        <f>Inputs!$Q$8+L387*0.433</f>
        <v>1918.6940122000001</v>
      </c>
      <c r="N387" s="82">
        <f t="shared" si="113"/>
        <v>130999.92</v>
      </c>
      <c r="O387" s="83">
        <f t="shared" si="114"/>
        <v>721.80759999999998</v>
      </c>
      <c r="P387" s="84">
        <f>IF(O387="","",Inputs!$C$5-O387)</f>
        <v>103.37689999999998</v>
      </c>
      <c r="Q387" s="83">
        <f>IF(N387="","",TS!J387)</f>
        <v>2000</v>
      </c>
      <c r="R387" s="83">
        <f>IF(N387="","",TS!K387)</f>
        <v>1825</v>
      </c>
      <c r="S387" s="83">
        <f>Inputs!$H$5+TS!P387*0.4333</f>
        <v>1919.75892722</v>
      </c>
      <c r="T387" s="83">
        <f>Inputs!$G$5+TS!P387*0.4333</f>
        <v>1934.75892722</v>
      </c>
      <c r="U387" s="85">
        <f t="shared" si="115"/>
        <v>0.96737946361000005</v>
      </c>
      <c r="V387" s="86">
        <f t="shared" si="124"/>
        <v>0</v>
      </c>
      <c r="W387" s="86">
        <f t="shared" si="125"/>
        <v>0</v>
      </c>
      <c r="X387" s="86" t="e">
        <f>((PI()*((42-2*'Gen Calcs'!$E$13)^2)/4)/144)*(A430-#REF!)*(W387+14.7)/14.7</f>
        <v>#REF!</v>
      </c>
      <c r="Y387" s="86" t="e">
        <f t="shared" si="126"/>
        <v>#REF!</v>
      </c>
      <c r="Z387" s="86" t="e">
        <f t="shared" si="127"/>
        <v>#REF!</v>
      </c>
      <c r="AA387" s="83">
        <f>MAX(B$2:B387)-B387</f>
        <v>103.37689999999998</v>
      </c>
      <c r="AB387" s="83">
        <f t="shared" si="128"/>
        <v>44.762197699999987</v>
      </c>
      <c r="AC387" s="83">
        <f t="shared" ref="AC387:AC450" si="130">((MAX(O$2:O$1348)-O387)-(MAX(O$2:O$1348)-O387))*0.433+AD387</f>
        <v>120</v>
      </c>
      <c r="AD387" s="72">
        <v>120</v>
      </c>
      <c r="AE387" s="73">
        <f t="shared" si="116"/>
        <v>907.92027688745009</v>
      </c>
      <c r="AF387" s="73">
        <f>SUM(AE$2:AE387)</f>
        <v>318262.49704473838</v>
      </c>
      <c r="AG387" s="73">
        <f t="shared" si="117"/>
        <v>855467.40538237081</v>
      </c>
    </row>
    <row r="388" spans="1:33" x14ac:dyDescent="0.25">
      <c r="A388" s="100">
        <v>131099.92000000001</v>
      </c>
      <c r="B388" s="97">
        <v>727.02959999999996</v>
      </c>
      <c r="C388" s="97">
        <v>0.6</v>
      </c>
      <c r="D388" s="80">
        <f t="shared" si="118"/>
        <v>100.00000000001455</v>
      </c>
      <c r="E388" s="81">
        <f t="shared" si="110"/>
        <v>6791.2436711191149</v>
      </c>
      <c r="F388" s="81">
        <f>SUM(E$2:E388)</f>
        <v>2385076.3586980752</v>
      </c>
      <c r="G388" s="43">
        <f t="shared" si="129"/>
        <v>1</v>
      </c>
      <c r="H388" s="78">
        <v>1</v>
      </c>
      <c r="I388" s="15">
        <f t="shared" si="111"/>
        <v>0.6</v>
      </c>
      <c r="J388" s="16">
        <f>VLOOKUP(G388,Inputs!$L$3:$P$15,5,FALSE)</f>
        <v>2000</v>
      </c>
      <c r="K388" s="16">
        <f t="shared" si="112"/>
        <v>1825</v>
      </c>
      <c r="L388" s="79">
        <f>Inputs!$P$8-B388</f>
        <v>211.16140000000007</v>
      </c>
      <c r="M388" s="79">
        <f>Inputs!$Q$8+L388*0.433</f>
        <v>1916.4328862</v>
      </c>
      <c r="N388" s="82">
        <f t="shared" si="113"/>
        <v>131099.92000000001</v>
      </c>
      <c r="O388" s="83">
        <f t="shared" si="114"/>
        <v>727.02959999999996</v>
      </c>
      <c r="P388" s="84">
        <f>IF(O388="","",Inputs!$C$5-O388)</f>
        <v>98.154899999999998</v>
      </c>
      <c r="Q388" s="83">
        <f>IF(N388="","",TS!J388)</f>
        <v>2000</v>
      </c>
      <c r="R388" s="83">
        <f>IF(N388="","",TS!K388)</f>
        <v>1825</v>
      </c>
      <c r="S388" s="83">
        <f>Inputs!$H$5+TS!P388*0.4333</f>
        <v>1917.49623462</v>
      </c>
      <c r="T388" s="83">
        <f>Inputs!$G$5+TS!P388*0.4333</f>
        <v>1932.49623462</v>
      </c>
      <c r="U388" s="85">
        <f t="shared" si="115"/>
        <v>0.96624811731000004</v>
      </c>
      <c r="V388" s="86">
        <f t="shared" si="124"/>
        <v>0</v>
      </c>
      <c r="W388" s="86">
        <f t="shared" si="125"/>
        <v>0</v>
      </c>
      <c r="X388" s="86" t="e">
        <f>((PI()*((42-2*'Gen Calcs'!$E$13)^2)/4)/144)*(A431-#REF!)*(W388+14.7)/14.7</f>
        <v>#REF!</v>
      </c>
      <c r="Y388" s="86" t="e">
        <f t="shared" si="126"/>
        <v>#REF!</v>
      </c>
      <c r="Z388" s="86" t="e">
        <f t="shared" si="127"/>
        <v>#REF!</v>
      </c>
      <c r="AA388" s="83">
        <f>MAX(B$2:B388)-B388</f>
        <v>98.154899999999998</v>
      </c>
      <c r="AB388" s="83">
        <f t="shared" si="128"/>
        <v>42.501071699999997</v>
      </c>
      <c r="AC388" s="83">
        <f t="shared" si="130"/>
        <v>120</v>
      </c>
      <c r="AD388" s="72">
        <v>120</v>
      </c>
      <c r="AE388" s="73">
        <f t="shared" si="116"/>
        <v>907.92027688758219</v>
      </c>
      <c r="AF388" s="73">
        <f>SUM(AE$2:AE388)</f>
        <v>319170.41732162598</v>
      </c>
      <c r="AG388" s="73">
        <f t="shared" si="117"/>
        <v>854559.48510548321</v>
      </c>
    </row>
    <row r="389" spans="1:33" x14ac:dyDescent="0.25">
      <c r="A389" s="99">
        <v>131199.92000000001</v>
      </c>
      <c r="B389" s="96">
        <v>727.85640000000001</v>
      </c>
      <c r="C389" s="96">
        <v>0.6</v>
      </c>
      <c r="D389" s="80">
        <f t="shared" si="118"/>
        <v>100</v>
      </c>
      <c r="E389" s="81">
        <f t="shared" ref="E389:E452" si="131">(PI()/4*(42/12-(2*C431/12))^2)*(D389)*7.48</f>
        <v>6791.2436711181272</v>
      </c>
      <c r="F389" s="81">
        <f>SUM(E$2:E389)</f>
        <v>2391867.6023691935</v>
      </c>
      <c r="G389" s="43">
        <f t="shared" si="129"/>
        <v>1</v>
      </c>
      <c r="H389" s="78">
        <v>1</v>
      </c>
      <c r="I389" s="15">
        <f t="shared" ref="I389:I452" si="132">C389</f>
        <v>0.6</v>
      </c>
      <c r="J389" s="16">
        <f>VLOOKUP(G389,Inputs!$L$3:$P$15,5,FALSE)</f>
        <v>2000</v>
      </c>
      <c r="K389" s="16">
        <f t="shared" ref="K389:K452" si="133">IF(H389=1,1825,IF(H389=2,1825,2220))</f>
        <v>1825</v>
      </c>
      <c r="L389" s="79">
        <f>Inputs!$P$8-B389</f>
        <v>210.33460000000002</v>
      </c>
      <c r="M389" s="79">
        <f>Inputs!$Q$8+L389*0.433</f>
        <v>1916.0748818</v>
      </c>
      <c r="N389" s="82">
        <f t="shared" ref="N389:N452" si="134">A389</f>
        <v>131199.92000000001</v>
      </c>
      <c r="O389" s="83">
        <f t="shared" ref="O389:O452" si="135">B389</f>
        <v>727.85640000000001</v>
      </c>
      <c r="P389" s="84">
        <f>IF(O389="","",Inputs!$C$5-O389)</f>
        <v>97.328099999999949</v>
      </c>
      <c r="Q389" s="83">
        <f>IF(N389="","",TS!J389)</f>
        <v>2000</v>
      </c>
      <c r="R389" s="83">
        <f>IF(N389="","",TS!K389)</f>
        <v>1825</v>
      </c>
      <c r="S389" s="83">
        <f>Inputs!$H$5+TS!P389*0.4333</f>
        <v>1917.1379821799999</v>
      </c>
      <c r="T389" s="83">
        <f>Inputs!$G$5+TS!P389*0.4333</f>
        <v>1932.1379821799999</v>
      </c>
      <c r="U389" s="85">
        <f t="shared" ref="U389:U452" si="136">T389/(140000*C389/42)</f>
        <v>0.96606899109</v>
      </c>
      <c r="V389" s="86">
        <f t="shared" si="124"/>
        <v>0</v>
      </c>
      <c r="W389" s="86">
        <f t="shared" si="125"/>
        <v>0</v>
      </c>
      <c r="X389" s="86" t="e">
        <f>((PI()*((42-2*'Gen Calcs'!$E$13)^2)/4)/144)*(A432-#REF!)*(W389+14.7)/14.7</f>
        <v>#REF!</v>
      </c>
      <c r="Y389" s="86" t="e">
        <f t="shared" si="126"/>
        <v>#REF!</v>
      </c>
      <c r="Z389" s="86" t="e">
        <f t="shared" si="127"/>
        <v>#REF!</v>
      </c>
      <c r="AA389" s="83">
        <f>MAX(B$2:B389)-B389</f>
        <v>97.328099999999949</v>
      </c>
      <c r="AB389" s="83">
        <f t="shared" si="128"/>
        <v>42.143067299999977</v>
      </c>
      <c r="AC389" s="83">
        <f t="shared" si="130"/>
        <v>120</v>
      </c>
      <c r="AD389" s="72">
        <v>120</v>
      </c>
      <c r="AE389" s="73">
        <f t="shared" ref="AE389:AE452" si="137">PI()*(((42-2*C389)/12)^2/4)*D389</f>
        <v>907.92027688745009</v>
      </c>
      <c r="AF389" s="73">
        <f>SUM(AE$2:AE389)</f>
        <v>320078.3375985134</v>
      </c>
      <c r="AG389" s="73">
        <f t="shared" ref="AG389:AG452" si="138">AF$1391-AF389</f>
        <v>853651.56482859585</v>
      </c>
    </row>
    <row r="390" spans="1:33" x14ac:dyDescent="0.25">
      <c r="A390" s="100">
        <v>131299.92000000001</v>
      </c>
      <c r="B390" s="97">
        <v>730.98630000000003</v>
      </c>
      <c r="C390" s="97">
        <v>0.6</v>
      </c>
      <c r="D390" s="80">
        <f t="shared" si="118"/>
        <v>100</v>
      </c>
      <c r="E390" s="81">
        <f t="shared" si="131"/>
        <v>6791.2436711181272</v>
      </c>
      <c r="F390" s="81">
        <f>SUM(E$2:E390)</f>
        <v>2398658.8460403117</v>
      </c>
      <c r="G390" s="43">
        <f t="shared" si="129"/>
        <v>1</v>
      </c>
      <c r="H390" s="78">
        <v>1</v>
      </c>
      <c r="I390" s="15">
        <f t="shared" si="132"/>
        <v>0.6</v>
      </c>
      <c r="J390" s="16">
        <f>VLOOKUP(G390,Inputs!$L$3:$P$15,5,FALSE)</f>
        <v>2000</v>
      </c>
      <c r="K390" s="16">
        <f t="shared" si="133"/>
        <v>1825</v>
      </c>
      <c r="L390" s="79">
        <f>Inputs!$P$8-B390</f>
        <v>207.2047</v>
      </c>
      <c r="M390" s="79">
        <f>Inputs!$Q$8+L390*0.433</f>
        <v>1914.7196351</v>
      </c>
      <c r="N390" s="82">
        <f t="shared" si="134"/>
        <v>131299.92000000001</v>
      </c>
      <c r="O390" s="83">
        <f t="shared" si="135"/>
        <v>730.98630000000003</v>
      </c>
      <c r="P390" s="84">
        <f>IF(O390="","",Inputs!$C$5-O390)</f>
        <v>94.198199999999929</v>
      </c>
      <c r="Q390" s="83">
        <f>IF(N390="","",TS!J390)</f>
        <v>2000</v>
      </c>
      <c r="R390" s="83">
        <f>IF(N390="","",TS!K390)</f>
        <v>1825</v>
      </c>
      <c r="S390" s="83">
        <f>Inputs!$H$5+TS!P390*0.4333</f>
        <v>1915.7817965099998</v>
      </c>
      <c r="T390" s="83">
        <f>Inputs!$G$5+TS!P390*0.4333</f>
        <v>1930.7817965099998</v>
      </c>
      <c r="U390" s="85">
        <f t="shared" si="136"/>
        <v>0.96539089825499991</v>
      </c>
      <c r="V390" s="86">
        <f t="shared" si="124"/>
        <v>0</v>
      </c>
      <c r="W390" s="86">
        <f t="shared" si="125"/>
        <v>0</v>
      </c>
      <c r="X390" s="86" t="e">
        <f>((PI()*((42-2*'Gen Calcs'!$E$13)^2)/4)/144)*(A433-#REF!)*(W390+14.7)/14.7</f>
        <v>#REF!</v>
      </c>
      <c r="Y390" s="86" t="e">
        <f t="shared" si="126"/>
        <v>#REF!</v>
      </c>
      <c r="Z390" s="86" t="e">
        <f t="shared" si="127"/>
        <v>#REF!</v>
      </c>
      <c r="AA390" s="83">
        <f>MAX(B$2:B390)-B390</f>
        <v>94.198199999999929</v>
      </c>
      <c r="AB390" s="83">
        <f t="shared" si="128"/>
        <v>40.787820599999968</v>
      </c>
      <c r="AC390" s="83">
        <f t="shared" si="130"/>
        <v>120</v>
      </c>
      <c r="AD390" s="72">
        <v>120</v>
      </c>
      <c r="AE390" s="73">
        <f t="shared" si="137"/>
        <v>907.92027688745009</v>
      </c>
      <c r="AF390" s="73">
        <f>SUM(AE$2:AE390)</f>
        <v>320986.25787540083</v>
      </c>
      <c r="AG390" s="73">
        <f t="shared" si="138"/>
        <v>852743.64455170836</v>
      </c>
    </row>
    <row r="391" spans="1:33" x14ac:dyDescent="0.25">
      <c r="A391" s="99">
        <v>131399.92000000001</v>
      </c>
      <c r="B391" s="96">
        <v>732.49530000000004</v>
      </c>
      <c r="C391" s="96">
        <v>0.6</v>
      </c>
      <c r="D391" s="80">
        <f t="shared" si="118"/>
        <v>100</v>
      </c>
      <c r="E391" s="81">
        <f t="shared" si="131"/>
        <v>6791.2436711181272</v>
      </c>
      <c r="F391" s="81">
        <f>SUM(E$2:E391)</f>
        <v>2405450.08971143</v>
      </c>
      <c r="G391" s="43">
        <f t="shared" si="129"/>
        <v>1</v>
      </c>
      <c r="H391" s="78">
        <v>1</v>
      </c>
      <c r="I391" s="15">
        <f t="shared" si="132"/>
        <v>0.6</v>
      </c>
      <c r="J391" s="16">
        <f>VLOOKUP(G391,Inputs!$L$3:$P$15,5,FALSE)</f>
        <v>2000</v>
      </c>
      <c r="K391" s="16">
        <f t="shared" si="133"/>
        <v>1825</v>
      </c>
      <c r="L391" s="79">
        <f>Inputs!$P$8-B391</f>
        <v>205.69569999999999</v>
      </c>
      <c r="M391" s="79">
        <f>Inputs!$Q$8+L391*0.433</f>
        <v>1914.0662381</v>
      </c>
      <c r="N391" s="82">
        <f t="shared" si="134"/>
        <v>131399.92000000001</v>
      </c>
      <c r="O391" s="83">
        <f t="shared" si="135"/>
        <v>732.49530000000004</v>
      </c>
      <c r="P391" s="84">
        <f>IF(O391="","",Inputs!$C$5-O391)</f>
        <v>92.689199999999914</v>
      </c>
      <c r="Q391" s="83">
        <f>IF(N391="","",TS!J391)</f>
        <v>2000</v>
      </c>
      <c r="R391" s="83">
        <f>IF(N391="","",TS!K391)</f>
        <v>1825</v>
      </c>
      <c r="S391" s="83">
        <f>Inputs!$H$5+TS!P391*0.4333</f>
        <v>1915.1279468099999</v>
      </c>
      <c r="T391" s="83">
        <f>Inputs!$G$5+TS!P391*0.4333</f>
        <v>1930.1279468099999</v>
      </c>
      <c r="U391" s="85">
        <f t="shared" si="136"/>
        <v>0.96506397340499994</v>
      </c>
      <c r="V391" s="86">
        <f t="shared" si="124"/>
        <v>0</v>
      </c>
      <c r="W391" s="86">
        <f t="shared" si="125"/>
        <v>0</v>
      </c>
      <c r="X391" s="86" t="e">
        <f>((PI()*((42-2*'Gen Calcs'!$E$13)^2)/4)/144)*(A434-#REF!)*(W391+14.7)/14.7</f>
        <v>#REF!</v>
      </c>
      <c r="Y391" s="86" t="e">
        <f t="shared" si="126"/>
        <v>#REF!</v>
      </c>
      <c r="Z391" s="86" t="e">
        <f t="shared" si="127"/>
        <v>#REF!</v>
      </c>
      <c r="AA391" s="83">
        <f>MAX(B$2:B391)-B391</f>
        <v>92.689199999999914</v>
      </c>
      <c r="AB391" s="83">
        <f t="shared" si="128"/>
        <v>40.134423599999963</v>
      </c>
      <c r="AC391" s="83">
        <f t="shared" si="130"/>
        <v>120</v>
      </c>
      <c r="AD391" s="72">
        <v>120</v>
      </c>
      <c r="AE391" s="73">
        <f t="shared" si="137"/>
        <v>907.92027688745009</v>
      </c>
      <c r="AF391" s="73">
        <f>SUM(AE$2:AE391)</f>
        <v>321894.17815228825</v>
      </c>
      <c r="AG391" s="73">
        <f t="shared" si="138"/>
        <v>851835.72427482088</v>
      </c>
    </row>
    <row r="392" spans="1:33" x14ac:dyDescent="0.25">
      <c r="A392" s="100">
        <v>131482.9</v>
      </c>
      <c r="B392" s="97">
        <v>732.49530000000004</v>
      </c>
      <c r="C392" s="97">
        <v>0.86399999999999999</v>
      </c>
      <c r="D392" s="80">
        <f t="shared" si="118"/>
        <v>82.979999999981374</v>
      </c>
      <c r="E392" s="81">
        <f t="shared" si="131"/>
        <v>5635.3739982925572</v>
      </c>
      <c r="F392" s="81">
        <f>SUM(E$2:E392)</f>
        <v>2411085.4637097227</v>
      </c>
      <c r="G392" s="43">
        <f t="shared" si="129"/>
        <v>2</v>
      </c>
      <c r="H392" s="78">
        <v>1</v>
      </c>
      <c r="I392" s="15">
        <f t="shared" si="132"/>
        <v>0.86399999999999999</v>
      </c>
      <c r="J392" s="16">
        <f>VLOOKUP(G392,Inputs!$L$3:$P$15,5,FALSE)</f>
        <v>2880</v>
      </c>
      <c r="K392" s="16">
        <f t="shared" si="133"/>
        <v>1825</v>
      </c>
      <c r="L392" s="79">
        <f>Inputs!$P$8-B392</f>
        <v>205.69569999999999</v>
      </c>
      <c r="M392" s="79">
        <f>Inputs!$Q$8+L392*0.433</f>
        <v>1914.0662381</v>
      </c>
      <c r="N392" s="82">
        <f t="shared" si="134"/>
        <v>131482.9</v>
      </c>
      <c r="O392" s="83">
        <f t="shared" si="135"/>
        <v>732.49530000000004</v>
      </c>
      <c r="P392" s="84">
        <f>IF(O392="","",Inputs!$C$5-O392)</f>
        <v>92.689199999999914</v>
      </c>
      <c r="Q392" s="83">
        <f>IF(N392="","",TS!J392)</f>
        <v>2880</v>
      </c>
      <c r="R392" s="83">
        <f>IF(N392="","",TS!K392)</f>
        <v>1825</v>
      </c>
      <c r="S392" s="83">
        <f>Inputs!$H$5+TS!P392*0.4333</f>
        <v>1915.1279468099999</v>
      </c>
      <c r="T392" s="83">
        <f>Inputs!$G$5+TS!P392*0.4333</f>
        <v>1930.1279468099999</v>
      </c>
      <c r="U392" s="85">
        <f t="shared" si="136"/>
        <v>0.67018331486458327</v>
      </c>
      <c r="V392" s="86">
        <f t="shared" si="124"/>
        <v>0</v>
      </c>
      <c r="W392" s="86">
        <f t="shared" si="125"/>
        <v>0</v>
      </c>
      <c r="X392" s="86" t="e">
        <f>((PI()*((42-2*'Gen Calcs'!$E$13)^2)/4)/144)*(A435-#REF!)*(W392+14.7)/14.7</f>
        <v>#REF!</v>
      </c>
      <c r="Y392" s="86" t="e">
        <f t="shared" si="126"/>
        <v>#REF!</v>
      </c>
      <c r="Z392" s="86" t="e">
        <f t="shared" si="127"/>
        <v>#REF!</v>
      </c>
      <c r="AA392" s="83">
        <f>MAX(B$2:B392)-B392</f>
        <v>92.689199999999914</v>
      </c>
      <c r="AB392" s="83">
        <f t="shared" si="128"/>
        <v>40.134423599999963</v>
      </c>
      <c r="AC392" s="83">
        <f t="shared" si="130"/>
        <v>120</v>
      </c>
      <c r="AD392" s="72">
        <v>120</v>
      </c>
      <c r="AE392" s="73">
        <f t="shared" si="137"/>
        <v>734.0188554025674</v>
      </c>
      <c r="AF392" s="73">
        <f>SUM(AE$2:AE392)</f>
        <v>322628.19700769085</v>
      </c>
      <c r="AG392" s="73">
        <f t="shared" si="138"/>
        <v>851101.7054194184</v>
      </c>
    </row>
    <row r="393" spans="1:33" x14ac:dyDescent="0.25">
      <c r="A393" s="99">
        <v>131499.92000000001</v>
      </c>
      <c r="B393" s="96">
        <v>733.64909999999998</v>
      </c>
      <c r="C393" s="96">
        <v>0.6</v>
      </c>
      <c r="D393" s="80">
        <f t="shared" si="118"/>
        <v>17.020000000018626</v>
      </c>
      <c r="E393" s="81">
        <f t="shared" si="131"/>
        <v>1155.8696728255702</v>
      </c>
      <c r="F393" s="81">
        <f>SUM(E$2:E393)</f>
        <v>2412241.3333825483</v>
      </c>
      <c r="G393" s="43">
        <f t="shared" si="129"/>
        <v>1</v>
      </c>
      <c r="H393" s="78">
        <v>1</v>
      </c>
      <c r="I393" s="15">
        <f t="shared" si="132"/>
        <v>0.6</v>
      </c>
      <c r="J393" s="16">
        <f>VLOOKUP(G393,Inputs!$L$3:$P$15,5,FALSE)</f>
        <v>2000</v>
      </c>
      <c r="K393" s="16">
        <f t="shared" si="133"/>
        <v>1825</v>
      </c>
      <c r="L393" s="79">
        <f>Inputs!$P$8-B393</f>
        <v>204.54190000000006</v>
      </c>
      <c r="M393" s="79">
        <f>Inputs!$Q$8+L393*0.433</f>
        <v>1913.5666427000001</v>
      </c>
      <c r="N393" s="82">
        <f t="shared" si="134"/>
        <v>131499.92000000001</v>
      </c>
      <c r="O393" s="83">
        <f t="shared" si="135"/>
        <v>733.64909999999998</v>
      </c>
      <c r="P393" s="84">
        <f>IF(O393="","",Inputs!$C$5-O393)</f>
        <v>91.535399999999981</v>
      </c>
      <c r="Q393" s="83">
        <f>IF(N393="","",TS!J393)</f>
        <v>2000</v>
      </c>
      <c r="R393" s="83">
        <f>IF(N393="","",TS!K393)</f>
        <v>1825</v>
      </c>
      <c r="S393" s="83">
        <f>Inputs!$H$5+TS!P393*0.4333</f>
        <v>1914.6280052699999</v>
      </c>
      <c r="T393" s="83">
        <f>Inputs!$G$5+TS!P393*0.4333</f>
        <v>1929.6280052699999</v>
      </c>
      <c r="U393" s="85">
        <f t="shared" si="136"/>
        <v>0.96481400263499995</v>
      </c>
      <c r="V393" s="86">
        <f t="shared" si="124"/>
        <v>0</v>
      </c>
      <c r="W393" s="86">
        <f t="shared" si="125"/>
        <v>0</v>
      </c>
      <c r="X393" s="86" t="e">
        <f>((PI()*((42-2*'Gen Calcs'!$E$13)^2)/4)/144)*(A436-#REF!)*(W393+14.7)/14.7</f>
        <v>#REF!</v>
      </c>
      <c r="Y393" s="86" t="e">
        <f t="shared" si="126"/>
        <v>#REF!</v>
      </c>
      <c r="Z393" s="86" t="e">
        <f t="shared" si="127"/>
        <v>#REF!</v>
      </c>
      <c r="AA393" s="83">
        <f>MAX(B$2:B393)-B393</f>
        <v>91.535399999999981</v>
      </c>
      <c r="AB393" s="83">
        <f t="shared" si="128"/>
        <v>39.634828199999994</v>
      </c>
      <c r="AC393" s="83">
        <f t="shared" si="130"/>
        <v>120</v>
      </c>
      <c r="AD393" s="72">
        <v>120</v>
      </c>
      <c r="AE393" s="73">
        <f t="shared" si="137"/>
        <v>154.52803112641311</v>
      </c>
      <c r="AF393" s="73">
        <f>SUM(AE$2:AE393)</f>
        <v>322782.72503881727</v>
      </c>
      <c r="AG393" s="73">
        <f t="shared" si="138"/>
        <v>850947.17738829192</v>
      </c>
    </row>
    <row r="394" spans="1:33" x14ac:dyDescent="0.25">
      <c r="A394" s="100">
        <v>131562.9</v>
      </c>
      <c r="B394" s="97">
        <v>733.64909999999998</v>
      </c>
      <c r="C394" s="97">
        <v>0.86399999999999999</v>
      </c>
      <c r="D394" s="80">
        <f t="shared" si="118"/>
        <v>62.979999999981374</v>
      </c>
      <c r="E394" s="81">
        <f t="shared" si="131"/>
        <v>4277.1252640689318</v>
      </c>
      <c r="F394" s="81">
        <f>SUM(E$2:E394)</f>
        <v>2416518.4586466174</v>
      </c>
      <c r="G394" s="43">
        <f t="shared" si="129"/>
        <v>2</v>
      </c>
      <c r="H394" s="78">
        <v>1</v>
      </c>
      <c r="I394" s="15">
        <f t="shared" si="132"/>
        <v>0.86399999999999999</v>
      </c>
      <c r="J394" s="16">
        <f>VLOOKUP(G394,Inputs!$L$3:$P$15,5,FALSE)</f>
        <v>2880</v>
      </c>
      <c r="K394" s="16">
        <f t="shared" si="133"/>
        <v>1825</v>
      </c>
      <c r="L394" s="79">
        <f>Inputs!$P$8-B394</f>
        <v>204.54190000000006</v>
      </c>
      <c r="M394" s="79">
        <f>Inputs!$Q$8+L394*0.433</f>
        <v>1913.5666427000001</v>
      </c>
      <c r="N394" s="82">
        <f t="shared" si="134"/>
        <v>131562.9</v>
      </c>
      <c r="O394" s="83">
        <f t="shared" si="135"/>
        <v>733.64909999999998</v>
      </c>
      <c r="P394" s="84">
        <f>IF(O394="","",Inputs!$C$5-O394)</f>
        <v>91.535399999999981</v>
      </c>
      <c r="Q394" s="83">
        <f>IF(N394="","",TS!J394)</f>
        <v>2880</v>
      </c>
      <c r="R394" s="83">
        <f>IF(N394="","",TS!K394)</f>
        <v>1825</v>
      </c>
      <c r="S394" s="83">
        <f>Inputs!$H$5+TS!P394*0.4333</f>
        <v>1914.6280052699999</v>
      </c>
      <c r="T394" s="83">
        <f>Inputs!$G$5+TS!P394*0.4333</f>
        <v>1929.6280052699999</v>
      </c>
      <c r="U394" s="85">
        <f t="shared" si="136"/>
        <v>0.67000972405208326</v>
      </c>
      <c r="V394" s="86">
        <f t="shared" si="124"/>
        <v>0</v>
      </c>
      <c r="W394" s="86">
        <f t="shared" si="125"/>
        <v>0</v>
      </c>
      <c r="X394" s="86" t="e">
        <f>((PI()*((42-2*'Gen Calcs'!$E$13)^2)/4)/144)*(A437-#REF!)*(W394+14.7)/14.7</f>
        <v>#REF!</v>
      </c>
      <c r="Y394" s="86" t="e">
        <f t="shared" si="126"/>
        <v>#REF!</v>
      </c>
      <c r="Z394" s="86" t="e">
        <f t="shared" si="127"/>
        <v>#REF!</v>
      </c>
      <c r="AA394" s="83">
        <f>MAX(B$2:B394)-B394</f>
        <v>91.535399999999981</v>
      </c>
      <c r="AB394" s="83">
        <f t="shared" si="128"/>
        <v>39.634828199999994</v>
      </c>
      <c r="AC394" s="83">
        <f t="shared" si="130"/>
        <v>120</v>
      </c>
      <c r="AD394" s="72">
        <v>120</v>
      </c>
      <c r="AE394" s="73">
        <f t="shared" si="137"/>
        <v>557.10421201796089</v>
      </c>
      <c r="AF394" s="73">
        <f>SUM(AE$2:AE394)</f>
        <v>323339.82925083523</v>
      </c>
      <c r="AG394" s="73">
        <f t="shared" si="138"/>
        <v>850390.07317627396</v>
      </c>
    </row>
    <row r="395" spans="1:33" x14ac:dyDescent="0.25">
      <c r="A395" s="99">
        <v>131599.92000000001</v>
      </c>
      <c r="B395" s="96">
        <v>732.17970000000003</v>
      </c>
      <c r="C395" s="96">
        <v>0.6</v>
      </c>
      <c r="D395" s="80">
        <f t="shared" si="118"/>
        <v>37.020000000018626</v>
      </c>
      <c r="E395" s="81">
        <f t="shared" si="131"/>
        <v>2514.1184070491954</v>
      </c>
      <c r="F395" s="81">
        <f>SUM(E$2:E395)</f>
        <v>2419032.5770536666</v>
      </c>
      <c r="G395" s="43">
        <f t="shared" si="129"/>
        <v>1</v>
      </c>
      <c r="H395" s="78">
        <v>1</v>
      </c>
      <c r="I395" s="15">
        <f t="shared" si="132"/>
        <v>0.6</v>
      </c>
      <c r="J395" s="16">
        <f>VLOOKUP(G395,Inputs!$L$3:$P$15,5,FALSE)</f>
        <v>2000</v>
      </c>
      <c r="K395" s="16">
        <f t="shared" si="133"/>
        <v>1825</v>
      </c>
      <c r="L395" s="79">
        <f>Inputs!$P$8-B395</f>
        <v>206.01130000000001</v>
      </c>
      <c r="M395" s="79">
        <f>Inputs!$Q$8+L395*0.433</f>
        <v>1914.2028929000001</v>
      </c>
      <c r="N395" s="82">
        <f t="shared" si="134"/>
        <v>131599.92000000001</v>
      </c>
      <c r="O395" s="83">
        <f t="shared" si="135"/>
        <v>732.17970000000003</v>
      </c>
      <c r="P395" s="84">
        <f>IF(O395="","",Inputs!$C$5-O395)</f>
        <v>93.004799999999932</v>
      </c>
      <c r="Q395" s="83">
        <f>IF(N395="","",TS!J395)</f>
        <v>2000</v>
      </c>
      <c r="R395" s="83">
        <f>IF(N395="","",TS!K395)</f>
        <v>1825</v>
      </c>
      <c r="S395" s="83">
        <f>Inputs!$H$5+TS!P395*0.4333</f>
        <v>1915.2646962899998</v>
      </c>
      <c r="T395" s="83">
        <f>Inputs!$G$5+TS!P395*0.4333</f>
        <v>1930.2646962899998</v>
      </c>
      <c r="U395" s="85">
        <f t="shared" si="136"/>
        <v>0.96513234814499993</v>
      </c>
      <c r="V395" s="86">
        <f t="shared" si="124"/>
        <v>0</v>
      </c>
      <c r="W395" s="86">
        <f t="shared" si="125"/>
        <v>0</v>
      </c>
      <c r="X395" s="86" t="e">
        <f>((PI()*((42-2*'Gen Calcs'!$E$13)^2)/4)/144)*(A438-#REF!)*(W395+14.7)/14.7</f>
        <v>#REF!</v>
      </c>
      <c r="Y395" s="86" t="e">
        <f t="shared" si="126"/>
        <v>#REF!</v>
      </c>
      <c r="Z395" s="86" t="e">
        <f t="shared" si="127"/>
        <v>#REF!</v>
      </c>
      <c r="AA395" s="83">
        <f>MAX(B$2:B395)-B395</f>
        <v>93.004799999999932</v>
      </c>
      <c r="AB395" s="83">
        <f t="shared" si="128"/>
        <v>40.271078399999972</v>
      </c>
      <c r="AC395" s="83">
        <f t="shared" si="130"/>
        <v>120</v>
      </c>
      <c r="AD395" s="72">
        <v>120</v>
      </c>
      <c r="AE395" s="73">
        <f t="shared" si="137"/>
        <v>336.11208650390313</v>
      </c>
      <c r="AF395" s="73">
        <f>SUM(AE$2:AE395)</f>
        <v>323675.94133733911</v>
      </c>
      <c r="AG395" s="73">
        <f t="shared" si="138"/>
        <v>850053.96108977008</v>
      </c>
    </row>
    <row r="396" spans="1:33" x14ac:dyDescent="0.25">
      <c r="A396" s="100">
        <v>131699.92000000001</v>
      </c>
      <c r="B396" s="97">
        <v>730.68889999999999</v>
      </c>
      <c r="C396" s="97">
        <v>0.6</v>
      </c>
      <c r="D396" s="80">
        <f t="shared" si="118"/>
        <v>100</v>
      </c>
      <c r="E396" s="81">
        <f t="shared" si="131"/>
        <v>6791.2436711181272</v>
      </c>
      <c r="F396" s="81">
        <f>SUM(E$2:E396)</f>
        <v>2425823.8207247849</v>
      </c>
      <c r="G396" s="43">
        <f t="shared" si="129"/>
        <v>1</v>
      </c>
      <c r="H396" s="78">
        <v>1</v>
      </c>
      <c r="I396" s="15">
        <f t="shared" si="132"/>
        <v>0.6</v>
      </c>
      <c r="J396" s="16">
        <f>VLOOKUP(G396,Inputs!$L$3:$P$15,5,FALSE)</f>
        <v>2000</v>
      </c>
      <c r="K396" s="16">
        <f t="shared" si="133"/>
        <v>1825</v>
      </c>
      <c r="L396" s="79">
        <f>Inputs!$P$8-B396</f>
        <v>207.50210000000004</v>
      </c>
      <c r="M396" s="79">
        <f>Inputs!$Q$8+L396*0.433</f>
        <v>1914.8484093</v>
      </c>
      <c r="N396" s="82">
        <f t="shared" si="134"/>
        <v>131699.92000000001</v>
      </c>
      <c r="O396" s="83">
        <f t="shared" si="135"/>
        <v>730.68889999999999</v>
      </c>
      <c r="P396" s="84">
        <f>IF(O396="","",Inputs!$C$5-O396)</f>
        <v>94.495599999999968</v>
      </c>
      <c r="Q396" s="83">
        <f>IF(N396="","",TS!J396)</f>
        <v>2000</v>
      </c>
      <c r="R396" s="83">
        <f>IF(N396="","",TS!K396)</f>
        <v>1825</v>
      </c>
      <c r="S396" s="83">
        <f>Inputs!$H$5+TS!P396*0.4333</f>
        <v>1915.9106599299998</v>
      </c>
      <c r="T396" s="83">
        <f>Inputs!$G$5+TS!P396*0.4333</f>
        <v>1930.9106599299998</v>
      </c>
      <c r="U396" s="85">
        <f t="shared" si="136"/>
        <v>0.96545532996499994</v>
      </c>
      <c r="V396" s="86">
        <f t="shared" si="124"/>
        <v>0</v>
      </c>
      <c r="W396" s="86">
        <f t="shared" si="125"/>
        <v>0</v>
      </c>
      <c r="X396" s="86" t="e">
        <f>((PI()*((42-2*'Gen Calcs'!$E$13)^2)/4)/144)*(A439-#REF!)*(W396+14.7)/14.7</f>
        <v>#REF!</v>
      </c>
      <c r="Y396" s="86" t="e">
        <f t="shared" si="126"/>
        <v>#REF!</v>
      </c>
      <c r="Z396" s="86" t="e">
        <f t="shared" si="127"/>
        <v>#REF!</v>
      </c>
      <c r="AA396" s="83">
        <f>MAX(B$2:B396)-B396</f>
        <v>94.495599999999968</v>
      </c>
      <c r="AB396" s="83">
        <f t="shared" si="128"/>
        <v>40.916594799999984</v>
      </c>
      <c r="AC396" s="83">
        <f t="shared" si="130"/>
        <v>120</v>
      </c>
      <c r="AD396" s="72">
        <v>120</v>
      </c>
      <c r="AE396" s="73">
        <f t="shared" si="137"/>
        <v>907.92027688745009</v>
      </c>
      <c r="AF396" s="73">
        <f>SUM(AE$2:AE396)</f>
        <v>324583.86161422654</v>
      </c>
      <c r="AG396" s="73">
        <f t="shared" si="138"/>
        <v>849146.04081288259</v>
      </c>
    </row>
    <row r="397" spans="1:33" x14ac:dyDescent="0.25">
      <c r="A397" s="99">
        <v>131799.92000000001</v>
      </c>
      <c r="B397" s="96">
        <v>733.1155</v>
      </c>
      <c r="C397" s="96">
        <v>0.6</v>
      </c>
      <c r="D397" s="80">
        <f t="shared" si="118"/>
        <v>100</v>
      </c>
      <c r="E397" s="81">
        <f t="shared" si="131"/>
        <v>6791.2436711181272</v>
      </c>
      <c r="F397" s="81">
        <f>SUM(E$2:E397)</f>
        <v>2432615.0643959031</v>
      </c>
      <c r="G397" s="43">
        <f t="shared" si="129"/>
        <v>1</v>
      </c>
      <c r="H397" s="78">
        <v>1</v>
      </c>
      <c r="I397" s="15">
        <f t="shared" si="132"/>
        <v>0.6</v>
      </c>
      <c r="J397" s="16">
        <f>VLOOKUP(G397,Inputs!$L$3:$P$15,5,FALSE)</f>
        <v>2000</v>
      </c>
      <c r="K397" s="16">
        <f t="shared" si="133"/>
        <v>1825</v>
      </c>
      <c r="L397" s="79">
        <f>Inputs!$P$8-B397</f>
        <v>205.07550000000003</v>
      </c>
      <c r="M397" s="79">
        <f>Inputs!$Q$8+L397*0.433</f>
        <v>1913.7976914999999</v>
      </c>
      <c r="N397" s="82">
        <f t="shared" si="134"/>
        <v>131799.92000000001</v>
      </c>
      <c r="O397" s="83">
        <f t="shared" si="135"/>
        <v>733.1155</v>
      </c>
      <c r="P397" s="84">
        <f>IF(O397="","",Inputs!$C$5-O397)</f>
        <v>92.06899999999996</v>
      </c>
      <c r="Q397" s="83">
        <f>IF(N397="","",TS!J397)</f>
        <v>2000</v>
      </c>
      <c r="R397" s="83">
        <f>IF(N397="","",TS!K397)</f>
        <v>1825</v>
      </c>
      <c r="S397" s="83">
        <f>Inputs!$H$5+TS!P397*0.4333</f>
        <v>1914.8592141499998</v>
      </c>
      <c r="T397" s="83">
        <f>Inputs!$G$5+TS!P397*0.4333</f>
        <v>1929.8592141499998</v>
      </c>
      <c r="U397" s="85">
        <f t="shared" si="136"/>
        <v>0.96492960707499997</v>
      </c>
      <c r="V397" s="86">
        <f t="shared" si="124"/>
        <v>0</v>
      </c>
      <c r="W397" s="86">
        <f t="shared" si="125"/>
        <v>0</v>
      </c>
      <c r="X397" s="86" t="e">
        <f>((PI()*((42-2*'Gen Calcs'!$E$13)^2)/4)/144)*(A440-#REF!)*(W397+14.7)/14.7</f>
        <v>#REF!</v>
      </c>
      <c r="Y397" s="86" t="e">
        <f t="shared" si="126"/>
        <v>#REF!</v>
      </c>
      <c r="Z397" s="86" t="e">
        <f t="shared" si="127"/>
        <v>#REF!</v>
      </c>
      <c r="AA397" s="83">
        <f>MAX(B$2:B397)-B397</f>
        <v>92.06899999999996</v>
      </c>
      <c r="AB397" s="83">
        <f t="shared" si="128"/>
        <v>39.865876999999983</v>
      </c>
      <c r="AC397" s="83">
        <f t="shared" si="130"/>
        <v>120</v>
      </c>
      <c r="AD397" s="72">
        <v>120</v>
      </c>
      <c r="AE397" s="73">
        <f t="shared" si="137"/>
        <v>907.92027688745009</v>
      </c>
      <c r="AF397" s="73">
        <f>SUM(AE$2:AE397)</f>
        <v>325491.78189111396</v>
      </c>
      <c r="AG397" s="73">
        <f t="shared" si="138"/>
        <v>848238.12053599523</v>
      </c>
    </row>
    <row r="398" spans="1:33" x14ac:dyDescent="0.25">
      <c r="A398" s="100">
        <v>131899.92000000001</v>
      </c>
      <c r="B398" s="97">
        <v>738.51110000000006</v>
      </c>
      <c r="C398" s="97">
        <v>0.6</v>
      </c>
      <c r="D398" s="80">
        <f t="shared" si="118"/>
        <v>100</v>
      </c>
      <c r="E398" s="81">
        <f t="shared" si="131"/>
        <v>6791.2436711181272</v>
      </c>
      <c r="F398" s="81">
        <f>SUM(E$2:E398)</f>
        <v>2439406.3080670214</v>
      </c>
      <c r="G398" s="43">
        <f t="shared" si="129"/>
        <v>1</v>
      </c>
      <c r="H398" s="78">
        <v>1</v>
      </c>
      <c r="I398" s="15">
        <f t="shared" si="132"/>
        <v>0.6</v>
      </c>
      <c r="J398" s="16">
        <f>VLOOKUP(G398,Inputs!$L$3:$P$15,5,FALSE)</f>
        <v>2000</v>
      </c>
      <c r="K398" s="16">
        <f t="shared" si="133"/>
        <v>1825</v>
      </c>
      <c r="L398" s="79">
        <f>Inputs!$P$8-B398</f>
        <v>199.67989999999998</v>
      </c>
      <c r="M398" s="79">
        <f>Inputs!$Q$8+L398*0.433</f>
        <v>1911.4613967</v>
      </c>
      <c r="N398" s="82">
        <f t="shared" si="134"/>
        <v>131899.92000000001</v>
      </c>
      <c r="O398" s="83">
        <f t="shared" si="135"/>
        <v>738.51110000000006</v>
      </c>
      <c r="P398" s="84">
        <f>IF(O398="","",Inputs!$C$5-O398)</f>
        <v>86.673399999999901</v>
      </c>
      <c r="Q398" s="83">
        <f>IF(N398="","",TS!J398)</f>
        <v>2000</v>
      </c>
      <c r="R398" s="83">
        <f>IF(N398="","",TS!K398)</f>
        <v>1825</v>
      </c>
      <c r="S398" s="83">
        <f>Inputs!$H$5+TS!P398*0.4333</f>
        <v>1912.5213006699998</v>
      </c>
      <c r="T398" s="83">
        <f>Inputs!$G$5+TS!P398*0.4333</f>
        <v>1927.5213006699998</v>
      </c>
      <c r="U398" s="85">
        <f t="shared" si="136"/>
        <v>0.96376065033499991</v>
      </c>
      <c r="V398" s="86">
        <f t="shared" si="124"/>
        <v>0</v>
      </c>
      <c r="W398" s="86">
        <f t="shared" si="125"/>
        <v>0</v>
      </c>
      <c r="X398" s="86" t="e">
        <f>((PI()*((42-2*'Gen Calcs'!$E$13)^2)/4)/144)*(A441-#REF!)*(W398+14.7)/14.7</f>
        <v>#REF!</v>
      </c>
      <c r="Y398" s="86" t="e">
        <f t="shared" si="126"/>
        <v>#REF!</v>
      </c>
      <c r="Z398" s="86" t="e">
        <f t="shared" si="127"/>
        <v>#REF!</v>
      </c>
      <c r="AA398" s="83">
        <f>MAX(B$2:B398)-B398</f>
        <v>86.673399999999901</v>
      </c>
      <c r="AB398" s="83">
        <f t="shared" si="128"/>
        <v>37.529582199999957</v>
      </c>
      <c r="AC398" s="83">
        <f t="shared" si="130"/>
        <v>120</v>
      </c>
      <c r="AD398" s="72">
        <v>120</v>
      </c>
      <c r="AE398" s="73">
        <f t="shared" si="137"/>
        <v>907.92027688745009</v>
      </c>
      <c r="AF398" s="73">
        <f>SUM(AE$2:AE398)</f>
        <v>326399.70216800139</v>
      </c>
      <c r="AG398" s="73">
        <f t="shared" si="138"/>
        <v>847330.20025910786</v>
      </c>
    </row>
    <row r="399" spans="1:33" x14ac:dyDescent="0.25">
      <c r="A399" s="99">
        <v>131999.92000000001</v>
      </c>
      <c r="B399" s="96">
        <v>742.03330000000005</v>
      </c>
      <c r="C399" s="96">
        <v>0.6</v>
      </c>
      <c r="D399" s="80">
        <f t="shared" si="118"/>
        <v>100</v>
      </c>
      <c r="E399" s="81">
        <f t="shared" si="131"/>
        <v>6791.2436711181272</v>
      </c>
      <c r="F399" s="81">
        <f>SUM(E$2:E399)</f>
        <v>2446197.5517381397</v>
      </c>
      <c r="G399" s="43">
        <f t="shared" si="129"/>
        <v>1</v>
      </c>
      <c r="H399" s="78">
        <v>1</v>
      </c>
      <c r="I399" s="15">
        <f t="shared" si="132"/>
        <v>0.6</v>
      </c>
      <c r="J399" s="16">
        <f>VLOOKUP(G399,Inputs!$L$3:$P$15,5,FALSE)</f>
        <v>2000</v>
      </c>
      <c r="K399" s="16">
        <f t="shared" si="133"/>
        <v>1825</v>
      </c>
      <c r="L399" s="79">
        <f>Inputs!$P$8-B399</f>
        <v>196.15769999999998</v>
      </c>
      <c r="M399" s="79">
        <f>Inputs!$Q$8+L399*0.433</f>
        <v>1909.9362841</v>
      </c>
      <c r="N399" s="82">
        <f t="shared" si="134"/>
        <v>131999.92000000001</v>
      </c>
      <c r="O399" s="83">
        <f t="shared" si="135"/>
        <v>742.03330000000005</v>
      </c>
      <c r="P399" s="84">
        <f>IF(O399="","",Inputs!$C$5-O399)</f>
        <v>83.151199999999903</v>
      </c>
      <c r="Q399" s="83">
        <f>IF(N399="","",TS!J399)</f>
        <v>2000</v>
      </c>
      <c r="R399" s="83">
        <f>IF(N399="","",TS!K399)</f>
        <v>1825</v>
      </c>
      <c r="S399" s="83">
        <f>Inputs!$H$5+TS!P399*0.4333</f>
        <v>1910.9951314099999</v>
      </c>
      <c r="T399" s="83">
        <f>Inputs!$G$5+TS!P399*0.4333</f>
        <v>1925.9951314099999</v>
      </c>
      <c r="U399" s="85">
        <f t="shared" si="136"/>
        <v>0.96299756570499995</v>
      </c>
      <c r="V399" s="86">
        <f t="shared" si="124"/>
        <v>0</v>
      </c>
      <c r="W399" s="86">
        <f t="shared" si="125"/>
        <v>0</v>
      </c>
      <c r="X399" s="86" t="e">
        <f>((PI()*((42-2*'Gen Calcs'!$E$13)^2)/4)/144)*(A442-#REF!)*(W399+14.7)/14.7</f>
        <v>#REF!</v>
      </c>
      <c r="Y399" s="86" t="e">
        <f t="shared" si="126"/>
        <v>#REF!</v>
      </c>
      <c r="Z399" s="86" t="e">
        <f t="shared" si="127"/>
        <v>#REF!</v>
      </c>
      <c r="AA399" s="83">
        <f>MAX(B$2:B399)-B399</f>
        <v>83.151199999999903</v>
      </c>
      <c r="AB399" s="83">
        <f t="shared" si="128"/>
        <v>36.004469599999958</v>
      </c>
      <c r="AC399" s="83">
        <f t="shared" si="130"/>
        <v>120</v>
      </c>
      <c r="AD399" s="72">
        <v>120</v>
      </c>
      <c r="AE399" s="73">
        <f t="shared" si="137"/>
        <v>907.92027688745009</v>
      </c>
      <c r="AF399" s="73">
        <f>SUM(AE$2:AE399)</f>
        <v>327307.62244488881</v>
      </c>
      <c r="AG399" s="73">
        <f t="shared" si="138"/>
        <v>846422.27998222038</v>
      </c>
    </row>
    <row r="400" spans="1:33" x14ac:dyDescent="0.25">
      <c r="A400" s="100">
        <v>132099.92000000001</v>
      </c>
      <c r="B400" s="97">
        <v>746.87729999999999</v>
      </c>
      <c r="C400" s="97">
        <v>0.6</v>
      </c>
      <c r="D400" s="80">
        <f t="shared" si="118"/>
        <v>100</v>
      </c>
      <c r="E400" s="81">
        <f t="shared" si="131"/>
        <v>6791.2436711181272</v>
      </c>
      <c r="F400" s="81">
        <f>SUM(E$2:E400)</f>
        <v>2452988.795409258</v>
      </c>
      <c r="G400" s="43">
        <f t="shared" si="129"/>
        <v>1</v>
      </c>
      <c r="H400" s="78">
        <v>1</v>
      </c>
      <c r="I400" s="15">
        <f t="shared" si="132"/>
        <v>0.6</v>
      </c>
      <c r="J400" s="16">
        <f>VLOOKUP(G400,Inputs!$L$3:$P$15,5,FALSE)</f>
        <v>2000</v>
      </c>
      <c r="K400" s="16">
        <f t="shared" si="133"/>
        <v>1825</v>
      </c>
      <c r="L400" s="79">
        <f>Inputs!$P$8-B400</f>
        <v>191.31370000000004</v>
      </c>
      <c r="M400" s="79">
        <f>Inputs!$Q$8+L400*0.433</f>
        <v>1907.8388321</v>
      </c>
      <c r="N400" s="82">
        <f t="shared" si="134"/>
        <v>132099.92000000001</v>
      </c>
      <c r="O400" s="83">
        <f t="shared" si="135"/>
        <v>746.87729999999999</v>
      </c>
      <c r="P400" s="84">
        <f>IF(O400="","",Inputs!$C$5-O400)</f>
        <v>78.307199999999966</v>
      </c>
      <c r="Q400" s="83">
        <f>IF(N400="","",TS!J400)</f>
        <v>2000</v>
      </c>
      <c r="R400" s="83">
        <f>IF(N400="","",TS!K400)</f>
        <v>1825</v>
      </c>
      <c r="S400" s="83">
        <f>Inputs!$H$5+TS!P400*0.4333</f>
        <v>1908.8962262099999</v>
      </c>
      <c r="T400" s="83">
        <f>Inputs!$G$5+TS!P400*0.4333</f>
        <v>1923.8962262099999</v>
      </c>
      <c r="U400" s="85">
        <f t="shared" si="136"/>
        <v>0.96194811310499995</v>
      </c>
      <c r="V400" s="86">
        <f t="shared" si="124"/>
        <v>0</v>
      </c>
      <c r="W400" s="86">
        <f t="shared" si="125"/>
        <v>0</v>
      </c>
      <c r="X400" s="86" t="e">
        <f>((PI()*((42-2*'Gen Calcs'!$E$13)^2)/4)/144)*(A443-#REF!)*(W400+14.7)/14.7</f>
        <v>#REF!</v>
      </c>
      <c r="Y400" s="86" t="e">
        <f t="shared" si="126"/>
        <v>#REF!</v>
      </c>
      <c r="Z400" s="86" t="e">
        <f t="shared" si="127"/>
        <v>#REF!</v>
      </c>
      <c r="AA400" s="83">
        <f>MAX(B$2:B400)-B400</f>
        <v>78.307199999999966</v>
      </c>
      <c r="AB400" s="83">
        <f t="shared" si="128"/>
        <v>33.907017599999982</v>
      </c>
      <c r="AC400" s="83">
        <f t="shared" si="130"/>
        <v>120</v>
      </c>
      <c r="AD400" s="72">
        <v>120</v>
      </c>
      <c r="AE400" s="73">
        <f t="shared" si="137"/>
        <v>907.92027688745009</v>
      </c>
      <c r="AF400" s="73">
        <f>SUM(AE$2:AE400)</f>
        <v>328215.54272177623</v>
      </c>
      <c r="AG400" s="73">
        <f t="shared" si="138"/>
        <v>845514.3597053329</v>
      </c>
    </row>
    <row r="401" spans="1:33" x14ac:dyDescent="0.25">
      <c r="A401" s="99">
        <v>132199.92000000001</v>
      </c>
      <c r="B401" s="96">
        <v>750.35069999999996</v>
      </c>
      <c r="C401" s="96">
        <v>0.6</v>
      </c>
      <c r="D401" s="80">
        <f t="shared" si="118"/>
        <v>100</v>
      </c>
      <c r="E401" s="81">
        <f t="shared" si="131"/>
        <v>6791.2436711181272</v>
      </c>
      <c r="F401" s="81">
        <f>SUM(E$2:E401)</f>
        <v>2459780.0390803763</v>
      </c>
      <c r="G401" s="43">
        <f t="shared" si="129"/>
        <v>1</v>
      </c>
      <c r="H401" s="78">
        <v>1</v>
      </c>
      <c r="I401" s="15">
        <f t="shared" si="132"/>
        <v>0.6</v>
      </c>
      <c r="J401" s="16">
        <f>VLOOKUP(G401,Inputs!$L$3:$P$15,5,FALSE)</f>
        <v>2000</v>
      </c>
      <c r="K401" s="16">
        <f t="shared" si="133"/>
        <v>1825</v>
      </c>
      <c r="L401" s="79">
        <f>Inputs!$P$8-B401</f>
        <v>187.84030000000007</v>
      </c>
      <c r="M401" s="79">
        <f>Inputs!$Q$8+L401*0.433</f>
        <v>1906.3348499000001</v>
      </c>
      <c r="N401" s="82">
        <f t="shared" si="134"/>
        <v>132199.92000000001</v>
      </c>
      <c r="O401" s="83">
        <f t="shared" si="135"/>
        <v>750.35069999999996</v>
      </c>
      <c r="P401" s="84">
        <f>IF(O401="","",Inputs!$C$5-O401)</f>
        <v>74.833799999999997</v>
      </c>
      <c r="Q401" s="83">
        <f>IF(N401="","",TS!J401)</f>
        <v>2000</v>
      </c>
      <c r="R401" s="83">
        <f>IF(N401="","",TS!K401)</f>
        <v>1825</v>
      </c>
      <c r="S401" s="83">
        <f>Inputs!$H$5+TS!P401*0.4333</f>
        <v>1907.3912019899999</v>
      </c>
      <c r="T401" s="83">
        <f>Inputs!$G$5+TS!P401*0.4333</f>
        <v>1922.3912019899999</v>
      </c>
      <c r="U401" s="85">
        <f t="shared" si="136"/>
        <v>0.9611956009949999</v>
      </c>
      <c r="V401" s="86">
        <f t="shared" si="124"/>
        <v>0</v>
      </c>
      <c r="W401" s="86">
        <f t="shared" si="125"/>
        <v>0</v>
      </c>
      <c r="X401" s="86" t="e">
        <f>((PI()*((42-2*'Gen Calcs'!$E$13)^2)/4)/144)*(A444-#REF!)*(W401+14.7)/14.7</f>
        <v>#REF!</v>
      </c>
      <c r="Y401" s="86" t="e">
        <f t="shared" si="126"/>
        <v>#REF!</v>
      </c>
      <c r="Z401" s="86" t="e">
        <f t="shared" si="127"/>
        <v>#REF!</v>
      </c>
      <c r="AA401" s="83">
        <f>MAX(B$2:B401)-B401</f>
        <v>74.833799999999997</v>
      </c>
      <c r="AB401" s="83">
        <f t="shared" si="128"/>
        <v>32.4030354</v>
      </c>
      <c r="AC401" s="83">
        <f t="shared" si="130"/>
        <v>120</v>
      </c>
      <c r="AD401" s="72">
        <v>120</v>
      </c>
      <c r="AE401" s="73">
        <f t="shared" si="137"/>
        <v>907.92027688745009</v>
      </c>
      <c r="AF401" s="73">
        <f>SUM(AE$2:AE401)</f>
        <v>329123.46299866366</v>
      </c>
      <c r="AG401" s="73">
        <f t="shared" si="138"/>
        <v>844606.43942844553</v>
      </c>
    </row>
    <row r="402" spans="1:33" x14ac:dyDescent="0.25">
      <c r="A402" s="100">
        <v>132299.92000000001</v>
      </c>
      <c r="B402" s="97">
        <v>755.91200000000003</v>
      </c>
      <c r="C402" s="97">
        <v>0.6</v>
      </c>
      <c r="D402" s="80">
        <f t="shared" si="118"/>
        <v>100</v>
      </c>
      <c r="E402" s="81">
        <f t="shared" si="131"/>
        <v>6791.2436711181272</v>
      </c>
      <c r="F402" s="81">
        <f>SUM(E$2:E402)</f>
        <v>2466571.2827514946</v>
      </c>
      <c r="G402" s="43">
        <f t="shared" si="129"/>
        <v>1</v>
      </c>
      <c r="H402" s="78">
        <v>1</v>
      </c>
      <c r="I402" s="15">
        <f t="shared" si="132"/>
        <v>0.6</v>
      </c>
      <c r="J402" s="16">
        <f>VLOOKUP(G402,Inputs!$L$3:$P$15,5,FALSE)</f>
        <v>2000</v>
      </c>
      <c r="K402" s="16">
        <f t="shared" si="133"/>
        <v>1825</v>
      </c>
      <c r="L402" s="79">
        <f>Inputs!$P$8-B402</f>
        <v>182.279</v>
      </c>
      <c r="M402" s="79">
        <f>Inputs!$Q$8+L402*0.433</f>
        <v>1903.9268070000001</v>
      </c>
      <c r="N402" s="82">
        <f t="shared" si="134"/>
        <v>132299.92000000001</v>
      </c>
      <c r="O402" s="83">
        <f t="shared" si="135"/>
        <v>755.91200000000003</v>
      </c>
      <c r="P402" s="84">
        <f>IF(O402="","",Inputs!$C$5-O402)</f>
        <v>69.272499999999923</v>
      </c>
      <c r="Q402" s="83">
        <f>IF(N402="","",TS!J402)</f>
        <v>2000</v>
      </c>
      <c r="R402" s="83">
        <f>IF(N402="","",TS!K402)</f>
        <v>1825</v>
      </c>
      <c r="S402" s="83">
        <f>Inputs!$H$5+TS!P402*0.4333</f>
        <v>1904.9814907</v>
      </c>
      <c r="T402" s="83">
        <f>Inputs!$G$5+TS!P402*0.4333</f>
        <v>1919.9814907</v>
      </c>
      <c r="U402" s="85">
        <f t="shared" si="136"/>
        <v>0.95999074534999995</v>
      </c>
      <c r="V402" s="86">
        <f t="shared" si="124"/>
        <v>0</v>
      </c>
      <c r="W402" s="86">
        <f t="shared" si="125"/>
        <v>0</v>
      </c>
      <c r="X402" s="86" t="e">
        <f>((PI()*((42-2*'Gen Calcs'!$E$13)^2)/4)/144)*(A445-#REF!)*(W402+14.7)/14.7</f>
        <v>#REF!</v>
      </c>
      <c r="Y402" s="86" t="e">
        <f t="shared" si="126"/>
        <v>#REF!</v>
      </c>
      <c r="Z402" s="86" t="e">
        <f t="shared" si="127"/>
        <v>#REF!</v>
      </c>
      <c r="AA402" s="83">
        <f>MAX(B$2:B402)-B402</f>
        <v>69.272499999999923</v>
      </c>
      <c r="AB402" s="83">
        <f t="shared" si="128"/>
        <v>29.994992499999967</v>
      </c>
      <c r="AC402" s="83">
        <f t="shared" si="130"/>
        <v>120</v>
      </c>
      <c r="AD402" s="72">
        <v>120</v>
      </c>
      <c r="AE402" s="73">
        <f t="shared" si="137"/>
        <v>907.92027688745009</v>
      </c>
      <c r="AF402" s="73">
        <f>SUM(AE$2:AE402)</f>
        <v>330031.38327555108</v>
      </c>
      <c r="AG402" s="73">
        <f t="shared" si="138"/>
        <v>843698.51915155817</v>
      </c>
    </row>
    <row r="403" spans="1:33" x14ac:dyDescent="0.25">
      <c r="A403" s="99">
        <v>132399.92000000001</v>
      </c>
      <c r="B403" s="96">
        <v>761.50469999999996</v>
      </c>
      <c r="C403" s="96">
        <v>0.6</v>
      </c>
      <c r="D403" s="80">
        <f t="shared" si="118"/>
        <v>100</v>
      </c>
      <c r="E403" s="81">
        <f t="shared" si="131"/>
        <v>6791.2436711181272</v>
      </c>
      <c r="F403" s="81">
        <f>SUM(E$2:E403)</f>
        <v>2473362.5264226128</v>
      </c>
      <c r="G403" s="43">
        <f t="shared" si="129"/>
        <v>1</v>
      </c>
      <c r="H403" s="78">
        <v>1</v>
      </c>
      <c r="I403" s="15">
        <f t="shared" si="132"/>
        <v>0.6</v>
      </c>
      <c r="J403" s="16">
        <f>VLOOKUP(G403,Inputs!$L$3:$P$15,5,FALSE)</f>
        <v>2000</v>
      </c>
      <c r="K403" s="16">
        <f t="shared" si="133"/>
        <v>1825</v>
      </c>
      <c r="L403" s="79">
        <f>Inputs!$P$8-B403</f>
        <v>176.68630000000007</v>
      </c>
      <c r="M403" s="79">
        <f>Inputs!$Q$8+L403*0.433</f>
        <v>1901.5051679000001</v>
      </c>
      <c r="N403" s="82">
        <f t="shared" si="134"/>
        <v>132399.92000000001</v>
      </c>
      <c r="O403" s="83">
        <f t="shared" si="135"/>
        <v>761.50469999999996</v>
      </c>
      <c r="P403" s="84">
        <f>IF(O403="","",Inputs!$C$5-O403)</f>
        <v>63.6798</v>
      </c>
      <c r="Q403" s="83">
        <f>IF(N403="","",TS!J403)</f>
        <v>2000</v>
      </c>
      <c r="R403" s="83">
        <f>IF(N403="","",TS!K403)</f>
        <v>1825</v>
      </c>
      <c r="S403" s="83">
        <f>Inputs!$H$5+TS!P403*0.4333</f>
        <v>1902.55817379</v>
      </c>
      <c r="T403" s="83">
        <f>Inputs!$G$5+TS!P403*0.4333</f>
        <v>1917.55817379</v>
      </c>
      <c r="U403" s="85">
        <f t="shared" si="136"/>
        <v>0.95877908689500002</v>
      </c>
      <c r="V403" s="86">
        <f t="shared" si="124"/>
        <v>0</v>
      </c>
      <c r="W403" s="86">
        <f t="shared" si="125"/>
        <v>0</v>
      </c>
      <c r="X403" s="86" t="e">
        <f>((PI()*((42-2*'Gen Calcs'!$E$13)^2)/4)/144)*(A446-#REF!)*(W403+14.7)/14.7</f>
        <v>#REF!</v>
      </c>
      <c r="Y403" s="86" t="e">
        <f t="shared" si="126"/>
        <v>#REF!</v>
      </c>
      <c r="Z403" s="86" t="e">
        <f t="shared" si="127"/>
        <v>#REF!</v>
      </c>
      <c r="AA403" s="83">
        <f>MAX(B$2:B403)-B403</f>
        <v>63.6798</v>
      </c>
      <c r="AB403" s="83">
        <f t="shared" si="128"/>
        <v>27.573353399999998</v>
      </c>
      <c r="AC403" s="83">
        <f t="shared" si="130"/>
        <v>120</v>
      </c>
      <c r="AD403" s="72">
        <v>120</v>
      </c>
      <c r="AE403" s="73">
        <f t="shared" si="137"/>
        <v>907.92027688745009</v>
      </c>
      <c r="AF403" s="73">
        <f>SUM(AE$2:AE403)</f>
        <v>330939.3035524385</v>
      </c>
      <c r="AG403" s="73">
        <f t="shared" si="138"/>
        <v>842790.59887467069</v>
      </c>
    </row>
    <row r="404" spans="1:33" x14ac:dyDescent="0.25">
      <c r="A404" s="100">
        <v>132499.92000000001</v>
      </c>
      <c r="B404" s="97">
        <v>770.76499999999999</v>
      </c>
      <c r="C404" s="97">
        <v>0.6</v>
      </c>
      <c r="D404" s="80">
        <f t="shared" si="118"/>
        <v>100</v>
      </c>
      <c r="E404" s="81">
        <f t="shared" si="131"/>
        <v>6791.2436711181272</v>
      </c>
      <c r="F404" s="81">
        <f>SUM(E$2:E404)</f>
        <v>2480153.7700937311</v>
      </c>
      <c r="G404" s="43">
        <f t="shared" si="129"/>
        <v>1</v>
      </c>
      <c r="H404" s="78">
        <v>1</v>
      </c>
      <c r="I404" s="15">
        <f t="shared" si="132"/>
        <v>0.6</v>
      </c>
      <c r="J404" s="16">
        <f>VLOOKUP(G404,Inputs!$L$3:$P$15,5,FALSE)</f>
        <v>2000</v>
      </c>
      <c r="K404" s="16">
        <f t="shared" si="133"/>
        <v>1825</v>
      </c>
      <c r="L404" s="79">
        <f>Inputs!$P$8-B404</f>
        <v>167.42600000000004</v>
      </c>
      <c r="M404" s="79">
        <f>Inputs!$Q$8+L404*0.433</f>
        <v>1897.4954580000001</v>
      </c>
      <c r="N404" s="82">
        <f t="shared" si="134"/>
        <v>132499.92000000001</v>
      </c>
      <c r="O404" s="83">
        <f t="shared" si="135"/>
        <v>770.76499999999999</v>
      </c>
      <c r="P404" s="84">
        <f>IF(O404="","",Inputs!$C$5-O404)</f>
        <v>54.419499999999971</v>
      </c>
      <c r="Q404" s="83">
        <f>IF(N404="","",TS!J404)</f>
        <v>2000</v>
      </c>
      <c r="R404" s="83">
        <f>IF(N404="","",TS!K404)</f>
        <v>1825</v>
      </c>
      <c r="S404" s="83">
        <f>Inputs!$H$5+TS!P404*0.4333</f>
        <v>1898.5456858</v>
      </c>
      <c r="T404" s="83">
        <f>Inputs!$G$5+TS!P404*0.4333</f>
        <v>1913.5456858</v>
      </c>
      <c r="U404" s="85">
        <f t="shared" si="136"/>
        <v>0.95677284289999998</v>
      </c>
      <c r="V404" s="86">
        <f t="shared" si="124"/>
        <v>0</v>
      </c>
      <c r="W404" s="86">
        <f t="shared" si="125"/>
        <v>0</v>
      </c>
      <c r="X404" s="86" t="e">
        <f>((PI()*((42-2*'Gen Calcs'!$E$13)^2)/4)/144)*(A447-#REF!)*(W404+14.7)/14.7</f>
        <v>#REF!</v>
      </c>
      <c r="Y404" s="86" t="e">
        <f t="shared" si="126"/>
        <v>#REF!</v>
      </c>
      <c r="Z404" s="86" t="e">
        <f t="shared" si="127"/>
        <v>#REF!</v>
      </c>
      <c r="AA404" s="83">
        <f>MAX(B$2:B404)-B404</f>
        <v>54.419499999999971</v>
      </c>
      <c r="AB404" s="83">
        <f t="shared" si="128"/>
        <v>23.563643499999987</v>
      </c>
      <c r="AC404" s="83">
        <f t="shared" si="130"/>
        <v>120</v>
      </c>
      <c r="AD404" s="72">
        <v>120</v>
      </c>
      <c r="AE404" s="73">
        <f t="shared" si="137"/>
        <v>907.92027688745009</v>
      </c>
      <c r="AF404" s="73">
        <f>SUM(AE$2:AE404)</f>
        <v>331847.22382932593</v>
      </c>
      <c r="AG404" s="73">
        <f t="shared" si="138"/>
        <v>841882.6785977832</v>
      </c>
    </row>
    <row r="405" spans="1:33" x14ac:dyDescent="0.25">
      <c r="A405" s="99">
        <v>132599.92000000001</v>
      </c>
      <c r="B405" s="96">
        <v>777.43889999999999</v>
      </c>
      <c r="C405" s="96">
        <v>0.6</v>
      </c>
      <c r="D405" s="80">
        <f t="shared" si="118"/>
        <v>100</v>
      </c>
      <c r="E405" s="81">
        <f t="shared" si="131"/>
        <v>6791.2436711181272</v>
      </c>
      <c r="F405" s="81">
        <f>SUM(E$2:E405)</f>
        <v>2486945.0137648494</v>
      </c>
      <c r="G405" s="43">
        <f t="shared" si="129"/>
        <v>1</v>
      </c>
      <c r="H405" s="78">
        <v>1</v>
      </c>
      <c r="I405" s="15">
        <f t="shared" si="132"/>
        <v>0.6</v>
      </c>
      <c r="J405" s="16">
        <f>VLOOKUP(G405,Inputs!$L$3:$P$15,5,FALSE)</f>
        <v>2000</v>
      </c>
      <c r="K405" s="16">
        <f t="shared" si="133"/>
        <v>1825</v>
      </c>
      <c r="L405" s="79">
        <f>Inputs!$P$8-B405</f>
        <v>160.75210000000004</v>
      </c>
      <c r="M405" s="79">
        <f>Inputs!$Q$8+L405*0.433</f>
        <v>1894.6056593000001</v>
      </c>
      <c r="N405" s="82">
        <f t="shared" si="134"/>
        <v>132599.92000000001</v>
      </c>
      <c r="O405" s="83">
        <f t="shared" si="135"/>
        <v>777.43889999999999</v>
      </c>
      <c r="P405" s="84">
        <f>IF(O405="","",Inputs!$C$5-O405)</f>
        <v>47.745599999999968</v>
      </c>
      <c r="Q405" s="83">
        <f>IF(N405="","",TS!J405)</f>
        <v>2000</v>
      </c>
      <c r="R405" s="83">
        <f>IF(N405="","",TS!K405)</f>
        <v>1825</v>
      </c>
      <c r="S405" s="83">
        <f>Inputs!$H$5+TS!P405*0.4333</f>
        <v>1895.65388493</v>
      </c>
      <c r="T405" s="83">
        <f>Inputs!$G$5+TS!P405*0.4333</f>
        <v>1910.65388493</v>
      </c>
      <c r="U405" s="85">
        <f t="shared" si="136"/>
        <v>0.95532694246500005</v>
      </c>
      <c r="V405" s="86">
        <f t="shared" si="124"/>
        <v>0</v>
      </c>
      <c r="W405" s="86">
        <f t="shared" si="125"/>
        <v>0</v>
      </c>
      <c r="X405" s="86" t="e">
        <f>((PI()*((42-2*'Gen Calcs'!$E$13)^2)/4)/144)*(A448-#REF!)*(W405+14.7)/14.7</f>
        <v>#REF!</v>
      </c>
      <c r="Y405" s="86" t="e">
        <f t="shared" si="126"/>
        <v>#REF!</v>
      </c>
      <c r="Z405" s="86" t="e">
        <f t="shared" si="127"/>
        <v>#REF!</v>
      </c>
      <c r="AA405" s="83">
        <f>MAX(B$2:B405)-B405</f>
        <v>47.745599999999968</v>
      </c>
      <c r="AB405" s="83">
        <f t="shared" si="128"/>
        <v>20.673844799999987</v>
      </c>
      <c r="AC405" s="83">
        <f t="shared" si="130"/>
        <v>120</v>
      </c>
      <c r="AD405" s="72">
        <v>120</v>
      </c>
      <c r="AE405" s="73">
        <f t="shared" si="137"/>
        <v>907.92027688745009</v>
      </c>
      <c r="AF405" s="73">
        <f>SUM(AE$2:AE405)</f>
        <v>332755.14410621335</v>
      </c>
      <c r="AG405" s="73">
        <f t="shared" si="138"/>
        <v>840974.75832089584</v>
      </c>
    </row>
    <row r="406" spans="1:33" x14ac:dyDescent="0.25">
      <c r="A406" s="100">
        <v>132699.92000000001</v>
      </c>
      <c r="B406" s="97">
        <v>781.68979999999999</v>
      </c>
      <c r="C406" s="97">
        <v>0.6</v>
      </c>
      <c r="D406" s="80">
        <f t="shared" si="118"/>
        <v>100</v>
      </c>
      <c r="E406" s="81">
        <f t="shared" si="131"/>
        <v>6791.2436711181272</v>
      </c>
      <c r="F406" s="81">
        <f>SUM(E$2:E406)</f>
        <v>2493736.2574359677</v>
      </c>
      <c r="G406" s="43">
        <f t="shared" si="129"/>
        <v>1</v>
      </c>
      <c r="H406" s="78">
        <v>1</v>
      </c>
      <c r="I406" s="15">
        <f t="shared" si="132"/>
        <v>0.6</v>
      </c>
      <c r="J406" s="16">
        <f>VLOOKUP(G406,Inputs!$L$3:$P$15,5,FALSE)</f>
        <v>2000</v>
      </c>
      <c r="K406" s="16">
        <f t="shared" si="133"/>
        <v>1825</v>
      </c>
      <c r="L406" s="79">
        <f>Inputs!$P$8-B406</f>
        <v>156.50120000000004</v>
      </c>
      <c r="M406" s="79">
        <f>Inputs!$Q$8+L406*0.433</f>
        <v>1892.7650196</v>
      </c>
      <c r="N406" s="82">
        <f t="shared" si="134"/>
        <v>132699.92000000001</v>
      </c>
      <c r="O406" s="83">
        <f t="shared" si="135"/>
        <v>781.68979999999999</v>
      </c>
      <c r="P406" s="84">
        <f>IF(O406="","",Inputs!$C$5-O406)</f>
        <v>43.494699999999966</v>
      </c>
      <c r="Q406" s="83">
        <f>IF(N406="","",TS!J406)</f>
        <v>2000</v>
      </c>
      <c r="R406" s="83">
        <f>IF(N406="","",TS!K406)</f>
        <v>1825</v>
      </c>
      <c r="S406" s="83">
        <f>Inputs!$H$5+TS!P406*0.4333</f>
        <v>1893.8119699599999</v>
      </c>
      <c r="T406" s="83">
        <f>Inputs!$G$5+TS!P406*0.4333</f>
        <v>1908.8119699599999</v>
      </c>
      <c r="U406" s="85">
        <f t="shared" si="136"/>
        <v>0.95440598497999996</v>
      </c>
      <c r="V406" s="86">
        <f t="shared" si="124"/>
        <v>0</v>
      </c>
      <c r="W406" s="86">
        <f t="shared" si="125"/>
        <v>0</v>
      </c>
      <c r="X406" s="86" t="e">
        <f>((PI()*((42-2*'Gen Calcs'!$E$13)^2)/4)/144)*(A449-#REF!)*(W406+14.7)/14.7</f>
        <v>#REF!</v>
      </c>
      <c r="Y406" s="86" t="e">
        <f t="shared" si="126"/>
        <v>#REF!</v>
      </c>
      <c r="Z406" s="86" t="e">
        <f t="shared" si="127"/>
        <v>#REF!</v>
      </c>
      <c r="AA406" s="83">
        <f>MAX(B$2:B406)-B406</f>
        <v>43.494699999999966</v>
      </c>
      <c r="AB406" s="83">
        <f t="shared" si="128"/>
        <v>18.833205099999986</v>
      </c>
      <c r="AC406" s="83">
        <f t="shared" si="130"/>
        <v>120</v>
      </c>
      <c r="AD406" s="72">
        <v>120</v>
      </c>
      <c r="AE406" s="73">
        <f t="shared" si="137"/>
        <v>907.92027688745009</v>
      </c>
      <c r="AF406" s="73">
        <f>SUM(AE$2:AE406)</f>
        <v>333663.06438310078</v>
      </c>
      <c r="AG406" s="73">
        <f t="shared" si="138"/>
        <v>840066.83804400847</v>
      </c>
    </row>
    <row r="407" spans="1:33" x14ac:dyDescent="0.25">
      <c r="A407" s="99">
        <v>132799.1</v>
      </c>
      <c r="B407" s="96">
        <v>781.68979999999999</v>
      </c>
      <c r="C407" s="96">
        <v>0.86399999999999999</v>
      </c>
      <c r="D407" s="80">
        <f t="shared" si="118"/>
        <v>99.179999999993015</v>
      </c>
      <c r="E407" s="81">
        <f t="shared" si="131"/>
        <v>6735.5554730144841</v>
      </c>
      <c r="F407" s="81">
        <f>SUM(E$2:E407)</f>
        <v>2500471.8129089824</v>
      </c>
      <c r="G407" s="43">
        <f t="shared" si="129"/>
        <v>2</v>
      </c>
      <c r="H407" s="78">
        <v>1</v>
      </c>
      <c r="I407" s="15">
        <f t="shared" si="132"/>
        <v>0.86399999999999999</v>
      </c>
      <c r="J407" s="16">
        <f>VLOOKUP(G407,Inputs!$L$3:$P$15,5,FALSE)</f>
        <v>2880</v>
      </c>
      <c r="K407" s="16">
        <f t="shared" si="133"/>
        <v>1825</v>
      </c>
      <c r="L407" s="79">
        <f>Inputs!$P$8-B407</f>
        <v>156.50120000000004</v>
      </c>
      <c r="M407" s="79">
        <f>Inputs!$Q$8+L407*0.433</f>
        <v>1892.7650196</v>
      </c>
      <c r="N407" s="82">
        <f t="shared" si="134"/>
        <v>132799.1</v>
      </c>
      <c r="O407" s="83">
        <f t="shared" si="135"/>
        <v>781.68979999999999</v>
      </c>
      <c r="P407" s="84">
        <f>IF(O407="","",Inputs!$C$5-O407)</f>
        <v>43.494699999999966</v>
      </c>
      <c r="Q407" s="83">
        <f>IF(N407="","",TS!J407)</f>
        <v>2880</v>
      </c>
      <c r="R407" s="83">
        <f>IF(N407="","",TS!K407)</f>
        <v>1825</v>
      </c>
      <c r="S407" s="83">
        <f>Inputs!$H$5+TS!P407*0.4333</f>
        <v>1893.8119699599999</v>
      </c>
      <c r="T407" s="83">
        <f>Inputs!$G$5+TS!P407*0.4333</f>
        <v>1908.8119699599999</v>
      </c>
      <c r="U407" s="85">
        <f t="shared" si="136"/>
        <v>0.66278193401388885</v>
      </c>
      <c r="V407" s="86">
        <f t="shared" si="124"/>
        <v>0</v>
      </c>
      <c r="W407" s="86">
        <f t="shared" si="125"/>
        <v>0</v>
      </c>
      <c r="X407" s="86" t="e">
        <f>((PI()*((42-2*'Gen Calcs'!$E$13)^2)/4)/144)*(A450-#REF!)*(W407+14.7)/14.7</f>
        <v>#REF!</v>
      </c>
      <c r="Y407" s="86" t="e">
        <f t="shared" si="126"/>
        <v>#REF!</v>
      </c>
      <c r="Z407" s="86" t="e">
        <f t="shared" si="127"/>
        <v>#REF!</v>
      </c>
      <c r="AA407" s="83">
        <f>MAX(B$2:B407)-B407</f>
        <v>43.494699999999966</v>
      </c>
      <c r="AB407" s="83">
        <f t="shared" si="128"/>
        <v>18.833205099999986</v>
      </c>
      <c r="AC407" s="83">
        <f t="shared" si="130"/>
        <v>120</v>
      </c>
      <c r="AD407" s="72">
        <v>120</v>
      </c>
      <c r="AE407" s="73">
        <f t="shared" si="137"/>
        <v>877.31971654420158</v>
      </c>
      <c r="AF407" s="73">
        <f>SUM(AE$2:AE407)</f>
        <v>334540.38409964496</v>
      </c>
      <c r="AG407" s="73">
        <f t="shared" si="138"/>
        <v>839189.51832746423</v>
      </c>
    </row>
    <row r="408" spans="1:33" x14ac:dyDescent="0.25">
      <c r="A408" s="100">
        <v>132799.92000000001</v>
      </c>
      <c r="B408" s="97">
        <v>787.2636</v>
      </c>
      <c r="C408" s="97">
        <v>0.6</v>
      </c>
      <c r="D408" s="80">
        <f t="shared" si="118"/>
        <v>0.82000000000698492</v>
      </c>
      <c r="E408" s="81">
        <f t="shared" si="131"/>
        <v>55.688198103643003</v>
      </c>
      <c r="F408" s="81">
        <f>SUM(E$2:E408)</f>
        <v>2500527.501107086</v>
      </c>
      <c r="G408" s="43">
        <f t="shared" si="129"/>
        <v>1</v>
      </c>
      <c r="H408" s="78">
        <v>1</v>
      </c>
      <c r="I408" s="15">
        <f t="shared" si="132"/>
        <v>0.6</v>
      </c>
      <c r="J408" s="16">
        <f>VLOOKUP(G408,Inputs!$L$3:$P$15,5,FALSE)</f>
        <v>2000</v>
      </c>
      <c r="K408" s="16">
        <f t="shared" si="133"/>
        <v>1825</v>
      </c>
      <c r="L408" s="79">
        <f>Inputs!$P$8-B408</f>
        <v>150.92740000000003</v>
      </c>
      <c r="M408" s="79">
        <f>Inputs!$Q$8+L408*0.433</f>
        <v>1890.3515642</v>
      </c>
      <c r="N408" s="82">
        <f t="shared" si="134"/>
        <v>132799.92000000001</v>
      </c>
      <c r="O408" s="83">
        <f t="shared" si="135"/>
        <v>787.2636</v>
      </c>
      <c r="P408" s="84">
        <f>IF(O408="","",Inputs!$C$5-O408)</f>
        <v>37.920899999999961</v>
      </c>
      <c r="Q408" s="83">
        <f>IF(N408="","",TS!J408)</f>
        <v>2000</v>
      </c>
      <c r="R408" s="83">
        <f>IF(N408="","",TS!K408)</f>
        <v>1825</v>
      </c>
      <c r="S408" s="83">
        <f>Inputs!$H$5+TS!P408*0.4333</f>
        <v>1891.39684242</v>
      </c>
      <c r="T408" s="83">
        <f>Inputs!$G$5+TS!P408*0.4333</f>
        <v>1906.39684242</v>
      </c>
      <c r="U408" s="85">
        <f t="shared" si="136"/>
        <v>0.95319842120999998</v>
      </c>
      <c r="V408" s="86">
        <f t="shared" si="124"/>
        <v>0</v>
      </c>
      <c r="W408" s="86">
        <f t="shared" si="125"/>
        <v>0</v>
      </c>
      <c r="X408" s="86" t="e">
        <f>((PI()*((42-2*'Gen Calcs'!$E$13)^2)/4)/144)*(A451-#REF!)*(W408+14.7)/14.7</f>
        <v>#REF!</v>
      </c>
      <c r="Y408" s="86" t="e">
        <f t="shared" si="126"/>
        <v>#REF!</v>
      </c>
      <c r="Z408" s="86" t="e">
        <f t="shared" si="127"/>
        <v>#REF!</v>
      </c>
      <c r="AA408" s="83">
        <f>MAX(B$2:B408)-B408</f>
        <v>37.920899999999961</v>
      </c>
      <c r="AB408" s="83">
        <f t="shared" si="128"/>
        <v>16.419749699999983</v>
      </c>
      <c r="AC408" s="83">
        <f t="shared" si="130"/>
        <v>120</v>
      </c>
      <c r="AD408" s="72">
        <v>120</v>
      </c>
      <c r="AE408" s="73">
        <f t="shared" si="137"/>
        <v>7.4449462705405081</v>
      </c>
      <c r="AF408" s="73">
        <f>SUM(AE$2:AE408)</f>
        <v>334547.82904591551</v>
      </c>
      <c r="AG408" s="73">
        <f t="shared" si="138"/>
        <v>839182.07338119368</v>
      </c>
    </row>
    <row r="409" spans="1:33" x14ac:dyDescent="0.25">
      <c r="A409" s="99">
        <v>132899.92000000001</v>
      </c>
      <c r="B409" s="96">
        <v>792.28060000000005</v>
      </c>
      <c r="C409" s="96">
        <v>0.6</v>
      </c>
      <c r="D409" s="80">
        <f t="shared" si="118"/>
        <v>100</v>
      </c>
      <c r="E409" s="81">
        <f t="shared" si="131"/>
        <v>6791.2436711181272</v>
      </c>
      <c r="F409" s="81">
        <f>SUM(E$2:E409)</f>
        <v>2507318.7447782042</v>
      </c>
      <c r="G409" s="43">
        <f t="shared" si="129"/>
        <v>1</v>
      </c>
      <c r="H409" s="78">
        <v>1</v>
      </c>
      <c r="I409" s="15">
        <f t="shared" si="132"/>
        <v>0.6</v>
      </c>
      <c r="J409" s="16">
        <f>VLOOKUP(G409,Inputs!$L$3:$P$15,5,FALSE)</f>
        <v>2000</v>
      </c>
      <c r="K409" s="16">
        <f t="shared" si="133"/>
        <v>1825</v>
      </c>
      <c r="L409" s="79">
        <f>Inputs!$P$8-B409</f>
        <v>145.91039999999998</v>
      </c>
      <c r="M409" s="79">
        <f>Inputs!$Q$8+L409*0.433</f>
        <v>1888.1792032000001</v>
      </c>
      <c r="N409" s="82">
        <f t="shared" si="134"/>
        <v>132899.92000000001</v>
      </c>
      <c r="O409" s="83">
        <f t="shared" si="135"/>
        <v>792.28060000000005</v>
      </c>
      <c r="P409" s="84">
        <f>IF(O409="","",Inputs!$C$5-O409)</f>
        <v>32.903899999999908</v>
      </c>
      <c r="Q409" s="83">
        <f>IF(N409="","",TS!J409)</f>
        <v>2000</v>
      </c>
      <c r="R409" s="83">
        <f>IF(N409="","",TS!K409)</f>
        <v>1825</v>
      </c>
      <c r="S409" s="83">
        <f>Inputs!$H$5+TS!P409*0.4333</f>
        <v>1889.2229763199998</v>
      </c>
      <c r="T409" s="83">
        <f>Inputs!$G$5+TS!P409*0.4333</f>
        <v>1904.2229763199998</v>
      </c>
      <c r="U409" s="85">
        <f t="shared" si="136"/>
        <v>0.95211148815999991</v>
      </c>
      <c r="V409" s="86">
        <f t="shared" si="124"/>
        <v>0</v>
      </c>
      <c r="W409" s="86">
        <f t="shared" si="125"/>
        <v>0</v>
      </c>
      <c r="X409" s="86" t="e">
        <f>((PI()*((42-2*'Gen Calcs'!$E$13)^2)/4)/144)*(A452-#REF!)*(W409+14.7)/14.7</f>
        <v>#REF!</v>
      </c>
      <c r="Y409" s="86" t="e">
        <f t="shared" si="126"/>
        <v>#REF!</v>
      </c>
      <c r="Z409" s="86" t="e">
        <f t="shared" si="127"/>
        <v>#REF!</v>
      </c>
      <c r="AA409" s="83">
        <f>MAX(B$2:B409)-B409</f>
        <v>32.903899999999908</v>
      </c>
      <c r="AB409" s="83">
        <f t="shared" si="128"/>
        <v>14.247388699999959</v>
      </c>
      <c r="AC409" s="83">
        <f t="shared" si="130"/>
        <v>120</v>
      </c>
      <c r="AD409" s="72">
        <v>120</v>
      </c>
      <c r="AE409" s="73">
        <f t="shared" si="137"/>
        <v>907.92027688745009</v>
      </c>
      <c r="AF409" s="73">
        <f>SUM(AE$2:AE409)</f>
        <v>335455.74932280293</v>
      </c>
      <c r="AG409" s="73">
        <f t="shared" si="138"/>
        <v>838274.1531043062</v>
      </c>
    </row>
    <row r="410" spans="1:33" x14ac:dyDescent="0.25">
      <c r="A410" s="100">
        <v>132999.92000000001</v>
      </c>
      <c r="B410" s="97">
        <v>796.26250000000005</v>
      </c>
      <c r="C410" s="97">
        <v>0.6</v>
      </c>
      <c r="D410" s="80">
        <f t="shared" si="118"/>
        <v>100</v>
      </c>
      <c r="E410" s="81">
        <f t="shared" si="131"/>
        <v>6791.2436711181272</v>
      </c>
      <c r="F410" s="81">
        <f>SUM(E$2:E410)</f>
        <v>2514109.9884493225</v>
      </c>
      <c r="G410" s="43">
        <f t="shared" si="129"/>
        <v>1</v>
      </c>
      <c r="H410" s="78">
        <v>1</v>
      </c>
      <c r="I410" s="15">
        <f t="shared" si="132"/>
        <v>0.6</v>
      </c>
      <c r="J410" s="16">
        <f>VLOOKUP(G410,Inputs!$L$3:$P$15,5,FALSE)</f>
        <v>2000</v>
      </c>
      <c r="K410" s="16">
        <f t="shared" si="133"/>
        <v>1825</v>
      </c>
      <c r="L410" s="79">
        <f>Inputs!$P$8-B410</f>
        <v>141.92849999999999</v>
      </c>
      <c r="M410" s="79">
        <f>Inputs!$Q$8+L410*0.433</f>
        <v>1886.4550405</v>
      </c>
      <c r="N410" s="82">
        <f t="shared" si="134"/>
        <v>132999.92000000001</v>
      </c>
      <c r="O410" s="83">
        <f t="shared" si="135"/>
        <v>796.26250000000005</v>
      </c>
      <c r="P410" s="84">
        <f>IF(O410="","",Inputs!$C$5-O410)</f>
        <v>28.921999999999912</v>
      </c>
      <c r="Q410" s="83">
        <f>IF(N410="","",TS!J410)</f>
        <v>2000</v>
      </c>
      <c r="R410" s="83">
        <f>IF(N410="","",TS!K410)</f>
        <v>1825</v>
      </c>
      <c r="S410" s="83">
        <f>Inputs!$H$5+TS!P410*0.4333</f>
        <v>1887.4976190499999</v>
      </c>
      <c r="T410" s="83">
        <f>Inputs!$G$5+TS!P410*0.4333</f>
        <v>1902.4976190499999</v>
      </c>
      <c r="U410" s="85">
        <f t="shared" si="136"/>
        <v>0.95124880952499991</v>
      </c>
      <c r="V410" s="86">
        <f t="shared" si="124"/>
        <v>0</v>
      </c>
      <c r="W410" s="86">
        <f t="shared" si="125"/>
        <v>0</v>
      </c>
      <c r="X410" s="86" t="e">
        <f>((PI()*((42-2*'Gen Calcs'!$E$13)^2)/4)/144)*(A453-#REF!)*(W410+14.7)/14.7</f>
        <v>#REF!</v>
      </c>
      <c r="Y410" s="86" t="e">
        <f t="shared" si="126"/>
        <v>#REF!</v>
      </c>
      <c r="Z410" s="86" t="e">
        <f t="shared" si="127"/>
        <v>#REF!</v>
      </c>
      <c r="AA410" s="83">
        <f>MAX(B$2:B410)-B410</f>
        <v>28.921999999999912</v>
      </c>
      <c r="AB410" s="83">
        <f t="shared" si="128"/>
        <v>12.523225999999962</v>
      </c>
      <c r="AC410" s="83">
        <f t="shared" si="130"/>
        <v>120</v>
      </c>
      <c r="AD410" s="72">
        <v>120</v>
      </c>
      <c r="AE410" s="73">
        <f t="shared" si="137"/>
        <v>907.92027688745009</v>
      </c>
      <c r="AF410" s="73">
        <f>SUM(AE$2:AE410)</f>
        <v>336363.66959969036</v>
      </c>
      <c r="AG410" s="73">
        <f t="shared" si="138"/>
        <v>837366.23282741883</v>
      </c>
    </row>
    <row r="411" spans="1:33" x14ac:dyDescent="0.25">
      <c r="A411" s="99">
        <v>133039.1</v>
      </c>
      <c r="B411" s="96">
        <v>796.26250000000005</v>
      </c>
      <c r="C411" s="96">
        <v>0.86399999999999999</v>
      </c>
      <c r="D411" s="80">
        <f t="shared" si="118"/>
        <v>39.179999999993015</v>
      </c>
      <c r="E411" s="81">
        <f t="shared" si="131"/>
        <v>2660.8092703436077</v>
      </c>
      <c r="F411" s="81">
        <f>SUM(E$2:E411)</f>
        <v>2516770.7977196663</v>
      </c>
      <c r="G411" s="43">
        <f t="shared" si="129"/>
        <v>2</v>
      </c>
      <c r="H411" s="78">
        <v>1</v>
      </c>
      <c r="I411" s="15">
        <f t="shared" si="132"/>
        <v>0.86399999999999999</v>
      </c>
      <c r="J411" s="16">
        <f>VLOOKUP(G411,Inputs!$L$3:$P$15,5,FALSE)</f>
        <v>2880</v>
      </c>
      <c r="K411" s="16">
        <f t="shared" si="133"/>
        <v>1825</v>
      </c>
      <c r="L411" s="79">
        <f>Inputs!$P$8-B411</f>
        <v>141.92849999999999</v>
      </c>
      <c r="M411" s="79">
        <f>Inputs!$Q$8+L411*0.433</f>
        <v>1886.4550405</v>
      </c>
      <c r="N411" s="82">
        <f t="shared" si="134"/>
        <v>133039.1</v>
      </c>
      <c r="O411" s="83">
        <f t="shared" si="135"/>
        <v>796.26250000000005</v>
      </c>
      <c r="P411" s="84">
        <f>IF(O411="","",Inputs!$C$5-O411)</f>
        <v>28.921999999999912</v>
      </c>
      <c r="Q411" s="83">
        <f>IF(N411="","",TS!J411)</f>
        <v>2880</v>
      </c>
      <c r="R411" s="83">
        <f>IF(N411="","",TS!K411)</f>
        <v>1825</v>
      </c>
      <c r="S411" s="83">
        <f>Inputs!$H$5+TS!P411*0.4333</f>
        <v>1887.4976190499999</v>
      </c>
      <c r="T411" s="83">
        <f>Inputs!$G$5+TS!P411*0.4333</f>
        <v>1902.4976190499999</v>
      </c>
      <c r="U411" s="85">
        <f t="shared" si="136"/>
        <v>0.66058945105902778</v>
      </c>
      <c r="V411" s="86">
        <f t="shared" si="124"/>
        <v>0</v>
      </c>
      <c r="W411" s="86">
        <f t="shared" si="125"/>
        <v>0</v>
      </c>
      <c r="X411" s="86" t="e">
        <f>((PI()*((42-2*'Gen Calcs'!$E$13)^2)/4)/144)*(A454-#REF!)*(W411+14.7)/14.7</f>
        <v>#REF!</v>
      </c>
      <c r="Y411" s="86" t="e">
        <f t="shared" si="126"/>
        <v>#REF!</v>
      </c>
      <c r="Z411" s="86" t="e">
        <f t="shared" si="127"/>
        <v>#REF!</v>
      </c>
      <c r="AA411" s="83">
        <f>MAX(B$2:B411)-B411</f>
        <v>28.921999999999912</v>
      </c>
      <c r="AB411" s="83">
        <f t="shared" si="128"/>
        <v>12.523225999999962</v>
      </c>
      <c r="AC411" s="83">
        <f t="shared" si="130"/>
        <v>120</v>
      </c>
      <c r="AD411" s="72">
        <v>120</v>
      </c>
      <c r="AE411" s="73">
        <f t="shared" si="137"/>
        <v>346.57578639038223</v>
      </c>
      <c r="AF411" s="73">
        <f>SUM(AE$2:AE411)</f>
        <v>336710.24538608076</v>
      </c>
      <c r="AG411" s="73">
        <f t="shared" si="138"/>
        <v>837019.65704102837</v>
      </c>
    </row>
    <row r="412" spans="1:33" x14ac:dyDescent="0.25">
      <c r="A412" s="100">
        <v>133099.92000000001</v>
      </c>
      <c r="B412" s="97">
        <v>798.04219999999998</v>
      </c>
      <c r="C412" s="97">
        <v>0.6</v>
      </c>
      <c r="D412" s="80">
        <f t="shared" si="118"/>
        <v>60.820000000006985</v>
      </c>
      <c r="E412" s="81">
        <f t="shared" si="131"/>
        <v>4130.4344007745194</v>
      </c>
      <c r="F412" s="81">
        <f>SUM(E$2:E412)</f>
        <v>2520901.2321204408</v>
      </c>
      <c r="G412" s="43">
        <f t="shared" si="129"/>
        <v>1</v>
      </c>
      <c r="H412" s="78">
        <v>1</v>
      </c>
      <c r="I412" s="15">
        <f t="shared" si="132"/>
        <v>0.6</v>
      </c>
      <c r="J412" s="16">
        <f>VLOOKUP(G412,Inputs!$L$3:$P$15,5,FALSE)</f>
        <v>2000</v>
      </c>
      <c r="K412" s="16">
        <f t="shared" si="133"/>
        <v>1825</v>
      </c>
      <c r="L412" s="79">
        <f>Inputs!$P$8-B412</f>
        <v>140.14880000000005</v>
      </c>
      <c r="M412" s="79">
        <f>Inputs!$Q$8+L412*0.433</f>
        <v>1885.6844304000001</v>
      </c>
      <c r="N412" s="82">
        <f t="shared" si="134"/>
        <v>133099.92000000001</v>
      </c>
      <c r="O412" s="83">
        <f t="shared" si="135"/>
        <v>798.04219999999998</v>
      </c>
      <c r="P412" s="84">
        <f>IF(O412="","",Inputs!$C$5-O412)</f>
        <v>27.142299999999977</v>
      </c>
      <c r="Q412" s="83">
        <f>IF(N412="","",TS!J412)</f>
        <v>2000</v>
      </c>
      <c r="R412" s="83">
        <f>IF(N412="","",TS!K412)</f>
        <v>1825</v>
      </c>
      <c r="S412" s="83">
        <f>Inputs!$H$5+TS!P412*0.4333</f>
        <v>1886.72647504</v>
      </c>
      <c r="T412" s="83">
        <f>Inputs!$G$5+TS!P412*0.4333</f>
        <v>1901.72647504</v>
      </c>
      <c r="U412" s="85">
        <f t="shared" si="136"/>
        <v>0.95086323752000002</v>
      </c>
      <c r="V412" s="86">
        <f t="shared" si="124"/>
        <v>0</v>
      </c>
      <c r="W412" s="86">
        <f t="shared" si="125"/>
        <v>0</v>
      </c>
      <c r="X412" s="86" t="e">
        <f>((PI()*((42-2*'Gen Calcs'!$E$13)^2)/4)/144)*(A455-#REF!)*(W412+14.7)/14.7</f>
        <v>#REF!</v>
      </c>
      <c r="Y412" s="86" t="e">
        <f t="shared" si="126"/>
        <v>#REF!</v>
      </c>
      <c r="Z412" s="86" t="e">
        <f t="shared" si="127"/>
        <v>#REF!</v>
      </c>
      <c r="AA412" s="83">
        <f>MAX(B$2:B412)-B412</f>
        <v>27.142299999999977</v>
      </c>
      <c r="AB412" s="83">
        <f t="shared" si="128"/>
        <v>11.75261589999999</v>
      </c>
      <c r="AC412" s="83">
        <f t="shared" si="130"/>
        <v>120</v>
      </c>
      <c r="AD412" s="72">
        <v>120</v>
      </c>
      <c r="AE412" s="73">
        <f t="shared" si="137"/>
        <v>552.19711240301058</v>
      </c>
      <c r="AF412" s="73">
        <f>SUM(AE$2:AE412)</f>
        <v>337262.44249848375</v>
      </c>
      <c r="AG412" s="73">
        <f t="shared" si="138"/>
        <v>836467.4599286255</v>
      </c>
    </row>
    <row r="413" spans="1:33" x14ac:dyDescent="0.25">
      <c r="A413" s="99">
        <v>133199.92000000001</v>
      </c>
      <c r="B413" s="96">
        <v>798.98469999999998</v>
      </c>
      <c r="C413" s="96">
        <v>0.6</v>
      </c>
      <c r="D413" s="80">
        <f t="shared" si="118"/>
        <v>100</v>
      </c>
      <c r="E413" s="81">
        <f t="shared" si="131"/>
        <v>6791.2436711181272</v>
      </c>
      <c r="F413" s="81">
        <f>SUM(E$2:E413)</f>
        <v>2527692.4757915591</v>
      </c>
      <c r="G413" s="43">
        <f t="shared" si="129"/>
        <v>1</v>
      </c>
      <c r="H413" s="78">
        <v>1</v>
      </c>
      <c r="I413" s="15">
        <f t="shared" si="132"/>
        <v>0.6</v>
      </c>
      <c r="J413" s="16">
        <f>VLOOKUP(G413,Inputs!$L$3:$P$15,5,FALSE)</f>
        <v>2000</v>
      </c>
      <c r="K413" s="16">
        <f t="shared" si="133"/>
        <v>1825</v>
      </c>
      <c r="L413" s="79">
        <f>Inputs!$P$8-B413</f>
        <v>139.20630000000006</v>
      </c>
      <c r="M413" s="79">
        <f>Inputs!$Q$8+L413*0.433</f>
        <v>1885.2763279000001</v>
      </c>
      <c r="N413" s="82">
        <f t="shared" si="134"/>
        <v>133199.92000000001</v>
      </c>
      <c r="O413" s="83">
        <f t="shared" si="135"/>
        <v>798.98469999999998</v>
      </c>
      <c r="P413" s="84">
        <f>IF(O413="","",Inputs!$C$5-O413)</f>
        <v>26.199799999999982</v>
      </c>
      <c r="Q413" s="83">
        <f>IF(N413="","",TS!J413)</f>
        <v>2000</v>
      </c>
      <c r="R413" s="83">
        <f>IF(N413="","",TS!K413)</f>
        <v>1825</v>
      </c>
      <c r="S413" s="83">
        <f>Inputs!$H$5+TS!P413*0.4333</f>
        <v>1886.3180897899999</v>
      </c>
      <c r="T413" s="83">
        <f>Inputs!$G$5+TS!P413*0.4333</f>
        <v>1901.3180897899999</v>
      </c>
      <c r="U413" s="85">
        <f t="shared" si="136"/>
        <v>0.95065904489499997</v>
      </c>
      <c r="V413" s="86">
        <f t="shared" si="124"/>
        <v>0</v>
      </c>
      <c r="W413" s="86">
        <f t="shared" si="125"/>
        <v>0</v>
      </c>
      <c r="X413" s="86" t="e">
        <f>((PI()*((42-2*'Gen Calcs'!$E$13)^2)/4)/144)*(A456-#REF!)*(W413+14.7)/14.7</f>
        <v>#REF!</v>
      </c>
      <c r="Y413" s="86" t="e">
        <f t="shared" si="126"/>
        <v>#REF!</v>
      </c>
      <c r="Z413" s="86" t="e">
        <f t="shared" si="127"/>
        <v>#REF!</v>
      </c>
      <c r="AA413" s="83">
        <f>MAX(B$2:B413)-B413</f>
        <v>26.199799999999982</v>
      </c>
      <c r="AB413" s="83">
        <f t="shared" si="128"/>
        <v>11.344513399999991</v>
      </c>
      <c r="AC413" s="83">
        <f t="shared" si="130"/>
        <v>120</v>
      </c>
      <c r="AD413" s="72">
        <v>120</v>
      </c>
      <c r="AE413" s="73">
        <f t="shared" si="137"/>
        <v>907.92027688745009</v>
      </c>
      <c r="AF413" s="73">
        <f>SUM(AE$2:AE413)</f>
        <v>338170.36277537118</v>
      </c>
      <c r="AG413" s="73">
        <f t="shared" si="138"/>
        <v>835559.53965173801</v>
      </c>
    </row>
    <row r="414" spans="1:33" x14ac:dyDescent="0.25">
      <c r="A414" s="100">
        <v>133299.92000000001</v>
      </c>
      <c r="B414" s="97">
        <v>799.34</v>
      </c>
      <c r="C414" s="97">
        <v>0.6</v>
      </c>
      <c r="D414" s="80">
        <f t="shared" si="118"/>
        <v>100</v>
      </c>
      <c r="E414" s="81">
        <f t="shared" si="131"/>
        <v>6791.2436711181272</v>
      </c>
      <c r="F414" s="81">
        <f>SUM(E$2:E414)</f>
        <v>2534483.7194626774</v>
      </c>
      <c r="G414" s="43">
        <f t="shared" si="129"/>
        <v>1</v>
      </c>
      <c r="H414" s="78">
        <v>1</v>
      </c>
      <c r="I414" s="15">
        <f t="shared" si="132"/>
        <v>0.6</v>
      </c>
      <c r="J414" s="16">
        <f>VLOOKUP(G414,Inputs!$L$3:$P$15,5,FALSE)</f>
        <v>2000</v>
      </c>
      <c r="K414" s="16">
        <f t="shared" si="133"/>
        <v>1825</v>
      </c>
      <c r="L414" s="79">
        <f>Inputs!$P$8-B414</f>
        <v>138.851</v>
      </c>
      <c r="M414" s="79">
        <f>Inputs!$Q$8+L414*0.433</f>
        <v>1885.1224830000001</v>
      </c>
      <c r="N414" s="82">
        <f t="shared" si="134"/>
        <v>133299.92000000001</v>
      </c>
      <c r="O414" s="83">
        <f t="shared" si="135"/>
        <v>799.34</v>
      </c>
      <c r="P414" s="84">
        <f>IF(O414="","",Inputs!$C$5-O414)</f>
        <v>25.844499999999925</v>
      </c>
      <c r="Q414" s="83">
        <f>IF(N414="","",TS!J414)</f>
        <v>2000</v>
      </c>
      <c r="R414" s="83">
        <f>IF(N414="","",TS!K414)</f>
        <v>1825</v>
      </c>
      <c r="S414" s="83">
        <f>Inputs!$H$5+TS!P414*0.4333</f>
        <v>1886.1641382999999</v>
      </c>
      <c r="T414" s="83">
        <f>Inputs!$G$5+TS!P414*0.4333</f>
        <v>1901.1641382999999</v>
      </c>
      <c r="U414" s="85">
        <f t="shared" si="136"/>
        <v>0.95058206914999999</v>
      </c>
      <c r="V414" s="86">
        <f t="shared" si="124"/>
        <v>0</v>
      </c>
      <c r="W414" s="86">
        <f t="shared" si="125"/>
        <v>0</v>
      </c>
      <c r="X414" s="86" t="e">
        <f>((PI()*((42-2*'Gen Calcs'!$E$13)^2)/4)/144)*(A457-#REF!)*(W414+14.7)/14.7</f>
        <v>#REF!</v>
      </c>
      <c r="Y414" s="86" t="e">
        <f t="shared" si="126"/>
        <v>#REF!</v>
      </c>
      <c r="Z414" s="86" t="e">
        <f t="shared" si="127"/>
        <v>#REF!</v>
      </c>
      <c r="AA414" s="83">
        <f>MAX(B$2:B414)-B414</f>
        <v>25.844499999999925</v>
      </c>
      <c r="AB414" s="83">
        <f t="shared" si="128"/>
        <v>11.190668499999967</v>
      </c>
      <c r="AC414" s="83">
        <f t="shared" si="130"/>
        <v>120</v>
      </c>
      <c r="AD414" s="72">
        <v>120</v>
      </c>
      <c r="AE414" s="73">
        <f t="shared" si="137"/>
        <v>907.92027688745009</v>
      </c>
      <c r="AF414" s="73">
        <f>SUM(AE$2:AE414)</f>
        <v>339078.2830522586</v>
      </c>
      <c r="AG414" s="73">
        <f t="shared" si="138"/>
        <v>834651.61937485053</v>
      </c>
    </row>
    <row r="415" spans="1:33" x14ac:dyDescent="0.25">
      <c r="A415" s="99">
        <v>133399.92000000001</v>
      </c>
      <c r="B415" s="96">
        <v>799.35379999999998</v>
      </c>
      <c r="C415" s="96">
        <v>0.6</v>
      </c>
      <c r="D415" s="80">
        <f t="shared" si="118"/>
        <v>100</v>
      </c>
      <c r="E415" s="81">
        <f t="shared" si="131"/>
        <v>6791.2436711181272</v>
      </c>
      <c r="F415" s="81">
        <f>SUM(E$2:E415)</f>
        <v>2541274.9631337957</v>
      </c>
      <c r="G415" s="43">
        <f t="shared" si="129"/>
        <v>1</v>
      </c>
      <c r="H415" s="78">
        <v>1</v>
      </c>
      <c r="I415" s="15">
        <f t="shared" si="132"/>
        <v>0.6</v>
      </c>
      <c r="J415" s="16">
        <f>VLOOKUP(G415,Inputs!$L$3:$P$15,5,FALSE)</f>
        <v>2000</v>
      </c>
      <c r="K415" s="16">
        <f t="shared" si="133"/>
        <v>1825</v>
      </c>
      <c r="L415" s="79">
        <f>Inputs!$P$8-B415</f>
        <v>138.83720000000005</v>
      </c>
      <c r="M415" s="79">
        <f>Inputs!$Q$8+L415*0.433</f>
        <v>1885.1165076</v>
      </c>
      <c r="N415" s="82">
        <f t="shared" si="134"/>
        <v>133399.92000000001</v>
      </c>
      <c r="O415" s="83">
        <f t="shared" si="135"/>
        <v>799.35379999999998</v>
      </c>
      <c r="P415" s="84">
        <f>IF(O415="","",Inputs!$C$5-O415)</f>
        <v>25.830699999999979</v>
      </c>
      <c r="Q415" s="83">
        <f>IF(N415="","",TS!J415)</f>
        <v>2000</v>
      </c>
      <c r="R415" s="83">
        <f>IF(N415="","",TS!K415)</f>
        <v>1825</v>
      </c>
      <c r="S415" s="83">
        <f>Inputs!$H$5+TS!P415*0.4333</f>
        <v>1886.1581587599999</v>
      </c>
      <c r="T415" s="83">
        <f>Inputs!$G$5+TS!P415*0.4333</f>
        <v>1901.1581587599999</v>
      </c>
      <c r="U415" s="85">
        <f t="shared" si="136"/>
        <v>0.95057907937999997</v>
      </c>
      <c r="V415" s="86">
        <f t="shared" si="124"/>
        <v>0</v>
      </c>
      <c r="W415" s="86">
        <f t="shared" si="125"/>
        <v>0</v>
      </c>
      <c r="X415" s="86" t="e">
        <f>((PI()*((42-2*'Gen Calcs'!$E$13)^2)/4)/144)*(A458-#REF!)*(W415+14.7)/14.7</f>
        <v>#REF!</v>
      </c>
      <c r="Y415" s="86" t="e">
        <f t="shared" si="126"/>
        <v>#REF!</v>
      </c>
      <c r="Z415" s="86" t="e">
        <f t="shared" si="127"/>
        <v>#REF!</v>
      </c>
      <c r="AA415" s="83">
        <f>MAX(B$2:B415)-B415</f>
        <v>25.830699999999979</v>
      </c>
      <c r="AB415" s="83">
        <f t="shared" si="128"/>
        <v>11.184693099999992</v>
      </c>
      <c r="AC415" s="83">
        <f t="shared" si="130"/>
        <v>120</v>
      </c>
      <c r="AD415" s="72">
        <v>120</v>
      </c>
      <c r="AE415" s="73">
        <f t="shared" si="137"/>
        <v>907.92027688745009</v>
      </c>
      <c r="AF415" s="73">
        <f>SUM(AE$2:AE415)</f>
        <v>339986.20332914602</v>
      </c>
      <c r="AG415" s="73">
        <f t="shared" si="138"/>
        <v>833743.69909796317</v>
      </c>
    </row>
    <row r="416" spans="1:33" x14ac:dyDescent="0.25">
      <c r="A416" s="100">
        <v>133499.92000000001</v>
      </c>
      <c r="B416" s="97">
        <v>800.36270000000002</v>
      </c>
      <c r="C416" s="97">
        <v>0.6</v>
      </c>
      <c r="D416" s="80">
        <f t="shared" si="118"/>
        <v>100</v>
      </c>
      <c r="E416" s="81">
        <f t="shared" si="131"/>
        <v>6791.2436711181272</v>
      </c>
      <c r="F416" s="81">
        <f>SUM(E$2:E416)</f>
        <v>2548066.2068049139</v>
      </c>
      <c r="G416" s="43">
        <f t="shared" si="129"/>
        <v>1</v>
      </c>
      <c r="H416" s="78">
        <v>1</v>
      </c>
      <c r="I416" s="15">
        <f t="shared" si="132"/>
        <v>0.6</v>
      </c>
      <c r="J416" s="16">
        <f>VLOOKUP(G416,Inputs!$L$3:$P$15,5,FALSE)</f>
        <v>2000</v>
      </c>
      <c r="K416" s="16">
        <f t="shared" si="133"/>
        <v>1825</v>
      </c>
      <c r="L416" s="79">
        <f>Inputs!$P$8-B416</f>
        <v>137.82830000000001</v>
      </c>
      <c r="M416" s="79">
        <f>Inputs!$Q$8+L416*0.433</f>
        <v>1884.6796538999999</v>
      </c>
      <c r="N416" s="82">
        <f t="shared" si="134"/>
        <v>133499.92000000001</v>
      </c>
      <c r="O416" s="83">
        <f t="shared" si="135"/>
        <v>800.36270000000002</v>
      </c>
      <c r="P416" s="84">
        <f>IF(O416="","",Inputs!$C$5-O416)</f>
        <v>24.821799999999939</v>
      </c>
      <c r="Q416" s="83">
        <f>IF(N416="","",TS!J416)</f>
        <v>2000</v>
      </c>
      <c r="R416" s="83">
        <f>IF(N416="","",TS!K416)</f>
        <v>1825</v>
      </c>
      <c r="S416" s="83">
        <f>Inputs!$H$5+TS!P416*0.4333</f>
        <v>1885.72100239</v>
      </c>
      <c r="T416" s="83">
        <f>Inputs!$G$5+TS!P416*0.4333</f>
        <v>1900.72100239</v>
      </c>
      <c r="U416" s="85">
        <f t="shared" si="136"/>
        <v>0.95036050119499993</v>
      </c>
      <c r="V416" s="86">
        <f t="shared" si="124"/>
        <v>0</v>
      </c>
      <c r="W416" s="86">
        <f t="shared" si="125"/>
        <v>0</v>
      </c>
      <c r="X416" s="86" t="e">
        <f>((PI()*((42-2*'Gen Calcs'!$E$13)^2)/4)/144)*(A459-#REF!)*(W416+14.7)/14.7</f>
        <v>#REF!</v>
      </c>
      <c r="Y416" s="86" t="e">
        <f t="shared" si="126"/>
        <v>#REF!</v>
      </c>
      <c r="Z416" s="86" t="e">
        <f t="shared" si="127"/>
        <v>#REF!</v>
      </c>
      <c r="AA416" s="83">
        <f>MAX(B$2:B416)-B416</f>
        <v>24.821799999999939</v>
      </c>
      <c r="AB416" s="83">
        <f t="shared" si="128"/>
        <v>10.747839399999974</v>
      </c>
      <c r="AC416" s="83">
        <f t="shared" si="130"/>
        <v>120</v>
      </c>
      <c r="AD416" s="72">
        <v>120</v>
      </c>
      <c r="AE416" s="73">
        <f t="shared" si="137"/>
        <v>907.92027688745009</v>
      </c>
      <c r="AF416" s="73">
        <f>SUM(AE$2:AE416)</f>
        <v>340894.12360603345</v>
      </c>
      <c r="AG416" s="73">
        <f t="shared" si="138"/>
        <v>832835.7788210758</v>
      </c>
    </row>
    <row r="417" spans="1:33" x14ac:dyDescent="0.25">
      <c r="A417" s="99">
        <v>133599.92000000001</v>
      </c>
      <c r="B417" s="96">
        <v>801.66890000000001</v>
      </c>
      <c r="C417" s="96">
        <v>0.6</v>
      </c>
      <c r="D417" s="80">
        <f t="shared" ref="D417:D480" si="139">A417-A416</f>
        <v>100</v>
      </c>
      <c r="E417" s="81">
        <f t="shared" si="131"/>
        <v>6616.6076625842816</v>
      </c>
      <c r="F417" s="81">
        <f>SUM(E$2:E417)</f>
        <v>2554682.8144674981</v>
      </c>
      <c r="G417" s="43">
        <f t="shared" si="129"/>
        <v>1</v>
      </c>
      <c r="H417" s="78">
        <v>1</v>
      </c>
      <c r="I417" s="15">
        <f t="shared" si="132"/>
        <v>0.6</v>
      </c>
      <c r="J417" s="16">
        <f>VLOOKUP(G417,Inputs!$L$3:$P$15,5,FALSE)</f>
        <v>2000</v>
      </c>
      <c r="K417" s="16">
        <f t="shared" si="133"/>
        <v>1825</v>
      </c>
      <c r="L417" s="79">
        <f>Inputs!$P$8-B417</f>
        <v>136.52210000000002</v>
      </c>
      <c r="M417" s="79">
        <f>Inputs!$Q$8+L417*0.433</f>
        <v>1884.1140693</v>
      </c>
      <c r="N417" s="82">
        <f t="shared" si="134"/>
        <v>133599.92000000001</v>
      </c>
      <c r="O417" s="83">
        <f t="shared" si="135"/>
        <v>801.66890000000001</v>
      </c>
      <c r="P417" s="84">
        <f>IF(O417="","",Inputs!$C$5-O417)</f>
        <v>23.515599999999949</v>
      </c>
      <c r="Q417" s="83">
        <f>IF(N417="","",TS!J417)</f>
        <v>2000</v>
      </c>
      <c r="R417" s="83">
        <f>IF(N417="","",TS!K417)</f>
        <v>1825</v>
      </c>
      <c r="S417" s="83">
        <f>Inputs!$H$5+TS!P417*0.4333</f>
        <v>1885.15502593</v>
      </c>
      <c r="T417" s="83">
        <f>Inputs!$G$5+TS!P417*0.4333</f>
        <v>1900.15502593</v>
      </c>
      <c r="U417" s="85">
        <f t="shared" si="136"/>
        <v>0.95007751296499998</v>
      </c>
      <c r="V417" s="86">
        <f t="shared" si="124"/>
        <v>0</v>
      </c>
      <c r="W417" s="86">
        <f t="shared" si="125"/>
        <v>0</v>
      </c>
      <c r="X417" s="86" t="e">
        <f>((PI()*((42-2*'Gen Calcs'!$E$13)^2)/4)/144)*(A460-#REF!)*(W417+14.7)/14.7</f>
        <v>#REF!</v>
      </c>
      <c r="Y417" s="86" t="e">
        <f t="shared" si="126"/>
        <v>#REF!</v>
      </c>
      <c r="Z417" s="86" t="e">
        <f t="shared" si="127"/>
        <v>#REF!</v>
      </c>
      <c r="AA417" s="83">
        <f>MAX(B$2:B417)-B417</f>
        <v>23.515599999999949</v>
      </c>
      <c r="AB417" s="83">
        <f t="shared" si="128"/>
        <v>10.182254799999978</v>
      </c>
      <c r="AC417" s="83">
        <f t="shared" si="130"/>
        <v>120</v>
      </c>
      <c r="AD417" s="72">
        <v>120</v>
      </c>
      <c r="AE417" s="73">
        <f t="shared" si="137"/>
        <v>907.92027688745009</v>
      </c>
      <c r="AF417" s="73">
        <f>SUM(AE$2:AE417)</f>
        <v>341802.04388292087</v>
      </c>
      <c r="AG417" s="73">
        <f t="shared" si="138"/>
        <v>831927.85854418832</v>
      </c>
    </row>
    <row r="418" spans="1:33" x14ac:dyDescent="0.25">
      <c r="A418" s="100">
        <v>133699.92000000001</v>
      </c>
      <c r="B418" s="97">
        <v>800.76980000000003</v>
      </c>
      <c r="C418" s="97">
        <v>0.6</v>
      </c>
      <c r="D418" s="80">
        <f t="shared" si="139"/>
        <v>100</v>
      </c>
      <c r="E418" s="81">
        <f t="shared" si="131"/>
        <v>6791.2436711181272</v>
      </c>
      <c r="F418" s="81">
        <f>SUM(E$2:E418)</f>
        <v>2561474.0581386164</v>
      </c>
      <c r="G418" s="43">
        <f t="shared" si="129"/>
        <v>1</v>
      </c>
      <c r="H418" s="78">
        <v>1</v>
      </c>
      <c r="I418" s="15">
        <f t="shared" si="132"/>
        <v>0.6</v>
      </c>
      <c r="J418" s="16">
        <f>VLOOKUP(G418,Inputs!$L$3:$P$15,5,FALSE)</f>
        <v>2000</v>
      </c>
      <c r="K418" s="16">
        <f t="shared" si="133"/>
        <v>1825</v>
      </c>
      <c r="L418" s="79">
        <f>Inputs!$P$8-B418</f>
        <v>137.4212</v>
      </c>
      <c r="M418" s="79">
        <f>Inputs!$Q$8+L418*0.433</f>
        <v>1884.5033796</v>
      </c>
      <c r="N418" s="82">
        <f t="shared" si="134"/>
        <v>133699.92000000001</v>
      </c>
      <c r="O418" s="83">
        <f t="shared" si="135"/>
        <v>800.76980000000003</v>
      </c>
      <c r="P418" s="84">
        <f>IF(O418="","",Inputs!$C$5-O418)</f>
        <v>24.414699999999925</v>
      </c>
      <c r="Q418" s="83">
        <f>IF(N418="","",TS!J418)</f>
        <v>2000</v>
      </c>
      <c r="R418" s="83">
        <f>IF(N418="","",TS!K418)</f>
        <v>1825</v>
      </c>
      <c r="S418" s="83">
        <f>Inputs!$H$5+TS!P418*0.4333</f>
        <v>1885.5446059599999</v>
      </c>
      <c r="T418" s="83">
        <f>Inputs!$G$5+TS!P418*0.4333</f>
        <v>1900.5446059599999</v>
      </c>
      <c r="U418" s="85">
        <f t="shared" si="136"/>
        <v>0.95027230297999998</v>
      </c>
      <c r="V418" s="86">
        <f t="shared" si="124"/>
        <v>0</v>
      </c>
      <c r="W418" s="86">
        <f t="shared" si="125"/>
        <v>0</v>
      </c>
      <c r="X418" s="86" t="e">
        <f>((PI()*((42-2*'Gen Calcs'!$E$13)^2)/4)/144)*(A461-#REF!)*(W418+14.7)/14.7</f>
        <v>#REF!</v>
      </c>
      <c r="Y418" s="86" t="e">
        <f t="shared" si="126"/>
        <v>#REF!</v>
      </c>
      <c r="Z418" s="86" t="e">
        <f t="shared" si="127"/>
        <v>#REF!</v>
      </c>
      <c r="AA418" s="83">
        <f>MAX(B$2:B418)-B418</f>
        <v>24.414699999999925</v>
      </c>
      <c r="AB418" s="83">
        <f t="shared" si="128"/>
        <v>10.571565099999967</v>
      </c>
      <c r="AC418" s="83">
        <f t="shared" si="130"/>
        <v>120</v>
      </c>
      <c r="AD418" s="72">
        <v>120</v>
      </c>
      <c r="AE418" s="73">
        <f t="shared" si="137"/>
        <v>907.92027688745009</v>
      </c>
      <c r="AF418" s="73">
        <f>SUM(AE$2:AE418)</f>
        <v>342709.9641598083</v>
      </c>
      <c r="AG418" s="73">
        <f t="shared" si="138"/>
        <v>831019.93826730084</v>
      </c>
    </row>
    <row r="419" spans="1:33" x14ac:dyDescent="0.25">
      <c r="A419" s="99">
        <v>133799.92000000001</v>
      </c>
      <c r="B419" s="96">
        <v>799.15989999999999</v>
      </c>
      <c r="C419" s="96">
        <v>0.6</v>
      </c>
      <c r="D419" s="80">
        <f t="shared" si="139"/>
        <v>100</v>
      </c>
      <c r="E419" s="81">
        <f t="shared" si="131"/>
        <v>6791.2436711181272</v>
      </c>
      <c r="F419" s="81">
        <f>SUM(E$2:E419)</f>
        <v>2568265.3018097347</v>
      </c>
      <c r="G419" s="43">
        <f t="shared" si="129"/>
        <v>1</v>
      </c>
      <c r="H419" s="78">
        <v>1</v>
      </c>
      <c r="I419" s="15">
        <f t="shared" si="132"/>
        <v>0.6</v>
      </c>
      <c r="J419" s="16">
        <f>VLOOKUP(G419,Inputs!$L$3:$P$15,5,FALSE)</f>
        <v>2000</v>
      </c>
      <c r="K419" s="16">
        <f t="shared" si="133"/>
        <v>1825</v>
      </c>
      <c r="L419" s="79">
        <f>Inputs!$P$8-B419</f>
        <v>139.03110000000004</v>
      </c>
      <c r="M419" s="79">
        <f>Inputs!$Q$8+L419*0.433</f>
        <v>1885.2004663</v>
      </c>
      <c r="N419" s="82">
        <f t="shared" si="134"/>
        <v>133799.92000000001</v>
      </c>
      <c r="O419" s="83">
        <f t="shared" si="135"/>
        <v>799.15989999999999</v>
      </c>
      <c r="P419" s="84">
        <f>IF(O419="","",Inputs!$C$5-O419)</f>
        <v>26.024599999999964</v>
      </c>
      <c r="Q419" s="83">
        <f>IF(N419="","",TS!J419)</f>
        <v>2000</v>
      </c>
      <c r="R419" s="83">
        <f>IF(N419="","",TS!K419)</f>
        <v>1825</v>
      </c>
      <c r="S419" s="83">
        <f>Inputs!$H$5+TS!P419*0.4333</f>
        <v>1886.24217563</v>
      </c>
      <c r="T419" s="83">
        <f>Inputs!$G$5+TS!P419*0.4333</f>
        <v>1901.24217563</v>
      </c>
      <c r="U419" s="85">
        <f t="shared" si="136"/>
        <v>0.95062108781499999</v>
      </c>
      <c r="V419" s="86">
        <f t="shared" si="124"/>
        <v>0</v>
      </c>
      <c r="W419" s="86">
        <f t="shared" si="125"/>
        <v>0</v>
      </c>
      <c r="X419" s="86" t="e">
        <f>((PI()*((42-2*'Gen Calcs'!$E$13)^2)/4)/144)*(A462-#REF!)*(W419+14.7)/14.7</f>
        <v>#REF!</v>
      </c>
      <c r="Y419" s="86" t="e">
        <f t="shared" si="126"/>
        <v>#REF!</v>
      </c>
      <c r="Z419" s="86" t="e">
        <f t="shared" si="127"/>
        <v>#REF!</v>
      </c>
      <c r="AA419" s="83">
        <f>MAX(B$2:B419)-B419</f>
        <v>26.024599999999964</v>
      </c>
      <c r="AB419" s="83">
        <f t="shared" si="128"/>
        <v>11.268651799999985</v>
      </c>
      <c r="AC419" s="83">
        <f t="shared" si="130"/>
        <v>120</v>
      </c>
      <c r="AD419" s="72">
        <v>120</v>
      </c>
      <c r="AE419" s="73">
        <f t="shared" si="137"/>
        <v>907.92027688745009</v>
      </c>
      <c r="AF419" s="73">
        <f>SUM(AE$2:AE419)</f>
        <v>343617.88443669572</v>
      </c>
      <c r="AG419" s="73">
        <f t="shared" si="138"/>
        <v>830112.01799041347</v>
      </c>
    </row>
    <row r="420" spans="1:33" x14ac:dyDescent="0.25">
      <c r="A420" s="100">
        <v>133899.92000000001</v>
      </c>
      <c r="B420" s="97">
        <v>795.13409999999999</v>
      </c>
      <c r="C420" s="97">
        <v>0.6</v>
      </c>
      <c r="D420" s="80">
        <f t="shared" si="139"/>
        <v>100</v>
      </c>
      <c r="E420" s="81">
        <f t="shared" si="131"/>
        <v>6791.2436711181272</v>
      </c>
      <c r="F420" s="81">
        <f>SUM(E$2:E420)</f>
        <v>2575056.5454808529</v>
      </c>
      <c r="G420" s="43">
        <f t="shared" si="129"/>
        <v>1</v>
      </c>
      <c r="H420" s="78">
        <v>1</v>
      </c>
      <c r="I420" s="15">
        <f t="shared" si="132"/>
        <v>0.6</v>
      </c>
      <c r="J420" s="16">
        <f>VLOOKUP(G420,Inputs!$L$3:$P$15,5,FALSE)</f>
        <v>2000</v>
      </c>
      <c r="K420" s="16">
        <f t="shared" si="133"/>
        <v>1825</v>
      </c>
      <c r="L420" s="79">
        <f>Inputs!$P$8-B420</f>
        <v>143.05690000000004</v>
      </c>
      <c r="M420" s="79">
        <f>Inputs!$Q$8+L420*0.433</f>
        <v>1886.9436377</v>
      </c>
      <c r="N420" s="82">
        <f t="shared" si="134"/>
        <v>133899.92000000001</v>
      </c>
      <c r="O420" s="83">
        <f t="shared" si="135"/>
        <v>795.13409999999999</v>
      </c>
      <c r="P420" s="84">
        <f>IF(O420="","",Inputs!$C$5-O420)</f>
        <v>30.050399999999968</v>
      </c>
      <c r="Q420" s="83">
        <f>IF(N420="","",TS!J420)</f>
        <v>2000</v>
      </c>
      <c r="R420" s="83">
        <f>IF(N420="","",TS!K420)</f>
        <v>1825</v>
      </c>
      <c r="S420" s="83">
        <f>Inputs!$H$5+TS!P420*0.4333</f>
        <v>1887.9865547699999</v>
      </c>
      <c r="T420" s="83">
        <f>Inputs!$G$5+TS!P420*0.4333</f>
        <v>1902.9865547699999</v>
      </c>
      <c r="U420" s="85">
        <f t="shared" si="136"/>
        <v>0.95149327738499989</v>
      </c>
      <c r="V420" s="86">
        <f t="shared" si="124"/>
        <v>0</v>
      </c>
      <c r="W420" s="86">
        <f t="shared" si="125"/>
        <v>0</v>
      </c>
      <c r="X420" s="86" t="e">
        <f>((PI()*((42-2*'Gen Calcs'!$E$13)^2)/4)/144)*(A463-#REF!)*(W420+14.7)/14.7</f>
        <v>#REF!</v>
      </c>
      <c r="Y420" s="86" t="e">
        <f t="shared" si="126"/>
        <v>#REF!</v>
      </c>
      <c r="Z420" s="86" t="e">
        <f t="shared" si="127"/>
        <v>#REF!</v>
      </c>
      <c r="AA420" s="83">
        <f>MAX(B$2:B420)-B420</f>
        <v>30.050399999999968</v>
      </c>
      <c r="AB420" s="83">
        <f t="shared" si="128"/>
        <v>13.011823199999986</v>
      </c>
      <c r="AC420" s="83">
        <f t="shared" si="130"/>
        <v>120</v>
      </c>
      <c r="AD420" s="72">
        <v>120</v>
      </c>
      <c r="AE420" s="73">
        <f t="shared" si="137"/>
        <v>907.92027688745009</v>
      </c>
      <c r="AF420" s="73">
        <f>SUM(AE$2:AE420)</f>
        <v>344525.80471358314</v>
      </c>
      <c r="AG420" s="73">
        <f t="shared" si="138"/>
        <v>829204.09771352611</v>
      </c>
    </row>
    <row r="421" spans="1:33" x14ac:dyDescent="0.25">
      <c r="A421" s="99">
        <v>133999.92000000001</v>
      </c>
      <c r="B421" s="96">
        <v>789.78420000000006</v>
      </c>
      <c r="C421" s="96">
        <v>0.6</v>
      </c>
      <c r="D421" s="80">
        <f t="shared" si="139"/>
        <v>100</v>
      </c>
      <c r="E421" s="81">
        <f t="shared" si="131"/>
        <v>6791.2436711181272</v>
      </c>
      <c r="F421" s="81">
        <f>SUM(E$2:E421)</f>
        <v>2581847.7891519712</v>
      </c>
      <c r="G421" s="43">
        <f t="shared" si="129"/>
        <v>1</v>
      </c>
      <c r="H421" s="78">
        <v>1</v>
      </c>
      <c r="I421" s="15">
        <f t="shared" si="132"/>
        <v>0.6</v>
      </c>
      <c r="J421" s="16">
        <f>VLOOKUP(G421,Inputs!$L$3:$P$15,5,FALSE)</f>
        <v>2000</v>
      </c>
      <c r="K421" s="16">
        <f t="shared" si="133"/>
        <v>1825</v>
      </c>
      <c r="L421" s="79">
        <f>Inputs!$P$8-B421</f>
        <v>148.40679999999998</v>
      </c>
      <c r="M421" s="79">
        <f>Inputs!$Q$8+L421*0.433</f>
        <v>1889.2601443999999</v>
      </c>
      <c r="N421" s="82">
        <f t="shared" si="134"/>
        <v>133999.92000000001</v>
      </c>
      <c r="O421" s="83">
        <f t="shared" si="135"/>
        <v>789.78420000000006</v>
      </c>
      <c r="P421" s="84">
        <f>IF(O421="","",Inputs!$C$5-O421)</f>
        <v>35.400299999999902</v>
      </c>
      <c r="Q421" s="83">
        <f>IF(N421="","",TS!J421)</f>
        <v>2000</v>
      </c>
      <c r="R421" s="83">
        <f>IF(N421="","",TS!K421)</f>
        <v>1825</v>
      </c>
      <c r="S421" s="83">
        <f>Inputs!$H$5+TS!P421*0.4333</f>
        <v>1890.3046664399999</v>
      </c>
      <c r="T421" s="83">
        <f>Inputs!$G$5+TS!P421*0.4333</f>
        <v>1905.3046664399999</v>
      </c>
      <c r="U421" s="85">
        <f t="shared" si="136"/>
        <v>0.95265233321999998</v>
      </c>
      <c r="V421" s="86">
        <f t="shared" si="124"/>
        <v>0</v>
      </c>
      <c r="W421" s="86">
        <f t="shared" si="125"/>
        <v>0</v>
      </c>
      <c r="X421" s="86" t="e">
        <f>((PI()*((42-2*'Gen Calcs'!$E$13)^2)/4)/144)*(A464-#REF!)*(W421+14.7)/14.7</f>
        <v>#REF!</v>
      </c>
      <c r="Y421" s="86" t="e">
        <f t="shared" si="126"/>
        <v>#REF!</v>
      </c>
      <c r="Z421" s="86" t="e">
        <f t="shared" si="127"/>
        <v>#REF!</v>
      </c>
      <c r="AA421" s="83">
        <f>MAX(B$2:B421)-B421</f>
        <v>35.400299999999902</v>
      </c>
      <c r="AB421" s="83">
        <f t="shared" si="128"/>
        <v>15.328329899999957</v>
      </c>
      <c r="AC421" s="83">
        <f t="shared" si="130"/>
        <v>120</v>
      </c>
      <c r="AD421" s="72">
        <v>120</v>
      </c>
      <c r="AE421" s="73">
        <f t="shared" si="137"/>
        <v>907.92027688745009</v>
      </c>
      <c r="AF421" s="73">
        <f>SUM(AE$2:AE421)</f>
        <v>345433.72499047057</v>
      </c>
      <c r="AG421" s="73">
        <f t="shared" si="138"/>
        <v>828296.17743663862</v>
      </c>
    </row>
    <row r="422" spans="1:33" x14ac:dyDescent="0.25">
      <c r="A422" s="100">
        <v>134099.92000000001</v>
      </c>
      <c r="B422" s="97">
        <v>784.46180000000004</v>
      </c>
      <c r="C422" s="97">
        <v>0.6</v>
      </c>
      <c r="D422" s="80">
        <f t="shared" si="139"/>
        <v>100</v>
      </c>
      <c r="E422" s="81">
        <f t="shared" si="131"/>
        <v>6791.2436711181272</v>
      </c>
      <c r="F422" s="81">
        <f>SUM(E$2:E422)</f>
        <v>2588639.0328230895</v>
      </c>
      <c r="G422" s="43">
        <f t="shared" si="129"/>
        <v>1</v>
      </c>
      <c r="H422" s="78">
        <v>1</v>
      </c>
      <c r="I422" s="15">
        <f t="shared" si="132"/>
        <v>0.6</v>
      </c>
      <c r="J422" s="16">
        <f>VLOOKUP(G422,Inputs!$L$3:$P$15,5,FALSE)</f>
        <v>2000</v>
      </c>
      <c r="K422" s="16">
        <f t="shared" si="133"/>
        <v>1825</v>
      </c>
      <c r="L422" s="79">
        <f>Inputs!$P$8-B422</f>
        <v>153.72919999999999</v>
      </c>
      <c r="M422" s="79">
        <f>Inputs!$Q$8+L422*0.433</f>
        <v>1891.5647435999999</v>
      </c>
      <c r="N422" s="82">
        <f t="shared" si="134"/>
        <v>134099.92000000001</v>
      </c>
      <c r="O422" s="83">
        <f t="shared" si="135"/>
        <v>784.46180000000004</v>
      </c>
      <c r="P422" s="84">
        <f>IF(O422="","",Inputs!$C$5-O422)</f>
        <v>40.722699999999918</v>
      </c>
      <c r="Q422" s="83">
        <f>IF(N422="","",TS!J422)</f>
        <v>2000</v>
      </c>
      <c r="R422" s="83">
        <f>IF(N422="","",TS!K422)</f>
        <v>1825</v>
      </c>
      <c r="S422" s="83">
        <f>Inputs!$H$5+TS!P422*0.4333</f>
        <v>1892.6108623599998</v>
      </c>
      <c r="T422" s="83">
        <f>Inputs!$G$5+TS!P422*0.4333</f>
        <v>1907.6108623599998</v>
      </c>
      <c r="U422" s="85">
        <f t="shared" si="136"/>
        <v>0.95380543117999994</v>
      </c>
      <c r="V422" s="86">
        <f t="shared" si="124"/>
        <v>0</v>
      </c>
      <c r="W422" s="86">
        <f t="shared" si="125"/>
        <v>0</v>
      </c>
      <c r="X422" s="86" t="e">
        <f>((PI()*((42-2*'Gen Calcs'!$E$13)^2)/4)/144)*(A465-#REF!)*(W422+14.7)/14.7</f>
        <v>#REF!</v>
      </c>
      <c r="Y422" s="86" t="e">
        <f t="shared" si="126"/>
        <v>#REF!</v>
      </c>
      <c r="Z422" s="86" t="e">
        <f t="shared" si="127"/>
        <v>#REF!</v>
      </c>
      <c r="AA422" s="83">
        <f>MAX(B$2:B422)-B422</f>
        <v>40.722699999999918</v>
      </c>
      <c r="AB422" s="83">
        <f t="shared" si="128"/>
        <v>17.632929099999963</v>
      </c>
      <c r="AC422" s="83">
        <f t="shared" si="130"/>
        <v>120</v>
      </c>
      <c r="AD422" s="72">
        <v>120</v>
      </c>
      <c r="AE422" s="73">
        <f t="shared" si="137"/>
        <v>907.92027688745009</v>
      </c>
      <c r="AF422" s="73">
        <f>SUM(AE$2:AE422)</f>
        <v>346341.64526735799</v>
      </c>
      <c r="AG422" s="73">
        <f t="shared" si="138"/>
        <v>827388.25715975114</v>
      </c>
    </row>
    <row r="423" spans="1:33" x14ac:dyDescent="0.25">
      <c r="A423" s="99">
        <v>134199.92000000001</v>
      </c>
      <c r="B423" s="96">
        <v>780.39869999999996</v>
      </c>
      <c r="C423" s="96">
        <v>0.6</v>
      </c>
      <c r="D423" s="80">
        <f t="shared" si="139"/>
        <v>100</v>
      </c>
      <c r="E423" s="81">
        <f t="shared" si="131"/>
        <v>6791.2436711181272</v>
      </c>
      <c r="F423" s="81">
        <f>SUM(E$2:E423)</f>
        <v>2595430.2764942078</v>
      </c>
      <c r="G423" s="43">
        <f t="shared" si="129"/>
        <v>1</v>
      </c>
      <c r="H423" s="78">
        <v>1</v>
      </c>
      <c r="I423" s="15">
        <f t="shared" si="132"/>
        <v>0.6</v>
      </c>
      <c r="J423" s="16">
        <f>VLOOKUP(G423,Inputs!$L$3:$P$15,5,FALSE)</f>
        <v>2000</v>
      </c>
      <c r="K423" s="16">
        <f t="shared" si="133"/>
        <v>1825</v>
      </c>
      <c r="L423" s="79">
        <f>Inputs!$P$8-B423</f>
        <v>157.79230000000007</v>
      </c>
      <c r="M423" s="79">
        <f>Inputs!$Q$8+L423*0.433</f>
        <v>1893.3240659000001</v>
      </c>
      <c r="N423" s="82">
        <f t="shared" si="134"/>
        <v>134199.92000000001</v>
      </c>
      <c r="O423" s="83">
        <f t="shared" si="135"/>
        <v>780.39869999999996</v>
      </c>
      <c r="P423" s="84">
        <f>IF(O423="","",Inputs!$C$5-O423)</f>
        <v>44.785799999999995</v>
      </c>
      <c r="Q423" s="83">
        <f>IF(N423="","",TS!J423)</f>
        <v>2000</v>
      </c>
      <c r="R423" s="83">
        <f>IF(N423="","",TS!K423)</f>
        <v>1825</v>
      </c>
      <c r="S423" s="83">
        <f>Inputs!$H$5+TS!P423*0.4333</f>
        <v>1894.37140359</v>
      </c>
      <c r="T423" s="83">
        <f>Inputs!$G$5+TS!P423*0.4333</f>
        <v>1909.37140359</v>
      </c>
      <c r="U423" s="85">
        <f t="shared" si="136"/>
        <v>0.95468570179500001</v>
      </c>
      <c r="V423" s="86">
        <f t="shared" si="124"/>
        <v>0</v>
      </c>
      <c r="W423" s="86">
        <f t="shared" si="125"/>
        <v>0</v>
      </c>
      <c r="X423" s="86" t="e">
        <f>((PI()*((42-2*'Gen Calcs'!$E$13)^2)/4)/144)*(A466-#REF!)*(W423+14.7)/14.7</f>
        <v>#REF!</v>
      </c>
      <c r="Y423" s="86" t="e">
        <f t="shared" si="126"/>
        <v>#REF!</v>
      </c>
      <c r="Z423" s="86" t="e">
        <f t="shared" si="127"/>
        <v>#REF!</v>
      </c>
      <c r="AA423" s="83">
        <f>MAX(B$2:B423)-B423</f>
        <v>44.785799999999995</v>
      </c>
      <c r="AB423" s="83">
        <f t="shared" si="128"/>
        <v>19.392251399999999</v>
      </c>
      <c r="AC423" s="83">
        <f t="shared" si="130"/>
        <v>120</v>
      </c>
      <c r="AD423" s="72">
        <v>120</v>
      </c>
      <c r="AE423" s="73">
        <f t="shared" si="137"/>
        <v>907.92027688745009</v>
      </c>
      <c r="AF423" s="73">
        <f>SUM(AE$2:AE423)</f>
        <v>347249.56554424542</v>
      </c>
      <c r="AG423" s="73">
        <f t="shared" si="138"/>
        <v>826480.33688286378</v>
      </c>
    </row>
    <row r="424" spans="1:33" x14ac:dyDescent="0.25">
      <c r="A424" s="100">
        <v>134299.92000000001</v>
      </c>
      <c r="B424" s="97">
        <v>776.16179999999997</v>
      </c>
      <c r="C424" s="97">
        <v>0.6</v>
      </c>
      <c r="D424" s="80">
        <f t="shared" si="139"/>
        <v>100</v>
      </c>
      <c r="E424" s="81">
        <f t="shared" si="131"/>
        <v>6791.2436711181272</v>
      </c>
      <c r="F424" s="81">
        <f>SUM(E$2:E424)</f>
        <v>2602221.5201653261</v>
      </c>
      <c r="G424" s="43">
        <f t="shared" si="129"/>
        <v>1</v>
      </c>
      <c r="H424" s="78">
        <v>1</v>
      </c>
      <c r="I424" s="15">
        <f t="shared" si="132"/>
        <v>0.6</v>
      </c>
      <c r="J424" s="16">
        <f>VLOOKUP(G424,Inputs!$L$3:$P$15,5,FALSE)</f>
        <v>2000</v>
      </c>
      <c r="K424" s="16">
        <f t="shared" si="133"/>
        <v>1825</v>
      </c>
      <c r="L424" s="79">
        <f>Inputs!$P$8-B424</f>
        <v>162.02920000000006</v>
      </c>
      <c r="M424" s="79">
        <f>Inputs!$Q$8+L424*0.433</f>
        <v>1895.1586436</v>
      </c>
      <c r="N424" s="82">
        <f t="shared" si="134"/>
        <v>134299.92000000001</v>
      </c>
      <c r="O424" s="83">
        <f t="shared" si="135"/>
        <v>776.16179999999997</v>
      </c>
      <c r="P424" s="84">
        <f>IF(O424="","",Inputs!$C$5-O424)</f>
        <v>49.022699999999986</v>
      </c>
      <c r="Q424" s="83">
        <f>IF(N424="","",TS!J424)</f>
        <v>2000</v>
      </c>
      <c r="R424" s="83">
        <f>IF(N424="","",TS!K424)</f>
        <v>1825</v>
      </c>
      <c r="S424" s="83">
        <f>Inputs!$H$5+TS!P424*0.4333</f>
        <v>1896.20725236</v>
      </c>
      <c r="T424" s="83">
        <f>Inputs!$G$5+TS!P424*0.4333</f>
        <v>1911.20725236</v>
      </c>
      <c r="U424" s="85">
        <f t="shared" si="136"/>
        <v>0.95560362617999994</v>
      </c>
      <c r="V424" s="86">
        <f t="shared" si="124"/>
        <v>0</v>
      </c>
      <c r="W424" s="86">
        <f t="shared" si="125"/>
        <v>0</v>
      </c>
      <c r="X424" s="86" t="e">
        <f>((PI()*((42-2*'Gen Calcs'!$E$13)^2)/4)/144)*(A467-#REF!)*(W424+14.7)/14.7</f>
        <v>#REF!</v>
      </c>
      <c r="Y424" s="86" t="e">
        <f t="shared" si="126"/>
        <v>#REF!</v>
      </c>
      <c r="Z424" s="86" t="e">
        <f t="shared" si="127"/>
        <v>#REF!</v>
      </c>
      <c r="AA424" s="83">
        <f>MAX(B$2:B424)-B424</f>
        <v>49.022699999999986</v>
      </c>
      <c r="AB424" s="83">
        <f t="shared" si="128"/>
        <v>21.226829099999993</v>
      </c>
      <c r="AC424" s="83">
        <f t="shared" si="130"/>
        <v>120</v>
      </c>
      <c r="AD424" s="72">
        <v>120</v>
      </c>
      <c r="AE424" s="73">
        <f t="shared" si="137"/>
        <v>907.92027688745009</v>
      </c>
      <c r="AF424" s="73">
        <f>SUM(AE$2:AE424)</f>
        <v>348157.48582113284</v>
      </c>
      <c r="AG424" s="73">
        <f t="shared" si="138"/>
        <v>825572.41660597641</v>
      </c>
    </row>
    <row r="425" spans="1:33" x14ac:dyDescent="0.25">
      <c r="A425" s="99">
        <v>134399.92000000001</v>
      </c>
      <c r="B425" s="96">
        <v>770.35159999999996</v>
      </c>
      <c r="C425" s="96">
        <v>0.6</v>
      </c>
      <c r="D425" s="80">
        <f t="shared" si="139"/>
        <v>100</v>
      </c>
      <c r="E425" s="81">
        <f t="shared" si="131"/>
        <v>6616.6076625842816</v>
      </c>
      <c r="F425" s="81">
        <f>SUM(E$2:E425)</f>
        <v>2608838.1278279102</v>
      </c>
      <c r="G425" s="43">
        <f t="shared" si="129"/>
        <v>1</v>
      </c>
      <c r="H425" s="78">
        <v>1</v>
      </c>
      <c r="I425" s="15">
        <f t="shared" si="132"/>
        <v>0.6</v>
      </c>
      <c r="J425" s="16">
        <f>VLOOKUP(G425,Inputs!$L$3:$P$15,5,FALSE)</f>
        <v>2000</v>
      </c>
      <c r="K425" s="16">
        <f t="shared" si="133"/>
        <v>1825</v>
      </c>
      <c r="L425" s="79">
        <f>Inputs!$P$8-B425</f>
        <v>167.83940000000007</v>
      </c>
      <c r="M425" s="79">
        <f>Inputs!$Q$8+L425*0.433</f>
        <v>1897.6744602000001</v>
      </c>
      <c r="N425" s="82">
        <f t="shared" si="134"/>
        <v>134399.92000000001</v>
      </c>
      <c r="O425" s="83">
        <f t="shared" si="135"/>
        <v>770.35159999999996</v>
      </c>
      <c r="P425" s="84">
        <f>IF(O425="","",Inputs!$C$5-O425)</f>
        <v>54.832899999999995</v>
      </c>
      <c r="Q425" s="83">
        <f>IF(N425="","",TS!J425)</f>
        <v>2000</v>
      </c>
      <c r="R425" s="83">
        <f>IF(N425="","",TS!K425)</f>
        <v>1825</v>
      </c>
      <c r="S425" s="83">
        <f>Inputs!$H$5+TS!P425*0.4333</f>
        <v>1898.7248120199999</v>
      </c>
      <c r="T425" s="83">
        <f>Inputs!$G$5+TS!P425*0.4333</f>
        <v>1913.7248120199999</v>
      </c>
      <c r="U425" s="85">
        <f t="shared" si="136"/>
        <v>0.95686240600999994</v>
      </c>
      <c r="V425" s="86">
        <f t="shared" si="124"/>
        <v>0</v>
      </c>
      <c r="W425" s="86">
        <f t="shared" si="125"/>
        <v>0</v>
      </c>
      <c r="X425" s="86" t="e">
        <f>((PI()*((42-2*'Gen Calcs'!$E$13)^2)/4)/144)*(A468-#REF!)*(W425+14.7)/14.7</f>
        <v>#REF!</v>
      </c>
      <c r="Y425" s="86" t="e">
        <f t="shared" si="126"/>
        <v>#REF!</v>
      </c>
      <c r="Z425" s="86" t="e">
        <f t="shared" si="127"/>
        <v>#REF!</v>
      </c>
      <c r="AA425" s="83">
        <f>MAX(B$2:B425)-B425</f>
        <v>54.832899999999995</v>
      </c>
      <c r="AB425" s="83">
        <f t="shared" si="128"/>
        <v>23.742645699999997</v>
      </c>
      <c r="AC425" s="83">
        <f t="shared" si="130"/>
        <v>120</v>
      </c>
      <c r="AD425" s="72">
        <v>120</v>
      </c>
      <c r="AE425" s="73">
        <f t="shared" si="137"/>
        <v>907.92027688745009</v>
      </c>
      <c r="AF425" s="73">
        <f>SUM(AE$2:AE425)</f>
        <v>349065.40609802026</v>
      </c>
      <c r="AG425" s="73">
        <f t="shared" si="138"/>
        <v>824664.49632908893</v>
      </c>
    </row>
    <row r="426" spans="1:33" x14ac:dyDescent="0.25">
      <c r="A426" s="100">
        <v>134499.92000000001</v>
      </c>
      <c r="B426" s="97">
        <v>764.37519999999995</v>
      </c>
      <c r="C426" s="97">
        <v>0.6</v>
      </c>
      <c r="D426" s="80">
        <f t="shared" si="139"/>
        <v>100</v>
      </c>
      <c r="E426" s="81">
        <f t="shared" si="131"/>
        <v>6791.2436711181272</v>
      </c>
      <c r="F426" s="81">
        <f>SUM(E$2:E426)</f>
        <v>2615629.3714990285</v>
      </c>
      <c r="G426" s="43">
        <f t="shared" si="129"/>
        <v>1</v>
      </c>
      <c r="H426" s="78">
        <v>1</v>
      </c>
      <c r="I426" s="15">
        <f t="shared" si="132"/>
        <v>0.6</v>
      </c>
      <c r="J426" s="16">
        <f>VLOOKUP(G426,Inputs!$L$3:$P$15,5,FALSE)</f>
        <v>2000</v>
      </c>
      <c r="K426" s="16">
        <f t="shared" si="133"/>
        <v>1825</v>
      </c>
      <c r="L426" s="79">
        <f>Inputs!$P$8-B426</f>
        <v>173.81580000000008</v>
      </c>
      <c r="M426" s="79">
        <f>Inputs!$Q$8+L426*0.433</f>
        <v>1900.2622414</v>
      </c>
      <c r="N426" s="82">
        <f t="shared" si="134"/>
        <v>134499.92000000001</v>
      </c>
      <c r="O426" s="83">
        <f t="shared" si="135"/>
        <v>764.37519999999995</v>
      </c>
      <c r="P426" s="84">
        <f>IF(O426="","",Inputs!$C$5-O426)</f>
        <v>60.809300000000007</v>
      </c>
      <c r="Q426" s="83">
        <f>IF(N426="","",TS!J426)</f>
        <v>2000</v>
      </c>
      <c r="R426" s="83">
        <f>IF(N426="","",TS!K426)</f>
        <v>1825</v>
      </c>
      <c r="S426" s="83">
        <f>Inputs!$H$5+TS!P426*0.4333</f>
        <v>1901.3143861399999</v>
      </c>
      <c r="T426" s="83">
        <f>Inputs!$G$5+TS!P426*0.4333</f>
        <v>1916.3143861399999</v>
      </c>
      <c r="U426" s="85">
        <f t="shared" si="136"/>
        <v>0.95815719306999991</v>
      </c>
      <c r="V426" s="86">
        <f t="shared" si="124"/>
        <v>0</v>
      </c>
      <c r="W426" s="86">
        <f t="shared" si="125"/>
        <v>0</v>
      </c>
      <c r="X426" s="86" t="e">
        <f>((PI()*((42-2*'Gen Calcs'!$E$13)^2)/4)/144)*(A469-#REF!)*(W426+14.7)/14.7</f>
        <v>#REF!</v>
      </c>
      <c r="Y426" s="86" t="e">
        <f t="shared" si="126"/>
        <v>#REF!</v>
      </c>
      <c r="Z426" s="86" t="e">
        <f t="shared" si="127"/>
        <v>#REF!</v>
      </c>
      <c r="AA426" s="83">
        <f>MAX(B$2:B426)-B426</f>
        <v>60.809300000000007</v>
      </c>
      <c r="AB426" s="83">
        <f t="shared" si="128"/>
        <v>26.330426900000003</v>
      </c>
      <c r="AC426" s="83">
        <f t="shared" si="130"/>
        <v>120</v>
      </c>
      <c r="AD426" s="72">
        <v>120</v>
      </c>
      <c r="AE426" s="73">
        <f t="shared" si="137"/>
        <v>907.92027688745009</v>
      </c>
      <c r="AF426" s="73">
        <f>SUM(AE$2:AE426)</f>
        <v>349973.32637490769</v>
      </c>
      <c r="AG426" s="73">
        <f t="shared" si="138"/>
        <v>823756.57605220145</v>
      </c>
    </row>
    <row r="427" spans="1:33" x14ac:dyDescent="0.25">
      <c r="A427" s="99">
        <v>134599.92000000001</v>
      </c>
      <c r="B427" s="96">
        <v>756.59829999999999</v>
      </c>
      <c r="C427" s="96">
        <v>0.6</v>
      </c>
      <c r="D427" s="80">
        <f t="shared" si="139"/>
        <v>100</v>
      </c>
      <c r="E427" s="81">
        <f t="shared" si="131"/>
        <v>6791.2436711181272</v>
      </c>
      <c r="F427" s="81">
        <f>SUM(E$2:E427)</f>
        <v>2622420.6151701468</v>
      </c>
      <c r="G427" s="43">
        <f t="shared" si="129"/>
        <v>1</v>
      </c>
      <c r="H427" s="78">
        <v>1</v>
      </c>
      <c r="I427" s="15">
        <f t="shared" si="132"/>
        <v>0.6</v>
      </c>
      <c r="J427" s="16">
        <f>VLOOKUP(G427,Inputs!$L$3:$P$15,5,FALSE)</f>
        <v>2000</v>
      </c>
      <c r="K427" s="16">
        <f t="shared" si="133"/>
        <v>1825</v>
      </c>
      <c r="L427" s="79">
        <f>Inputs!$P$8-B427</f>
        <v>181.59270000000004</v>
      </c>
      <c r="M427" s="79">
        <f>Inputs!$Q$8+L427*0.433</f>
        <v>1903.6296391000001</v>
      </c>
      <c r="N427" s="82">
        <f t="shared" si="134"/>
        <v>134599.92000000001</v>
      </c>
      <c r="O427" s="83">
        <f t="shared" si="135"/>
        <v>756.59829999999999</v>
      </c>
      <c r="P427" s="84">
        <f>IF(O427="","",Inputs!$C$5-O427)</f>
        <v>68.586199999999963</v>
      </c>
      <c r="Q427" s="83">
        <f>IF(N427="","",TS!J427)</f>
        <v>2000</v>
      </c>
      <c r="R427" s="83">
        <f>IF(N427="","",TS!K427)</f>
        <v>1825</v>
      </c>
      <c r="S427" s="83">
        <f>Inputs!$H$5+TS!P427*0.4333</f>
        <v>1904.6841169099998</v>
      </c>
      <c r="T427" s="83">
        <f>Inputs!$G$5+TS!P427*0.4333</f>
        <v>1919.6841169099998</v>
      </c>
      <c r="U427" s="85">
        <f t="shared" si="136"/>
        <v>0.95984205845499992</v>
      </c>
      <c r="V427" s="86">
        <f t="shared" si="124"/>
        <v>0</v>
      </c>
      <c r="W427" s="86">
        <f t="shared" si="125"/>
        <v>0</v>
      </c>
      <c r="X427" s="86" t="e">
        <f>((PI()*((42-2*'Gen Calcs'!$E$13)^2)/4)/144)*(A470-#REF!)*(W427+14.7)/14.7</f>
        <v>#REF!</v>
      </c>
      <c r="Y427" s="86" t="e">
        <f t="shared" si="126"/>
        <v>#REF!</v>
      </c>
      <c r="Z427" s="86" t="e">
        <f t="shared" si="127"/>
        <v>#REF!</v>
      </c>
      <c r="AA427" s="83">
        <f>MAX(B$2:B427)-B427</f>
        <v>68.586199999999963</v>
      </c>
      <c r="AB427" s="83">
        <f t="shared" si="128"/>
        <v>29.697824599999983</v>
      </c>
      <c r="AC427" s="83">
        <f t="shared" si="130"/>
        <v>120</v>
      </c>
      <c r="AD427" s="72">
        <v>120</v>
      </c>
      <c r="AE427" s="73">
        <f t="shared" si="137"/>
        <v>907.92027688745009</v>
      </c>
      <c r="AF427" s="73">
        <f>SUM(AE$2:AE427)</f>
        <v>350881.24665179511</v>
      </c>
      <c r="AG427" s="73">
        <f t="shared" si="138"/>
        <v>822848.65577531408</v>
      </c>
    </row>
    <row r="428" spans="1:33" x14ac:dyDescent="0.25">
      <c r="A428" s="100">
        <v>134699.92000000001</v>
      </c>
      <c r="B428" s="97">
        <v>750.0838</v>
      </c>
      <c r="C428" s="97">
        <v>0.6</v>
      </c>
      <c r="D428" s="80">
        <f t="shared" si="139"/>
        <v>100</v>
      </c>
      <c r="E428" s="81">
        <f t="shared" si="131"/>
        <v>6791.2436711181272</v>
      </c>
      <c r="F428" s="81">
        <f>SUM(E$2:E428)</f>
        <v>2629211.8588412651</v>
      </c>
      <c r="G428" s="43">
        <f t="shared" si="129"/>
        <v>1</v>
      </c>
      <c r="H428" s="78">
        <v>1</v>
      </c>
      <c r="I428" s="15">
        <f t="shared" si="132"/>
        <v>0.6</v>
      </c>
      <c r="J428" s="16">
        <f>VLOOKUP(G428,Inputs!$L$3:$P$15,5,FALSE)</f>
        <v>2000</v>
      </c>
      <c r="K428" s="16">
        <f t="shared" si="133"/>
        <v>1825</v>
      </c>
      <c r="L428" s="79">
        <f>Inputs!$P$8-B428</f>
        <v>188.10720000000003</v>
      </c>
      <c r="M428" s="79">
        <f>Inputs!$Q$8+L428*0.433</f>
        <v>1906.4504176</v>
      </c>
      <c r="N428" s="82">
        <f t="shared" si="134"/>
        <v>134699.92000000001</v>
      </c>
      <c r="O428" s="83">
        <f t="shared" si="135"/>
        <v>750.0838</v>
      </c>
      <c r="P428" s="84">
        <f>IF(O428="","",Inputs!$C$5-O428)</f>
        <v>75.100699999999961</v>
      </c>
      <c r="Q428" s="83">
        <f>IF(N428="","",TS!J428)</f>
        <v>2000</v>
      </c>
      <c r="R428" s="83">
        <f>IF(N428="","",TS!K428)</f>
        <v>1825</v>
      </c>
      <c r="S428" s="83">
        <f>Inputs!$H$5+TS!P428*0.4333</f>
        <v>1907.50684976</v>
      </c>
      <c r="T428" s="83">
        <f>Inputs!$G$5+TS!P428*0.4333</f>
        <v>1922.50684976</v>
      </c>
      <c r="U428" s="85">
        <f t="shared" si="136"/>
        <v>0.96125342487999998</v>
      </c>
      <c r="V428" s="86">
        <f t="shared" si="124"/>
        <v>0</v>
      </c>
      <c r="W428" s="86">
        <f t="shared" si="125"/>
        <v>0</v>
      </c>
      <c r="X428" s="86" t="e">
        <f>((PI()*((42-2*'Gen Calcs'!$E$13)^2)/4)/144)*(A471-#REF!)*(W428+14.7)/14.7</f>
        <v>#REF!</v>
      </c>
      <c r="Y428" s="86" t="e">
        <f t="shared" si="126"/>
        <v>#REF!</v>
      </c>
      <c r="Z428" s="86" t="e">
        <f t="shared" si="127"/>
        <v>#REF!</v>
      </c>
      <c r="AA428" s="83">
        <f>MAX(B$2:B428)-B428</f>
        <v>75.100699999999961</v>
      </c>
      <c r="AB428" s="83">
        <f t="shared" si="128"/>
        <v>32.518603099999986</v>
      </c>
      <c r="AC428" s="83">
        <f t="shared" si="130"/>
        <v>120</v>
      </c>
      <c r="AD428" s="72">
        <v>120</v>
      </c>
      <c r="AE428" s="73">
        <f t="shared" si="137"/>
        <v>907.92027688745009</v>
      </c>
      <c r="AF428" s="73">
        <f>SUM(AE$2:AE428)</f>
        <v>351789.16692868253</v>
      </c>
      <c r="AG428" s="73">
        <f t="shared" si="138"/>
        <v>821940.73549842671</v>
      </c>
    </row>
    <row r="429" spans="1:33" x14ac:dyDescent="0.25">
      <c r="A429" s="99">
        <v>134799.92000000001</v>
      </c>
      <c r="B429" s="96">
        <v>746.4633</v>
      </c>
      <c r="C429" s="96">
        <v>0.6</v>
      </c>
      <c r="D429" s="80">
        <f t="shared" si="139"/>
        <v>100</v>
      </c>
      <c r="E429" s="81">
        <f t="shared" si="131"/>
        <v>6791.2436711181272</v>
      </c>
      <c r="F429" s="81">
        <f>SUM(E$2:E429)</f>
        <v>2636003.1025123834</v>
      </c>
      <c r="G429" s="43">
        <f t="shared" si="129"/>
        <v>1</v>
      </c>
      <c r="H429" s="78">
        <v>1</v>
      </c>
      <c r="I429" s="15">
        <f t="shared" si="132"/>
        <v>0.6</v>
      </c>
      <c r="J429" s="16">
        <f>VLOOKUP(G429,Inputs!$L$3:$P$15,5,FALSE)</f>
        <v>2000</v>
      </c>
      <c r="K429" s="16">
        <f t="shared" si="133"/>
        <v>1825</v>
      </c>
      <c r="L429" s="79">
        <f>Inputs!$P$8-B429</f>
        <v>191.72770000000003</v>
      </c>
      <c r="M429" s="79">
        <f>Inputs!$Q$8+L429*0.433</f>
        <v>1908.0180941000001</v>
      </c>
      <c r="N429" s="82">
        <f t="shared" si="134"/>
        <v>134799.92000000001</v>
      </c>
      <c r="O429" s="83">
        <f t="shared" si="135"/>
        <v>746.4633</v>
      </c>
      <c r="P429" s="84">
        <f>IF(O429="","",Inputs!$C$5-O429)</f>
        <v>78.721199999999953</v>
      </c>
      <c r="Q429" s="83">
        <f>IF(N429="","",TS!J429)</f>
        <v>2000</v>
      </c>
      <c r="R429" s="83">
        <f>IF(N429="","",TS!K429)</f>
        <v>1825</v>
      </c>
      <c r="S429" s="83">
        <f>Inputs!$H$5+TS!P429*0.4333</f>
        <v>1909.0756124099998</v>
      </c>
      <c r="T429" s="83">
        <f>Inputs!$G$5+TS!P429*0.4333</f>
        <v>1924.0756124099998</v>
      </c>
      <c r="U429" s="85">
        <f t="shared" si="136"/>
        <v>0.9620378062049999</v>
      </c>
      <c r="V429" s="86">
        <f t="shared" si="124"/>
        <v>0</v>
      </c>
      <c r="W429" s="86">
        <f t="shared" si="125"/>
        <v>0</v>
      </c>
      <c r="X429" s="86" t="e">
        <f>((PI()*((42-2*'Gen Calcs'!$E$13)^2)/4)/144)*(A472-#REF!)*(W429+14.7)/14.7</f>
        <v>#REF!</v>
      </c>
      <c r="Y429" s="86" t="e">
        <f t="shared" si="126"/>
        <v>#REF!</v>
      </c>
      <c r="Z429" s="86" t="e">
        <f t="shared" si="127"/>
        <v>#REF!</v>
      </c>
      <c r="AA429" s="83">
        <f>MAX(B$2:B429)-B429</f>
        <v>78.721199999999953</v>
      </c>
      <c r="AB429" s="83">
        <f t="shared" si="128"/>
        <v>34.086279599999976</v>
      </c>
      <c r="AC429" s="83">
        <f t="shared" si="130"/>
        <v>120</v>
      </c>
      <c r="AD429" s="72">
        <v>120</v>
      </c>
      <c r="AE429" s="73">
        <f t="shared" si="137"/>
        <v>907.92027688745009</v>
      </c>
      <c r="AF429" s="73">
        <f>SUM(AE$2:AE429)</f>
        <v>352697.08720556996</v>
      </c>
      <c r="AG429" s="73">
        <f t="shared" si="138"/>
        <v>821032.81522153923</v>
      </c>
    </row>
    <row r="430" spans="1:33" x14ac:dyDescent="0.25">
      <c r="A430" s="100">
        <v>134899.92000000001</v>
      </c>
      <c r="B430" s="97">
        <v>741.36400000000003</v>
      </c>
      <c r="C430" s="97">
        <v>0.6</v>
      </c>
      <c r="D430" s="80">
        <f t="shared" si="139"/>
        <v>100</v>
      </c>
      <c r="E430" s="81">
        <f t="shared" si="131"/>
        <v>6616.6076625842816</v>
      </c>
      <c r="F430" s="81">
        <f>SUM(E$2:E430)</f>
        <v>2642619.7101749675</v>
      </c>
      <c r="G430" s="43">
        <f t="shared" si="129"/>
        <v>1</v>
      </c>
      <c r="H430" s="78">
        <v>1</v>
      </c>
      <c r="I430" s="15">
        <f t="shared" si="132"/>
        <v>0.6</v>
      </c>
      <c r="J430" s="16">
        <f>VLOOKUP(G430,Inputs!$L$3:$P$15,5,FALSE)</f>
        <v>2000</v>
      </c>
      <c r="K430" s="16">
        <f t="shared" si="133"/>
        <v>1825</v>
      </c>
      <c r="L430" s="79">
        <f>Inputs!$P$8-B430</f>
        <v>196.827</v>
      </c>
      <c r="M430" s="79">
        <f>Inputs!$Q$8+L430*0.433</f>
        <v>1910.226091</v>
      </c>
      <c r="N430" s="82">
        <f t="shared" si="134"/>
        <v>134899.92000000001</v>
      </c>
      <c r="O430" s="83">
        <f t="shared" si="135"/>
        <v>741.36400000000003</v>
      </c>
      <c r="P430" s="84">
        <f>IF(O430="","",Inputs!$C$5-O430)</f>
        <v>83.820499999999925</v>
      </c>
      <c r="Q430" s="83">
        <f>IF(N430="","",TS!J430)</f>
        <v>2000</v>
      </c>
      <c r="R430" s="83">
        <f>IF(N430="","",TS!K430)</f>
        <v>1825</v>
      </c>
      <c r="S430" s="83">
        <f>Inputs!$H$5+TS!P430*0.4333</f>
        <v>1911.2851390999999</v>
      </c>
      <c r="T430" s="83">
        <f>Inputs!$G$5+TS!P430*0.4333</f>
        <v>1926.2851390999999</v>
      </c>
      <c r="U430" s="85">
        <f t="shared" si="136"/>
        <v>0.96314256954999999</v>
      </c>
      <c r="V430" s="86">
        <f t="shared" si="124"/>
        <v>0</v>
      </c>
      <c r="W430" s="86">
        <f t="shared" si="125"/>
        <v>0</v>
      </c>
      <c r="X430" s="86" t="e">
        <f>((PI()*((42-2*'Gen Calcs'!$E$13)^2)/4)/144)*(A473-#REF!)*(W430+14.7)/14.7</f>
        <v>#REF!</v>
      </c>
      <c r="Y430" s="86" t="e">
        <f t="shared" si="126"/>
        <v>#REF!</v>
      </c>
      <c r="Z430" s="86" t="e">
        <f t="shared" si="127"/>
        <v>#REF!</v>
      </c>
      <c r="AA430" s="83">
        <f>MAX(B$2:B430)-B430</f>
        <v>83.820499999999925</v>
      </c>
      <c r="AB430" s="83">
        <f t="shared" si="128"/>
        <v>36.294276499999967</v>
      </c>
      <c r="AC430" s="83">
        <f t="shared" si="130"/>
        <v>120</v>
      </c>
      <c r="AD430" s="72">
        <v>120</v>
      </c>
      <c r="AE430" s="73">
        <f t="shared" si="137"/>
        <v>907.92027688745009</v>
      </c>
      <c r="AF430" s="73">
        <f>SUM(AE$2:AE430)</f>
        <v>353605.00748245738</v>
      </c>
      <c r="AG430" s="73">
        <f t="shared" si="138"/>
        <v>820124.89494465175</v>
      </c>
    </row>
    <row r="431" spans="1:33" x14ac:dyDescent="0.25">
      <c r="A431" s="99">
        <v>134999.92000000001</v>
      </c>
      <c r="B431" s="96">
        <v>740.31650000000002</v>
      </c>
      <c r="C431" s="96">
        <v>0.6</v>
      </c>
      <c r="D431" s="80">
        <f t="shared" si="139"/>
        <v>100</v>
      </c>
      <c r="E431" s="81">
        <f t="shared" si="131"/>
        <v>6791.2436711181272</v>
      </c>
      <c r="F431" s="81">
        <f>SUM(E$2:E431)</f>
        <v>2649410.9538460858</v>
      </c>
      <c r="G431" s="43">
        <f t="shared" si="129"/>
        <v>1</v>
      </c>
      <c r="H431" s="78">
        <v>1</v>
      </c>
      <c r="I431" s="15">
        <f t="shared" si="132"/>
        <v>0.6</v>
      </c>
      <c r="J431" s="16">
        <f>VLOOKUP(G431,Inputs!$L$3:$P$15,5,FALSE)</f>
        <v>2000</v>
      </c>
      <c r="K431" s="16">
        <f t="shared" si="133"/>
        <v>1825</v>
      </c>
      <c r="L431" s="79">
        <f>Inputs!$P$8-B431</f>
        <v>197.87450000000001</v>
      </c>
      <c r="M431" s="79">
        <f>Inputs!$Q$8+L431*0.433</f>
        <v>1910.6796585</v>
      </c>
      <c r="N431" s="82">
        <f t="shared" si="134"/>
        <v>134999.92000000001</v>
      </c>
      <c r="O431" s="83">
        <f t="shared" si="135"/>
        <v>740.31650000000002</v>
      </c>
      <c r="P431" s="84">
        <f>IF(O431="","",Inputs!$C$5-O431)</f>
        <v>84.867999999999938</v>
      </c>
      <c r="Q431" s="83">
        <f>IF(N431="","",TS!J431)</f>
        <v>2000</v>
      </c>
      <c r="R431" s="83">
        <f>IF(N431="","",TS!K431)</f>
        <v>1825</v>
      </c>
      <c r="S431" s="83">
        <f>Inputs!$H$5+TS!P431*0.4333</f>
        <v>1911.7390208499999</v>
      </c>
      <c r="T431" s="83">
        <f>Inputs!$G$5+TS!P431*0.4333</f>
        <v>1926.7390208499999</v>
      </c>
      <c r="U431" s="85">
        <f t="shared" si="136"/>
        <v>0.96336951042499996</v>
      </c>
      <c r="V431" s="86">
        <f t="shared" si="124"/>
        <v>0</v>
      </c>
      <c r="W431" s="86">
        <f t="shared" si="125"/>
        <v>0</v>
      </c>
      <c r="X431" s="86" t="e">
        <f>((PI()*((42-2*'Gen Calcs'!$E$13)^2)/4)/144)*(A474-#REF!)*(W431+14.7)/14.7</f>
        <v>#REF!</v>
      </c>
      <c r="Y431" s="86" t="e">
        <f t="shared" si="126"/>
        <v>#REF!</v>
      </c>
      <c r="Z431" s="86" t="e">
        <f t="shared" si="127"/>
        <v>#REF!</v>
      </c>
      <c r="AA431" s="83">
        <f>MAX(B$2:B431)-B431</f>
        <v>84.867999999999938</v>
      </c>
      <c r="AB431" s="83">
        <f t="shared" si="128"/>
        <v>36.747843999999972</v>
      </c>
      <c r="AC431" s="83">
        <f t="shared" si="130"/>
        <v>120</v>
      </c>
      <c r="AD431" s="72">
        <v>120</v>
      </c>
      <c r="AE431" s="73">
        <f t="shared" si="137"/>
        <v>907.92027688745009</v>
      </c>
      <c r="AF431" s="73">
        <f>SUM(AE$2:AE431)</f>
        <v>354512.92775934481</v>
      </c>
      <c r="AG431" s="73">
        <f t="shared" si="138"/>
        <v>819216.97466776439</v>
      </c>
    </row>
    <row r="432" spans="1:33" x14ac:dyDescent="0.25">
      <c r="A432" s="100">
        <v>135099.92000000001</v>
      </c>
      <c r="B432" s="97">
        <v>733.98069999999996</v>
      </c>
      <c r="C432" s="97">
        <v>0.6</v>
      </c>
      <c r="D432" s="80">
        <f t="shared" si="139"/>
        <v>100</v>
      </c>
      <c r="E432" s="81">
        <f t="shared" si="131"/>
        <v>6616.6076625842816</v>
      </c>
      <c r="F432" s="81">
        <f>SUM(E$2:E432)</f>
        <v>2656027.56150867</v>
      </c>
      <c r="G432" s="43">
        <f t="shared" si="129"/>
        <v>1</v>
      </c>
      <c r="H432" s="78">
        <v>1</v>
      </c>
      <c r="I432" s="15">
        <f t="shared" si="132"/>
        <v>0.6</v>
      </c>
      <c r="J432" s="16">
        <f>VLOOKUP(G432,Inputs!$L$3:$P$15,5,FALSE)</f>
        <v>2000</v>
      </c>
      <c r="K432" s="16">
        <f t="shared" si="133"/>
        <v>1825</v>
      </c>
      <c r="L432" s="79">
        <f>Inputs!$P$8-B432</f>
        <v>204.21030000000007</v>
      </c>
      <c r="M432" s="79">
        <f>Inputs!$Q$8+L432*0.433</f>
        <v>1913.4230599</v>
      </c>
      <c r="N432" s="82">
        <f t="shared" si="134"/>
        <v>135099.92000000001</v>
      </c>
      <c r="O432" s="83">
        <f t="shared" si="135"/>
        <v>733.98069999999996</v>
      </c>
      <c r="P432" s="84">
        <f>IF(O432="","",Inputs!$C$5-O432)</f>
        <v>91.203800000000001</v>
      </c>
      <c r="Q432" s="83">
        <f>IF(N432="","",TS!J432)</f>
        <v>2000</v>
      </c>
      <c r="R432" s="83">
        <f>IF(N432="","",TS!K432)</f>
        <v>1825</v>
      </c>
      <c r="S432" s="83">
        <f>Inputs!$H$5+TS!P432*0.4333</f>
        <v>1914.48432299</v>
      </c>
      <c r="T432" s="83">
        <f>Inputs!$G$5+TS!P432*0.4333</f>
        <v>1929.48432299</v>
      </c>
      <c r="U432" s="85">
        <f t="shared" si="136"/>
        <v>0.96474216149500003</v>
      </c>
      <c r="V432" s="86">
        <f t="shared" si="124"/>
        <v>0</v>
      </c>
      <c r="W432" s="86">
        <f t="shared" si="125"/>
        <v>0</v>
      </c>
      <c r="X432" s="86" t="e">
        <f>((PI()*((42-2*'Gen Calcs'!$E$13)^2)/4)/144)*(A475-#REF!)*(W432+14.7)/14.7</f>
        <v>#REF!</v>
      </c>
      <c r="Y432" s="86" t="e">
        <f t="shared" si="126"/>
        <v>#REF!</v>
      </c>
      <c r="Z432" s="86" t="e">
        <f t="shared" si="127"/>
        <v>#REF!</v>
      </c>
      <c r="AA432" s="83">
        <f>MAX(B$2:B432)-B432</f>
        <v>91.203800000000001</v>
      </c>
      <c r="AB432" s="83">
        <f t="shared" si="128"/>
        <v>39.491245399999997</v>
      </c>
      <c r="AC432" s="83">
        <f t="shared" si="130"/>
        <v>120</v>
      </c>
      <c r="AD432" s="72">
        <v>120</v>
      </c>
      <c r="AE432" s="73">
        <f t="shared" si="137"/>
        <v>907.92027688745009</v>
      </c>
      <c r="AF432" s="73">
        <f>SUM(AE$2:AE432)</f>
        <v>355420.84803623223</v>
      </c>
      <c r="AG432" s="73">
        <f t="shared" si="138"/>
        <v>818309.05439087702</v>
      </c>
    </row>
    <row r="433" spans="1:33" x14ac:dyDescent="0.25">
      <c r="A433" s="99">
        <v>135199.92000000001</v>
      </c>
      <c r="B433" s="96">
        <v>734.41890000000001</v>
      </c>
      <c r="C433" s="96">
        <v>0.6</v>
      </c>
      <c r="D433" s="80">
        <f t="shared" si="139"/>
        <v>100</v>
      </c>
      <c r="E433" s="81">
        <f t="shared" si="131"/>
        <v>6791.2436711181272</v>
      </c>
      <c r="F433" s="81">
        <f>SUM(E$2:E433)</f>
        <v>2662818.8051797883</v>
      </c>
      <c r="G433" s="43">
        <f t="shared" si="129"/>
        <v>1</v>
      </c>
      <c r="H433" s="78">
        <v>1</v>
      </c>
      <c r="I433" s="15">
        <f t="shared" si="132"/>
        <v>0.6</v>
      </c>
      <c r="J433" s="16">
        <f>VLOOKUP(G433,Inputs!$L$3:$P$15,5,FALSE)</f>
        <v>2000</v>
      </c>
      <c r="K433" s="16">
        <f t="shared" si="133"/>
        <v>1825</v>
      </c>
      <c r="L433" s="79">
        <f>Inputs!$P$8-B433</f>
        <v>203.77210000000002</v>
      </c>
      <c r="M433" s="79">
        <f>Inputs!$Q$8+L433*0.433</f>
        <v>1913.2333192999999</v>
      </c>
      <c r="N433" s="82">
        <f t="shared" si="134"/>
        <v>135199.92000000001</v>
      </c>
      <c r="O433" s="83">
        <f t="shared" si="135"/>
        <v>734.41890000000001</v>
      </c>
      <c r="P433" s="84">
        <f>IF(O433="","",Inputs!$C$5-O433)</f>
        <v>90.765599999999949</v>
      </c>
      <c r="Q433" s="83">
        <f>IF(N433="","",TS!J433)</f>
        <v>2000</v>
      </c>
      <c r="R433" s="83">
        <f>IF(N433="","",TS!K433)</f>
        <v>1825</v>
      </c>
      <c r="S433" s="83">
        <f>Inputs!$H$5+TS!P433*0.4333</f>
        <v>1914.29445093</v>
      </c>
      <c r="T433" s="83">
        <f>Inputs!$G$5+TS!P433*0.4333</f>
        <v>1929.29445093</v>
      </c>
      <c r="U433" s="85">
        <f t="shared" si="136"/>
        <v>0.96464722546500004</v>
      </c>
      <c r="V433" s="86">
        <f t="shared" si="124"/>
        <v>0</v>
      </c>
      <c r="W433" s="86">
        <f t="shared" si="125"/>
        <v>0</v>
      </c>
      <c r="X433" s="86" t="e">
        <f>((PI()*((42-2*'Gen Calcs'!$E$13)^2)/4)/144)*(A476-#REF!)*(W433+14.7)/14.7</f>
        <v>#REF!</v>
      </c>
      <c r="Y433" s="86" t="e">
        <f t="shared" si="126"/>
        <v>#REF!</v>
      </c>
      <c r="Z433" s="86" t="e">
        <f t="shared" si="127"/>
        <v>#REF!</v>
      </c>
      <c r="AA433" s="83">
        <f>MAX(B$2:B433)-B433</f>
        <v>90.765599999999949</v>
      </c>
      <c r="AB433" s="83">
        <f t="shared" si="128"/>
        <v>39.301504799999975</v>
      </c>
      <c r="AC433" s="83">
        <f t="shared" si="130"/>
        <v>120</v>
      </c>
      <c r="AD433" s="72">
        <v>120</v>
      </c>
      <c r="AE433" s="73">
        <f t="shared" si="137"/>
        <v>907.92027688745009</v>
      </c>
      <c r="AF433" s="73">
        <f>SUM(AE$2:AE433)</f>
        <v>356328.76831311965</v>
      </c>
      <c r="AG433" s="73">
        <f t="shared" si="138"/>
        <v>817401.13411398954</v>
      </c>
    </row>
    <row r="434" spans="1:33" x14ac:dyDescent="0.25">
      <c r="A434" s="100">
        <v>135299.92000000001</v>
      </c>
      <c r="B434" s="97">
        <v>735.10550000000001</v>
      </c>
      <c r="C434" s="97">
        <v>0.6</v>
      </c>
      <c r="D434" s="80">
        <f t="shared" si="139"/>
        <v>100</v>
      </c>
      <c r="E434" s="81">
        <f t="shared" si="131"/>
        <v>6791.2436711181272</v>
      </c>
      <c r="F434" s="81">
        <f>SUM(E$2:E434)</f>
        <v>2669610.0488509065</v>
      </c>
      <c r="G434" s="43">
        <f t="shared" si="129"/>
        <v>1</v>
      </c>
      <c r="H434" s="78">
        <v>1</v>
      </c>
      <c r="I434" s="15">
        <f t="shared" si="132"/>
        <v>0.6</v>
      </c>
      <c r="J434" s="16">
        <f>VLOOKUP(G434,Inputs!$L$3:$P$15,5,FALSE)</f>
        <v>2000</v>
      </c>
      <c r="K434" s="16">
        <f t="shared" si="133"/>
        <v>1825</v>
      </c>
      <c r="L434" s="79">
        <f>Inputs!$P$8-B434</f>
        <v>203.08550000000002</v>
      </c>
      <c r="M434" s="79">
        <f>Inputs!$Q$8+L434*0.433</f>
        <v>1912.9360214999999</v>
      </c>
      <c r="N434" s="82">
        <f t="shared" si="134"/>
        <v>135299.92000000001</v>
      </c>
      <c r="O434" s="83">
        <f t="shared" si="135"/>
        <v>735.10550000000001</v>
      </c>
      <c r="P434" s="84">
        <f>IF(O434="","",Inputs!$C$5-O434)</f>
        <v>90.078999999999951</v>
      </c>
      <c r="Q434" s="83">
        <f>IF(N434="","",TS!J434)</f>
        <v>2000</v>
      </c>
      <c r="R434" s="83">
        <f>IF(N434="","",TS!K434)</f>
        <v>1825</v>
      </c>
      <c r="S434" s="83">
        <f>Inputs!$H$5+TS!P434*0.4333</f>
        <v>1913.9969471499999</v>
      </c>
      <c r="T434" s="83">
        <f>Inputs!$G$5+TS!P434*0.4333</f>
        <v>1928.9969471499999</v>
      </c>
      <c r="U434" s="85">
        <f t="shared" si="136"/>
        <v>0.96449847357499996</v>
      </c>
      <c r="V434" s="86">
        <f t="shared" si="124"/>
        <v>0</v>
      </c>
      <c r="W434" s="86">
        <f t="shared" si="125"/>
        <v>0</v>
      </c>
      <c r="X434" s="86" t="e">
        <f>((PI()*((42-2*'Gen Calcs'!$E$13)^2)/4)/144)*(A477-#REF!)*(W434+14.7)/14.7</f>
        <v>#REF!</v>
      </c>
      <c r="Y434" s="86" t="e">
        <f t="shared" si="126"/>
        <v>#REF!</v>
      </c>
      <c r="Z434" s="86" t="e">
        <f t="shared" si="127"/>
        <v>#REF!</v>
      </c>
      <c r="AA434" s="83">
        <f>MAX(B$2:B434)-B434</f>
        <v>90.078999999999951</v>
      </c>
      <c r="AB434" s="83">
        <f t="shared" si="128"/>
        <v>39.00420699999998</v>
      </c>
      <c r="AC434" s="83">
        <f t="shared" si="130"/>
        <v>120</v>
      </c>
      <c r="AD434" s="72">
        <v>120</v>
      </c>
      <c r="AE434" s="73">
        <f t="shared" si="137"/>
        <v>907.92027688745009</v>
      </c>
      <c r="AF434" s="73">
        <f>SUM(AE$2:AE434)</f>
        <v>357236.68859000708</v>
      </c>
      <c r="AG434" s="73">
        <f t="shared" si="138"/>
        <v>816493.21383710206</v>
      </c>
    </row>
    <row r="435" spans="1:33" x14ac:dyDescent="0.25">
      <c r="A435" s="99">
        <v>135399.92000000001</v>
      </c>
      <c r="B435" s="96">
        <v>739.33140000000003</v>
      </c>
      <c r="C435" s="96">
        <v>0.6</v>
      </c>
      <c r="D435" s="80">
        <f t="shared" si="139"/>
        <v>100</v>
      </c>
      <c r="E435" s="81">
        <f t="shared" si="131"/>
        <v>6791.2436711181272</v>
      </c>
      <c r="F435" s="81">
        <f>SUM(E$2:E435)</f>
        <v>2676401.2925220248</v>
      </c>
      <c r="G435" s="43">
        <f t="shared" si="129"/>
        <v>1</v>
      </c>
      <c r="H435" s="78">
        <v>1</v>
      </c>
      <c r="I435" s="15">
        <f t="shared" si="132"/>
        <v>0.6</v>
      </c>
      <c r="J435" s="16">
        <f>VLOOKUP(G435,Inputs!$L$3:$P$15,5,FALSE)</f>
        <v>2000</v>
      </c>
      <c r="K435" s="16">
        <f t="shared" si="133"/>
        <v>1825</v>
      </c>
      <c r="L435" s="79">
        <f>Inputs!$P$8-B435</f>
        <v>198.8596</v>
      </c>
      <c r="M435" s="79">
        <f>Inputs!$Q$8+L435*0.433</f>
        <v>1911.1062068000001</v>
      </c>
      <c r="N435" s="82">
        <f t="shared" si="134"/>
        <v>135399.92000000001</v>
      </c>
      <c r="O435" s="83">
        <f t="shared" si="135"/>
        <v>739.33140000000003</v>
      </c>
      <c r="P435" s="84">
        <f>IF(O435="","",Inputs!$C$5-O435)</f>
        <v>85.853099999999927</v>
      </c>
      <c r="Q435" s="83">
        <f>IF(N435="","",TS!J435)</f>
        <v>2000</v>
      </c>
      <c r="R435" s="83">
        <f>IF(N435="","",TS!K435)</f>
        <v>1825</v>
      </c>
      <c r="S435" s="83">
        <f>Inputs!$H$5+TS!P435*0.4333</f>
        <v>1912.1658646799999</v>
      </c>
      <c r="T435" s="83">
        <f>Inputs!$G$5+TS!P435*0.4333</f>
        <v>1927.1658646799999</v>
      </c>
      <c r="U435" s="85">
        <f t="shared" si="136"/>
        <v>0.96358293233999992</v>
      </c>
      <c r="V435" s="86">
        <f t="shared" si="124"/>
        <v>0</v>
      </c>
      <c r="W435" s="86">
        <f t="shared" si="125"/>
        <v>0</v>
      </c>
      <c r="X435" s="86" t="e">
        <f>((PI()*((42-2*'Gen Calcs'!$E$13)^2)/4)/144)*(A478-#REF!)*(W435+14.7)/14.7</f>
        <v>#REF!</v>
      </c>
      <c r="Y435" s="86" t="e">
        <f t="shared" si="126"/>
        <v>#REF!</v>
      </c>
      <c r="Z435" s="86" t="e">
        <f t="shared" si="127"/>
        <v>#REF!</v>
      </c>
      <c r="AA435" s="83">
        <f>MAX(B$2:B435)-B435</f>
        <v>85.853099999999927</v>
      </c>
      <c r="AB435" s="83">
        <f t="shared" si="128"/>
        <v>37.174392299999965</v>
      </c>
      <c r="AC435" s="83">
        <f t="shared" si="130"/>
        <v>120</v>
      </c>
      <c r="AD435" s="72">
        <v>120</v>
      </c>
      <c r="AE435" s="73">
        <f t="shared" si="137"/>
        <v>907.92027688745009</v>
      </c>
      <c r="AF435" s="73">
        <f>SUM(AE$2:AE435)</f>
        <v>358144.6088668945</v>
      </c>
      <c r="AG435" s="73">
        <f t="shared" si="138"/>
        <v>815585.29356021469</v>
      </c>
    </row>
    <row r="436" spans="1:33" x14ac:dyDescent="0.25">
      <c r="A436" s="100">
        <v>135499.92000000001</v>
      </c>
      <c r="B436" s="97">
        <v>739.73509999999999</v>
      </c>
      <c r="C436" s="97">
        <v>0.6</v>
      </c>
      <c r="D436" s="80">
        <f t="shared" si="139"/>
        <v>100</v>
      </c>
      <c r="E436" s="81">
        <f t="shared" si="131"/>
        <v>6791.2436711181272</v>
      </c>
      <c r="F436" s="81">
        <f>SUM(E$2:E436)</f>
        <v>2683192.5361931431</v>
      </c>
      <c r="G436" s="43">
        <f t="shared" si="129"/>
        <v>1</v>
      </c>
      <c r="H436" s="78">
        <v>1</v>
      </c>
      <c r="I436" s="15">
        <f t="shared" si="132"/>
        <v>0.6</v>
      </c>
      <c r="J436" s="16">
        <f>VLOOKUP(G436,Inputs!$L$3:$P$15,5,FALSE)</f>
        <v>2000</v>
      </c>
      <c r="K436" s="16">
        <f t="shared" si="133"/>
        <v>1825</v>
      </c>
      <c r="L436" s="79">
        <f>Inputs!$P$8-B436</f>
        <v>198.45590000000004</v>
      </c>
      <c r="M436" s="79">
        <f>Inputs!$Q$8+L436*0.433</f>
        <v>1910.9314047</v>
      </c>
      <c r="N436" s="82">
        <f t="shared" si="134"/>
        <v>135499.92000000001</v>
      </c>
      <c r="O436" s="83">
        <f t="shared" si="135"/>
        <v>739.73509999999999</v>
      </c>
      <c r="P436" s="84">
        <f>IF(O436="","",Inputs!$C$5-O436)</f>
        <v>85.449399999999969</v>
      </c>
      <c r="Q436" s="83">
        <f>IF(N436="","",TS!J436)</f>
        <v>2000</v>
      </c>
      <c r="R436" s="83">
        <f>IF(N436="","",TS!K436)</f>
        <v>1825</v>
      </c>
      <c r="S436" s="83">
        <f>Inputs!$H$5+TS!P436*0.4333</f>
        <v>1911.9909414699998</v>
      </c>
      <c r="T436" s="83">
        <f>Inputs!$G$5+TS!P436*0.4333</f>
        <v>1926.9909414699998</v>
      </c>
      <c r="U436" s="85">
        <f t="shared" si="136"/>
        <v>0.96349547073499986</v>
      </c>
      <c r="V436" s="86">
        <f t="shared" si="124"/>
        <v>0</v>
      </c>
      <c r="W436" s="86">
        <f t="shared" si="125"/>
        <v>0</v>
      </c>
      <c r="X436" s="86" t="e">
        <f>((PI()*((42-2*'Gen Calcs'!$E$13)^2)/4)/144)*(A479-#REF!)*(W436+14.7)/14.7</f>
        <v>#REF!</v>
      </c>
      <c r="Y436" s="86" t="e">
        <f t="shared" si="126"/>
        <v>#REF!</v>
      </c>
      <c r="Z436" s="86" t="e">
        <f t="shared" si="127"/>
        <v>#REF!</v>
      </c>
      <c r="AA436" s="83">
        <f>MAX(B$2:B436)-B436</f>
        <v>85.449399999999969</v>
      </c>
      <c r="AB436" s="83">
        <f t="shared" si="128"/>
        <v>36.999590199999986</v>
      </c>
      <c r="AC436" s="83">
        <f t="shared" si="130"/>
        <v>120</v>
      </c>
      <c r="AD436" s="72">
        <v>120</v>
      </c>
      <c r="AE436" s="73">
        <f t="shared" si="137"/>
        <v>907.92027688745009</v>
      </c>
      <c r="AF436" s="73">
        <f>SUM(AE$2:AE436)</f>
        <v>359052.52914378193</v>
      </c>
      <c r="AG436" s="73">
        <f t="shared" si="138"/>
        <v>814677.37328332732</v>
      </c>
    </row>
    <row r="437" spans="1:33" x14ac:dyDescent="0.25">
      <c r="A437" s="99">
        <v>135599.92000000001</v>
      </c>
      <c r="B437" s="96">
        <v>740.00300000000004</v>
      </c>
      <c r="C437" s="96">
        <v>0.6</v>
      </c>
      <c r="D437" s="80">
        <f t="shared" si="139"/>
        <v>100</v>
      </c>
      <c r="E437" s="81">
        <f t="shared" si="131"/>
        <v>6791.2436711181272</v>
      </c>
      <c r="F437" s="81">
        <f>SUM(E$2:E437)</f>
        <v>2689983.7798642614</v>
      </c>
      <c r="G437" s="43">
        <f t="shared" si="129"/>
        <v>1</v>
      </c>
      <c r="H437" s="78">
        <v>1</v>
      </c>
      <c r="I437" s="15">
        <f t="shared" si="132"/>
        <v>0.6</v>
      </c>
      <c r="J437" s="16">
        <f>VLOOKUP(G437,Inputs!$L$3:$P$15,5,FALSE)</f>
        <v>2000</v>
      </c>
      <c r="K437" s="16">
        <f t="shared" si="133"/>
        <v>1825</v>
      </c>
      <c r="L437" s="79">
        <f>Inputs!$P$8-B437</f>
        <v>198.18799999999999</v>
      </c>
      <c r="M437" s="79">
        <f>Inputs!$Q$8+L437*0.433</f>
        <v>1910.8154039999999</v>
      </c>
      <c r="N437" s="82">
        <f t="shared" si="134"/>
        <v>135599.92000000001</v>
      </c>
      <c r="O437" s="83">
        <f t="shared" si="135"/>
        <v>740.00300000000004</v>
      </c>
      <c r="P437" s="84">
        <f>IF(O437="","",Inputs!$C$5-O437)</f>
        <v>85.181499999999915</v>
      </c>
      <c r="Q437" s="83">
        <f>IF(N437="","",TS!J437)</f>
        <v>2000</v>
      </c>
      <c r="R437" s="83">
        <f>IF(N437="","",TS!K437)</f>
        <v>1825</v>
      </c>
      <c r="S437" s="83">
        <f>Inputs!$H$5+TS!P437*0.4333</f>
        <v>1911.8748604</v>
      </c>
      <c r="T437" s="83">
        <f>Inputs!$G$5+TS!P437*0.4333</f>
        <v>1926.8748604</v>
      </c>
      <c r="U437" s="85">
        <f t="shared" si="136"/>
        <v>0.96343743019999994</v>
      </c>
      <c r="V437" s="86">
        <f t="shared" si="124"/>
        <v>0</v>
      </c>
      <c r="W437" s="86">
        <f t="shared" si="125"/>
        <v>0</v>
      </c>
      <c r="X437" s="86" t="e">
        <f>((PI()*((42-2*'Gen Calcs'!$E$13)^2)/4)/144)*(A480-#REF!)*(W437+14.7)/14.7</f>
        <v>#REF!</v>
      </c>
      <c r="Y437" s="86" t="e">
        <f t="shared" si="126"/>
        <v>#REF!</v>
      </c>
      <c r="Z437" s="86" t="e">
        <f t="shared" si="127"/>
        <v>#REF!</v>
      </c>
      <c r="AA437" s="83">
        <f>MAX(B$2:B437)-B437</f>
        <v>85.181499999999915</v>
      </c>
      <c r="AB437" s="83">
        <f t="shared" si="128"/>
        <v>36.883589499999964</v>
      </c>
      <c r="AC437" s="83">
        <f t="shared" si="130"/>
        <v>120</v>
      </c>
      <c r="AD437" s="72">
        <v>120</v>
      </c>
      <c r="AE437" s="73">
        <f t="shared" si="137"/>
        <v>907.92027688745009</v>
      </c>
      <c r="AF437" s="73">
        <f>SUM(AE$2:AE437)</f>
        <v>359960.44942066935</v>
      </c>
      <c r="AG437" s="73">
        <f t="shared" si="138"/>
        <v>813769.45300643984</v>
      </c>
    </row>
    <row r="438" spans="1:33" x14ac:dyDescent="0.25">
      <c r="A438" s="100">
        <v>135699.92000000001</v>
      </c>
      <c r="B438" s="97">
        <v>741.77940000000001</v>
      </c>
      <c r="C438" s="97">
        <v>0.6</v>
      </c>
      <c r="D438" s="80">
        <f t="shared" si="139"/>
        <v>100</v>
      </c>
      <c r="E438" s="81">
        <f t="shared" si="131"/>
        <v>6616.6076625842816</v>
      </c>
      <c r="F438" s="81">
        <f>SUM(E$2:E438)</f>
        <v>2696600.3875268456</v>
      </c>
      <c r="G438" s="43">
        <f t="shared" si="129"/>
        <v>1</v>
      </c>
      <c r="H438" s="78">
        <v>1</v>
      </c>
      <c r="I438" s="15">
        <f t="shared" si="132"/>
        <v>0.6</v>
      </c>
      <c r="J438" s="16">
        <f>VLOOKUP(G438,Inputs!$L$3:$P$15,5,FALSE)</f>
        <v>2000</v>
      </c>
      <c r="K438" s="16">
        <f t="shared" si="133"/>
        <v>1825</v>
      </c>
      <c r="L438" s="79">
        <f>Inputs!$P$8-B438</f>
        <v>196.41160000000002</v>
      </c>
      <c r="M438" s="79">
        <f>Inputs!$Q$8+L438*0.433</f>
        <v>1910.0462228000001</v>
      </c>
      <c r="N438" s="82">
        <f t="shared" si="134"/>
        <v>135699.92000000001</v>
      </c>
      <c r="O438" s="83">
        <f t="shared" si="135"/>
        <v>741.77940000000001</v>
      </c>
      <c r="P438" s="84">
        <f>IF(O438="","",Inputs!$C$5-O438)</f>
        <v>83.405099999999948</v>
      </c>
      <c r="Q438" s="83">
        <f>IF(N438="","",TS!J438)</f>
        <v>2000</v>
      </c>
      <c r="R438" s="83">
        <f>IF(N438="","",TS!K438)</f>
        <v>1825</v>
      </c>
      <c r="S438" s="83">
        <f>Inputs!$H$5+TS!P438*0.4333</f>
        <v>1911.1051462799999</v>
      </c>
      <c r="T438" s="83">
        <f>Inputs!$G$5+TS!P438*0.4333</f>
        <v>1926.1051462799999</v>
      </c>
      <c r="U438" s="85">
        <f t="shared" si="136"/>
        <v>0.96305257313999992</v>
      </c>
      <c r="V438" s="86">
        <f t="shared" ref="V438:V501" si="140">O438-MAX(O438:O438)</f>
        <v>0</v>
      </c>
      <c r="W438" s="86">
        <f t="shared" ref="W438:W501" si="141">-(V438)*0.433</f>
        <v>0</v>
      </c>
      <c r="X438" s="86" t="e">
        <f>((PI()*((42-2*'Gen Calcs'!$E$13)^2)/4)/144)*(A481-#REF!)*(W438+14.7)/14.7</f>
        <v>#REF!</v>
      </c>
      <c r="Y438" s="86" t="e">
        <f t="shared" ref="Y438:Y501" si="142">X438/1000</f>
        <v>#REF!</v>
      </c>
      <c r="Z438" s="86" t="e">
        <f t="shared" ref="Z438:Z501" si="143">IF(Y438&gt;Z437,Y438,Z437)</f>
        <v>#REF!</v>
      </c>
      <c r="AA438" s="83">
        <f>MAX(B$2:B438)-B438</f>
        <v>83.405099999999948</v>
      </c>
      <c r="AB438" s="83">
        <f t="shared" ref="AB438:AB501" si="144">AA438*0.433</f>
        <v>36.11440829999998</v>
      </c>
      <c r="AC438" s="83">
        <f t="shared" si="130"/>
        <v>120</v>
      </c>
      <c r="AD438" s="72">
        <v>120</v>
      </c>
      <c r="AE438" s="73">
        <f t="shared" si="137"/>
        <v>907.92027688745009</v>
      </c>
      <c r="AF438" s="73">
        <f>SUM(AE$2:AE438)</f>
        <v>360868.36969755677</v>
      </c>
      <c r="AG438" s="73">
        <f t="shared" si="138"/>
        <v>812861.53272955236</v>
      </c>
    </row>
    <row r="439" spans="1:33" x14ac:dyDescent="0.25">
      <c r="A439" s="99">
        <v>135799.92000000001</v>
      </c>
      <c r="B439" s="96">
        <v>743.32449999999994</v>
      </c>
      <c r="C439" s="96">
        <v>0.6</v>
      </c>
      <c r="D439" s="80">
        <f t="shared" si="139"/>
        <v>100</v>
      </c>
      <c r="E439" s="81">
        <f t="shared" si="131"/>
        <v>6791.2436711181272</v>
      </c>
      <c r="F439" s="81">
        <f>SUM(E$2:E439)</f>
        <v>2703391.6311979638</v>
      </c>
      <c r="G439" s="43">
        <f t="shared" si="129"/>
        <v>1</v>
      </c>
      <c r="H439" s="78">
        <v>1</v>
      </c>
      <c r="I439" s="15">
        <f t="shared" si="132"/>
        <v>0.6</v>
      </c>
      <c r="J439" s="16">
        <f>VLOOKUP(G439,Inputs!$L$3:$P$15,5,FALSE)</f>
        <v>2000</v>
      </c>
      <c r="K439" s="16">
        <f t="shared" si="133"/>
        <v>1825</v>
      </c>
      <c r="L439" s="79">
        <f>Inputs!$P$8-B439</f>
        <v>194.86650000000009</v>
      </c>
      <c r="M439" s="79">
        <f>Inputs!$Q$8+L439*0.433</f>
        <v>1909.3771945000001</v>
      </c>
      <c r="N439" s="82">
        <f t="shared" si="134"/>
        <v>135799.92000000001</v>
      </c>
      <c r="O439" s="83">
        <f t="shared" si="135"/>
        <v>743.32449999999994</v>
      </c>
      <c r="P439" s="84">
        <f>IF(O439="","",Inputs!$C$5-O439)</f>
        <v>81.860000000000014</v>
      </c>
      <c r="Q439" s="83">
        <f>IF(N439="","",TS!J439)</f>
        <v>2000</v>
      </c>
      <c r="R439" s="83">
        <f>IF(N439="","",TS!K439)</f>
        <v>1825</v>
      </c>
      <c r="S439" s="83">
        <f>Inputs!$H$5+TS!P439*0.4333</f>
        <v>1910.4356544499999</v>
      </c>
      <c r="T439" s="83">
        <f>Inputs!$G$5+TS!P439*0.4333</f>
        <v>1925.4356544499999</v>
      </c>
      <c r="U439" s="85">
        <f t="shared" si="136"/>
        <v>0.96271782722499999</v>
      </c>
      <c r="V439" s="86">
        <f t="shared" si="140"/>
        <v>0</v>
      </c>
      <c r="W439" s="86">
        <f t="shared" si="141"/>
        <v>0</v>
      </c>
      <c r="X439" s="86" t="e">
        <f>((PI()*((42-2*'Gen Calcs'!$E$13)^2)/4)/144)*(A482-#REF!)*(W439+14.7)/14.7</f>
        <v>#REF!</v>
      </c>
      <c r="Y439" s="86" t="e">
        <f t="shared" si="142"/>
        <v>#REF!</v>
      </c>
      <c r="Z439" s="86" t="e">
        <f t="shared" si="143"/>
        <v>#REF!</v>
      </c>
      <c r="AA439" s="83">
        <f>MAX(B$2:B439)-B439</f>
        <v>81.860000000000014</v>
      </c>
      <c r="AB439" s="83">
        <f t="shared" si="144"/>
        <v>35.445380000000007</v>
      </c>
      <c r="AC439" s="83">
        <f t="shared" si="130"/>
        <v>120</v>
      </c>
      <c r="AD439" s="72">
        <v>120</v>
      </c>
      <c r="AE439" s="73">
        <f t="shared" si="137"/>
        <v>907.92027688745009</v>
      </c>
      <c r="AF439" s="73">
        <f>SUM(AE$2:AE439)</f>
        <v>361776.2899744442</v>
      </c>
      <c r="AG439" s="73">
        <f t="shared" si="138"/>
        <v>811953.61245266499</v>
      </c>
    </row>
    <row r="440" spans="1:33" x14ac:dyDescent="0.25">
      <c r="A440" s="100">
        <v>135899.92000000001</v>
      </c>
      <c r="B440" s="97">
        <v>743.15319999999997</v>
      </c>
      <c r="C440" s="97">
        <v>0.6</v>
      </c>
      <c r="D440" s="80">
        <f t="shared" si="139"/>
        <v>100</v>
      </c>
      <c r="E440" s="81">
        <f t="shared" si="131"/>
        <v>6616.6076625842816</v>
      </c>
      <c r="F440" s="81">
        <f>SUM(E$2:E440)</f>
        <v>2710008.238860548</v>
      </c>
      <c r="G440" s="43">
        <f t="shared" si="129"/>
        <v>1</v>
      </c>
      <c r="H440" s="78">
        <v>1</v>
      </c>
      <c r="I440" s="15">
        <f t="shared" si="132"/>
        <v>0.6</v>
      </c>
      <c r="J440" s="16">
        <f>VLOOKUP(G440,Inputs!$L$3:$P$15,5,FALSE)</f>
        <v>2000</v>
      </c>
      <c r="K440" s="16">
        <f t="shared" si="133"/>
        <v>1825</v>
      </c>
      <c r="L440" s="79">
        <f>Inputs!$P$8-B440</f>
        <v>195.03780000000006</v>
      </c>
      <c r="M440" s="79">
        <f>Inputs!$Q$8+L440*0.433</f>
        <v>1909.4513674</v>
      </c>
      <c r="N440" s="82">
        <f t="shared" si="134"/>
        <v>135899.92000000001</v>
      </c>
      <c r="O440" s="83">
        <f t="shared" si="135"/>
        <v>743.15319999999997</v>
      </c>
      <c r="P440" s="84">
        <f>IF(O440="","",Inputs!$C$5-O440)</f>
        <v>82.031299999999987</v>
      </c>
      <c r="Q440" s="83">
        <f>IF(N440="","",TS!J440)</f>
        <v>2000</v>
      </c>
      <c r="R440" s="83">
        <f>IF(N440="","",TS!K440)</f>
        <v>1825</v>
      </c>
      <c r="S440" s="83">
        <f>Inputs!$H$5+TS!P440*0.4333</f>
        <v>1910.50987874</v>
      </c>
      <c r="T440" s="83">
        <f>Inputs!$G$5+TS!P440*0.4333</f>
        <v>1925.50987874</v>
      </c>
      <c r="U440" s="85">
        <f t="shared" si="136"/>
        <v>0.96275493937000001</v>
      </c>
      <c r="V440" s="86">
        <f t="shared" si="140"/>
        <v>0</v>
      </c>
      <c r="W440" s="86">
        <f t="shared" si="141"/>
        <v>0</v>
      </c>
      <c r="X440" s="86" t="e">
        <f>((PI()*((42-2*'Gen Calcs'!$E$13)^2)/4)/144)*(A483-#REF!)*(W440+14.7)/14.7</f>
        <v>#REF!</v>
      </c>
      <c r="Y440" s="86" t="e">
        <f t="shared" si="142"/>
        <v>#REF!</v>
      </c>
      <c r="Z440" s="86" t="e">
        <f t="shared" si="143"/>
        <v>#REF!</v>
      </c>
      <c r="AA440" s="83">
        <f>MAX(B$2:B440)-B440</f>
        <v>82.031299999999987</v>
      </c>
      <c r="AB440" s="83">
        <f t="shared" si="144"/>
        <v>35.519552899999994</v>
      </c>
      <c r="AC440" s="83">
        <f t="shared" si="130"/>
        <v>120</v>
      </c>
      <c r="AD440" s="72">
        <v>120</v>
      </c>
      <c r="AE440" s="73">
        <f t="shared" si="137"/>
        <v>907.92027688745009</v>
      </c>
      <c r="AF440" s="73">
        <f>SUM(AE$2:AE440)</f>
        <v>362684.21025133162</v>
      </c>
      <c r="AG440" s="73">
        <f t="shared" si="138"/>
        <v>811045.69217577763</v>
      </c>
    </row>
    <row r="441" spans="1:33" x14ac:dyDescent="0.25">
      <c r="A441" s="99">
        <v>135999.92000000001</v>
      </c>
      <c r="B441" s="96">
        <v>742.97230000000002</v>
      </c>
      <c r="C441" s="96">
        <v>0.6</v>
      </c>
      <c r="D441" s="80">
        <f t="shared" si="139"/>
        <v>100</v>
      </c>
      <c r="E441" s="81">
        <f t="shared" si="131"/>
        <v>6791.2436711181272</v>
      </c>
      <c r="F441" s="81">
        <f>SUM(E$2:E441)</f>
        <v>2716799.4825316663</v>
      </c>
      <c r="G441" s="43">
        <f t="shared" si="129"/>
        <v>1</v>
      </c>
      <c r="H441" s="78">
        <v>1</v>
      </c>
      <c r="I441" s="15">
        <f t="shared" si="132"/>
        <v>0.6</v>
      </c>
      <c r="J441" s="16">
        <f>VLOOKUP(G441,Inputs!$L$3:$P$15,5,FALSE)</f>
        <v>2000</v>
      </c>
      <c r="K441" s="16">
        <f t="shared" si="133"/>
        <v>1825</v>
      </c>
      <c r="L441" s="79">
        <f>Inputs!$P$8-B441</f>
        <v>195.21870000000001</v>
      </c>
      <c r="M441" s="79">
        <f>Inputs!$Q$8+L441*0.433</f>
        <v>1909.5296971</v>
      </c>
      <c r="N441" s="82">
        <f t="shared" si="134"/>
        <v>135999.92000000001</v>
      </c>
      <c r="O441" s="83">
        <f t="shared" si="135"/>
        <v>742.97230000000002</v>
      </c>
      <c r="P441" s="84">
        <f>IF(O441="","",Inputs!$C$5-O441)</f>
        <v>82.212199999999939</v>
      </c>
      <c r="Q441" s="83">
        <f>IF(N441="","",TS!J441)</f>
        <v>2000</v>
      </c>
      <c r="R441" s="83">
        <f>IF(N441="","",TS!K441)</f>
        <v>1825</v>
      </c>
      <c r="S441" s="83">
        <f>Inputs!$H$5+TS!P441*0.4333</f>
        <v>1910.58826271</v>
      </c>
      <c r="T441" s="83">
        <f>Inputs!$G$5+TS!P441*0.4333</f>
        <v>1925.58826271</v>
      </c>
      <c r="U441" s="85">
        <f t="shared" si="136"/>
        <v>0.96279413135500003</v>
      </c>
      <c r="V441" s="86">
        <f t="shared" si="140"/>
        <v>0</v>
      </c>
      <c r="W441" s="86">
        <f t="shared" si="141"/>
        <v>0</v>
      </c>
      <c r="X441" s="86" t="e">
        <f>((PI()*((42-2*'Gen Calcs'!$E$13)^2)/4)/144)*(A484-#REF!)*(W441+14.7)/14.7</f>
        <v>#REF!</v>
      </c>
      <c r="Y441" s="86" t="e">
        <f t="shared" si="142"/>
        <v>#REF!</v>
      </c>
      <c r="Z441" s="86" t="e">
        <f t="shared" si="143"/>
        <v>#REF!</v>
      </c>
      <c r="AA441" s="83">
        <f>MAX(B$2:B441)-B441</f>
        <v>82.212199999999939</v>
      </c>
      <c r="AB441" s="83">
        <f t="shared" si="144"/>
        <v>35.59788259999997</v>
      </c>
      <c r="AC441" s="83">
        <f t="shared" si="130"/>
        <v>120</v>
      </c>
      <c r="AD441" s="72">
        <v>120</v>
      </c>
      <c r="AE441" s="73">
        <f t="shared" si="137"/>
        <v>907.92027688745009</v>
      </c>
      <c r="AF441" s="73">
        <f>SUM(AE$2:AE441)</f>
        <v>363592.13052821904</v>
      </c>
      <c r="AG441" s="73">
        <f t="shared" si="138"/>
        <v>810137.77189889015</v>
      </c>
    </row>
    <row r="442" spans="1:33" x14ac:dyDescent="0.25">
      <c r="A442" s="100">
        <v>136099.92000000001</v>
      </c>
      <c r="B442" s="97">
        <v>742.77480000000003</v>
      </c>
      <c r="C442" s="97">
        <v>0.6</v>
      </c>
      <c r="D442" s="80">
        <f t="shared" si="139"/>
        <v>100</v>
      </c>
      <c r="E442" s="81">
        <f t="shared" si="131"/>
        <v>6791.2436711181272</v>
      </c>
      <c r="F442" s="81">
        <f>SUM(E$2:E442)</f>
        <v>2723590.7262027846</v>
      </c>
      <c r="G442" s="43">
        <f t="shared" si="129"/>
        <v>1</v>
      </c>
      <c r="H442" s="78">
        <v>1</v>
      </c>
      <c r="I442" s="15">
        <f t="shared" si="132"/>
        <v>0.6</v>
      </c>
      <c r="J442" s="16">
        <f>VLOOKUP(G442,Inputs!$L$3:$P$15,5,FALSE)</f>
        <v>2000</v>
      </c>
      <c r="K442" s="16">
        <f t="shared" si="133"/>
        <v>1825</v>
      </c>
      <c r="L442" s="79">
        <f>Inputs!$P$8-B442</f>
        <v>195.4162</v>
      </c>
      <c r="M442" s="79">
        <f>Inputs!$Q$8+L442*0.433</f>
        <v>1909.6152145999999</v>
      </c>
      <c r="N442" s="82">
        <f t="shared" si="134"/>
        <v>136099.92000000001</v>
      </c>
      <c r="O442" s="83">
        <f t="shared" si="135"/>
        <v>742.77480000000003</v>
      </c>
      <c r="P442" s="84">
        <f>IF(O442="","",Inputs!$C$5-O442)</f>
        <v>82.40969999999993</v>
      </c>
      <c r="Q442" s="83">
        <f>IF(N442="","",TS!J442)</f>
        <v>2000</v>
      </c>
      <c r="R442" s="83">
        <f>IF(N442="","",TS!K442)</f>
        <v>1825</v>
      </c>
      <c r="S442" s="83">
        <f>Inputs!$H$5+TS!P442*0.4333</f>
        <v>1910.67383946</v>
      </c>
      <c r="T442" s="83">
        <f>Inputs!$G$5+TS!P442*0.4333</f>
        <v>1925.67383946</v>
      </c>
      <c r="U442" s="85">
        <f t="shared" si="136"/>
        <v>0.96283691972999996</v>
      </c>
      <c r="V442" s="86">
        <f t="shared" si="140"/>
        <v>0</v>
      </c>
      <c r="W442" s="86">
        <f t="shared" si="141"/>
        <v>0</v>
      </c>
      <c r="X442" s="86" t="e">
        <f>((PI()*((42-2*'Gen Calcs'!$E$13)^2)/4)/144)*(A485-#REF!)*(W442+14.7)/14.7</f>
        <v>#REF!</v>
      </c>
      <c r="Y442" s="86" t="e">
        <f t="shared" si="142"/>
        <v>#REF!</v>
      </c>
      <c r="Z442" s="86" t="e">
        <f t="shared" si="143"/>
        <v>#REF!</v>
      </c>
      <c r="AA442" s="83">
        <f>MAX(B$2:B442)-B442</f>
        <v>82.40969999999993</v>
      </c>
      <c r="AB442" s="83">
        <f t="shared" si="144"/>
        <v>35.683400099999972</v>
      </c>
      <c r="AC442" s="83">
        <f t="shared" si="130"/>
        <v>120</v>
      </c>
      <c r="AD442" s="72">
        <v>120</v>
      </c>
      <c r="AE442" s="73">
        <f t="shared" si="137"/>
        <v>907.92027688745009</v>
      </c>
      <c r="AF442" s="73">
        <f>SUM(AE$2:AE442)</f>
        <v>364500.05080510647</v>
      </c>
      <c r="AG442" s="73">
        <f t="shared" si="138"/>
        <v>809229.85162200266</v>
      </c>
    </row>
    <row r="443" spans="1:33" x14ac:dyDescent="0.25">
      <c r="A443" s="99">
        <v>136199.92000000001</v>
      </c>
      <c r="B443" s="96">
        <v>741.75130000000001</v>
      </c>
      <c r="C443" s="96">
        <v>0.6</v>
      </c>
      <c r="D443" s="80">
        <f t="shared" si="139"/>
        <v>100</v>
      </c>
      <c r="E443" s="81">
        <f t="shared" si="131"/>
        <v>6791.2436711181272</v>
      </c>
      <c r="F443" s="81">
        <f>SUM(E$2:E443)</f>
        <v>2730381.9698739029</v>
      </c>
      <c r="G443" s="43">
        <f t="shared" si="129"/>
        <v>1</v>
      </c>
      <c r="H443" s="78">
        <v>1</v>
      </c>
      <c r="I443" s="15">
        <f t="shared" si="132"/>
        <v>0.6</v>
      </c>
      <c r="J443" s="16">
        <f>VLOOKUP(G443,Inputs!$L$3:$P$15,5,FALSE)</f>
        <v>2000</v>
      </c>
      <c r="K443" s="16">
        <f t="shared" si="133"/>
        <v>1825</v>
      </c>
      <c r="L443" s="79">
        <f>Inputs!$P$8-B443</f>
        <v>196.43970000000002</v>
      </c>
      <c r="M443" s="79">
        <f>Inputs!$Q$8+L443*0.433</f>
        <v>1910.0583901</v>
      </c>
      <c r="N443" s="82">
        <f t="shared" si="134"/>
        <v>136199.92000000001</v>
      </c>
      <c r="O443" s="83">
        <f t="shared" si="135"/>
        <v>741.75130000000001</v>
      </c>
      <c r="P443" s="84">
        <f>IF(O443="","",Inputs!$C$5-O443)</f>
        <v>83.433199999999943</v>
      </c>
      <c r="Q443" s="83">
        <f>IF(N443="","",TS!J443)</f>
        <v>2000</v>
      </c>
      <c r="R443" s="83">
        <f>IF(N443="","",TS!K443)</f>
        <v>1825</v>
      </c>
      <c r="S443" s="83">
        <f>Inputs!$H$5+TS!P443*0.4333</f>
        <v>1911.11732201</v>
      </c>
      <c r="T443" s="83">
        <f>Inputs!$G$5+TS!P443*0.4333</f>
        <v>1926.11732201</v>
      </c>
      <c r="U443" s="85">
        <f t="shared" si="136"/>
        <v>0.96305866100499993</v>
      </c>
      <c r="V443" s="86">
        <f t="shared" si="140"/>
        <v>0</v>
      </c>
      <c r="W443" s="86">
        <f t="shared" si="141"/>
        <v>0</v>
      </c>
      <c r="X443" s="86" t="e">
        <f>((PI()*((42-2*'Gen Calcs'!$E$13)^2)/4)/144)*(A486-#REF!)*(W443+14.7)/14.7</f>
        <v>#REF!</v>
      </c>
      <c r="Y443" s="86" t="e">
        <f t="shared" si="142"/>
        <v>#REF!</v>
      </c>
      <c r="Z443" s="86" t="e">
        <f t="shared" si="143"/>
        <v>#REF!</v>
      </c>
      <c r="AA443" s="83">
        <f>MAX(B$2:B443)-B443</f>
        <v>83.433199999999943</v>
      </c>
      <c r="AB443" s="83">
        <f t="shared" si="144"/>
        <v>36.126575599999974</v>
      </c>
      <c r="AC443" s="83">
        <f t="shared" si="130"/>
        <v>120</v>
      </c>
      <c r="AD443" s="72">
        <v>120</v>
      </c>
      <c r="AE443" s="73">
        <f t="shared" si="137"/>
        <v>907.92027688745009</v>
      </c>
      <c r="AF443" s="73">
        <f>SUM(AE$2:AE443)</f>
        <v>365407.97108199389</v>
      </c>
      <c r="AG443" s="73">
        <f t="shared" si="138"/>
        <v>808321.9313451153</v>
      </c>
    </row>
    <row r="444" spans="1:33" x14ac:dyDescent="0.25">
      <c r="A444" s="100">
        <v>136299.92000000001</v>
      </c>
      <c r="B444" s="97">
        <v>738.95600000000002</v>
      </c>
      <c r="C444" s="97">
        <v>0.6</v>
      </c>
      <c r="D444" s="80">
        <f t="shared" si="139"/>
        <v>100</v>
      </c>
      <c r="E444" s="81">
        <f t="shared" si="131"/>
        <v>6791.2436711181272</v>
      </c>
      <c r="F444" s="81">
        <f>SUM(E$2:E444)</f>
        <v>2737173.2135450211</v>
      </c>
      <c r="G444" s="43">
        <f t="shared" si="129"/>
        <v>1</v>
      </c>
      <c r="H444" s="78">
        <v>1</v>
      </c>
      <c r="I444" s="15">
        <f t="shared" si="132"/>
        <v>0.6</v>
      </c>
      <c r="J444" s="16">
        <f>VLOOKUP(G444,Inputs!$L$3:$P$15,5,FALSE)</f>
        <v>2000</v>
      </c>
      <c r="K444" s="16">
        <f t="shared" si="133"/>
        <v>1825</v>
      </c>
      <c r="L444" s="79">
        <f>Inputs!$P$8-B444</f>
        <v>199.23500000000001</v>
      </c>
      <c r="M444" s="79">
        <f>Inputs!$Q$8+L444*0.433</f>
        <v>1911.2687550000001</v>
      </c>
      <c r="N444" s="82">
        <f t="shared" si="134"/>
        <v>136299.92000000001</v>
      </c>
      <c r="O444" s="83">
        <f t="shared" si="135"/>
        <v>738.95600000000002</v>
      </c>
      <c r="P444" s="84">
        <f>IF(O444="","",Inputs!$C$5-O444)</f>
        <v>86.22849999999994</v>
      </c>
      <c r="Q444" s="83">
        <f>IF(N444="","",TS!J444)</f>
        <v>2000</v>
      </c>
      <c r="R444" s="83">
        <f>IF(N444="","",TS!K444)</f>
        <v>1825</v>
      </c>
      <c r="S444" s="83">
        <f>Inputs!$H$5+TS!P444*0.4333</f>
        <v>1912.3285254999998</v>
      </c>
      <c r="T444" s="83">
        <f>Inputs!$G$5+TS!P444*0.4333</f>
        <v>1927.3285254999998</v>
      </c>
      <c r="U444" s="85">
        <f t="shared" si="136"/>
        <v>0.96366426274999994</v>
      </c>
      <c r="V444" s="86">
        <f t="shared" si="140"/>
        <v>0</v>
      </c>
      <c r="W444" s="86">
        <f t="shared" si="141"/>
        <v>0</v>
      </c>
      <c r="X444" s="86" t="e">
        <f>((PI()*((42-2*'Gen Calcs'!$E$13)^2)/4)/144)*(A487-#REF!)*(W444+14.7)/14.7</f>
        <v>#REF!</v>
      </c>
      <c r="Y444" s="86" t="e">
        <f t="shared" si="142"/>
        <v>#REF!</v>
      </c>
      <c r="Z444" s="86" t="e">
        <f t="shared" si="143"/>
        <v>#REF!</v>
      </c>
      <c r="AA444" s="83">
        <f>MAX(B$2:B444)-B444</f>
        <v>86.22849999999994</v>
      </c>
      <c r="AB444" s="83">
        <f t="shared" si="144"/>
        <v>37.336940499999976</v>
      </c>
      <c r="AC444" s="83">
        <f t="shared" si="130"/>
        <v>120</v>
      </c>
      <c r="AD444" s="72">
        <v>120</v>
      </c>
      <c r="AE444" s="73">
        <f t="shared" si="137"/>
        <v>907.92027688745009</v>
      </c>
      <c r="AF444" s="73">
        <f>SUM(AE$2:AE444)</f>
        <v>366315.89135888132</v>
      </c>
      <c r="AG444" s="73">
        <f t="shared" si="138"/>
        <v>807414.01106822793</v>
      </c>
    </row>
    <row r="445" spans="1:33" x14ac:dyDescent="0.25">
      <c r="A445" s="99">
        <v>136399.92000000001</v>
      </c>
      <c r="B445" s="96">
        <v>736.04560000000004</v>
      </c>
      <c r="C445" s="96">
        <v>0.6</v>
      </c>
      <c r="D445" s="80">
        <f t="shared" si="139"/>
        <v>100</v>
      </c>
      <c r="E445" s="81">
        <f t="shared" si="131"/>
        <v>6791.2436711181272</v>
      </c>
      <c r="F445" s="81">
        <f>SUM(E$2:E445)</f>
        <v>2743964.4572161394</v>
      </c>
      <c r="G445" s="43">
        <f t="shared" si="129"/>
        <v>1</v>
      </c>
      <c r="H445" s="78">
        <v>1</v>
      </c>
      <c r="I445" s="15">
        <f t="shared" si="132"/>
        <v>0.6</v>
      </c>
      <c r="J445" s="16">
        <f>VLOOKUP(G445,Inputs!$L$3:$P$15,5,FALSE)</f>
        <v>2000</v>
      </c>
      <c r="K445" s="16">
        <f t="shared" si="133"/>
        <v>1825</v>
      </c>
      <c r="L445" s="79">
        <f>Inputs!$P$8-B445</f>
        <v>202.1454</v>
      </c>
      <c r="M445" s="79">
        <f>Inputs!$Q$8+L445*0.433</f>
        <v>1912.5289582</v>
      </c>
      <c r="N445" s="82">
        <f t="shared" si="134"/>
        <v>136399.92000000001</v>
      </c>
      <c r="O445" s="83">
        <f t="shared" si="135"/>
        <v>736.04560000000004</v>
      </c>
      <c r="P445" s="84">
        <f>IF(O445="","",Inputs!$C$5-O445)</f>
        <v>89.138899999999921</v>
      </c>
      <c r="Q445" s="83">
        <f>IF(N445="","",TS!J445)</f>
        <v>2000</v>
      </c>
      <c r="R445" s="83">
        <f>IF(N445="","",TS!K445)</f>
        <v>1825</v>
      </c>
      <c r="S445" s="83">
        <f>Inputs!$H$5+TS!P445*0.4333</f>
        <v>1913.5896018199999</v>
      </c>
      <c r="T445" s="83">
        <f>Inputs!$G$5+TS!P445*0.4333</f>
        <v>1928.5896018199999</v>
      </c>
      <c r="U445" s="85">
        <f t="shared" si="136"/>
        <v>0.96429480090999997</v>
      </c>
      <c r="V445" s="86">
        <f t="shared" si="140"/>
        <v>0</v>
      </c>
      <c r="W445" s="86">
        <f t="shared" si="141"/>
        <v>0</v>
      </c>
      <c r="X445" s="86" t="e">
        <f>((PI()*((42-2*'Gen Calcs'!$E$13)^2)/4)/144)*(A488-#REF!)*(W445+14.7)/14.7</f>
        <v>#REF!</v>
      </c>
      <c r="Y445" s="86" t="e">
        <f t="shared" si="142"/>
        <v>#REF!</v>
      </c>
      <c r="Z445" s="86" t="e">
        <f t="shared" si="143"/>
        <v>#REF!</v>
      </c>
      <c r="AA445" s="83">
        <f>MAX(B$2:B445)-B445</f>
        <v>89.138899999999921</v>
      </c>
      <c r="AB445" s="83">
        <f t="shared" si="144"/>
        <v>38.597143699999968</v>
      </c>
      <c r="AC445" s="83">
        <f t="shared" si="130"/>
        <v>120</v>
      </c>
      <c r="AD445" s="72">
        <v>120</v>
      </c>
      <c r="AE445" s="73">
        <f t="shared" si="137"/>
        <v>907.92027688745009</v>
      </c>
      <c r="AF445" s="73">
        <f>SUM(AE$2:AE445)</f>
        <v>367223.81163576874</v>
      </c>
      <c r="AG445" s="73">
        <f t="shared" si="138"/>
        <v>806506.09079134045</v>
      </c>
    </row>
    <row r="446" spans="1:33" x14ac:dyDescent="0.25">
      <c r="A446" s="100">
        <v>136499.92000000001</v>
      </c>
      <c r="B446" s="97">
        <v>733.07010000000002</v>
      </c>
      <c r="C446" s="97">
        <v>0.6</v>
      </c>
      <c r="D446" s="80">
        <f t="shared" si="139"/>
        <v>100</v>
      </c>
      <c r="E446" s="81">
        <f t="shared" si="131"/>
        <v>6791.2436711181272</v>
      </c>
      <c r="F446" s="81">
        <f>SUM(E$2:E446)</f>
        <v>2750755.7008872577</v>
      </c>
      <c r="G446" s="43">
        <f t="shared" si="129"/>
        <v>1</v>
      </c>
      <c r="H446" s="78">
        <v>1</v>
      </c>
      <c r="I446" s="15">
        <f t="shared" si="132"/>
        <v>0.6</v>
      </c>
      <c r="J446" s="16">
        <f>VLOOKUP(G446,Inputs!$L$3:$P$15,5,FALSE)</f>
        <v>2000</v>
      </c>
      <c r="K446" s="16">
        <f t="shared" si="133"/>
        <v>1825</v>
      </c>
      <c r="L446" s="79">
        <f>Inputs!$P$8-B446</f>
        <v>205.12090000000001</v>
      </c>
      <c r="M446" s="79">
        <f>Inputs!$Q$8+L446*0.433</f>
        <v>1913.8173497</v>
      </c>
      <c r="N446" s="82">
        <f t="shared" si="134"/>
        <v>136499.92000000001</v>
      </c>
      <c r="O446" s="83">
        <f t="shared" si="135"/>
        <v>733.07010000000002</v>
      </c>
      <c r="P446" s="84">
        <f>IF(O446="","",Inputs!$C$5-O446)</f>
        <v>92.114399999999932</v>
      </c>
      <c r="Q446" s="83">
        <f>IF(N446="","",TS!J446)</f>
        <v>2000</v>
      </c>
      <c r="R446" s="83">
        <f>IF(N446="","",TS!K446)</f>
        <v>1825</v>
      </c>
      <c r="S446" s="83">
        <f>Inputs!$H$5+TS!P446*0.4333</f>
        <v>1914.8788859699998</v>
      </c>
      <c r="T446" s="83">
        <f>Inputs!$G$5+TS!P446*0.4333</f>
        <v>1929.8788859699998</v>
      </c>
      <c r="U446" s="85">
        <f t="shared" si="136"/>
        <v>0.9649394429849999</v>
      </c>
      <c r="V446" s="86">
        <f t="shared" si="140"/>
        <v>0</v>
      </c>
      <c r="W446" s="86">
        <f t="shared" si="141"/>
        <v>0</v>
      </c>
      <c r="X446" s="86" t="e">
        <f>((PI()*((42-2*'Gen Calcs'!$E$13)^2)/4)/144)*(A489-#REF!)*(W446+14.7)/14.7</f>
        <v>#REF!</v>
      </c>
      <c r="Y446" s="86" t="e">
        <f t="shared" si="142"/>
        <v>#REF!</v>
      </c>
      <c r="Z446" s="86" t="e">
        <f t="shared" si="143"/>
        <v>#REF!</v>
      </c>
      <c r="AA446" s="83">
        <f>MAX(B$2:B446)-B446</f>
        <v>92.114399999999932</v>
      </c>
      <c r="AB446" s="83">
        <f t="shared" si="144"/>
        <v>39.885535199999971</v>
      </c>
      <c r="AC446" s="83">
        <f t="shared" si="130"/>
        <v>120</v>
      </c>
      <c r="AD446" s="72">
        <v>120</v>
      </c>
      <c r="AE446" s="73">
        <f t="shared" si="137"/>
        <v>907.92027688745009</v>
      </c>
      <c r="AF446" s="73">
        <f>SUM(AE$2:AE446)</f>
        <v>368131.73191265616</v>
      </c>
      <c r="AG446" s="73">
        <f t="shared" si="138"/>
        <v>805598.17051445297</v>
      </c>
    </row>
    <row r="447" spans="1:33" x14ac:dyDescent="0.25">
      <c r="A447" s="99">
        <v>136599.92000000001</v>
      </c>
      <c r="B447" s="96">
        <v>730.0539</v>
      </c>
      <c r="C447" s="96">
        <v>0.6</v>
      </c>
      <c r="D447" s="80">
        <f t="shared" si="139"/>
        <v>100</v>
      </c>
      <c r="E447" s="81">
        <f t="shared" si="131"/>
        <v>6791.2436711181272</v>
      </c>
      <c r="F447" s="81">
        <f>SUM(E$2:E447)</f>
        <v>2757546.944558376</v>
      </c>
      <c r="G447" s="43">
        <f t="shared" si="129"/>
        <v>1</v>
      </c>
      <c r="H447" s="78">
        <v>1</v>
      </c>
      <c r="I447" s="15">
        <f t="shared" si="132"/>
        <v>0.6</v>
      </c>
      <c r="J447" s="16">
        <f>VLOOKUP(G447,Inputs!$L$3:$P$15,5,FALSE)</f>
        <v>2000</v>
      </c>
      <c r="K447" s="16">
        <f t="shared" si="133"/>
        <v>1825</v>
      </c>
      <c r="L447" s="79">
        <f>Inputs!$P$8-B447</f>
        <v>208.13710000000003</v>
      </c>
      <c r="M447" s="79">
        <f>Inputs!$Q$8+L447*0.433</f>
        <v>1915.1233643</v>
      </c>
      <c r="N447" s="82">
        <f t="shared" si="134"/>
        <v>136599.92000000001</v>
      </c>
      <c r="O447" s="83">
        <f t="shared" si="135"/>
        <v>730.0539</v>
      </c>
      <c r="P447" s="84">
        <f>IF(O447="","",Inputs!$C$5-O447)</f>
        <v>95.130599999999959</v>
      </c>
      <c r="Q447" s="83">
        <f>IF(N447="","",TS!J447)</f>
        <v>2000</v>
      </c>
      <c r="R447" s="83">
        <f>IF(N447="","",TS!K447)</f>
        <v>1825</v>
      </c>
      <c r="S447" s="83">
        <f>Inputs!$H$5+TS!P447*0.4333</f>
        <v>1916.1858054299998</v>
      </c>
      <c r="T447" s="83">
        <f>Inputs!$G$5+TS!P447*0.4333</f>
        <v>1931.1858054299998</v>
      </c>
      <c r="U447" s="85">
        <f t="shared" si="136"/>
        <v>0.96559290271499987</v>
      </c>
      <c r="V447" s="86">
        <f t="shared" si="140"/>
        <v>0</v>
      </c>
      <c r="W447" s="86">
        <f t="shared" si="141"/>
        <v>0</v>
      </c>
      <c r="X447" s="86" t="e">
        <f>((PI()*((42-2*'Gen Calcs'!$E$13)^2)/4)/144)*(A490-#REF!)*(W447+14.7)/14.7</f>
        <v>#REF!</v>
      </c>
      <c r="Y447" s="86" t="e">
        <f t="shared" si="142"/>
        <v>#REF!</v>
      </c>
      <c r="Z447" s="86" t="e">
        <f t="shared" si="143"/>
        <v>#REF!</v>
      </c>
      <c r="AA447" s="83">
        <f>MAX(B$2:B447)-B447</f>
        <v>95.130599999999959</v>
      </c>
      <c r="AB447" s="83">
        <f t="shared" si="144"/>
        <v>41.191549799999983</v>
      </c>
      <c r="AC447" s="83">
        <f t="shared" si="130"/>
        <v>120</v>
      </c>
      <c r="AD447" s="72">
        <v>120</v>
      </c>
      <c r="AE447" s="73">
        <f t="shared" si="137"/>
        <v>907.92027688745009</v>
      </c>
      <c r="AF447" s="73">
        <f>SUM(AE$2:AE447)</f>
        <v>369039.65218954359</v>
      </c>
      <c r="AG447" s="73">
        <f t="shared" si="138"/>
        <v>804690.2502375656</v>
      </c>
    </row>
    <row r="448" spans="1:33" x14ac:dyDescent="0.25">
      <c r="A448" s="100">
        <v>136699.92000000001</v>
      </c>
      <c r="B448" s="97">
        <v>727.94290000000001</v>
      </c>
      <c r="C448" s="97">
        <v>0.6</v>
      </c>
      <c r="D448" s="80">
        <f t="shared" si="139"/>
        <v>100</v>
      </c>
      <c r="E448" s="81">
        <f t="shared" si="131"/>
        <v>6791.2436711181272</v>
      </c>
      <c r="F448" s="81">
        <f>SUM(E$2:E448)</f>
        <v>2764338.1882294943</v>
      </c>
      <c r="G448" s="43">
        <f t="shared" si="129"/>
        <v>1</v>
      </c>
      <c r="H448" s="78">
        <v>1</v>
      </c>
      <c r="I448" s="15">
        <f t="shared" si="132"/>
        <v>0.6</v>
      </c>
      <c r="J448" s="16">
        <f>VLOOKUP(G448,Inputs!$L$3:$P$15,5,FALSE)</f>
        <v>2000</v>
      </c>
      <c r="K448" s="16">
        <f t="shared" si="133"/>
        <v>1825</v>
      </c>
      <c r="L448" s="79">
        <f>Inputs!$P$8-B448</f>
        <v>210.24810000000002</v>
      </c>
      <c r="M448" s="79">
        <f>Inputs!$Q$8+L448*0.433</f>
        <v>1916.0374273</v>
      </c>
      <c r="N448" s="82">
        <f t="shared" si="134"/>
        <v>136699.92000000001</v>
      </c>
      <c r="O448" s="83">
        <f t="shared" si="135"/>
        <v>727.94290000000001</v>
      </c>
      <c r="P448" s="84">
        <f>IF(O448="","",Inputs!$C$5-O448)</f>
        <v>97.241599999999949</v>
      </c>
      <c r="Q448" s="83">
        <f>IF(N448="","",TS!J448)</f>
        <v>2000</v>
      </c>
      <c r="R448" s="83">
        <f>IF(N448="","",TS!K448)</f>
        <v>1825</v>
      </c>
      <c r="S448" s="83">
        <f>Inputs!$H$5+TS!P448*0.4333</f>
        <v>1917.1005017299999</v>
      </c>
      <c r="T448" s="83">
        <f>Inputs!$G$5+TS!P448*0.4333</f>
        <v>1932.1005017299999</v>
      </c>
      <c r="U448" s="85">
        <f t="shared" si="136"/>
        <v>0.96605025086499996</v>
      </c>
      <c r="V448" s="86">
        <f t="shared" si="140"/>
        <v>0</v>
      </c>
      <c r="W448" s="86">
        <f t="shared" si="141"/>
        <v>0</v>
      </c>
      <c r="X448" s="86" t="e">
        <f>((PI()*((42-2*'Gen Calcs'!$E$13)^2)/4)/144)*(A491-#REF!)*(W448+14.7)/14.7</f>
        <v>#REF!</v>
      </c>
      <c r="Y448" s="86" t="e">
        <f t="shared" si="142"/>
        <v>#REF!</v>
      </c>
      <c r="Z448" s="86" t="e">
        <f t="shared" si="143"/>
        <v>#REF!</v>
      </c>
      <c r="AA448" s="83">
        <f>MAX(B$2:B448)-B448</f>
        <v>97.241599999999949</v>
      </c>
      <c r="AB448" s="83">
        <f t="shared" si="144"/>
        <v>42.105612799999975</v>
      </c>
      <c r="AC448" s="83">
        <f t="shared" si="130"/>
        <v>120</v>
      </c>
      <c r="AD448" s="72">
        <v>120</v>
      </c>
      <c r="AE448" s="73">
        <f t="shared" si="137"/>
        <v>907.92027688745009</v>
      </c>
      <c r="AF448" s="73">
        <f>SUM(AE$2:AE448)</f>
        <v>369947.57246643101</v>
      </c>
      <c r="AG448" s="73">
        <f t="shared" si="138"/>
        <v>803782.32996067824</v>
      </c>
    </row>
    <row r="449" spans="1:33" x14ac:dyDescent="0.25">
      <c r="A449" s="99">
        <v>136799.92000000001</v>
      </c>
      <c r="B449" s="96">
        <v>727.38779999999997</v>
      </c>
      <c r="C449" s="96">
        <v>0.6</v>
      </c>
      <c r="D449" s="80">
        <f t="shared" si="139"/>
        <v>100</v>
      </c>
      <c r="E449" s="81">
        <f t="shared" si="131"/>
        <v>6791.2436711181272</v>
      </c>
      <c r="F449" s="81">
        <f>SUM(E$2:E449)</f>
        <v>2771129.4319006125</v>
      </c>
      <c r="G449" s="43">
        <f t="shared" si="129"/>
        <v>1</v>
      </c>
      <c r="H449" s="78">
        <v>1</v>
      </c>
      <c r="I449" s="15">
        <f t="shared" si="132"/>
        <v>0.6</v>
      </c>
      <c r="J449" s="16">
        <f>VLOOKUP(G449,Inputs!$L$3:$P$15,5,FALSE)</f>
        <v>2000</v>
      </c>
      <c r="K449" s="16">
        <f t="shared" si="133"/>
        <v>1825</v>
      </c>
      <c r="L449" s="79">
        <f>Inputs!$P$8-B449</f>
        <v>210.80320000000006</v>
      </c>
      <c r="M449" s="79">
        <f>Inputs!$Q$8+L449*0.433</f>
        <v>1916.2777856</v>
      </c>
      <c r="N449" s="82">
        <f t="shared" si="134"/>
        <v>136799.92000000001</v>
      </c>
      <c r="O449" s="83">
        <f t="shared" si="135"/>
        <v>727.38779999999997</v>
      </c>
      <c r="P449" s="84">
        <f>IF(O449="","",Inputs!$C$5-O449)</f>
        <v>97.796699999999987</v>
      </c>
      <c r="Q449" s="83">
        <f>IF(N449="","",TS!J449)</f>
        <v>2000</v>
      </c>
      <c r="R449" s="83">
        <f>IF(N449="","",TS!K449)</f>
        <v>1825</v>
      </c>
      <c r="S449" s="83">
        <f>Inputs!$H$5+TS!P449*0.4333</f>
        <v>1917.34102656</v>
      </c>
      <c r="T449" s="83">
        <f>Inputs!$G$5+TS!P449*0.4333</f>
        <v>1932.34102656</v>
      </c>
      <c r="U449" s="85">
        <f t="shared" si="136"/>
        <v>0.96617051328000003</v>
      </c>
      <c r="V449" s="86">
        <f t="shared" si="140"/>
        <v>0</v>
      </c>
      <c r="W449" s="86">
        <f t="shared" si="141"/>
        <v>0</v>
      </c>
      <c r="X449" s="86" t="e">
        <f>((PI()*((42-2*'Gen Calcs'!$E$13)^2)/4)/144)*(A492-#REF!)*(W449+14.7)/14.7</f>
        <v>#REF!</v>
      </c>
      <c r="Y449" s="86" t="e">
        <f t="shared" si="142"/>
        <v>#REF!</v>
      </c>
      <c r="Z449" s="86" t="e">
        <f t="shared" si="143"/>
        <v>#REF!</v>
      </c>
      <c r="AA449" s="83">
        <f>MAX(B$2:B449)-B449</f>
        <v>97.796699999999987</v>
      </c>
      <c r="AB449" s="83">
        <f t="shared" si="144"/>
        <v>42.345971099999993</v>
      </c>
      <c r="AC449" s="83">
        <f t="shared" si="130"/>
        <v>120</v>
      </c>
      <c r="AD449" s="72">
        <v>120</v>
      </c>
      <c r="AE449" s="73">
        <f t="shared" si="137"/>
        <v>907.92027688745009</v>
      </c>
      <c r="AF449" s="73">
        <f>SUM(AE$2:AE449)</f>
        <v>370855.49274331843</v>
      </c>
      <c r="AG449" s="73">
        <f t="shared" si="138"/>
        <v>802874.40968379076</v>
      </c>
    </row>
    <row r="450" spans="1:33" x14ac:dyDescent="0.25">
      <c r="A450" s="100">
        <v>136899.92000000001</v>
      </c>
      <c r="B450" s="97">
        <v>726.76160000000004</v>
      </c>
      <c r="C450" s="97">
        <v>0.6</v>
      </c>
      <c r="D450" s="80">
        <f t="shared" si="139"/>
        <v>100</v>
      </c>
      <c r="E450" s="81">
        <f t="shared" si="131"/>
        <v>6791.2436711181272</v>
      </c>
      <c r="F450" s="81">
        <f>SUM(E$2:E450)</f>
        <v>2777920.6755717308</v>
      </c>
      <c r="G450" s="43">
        <f t="shared" si="129"/>
        <v>1</v>
      </c>
      <c r="H450" s="78">
        <v>1</v>
      </c>
      <c r="I450" s="15">
        <f t="shared" si="132"/>
        <v>0.6</v>
      </c>
      <c r="J450" s="16">
        <f>VLOOKUP(G450,Inputs!$L$3:$P$15,5,FALSE)</f>
        <v>2000</v>
      </c>
      <c r="K450" s="16">
        <f t="shared" si="133"/>
        <v>1825</v>
      </c>
      <c r="L450" s="79">
        <f>Inputs!$P$8-B450</f>
        <v>211.42939999999999</v>
      </c>
      <c r="M450" s="79">
        <f>Inputs!$Q$8+L450*0.433</f>
        <v>1916.5489302000001</v>
      </c>
      <c r="N450" s="82">
        <f t="shared" si="134"/>
        <v>136899.92000000001</v>
      </c>
      <c r="O450" s="83">
        <f t="shared" si="135"/>
        <v>726.76160000000004</v>
      </c>
      <c r="P450" s="84">
        <f>IF(O450="","",Inputs!$C$5-O450)</f>
        <v>98.422899999999913</v>
      </c>
      <c r="Q450" s="83">
        <f>IF(N450="","",TS!J450)</f>
        <v>2000</v>
      </c>
      <c r="R450" s="83">
        <f>IF(N450="","",TS!K450)</f>
        <v>1825</v>
      </c>
      <c r="S450" s="83">
        <f>Inputs!$H$5+TS!P450*0.4333</f>
        <v>1917.61235902</v>
      </c>
      <c r="T450" s="83">
        <f>Inputs!$G$5+TS!P450*0.4333</f>
        <v>1932.61235902</v>
      </c>
      <c r="U450" s="85">
        <f t="shared" si="136"/>
        <v>0.96630617950999997</v>
      </c>
      <c r="V450" s="86">
        <f t="shared" si="140"/>
        <v>0</v>
      </c>
      <c r="W450" s="86">
        <f t="shared" si="141"/>
        <v>0</v>
      </c>
      <c r="X450" s="86" t="e">
        <f>((PI()*((42-2*'Gen Calcs'!$E$13)^2)/4)/144)*(A493-#REF!)*(W450+14.7)/14.7</f>
        <v>#REF!</v>
      </c>
      <c r="Y450" s="86" t="e">
        <f t="shared" si="142"/>
        <v>#REF!</v>
      </c>
      <c r="Z450" s="86" t="e">
        <f t="shared" si="143"/>
        <v>#REF!</v>
      </c>
      <c r="AA450" s="83">
        <f>MAX(B$2:B450)-B450</f>
        <v>98.422899999999913</v>
      </c>
      <c r="AB450" s="83">
        <f t="shared" si="144"/>
        <v>42.617115699999964</v>
      </c>
      <c r="AC450" s="83">
        <f t="shared" si="130"/>
        <v>120</v>
      </c>
      <c r="AD450" s="72">
        <v>120</v>
      </c>
      <c r="AE450" s="73">
        <f t="shared" si="137"/>
        <v>907.92027688745009</v>
      </c>
      <c r="AF450" s="73">
        <f>SUM(AE$2:AE450)</f>
        <v>371763.41302020586</v>
      </c>
      <c r="AG450" s="73">
        <f t="shared" si="138"/>
        <v>801966.48940690327</v>
      </c>
    </row>
    <row r="451" spans="1:33" x14ac:dyDescent="0.25">
      <c r="A451" s="99">
        <v>136999.92000000001</v>
      </c>
      <c r="B451" s="96">
        <v>726.08370000000002</v>
      </c>
      <c r="C451" s="96">
        <v>0.6</v>
      </c>
      <c r="D451" s="80">
        <f t="shared" si="139"/>
        <v>100</v>
      </c>
      <c r="E451" s="81">
        <f t="shared" si="131"/>
        <v>6791.2436711181272</v>
      </c>
      <c r="F451" s="81">
        <f>SUM(E$2:E451)</f>
        <v>2784711.9192428491</v>
      </c>
      <c r="G451" s="43">
        <f t="shared" ref="G451:G514" si="145">IF(C451=0.72,12,IF(C451=1,11,IF(C451=0.825,10,IF(C451=0.6,1,IF(C451=0.864,2,IF(C451=0.888,3))))))</f>
        <v>1</v>
      </c>
      <c r="H451" s="78">
        <v>1</v>
      </c>
      <c r="I451" s="15">
        <f t="shared" si="132"/>
        <v>0.6</v>
      </c>
      <c r="J451" s="16">
        <f>VLOOKUP(G451,Inputs!$L$3:$P$15,5,FALSE)</f>
        <v>2000</v>
      </c>
      <c r="K451" s="16">
        <f t="shared" si="133"/>
        <v>1825</v>
      </c>
      <c r="L451" s="79">
        <f>Inputs!$P$8-B451</f>
        <v>212.10730000000001</v>
      </c>
      <c r="M451" s="79">
        <f>Inputs!$Q$8+L451*0.433</f>
        <v>1916.8424609000001</v>
      </c>
      <c r="N451" s="82">
        <f t="shared" si="134"/>
        <v>136999.92000000001</v>
      </c>
      <c r="O451" s="83">
        <f t="shared" si="135"/>
        <v>726.08370000000002</v>
      </c>
      <c r="P451" s="84">
        <f>IF(O451="","",Inputs!$C$5-O451)</f>
        <v>99.100799999999936</v>
      </c>
      <c r="Q451" s="83">
        <f>IF(N451="","",TS!J451)</f>
        <v>2000</v>
      </c>
      <c r="R451" s="83">
        <f>IF(N451="","",TS!K451)</f>
        <v>1825</v>
      </c>
      <c r="S451" s="83">
        <f>Inputs!$H$5+TS!P451*0.4333</f>
        <v>1917.90609309</v>
      </c>
      <c r="T451" s="83">
        <f>Inputs!$G$5+TS!P451*0.4333</f>
        <v>1932.90609309</v>
      </c>
      <c r="U451" s="85">
        <f t="shared" si="136"/>
        <v>0.96645304654499997</v>
      </c>
      <c r="V451" s="86">
        <f t="shared" si="140"/>
        <v>0</v>
      </c>
      <c r="W451" s="86">
        <f t="shared" si="141"/>
        <v>0</v>
      </c>
      <c r="X451" s="86" t="e">
        <f>((PI()*((42-2*'Gen Calcs'!$E$13)^2)/4)/144)*(A494-#REF!)*(W451+14.7)/14.7</f>
        <v>#REF!</v>
      </c>
      <c r="Y451" s="86" t="e">
        <f t="shared" si="142"/>
        <v>#REF!</v>
      </c>
      <c r="Z451" s="86" t="e">
        <f t="shared" si="143"/>
        <v>#REF!</v>
      </c>
      <c r="AA451" s="83">
        <f>MAX(B$2:B451)-B451</f>
        <v>99.100799999999936</v>
      </c>
      <c r="AB451" s="83">
        <f t="shared" si="144"/>
        <v>42.910646399999969</v>
      </c>
      <c r="AC451" s="83">
        <f t="shared" ref="AC451:AC514" si="146">((MAX(O$2:O$1348)-O451)-(MAX(O$2:O$1348)-O451))*0.433+AD451</f>
        <v>120</v>
      </c>
      <c r="AD451" s="72">
        <v>120</v>
      </c>
      <c r="AE451" s="73">
        <f t="shared" si="137"/>
        <v>907.92027688745009</v>
      </c>
      <c r="AF451" s="73">
        <f>SUM(AE$2:AE451)</f>
        <v>372671.33329709328</v>
      </c>
      <c r="AG451" s="73">
        <f t="shared" si="138"/>
        <v>801058.56913001591</v>
      </c>
    </row>
    <row r="452" spans="1:33" x14ac:dyDescent="0.25">
      <c r="A452" s="100">
        <v>137099.92000000001</v>
      </c>
      <c r="B452" s="97">
        <v>726.87070000000006</v>
      </c>
      <c r="C452" s="97">
        <v>0.6</v>
      </c>
      <c r="D452" s="80">
        <f t="shared" si="139"/>
        <v>100</v>
      </c>
      <c r="E452" s="81">
        <f t="shared" si="131"/>
        <v>6791.2436711181272</v>
      </c>
      <c r="F452" s="81">
        <f>SUM(E$2:E452)</f>
        <v>2791503.1629139674</v>
      </c>
      <c r="G452" s="43">
        <f t="shared" si="145"/>
        <v>1</v>
      </c>
      <c r="H452" s="78">
        <v>1</v>
      </c>
      <c r="I452" s="15">
        <f t="shared" si="132"/>
        <v>0.6</v>
      </c>
      <c r="J452" s="16">
        <f>VLOOKUP(G452,Inputs!$L$3:$P$15,5,FALSE)</f>
        <v>2000</v>
      </c>
      <c r="K452" s="16">
        <f t="shared" si="133"/>
        <v>1825</v>
      </c>
      <c r="L452" s="79">
        <f>Inputs!$P$8-B452</f>
        <v>211.32029999999997</v>
      </c>
      <c r="M452" s="79">
        <f>Inputs!$Q$8+L452*0.433</f>
        <v>1916.5016899</v>
      </c>
      <c r="N452" s="82">
        <f t="shared" si="134"/>
        <v>137099.92000000001</v>
      </c>
      <c r="O452" s="83">
        <f t="shared" si="135"/>
        <v>726.87070000000006</v>
      </c>
      <c r="P452" s="84">
        <f>IF(O452="","",Inputs!$C$5-O452)</f>
        <v>98.313799999999901</v>
      </c>
      <c r="Q452" s="83">
        <f>IF(N452="","",TS!J452)</f>
        <v>2000</v>
      </c>
      <c r="R452" s="83">
        <f>IF(N452="","",TS!K452)</f>
        <v>1825</v>
      </c>
      <c r="S452" s="83">
        <f>Inputs!$H$5+TS!P452*0.4333</f>
        <v>1917.5650859899999</v>
      </c>
      <c r="T452" s="83">
        <f>Inputs!$G$5+TS!P452*0.4333</f>
        <v>1932.5650859899999</v>
      </c>
      <c r="U452" s="85">
        <f t="shared" si="136"/>
        <v>0.96628254299499994</v>
      </c>
      <c r="V452" s="86">
        <f t="shared" si="140"/>
        <v>0</v>
      </c>
      <c r="W452" s="86">
        <f t="shared" si="141"/>
        <v>0</v>
      </c>
      <c r="X452" s="86" t="e">
        <f>((PI()*((42-2*'Gen Calcs'!$E$13)^2)/4)/144)*(A495-#REF!)*(W452+14.7)/14.7</f>
        <v>#REF!</v>
      </c>
      <c r="Y452" s="86" t="e">
        <f t="shared" si="142"/>
        <v>#REF!</v>
      </c>
      <c r="Z452" s="86" t="e">
        <f t="shared" si="143"/>
        <v>#REF!</v>
      </c>
      <c r="AA452" s="83">
        <f>MAX(B$2:B452)-B452</f>
        <v>98.313799999999901</v>
      </c>
      <c r="AB452" s="83">
        <f t="shared" si="144"/>
        <v>42.569875399999958</v>
      </c>
      <c r="AC452" s="83">
        <f t="shared" si="146"/>
        <v>120</v>
      </c>
      <c r="AD452" s="72">
        <v>120</v>
      </c>
      <c r="AE452" s="73">
        <f t="shared" si="137"/>
        <v>907.92027688745009</v>
      </c>
      <c r="AF452" s="73">
        <f>SUM(AE$2:AE452)</f>
        <v>373579.25357398071</v>
      </c>
      <c r="AG452" s="73">
        <f t="shared" si="138"/>
        <v>800150.64885312854</v>
      </c>
    </row>
    <row r="453" spans="1:33" x14ac:dyDescent="0.25">
      <c r="A453" s="99">
        <v>137199.92000000001</v>
      </c>
      <c r="B453" s="96">
        <v>728.96900000000005</v>
      </c>
      <c r="C453" s="96">
        <v>0.6</v>
      </c>
      <c r="D453" s="80">
        <f t="shared" si="139"/>
        <v>100</v>
      </c>
      <c r="E453" s="81">
        <f t="shared" ref="E453:E516" si="147">(PI()/4*(42/12-(2*C495/12))^2)*(D453)*7.48</f>
        <v>6791.2436711181272</v>
      </c>
      <c r="F453" s="81">
        <f>SUM(E$2:E453)</f>
        <v>2798294.4065850857</v>
      </c>
      <c r="G453" s="43">
        <f t="shared" si="145"/>
        <v>1</v>
      </c>
      <c r="H453" s="78">
        <v>1</v>
      </c>
      <c r="I453" s="15">
        <f t="shared" ref="I453:I516" si="148">C453</f>
        <v>0.6</v>
      </c>
      <c r="J453" s="16">
        <f>VLOOKUP(G453,Inputs!$L$3:$P$15,5,FALSE)</f>
        <v>2000</v>
      </c>
      <c r="K453" s="16">
        <f t="shared" ref="K453:K516" si="149">IF(H453=1,1825,IF(H453=2,1825,2220))</f>
        <v>1825</v>
      </c>
      <c r="L453" s="79">
        <f>Inputs!$P$8-B453</f>
        <v>209.22199999999998</v>
      </c>
      <c r="M453" s="79">
        <f>Inputs!$Q$8+L453*0.433</f>
        <v>1915.593126</v>
      </c>
      <c r="N453" s="82">
        <f t="shared" ref="N453:N516" si="150">A453</f>
        <v>137199.92000000001</v>
      </c>
      <c r="O453" s="83">
        <f t="shared" ref="O453:O516" si="151">B453</f>
        <v>728.96900000000005</v>
      </c>
      <c r="P453" s="84">
        <f>IF(O453="","",Inputs!$C$5-O453)</f>
        <v>96.215499999999906</v>
      </c>
      <c r="Q453" s="83">
        <f>IF(N453="","",TS!J453)</f>
        <v>2000</v>
      </c>
      <c r="R453" s="83">
        <f>IF(N453="","",TS!K453)</f>
        <v>1825</v>
      </c>
      <c r="S453" s="83">
        <f>Inputs!$H$5+TS!P453*0.4333</f>
        <v>1916.6558926</v>
      </c>
      <c r="T453" s="83">
        <f>Inputs!$G$5+TS!P453*0.4333</f>
        <v>1931.6558926</v>
      </c>
      <c r="U453" s="85">
        <f t="shared" ref="U453:U516" si="152">T453/(140000*C453/42)</f>
        <v>0.96582794630000002</v>
      </c>
      <c r="V453" s="86">
        <f t="shared" si="140"/>
        <v>0</v>
      </c>
      <c r="W453" s="86">
        <f t="shared" si="141"/>
        <v>0</v>
      </c>
      <c r="X453" s="86" t="e">
        <f>((PI()*((42-2*'Gen Calcs'!$E$13)^2)/4)/144)*(A496-#REF!)*(W453+14.7)/14.7</f>
        <v>#REF!</v>
      </c>
      <c r="Y453" s="86" t="e">
        <f t="shared" si="142"/>
        <v>#REF!</v>
      </c>
      <c r="Z453" s="86" t="e">
        <f t="shared" si="143"/>
        <v>#REF!</v>
      </c>
      <c r="AA453" s="83">
        <f>MAX(B$2:B453)-B453</f>
        <v>96.215499999999906</v>
      </c>
      <c r="AB453" s="83">
        <f t="shared" si="144"/>
        <v>41.661311499999961</v>
      </c>
      <c r="AC453" s="83">
        <f t="shared" si="146"/>
        <v>120</v>
      </c>
      <c r="AD453" s="72">
        <v>120</v>
      </c>
      <c r="AE453" s="73">
        <f t="shared" ref="AE453:AE516" si="153">PI()*(((42-2*C453)/12)^2/4)*D453</f>
        <v>907.92027688745009</v>
      </c>
      <c r="AF453" s="73">
        <f>SUM(AE$2:AE453)</f>
        <v>374487.17385086813</v>
      </c>
      <c r="AG453" s="73">
        <f t="shared" ref="AG453:AG516" si="154">AF$1391-AF453</f>
        <v>799242.72857624106</v>
      </c>
    </row>
    <row r="454" spans="1:33" x14ac:dyDescent="0.25">
      <c r="A454" s="100">
        <v>137299.92000000001</v>
      </c>
      <c r="B454" s="97">
        <v>730.44179999999994</v>
      </c>
      <c r="C454" s="97">
        <v>0.6</v>
      </c>
      <c r="D454" s="80">
        <f t="shared" si="139"/>
        <v>100</v>
      </c>
      <c r="E454" s="81">
        <f t="shared" si="147"/>
        <v>6791.2436711181272</v>
      </c>
      <c r="F454" s="81">
        <f>SUM(E$2:E454)</f>
        <v>2805085.650256204</v>
      </c>
      <c r="G454" s="43">
        <f t="shared" si="145"/>
        <v>1</v>
      </c>
      <c r="H454" s="78">
        <v>1</v>
      </c>
      <c r="I454" s="15">
        <f t="shared" si="148"/>
        <v>0.6</v>
      </c>
      <c r="J454" s="16">
        <f>VLOOKUP(G454,Inputs!$L$3:$P$15,5,FALSE)</f>
        <v>2000</v>
      </c>
      <c r="K454" s="16">
        <f t="shared" si="149"/>
        <v>1825</v>
      </c>
      <c r="L454" s="79">
        <f>Inputs!$P$8-B454</f>
        <v>207.74920000000009</v>
      </c>
      <c r="M454" s="79">
        <f>Inputs!$Q$8+L454*0.433</f>
        <v>1914.9554036</v>
      </c>
      <c r="N454" s="82">
        <f t="shared" si="150"/>
        <v>137299.92000000001</v>
      </c>
      <c r="O454" s="83">
        <f t="shared" si="151"/>
        <v>730.44179999999994</v>
      </c>
      <c r="P454" s="84">
        <f>IF(O454="","",Inputs!$C$5-O454)</f>
        <v>94.742700000000013</v>
      </c>
      <c r="Q454" s="83">
        <f>IF(N454="","",TS!J454)</f>
        <v>2000</v>
      </c>
      <c r="R454" s="83">
        <f>IF(N454="","",TS!K454)</f>
        <v>1825</v>
      </c>
      <c r="S454" s="83">
        <f>Inputs!$H$5+TS!P454*0.4333</f>
        <v>1916.0177283599999</v>
      </c>
      <c r="T454" s="83">
        <f>Inputs!$G$5+TS!P454*0.4333</f>
        <v>1931.0177283599999</v>
      </c>
      <c r="U454" s="85">
        <f t="shared" si="152"/>
        <v>0.96550886417999993</v>
      </c>
      <c r="V454" s="86">
        <f t="shared" si="140"/>
        <v>0</v>
      </c>
      <c r="W454" s="86">
        <f t="shared" si="141"/>
        <v>0</v>
      </c>
      <c r="X454" s="86" t="e">
        <f>((PI()*((42-2*'Gen Calcs'!$E$13)^2)/4)/144)*(A497-#REF!)*(W454+14.7)/14.7</f>
        <v>#REF!</v>
      </c>
      <c r="Y454" s="86" t="e">
        <f t="shared" si="142"/>
        <v>#REF!</v>
      </c>
      <c r="Z454" s="86" t="e">
        <f t="shared" si="143"/>
        <v>#REF!</v>
      </c>
      <c r="AA454" s="83">
        <f>MAX(B$2:B454)-B454</f>
        <v>94.742700000000013</v>
      </c>
      <c r="AB454" s="83">
        <f t="shared" si="144"/>
        <v>41.023589100000002</v>
      </c>
      <c r="AC454" s="83">
        <f t="shared" si="146"/>
        <v>120</v>
      </c>
      <c r="AD454" s="72">
        <v>120</v>
      </c>
      <c r="AE454" s="73">
        <f t="shared" si="153"/>
        <v>907.92027688745009</v>
      </c>
      <c r="AF454" s="73">
        <f>SUM(AE$2:AE454)</f>
        <v>375395.09412775555</v>
      </c>
      <c r="AG454" s="73">
        <f t="shared" si="154"/>
        <v>798334.80829935358</v>
      </c>
    </row>
    <row r="455" spans="1:33" x14ac:dyDescent="0.25">
      <c r="A455" s="99">
        <v>137399.92000000001</v>
      </c>
      <c r="B455" s="96">
        <v>732.37900000000002</v>
      </c>
      <c r="C455" s="96">
        <v>0.6</v>
      </c>
      <c r="D455" s="80">
        <f t="shared" si="139"/>
        <v>100</v>
      </c>
      <c r="E455" s="81">
        <f t="shared" si="147"/>
        <v>6791.2436711181272</v>
      </c>
      <c r="F455" s="81">
        <f>SUM(E$2:E455)</f>
        <v>2811876.8939273222</v>
      </c>
      <c r="G455" s="43">
        <f t="shared" si="145"/>
        <v>1</v>
      </c>
      <c r="H455" s="78">
        <v>1</v>
      </c>
      <c r="I455" s="15">
        <f t="shared" si="148"/>
        <v>0.6</v>
      </c>
      <c r="J455" s="16">
        <f>VLOOKUP(G455,Inputs!$L$3:$P$15,5,FALSE)</f>
        <v>2000</v>
      </c>
      <c r="K455" s="16">
        <f t="shared" si="149"/>
        <v>1825</v>
      </c>
      <c r="L455" s="79">
        <f>Inputs!$P$8-B455</f>
        <v>205.81200000000001</v>
      </c>
      <c r="M455" s="79">
        <f>Inputs!$Q$8+L455*0.433</f>
        <v>1914.1165960000001</v>
      </c>
      <c r="N455" s="82">
        <f t="shared" si="150"/>
        <v>137399.92000000001</v>
      </c>
      <c r="O455" s="83">
        <f t="shared" si="151"/>
        <v>732.37900000000002</v>
      </c>
      <c r="P455" s="84">
        <f>IF(O455="","",Inputs!$C$5-O455)</f>
        <v>92.805499999999938</v>
      </c>
      <c r="Q455" s="83">
        <f>IF(N455="","",TS!J455)</f>
        <v>2000</v>
      </c>
      <c r="R455" s="83">
        <f>IF(N455="","",TS!K455)</f>
        <v>1825</v>
      </c>
      <c r="S455" s="83">
        <f>Inputs!$H$5+TS!P455*0.4333</f>
        <v>1915.1783395999998</v>
      </c>
      <c r="T455" s="83">
        <f>Inputs!$G$5+TS!P455*0.4333</f>
        <v>1930.1783395999998</v>
      </c>
      <c r="U455" s="85">
        <f t="shared" si="152"/>
        <v>0.96508916979999992</v>
      </c>
      <c r="V455" s="86">
        <f t="shared" si="140"/>
        <v>0</v>
      </c>
      <c r="W455" s="86">
        <f t="shared" si="141"/>
        <v>0</v>
      </c>
      <c r="X455" s="86" t="e">
        <f>((PI()*((42-2*'Gen Calcs'!$E$13)^2)/4)/144)*(A498-#REF!)*(W455+14.7)/14.7</f>
        <v>#REF!</v>
      </c>
      <c r="Y455" s="86" t="e">
        <f t="shared" si="142"/>
        <v>#REF!</v>
      </c>
      <c r="Z455" s="86" t="e">
        <f t="shared" si="143"/>
        <v>#REF!</v>
      </c>
      <c r="AA455" s="83">
        <f>MAX(B$2:B455)-B455</f>
        <v>92.805499999999938</v>
      </c>
      <c r="AB455" s="83">
        <f t="shared" si="144"/>
        <v>40.184781499999971</v>
      </c>
      <c r="AC455" s="83">
        <f t="shared" si="146"/>
        <v>120</v>
      </c>
      <c r="AD455" s="72">
        <v>120</v>
      </c>
      <c r="AE455" s="73">
        <f t="shared" si="153"/>
        <v>907.92027688745009</v>
      </c>
      <c r="AF455" s="73">
        <f>SUM(AE$2:AE455)</f>
        <v>376303.01440464298</v>
      </c>
      <c r="AG455" s="73">
        <f t="shared" si="154"/>
        <v>797426.88802246621</v>
      </c>
    </row>
    <row r="456" spans="1:33" x14ac:dyDescent="0.25">
      <c r="A456" s="100">
        <v>137499.92000000001</v>
      </c>
      <c r="B456" s="97">
        <v>734.07429999999999</v>
      </c>
      <c r="C456" s="97">
        <v>0.6</v>
      </c>
      <c r="D456" s="80">
        <f t="shared" si="139"/>
        <v>100</v>
      </c>
      <c r="E456" s="81">
        <f t="shared" si="147"/>
        <v>6791.2436711181272</v>
      </c>
      <c r="F456" s="81">
        <f>SUM(E$2:E456)</f>
        <v>2818668.1375984405</v>
      </c>
      <c r="G456" s="43">
        <f t="shared" si="145"/>
        <v>1</v>
      </c>
      <c r="H456" s="78">
        <v>1</v>
      </c>
      <c r="I456" s="15">
        <f t="shared" si="148"/>
        <v>0.6</v>
      </c>
      <c r="J456" s="16">
        <f>VLOOKUP(G456,Inputs!$L$3:$P$15,5,FALSE)</f>
        <v>2000</v>
      </c>
      <c r="K456" s="16">
        <f t="shared" si="149"/>
        <v>1825</v>
      </c>
      <c r="L456" s="79">
        <f>Inputs!$P$8-B456</f>
        <v>204.11670000000004</v>
      </c>
      <c r="M456" s="79">
        <f>Inputs!$Q$8+L456*0.433</f>
        <v>1913.3825311000001</v>
      </c>
      <c r="N456" s="82">
        <f t="shared" si="150"/>
        <v>137499.92000000001</v>
      </c>
      <c r="O456" s="83">
        <f t="shared" si="151"/>
        <v>734.07429999999999</v>
      </c>
      <c r="P456" s="84">
        <f>IF(O456="","",Inputs!$C$5-O456)</f>
        <v>91.110199999999963</v>
      </c>
      <c r="Q456" s="83">
        <f>IF(N456="","",TS!J456)</f>
        <v>2000</v>
      </c>
      <c r="R456" s="83">
        <f>IF(N456="","",TS!K456)</f>
        <v>1825</v>
      </c>
      <c r="S456" s="83">
        <f>Inputs!$H$5+TS!P456*0.4333</f>
        <v>1914.4437661099998</v>
      </c>
      <c r="T456" s="83">
        <f>Inputs!$G$5+TS!P456*0.4333</f>
        <v>1929.4437661099998</v>
      </c>
      <c r="U456" s="85">
        <f t="shared" si="152"/>
        <v>0.96472188305499995</v>
      </c>
      <c r="V456" s="86">
        <f t="shared" si="140"/>
        <v>0</v>
      </c>
      <c r="W456" s="86">
        <f t="shared" si="141"/>
        <v>0</v>
      </c>
      <c r="X456" s="86" t="e">
        <f>((PI()*((42-2*'Gen Calcs'!$E$13)^2)/4)/144)*(A499-#REF!)*(W456+14.7)/14.7</f>
        <v>#REF!</v>
      </c>
      <c r="Y456" s="86" t="e">
        <f t="shared" si="142"/>
        <v>#REF!</v>
      </c>
      <c r="Z456" s="86" t="e">
        <f t="shared" si="143"/>
        <v>#REF!</v>
      </c>
      <c r="AA456" s="83">
        <f>MAX(B$2:B456)-B456</f>
        <v>91.110199999999963</v>
      </c>
      <c r="AB456" s="83">
        <f t="shared" si="144"/>
        <v>39.450716599999986</v>
      </c>
      <c r="AC456" s="83">
        <f t="shared" si="146"/>
        <v>120</v>
      </c>
      <c r="AD456" s="72">
        <v>120</v>
      </c>
      <c r="AE456" s="73">
        <f t="shared" si="153"/>
        <v>907.92027688745009</v>
      </c>
      <c r="AF456" s="73">
        <f>SUM(AE$2:AE456)</f>
        <v>377210.9346815304</v>
      </c>
      <c r="AG456" s="73">
        <f t="shared" si="154"/>
        <v>796518.96774557885</v>
      </c>
    </row>
    <row r="457" spans="1:33" x14ac:dyDescent="0.25">
      <c r="A457" s="99">
        <v>137599.92000000001</v>
      </c>
      <c r="B457" s="96">
        <v>735.61749999999995</v>
      </c>
      <c r="C457" s="96">
        <v>0.6</v>
      </c>
      <c r="D457" s="80">
        <f t="shared" si="139"/>
        <v>100</v>
      </c>
      <c r="E457" s="81">
        <f t="shared" si="147"/>
        <v>6791.2436711181272</v>
      </c>
      <c r="F457" s="81">
        <f>SUM(E$2:E457)</f>
        <v>2825459.3812695588</v>
      </c>
      <c r="G457" s="43">
        <f t="shared" si="145"/>
        <v>1</v>
      </c>
      <c r="H457" s="78">
        <v>1</v>
      </c>
      <c r="I457" s="15">
        <f t="shared" si="148"/>
        <v>0.6</v>
      </c>
      <c r="J457" s="16">
        <f>VLOOKUP(G457,Inputs!$L$3:$P$15,5,FALSE)</f>
        <v>2000</v>
      </c>
      <c r="K457" s="16">
        <f t="shared" si="149"/>
        <v>1825</v>
      </c>
      <c r="L457" s="79">
        <f>Inputs!$P$8-B457</f>
        <v>202.57350000000008</v>
      </c>
      <c r="M457" s="79">
        <f>Inputs!$Q$8+L457*0.433</f>
        <v>1912.7143255000001</v>
      </c>
      <c r="N457" s="82">
        <f t="shared" si="150"/>
        <v>137599.92000000001</v>
      </c>
      <c r="O457" s="83">
        <f t="shared" si="151"/>
        <v>735.61749999999995</v>
      </c>
      <c r="P457" s="84">
        <f>IF(O457="","",Inputs!$C$5-O457)</f>
        <v>89.567000000000007</v>
      </c>
      <c r="Q457" s="83">
        <f>IF(N457="","",TS!J457)</f>
        <v>2000</v>
      </c>
      <c r="R457" s="83">
        <f>IF(N457="","",TS!K457)</f>
        <v>1825</v>
      </c>
      <c r="S457" s="83">
        <f>Inputs!$H$5+TS!P457*0.4333</f>
        <v>1913.7750975500001</v>
      </c>
      <c r="T457" s="83">
        <f>Inputs!$G$5+TS!P457*0.4333</f>
        <v>1928.7750975500001</v>
      </c>
      <c r="U457" s="85">
        <f t="shared" si="152"/>
        <v>0.96438754877499999</v>
      </c>
      <c r="V457" s="86">
        <f t="shared" si="140"/>
        <v>0</v>
      </c>
      <c r="W457" s="86">
        <f t="shared" si="141"/>
        <v>0</v>
      </c>
      <c r="X457" s="86" t="e">
        <f>((PI()*((42-2*'Gen Calcs'!$E$13)^2)/4)/144)*(A500-#REF!)*(W457+14.7)/14.7</f>
        <v>#REF!</v>
      </c>
      <c r="Y457" s="86" t="e">
        <f t="shared" si="142"/>
        <v>#REF!</v>
      </c>
      <c r="Z457" s="86" t="e">
        <f t="shared" si="143"/>
        <v>#REF!</v>
      </c>
      <c r="AA457" s="83">
        <f>MAX(B$2:B457)-B457</f>
        <v>89.567000000000007</v>
      </c>
      <c r="AB457" s="83">
        <f t="shared" si="144"/>
        <v>38.782511</v>
      </c>
      <c r="AC457" s="83">
        <f t="shared" si="146"/>
        <v>120</v>
      </c>
      <c r="AD457" s="72">
        <v>120</v>
      </c>
      <c r="AE457" s="73">
        <f t="shared" si="153"/>
        <v>907.92027688745009</v>
      </c>
      <c r="AF457" s="73">
        <f>SUM(AE$2:AE457)</f>
        <v>378118.85495841783</v>
      </c>
      <c r="AG457" s="73">
        <f t="shared" si="154"/>
        <v>795611.04746869137</v>
      </c>
    </row>
    <row r="458" spans="1:33" x14ac:dyDescent="0.25">
      <c r="A458" s="100">
        <v>137699.92000000001</v>
      </c>
      <c r="B458" s="97">
        <v>737.41930000000002</v>
      </c>
      <c r="C458" s="97">
        <v>0.6</v>
      </c>
      <c r="D458" s="80">
        <f t="shared" si="139"/>
        <v>100</v>
      </c>
      <c r="E458" s="81">
        <f t="shared" si="147"/>
        <v>6791.2436711181272</v>
      </c>
      <c r="F458" s="81">
        <f>SUM(E$2:E458)</f>
        <v>2832250.6249406771</v>
      </c>
      <c r="G458" s="43">
        <f t="shared" si="145"/>
        <v>1</v>
      </c>
      <c r="H458" s="78">
        <v>1</v>
      </c>
      <c r="I458" s="15">
        <f t="shared" si="148"/>
        <v>0.6</v>
      </c>
      <c r="J458" s="16">
        <f>VLOOKUP(G458,Inputs!$L$3:$P$15,5,FALSE)</f>
        <v>2000</v>
      </c>
      <c r="K458" s="16">
        <f t="shared" si="149"/>
        <v>1825</v>
      </c>
      <c r="L458" s="79">
        <f>Inputs!$P$8-B458</f>
        <v>200.77170000000001</v>
      </c>
      <c r="M458" s="79">
        <f>Inputs!$Q$8+L458*0.433</f>
        <v>1911.9341460999999</v>
      </c>
      <c r="N458" s="82">
        <f t="shared" si="150"/>
        <v>137699.92000000001</v>
      </c>
      <c r="O458" s="83">
        <f t="shared" si="151"/>
        <v>737.41930000000002</v>
      </c>
      <c r="P458" s="84">
        <f>IF(O458="","",Inputs!$C$5-O458)</f>
        <v>87.765199999999936</v>
      </c>
      <c r="Q458" s="83">
        <f>IF(N458="","",TS!J458)</f>
        <v>2000</v>
      </c>
      <c r="R458" s="83">
        <f>IF(N458="","",TS!K458)</f>
        <v>1825</v>
      </c>
      <c r="S458" s="83">
        <f>Inputs!$H$5+TS!P458*0.4333</f>
        <v>1912.9943776099999</v>
      </c>
      <c r="T458" s="83">
        <f>Inputs!$G$5+TS!P458*0.4333</f>
        <v>1927.9943776099999</v>
      </c>
      <c r="U458" s="85">
        <f t="shared" si="152"/>
        <v>0.96399718880499996</v>
      </c>
      <c r="V458" s="86">
        <f t="shared" si="140"/>
        <v>0</v>
      </c>
      <c r="W458" s="86">
        <f t="shared" si="141"/>
        <v>0</v>
      </c>
      <c r="X458" s="86" t="e">
        <f>((PI()*((42-2*'Gen Calcs'!$E$13)^2)/4)/144)*(A501-#REF!)*(W458+14.7)/14.7</f>
        <v>#REF!</v>
      </c>
      <c r="Y458" s="86" t="e">
        <f t="shared" si="142"/>
        <v>#REF!</v>
      </c>
      <c r="Z458" s="86" t="e">
        <f t="shared" si="143"/>
        <v>#REF!</v>
      </c>
      <c r="AA458" s="83">
        <f>MAX(B$2:B458)-B458</f>
        <v>87.765199999999936</v>
      </c>
      <c r="AB458" s="83">
        <f t="shared" si="144"/>
        <v>38.00233159999997</v>
      </c>
      <c r="AC458" s="83">
        <f t="shared" si="146"/>
        <v>120</v>
      </c>
      <c r="AD458" s="72">
        <v>120</v>
      </c>
      <c r="AE458" s="73">
        <f t="shared" si="153"/>
        <v>907.92027688745009</v>
      </c>
      <c r="AF458" s="73">
        <f>SUM(AE$2:AE458)</f>
        <v>379026.77523530525</v>
      </c>
      <c r="AG458" s="73">
        <f t="shared" si="154"/>
        <v>794703.12719180388</v>
      </c>
    </row>
    <row r="459" spans="1:33" x14ac:dyDescent="0.25">
      <c r="A459" s="99">
        <v>137745.70000000001</v>
      </c>
      <c r="B459" s="96">
        <v>737.41930000000002</v>
      </c>
      <c r="C459" s="96">
        <v>0.86399999999999999</v>
      </c>
      <c r="D459" s="80">
        <f t="shared" si="139"/>
        <v>45.779999999998836</v>
      </c>
      <c r="E459" s="81">
        <f t="shared" si="147"/>
        <v>3109.0313526377995</v>
      </c>
      <c r="F459" s="81">
        <f>SUM(E$2:E459)</f>
        <v>2835359.6562933149</v>
      </c>
      <c r="G459" s="43">
        <f t="shared" si="145"/>
        <v>2</v>
      </c>
      <c r="H459" s="78">
        <v>1</v>
      </c>
      <c r="I459" s="15">
        <f t="shared" si="148"/>
        <v>0.86399999999999999</v>
      </c>
      <c r="J459" s="16">
        <f>VLOOKUP(G459,Inputs!$L$3:$P$15,5,FALSE)</f>
        <v>2880</v>
      </c>
      <c r="K459" s="16">
        <f t="shared" si="149"/>
        <v>1825</v>
      </c>
      <c r="L459" s="79">
        <f>Inputs!$P$8-B459</f>
        <v>200.77170000000001</v>
      </c>
      <c r="M459" s="79">
        <f>Inputs!$Q$8+L459*0.433</f>
        <v>1911.9341460999999</v>
      </c>
      <c r="N459" s="82">
        <f t="shared" si="150"/>
        <v>137745.70000000001</v>
      </c>
      <c r="O459" s="83">
        <f t="shared" si="151"/>
        <v>737.41930000000002</v>
      </c>
      <c r="P459" s="84">
        <f>IF(O459="","",Inputs!$C$5-O459)</f>
        <v>87.765199999999936</v>
      </c>
      <c r="Q459" s="83">
        <f>IF(N459="","",TS!J459)</f>
        <v>2880</v>
      </c>
      <c r="R459" s="83">
        <f>IF(N459="","",TS!K459)</f>
        <v>1825</v>
      </c>
      <c r="S459" s="83">
        <f>Inputs!$H$5+TS!P459*0.4333</f>
        <v>1912.9943776099999</v>
      </c>
      <c r="T459" s="83">
        <f>Inputs!$G$5+TS!P459*0.4333</f>
        <v>1927.9943776099999</v>
      </c>
      <c r="U459" s="85">
        <f t="shared" si="152"/>
        <v>0.66944249222569441</v>
      </c>
      <c r="V459" s="86">
        <f t="shared" si="140"/>
        <v>0</v>
      </c>
      <c r="W459" s="86">
        <f t="shared" si="141"/>
        <v>0</v>
      </c>
      <c r="X459" s="86" t="e">
        <f>((PI()*((42-2*'Gen Calcs'!$E$13)^2)/4)/144)*(A502-#REF!)*(W459+14.7)/14.7</f>
        <v>#REF!</v>
      </c>
      <c r="Y459" s="86" t="e">
        <f t="shared" si="142"/>
        <v>#REF!</v>
      </c>
      <c r="Z459" s="86" t="e">
        <f t="shared" si="143"/>
        <v>#REF!</v>
      </c>
      <c r="AA459" s="83">
        <f>MAX(B$2:B459)-B459</f>
        <v>87.765199999999936</v>
      </c>
      <c r="AB459" s="83">
        <f t="shared" si="144"/>
        <v>38.00233159999997</v>
      </c>
      <c r="AC459" s="83">
        <f t="shared" si="146"/>
        <v>120</v>
      </c>
      <c r="AD459" s="72">
        <v>120</v>
      </c>
      <c r="AE459" s="73">
        <f t="shared" si="153"/>
        <v>404.95761870735384</v>
      </c>
      <c r="AF459" s="73">
        <f>SUM(AE$2:AE459)</f>
        <v>379431.73285401257</v>
      </c>
      <c r="AG459" s="73">
        <f t="shared" si="154"/>
        <v>794298.16957309656</v>
      </c>
    </row>
    <row r="460" spans="1:33" x14ac:dyDescent="0.25">
      <c r="A460" s="100">
        <v>137799.92000000001</v>
      </c>
      <c r="B460" s="97">
        <v>739.94060000000002</v>
      </c>
      <c r="C460" s="97">
        <v>0.6</v>
      </c>
      <c r="D460" s="80">
        <f t="shared" si="139"/>
        <v>54.220000000001164</v>
      </c>
      <c r="E460" s="81">
        <f t="shared" si="147"/>
        <v>3682.2123184803277</v>
      </c>
      <c r="F460" s="81">
        <f>SUM(E$2:E460)</f>
        <v>2839041.8686117954</v>
      </c>
      <c r="G460" s="43">
        <f t="shared" si="145"/>
        <v>1</v>
      </c>
      <c r="H460" s="78">
        <v>1</v>
      </c>
      <c r="I460" s="15">
        <f t="shared" si="148"/>
        <v>0.6</v>
      </c>
      <c r="J460" s="16">
        <f>VLOOKUP(G460,Inputs!$L$3:$P$15,5,FALSE)</f>
        <v>2000</v>
      </c>
      <c r="K460" s="16">
        <f t="shared" si="149"/>
        <v>1825</v>
      </c>
      <c r="L460" s="79">
        <f>Inputs!$P$8-B460</f>
        <v>198.25040000000001</v>
      </c>
      <c r="M460" s="79">
        <f>Inputs!$Q$8+L460*0.433</f>
        <v>1910.8424232</v>
      </c>
      <c r="N460" s="82">
        <f t="shared" si="150"/>
        <v>137799.92000000001</v>
      </c>
      <c r="O460" s="83">
        <f t="shared" si="151"/>
        <v>739.94060000000002</v>
      </c>
      <c r="P460" s="84">
        <f>IF(O460="","",Inputs!$C$5-O460)</f>
        <v>85.24389999999994</v>
      </c>
      <c r="Q460" s="83">
        <f>IF(N460="","",TS!J460)</f>
        <v>2000</v>
      </c>
      <c r="R460" s="83">
        <f>IF(N460="","",TS!K460)</f>
        <v>1825</v>
      </c>
      <c r="S460" s="83">
        <f>Inputs!$H$5+TS!P460*0.4333</f>
        <v>1911.9018983199999</v>
      </c>
      <c r="T460" s="83">
        <f>Inputs!$G$5+TS!P460*0.4333</f>
        <v>1926.9018983199999</v>
      </c>
      <c r="U460" s="85">
        <f t="shared" si="152"/>
        <v>0.96345094915999996</v>
      </c>
      <c r="V460" s="86">
        <f t="shared" si="140"/>
        <v>0</v>
      </c>
      <c r="W460" s="86">
        <f t="shared" si="141"/>
        <v>0</v>
      </c>
      <c r="X460" s="86" t="e">
        <f>((PI()*((42-2*'Gen Calcs'!$E$13)^2)/4)/144)*(A503-#REF!)*(W460+14.7)/14.7</f>
        <v>#REF!</v>
      </c>
      <c r="Y460" s="86" t="e">
        <f t="shared" si="142"/>
        <v>#REF!</v>
      </c>
      <c r="Z460" s="86" t="e">
        <f t="shared" si="143"/>
        <v>#REF!</v>
      </c>
      <c r="AA460" s="83">
        <f>MAX(B$2:B460)-B460</f>
        <v>85.24389999999994</v>
      </c>
      <c r="AB460" s="83">
        <f t="shared" si="144"/>
        <v>36.910608699999976</v>
      </c>
      <c r="AC460" s="83">
        <f t="shared" si="146"/>
        <v>120</v>
      </c>
      <c r="AD460" s="72">
        <v>120</v>
      </c>
      <c r="AE460" s="73">
        <f t="shared" si="153"/>
        <v>492.274374128386</v>
      </c>
      <c r="AF460" s="73">
        <f>SUM(AE$2:AE460)</f>
        <v>379924.00722814095</v>
      </c>
      <c r="AG460" s="73">
        <f t="shared" si="154"/>
        <v>793805.89519896824</v>
      </c>
    </row>
    <row r="461" spans="1:33" x14ac:dyDescent="0.25">
      <c r="A461" s="99">
        <v>137899.92000000001</v>
      </c>
      <c r="B461" s="96">
        <v>743.15719999999999</v>
      </c>
      <c r="C461" s="96">
        <v>0.6</v>
      </c>
      <c r="D461" s="80">
        <f t="shared" si="139"/>
        <v>100</v>
      </c>
      <c r="E461" s="81">
        <f t="shared" si="147"/>
        <v>6791.2436711181272</v>
      </c>
      <c r="F461" s="81">
        <f>SUM(E$2:E461)</f>
        <v>2845833.1122829136</v>
      </c>
      <c r="G461" s="43">
        <f t="shared" si="145"/>
        <v>1</v>
      </c>
      <c r="H461" s="78">
        <v>1</v>
      </c>
      <c r="I461" s="15">
        <f t="shared" si="148"/>
        <v>0.6</v>
      </c>
      <c r="J461" s="16">
        <f>VLOOKUP(G461,Inputs!$L$3:$P$15,5,FALSE)</f>
        <v>2000</v>
      </c>
      <c r="K461" s="16">
        <f t="shared" si="149"/>
        <v>1825</v>
      </c>
      <c r="L461" s="79">
        <f>Inputs!$P$8-B461</f>
        <v>195.03380000000004</v>
      </c>
      <c r="M461" s="79">
        <f>Inputs!$Q$8+L461*0.433</f>
        <v>1909.4496354</v>
      </c>
      <c r="N461" s="82">
        <f t="shared" si="150"/>
        <v>137899.92000000001</v>
      </c>
      <c r="O461" s="83">
        <f t="shared" si="151"/>
        <v>743.15719999999999</v>
      </c>
      <c r="P461" s="84">
        <f>IF(O461="","",Inputs!$C$5-O461)</f>
        <v>82.027299999999968</v>
      </c>
      <c r="Q461" s="83">
        <f>IF(N461="","",TS!J461)</f>
        <v>2000</v>
      </c>
      <c r="R461" s="83">
        <f>IF(N461="","",TS!K461)</f>
        <v>1825</v>
      </c>
      <c r="S461" s="83">
        <f>Inputs!$H$5+TS!P461*0.4333</f>
        <v>1910.50814554</v>
      </c>
      <c r="T461" s="83">
        <f>Inputs!$G$5+TS!P461*0.4333</f>
        <v>1925.50814554</v>
      </c>
      <c r="U461" s="85">
        <f t="shared" si="152"/>
        <v>0.96275407277000002</v>
      </c>
      <c r="V461" s="86">
        <f t="shared" si="140"/>
        <v>0</v>
      </c>
      <c r="W461" s="86">
        <f t="shared" si="141"/>
        <v>0</v>
      </c>
      <c r="X461" s="86" t="e">
        <f>((PI()*((42-2*'Gen Calcs'!$E$13)^2)/4)/144)*(A504-#REF!)*(W461+14.7)/14.7</f>
        <v>#REF!</v>
      </c>
      <c r="Y461" s="86" t="e">
        <f t="shared" si="142"/>
        <v>#REF!</v>
      </c>
      <c r="Z461" s="86" t="e">
        <f t="shared" si="143"/>
        <v>#REF!</v>
      </c>
      <c r="AA461" s="83">
        <f>MAX(B$2:B461)-B461</f>
        <v>82.027299999999968</v>
      </c>
      <c r="AB461" s="83">
        <f t="shared" si="144"/>
        <v>35.517820899999982</v>
      </c>
      <c r="AC461" s="83">
        <f t="shared" si="146"/>
        <v>120</v>
      </c>
      <c r="AD461" s="72">
        <v>120</v>
      </c>
      <c r="AE461" s="73">
        <f t="shared" si="153"/>
        <v>907.92027688745009</v>
      </c>
      <c r="AF461" s="73">
        <f>SUM(AE$2:AE461)</f>
        <v>380831.92750502838</v>
      </c>
      <c r="AG461" s="73">
        <f t="shared" si="154"/>
        <v>792897.97492208076</v>
      </c>
    </row>
    <row r="462" spans="1:33" x14ac:dyDescent="0.25">
      <c r="A462" s="100">
        <v>137999.92000000001</v>
      </c>
      <c r="B462" s="97">
        <v>744.00459999999998</v>
      </c>
      <c r="C462" s="97">
        <v>0.6</v>
      </c>
      <c r="D462" s="80">
        <f t="shared" si="139"/>
        <v>100</v>
      </c>
      <c r="E462" s="81">
        <f t="shared" si="147"/>
        <v>6791.2436711181272</v>
      </c>
      <c r="F462" s="81">
        <f>SUM(E$2:E462)</f>
        <v>2852624.3559540319</v>
      </c>
      <c r="G462" s="43">
        <f t="shared" si="145"/>
        <v>1</v>
      </c>
      <c r="H462" s="78">
        <v>1</v>
      </c>
      <c r="I462" s="15">
        <f t="shared" si="148"/>
        <v>0.6</v>
      </c>
      <c r="J462" s="16">
        <f>VLOOKUP(G462,Inputs!$L$3:$P$15,5,FALSE)</f>
        <v>2000</v>
      </c>
      <c r="K462" s="16">
        <f t="shared" si="149"/>
        <v>1825</v>
      </c>
      <c r="L462" s="79">
        <f>Inputs!$P$8-B462</f>
        <v>194.18640000000005</v>
      </c>
      <c r="M462" s="79">
        <f>Inputs!$Q$8+L462*0.433</f>
        <v>1909.0827111999999</v>
      </c>
      <c r="N462" s="82">
        <f t="shared" si="150"/>
        <v>137999.92000000001</v>
      </c>
      <c r="O462" s="83">
        <f t="shared" si="151"/>
        <v>744.00459999999998</v>
      </c>
      <c r="P462" s="84">
        <f>IF(O462="","",Inputs!$C$5-O462)</f>
        <v>81.179899999999975</v>
      </c>
      <c r="Q462" s="83">
        <f>IF(N462="","",TS!J462)</f>
        <v>2000</v>
      </c>
      <c r="R462" s="83">
        <f>IF(N462="","",TS!K462)</f>
        <v>1825</v>
      </c>
      <c r="S462" s="83">
        <f>Inputs!$H$5+TS!P462*0.4333</f>
        <v>1910.1409671199999</v>
      </c>
      <c r="T462" s="83">
        <f>Inputs!$G$5+TS!P462*0.4333</f>
        <v>1925.1409671199999</v>
      </c>
      <c r="U462" s="85">
        <f t="shared" si="152"/>
        <v>0.96257048355999997</v>
      </c>
      <c r="V462" s="86">
        <f t="shared" si="140"/>
        <v>0</v>
      </c>
      <c r="W462" s="86">
        <f t="shared" si="141"/>
        <v>0</v>
      </c>
      <c r="X462" s="86" t="e">
        <f>((PI()*((42-2*'Gen Calcs'!$E$13)^2)/4)/144)*(A505-#REF!)*(W462+14.7)/14.7</f>
        <v>#REF!</v>
      </c>
      <c r="Y462" s="86" t="e">
        <f t="shared" si="142"/>
        <v>#REF!</v>
      </c>
      <c r="Z462" s="86" t="e">
        <f t="shared" si="143"/>
        <v>#REF!</v>
      </c>
      <c r="AA462" s="83">
        <f>MAX(B$2:B462)-B462</f>
        <v>81.179899999999975</v>
      </c>
      <c r="AB462" s="83">
        <f t="shared" si="144"/>
        <v>35.15089669999999</v>
      </c>
      <c r="AC462" s="83">
        <f t="shared" si="146"/>
        <v>120</v>
      </c>
      <c r="AD462" s="72">
        <v>120</v>
      </c>
      <c r="AE462" s="73">
        <f t="shared" si="153"/>
        <v>907.92027688745009</v>
      </c>
      <c r="AF462" s="73">
        <f>SUM(AE$2:AE462)</f>
        <v>381739.8477819158</v>
      </c>
      <c r="AG462" s="73">
        <f t="shared" si="154"/>
        <v>791990.05464519339</v>
      </c>
    </row>
    <row r="463" spans="1:33" x14ac:dyDescent="0.25">
      <c r="A463" s="99">
        <v>138099.92000000001</v>
      </c>
      <c r="B463" s="96">
        <v>746.12980000000005</v>
      </c>
      <c r="C463" s="96">
        <v>0.6</v>
      </c>
      <c r="D463" s="80">
        <f t="shared" si="139"/>
        <v>100</v>
      </c>
      <c r="E463" s="81">
        <f t="shared" si="147"/>
        <v>6791.2436711181272</v>
      </c>
      <c r="F463" s="81">
        <f>SUM(E$2:E463)</f>
        <v>2859415.5996251502</v>
      </c>
      <c r="G463" s="43">
        <f t="shared" si="145"/>
        <v>1</v>
      </c>
      <c r="H463" s="78">
        <v>1</v>
      </c>
      <c r="I463" s="15">
        <f t="shared" si="148"/>
        <v>0.6</v>
      </c>
      <c r="J463" s="16">
        <f>VLOOKUP(G463,Inputs!$L$3:$P$15,5,FALSE)</f>
        <v>2000</v>
      </c>
      <c r="K463" s="16">
        <f t="shared" si="149"/>
        <v>1825</v>
      </c>
      <c r="L463" s="79">
        <f>Inputs!$P$8-B463</f>
        <v>192.06119999999999</v>
      </c>
      <c r="M463" s="79">
        <f>Inputs!$Q$8+L463*0.433</f>
        <v>1908.1624996</v>
      </c>
      <c r="N463" s="82">
        <f t="shared" si="150"/>
        <v>138099.92000000001</v>
      </c>
      <c r="O463" s="83">
        <f t="shared" si="151"/>
        <v>746.12980000000005</v>
      </c>
      <c r="P463" s="84">
        <f>IF(O463="","",Inputs!$C$5-O463)</f>
        <v>79.054699999999912</v>
      </c>
      <c r="Q463" s="83">
        <f>IF(N463="","",TS!J463)</f>
        <v>2000</v>
      </c>
      <c r="R463" s="83">
        <f>IF(N463="","",TS!K463)</f>
        <v>1825</v>
      </c>
      <c r="S463" s="83">
        <f>Inputs!$H$5+TS!P463*0.4333</f>
        <v>1909.2201179599999</v>
      </c>
      <c r="T463" s="83">
        <f>Inputs!$G$5+TS!P463*0.4333</f>
        <v>1924.2201179599999</v>
      </c>
      <c r="U463" s="85">
        <f t="shared" si="152"/>
        <v>0.96211005898000002</v>
      </c>
      <c r="V463" s="86">
        <f t="shared" si="140"/>
        <v>0</v>
      </c>
      <c r="W463" s="86">
        <f t="shared" si="141"/>
        <v>0</v>
      </c>
      <c r="X463" s="86" t="e">
        <f>((PI()*((42-2*'Gen Calcs'!$E$13)^2)/4)/144)*(A506-#REF!)*(W463+14.7)/14.7</f>
        <v>#REF!</v>
      </c>
      <c r="Y463" s="86" t="e">
        <f t="shared" si="142"/>
        <v>#REF!</v>
      </c>
      <c r="Z463" s="86" t="e">
        <f t="shared" si="143"/>
        <v>#REF!</v>
      </c>
      <c r="AA463" s="83">
        <f>MAX(B$2:B463)-B463</f>
        <v>79.054699999999912</v>
      </c>
      <c r="AB463" s="83">
        <f t="shared" si="144"/>
        <v>34.23068509999996</v>
      </c>
      <c r="AC463" s="83">
        <f t="shared" si="146"/>
        <v>120</v>
      </c>
      <c r="AD463" s="72">
        <v>120</v>
      </c>
      <c r="AE463" s="73">
        <f t="shared" si="153"/>
        <v>907.92027688745009</v>
      </c>
      <c r="AF463" s="73">
        <f>SUM(AE$2:AE463)</f>
        <v>382647.76805880322</v>
      </c>
      <c r="AG463" s="73">
        <f t="shared" si="154"/>
        <v>791082.13436830603</v>
      </c>
    </row>
    <row r="464" spans="1:33" x14ac:dyDescent="0.25">
      <c r="A464" s="100">
        <v>138199.92000000001</v>
      </c>
      <c r="B464" s="97">
        <v>749.64850000000001</v>
      </c>
      <c r="C464" s="97">
        <v>0.6</v>
      </c>
      <c r="D464" s="80">
        <f t="shared" si="139"/>
        <v>100</v>
      </c>
      <c r="E464" s="81">
        <f t="shared" si="147"/>
        <v>6791.2436711181272</v>
      </c>
      <c r="F464" s="81">
        <f>SUM(E$2:E464)</f>
        <v>2866206.8432962685</v>
      </c>
      <c r="G464" s="43">
        <f t="shared" si="145"/>
        <v>1</v>
      </c>
      <c r="H464" s="78">
        <v>1</v>
      </c>
      <c r="I464" s="15">
        <f t="shared" si="148"/>
        <v>0.6</v>
      </c>
      <c r="J464" s="16">
        <f>VLOOKUP(G464,Inputs!$L$3:$P$15,5,FALSE)</f>
        <v>2000</v>
      </c>
      <c r="K464" s="16">
        <f t="shared" si="149"/>
        <v>1825</v>
      </c>
      <c r="L464" s="79">
        <f>Inputs!$P$8-B464</f>
        <v>188.54250000000002</v>
      </c>
      <c r="M464" s="79">
        <f>Inputs!$Q$8+L464*0.433</f>
        <v>1906.6389025000001</v>
      </c>
      <c r="N464" s="82">
        <f t="shared" si="150"/>
        <v>138199.92000000001</v>
      </c>
      <c r="O464" s="83">
        <f t="shared" si="151"/>
        <v>749.64850000000001</v>
      </c>
      <c r="P464" s="84">
        <f>IF(O464="","",Inputs!$C$5-O464)</f>
        <v>75.535999999999945</v>
      </c>
      <c r="Q464" s="83">
        <f>IF(N464="","",TS!J464)</f>
        <v>2000</v>
      </c>
      <c r="R464" s="83">
        <f>IF(N464="","",TS!K464)</f>
        <v>1825</v>
      </c>
      <c r="S464" s="83">
        <f>Inputs!$H$5+TS!P464*0.4333</f>
        <v>1907.6954652499999</v>
      </c>
      <c r="T464" s="83">
        <f>Inputs!$G$5+TS!P464*0.4333</f>
        <v>1922.6954652499999</v>
      </c>
      <c r="U464" s="85">
        <f t="shared" si="152"/>
        <v>0.96134773262499995</v>
      </c>
      <c r="V464" s="86">
        <f t="shared" si="140"/>
        <v>0</v>
      </c>
      <c r="W464" s="86">
        <f t="shared" si="141"/>
        <v>0</v>
      </c>
      <c r="X464" s="86" t="e">
        <f>((PI()*((42-2*'Gen Calcs'!$E$13)^2)/4)/144)*(A507-#REF!)*(W464+14.7)/14.7</f>
        <v>#REF!</v>
      </c>
      <c r="Y464" s="86" t="e">
        <f t="shared" si="142"/>
        <v>#REF!</v>
      </c>
      <c r="Z464" s="86" t="e">
        <f t="shared" si="143"/>
        <v>#REF!</v>
      </c>
      <c r="AA464" s="83">
        <f>MAX(B$2:B464)-B464</f>
        <v>75.535999999999945</v>
      </c>
      <c r="AB464" s="83">
        <f t="shared" si="144"/>
        <v>32.707087999999978</v>
      </c>
      <c r="AC464" s="83">
        <f t="shared" si="146"/>
        <v>120</v>
      </c>
      <c r="AD464" s="72">
        <v>120</v>
      </c>
      <c r="AE464" s="73">
        <f t="shared" si="153"/>
        <v>907.92027688745009</v>
      </c>
      <c r="AF464" s="73">
        <f>SUM(AE$2:AE464)</f>
        <v>383555.68833569065</v>
      </c>
      <c r="AG464" s="73">
        <f t="shared" si="154"/>
        <v>790174.21409141854</v>
      </c>
    </row>
    <row r="465" spans="1:33" x14ac:dyDescent="0.25">
      <c r="A465" s="99">
        <v>138299.92000000001</v>
      </c>
      <c r="B465" s="96">
        <v>750.40920000000006</v>
      </c>
      <c r="C465" s="96">
        <v>0.6</v>
      </c>
      <c r="D465" s="80">
        <f t="shared" si="139"/>
        <v>100</v>
      </c>
      <c r="E465" s="81">
        <f t="shared" si="147"/>
        <v>6791.2436711181272</v>
      </c>
      <c r="F465" s="81">
        <f>SUM(E$2:E465)</f>
        <v>2872998.0869673868</v>
      </c>
      <c r="G465" s="43">
        <f t="shared" si="145"/>
        <v>1</v>
      </c>
      <c r="H465" s="78">
        <v>1</v>
      </c>
      <c r="I465" s="15">
        <f t="shared" si="148"/>
        <v>0.6</v>
      </c>
      <c r="J465" s="16">
        <f>VLOOKUP(G465,Inputs!$L$3:$P$15,5,FALSE)</f>
        <v>2000</v>
      </c>
      <c r="K465" s="16">
        <f t="shared" si="149"/>
        <v>1825</v>
      </c>
      <c r="L465" s="79">
        <f>Inputs!$P$8-B465</f>
        <v>187.78179999999998</v>
      </c>
      <c r="M465" s="79">
        <f>Inputs!$Q$8+L465*0.433</f>
        <v>1906.3095194</v>
      </c>
      <c r="N465" s="82">
        <f t="shared" si="150"/>
        <v>138299.92000000001</v>
      </c>
      <c r="O465" s="83">
        <f t="shared" si="151"/>
        <v>750.40920000000006</v>
      </c>
      <c r="P465" s="84">
        <f>IF(O465="","",Inputs!$C$5-O465)</f>
        <v>74.775299999999902</v>
      </c>
      <c r="Q465" s="83">
        <f>IF(N465="","",TS!J465)</f>
        <v>2000</v>
      </c>
      <c r="R465" s="83">
        <f>IF(N465="","",TS!K465)</f>
        <v>1825</v>
      </c>
      <c r="S465" s="83">
        <f>Inputs!$H$5+TS!P465*0.4333</f>
        <v>1907.3658539399999</v>
      </c>
      <c r="T465" s="83">
        <f>Inputs!$G$5+TS!P465*0.4333</f>
        <v>1922.3658539399999</v>
      </c>
      <c r="U465" s="85">
        <f t="shared" si="152"/>
        <v>0.96118292696999996</v>
      </c>
      <c r="V465" s="86">
        <f t="shared" si="140"/>
        <v>0</v>
      </c>
      <c r="W465" s="86">
        <f t="shared" si="141"/>
        <v>0</v>
      </c>
      <c r="X465" s="86" t="e">
        <f>((PI()*((42-2*'Gen Calcs'!$E$13)^2)/4)/144)*(A508-#REF!)*(W465+14.7)/14.7</f>
        <v>#REF!</v>
      </c>
      <c r="Y465" s="86" t="e">
        <f t="shared" si="142"/>
        <v>#REF!</v>
      </c>
      <c r="Z465" s="86" t="e">
        <f t="shared" si="143"/>
        <v>#REF!</v>
      </c>
      <c r="AA465" s="83">
        <f>MAX(B$2:B465)-B465</f>
        <v>74.775299999999902</v>
      </c>
      <c r="AB465" s="83">
        <f t="shared" si="144"/>
        <v>32.377704899999955</v>
      </c>
      <c r="AC465" s="83">
        <f t="shared" si="146"/>
        <v>120</v>
      </c>
      <c r="AD465" s="72">
        <v>120</v>
      </c>
      <c r="AE465" s="73">
        <f t="shared" si="153"/>
        <v>907.92027688745009</v>
      </c>
      <c r="AF465" s="73">
        <f>SUM(AE$2:AE465)</f>
        <v>384463.60861257807</v>
      </c>
      <c r="AG465" s="73">
        <f t="shared" si="154"/>
        <v>789266.29381453106</v>
      </c>
    </row>
    <row r="466" spans="1:33" x14ac:dyDescent="0.25">
      <c r="A466" s="100">
        <v>138399.92000000001</v>
      </c>
      <c r="B466" s="97">
        <v>753.55809999999997</v>
      </c>
      <c r="C466" s="97">
        <v>0.6</v>
      </c>
      <c r="D466" s="80">
        <f t="shared" si="139"/>
        <v>100</v>
      </c>
      <c r="E466" s="81">
        <f t="shared" si="147"/>
        <v>6791.2436711181272</v>
      </c>
      <c r="F466" s="81">
        <f>SUM(E$2:E466)</f>
        <v>2879789.3306385051</v>
      </c>
      <c r="G466" s="43">
        <f t="shared" si="145"/>
        <v>1</v>
      </c>
      <c r="H466" s="78">
        <v>1</v>
      </c>
      <c r="I466" s="15">
        <f t="shared" si="148"/>
        <v>0.6</v>
      </c>
      <c r="J466" s="16">
        <f>VLOOKUP(G466,Inputs!$L$3:$P$15,5,FALSE)</f>
        <v>2000</v>
      </c>
      <c r="K466" s="16">
        <f t="shared" si="149"/>
        <v>1825</v>
      </c>
      <c r="L466" s="79">
        <f>Inputs!$P$8-B466</f>
        <v>184.63290000000006</v>
      </c>
      <c r="M466" s="79">
        <f>Inputs!$Q$8+L466*0.433</f>
        <v>1904.9460457</v>
      </c>
      <c r="N466" s="82">
        <f t="shared" si="150"/>
        <v>138399.92000000001</v>
      </c>
      <c r="O466" s="83">
        <f t="shared" si="151"/>
        <v>753.55809999999997</v>
      </c>
      <c r="P466" s="84">
        <f>IF(O466="","",Inputs!$C$5-O466)</f>
        <v>71.62639999999999</v>
      </c>
      <c r="Q466" s="83">
        <f>IF(N466="","",TS!J466)</f>
        <v>2000</v>
      </c>
      <c r="R466" s="83">
        <f>IF(N466="","",TS!K466)</f>
        <v>1825</v>
      </c>
      <c r="S466" s="83">
        <f>Inputs!$H$5+TS!P466*0.4333</f>
        <v>1906.00143557</v>
      </c>
      <c r="T466" s="83">
        <f>Inputs!$G$5+TS!P466*0.4333</f>
        <v>1921.00143557</v>
      </c>
      <c r="U466" s="85">
        <f t="shared" si="152"/>
        <v>0.96050071778500001</v>
      </c>
      <c r="V466" s="86">
        <f t="shared" si="140"/>
        <v>0</v>
      </c>
      <c r="W466" s="86">
        <f t="shared" si="141"/>
        <v>0</v>
      </c>
      <c r="X466" s="86" t="e">
        <f>((PI()*((42-2*'Gen Calcs'!$E$13)^2)/4)/144)*(A509-#REF!)*(W466+14.7)/14.7</f>
        <v>#REF!</v>
      </c>
      <c r="Y466" s="86" t="e">
        <f t="shared" si="142"/>
        <v>#REF!</v>
      </c>
      <c r="Z466" s="86" t="e">
        <f t="shared" si="143"/>
        <v>#REF!</v>
      </c>
      <c r="AA466" s="83">
        <f>MAX(B$2:B466)-B466</f>
        <v>71.62639999999999</v>
      </c>
      <c r="AB466" s="83">
        <f t="shared" si="144"/>
        <v>31.014231199999994</v>
      </c>
      <c r="AC466" s="83">
        <f t="shared" si="146"/>
        <v>120</v>
      </c>
      <c r="AD466" s="72">
        <v>120</v>
      </c>
      <c r="AE466" s="73">
        <f t="shared" si="153"/>
        <v>907.92027688745009</v>
      </c>
      <c r="AF466" s="73">
        <f>SUM(AE$2:AE466)</f>
        <v>385371.5288894655</v>
      </c>
      <c r="AG466" s="73">
        <f t="shared" si="154"/>
        <v>788358.3735376437</v>
      </c>
    </row>
    <row r="467" spans="1:33" x14ac:dyDescent="0.25">
      <c r="A467" s="99">
        <v>138465.70000000001</v>
      </c>
      <c r="B467" s="96">
        <v>753.55809999999997</v>
      </c>
      <c r="C467" s="96">
        <v>0.86399999999999999</v>
      </c>
      <c r="D467" s="80">
        <f t="shared" si="139"/>
        <v>65.779999999998836</v>
      </c>
      <c r="E467" s="81">
        <f t="shared" si="147"/>
        <v>4467.2800868614249</v>
      </c>
      <c r="F467" s="81">
        <f>SUM(E$2:E467)</f>
        <v>2884256.6107253665</v>
      </c>
      <c r="G467" s="43">
        <f t="shared" si="145"/>
        <v>2</v>
      </c>
      <c r="H467" s="78">
        <v>1</v>
      </c>
      <c r="I467" s="15">
        <f t="shared" si="148"/>
        <v>0.86399999999999999</v>
      </c>
      <c r="J467" s="16">
        <f>VLOOKUP(G467,Inputs!$L$3:$P$15,5,FALSE)</f>
        <v>2880</v>
      </c>
      <c r="K467" s="16">
        <f t="shared" si="149"/>
        <v>1825</v>
      </c>
      <c r="L467" s="79">
        <f>Inputs!$P$8-B467</f>
        <v>184.63290000000006</v>
      </c>
      <c r="M467" s="79">
        <f>Inputs!$Q$8+L467*0.433</f>
        <v>1904.9460457</v>
      </c>
      <c r="N467" s="82">
        <f t="shared" si="150"/>
        <v>138465.70000000001</v>
      </c>
      <c r="O467" s="83">
        <f t="shared" si="151"/>
        <v>753.55809999999997</v>
      </c>
      <c r="P467" s="84">
        <f>IF(O467="","",Inputs!$C$5-O467)</f>
        <v>71.62639999999999</v>
      </c>
      <c r="Q467" s="83">
        <f>IF(N467="","",TS!J467)</f>
        <v>2880</v>
      </c>
      <c r="R467" s="83">
        <f>IF(N467="","",TS!K467)</f>
        <v>1825</v>
      </c>
      <c r="S467" s="83">
        <f>Inputs!$H$5+TS!P467*0.4333</f>
        <v>1906.00143557</v>
      </c>
      <c r="T467" s="83">
        <f>Inputs!$G$5+TS!P467*0.4333</f>
        <v>1921.00143557</v>
      </c>
      <c r="U467" s="85">
        <f t="shared" si="152"/>
        <v>0.6670143873506944</v>
      </c>
      <c r="V467" s="86">
        <f t="shared" si="140"/>
        <v>0</v>
      </c>
      <c r="W467" s="86">
        <f t="shared" si="141"/>
        <v>0</v>
      </c>
      <c r="X467" s="86" t="e">
        <f>((PI()*((42-2*'Gen Calcs'!$E$13)^2)/4)/144)*(A510-#REF!)*(W467+14.7)/14.7</f>
        <v>#REF!</v>
      </c>
      <c r="Y467" s="86" t="e">
        <f t="shared" si="142"/>
        <v>#REF!</v>
      </c>
      <c r="Z467" s="86" t="e">
        <f t="shared" si="143"/>
        <v>#REF!</v>
      </c>
      <c r="AA467" s="83">
        <f>MAX(B$2:B467)-B467</f>
        <v>71.62639999999999</v>
      </c>
      <c r="AB467" s="83">
        <f t="shared" si="144"/>
        <v>31.014231199999994</v>
      </c>
      <c r="AC467" s="83">
        <f t="shared" si="146"/>
        <v>120</v>
      </c>
      <c r="AD467" s="72">
        <v>120</v>
      </c>
      <c r="AE467" s="73">
        <f t="shared" si="153"/>
        <v>581.87226209196024</v>
      </c>
      <c r="AF467" s="73">
        <f>SUM(AE$2:AE467)</f>
        <v>385953.40115155745</v>
      </c>
      <c r="AG467" s="73">
        <f t="shared" si="154"/>
        <v>787776.50127555174</v>
      </c>
    </row>
    <row r="468" spans="1:33" x14ac:dyDescent="0.25">
      <c r="A468" s="100">
        <v>138499.92000000001</v>
      </c>
      <c r="B468" s="97">
        <v>763.55899999999997</v>
      </c>
      <c r="C468" s="97">
        <v>0.6</v>
      </c>
      <c r="D468" s="80">
        <f t="shared" si="139"/>
        <v>34.220000000001164</v>
      </c>
      <c r="E468" s="81">
        <f t="shared" si="147"/>
        <v>2323.9635842567022</v>
      </c>
      <c r="F468" s="81">
        <f>SUM(E$2:E468)</f>
        <v>2886580.5743096233</v>
      </c>
      <c r="G468" s="43">
        <f t="shared" si="145"/>
        <v>1</v>
      </c>
      <c r="H468" s="78">
        <v>1</v>
      </c>
      <c r="I468" s="15">
        <f t="shared" si="148"/>
        <v>0.6</v>
      </c>
      <c r="J468" s="16">
        <f>VLOOKUP(G468,Inputs!$L$3:$P$15,5,FALSE)</f>
        <v>2000</v>
      </c>
      <c r="K468" s="16">
        <f t="shared" si="149"/>
        <v>1825</v>
      </c>
      <c r="L468" s="79">
        <f>Inputs!$P$8-B468</f>
        <v>174.63200000000006</v>
      </c>
      <c r="M468" s="79">
        <f>Inputs!$Q$8+L468*0.433</f>
        <v>1900.6156559999999</v>
      </c>
      <c r="N468" s="82">
        <f t="shared" si="150"/>
        <v>138499.92000000001</v>
      </c>
      <c r="O468" s="83">
        <f t="shared" si="151"/>
        <v>763.55899999999997</v>
      </c>
      <c r="P468" s="84">
        <f>IF(O468="","",Inputs!$C$5-O468)</f>
        <v>61.625499999999988</v>
      </c>
      <c r="Q468" s="83">
        <f>IF(N468="","",TS!J468)</f>
        <v>2000</v>
      </c>
      <c r="R468" s="83">
        <f>IF(N468="","",TS!K468)</f>
        <v>1825</v>
      </c>
      <c r="S468" s="83">
        <f>Inputs!$H$5+TS!P468*0.4333</f>
        <v>1901.6680455999999</v>
      </c>
      <c r="T468" s="83">
        <f>Inputs!$G$5+TS!P468*0.4333</f>
        <v>1916.6680455999999</v>
      </c>
      <c r="U468" s="85">
        <f t="shared" si="152"/>
        <v>0.95833402279999991</v>
      </c>
      <c r="V468" s="86">
        <f t="shared" si="140"/>
        <v>0</v>
      </c>
      <c r="W468" s="86">
        <f t="shared" si="141"/>
        <v>0</v>
      </c>
      <c r="X468" s="86" t="e">
        <f>((PI()*((42-2*'Gen Calcs'!$E$13)^2)/4)/144)*(A511-#REF!)*(W468+14.7)/14.7</f>
        <v>#REF!</v>
      </c>
      <c r="Y468" s="86" t="e">
        <f t="shared" si="142"/>
        <v>#REF!</v>
      </c>
      <c r="Z468" s="86" t="e">
        <f t="shared" si="143"/>
        <v>#REF!</v>
      </c>
      <c r="AA468" s="83">
        <f>MAX(B$2:B468)-B468</f>
        <v>61.625499999999988</v>
      </c>
      <c r="AB468" s="83">
        <f t="shared" si="144"/>
        <v>26.683841499999996</v>
      </c>
      <c r="AC468" s="83">
        <f t="shared" si="146"/>
        <v>120</v>
      </c>
      <c r="AD468" s="72">
        <v>120</v>
      </c>
      <c r="AE468" s="73">
        <f t="shared" si="153"/>
        <v>310.69031875089598</v>
      </c>
      <c r="AF468" s="73">
        <f>SUM(AE$2:AE468)</f>
        <v>386264.09147030837</v>
      </c>
      <c r="AG468" s="73">
        <f t="shared" si="154"/>
        <v>787465.81095680082</v>
      </c>
    </row>
    <row r="469" spans="1:33" x14ac:dyDescent="0.25">
      <c r="A469" s="99">
        <v>138599.92000000001</v>
      </c>
      <c r="B469" s="96">
        <v>765.50940000000003</v>
      </c>
      <c r="C469" s="96">
        <v>0.6</v>
      </c>
      <c r="D469" s="80">
        <f t="shared" si="139"/>
        <v>100</v>
      </c>
      <c r="E469" s="81">
        <f t="shared" si="147"/>
        <v>6791.2436711181272</v>
      </c>
      <c r="F469" s="81">
        <f>SUM(E$2:E469)</f>
        <v>2893371.8179807416</v>
      </c>
      <c r="G469" s="43">
        <f t="shared" si="145"/>
        <v>1</v>
      </c>
      <c r="H469" s="78">
        <v>1</v>
      </c>
      <c r="I469" s="15">
        <f t="shared" si="148"/>
        <v>0.6</v>
      </c>
      <c r="J469" s="16">
        <f>VLOOKUP(G469,Inputs!$L$3:$P$15,5,FALSE)</f>
        <v>2000</v>
      </c>
      <c r="K469" s="16">
        <f t="shared" si="149"/>
        <v>1825</v>
      </c>
      <c r="L469" s="79">
        <f>Inputs!$P$8-B469</f>
        <v>172.6816</v>
      </c>
      <c r="M469" s="79">
        <f>Inputs!$Q$8+L469*0.433</f>
        <v>1899.7711328</v>
      </c>
      <c r="N469" s="82">
        <f t="shared" si="150"/>
        <v>138599.92000000001</v>
      </c>
      <c r="O469" s="83">
        <f t="shared" si="151"/>
        <v>765.50940000000003</v>
      </c>
      <c r="P469" s="84">
        <f>IF(O469="","",Inputs!$C$5-O469)</f>
        <v>59.675099999999929</v>
      </c>
      <c r="Q469" s="83">
        <f>IF(N469="","",TS!J469)</f>
        <v>2000</v>
      </c>
      <c r="R469" s="83">
        <f>IF(N469="","",TS!K469)</f>
        <v>1825</v>
      </c>
      <c r="S469" s="83">
        <f>Inputs!$H$5+TS!P469*0.4333</f>
        <v>1900.8229372799999</v>
      </c>
      <c r="T469" s="83">
        <f>Inputs!$G$5+TS!P469*0.4333</f>
        <v>1915.8229372799999</v>
      </c>
      <c r="U469" s="85">
        <f t="shared" si="152"/>
        <v>0.95791146863999999</v>
      </c>
      <c r="V469" s="86">
        <f t="shared" si="140"/>
        <v>0</v>
      </c>
      <c r="W469" s="86">
        <f t="shared" si="141"/>
        <v>0</v>
      </c>
      <c r="X469" s="86" t="e">
        <f>((PI()*((42-2*'Gen Calcs'!$E$13)^2)/4)/144)*(A512-#REF!)*(W469+14.7)/14.7</f>
        <v>#REF!</v>
      </c>
      <c r="Y469" s="86" t="e">
        <f t="shared" si="142"/>
        <v>#REF!</v>
      </c>
      <c r="Z469" s="86" t="e">
        <f t="shared" si="143"/>
        <v>#REF!</v>
      </c>
      <c r="AA469" s="83">
        <f>MAX(B$2:B469)-B469</f>
        <v>59.675099999999929</v>
      </c>
      <c r="AB469" s="83">
        <f t="shared" si="144"/>
        <v>25.83931829999997</v>
      </c>
      <c r="AC469" s="83">
        <f t="shared" si="146"/>
        <v>120</v>
      </c>
      <c r="AD469" s="72">
        <v>120</v>
      </c>
      <c r="AE469" s="73">
        <f t="shared" si="153"/>
        <v>907.92027688745009</v>
      </c>
      <c r="AF469" s="73">
        <f>SUM(AE$2:AE469)</f>
        <v>387172.01174719579</v>
      </c>
      <c r="AG469" s="73">
        <f t="shared" si="154"/>
        <v>786557.89067991334</v>
      </c>
    </row>
    <row r="470" spans="1:33" x14ac:dyDescent="0.25">
      <c r="A470" s="100">
        <v>138699.92000000001</v>
      </c>
      <c r="B470" s="97">
        <v>777.09320000000002</v>
      </c>
      <c r="C470" s="97">
        <v>0.6</v>
      </c>
      <c r="D470" s="80">
        <f t="shared" si="139"/>
        <v>100</v>
      </c>
      <c r="E470" s="81">
        <f t="shared" si="147"/>
        <v>6616.6076625842816</v>
      </c>
      <c r="F470" s="81">
        <f>SUM(E$2:E470)</f>
        <v>2899988.4256433258</v>
      </c>
      <c r="G470" s="43">
        <f t="shared" si="145"/>
        <v>1</v>
      </c>
      <c r="H470" s="78">
        <v>1</v>
      </c>
      <c r="I470" s="15">
        <f t="shared" si="148"/>
        <v>0.6</v>
      </c>
      <c r="J470" s="16">
        <f>VLOOKUP(G470,Inputs!$L$3:$P$15,5,FALSE)</f>
        <v>2000</v>
      </c>
      <c r="K470" s="16">
        <f t="shared" si="149"/>
        <v>1825</v>
      </c>
      <c r="L470" s="79">
        <f>Inputs!$P$8-B470</f>
        <v>161.09780000000001</v>
      </c>
      <c r="M470" s="79">
        <f>Inputs!$Q$8+L470*0.433</f>
        <v>1894.7553474000001</v>
      </c>
      <c r="N470" s="82">
        <f t="shared" si="150"/>
        <v>138699.92000000001</v>
      </c>
      <c r="O470" s="83">
        <f t="shared" si="151"/>
        <v>777.09320000000002</v>
      </c>
      <c r="P470" s="84">
        <f>IF(O470="","",Inputs!$C$5-O470)</f>
        <v>48.091299999999933</v>
      </c>
      <c r="Q470" s="83">
        <f>IF(N470="","",TS!J470)</f>
        <v>2000</v>
      </c>
      <c r="R470" s="83">
        <f>IF(N470="","",TS!K470)</f>
        <v>1825</v>
      </c>
      <c r="S470" s="83">
        <f>Inputs!$H$5+TS!P470*0.4333</f>
        <v>1895.8036767399999</v>
      </c>
      <c r="T470" s="83">
        <f>Inputs!$G$5+TS!P470*0.4333</f>
        <v>1910.8036767399999</v>
      </c>
      <c r="U470" s="85">
        <f t="shared" si="152"/>
        <v>0.95540183836999992</v>
      </c>
      <c r="V470" s="86">
        <f t="shared" si="140"/>
        <v>0</v>
      </c>
      <c r="W470" s="86">
        <f t="shared" si="141"/>
        <v>0</v>
      </c>
      <c r="X470" s="86" t="e">
        <f>((PI()*((42-2*'Gen Calcs'!$E$13)^2)/4)/144)*(A513-#REF!)*(W470+14.7)/14.7</f>
        <v>#REF!</v>
      </c>
      <c r="Y470" s="86" t="e">
        <f t="shared" si="142"/>
        <v>#REF!</v>
      </c>
      <c r="Z470" s="86" t="e">
        <f t="shared" si="143"/>
        <v>#REF!</v>
      </c>
      <c r="AA470" s="83">
        <f>MAX(B$2:B470)-B470</f>
        <v>48.091299999999933</v>
      </c>
      <c r="AB470" s="83">
        <f t="shared" si="144"/>
        <v>20.823532899999972</v>
      </c>
      <c r="AC470" s="83">
        <f t="shared" si="146"/>
        <v>120</v>
      </c>
      <c r="AD470" s="72">
        <v>120</v>
      </c>
      <c r="AE470" s="73">
        <f t="shared" si="153"/>
        <v>907.92027688745009</v>
      </c>
      <c r="AF470" s="73">
        <f>SUM(AE$2:AE470)</f>
        <v>388079.93202408322</v>
      </c>
      <c r="AG470" s="73">
        <f t="shared" si="154"/>
        <v>785649.97040302597</v>
      </c>
    </row>
    <row r="471" spans="1:33" x14ac:dyDescent="0.25">
      <c r="A471" s="99">
        <v>138799.92000000001</v>
      </c>
      <c r="B471" s="96">
        <v>782.54539999999997</v>
      </c>
      <c r="C471" s="96">
        <v>0.6</v>
      </c>
      <c r="D471" s="80">
        <f t="shared" si="139"/>
        <v>100</v>
      </c>
      <c r="E471" s="81">
        <f t="shared" si="147"/>
        <v>6791.2436711181272</v>
      </c>
      <c r="F471" s="81">
        <f>SUM(E$2:E471)</f>
        <v>2906779.6693144441</v>
      </c>
      <c r="G471" s="43">
        <f t="shared" si="145"/>
        <v>1</v>
      </c>
      <c r="H471" s="78">
        <v>1</v>
      </c>
      <c r="I471" s="15">
        <f t="shared" si="148"/>
        <v>0.6</v>
      </c>
      <c r="J471" s="16">
        <f>VLOOKUP(G471,Inputs!$L$3:$P$15,5,FALSE)</f>
        <v>2000</v>
      </c>
      <c r="K471" s="16">
        <f t="shared" si="149"/>
        <v>1825</v>
      </c>
      <c r="L471" s="79">
        <f>Inputs!$P$8-B471</f>
        <v>155.64560000000006</v>
      </c>
      <c r="M471" s="79">
        <f>Inputs!$Q$8+L471*0.433</f>
        <v>1892.3945447999999</v>
      </c>
      <c r="N471" s="82">
        <f t="shared" si="150"/>
        <v>138799.92000000001</v>
      </c>
      <c r="O471" s="83">
        <f t="shared" si="151"/>
        <v>782.54539999999997</v>
      </c>
      <c r="P471" s="84">
        <f>IF(O471="","",Inputs!$C$5-O471)</f>
        <v>42.639099999999985</v>
      </c>
      <c r="Q471" s="83">
        <f>IF(N471="","",TS!J471)</f>
        <v>2000</v>
      </c>
      <c r="R471" s="83">
        <f>IF(N471="","",TS!K471)</f>
        <v>1825</v>
      </c>
      <c r="S471" s="83">
        <f>Inputs!$H$5+TS!P471*0.4333</f>
        <v>1893.44123848</v>
      </c>
      <c r="T471" s="83">
        <f>Inputs!$G$5+TS!P471*0.4333</f>
        <v>1908.44123848</v>
      </c>
      <c r="U471" s="85">
        <f t="shared" si="152"/>
        <v>0.95422061924000001</v>
      </c>
      <c r="V471" s="86">
        <f t="shared" si="140"/>
        <v>0</v>
      </c>
      <c r="W471" s="86">
        <f t="shared" si="141"/>
        <v>0</v>
      </c>
      <c r="X471" s="86" t="e">
        <f>((PI()*((42-2*'Gen Calcs'!$E$13)^2)/4)/144)*(A514-#REF!)*(W471+14.7)/14.7</f>
        <v>#REF!</v>
      </c>
      <c r="Y471" s="86" t="e">
        <f t="shared" si="142"/>
        <v>#REF!</v>
      </c>
      <c r="Z471" s="86" t="e">
        <f t="shared" si="143"/>
        <v>#REF!</v>
      </c>
      <c r="AA471" s="83">
        <f>MAX(B$2:B471)-B471</f>
        <v>42.639099999999985</v>
      </c>
      <c r="AB471" s="83">
        <f t="shared" si="144"/>
        <v>18.462730299999993</v>
      </c>
      <c r="AC471" s="83">
        <f t="shared" si="146"/>
        <v>120</v>
      </c>
      <c r="AD471" s="72">
        <v>120</v>
      </c>
      <c r="AE471" s="73">
        <f t="shared" si="153"/>
        <v>907.92027688745009</v>
      </c>
      <c r="AF471" s="73">
        <f>SUM(AE$2:AE471)</f>
        <v>388987.85230097064</v>
      </c>
      <c r="AG471" s="73">
        <f t="shared" si="154"/>
        <v>784742.05012613861</v>
      </c>
    </row>
    <row r="472" spans="1:33" x14ac:dyDescent="0.25">
      <c r="A472" s="100">
        <v>138836.1</v>
      </c>
      <c r="B472" s="97">
        <v>782.54539999999997</v>
      </c>
      <c r="C472" s="97">
        <v>0.86399999999999999</v>
      </c>
      <c r="D472" s="80">
        <f t="shared" si="139"/>
        <v>36.179999999993015</v>
      </c>
      <c r="E472" s="81">
        <f t="shared" si="147"/>
        <v>2393.888652322531</v>
      </c>
      <c r="F472" s="81">
        <f>SUM(E$2:E472)</f>
        <v>2909173.5579667664</v>
      </c>
      <c r="G472" s="43">
        <f t="shared" si="145"/>
        <v>2</v>
      </c>
      <c r="H472" s="78">
        <v>1</v>
      </c>
      <c r="I472" s="15">
        <f t="shared" si="148"/>
        <v>0.86399999999999999</v>
      </c>
      <c r="J472" s="16">
        <f>VLOOKUP(G472,Inputs!$L$3:$P$15,5,FALSE)</f>
        <v>2880</v>
      </c>
      <c r="K472" s="16">
        <f t="shared" si="149"/>
        <v>1825</v>
      </c>
      <c r="L472" s="79">
        <f>Inputs!$P$8-B472</f>
        <v>155.64560000000006</v>
      </c>
      <c r="M472" s="79">
        <f>Inputs!$Q$8+L472*0.433</f>
        <v>1892.3945447999999</v>
      </c>
      <c r="N472" s="82">
        <f t="shared" si="150"/>
        <v>138836.1</v>
      </c>
      <c r="O472" s="83">
        <f t="shared" si="151"/>
        <v>782.54539999999997</v>
      </c>
      <c r="P472" s="84">
        <f>IF(O472="","",Inputs!$C$5-O472)</f>
        <v>42.639099999999985</v>
      </c>
      <c r="Q472" s="83">
        <f>IF(N472="","",TS!J472)</f>
        <v>2880</v>
      </c>
      <c r="R472" s="83">
        <f>IF(N472="","",TS!K472)</f>
        <v>1825</v>
      </c>
      <c r="S472" s="83">
        <f>Inputs!$H$5+TS!P472*0.4333</f>
        <v>1893.44123848</v>
      </c>
      <c r="T472" s="83">
        <f>Inputs!$G$5+TS!P472*0.4333</f>
        <v>1908.44123848</v>
      </c>
      <c r="U472" s="85">
        <f t="shared" si="152"/>
        <v>0.66265320780555559</v>
      </c>
      <c r="V472" s="86">
        <f t="shared" si="140"/>
        <v>0</v>
      </c>
      <c r="W472" s="86">
        <f t="shared" si="141"/>
        <v>0</v>
      </c>
      <c r="X472" s="86" t="e">
        <f>((PI()*((42-2*'Gen Calcs'!$E$13)^2)/4)/144)*(A515-#REF!)*(W472+14.7)/14.7</f>
        <v>#REF!</v>
      </c>
      <c r="Y472" s="86" t="e">
        <f t="shared" si="142"/>
        <v>#REF!</v>
      </c>
      <c r="Z472" s="86" t="e">
        <f t="shared" si="143"/>
        <v>#REF!</v>
      </c>
      <c r="AA472" s="83">
        <f>MAX(B$2:B472)-B472</f>
        <v>42.639099999999985</v>
      </c>
      <c r="AB472" s="83">
        <f t="shared" si="144"/>
        <v>18.462730299999993</v>
      </c>
      <c r="AC472" s="83">
        <f t="shared" si="146"/>
        <v>120</v>
      </c>
      <c r="AD472" s="72">
        <v>120</v>
      </c>
      <c r="AE472" s="73">
        <f t="shared" si="153"/>
        <v>320.03858988269127</v>
      </c>
      <c r="AF472" s="73">
        <f>SUM(AE$2:AE472)</f>
        <v>389307.8908908533</v>
      </c>
      <c r="AG472" s="73">
        <f t="shared" si="154"/>
        <v>784422.01153625594</v>
      </c>
    </row>
    <row r="473" spans="1:33" x14ac:dyDescent="0.25">
      <c r="A473" s="99">
        <v>138899.92000000001</v>
      </c>
      <c r="B473" s="96">
        <v>785.92769999999996</v>
      </c>
      <c r="C473" s="96">
        <v>0.6</v>
      </c>
      <c r="D473" s="80">
        <f t="shared" si="139"/>
        <v>63.820000000006985</v>
      </c>
      <c r="E473" s="81">
        <f t="shared" si="147"/>
        <v>4334.1717109080628</v>
      </c>
      <c r="F473" s="81">
        <f>SUM(E$2:E473)</f>
        <v>2913507.7296776744</v>
      </c>
      <c r="G473" s="43">
        <f t="shared" si="145"/>
        <v>1</v>
      </c>
      <c r="H473" s="78">
        <v>1</v>
      </c>
      <c r="I473" s="15">
        <f t="shared" si="148"/>
        <v>0.6</v>
      </c>
      <c r="J473" s="16">
        <f>VLOOKUP(G473,Inputs!$L$3:$P$15,5,FALSE)</f>
        <v>2000</v>
      </c>
      <c r="K473" s="16">
        <f t="shared" si="149"/>
        <v>1825</v>
      </c>
      <c r="L473" s="79">
        <f>Inputs!$P$8-B473</f>
        <v>152.26330000000007</v>
      </c>
      <c r="M473" s="79">
        <f>Inputs!$Q$8+L473*0.433</f>
        <v>1890.9300089000001</v>
      </c>
      <c r="N473" s="82">
        <f t="shared" si="150"/>
        <v>138899.92000000001</v>
      </c>
      <c r="O473" s="83">
        <f t="shared" si="151"/>
        <v>785.92769999999996</v>
      </c>
      <c r="P473" s="84">
        <f>IF(O473="","",Inputs!$C$5-O473)</f>
        <v>39.256799999999998</v>
      </c>
      <c r="Q473" s="83">
        <f>IF(N473="","",TS!J473)</f>
        <v>2000</v>
      </c>
      <c r="R473" s="83">
        <f>IF(N473="","",TS!K473)</f>
        <v>1825</v>
      </c>
      <c r="S473" s="83">
        <f>Inputs!$H$5+TS!P473*0.4333</f>
        <v>1891.97568789</v>
      </c>
      <c r="T473" s="83">
        <f>Inputs!$G$5+TS!P473*0.4333</f>
        <v>1906.97568789</v>
      </c>
      <c r="U473" s="85">
        <f t="shared" si="152"/>
        <v>0.95348784394499997</v>
      </c>
      <c r="V473" s="86">
        <f t="shared" si="140"/>
        <v>0</v>
      </c>
      <c r="W473" s="86">
        <f t="shared" si="141"/>
        <v>0</v>
      </c>
      <c r="X473" s="86" t="e">
        <f>((PI()*((42-2*'Gen Calcs'!$E$13)^2)/4)/144)*(A516-#REF!)*(W473+14.7)/14.7</f>
        <v>#REF!</v>
      </c>
      <c r="Y473" s="86" t="e">
        <f t="shared" si="142"/>
        <v>#REF!</v>
      </c>
      <c r="Z473" s="86" t="e">
        <f t="shared" si="143"/>
        <v>#REF!</v>
      </c>
      <c r="AA473" s="83">
        <f>MAX(B$2:B473)-B473</f>
        <v>39.256799999999998</v>
      </c>
      <c r="AB473" s="83">
        <f t="shared" si="144"/>
        <v>16.998194399999999</v>
      </c>
      <c r="AC473" s="83">
        <f t="shared" si="146"/>
        <v>120</v>
      </c>
      <c r="AD473" s="72">
        <v>120</v>
      </c>
      <c r="AE473" s="73">
        <f t="shared" si="153"/>
        <v>579.43472070963401</v>
      </c>
      <c r="AF473" s="73">
        <f>SUM(AE$2:AE473)</f>
        <v>389887.32561156293</v>
      </c>
      <c r="AG473" s="73">
        <f t="shared" si="154"/>
        <v>783842.57681554626</v>
      </c>
    </row>
    <row r="474" spans="1:33" x14ac:dyDescent="0.25">
      <c r="A474" s="100">
        <v>138916.1</v>
      </c>
      <c r="B474" s="97">
        <v>785.92769999999996</v>
      </c>
      <c r="C474" s="97">
        <v>0.86399999999999999</v>
      </c>
      <c r="D474" s="80">
        <f t="shared" si="139"/>
        <v>16.179999999993015</v>
      </c>
      <c r="E474" s="81">
        <f t="shared" si="147"/>
        <v>1098.8232259864385</v>
      </c>
      <c r="F474" s="81">
        <f>SUM(E$2:E474)</f>
        <v>2914606.5529036606</v>
      </c>
      <c r="G474" s="43">
        <f t="shared" si="145"/>
        <v>2</v>
      </c>
      <c r="H474" s="78">
        <v>1</v>
      </c>
      <c r="I474" s="15">
        <f t="shared" si="148"/>
        <v>0.86399999999999999</v>
      </c>
      <c r="J474" s="16">
        <f>VLOOKUP(G474,Inputs!$L$3:$P$15,5,FALSE)</f>
        <v>2880</v>
      </c>
      <c r="K474" s="16">
        <f t="shared" si="149"/>
        <v>1825</v>
      </c>
      <c r="L474" s="79">
        <f>Inputs!$P$8-B474</f>
        <v>152.26330000000007</v>
      </c>
      <c r="M474" s="79">
        <f>Inputs!$Q$8+L474*0.433</f>
        <v>1890.9300089000001</v>
      </c>
      <c r="N474" s="82">
        <f t="shared" si="150"/>
        <v>138916.1</v>
      </c>
      <c r="O474" s="83">
        <f t="shared" si="151"/>
        <v>785.92769999999996</v>
      </c>
      <c r="P474" s="84">
        <f>IF(O474="","",Inputs!$C$5-O474)</f>
        <v>39.256799999999998</v>
      </c>
      <c r="Q474" s="83">
        <f>IF(N474="","",TS!J474)</f>
        <v>2880</v>
      </c>
      <c r="R474" s="83">
        <f>IF(N474="","",TS!K474)</f>
        <v>1825</v>
      </c>
      <c r="S474" s="83">
        <f>Inputs!$H$5+TS!P474*0.4333</f>
        <v>1891.97568789</v>
      </c>
      <c r="T474" s="83">
        <f>Inputs!$G$5+TS!P474*0.4333</f>
        <v>1906.97568789</v>
      </c>
      <c r="U474" s="85">
        <f t="shared" si="152"/>
        <v>0.66214433607291667</v>
      </c>
      <c r="V474" s="86">
        <f t="shared" si="140"/>
        <v>0</v>
      </c>
      <c r="W474" s="86">
        <f t="shared" si="141"/>
        <v>0</v>
      </c>
      <c r="X474" s="86" t="e">
        <f>((PI()*((42-2*'Gen Calcs'!$E$13)^2)/4)/144)*(A517-#REF!)*(W474+14.7)/14.7</f>
        <v>#REF!</v>
      </c>
      <c r="Y474" s="86" t="e">
        <f t="shared" si="142"/>
        <v>#REF!</v>
      </c>
      <c r="Z474" s="86" t="e">
        <f t="shared" si="143"/>
        <v>#REF!</v>
      </c>
      <c r="AA474" s="83">
        <f>MAX(B$2:B474)-B474</f>
        <v>39.256799999999998</v>
      </c>
      <c r="AB474" s="83">
        <f t="shared" si="144"/>
        <v>16.998194399999999</v>
      </c>
      <c r="AC474" s="83">
        <f t="shared" si="146"/>
        <v>120</v>
      </c>
      <c r="AD474" s="72">
        <v>120</v>
      </c>
      <c r="AE474" s="73">
        <f t="shared" si="153"/>
        <v>143.12394649808482</v>
      </c>
      <c r="AF474" s="73">
        <f>SUM(AE$2:AE474)</f>
        <v>390030.44955806102</v>
      </c>
      <c r="AG474" s="73">
        <f t="shared" si="154"/>
        <v>783699.45286904811</v>
      </c>
    </row>
    <row r="475" spans="1:33" x14ac:dyDescent="0.25">
      <c r="A475" s="99">
        <v>138999.92000000001</v>
      </c>
      <c r="B475" s="96">
        <v>790.06470000000002</v>
      </c>
      <c r="C475" s="96">
        <v>0.6</v>
      </c>
      <c r="D475" s="80">
        <f t="shared" si="139"/>
        <v>83.820000000006985</v>
      </c>
      <c r="E475" s="81">
        <f t="shared" si="147"/>
        <v>5692.4204451316882</v>
      </c>
      <c r="F475" s="81">
        <f>SUM(E$2:E475)</f>
        <v>2920298.9733487922</v>
      </c>
      <c r="G475" s="43">
        <f t="shared" si="145"/>
        <v>1</v>
      </c>
      <c r="H475" s="78">
        <v>1</v>
      </c>
      <c r="I475" s="15">
        <f t="shared" si="148"/>
        <v>0.6</v>
      </c>
      <c r="J475" s="16">
        <f>VLOOKUP(G475,Inputs!$L$3:$P$15,5,FALSE)</f>
        <v>2000</v>
      </c>
      <c r="K475" s="16">
        <f t="shared" si="149"/>
        <v>1825</v>
      </c>
      <c r="L475" s="79">
        <f>Inputs!$P$8-B475</f>
        <v>148.12630000000001</v>
      </c>
      <c r="M475" s="79">
        <f>Inputs!$Q$8+L475*0.433</f>
        <v>1889.1386878999999</v>
      </c>
      <c r="N475" s="82">
        <f t="shared" si="150"/>
        <v>138999.92000000001</v>
      </c>
      <c r="O475" s="83">
        <f t="shared" si="151"/>
        <v>790.06470000000002</v>
      </c>
      <c r="P475" s="84">
        <f>IF(O475="","",Inputs!$C$5-O475)</f>
        <v>35.119799999999941</v>
      </c>
      <c r="Q475" s="83">
        <f>IF(N475="","",TS!J475)</f>
        <v>2000</v>
      </c>
      <c r="R475" s="83">
        <f>IF(N475="","",TS!K475)</f>
        <v>1825</v>
      </c>
      <c r="S475" s="83">
        <f>Inputs!$H$5+TS!P475*0.4333</f>
        <v>1890.1831257899998</v>
      </c>
      <c r="T475" s="83">
        <f>Inputs!$G$5+TS!P475*0.4333</f>
        <v>1905.1831257899998</v>
      </c>
      <c r="U475" s="85">
        <f t="shared" si="152"/>
        <v>0.95259156289499991</v>
      </c>
      <c r="V475" s="86">
        <f t="shared" si="140"/>
        <v>0</v>
      </c>
      <c r="W475" s="86">
        <f t="shared" si="141"/>
        <v>0</v>
      </c>
      <c r="X475" s="86" t="e">
        <f>((PI()*((42-2*'Gen Calcs'!$E$13)^2)/4)/144)*(A518-#REF!)*(W475+14.7)/14.7</f>
        <v>#REF!</v>
      </c>
      <c r="Y475" s="86" t="e">
        <f t="shared" si="142"/>
        <v>#REF!</v>
      </c>
      <c r="Z475" s="86" t="e">
        <f t="shared" si="143"/>
        <v>#REF!</v>
      </c>
      <c r="AA475" s="83">
        <f>MAX(B$2:B475)-B475</f>
        <v>35.119799999999941</v>
      </c>
      <c r="AB475" s="83">
        <f t="shared" si="144"/>
        <v>15.206873399999974</v>
      </c>
      <c r="AC475" s="83">
        <f t="shared" si="146"/>
        <v>120</v>
      </c>
      <c r="AD475" s="72">
        <v>120</v>
      </c>
      <c r="AE475" s="73">
        <f t="shared" si="153"/>
        <v>761.01877608712402</v>
      </c>
      <c r="AF475" s="73">
        <f>SUM(AE$2:AE475)</f>
        <v>390791.46833414817</v>
      </c>
      <c r="AG475" s="73">
        <f t="shared" si="154"/>
        <v>782938.43409296102</v>
      </c>
    </row>
    <row r="476" spans="1:33" x14ac:dyDescent="0.25">
      <c r="A476" s="100">
        <v>139099.92000000001</v>
      </c>
      <c r="B476" s="97">
        <v>793.74800000000005</v>
      </c>
      <c r="C476" s="97">
        <v>0.6</v>
      </c>
      <c r="D476" s="80">
        <f t="shared" si="139"/>
        <v>100</v>
      </c>
      <c r="E476" s="81">
        <f t="shared" si="147"/>
        <v>6791.2436711181272</v>
      </c>
      <c r="F476" s="81">
        <f>SUM(E$2:E476)</f>
        <v>2927090.2170199105</v>
      </c>
      <c r="G476" s="43">
        <f t="shared" si="145"/>
        <v>1</v>
      </c>
      <c r="H476" s="78">
        <v>1</v>
      </c>
      <c r="I476" s="15">
        <f t="shared" si="148"/>
        <v>0.6</v>
      </c>
      <c r="J476" s="16">
        <f>VLOOKUP(G476,Inputs!$L$3:$P$15,5,FALSE)</f>
        <v>2000</v>
      </c>
      <c r="K476" s="16">
        <f t="shared" si="149"/>
        <v>1825</v>
      </c>
      <c r="L476" s="79">
        <f>Inputs!$P$8-B476</f>
        <v>144.44299999999998</v>
      </c>
      <c r="M476" s="79">
        <f>Inputs!$Q$8+L476*0.433</f>
        <v>1887.543819</v>
      </c>
      <c r="N476" s="82">
        <f t="shared" si="150"/>
        <v>139099.92000000001</v>
      </c>
      <c r="O476" s="83">
        <f t="shared" si="151"/>
        <v>793.74800000000005</v>
      </c>
      <c r="P476" s="84">
        <f>IF(O476="","",Inputs!$C$5-O476)</f>
        <v>31.43649999999991</v>
      </c>
      <c r="Q476" s="83">
        <f>IF(N476="","",TS!J476)</f>
        <v>2000</v>
      </c>
      <c r="R476" s="83">
        <f>IF(N476="","",TS!K476)</f>
        <v>1825</v>
      </c>
      <c r="S476" s="83">
        <f>Inputs!$H$5+TS!P476*0.4333</f>
        <v>1888.5871519</v>
      </c>
      <c r="T476" s="83">
        <f>Inputs!$G$5+TS!P476*0.4333</f>
        <v>1903.5871519</v>
      </c>
      <c r="U476" s="85">
        <f t="shared" si="152"/>
        <v>0.95179357595000003</v>
      </c>
      <c r="V476" s="86">
        <f t="shared" si="140"/>
        <v>0</v>
      </c>
      <c r="W476" s="86">
        <f t="shared" si="141"/>
        <v>0</v>
      </c>
      <c r="X476" s="86" t="e">
        <f>((PI()*((42-2*'Gen Calcs'!$E$13)^2)/4)/144)*(A519-#REF!)*(W476+14.7)/14.7</f>
        <v>#REF!</v>
      </c>
      <c r="Y476" s="86" t="e">
        <f t="shared" si="142"/>
        <v>#REF!</v>
      </c>
      <c r="Z476" s="86" t="e">
        <f t="shared" si="143"/>
        <v>#REF!</v>
      </c>
      <c r="AA476" s="83">
        <f>MAX(B$2:B476)-B476</f>
        <v>31.43649999999991</v>
      </c>
      <c r="AB476" s="83">
        <f t="shared" si="144"/>
        <v>13.61200449999996</v>
      </c>
      <c r="AC476" s="83">
        <f t="shared" si="146"/>
        <v>120</v>
      </c>
      <c r="AD476" s="72">
        <v>120</v>
      </c>
      <c r="AE476" s="73">
        <f t="shared" si="153"/>
        <v>907.92027688745009</v>
      </c>
      <c r="AF476" s="73">
        <f>SUM(AE$2:AE476)</f>
        <v>391699.3886110356</v>
      </c>
      <c r="AG476" s="73">
        <f t="shared" si="154"/>
        <v>782030.51381607354</v>
      </c>
    </row>
    <row r="477" spans="1:33" x14ac:dyDescent="0.25">
      <c r="A477" s="99">
        <v>139199.92000000001</v>
      </c>
      <c r="B477" s="96">
        <v>797.2364</v>
      </c>
      <c r="C477" s="96">
        <v>0.6</v>
      </c>
      <c r="D477" s="80">
        <f t="shared" si="139"/>
        <v>100</v>
      </c>
      <c r="E477" s="81">
        <f t="shared" si="147"/>
        <v>6791.2436711181272</v>
      </c>
      <c r="F477" s="81">
        <f>SUM(E$2:E477)</f>
        <v>2933881.4606910287</v>
      </c>
      <c r="G477" s="43">
        <f t="shared" si="145"/>
        <v>1</v>
      </c>
      <c r="H477" s="78">
        <v>1</v>
      </c>
      <c r="I477" s="15">
        <f t="shared" si="148"/>
        <v>0.6</v>
      </c>
      <c r="J477" s="16">
        <f>VLOOKUP(G477,Inputs!$L$3:$P$15,5,FALSE)</f>
        <v>2000</v>
      </c>
      <c r="K477" s="16">
        <f t="shared" si="149"/>
        <v>1825</v>
      </c>
      <c r="L477" s="79">
        <f>Inputs!$P$8-B477</f>
        <v>140.95460000000003</v>
      </c>
      <c r="M477" s="79">
        <f>Inputs!$Q$8+L477*0.433</f>
        <v>1886.0333418</v>
      </c>
      <c r="N477" s="82">
        <f t="shared" si="150"/>
        <v>139199.92000000001</v>
      </c>
      <c r="O477" s="83">
        <f t="shared" si="151"/>
        <v>797.2364</v>
      </c>
      <c r="P477" s="84">
        <f>IF(O477="","",Inputs!$C$5-O477)</f>
        <v>27.948099999999954</v>
      </c>
      <c r="Q477" s="83">
        <f>IF(N477="","",TS!J477)</f>
        <v>2000</v>
      </c>
      <c r="R477" s="83">
        <f>IF(N477="","",TS!K477)</f>
        <v>1825</v>
      </c>
      <c r="S477" s="83">
        <f>Inputs!$H$5+TS!P477*0.4333</f>
        <v>1887.07562818</v>
      </c>
      <c r="T477" s="83">
        <f>Inputs!$G$5+TS!P477*0.4333</f>
        <v>1902.07562818</v>
      </c>
      <c r="U477" s="85">
        <f t="shared" si="152"/>
        <v>0.95103781408999999</v>
      </c>
      <c r="V477" s="86">
        <f t="shared" si="140"/>
        <v>0</v>
      </c>
      <c r="W477" s="86">
        <f t="shared" si="141"/>
        <v>0</v>
      </c>
      <c r="X477" s="86" t="e">
        <f>((PI()*((42-2*'Gen Calcs'!$E$13)^2)/4)/144)*(A520-#REF!)*(W477+14.7)/14.7</f>
        <v>#REF!</v>
      </c>
      <c r="Y477" s="86" t="e">
        <f t="shared" si="142"/>
        <v>#REF!</v>
      </c>
      <c r="Z477" s="86" t="e">
        <f t="shared" si="143"/>
        <v>#REF!</v>
      </c>
      <c r="AA477" s="83">
        <f>MAX(B$2:B477)-B477</f>
        <v>27.948099999999954</v>
      </c>
      <c r="AB477" s="83">
        <f t="shared" si="144"/>
        <v>12.101527299999979</v>
      </c>
      <c r="AC477" s="83">
        <f t="shared" si="146"/>
        <v>120</v>
      </c>
      <c r="AD477" s="72">
        <v>120</v>
      </c>
      <c r="AE477" s="73">
        <f t="shared" si="153"/>
        <v>907.92027688745009</v>
      </c>
      <c r="AF477" s="73">
        <f>SUM(AE$2:AE477)</f>
        <v>392607.30888792302</v>
      </c>
      <c r="AG477" s="73">
        <f t="shared" si="154"/>
        <v>781122.59353918617</v>
      </c>
    </row>
    <row r="478" spans="1:33" x14ac:dyDescent="0.25">
      <c r="A478" s="100">
        <v>139299.92000000001</v>
      </c>
      <c r="B478" s="97">
        <v>797.10659999999996</v>
      </c>
      <c r="C478" s="97">
        <v>0.6</v>
      </c>
      <c r="D478" s="80">
        <f t="shared" si="139"/>
        <v>100</v>
      </c>
      <c r="E478" s="81">
        <f t="shared" si="147"/>
        <v>6791.2436711181272</v>
      </c>
      <c r="F478" s="81">
        <f>SUM(E$2:E478)</f>
        <v>2940672.704362147</v>
      </c>
      <c r="G478" s="43">
        <f t="shared" si="145"/>
        <v>1</v>
      </c>
      <c r="H478" s="78">
        <v>1</v>
      </c>
      <c r="I478" s="15">
        <f t="shared" si="148"/>
        <v>0.6</v>
      </c>
      <c r="J478" s="16">
        <f>VLOOKUP(G478,Inputs!$L$3:$P$15,5,FALSE)</f>
        <v>2000</v>
      </c>
      <c r="K478" s="16">
        <f t="shared" si="149"/>
        <v>1825</v>
      </c>
      <c r="L478" s="79">
        <f>Inputs!$P$8-B478</f>
        <v>141.08440000000007</v>
      </c>
      <c r="M478" s="79">
        <f>Inputs!$Q$8+L478*0.433</f>
        <v>1886.0895452</v>
      </c>
      <c r="N478" s="82">
        <f t="shared" si="150"/>
        <v>139299.92000000001</v>
      </c>
      <c r="O478" s="83">
        <f t="shared" si="151"/>
        <v>797.10659999999996</v>
      </c>
      <c r="P478" s="84">
        <f>IF(O478="","",Inputs!$C$5-O478)</f>
        <v>28.0779</v>
      </c>
      <c r="Q478" s="83">
        <f>IF(N478="","",TS!J478)</f>
        <v>2000</v>
      </c>
      <c r="R478" s="83">
        <f>IF(N478="","",TS!K478)</f>
        <v>1825</v>
      </c>
      <c r="S478" s="83">
        <f>Inputs!$H$5+TS!P478*0.4333</f>
        <v>1887.1318705199999</v>
      </c>
      <c r="T478" s="83">
        <f>Inputs!$G$5+TS!P478*0.4333</f>
        <v>1902.1318705199999</v>
      </c>
      <c r="U478" s="85">
        <f t="shared" si="152"/>
        <v>0.95106593525999994</v>
      </c>
      <c r="V478" s="86">
        <f t="shared" si="140"/>
        <v>0</v>
      </c>
      <c r="W478" s="86">
        <f t="shared" si="141"/>
        <v>0</v>
      </c>
      <c r="X478" s="86" t="e">
        <f>((PI()*((42-2*'Gen Calcs'!$E$13)^2)/4)/144)*(A521-#REF!)*(W478+14.7)/14.7</f>
        <v>#REF!</v>
      </c>
      <c r="Y478" s="86" t="e">
        <f t="shared" si="142"/>
        <v>#REF!</v>
      </c>
      <c r="Z478" s="86" t="e">
        <f t="shared" si="143"/>
        <v>#REF!</v>
      </c>
      <c r="AA478" s="83">
        <f>MAX(B$2:B478)-B478</f>
        <v>28.0779</v>
      </c>
      <c r="AB478" s="83">
        <f t="shared" si="144"/>
        <v>12.1577307</v>
      </c>
      <c r="AC478" s="83">
        <f t="shared" si="146"/>
        <v>120</v>
      </c>
      <c r="AD478" s="72">
        <v>120</v>
      </c>
      <c r="AE478" s="73">
        <f t="shared" si="153"/>
        <v>907.92027688745009</v>
      </c>
      <c r="AF478" s="73">
        <f>SUM(AE$2:AE478)</f>
        <v>393515.22916481044</v>
      </c>
      <c r="AG478" s="73">
        <f t="shared" si="154"/>
        <v>780214.67326229881</v>
      </c>
    </row>
    <row r="479" spans="1:33" x14ac:dyDescent="0.25">
      <c r="A479" s="99">
        <v>139399.92000000001</v>
      </c>
      <c r="B479" s="96">
        <v>798.08270000000005</v>
      </c>
      <c r="C479" s="96">
        <v>0.6</v>
      </c>
      <c r="D479" s="80">
        <f t="shared" si="139"/>
        <v>100</v>
      </c>
      <c r="E479" s="81">
        <f t="shared" si="147"/>
        <v>6791.2436711181272</v>
      </c>
      <c r="F479" s="81">
        <f>SUM(E$2:E479)</f>
        <v>2947463.9480332653</v>
      </c>
      <c r="G479" s="43">
        <f t="shared" si="145"/>
        <v>1</v>
      </c>
      <c r="H479" s="78">
        <v>1</v>
      </c>
      <c r="I479" s="15">
        <f t="shared" si="148"/>
        <v>0.6</v>
      </c>
      <c r="J479" s="16">
        <f>VLOOKUP(G479,Inputs!$L$3:$P$15,5,FALSE)</f>
        <v>2000</v>
      </c>
      <c r="K479" s="16">
        <f t="shared" si="149"/>
        <v>1825</v>
      </c>
      <c r="L479" s="79">
        <f>Inputs!$P$8-B479</f>
        <v>140.10829999999999</v>
      </c>
      <c r="M479" s="79">
        <f>Inputs!$Q$8+L479*0.433</f>
        <v>1885.6668939000001</v>
      </c>
      <c r="N479" s="82">
        <f t="shared" si="150"/>
        <v>139399.92000000001</v>
      </c>
      <c r="O479" s="83">
        <f t="shared" si="151"/>
        <v>798.08270000000005</v>
      </c>
      <c r="P479" s="84">
        <f>IF(O479="","",Inputs!$C$5-O479)</f>
        <v>27.101799999999912</v>
      </c>
      <c r="Q479" s="83">
        <f>IF(N479="","",TS!J479)</f>
        <v>2000</v>
      </c>
      <c r="R479" s="83">
        <f>IF(N479="","",TS!K479)</f>
        <v>1825</v>
      </c>
      <c r="S479" s="83">
        <f>Inputs!$H$5+TS!P479*0.4333</f>
        <v>1886.70892639</v>
      </c>
      <c r="T479" s="83">
        <f>Inputs!$G$5+TS!P479*0.4333</f>
        <v>1901.70892639</v>
      </c>
      <c r="U479" s="85">
        <f t="shared" si="152"/>
        <v>0.950854463195</v>
      </c>
      <c r="V479" s="86">
        <f t="shared" si="140"/>
        <v>0</v>
      </c>
      <c r="W479" s="86">
        <f t="shared" si="141"/>
        <v>0</v>
      </c>
      <c r="X479" s="86" t="e">
        <f>((PI()*((42-2*'Gen Calcs'!$E$13)^2)/4)/144)*(A522-#REF!)*(W479+14.7)/14.7</f>
        <v>#REF!</v>
      </c>
      <c r="Y479" s="86" t="e">
        <f t="shared" si="142"/>
        <v>#REF!</v>
      </c>
      <c r="Z479" s="86" t="e">
        <f t="shared" si="143"/>
        <v>#REF!</v>
      </c>
      <c r="AA479" s="83">
        <f>MAX(B$2:B479)-B479</f>
        <v>27.101799999999912</v>
      </c>
      <c r="AB479" s="83">
        <f t="shared" si="144"/>
        <v>11.735079399999961</v>
      </c>
      <c r="AC479" s="83">
        <f t="shared" si="146"/>
        <v>120</v>
      </c>
      <c r="AD479" s="72">
        <v>120</v>
      </c>
      <c r="AE479" s="73">
        <f t="shared" si="153"/>
        <v>907.92027688745009</v>
      </c>
      <c r="AF479" s="73">
        <f>SUM(AE$2:AE479)</f>
        <v>394423.14944169787</v>
      </c>
      <c r="AG479" s="73">
        <f t="shared" si="154"/>
        <v>779306.75298541132</v>
      </c>
    </row>
    <row r="480" spans="1:33" x14ac:dyDescent="0.25">
      <c r="A480" s="100">
        <v>139424.9</v>
      </c>
      <c r="B480" s="97">
        <v>798.08270000000005</v>
      </c>
      <c r="C480" s="97">
        <v>0.86399999999999999</v>
      </c>
      <c r="D480" s="80">
        <f t="shared" si="139"/>
        <v>24.979999999981374</v>
      </c>
      <c r="E480" s="81">
        <f t="shared" si="147"/>
        <v>1696.4526690440432</v>
      </c>
      <c r="F480" s="81">
        <f>SUM(E$2:E480)</f>
        <v>2949160.4007023093</v>
      </c>
      <c r="G480" s="43">
        <f t="shared" si="145"/>
        <v>2</v>
      </c>
      <c r="H480" s="78">
        <v>1</v>
      </c>
      <c r="I480" s="15">
        <f t="shared" si="148"/>
        <v>0.86399999999999999</v>
      </c>
      <c r="J480" s="16">
        <f>VLOOKUP(G480,Inputs!$L$3:$P$15,5,FALSE)</f>
        <v>2880</v>
      </c>
      <c r="K480" s="16">
        <f t="shared" si="149"/>
        <v>1825</v>
      </c>
      <c r="L480" s="79">
        <f>Inputs!$P$8-B480</f>
        <v>140.10829999999999</v>
      </c>
      <c r="M480" s="79">
        <f>Inputs!$Q$8+L480*0.433</f>
        <v>1885.6668939000001</v>
      </c>
      <c r="N480" s="82">
        <f t="shared" si="150"/>
        <v>139424.9</v>
      </c>
      <c r="O480" s="83">
        <f t="shared" si="151"/>
        <v>798.08270000000005</v>
      </c>
      <c r="P480" s="84">
        <f>IF(O480="","",Inputs!$C$5-O480)</f>
        <v>27.101799999999912</v>
      </c>
      <c r="Q480" s="83">
        <f>IF(N480="","",TS!J480)</f>
        <v>2880</v>
      </c>
      <c r="R480" s="83">
        <f>IF(N480="","",TS!K480)</f>
        <v>1825</v>
      </c>
      <c r="S480" s="83">
        <f>Inputs!$H$5+TS!P480*0.4333</f>
        <v>1886.70892639</v>
      </c>
      <c r="T480" s="83">
        <f>Inputs!$G$5+TS!P480*0.4333</f>
        <v>1901.70892639</v>
      </c>
      <c r="U480" s="85">
        <f t="shared" si="152"/>
        <v>0.66031559944097218</v>
      </c>
      <c r="V480" s="86">
        <f t="shared" si="140"/>
        <v>0</v>
      </c>
      <c r="W480" s="86">
        <f t="shared" si="141"/>
        <v>0</v>
      </c>
      <c r="X480" s="86" t="e">
        <f>((PI()*((42-2*'Gen Calcs'!$E$13)^2)/4)/144)*(A523-#REF!)*(W480+14.7)/14.7</f>
        <v>#REF!</v>
      </c>
      <c r="Y480" s="86" t="e">
        <f t="shared" si="142"/>
        <v>#REF!</v>
      </c>
      <c r="Z480" s="86" t="e">
        <f t="shared" si="143"/>
        <v>#REF!</v>
      </c>
      <c r="AA480" s="83">
        <f>MAX(B$2:B480)-B480</f>
        <v>27.101799999999912</v>
      </c>
      <c r="AB480" s="83">
        <f t="shared" si="144"/>
        <v>11.735079399999961</v>
      </c>
      <c r="AC480" s="83">
        <f t="shared" si="146"/>
        <v>120</v>
      </c>
      <c r="AD480" s="72">
        <v>120</v>
      </c>
      <c r="AE480" s="73">
        <f t="shared" si="153"/>
        <v>220.96638958720868</v>
      </c>
      <c r="AF480" s="73">
        <f>SUM(AE$2:AE480)</f>
        <v>394644.11583128507</v>
      </c>
      <c r="AG480" s="73">
        <f t="shared" si="154"/>
        <v>779085.78659582417</v>
      </c>
    </row>
    <row r="481" spans="1:33" x14ac:dyDescent="0.25">
      <c r="A481" s="99">
        <v>139499.92000000001</v>
      </c>
      <c r="B481" s="96">
        <v>798.77030000000002</v>
      </c>
      <c r="C481" s="96">
        <v>0.6</v>
      </c>
      <c r="D481" s="80">
        <f t="shared" ref="D481:D544" si="155">A481-A480</f>
        <v>75.020000000018626</v>
      </c>
      <c r="E481" s="81">
        <f t="shared" si="147"/>
        <v>5094.7910020740837</v>
      </c>
      <c r="F481" s="81">
        <f>SUM(E$2:E481)</f>
        <v>2954255.1917043836</v>
      </c>
      <c r="G481" s="43">
        <f t="shared" si="145"/>
        <v>1</v>
      </c>
      <c r="H481" s="78">
        <v>1</v>
      </c>
      <c r="I481" s="15">
        <f t="shared" si="148"/>
        <v>0.6</v>
      </c>
      <c r="J481" s="16">
        <f>VLOOKUP(G481,Inputs!$L$3:$P$15,5,FALSE)</f>
        <v>2000</v>
      </c>
      <c r="K481" s="16">
        <f t="shared" si="149"/>
        <v>1825</v>
      </c>
      <c r="L481" s="79">
        <f>Inputs!$P$8-B481</f>
        <v>139.42070000000001</v>
      </c>
      <c r="M481" s="79">
        <f>Inputs!$Q$8+L481*0.433</f>
        <v>1885.3691630999999</v>
      </c>
      <c r="N481" s="82">
        <f t="shared" si="150"/>
        <v>139499.92000000001</v>
      </c>
      <c r="O481" s="83">
        <f t="shared" si="151"/>
        <v>798.77030000000002</v>
      </c>
      <c r="P481" s="84">
        <f>IF(O481="","",Inputs!$C$5-O481)</f>
        <v>26.414199999999937</v>
      </c>
      <c r="Q481" s="83">
        <f>IF(N481="","",TS!J481)</f>
        <v>2000</v>
      </c>
      <c r="R481" s="83">
        <f>IF(N481="","",TS!K481)</f>
        <v>1825</v>
      </c>
      <c r="S481" s="83">
        <f>Inputs!$H$5+TS!P481*0.4333</f>
        <v>1886.4109893099999</v>
      </c>
      <c r="T481" s="83">
        <f>Inputs!$G$5+TS!P481*0.4333</f>
        <v>1901.4109893099999</v>
      </c>
      <c r="U481" s="85">
        <f t="shared" si="152"/>
        <v>0.95070549465499998</v>
      </c>
      <c r="V481" s="86">
        <f t="shared" si="140"/>
        <v>0</v>
      </c>
      <c r="W481" s="86">
        <f t="shared" si="141"/>
        <v>0</v>
      </c>
      <c r="X481" s="86" t="e">
        <f>((PI()*((42-2*'Gen Calcs'!$E$13)^2)/4)/144)*(A524-#REF!)*(W481+14.7)/14.7</f>
        <v>#REF!</v>
      </c>
      <c r="Y481" s="86" t="e">
        <f t="shared" si="142"/>
        <v>#REF!</v>
      </c>
      <c r="Z481" s="86" t="e">
        <f t="shared" si="143"/>
        <v>#REF!</v>
      </c>
      <c r="AA481" s="83">
        <f>MAX(B$2:B481)-B481</f>
        <v>26.414199999999937</v>
      </c>
      <c r="AB481" s="83">
        <f t="shared" si="144"/>
        <v>11.437348599999973</v>
      </c>
      <c r="AC481" s="83">
        <f t="shared" si="146"/>
        <v>120</v>
      </c>
      <c r="AD481" s="72">
        <v>120</v>
      </c>
      <c r="AE481" s="73">
        <f t="shared" si="153"/>
        <v>681.12179172113417</v>
      </c>
      <c r="AF481" s="73">
        <f>SUM(AE$2:AE481)</f>
        <v>395325.23762300622</v>
      </c>
      <c r="AG481" s="73">
        <f t="shared" si="154"/>
        <v>778404.66480410297</v>
      </c>
    </row>
    <row r="482" spans="1:33" x14ac:dyDescent="0.25">
      <c r="A482" s="100">
        <v>139584.9</v>
      </c>
      <c r="B482" s="97">
        <v>798.77030000000002</v>
      </c>
      <c r="C482" s="97">
        <v>0.86399999999999999</v>
      </c>
      <c r="D482" s="80">
        <f t="shared" si="155"/>
        <v>84.979999999981374</v>
      </c>
      <c r="E482" s="81">
        <f t="shared" si="147"/>
        <v>5771.1988717149197</v>
      </c>
      <c r="F482" s="81">
        <f>SUM(E$2:E482)</f>
        <v>2960026.3905760986</v>
      </c>
      <c r="G482" s="43">
        <f t="shared" si="145"/>
        <v>2</v>
      </c>
      <c r="H482" s="78">
        <v>1</v>
      </c>
      <c r="I482" s="15">
        <f t="shared" si="148"/>
        <v>0.86399999999999999</v>
      </c>
      <c r="J482" s="16">
        <f>VLOOKUP(G482,Inputs!$L$3:$P$15,5,FALSE)</f>
        <v>2880</v>
      </c>
      <c r="K482" s="16">
        <f t="shared" si="149"/>
        <v>1825</v>
      </c>
      <c r="L482" s="79">
        <f>Inputs!$P$8-B482</f>
        <v>139.42070000000001</v>
      </c>
      <c r="M482" s="79">
        <f>Inputs!$Q$8+L482*0.433</f>
        <v>1885.3691630999999</v>
      </c>
      <c r="N482" s="82">
        <f t="shared" si="150"/>
        <v>139584.9</v>
      </c>
      <c r="O482" s="83">
        <f t="shared" si="151"/>
        <v>798.77030000000002</v>
      </c>
      <c r="P482" s="84">
        <f>IF(O482="","",Inputs!$C$5-O482)</f>
        <v>26.414199999999937</v>
      </c>
      <c r="Q482" s="83">
        <f>IF(N482="","",TS!J482)</f>
        <v>2880</v>
      </c>
      <c r="R482" s="83">
        <f>IF(N482="","",TS!K482)</f>
        <v>1825</v>
      </c>
      <c r="S482" s="83">
        <f>Inputs!$H$5+TS!P482*0.4333</f>
        <v>1886.4109893099999</v>
      </c>
      <c r="T482" s="83">
        <f>Inputs!$G$5+TS!P482*0.4333</f>
        <v>1901.4109893099999</v>
      </c>
      <c r="U482" s="85">
        <f t="shared" si="152"/>
        <v>0.66021214906597214</v>
      </c>
      <c r="V482" s="86">
        <f t="shared" si="140"/>
        <v>0</v>
      </c>
      <c r="W482" s="86">
        <f t="shared" si="141"/>
        <v>0</v>
      </c>
      <c r="X482" s="86" t="e">
        <f>((PI()*((42-2*'Gen Calcs'!$E$13)^2)/4)/144)*(A525-#REF!)*(W482+14.7)/14.7</f>
        <v>#REF!</v>
      </c>
      <c r="Y482" s="86" t="e">
        <f t="shared" si="142"/>
        <v>#REF!</v>
      </c>
      <c r="Z482" s="86" t="e">
        <f t="shared" si="143"/>
        <v>#REF!</v>
      </c>
      <c r="AA482" s="83">
        <f>MAX(B$2:B482)-B482</f>
        <v>26.414199999999937</v>
      </c>
      <c r="AB482" s="83">
        <f t="shared" si="144"/>
        <v>11.437348599999973</v>
      </c>
      <c r="AC482" s="83">
        <f t="shared" si="146"/>
        <v>120</v>
      </c>
      <c r="AD482" s="72">
        <v>120</v>
      </c>
      <c r="AE482" s="73">
        <f t="shared" si="153"/>
        <v>751.710319741028</v>
      </c>
      <c r="AF482" s="73">
        <f>SUM(AE$2:AE482)</f>
        <v>396076.94794274727</v>
      </c>
      <c r="AG482" s="73">
        <f t="shared" si="154"/>
        <v>777652.95448436192</v>
      </c>
    </row>
    <row r="483" spans="1:33" x14ac:dyDescent="0.25">
      <c r="A483" s="99">
        <v>139599.92000000001</v>
      </c>
      <c r="B483" s="96">
        <v>795.54480000000001</v>
      </c>
      <c r="C483" s="96">
        <v>0.6</v>
      </c>
      <c r="D483" s="80">
        <f t="shared" si="155"/>
        <v>15.020000000018626</v>
      </c>
      <c r="E483" s="81">
        <f t="shared" si="147"/>
        <v>1020.0447994032077</v>
      </c>
      <c r="F483" s="81">
        <f>SUM(E$2:E483)</f>
        <v>2961046.4353755019</v>
      </c>
      <c r="G483" s="43">
        <f t="shared" si="145"/>
        <v>1</v>
      </c>
      <c r="H483" s="78">
        <v>1</v>
      </c>
      <c r="I483" s="15">
        <f t="shared" si="148"/>
        <v>0.6</v>
      </c>
      <c r="J483" s="16">
        <f>VLOOKUP(G483,Inputs!$L$3:$P$15,5,FALSE)</f>
        <v>2000</v>
      </c>
      <c r="K483" s="16">
        <f t="shared" si="149"/>
        <v>1825</v>
      </c>
      <c r="L483" s="79">
        <f>Inputs!$P$8-B483</f>
        <v>142.64620000000002</v>
      </c>
      <c r="M483" s="79">
        <f>Inputs!$Q$8+L483*0.433</f>
        <v>1886.7658045999999</v>
      </c>
      <c r="N483" s="82">
        <f t="shared" si="150"/>
        <v>139599.92000000001</v>
      </c>
      <c r="O483" s="83">
        <f t="shared" si="151"/>
        <v>795.54480000000001</v>
      </c>
      <c r="P483" s="84">
        <f>IF(O483="","",Inputs!$C$5-O483)</f>
        <v>29.639699999999948</v>
      </c>
      <c r="Q483" s="83">
        <f>IF(N483="","",TS!J483)</f>
        <v>2000</v>
      </c>
      <c r="R483" s="83">
        <f>IF(N483="","",TS!K483)</f>
        <v>1825</v>
      </c>
      <c r="S483" s="83">
        <f>Inputs!$H$5+TS!P483*0.4333</f>
        <v>1887.80859846</v>
      </c>
      <c r="T483" s="83">
        <f>Inputs!$G$5+TS!P483*0.4333</f>
        <v>1902.80859846</v>
      </c>
      <c r="U483" s="85">
        <f t="shared" si="152"/>
        <v>0.95140429923000003</v>
      </c>
      <c r="V483" s="86">
        <f t="shared" si="140"/>
        <v>0</v>
      </c>
      <c r="W483" s="86">
        <f t="shared" si="141"/>
        <v>0</v>
      </c>
      <c r="X483" s="86" t="e">
        <f>((PI()*((42-2*'Gen Calcs'!$E$13)^2)/4)/144)*(A526-#REF!)*(W483+14.7)/14.7</f>
        <v>#REF!</v>
      </c>
      <c r="Y483" s="86" t="e">
        <f t="shared" si="142"/>
        <v>#REF!</v>
      </c>
      <c r="Z483" s="86" t="e">
        <f t="shared" si="143"/>
        <v>#REF!</v>
      </c>
      <c r="AA483" s="83">
        <f>MAX(B$2:B483)-B483</f>
        <v>29.639699999999948</v>
      </c>
      <c r="AB483" s="83">
        <f t="shared" si="144"/>
        <v>12.833990099999978</v>
      </c>
      <c r="AC483" s="83">
        <f t="shared" si="146"/>
        <v>120</v>
      </c>
      <c r="AD483" s="72">
        <v>120</v>
      </c>
      <c r="AE483" s="73">
        <f t="shared" si="153"/>
        <v>136.36962558866412</v>
      </c>
      <c r="AF483" s="73">
        <f>SUM(AE$2:AE483)</f>
        <v>396213.31756833591</v>
      </c>
      <c r="AG483" s="73">
        <f t="shared" si="154"/>
        <v>777516.58485877328</v>
      </c>
    </row>
    <row r="484" spans="1:33" x14ac:dyDescent="0.25">
      <c r="A484" s="100">
        <v>139699.92000000001</v>
      </c>
      <c r="B484" s="97">
        <v>799.70600000000002</v>
      </c>
      <c r="C484" s="97">
        <v>0.6</v>
      </c>
      <c r="D484" s="80">
        <f t="shared" si="155"/>
        <v>100</v>
      </c>
      <c r="E484" s="81">
        <f t="shared" si="147"/>
        <v>6791.2436711181272</v>
      </c>
      <c r="F484" s="81">
        <f>SUM(E$2:E484)</f>
        <v>2967837.6790466201</v>
      </c>
      <c r="G484" s="43">
        <f t="shared" si="145"/>
        <v>1</v>
      </c>
      <c r="H484" s="78">
        <v>1</v>
      </c>
      <c r="I484" s="15">
        <f t="shared" si="148"/>
        <v>0.6</v>
      </c>
      <c r="J484" s="16">
        <f>VLOOKUP(G484,Inputs!$L$3:$P$15,5,FALSE)</f>
        <v>2000</v>
      </c>
      <c r="K484" s="16">
        <f t="shared" si="149"/>
        <v>1825</v>
      </c>
      <c r="L484" s="79">
        <f>Inputs!$P$8-B484</f>
        <v>138.48500000000001</v>
      </c>
      <c r="M484" s="79">
        <f>Inputs!$Q$8+L484*0.433</f>
        <v>1884.964005</v>
      </c>
      <c r="N484" s="82">
        <f t="shared" si="150"/>
        <v>139699.92000000001</v>
      </c>
      <c r="O484" s="83">
        <f t="shared" si="151"/>
        <v>799.70600000000002</v>
      </c>
      <c r="P484" s="84">
        <f>IF(O484="","",Inputs!$C$5-O484)</f>
        <v>25.47849999999994</v>
      </c>
      <c r="Q484" s="83">
        <f>IF(N484="","",TS!J484)</f>
        <v>2000</v>
      </c>
      <c r="R484" s="83">
        <f>IF(N484="","",TS!K484)</f>
        <v>1825</v>
      </c>
      <c r="S484" s="83">
        <f>Inputs!$H$5+TS!P484*0.4333</f>
        <v>1886.0055505</v>
      </c>
      <c r="T484" s="83">
        <f>Inputs!$G$5+TS!P484*0.4333</f>
        <v>1901.0055505</v>
      </c>
      <c r="U484" s="85">
        <f t="shared" si="152"/>
        <v>0.95050277525000004</v>
      </c>
      <c r="V484" s="86">
        <f t="shared" si="140"/>
        <v>0</v>
      </c>
      <c r="W484" s="86">
        <f t="shared" si="141"/>
        <v>0</v>
      </c>
      <c r="X484" s="86" t="e">
        <f>((PI()*((42-2*'Gen Calcs'!$E$13)^2)/4)/144)*(A527-#REF!)*(W484+14.7)/14.7</f>
        <v>#REF!</v>
      </c>
      <c r="Y484" s="86" t="e">
        <f t="shared" si="142"/>
        <v>#REF!</v>
      </c>
      <c r="Z484" s="86" t="e">
        <f t="shared" si="143"/>
        <v>#REF!</v>
      </c>
      <c r="AA484" s="83">
        <f>MAX(B$2:B484)-B484</f>
        <v>25.47849999999994</v>
      </c>
      <c r="AB484" s="83">
        <f t="shared" si="144"/>
        <v>11.032190499999974</v>
      </c>
      <c r="AC484" s="83">
        <f t="shared" si="146"/>
        <v>120</v>
      </c>
      <c r="AD484" s="72">
        <v>120</v>
      </c>
      <c r="AE484" s="73">
        <f t="shared" si="153"/>
        <v>907.92027688745009</v>
      </c>
      <c r="AF484" s="73">
        <f>SUM(AE$2:AE484)</f>
        <v>397121.23784522334</v>
      </c>
      <c r="AG484" s="73">
        <f t="shared" si="154"/>
        <v>776608.66458188579</v>
      </c>
    </row>
    <row r="485" spans="1:33" x14ac:dyDescent="0.25">
      <c r="A485" s="99">
        <v>139799.92000000001</v>
      </c>
      <c r="B485" s="96">
        <v>803.47170000000006</v>
      </c>
      <c r="C485" s="96">
        <v>0.6</v>
      </c>
      <c r="D485" s="80">
        <f t="shared" si="155"/>
        <v>100</v>
      </c>
      <c r="E485" s="81">
        <f t="shared" si="147"/>
        <v>6791.2436711181272</v>
      </c>
      <c r="F485" s="81">
        <f>SUM(E$2:E485)</f>
        <v>2974628.9227177384</v>
      </c>
      <c r="G485" s="43">
        <f t="shared" si="145"/>
        <v>1</v>
      </c>
      <c r="H485" s="78">
        <v>1</v>
      </c>
      <c r="I485" s="15">
        <f t="shared" si="148"/>
        <v>0.6</v>
      </c>
      <c r="J485" s="16">
        <f>VLOOKUP(G485,Inputs!$L$3:$P$15,5,FALSE)</f>
        <v>2000</v>
      </c>
      <c r="K485" s="16">
        <f t="shared" si="149"/>
        <v>1825</v>
      </c>
      <c r="L485" s="79">
        <f>Inputs!$P$8-B485</f>
        <v>134.71929999999998</v>
      </c>
      <c r="M485" s="79">
        <f>Inputs!$Q$8+L485*0.433</f>
        <v>1883.3334568999999</v>
      </c>
      <c r="N485" s="82">
        <f t="shared" si="150"/>
        <v>139799.92000000001</v>
      </c>
      <c r="O485" s="83">
        <f t="shared" si="151"/>
        <v>803.47170000000006</v>
      </c>
      <c r="P485" s="84">
        <f>IF(O485="","",Inputs!$C$5-O485)</f>
        <v>21.712799999999902</v>
      </c>
      <c r="Q485" s="83">
        <f>IF(N485="","",TS!J485)</f>
        <v>2000</v>
      </c>
      <c r="R485" s="83">
        <f>IF(N485="","",TS!K485)</f>
        <v>1825</v>
      </c>
      <c r="S485" s="83">
        <f>Inputs!$H$5+TS!P485*0.4333</f>
        <v>1884.3738726899999</v>
      </c>
      <c r="T485" s="83">
        <f>Inputs!$G$5+TS!P485*0.4333</f>
        <v>1899.3738726899999</v>
      </c>
      <c r="U485" s="85">
        <f t="shared" si="152"/>
        <v>0.9496869363449999</v>
      </c>
      <c r="V485" s="86">
        <f t="shared" si="140"/>
        <v>0</v>
      </c>
      <c r="W485" s="86">
        <f t="shared" si="141"/>
        <v>0</v>
      </c>
      <c r="X485" s="86" t="e">
        <f>((PI()*((42-2*'Gen Calcs'!$E$13)^2)/4)/144)*(A528-#REF!)*(W485+14.7)/14.7</f>
        <v>#REF!</v>
      </c>
      <c r="Y485" s="86" t="e">
        <f t="shared" si="142"/>
        <v>#REF!</v>
      </c>
      <c r="Z485" s="86" t="e">
        <f t="shared" si="143"/>
        <v>#REF!</v>
      </c>
      <c r="AA485" s="83">
        <f>MAX(B$2:B485)-B485</f>
        <v>21.712799999999902</v>
      </c>
      <c r="AB485" s="83">
        <f t="shared" si="144"/>
        <v>9.4016423999999574</v>
      </c>
      <c r="AC485" s="83">
        <f t="shared" si="146"/>
        <v>120</v>
      </c>
      <c r="AD485" s="72">
        <v>120</v>
      </c>
      <c r="AE485" s="73">
        <f t="shared" si="153"/>
        <v>907.92027688745009</v>
      </c>
      <c r="AF485" s="73">
        <f>SUM(AE$2:AE485)</f>
        <v>398029.15812211076</v>
      </c>
      <c r="AG485" s="73">
        <f t="shared" si="154"/>
        <v>775700.74430499843</v>
      </c>
    </row>
    <row r="486" spans="1:33" x14ac:dyDescent="0.25">
      <c r="A486" s="100">
        <v>139899.92000000001</v>
      </c>
      <c r="B486" s="97">
        <v>804.36189999999999</v>
      </c>
      <c r="C486" s="97">
        <v>0.6</v>
      </c>
      <c r="D486" s="80">
        <f t="shared" si="155"/>
        <v>100</v>
      </c>
      <c r="E486" s="81">
        <f t="shared" si="147"/>
        <v>6791.2436711181272</v>
      </c>
      <c r="F486" s="81">
        <f>SUM(E$2:E486)</f>
        <v>2981420.1663888567</v>
      </c>
      <c r="G486" s="43">
        <f t="shared" si="145"/>
        <v>1</v>
      </c>
      <c r="H486" s="78">
        <v>1</v>
      </c>
      <c r="I486" s="15">
        <f t="shared" si="148"/>
        <v>0.6</v>
      </c>
      <c r="J486" s="16">
        <f>VLOOKUP(G486,Inputs!$L$3:$P$15,5,FALSE)</f>
        <v>2000</v>
      </c>
      <c r="K486" s="16">
        <f t="shared" si="149"/>
        <v>1825</v>
      </c>
      <c r="L486" s="79">
        <f>Inputs!$P$8-B486</f>
        <v>133.82910000000004</v>
      </c>
      <c r="M486" s="79">
        <f>Inputs!$Q$8+L486*0.433</f>
        <v>1882.9480003000001</v>
      </c>
      <c r="N486" s="82">
        <f t="shared" si="150"/>
        <v>139899.92000000001</v>
      </c>
      <c r="O486" s="83">
        <f t="shared" si="151"/>
        <v>804.36189999999999</v>
      </c>
      <c r="P486" s="84">
        <f>IF(O486="","",Inputs!$C$5-O486)</f>
        <v>20.822599999999966</v>
      </c>
      <c r="Q486" s="83">
        <f>IF(N486="","",TS!J486)</f>
        <v>2000</v>
      </c>
      <c r="R486" s="83">
        <f>IF(N486="","",TS!K486)</f>
        <v>1825</v>
      </c>
      <c r="S486" s="83">
        <f>Inputs!$H$5+TS!P486*0.4333</f>
        <v>1883.9881490299999</v>
      </c>
      <c r="T486" s="83">
        <f>Inputs!$G$5+TS!P486*0.4333</f>
        <v>1898.9881490299999</v>
      </c>
      <c r="U486" s="85">
        <f t="shared" si="152"/>
        <v>0.94949407451500001</v>
      </c>
      <c r="V486" s="86">
        <f t="shared" si="140"/>
        <v>0</v>
      </c>
      <c r="W486" s="86">
        <f t="shared" si="141"/>
        <v>0</v>
      </c>
      <c r="X486" s="86" t="e">
        <f>((PI()*((42-2*'Gen Calcs'!$E$13)^2)/4)/144)*(A529-#REF!)*(W486+14.7)/14.7</f>
        <v>#REF!</v>
      </c>
      <c r="Y486" s="86" t="e">
        <f t="shared" si="142"/>
        <v>#REF!</v>
      </c>
      <c r="Z486" s="86" t="e">
        <f t="shared" si="143"/>
        <v>#REF!</v>
      </c>
      <c r="AA486" s="83">
        <f>MAX(B$2:B486)-B486</f>
        <v>20.822599999999966</v>
      </c>
      <c r="AB486" s="83">
        <f t="shared" si="144"/>
        <v>9.0161857999999846</v>
      </c>
      <c r="AC486" s="83">
        <f t="shared" si="146"/>
        <v>120</v>
      </c>
      <c r="AD486" s="72">
        <v>120</v>
      </c>
      <c r="AE486" s="73">
        <f t="shared" si="153"/>
        <v>907.92027688745009</v>
      </c>
      <c r="AF486" s="73">
        <f>SUM(AE$2:AE486)</f>
        <v>398937.07839899819</v>
      </c>
      <c r="AG486" s="73">
        <f t="shared" si="154"/>
        <v>774792.82402811106</v>
      </c>
    </row>
    <row r="487" spans="1:33" x14ac:dyDescent="0.25">
      <c r="A487" s="99">
        <v>139999.92000000001</v>
      </c>
      <c r="B487" s="96">
        <v>803.60429999999997</v>
      </c>
      <c r="C487" s="96">
        <v>0.6</v>
      </c>
      <c r="D487" s="80">
        <f t="shared" si="155"/>
        <v>100</v>
      </c>
      <c r="E487" s="81">
        <f t="shared" si="147"/>
        <v>6791.2436711181272</v>
      </c>
      <c r="F487" s="81">
        <f>SUM(E$2:E487)</f>
        <v>2988211.410059975</v>
      </c>
      <c r="G487" s="43">
        <f t="shared" si="145"/>
        <v>1</v>
      </c>
      <c r="H487" s="78">
        <v>1</v>
      </c>
      <c r="I487" s="15">
        <f t="shared" si="148"/>
        <v>0.6</v>
      </c>
      <c r="J487" s="16">
        <f>VLOOKUP(G487,Inputs!$L$3:$P$15,5,FALSE)</f>
        <v>2000</v>
      </c>
      <c r="K487" s="16">
        <f t="shared" si="149"/>
        <v>1825</v>
      </c>
      <c r="L487" s="79">
        <f>Inputs!$P$8-B487</f>
        <v>134.58670000000006</v>
      </c>
      <c r="M487" s="79">
        <f>Inputs!$Q$8+L487*0.433</f>
        <v>1883.2760410999999</v>
      </c>
      <c r="N487" s="82">
        <f t="shared" si="150"/>
        <v>139999.92000000001</v>
      </c>
      <c r="O487" s="83">
        <f t="shared" si="151"/>
        <v>803.60429999999997</v>
      </c>
      <c r="P487" s="84">
        <f>IF(O487="","",Inputs!$C$5-O487)</f>
        <v>21.580199999999991</v>
      </c>
      <c r="Q487" s="83">
        <f>IF(N487="","",TS!J487)</f>
        <v>2000</v>
      </c>
      <c r="R487" s="83">
        <f>IF(N487="","",TS!K487)</f>
        <v>1825</v>
      </c>
      <c r="S487" s="83">
        <f>Inputs!$H$5+TS!P487*0.4333</f>
        <v>1884.31641711</v>
      </c>
      <c r="T487" s="83">
        <f>Inputs!$G$5+TS!P487*0.4333</f>
        <v>1899.31641711</v>
      </c>
      <c r="U487" s="85">
        <f t="shared" si="152"/>
        <v>0.94965820855499994</v>
      </c>
      <c r="V487" s="86">
        <f t="shared" si="140"/>
        <v>0</v>
      </c>
      <c r="W487" s="86">
        <f t="shared" si="141"/>
        <v>0</v>
      </c>
      <c r="X487" s="86" t="e">
        <f>((PI()*((42-2*'Gen Calcs'!$E$13)^2)/4)/144)*(A530-#REF!)*(W487+14.7)/14.7</f>
        <v>#REF!</v>
      </c>
      <c r="Y487" s="86" t="e">
        <f t="shared" si="142"/>
        <v>#REF!</v>
      </c>
      <c r="Z487" s="86" t="e">
        <f t="shared" si="143"/>
        <v>#REF!</v>
      </c>
      <c r="AA487" s="83">
        <f>MAX(B$2:B487)-B487</f>
        <v>21.580199999999991</v>
      </c>
      <c r="AB487" s="83">
        <f t="shared" si="144"/>
        <v>9.3442265999999954</v>
      </c>
      <c r="AC487" s="83">
        <f t="shared" si="146"/>
        <v>120</v>
      </c>
      <c r="AD487" s="72">
        <v>120</v>
      </c>
      <c r="AE487" s="73">
        <f t="shared" si="153"/>
        <v>907.92027688745009</v>
      </c>
      <c r="AF487" s="73">
        <f>SUM(AE$2:AE487)</f>
        <v>399844.99867588561</v>
      </c>
      <c r="AG487" s="73">
        <f t="shared" si="154"/>
        <v>773884.90375122358</v>
      </c>
    </row>
    <row r="488" spans="1:33" x14ac:dyDescent="0.25">
      <c r="A488" s="100">
        <v>140099.92000000001</v>
      </c>
      <c r="B488" s="97">
        <v>804.05039999999997</v>
      </c>
      <c r="C488" s="97">
        <v>0.6</v>
      </c>
      <c r="D488" s="80">
        <f t="shared" si="155"/>
        <v>100</v>
      </c>
      <c r="E488" s="81">
        <f t="shared" si="147"/>
        <v>6791.2436711181272</v>
      </c>
      <c r="F488" s="81">
        <f>SUM(E$2:E488)</f>
        <v>2995002.6537310933</v>
      </c>
      <c r="G488" s="43">
        <f t="shared" si="145"/>
        <v>1</v>
      </c>
      <c r="H488" s="78">
        <v>1</v>
      </c>
      <c r="I488" s="15">
        <f t="shared" si="148"/>
        <v>0.6</v>
      </c>
      <c r="J488" s="16">
        <f>VLOOKUP(G488,Inputs!$L$3:$P$15,5,FALSE)</f>
        <v>2000</v>
      </c>
      <c r="K488" s="16">
        <f t="shared" si="149"/>
        <v>1825</v>
      </c>
      <c r="L488" s="79">
        <f>Inputs!$P$8-B488</f>
        <v>134.14060000000006</v>
      </c>
      <c r="M488" s="79">
        <f>Inputs!$Q$8+L488*0.433</f>
        <v>1883.0828798</v>
      </c>
      <c r="N488" s="82">
        <f t="shared" si="150"/>
        <v>140099.92000000001</v>
      </c>
      <c r="O488" s="83">
        <f t="shared" si="151"/>
        <v>804.05039999999997</v>
      </c>
      <c r="P488" s="84">
        <f>IF(O488="","",Inputs!$C$5-O488)</f>
        <v>21.134099999999989</v>
      </c>
      <c r="Q488" s="83">
        <f>IF(N488="","",TS!J488)</f>
        <v>2000</v>
      </c>
      <c r="R488" s="83">
        <f>IF(N488="","",TS!K488)</f>
        <v>1825</v>
      </c>
      <c r="S488" s="83">
        <f>Inputs!$H$5+TS!P488*0.4333</f>
        <v>1884.12312198</v>
      </c>
      <c r="T488" s="83">
        <f>Inputs!$G$5+TS!P488*0.4333</f>
        <v>1899.12312198</v>
      </c>
      <c r="U488" s="85">
        <f t="shared" si="152"/>
        <v>0.94956156099</v>
      </c>
      <c r="V488" s="86">
        <f t="shared" si="140"/>
        <v>0</v>
      </c>
      <c r="W488" s="86">
        <f t="shared" si="141"/>
        <v>0</v>
      </c>
      <c r="X488" s="86" t="e">
        <f>((PI()*((42-2*'Gen Calcs'!$E$13)^2)/4)/144)*(A531-#REF!)*(W488+14.7)/14.7</f>
        <v>#REF!</v>
      </c>
      <c r="Y488" s="86" t="e">
        <f t="shared" si="142"/>
        <v>#REF!</v>
      </c>
      <c r="Z488" s="86" t="e">
        <f t="shared" si="143"/>
        <v>#REF!</v>
      </c>
      <c r="AA488" s="83">
        <f>MAX(B$2:B488)-B488</f>
        <v>21.134099999999989</v>
      </c>
      <c r="AB488" s="83">
        <f t="shared" si="144"/>
        <v>9.1510652999999955</v>
      </c>
      <c r="AC488" s="83">
        <f t="shared" si="146"/>
        <v>120</v>
      </c>
      <c r="AD488" s="72">
        <v>120</v>
      </c>
      <c r="AE488" s="73">
        <f t="shared" si="153"/>
        <v>907.92027688745009</v>
      </c>
      <c r="AF488" s="73">
        <f>SUM(AE$2:AE488)</f>
        <v>400752.91895277303</v>
      </c>
      <c r="AG488" s="73">
        <f t="shared" si="154"/>
        <v>772976.9834743361</v>
      </c>
    </row>
    <row r="489" spans="1:33" x14ac:dyDescent="0.25">
      <c r="A489" s="99">
        <v>140199.92000000001</v>
      </c>
      <c r="B489" s="96">
        <v>805.55600000000004</v>
      </c>
      <c r="C489" s="96">
        <v>0.6</v>
      </c>
      <c r="D489" s="80">
        <f t="shared" si="155"/>
        <v>100</v>
      </c>
      <c r="E489" s="81">
        <f t="shared" si="147"/>
        <v>6791.2436711181272</v>
      </c>
      <c r="F489" s="81">
        <f>SUM(E$2:E489)</f>
        <v>3001793.8974022116</v>
      </c>
      <c r="G489" s="43">
        <f t="shared" si="145"/>
        <v>1</v>
      </c>
      <c r="H489" s="78">
        <v>1</v>
      </c>
      <c r="I489" s="15">
        <f t="shared" si="148"/>
        <v>0.6</v>
      </c>
      <c r="J489" s="16">
        <f>VLOOKUP(G489,Inputs!$L$3:$P$15,5,FALSE)</f>
        <v>2000</v>
      </c>
      <c r="K489" s="16">
        <f t="shared" si="149"/>
        <v>1825</v>
      </c>
      <c r="L489" s="79">
        <f>Inputs!$P$8-B489</f>
        <v>132.63499999999999</v>
      </c>
      <c r="M489" s="79">
        <f>Inputs!$Q$8+L489*0.433</f>
        <v>1882.430955</v>
      </c>
      <c r="N489" s="82">
        <f t="shared" si="150"/>
        <v>140199.92000000001</v>
      </c>
      <c r="O489" s="83">
        <f t="shared" si="151"/>
        <v>805.55600000000004</v>
      </c>
      <c r="P489" s="84">
        <f>IF(O489="","",Inputs!$C$5-O489)</f>
        <v>19.628499999999917</v>
      </c>
      <c r="Q489" s="83">
        <f>IF(N489="","",TS!J489)</f>
        <v>2000</v>
      </c>
      <c r="R489" s="83">
        <f>IF(N489="","",TS!K489)</f>
        <v>1825</v>
      </c>
      <c r="S489" s="83">
        <f>Inputs!$H$5+TS!P489*0.4333</f>
        <v>1883.4707455</v>
      </c>
      <c r="T489" s="83">
        <f>Inputs!$G$5+TS!P489*0.4333</f>
        <v>1898.4707455</v>
      </c>
      <c r="U489" s="85">
        <f t="shared" si="152"/>
        <v>0.94923537275000003</v>
      </c>
      <c r="V489" s="86">
        <f t="shared" si="140"/>
        <v>0</v>
      </c>
      <c r="W489" s="86">
        <f t="shared" si="141"/>
        <v>0</v>
      </c>
      <c r="X489" s="86" t="e">
        <f>((PI()*((42-2*'Gen Calcs'!$E$13)^2)/4)/144)*(A532-#REF!)*(W489+14.7)/14.7</f>
        <v>#REF!</v>
      </c>
      <c r="Y489" s="86" t="e">
        <f t="shared" si="142"/>
        <v>#REF!</v>
      </c>
      <c r="Z489" s="86" t="e">
        <f t="shared" si="143"/>
        <v>#REF!</v>
      </c>
      <c r="AA489" s="83">
        <f>MAX(B$2:B489)-B489</f>
        <v>19.628499999999917</v>
      </c>
      <c r="AB489" s="83">
        <f t="shared" si="144"/>
        <v>8.4991404999999638</v>
      </c>
      <c r="AC489" s="83">
        <f t="shared" si="146"/>
        <v>120</v>
      </c>
      <c r="AD489" s="72">
        <v>120</v>
      </c>
      <c r="AE489" s="73">
        <f t="shared" si="153"/>
        <v>907.92027688745009</v>
      </c>
      <c r="AF489" s="73">
        <f>SUM(AE$2:AE489)</f>
        <v>401660.83922966046</v>
      </c>
      <c r="AG489" s="73">
        <f t="shared" si="154"/>
        <v>772069.06319744873</v>
      </c>
    </row>
    <row r="490" spans="1:33" x14ac:dyDescent="0.25">
      <c r="A490" s="100">
        <v>140299.92000000001</v>
      </c>
      <c r="B490" s="97">
        <v>807.92970000000003</v>
      </c>
      <c r="C490" s="97">
        <v>0.6</v>
      </c>
      <c r="D490" s="80">
        <f t="shared" si="155"/>
        <v>100</v>
      </c>
      <c r="E490" s="81">
        <f t="shared" si="147"/>
        <v>6791.2436711181272</v>
      </c>
      <c r="F490" s="81">
        <f>SUM(E$2:E490)</f>
        <v>3008585.1410733298</v>
      </c>
      <c r="G490" s="43">
        <f t="shared" si="145"/>
        <v>1</v>
      </c>
      <c r="H490" s="78">
        <v>1</v>
      </c>
      <c r="I490" s="15">
        <f t="shared" si="148"/>
        <v>0.6</v>
      </c>
      <c r="J490" s="16">
        <f>VLOOKUP(G490,Inputs!$L$3:$P$15,5,FALSE)</f>
        <v>2000</v>
      </c>
      <c r="K490" s="16">
        <f t="shared" si="149"/>
        <v>1825</v>
      </c>
      <c r="L490" s="79">
        <f>Inputs!$P$8-B490</f>
        <v>130.26130000000001</v>
      </c>
      <c r="M490" s="79">
        <f>Inputs!$Q$8+L490*0.433</f>
        <v>1881.4031428999999</v>
      </c>
      <c r="N490" s="82">
        <f t="shared" si="150"/>
        <v>140299.92000000001</v>
      </c>
      <c r="O490" s="83">
        <f t="shared" si="151"/>
        <v>807.92970000000003</v>
      </c>
      <c r="P490" s="84">
        <f>IF(O490="","",Inputs!$C$5-O490)</f>
        <v>17.254799999999932</v>
      </c>
      <c r="Q490" s="83">
        <f>IF(N490="","",TS!J490)</f>
        <v>2000</v>
      </c>
      <c r="R490" s="83">
        <f>IF(N490="","",TS!K490)</f>
        <v>1825</v>
      </c>
      <c r="S490" s="83">
        <f>Inputs!$H$5+TS!P490*0.4333</f>
        <v>1882.4422212899999</v>
      </c>
      <c r="T490" s="83">
        <f>Inputs!$G$5+TS!P490*0.4333</f>
        <v>1897.4422212899999</v>
      </c>
      <c r="U490" s="85">
        <f t="shared" si="152"/>
        <v>0.94872111064499998</v>
      </c>
      <c r="V490" s="86">
        <f t="shared" si="140"/>
        <v>0</v>
      </c>
      <c r="W490" s="86">
        <f t="shared" si="141"/>
        <v>0</v>
      </c>
      <c r="X490" s="86" t="e">
        <f>((PI()*((42-2*'Gen Calcs'!$E$13)^2)/4)/144)*(A533-#REF!)*(W490+14.7)/14.7</f>
        <v>#REF!</v>
      </c>
      <c r="Y490" s="86" t="e">
        <f t="shared" si="142"/>
        <v>#REF!</v>
      </c>
      <c r="Z490" s="86" t="e">
        <f t="shared" si="143"/>
        <v>#REF!</v>
      </c>
      <c r="AA490" s="83">
        <f>MAX(B$2:B490)-B490</f>
        <v>17.254799999999932</v>
      </c>
      <c r="AB490" s="83">
        <f t="shared" si="144"/>
        <v>7.4713283999999707</v>
      </c>
      <c r="AC490" s="83">
        <f t="shared" si="146"/>
        <v>120</v>
      </c>
      <c r="AD490" s="72">
        <v>120</v>
      </c>
      <c r="AE490" s="73">
        <f t="shared" si="153"/>
        <v>907.92027688745009</v>
      </c>
      <c r="AF490" s="73">
        <f>SUM(AE$2:AE490)</f>
        <v>402568.75950654788</v>
      </c>
      <c r="AG490" s="73">
        <f t="shared" si="154"/>
        <v>771161.14292056137</v>
      </c>
    </row>
    <row r="491" spans="1:33" x14ac:dyDescent="0.25">
      <c r="A491" s="99">
        <v>140399.92000000001</v>
      </c>
      <c r="B491" s="96">
        <v>810.00540000000001</v>
      </c>
      <c r="C491" s="96">
        <v>0.6</v>
      </c>
      <c r="D491" s="80">
        <f t="shared" si="155"/>
        <v>100</v>
      </c>
      <c r="E491" s="81">
        <f t="shared" si="147"/>
        <v>6791.2436711181272</v>
      </c>
      <c r="F491" s="81">
        <f>SUM(E$2:E491)</f>
        <v>3015376.3847444481</v>
      </c>
      <c r="G491" s="43">
        <f t="shared" si="145"/>
        <v>1</v>
      </c>
      <c r="H491" s="78">
        <v>1</v>
      </c>
      <c r="I491" s="15">
        <f t="shared" si="148"/>
        <v>0.6</v>
      </c>
      <c r="J491" s="16">
        <f>VLOOKUP(G491,Inputs!$L$3:$P$15,5,FALSE)</f>
        <v>2000</v>
      </c>
      <c r="K491" s="16">
        <f t="shared" si="149"/>
        <v>1825</v>
      </c>
      <c r="L491" s="79">
        <f>Inputs!$P$8-B491</f>
        <v>128.18560000000002</v>
      </c>
      <c r="M491" s="79">
        <f>Inputs!$Q$8+L491*0.433</f>
        <v>1880.5043648000001</v>
      </c>
      <c r="N491" s="82">
        <f t="shared" si="150"/>
        <v>140399.92000000001</v>
      </c>
      <c r="O491" s="83">
        <f t="shared" si="151"/>
        <v>810.00540000000001</v>
      </c>
      <c r="P491" s="84">
        <f>IF(O491="","",Inputs!$C$5-O491)</f>
        <v>15.179099999999949</v>
      </c>
      <c r="Q491" s="83">
        <f>IF(N491="","",TS!J491)</f>
        <v>2000</v>
      </c>
      <c r="R491" s="83">
        <f>IF(N491="","",TS!K491)</f>
        <v>1825</v>
      </c>
      <c r="S491" s="83">
        <f>Inputs!$H$5+TS!P491*0.4333</f>
        <v>1881.5428204799998</v>
      </c>
      <c r="T491" s="83">
        <f>Inputs!$G$5+TS!P491*0.4333</f>
        <v>1896.5428204799998</v>
      </c>
      <c r="U491" s="85">
        <f t="shared" si="152"/>
        <v>0.94827141023999995</v>
      </c>
      <c r="V491" s="86">
        <f t="shared" si="140"/>
        <v>0</v>
      </c>
      <c r="W491" s="86">
        <f t="shared" si="141"/>
        <v>0</v>
      </c>
      <c r="X491" s="86" t="e">
        <f>((PI()*((42-2*'Gen Calcs'!$E$13)^2)/4)/144)*(A534-#REF!)*(W491+14.7)/14.7</f>
        <v>#REF!</v>
      </c>
      <c r="Y491" s="86" t="e">
        <f t="shared" si="142"/>
        <v>#REF!</v>
      </c>
      <c r="Z491" s="86" t="e">
        <f t="shared" si="143"/>
        <v>#REF!</v>
      </c>
      <c r="AA491" s="83">
        <f>MAX(B$2:B491)-B491</f>
        <v>15.179099999999949</v>
      </c>
      <c r="AB491" s="83">
        <f t="shared" si="144"/>
        <v>6.5725502999999774</v>
      </c>
      <c r="AC491" s="83">
        <f t="shared" si="146"/>
        <v>120</v>
      </c>
      <c r="AD491" s="72">
        <v>120</v>
      </c>
      <c r="AE491" s="73">
        <f t="shared" si="153"/>
        <v>907.92027688745009</v>
      </c>
      <c r="AF491" s="73">
        <f>SUM(AE$2:AE491)</f>
        <v>403476.67978343531</v>
      </c>
      <c r="AG491" s="73">
        <f t="shared" si="154"/>
        <v>770253.22264367389</v>
      </c>
    </row>
    <row r="492" spans="1:33" x14ac:dyDescent="0.25">
      <c r="A492" s="100">
        <v>140499.92000000001</v>
      </c>
      <c r="B492" s="97">
        <v>812.33209999999997</v>
      </c>
      <c r="C492" s="97">
        <v>0.6</v>
      </c>
      <c r="D492" s="80">
        <f t="shared" si="155"/>
        <v>100</v>
      </c>
      <c r="E492" s="81">
        <f t="shared" si="147"/>
        <v>6616.6076625842816</v>
      </c>
      <c r="F492" s="81">
        <f>SUM(E$2:E492)</f>
        <v>3021992.9924070323</v>
      </c>
      <c r="G492" s="43">
        <f t="shared" si="145"/>
        <v>1</v>
      </c>
      <c r="H492" s="78">
        <v>1</v>
      </c>
      <c r="I492" s="15">
        <f t="shared" si="148"/>
        <v>0.6</v>
      </c>
      <c r="J492" s="16">
        <f>VLOOKUP(G492,Inputs!$L$3:$P$15,5,FALSE)</f>
        <v>2000</v>
      </c>
      <c r="K492" s="16">
        <f t="shared" si="149"/>
        <v>1825</v>
      </c>
      <c r="L492" s="79">
        <f>Inputs!$P$8-B492</f>
        <v>125.85890000000006</v>
      </c>
      <c r="M492" s="79">
        <f>Inputs!$Q$8+L492*0.433</f>
        <v>1879.4969037000001</v>
      </c>
      <c r="N492" s="82">
        <f t="shared" si="150"/>
        <v>140499.92000000001</v>
      </c>
      <c r="O492" s="83">
        <f t="shared" si="151"/>
        <v>812.33209999999997</v>
      </c>
      <c r="P492" s="84">
        <f>IF(O492="","",Inputs!$C$5-O492)</f>
        <v>12.852399999999989</v>
      </c>
      <c r="Q492" s="83">
        <f>IF(N492="","",TS!J492)</f>
        <v>2000</v>
      </c>
      <c r="R492" s="83">
        <f>IF(N492="","",TS!K492)</f>
        <v>1825</v>
      </c>
      <c r="S492" s="83">
        <f>Inputs!$H$5+TS!P492*0.4333</f>
        <v>1880.5346613699999</v>
      </c>
      <c r="T492" s="83">
        <f>Inputs!$G$5+TS!P492*0.4333</f>
        <v>1895.5346613699999</v>
      </c>
      <c r="U492" s="85">
        <f t="shared" si="152"/>
        <v>0.94776733068499996</v>
      </c>
      <c r="V492" s="86">
        <f t="shared" si="140"/>
        <v>0</v>
      </c>
      <c r="W492" s="86">
        <f t="shared" si="141"/>
        <v>0</v>
      </c>
      <c r="X492" s="86" t="e">
        <f>((PI()*((42-2*'Gen Calcs'!$E$13)^2)/4)/144)*(A535-#REF!)*(W492+14.7)/14.7</f>
        <v>#REF!</v>
      </c>
      <c r="Y492" s="86" t="e">
        <f t="shared" si="142"/>
        <v>#REF!</v>
      </c>
      <c r="Z492" s="86" t="e">
        <f t="shared" si="143"/>
        <v>#REF!</v>
      </c>
      <c r="AA492" s="83">
        <f>MAX(B$2:B492)-B492</f>
        <v>12.852399999999989</v>
      </c>
      <c r="AB492" s="83">
        <f t="shared" si="144"/>
        <v>5.5650891999999947</v>
      </c>
      <c r="AC492" s="83">
        <f t="shared" si="146"/>
        <v>120</v>
      </c>
      <c r="AD492" s="72">
        <v>120</v>
      </c>
      <c r="AE492" s="73">
        <f t="shared" si="153"/>
        <v>907.92027688745009</v>
      </c>
      <c r="AF492" s="73">
        <f>SUM(AE$2:AE492)</f>
        <v>404384.60006032273</v>
      </c>
      <c r="AG492" s="73">
        <f t="shared" si="154"/>
        <v>769345.3023667864</v>
      </c>
    </row>
    <row r="493" spans="1:33" x14ac:dyDescent="0.25">
      <c r="A493" s="99">
        <v>140599.92000000001</v>
      </c>
      <c r="B493" s="96">
        <v>814.33040000000005</v>
      </c>
      <c r="C493" s="96">
        <v>0.6</v>
      </c>
      <c r="D493" s="80">
        <f t="shared" si="155"/>
        <v>100</v>
      </c>
      <c r="E493" s="81">
        <f t="shared" si="147"/>
        <v>6791.2436711181272</v>
      </c>
      <c r="F493" s="81">
        <f>SUM(E$2:E493)</f>
        <v>3028784.2360781506</v>
      </c>
      <c r="G493" s="43">
        <f t="shared" si="145"/>
        <v>1</v>
      </c>
      <c r="H493" s="78">
        <v>1</v>
      </c>
      <c r="I493" s="15">
        <f t="shared" si="148"/>
        <v>0.6</v>
      </c>
      <c r="J493" s="16">
        <f>VLOOKUP(G493,Inputs!$L$3:$P$15,5,FALSE)</f>
        <v>2000</v>
      </c>
      <c r="K493" s="16">
        <f t="shared" si="149"/>
        <v>1825</v>
      </c>
      <c r="L493" s="79">
        <f>Inputs!$P$8-B493</f>
        <v>123.86059999999998</v>
      </c>
      <c r="M493" s="79">
        <f>Inputs!$Q$8+L493*0.433</f>
        <v>1878.6316397999999</v>
      </c>
      <c r="N493" s="82">
        <f t="shared" si="150"/>
        <v>140599.92000000001</v>
      </c>
      <c r="O493" s="83">
        <f t="shared" si="151"/>
        <v>814.33040000000005</v>
      </c>
      <c r="P493" s="84">
        <f>IF(O493="","",Inputs!$C$5-O493)</f>
        <v>10.854099999999903</v>
      </c>
      <c r="Q493" s="83">
        <f>IF(N493="","",TS!J493)</f>
        <v>2000</v>
      </c>
      <c r="R493" s="83">
        <f>IF(N493="","",TS!K493)</f>
        <v>1825</v>
      </c>
      <c r="S493" s="83">
        <f>Inputs!$H$5+TS!P493*0.4333</f>
        <v>1879.6687979799999</v>
      </c>
      <c r="T493" s="83">
        <f>Inputs!$G$5+TS!P493*0.4333</f>
        <v>1894.6687979799999</v>
      </c>
      <c r="U493" s="85">
        <f t="shared" si="152"/>
        <v>0.94733439898999994</v>
      </c>
      <c r="V493" s="86">
        <f t="shared" si="140"/>
        <v>0</v>
      </c>
      <c r="W493" s="86">
        <f t="shared" si="141"/>
        <v>0</v>
      </c>
      <c r="X493" s="86" t="e">
        <f>((PI()*((42-2*'Gen Calcs'!$E$13)^2)/4)/144)*(A536-#REF!)*(W493+14.7)/14.7</f>
        <v>#REF!</v>
      </c>
      <c r="Y493" s="86" t="e">
        <f t="shared" si="142"/>
        <v>#REF!</v>
      </c>
      <c r="Z493" s="86" t="e">
        <f t="shared" si="143"/>
        <v>#REF!</v>
      </c>
      <c r="AA493" s="83">
        <f>MAX(B$2:B493)-B493</f>
        <v>10.854099999999903</v>
      </c>
      <c r="AB493" s="83">
        <f t="shared" si="144"/>
        <v>4.6998252999999579</v>
      </c>
      <c r="AC493" s="83">
        <f t="shared" si="146"/>
        <v>120</v>
      </c>
      <c r="AD493" s="72">
        <v>120</v>
      </c>
      <c r="AE493" s="73">
        <f t="shared" si="153"/>
        <v>907.92027688745009</v>
      </c>
      <c r="AF493" s="73">
        <f>SUM(AE$2:AE493)</f>
        <v>405292.52033721015</v>
      </c>
      <c r="AG493" s="73">
        <f t="shared" si="154"/>
        <v>768437.38208989904</v>
      </c>
    </row>
    <row r="494" spans="1:33" x14ac:dyDescent="0.25">
      <c r="A494" s="100">
        <v>140699.92000000001</v>
      </c>
      <c r="B494" s="97">
        <v>816.84299999999996</v>
      </c>
      <c r="C494" s="97">
        <v>0.6</v>
      </c>
      <c r="D494" s="80">
        <f t="shared" si="155"/>
        <v>100</v>
      </c>
      <c r="E494" s="81">
        <f t="shared" si="147"/>
        <v>6616.6076625842816</v>
      </c>
      <c r="F494" s="81">
        <f>SUM(E$2:E494)</f>
        <v>3035400.8437407347</v>
      </c>
      <c r="G494" s="43">
        <f t="shared" si="145"/>
        <v>1</v>
      </c>
      <c r="H494" s="78">
        <v>1</v>
      </c>
      <c r="I494" s="15">
        <f t="shared" si="148"/>
        <v>0.6</v>
      </c>
      <c r="J494" s="16">
        <f>VLOOKUP(G494,Inputs!$L$3:$P$15,5,FALSE)</f>
        <v>2000</v>
      </c>
      <c r="K494" s="16">
        <f t="shared" si="149"/>
        <v>1825</v>
      </c>
      <c r="L494" s="79">
        <f>Inputs!$P$8-B494</f>
        <v>121.34800000000007</v>
      </c>
      <c r="M494" s="79">
        <f>Inputs!$Q$8+L494*0.433</f>
        <v>1877.543684</v>
      </c>
      <c r="N494" s="82">
        <f t="shared" si="150"/>
        <v>140699.92000000001</v>
      </c>
      <c r="O494" s="83">
        <f t="shared" si="151"/>
        <v>816.84299999999996</v>
      </c>
      <c r="P494" s="84">
        <f>IF(O494="","",Inputs!$C$5-O494)</f>
        <v>8.3414999999999964</v>
      </c>
      <c r="Q494" s="83">
        <f>IF(N494="","",TS!J494)</f>
        <v>2000</v>
      </c>
      <c r="R494" s="83">
        <f>IF(N494="","",TS!K494)</f>
        <v>1825</v>
      </c>
      <c r="S494" s="83">
        <f>Inputs!$H$5+TS!P494*0.4333</f>
        <v>1878.5800884</v>
      </c>
      <c r="T494" s="83">
        <f>Inputs!$G$5+TS!P494*0.4333</f>
        <v>1893.5800884</v>
      </c>
      <c r="U494" s="85">
        <f t="shared" si="152"/>
        <v>0.94679004420000001</v>
      </c>
      <c r="V494" s="86">
        <f t="shared" si="140"/>
        <v>0</v>
      </c>
      <c r="W494" s="86">
        <f t="shared" si="141"/>
        <v>0</v>
      </c>
      <c r="X494" s="86" t="e">
        <f>((PI()*((42-2*'Gen Calcs'!$E$13)^2)/4)/144)*(A537-#REF!)*(W494+14.7)/14.7</f>
        <v>#REF!</v>
      </c>
      <c r="Y494" s="86" t="e">
        <f t="shared" si="142"/>
        <v>#REF!</v>
      </c>
      <c r="Z494" s="86" t="e">
        <f t="shared" si="143"/>
        <v>#REF!</v>
      </c>
      <c r="AA494" s="83">
        <f>MAX(B$2:B494)-B494</f>
        <v>8.3414999999999964</v>
      </c>
      <c r="AB494" s="83">
        <f t="shared" si="144"/>
        <v>3.6118694999999983</v>
      </c>
      <c r="AC494" s="83">
        <f t="shared" si="146"/>
        <v>120</v>
      </c>
      <c r="AD494" s="72">
        <v>120</v>
      </c>
      <c r="AE494" s="73">
        <f t="shared" si="153"/>
        <v>907.92027688745009</v>
      </c>
      <c r="AF494" s="73">
        <f>SUM(AE$2:AE494)</f>
        <v>406200.44061409758</v>
      </c>
      <c r="AG494" s="73">
        <f t="shared" si="154"/>
        <v>767529.46181301167</v>
      </c>
    </row>
    <row r="495" spans="1:33" x14ac:dyDescent="0.25">
      <c r="A495" s="99">
        <v>140799.92000000001</v>
      </c>
      <c r="B495" s="96">
        <v>820.42070000000001</v>
      </c>
      <c r="C495" s="96">
        <v>0.6</v>
      </c>
      <c r="D495" s="80">
        <f t="shared" si="155"/>
        <v>100</v>
      </c>
      <c r="E495" s="81">
        <f t="shared" si="147"/>
        <v>6791.2436711181272</v>
      </c>
      <c r="F495" s="81">
        <f>SUM(E$2:E495)</f>
        <v>3042192.087411853</v>
      </c>
      <c r="G495" s="43">
        <f t="shared" si="145"/>
        <v>1</v>
      </c>
      <c r="H495" s="78">
        <v>1</v>
      </c>
      <c r="I495" s="15">
        <f t="shared" si="148"/>
        <v>0.6</v>
      </c>
      <c r="J495" s="16">
        <f>VLOOKUP(G495,Inputs!$L$3:$P$15,5,FALSE)</f>
        <v>2000</v>
      </c>
      <c r="K495" s="16">
        <f t="shared" si="149"/>
        <v>1825</v>
      </c>
      <c r="L495" s="79">
        <f>Inputs!$P$8-B495</f>
        <v>117.77030000000002</v>
      </c>
      <c r="M495" s="79">
        <f>Inputs!$Q$8+L495*0.433</f>
        <v>1875.9945399000001</v>
      </c>
      <c r="N495" s="82">
        <f t="shared" si="150"/>
        <v>140799.92000000001</v>
      </c>
      <c r="O495" s="83">
        <f t="shared" si="151"/>
        <v>820.42070000000001</v>
      </c>
      <c r="P495" s="84">
        <f>IF(O495="","",Inputs!$C$5-O495)</f>
        <v>4.7637999999999465</v>
      </c>
      <c r="Q495" s="83">
        <f>IF(N495="","",TS!J495)</f>
        <v>2000</v>
      </c>
      <c r="R495" s="83">
        <f>IF(N495="","",TS!K495)</f>
        <v>1825</v>
      </c>
      <c r="S495" s="83">
        <f>Inputs!$H$5+TS!P495*0.4333</f>
        <v>1877.0298709899998</v>
      </c>
      <c r="T495" s="83">
        <f>Inputs!$G$5+TS!P495*0.4333</f>
        <v>1892.0298709899998</v>
      </c>
      <c r="U495" s="85">
        <f t="shared" si="152"/>
        <v>0.94601493549499993</v>
      </c>
      <c r="V495" s="86">
        <f t="shared" si="140"/>
        <v>0</v>
      </c>
      <c r="W495" s="86">
        <f t="shared" si="141"/>
        <v>0</v>
      </c>
      <c r="X495" s="86" t="e">
        <f>((PI()*((42-2*'Gen Calcs'!$E$13)^2)/4)/144)*(A538-#REF!)*(W495+14.7)/14.7</f>
        <v>#REF!</v>
      </c>
      <c r="Y495" s="86" t="e">
        <f t="shared" si="142"/>
        <v>#REF!</v>
      </c>
      <c r="Z495" s="86" t="e">
        <f t="shared" si="143"/>
        <v>#REF!</v>
      </c>
      <c r="AA495" s="83">
        <f>MAX(B$2:B495)-B495</f>
        <v>4.7637999999999465</v>
      </c>
      <c r="AB495" s="83">
        <f t="shared" si="144"/>
        <v>2.0627253999999766</v>
      </c>
      <c r="AC495" s="83">
        <f t="shared" si="146"/>
        <v>120</v>
      </c>
      <c r="AD495" s="72">
        <v>120</v>
      </c>
      <c r="AE495" s="73">
        <f t="shared" si="153"/>
        <v>907.92027688745009</v>
      </c>
      <c r="AF495" s="73">
        <f>SUM(AE$2:AE495)</f>
        <v>407108.360890985</v>
      </c>
      <c r="AG495" s="73">
        <f t="shared" si="154"/>
        <v>766621.54153612419</v>
      </c>
    </row>
    <row r="496" spans="1:33" x14ac:dyDescent="0.25">
      <c r="A496" s="100">
        <v>140899.92000000001</v>
      </c>
      <c r="B496" s="97">
        <v>823.73170000000005</v>
      </c>
      <c r="C496" s="97">
        <v>0.6</v>
      </c>
      <c r="D496" s="80">
        <f t="shared" si="155"/>
        <v>100</v>
      </c>
      <c r="E496" s="81">
        <f t="shared" si="147"/>
        <v>6791.2436711181272</v>
      </c>
      <c r="F496" s="81">
        <f>SUM(E$2:E496)</f>
        <v>3048983.3310829713</v>
      </c>
      <c r="G496" s="43">
        <f t="shared" si="145"/>
        <v>1</v>
      </c>
      <c r="H496" s="78">
        <v>1</v>
      </c>
      <c r="I496" s="15">
        <f t="shared" si="148"/>
        <v>0.6</v>
      </c>
      <c r="J496" s="16">
        <f>VLOOKUP(G496,Inputs!$L$3:$P$15,5,FALSE)</f>
        <v>2000</v>
      </c>
      <c r="K496" s="16">
        <f t="shared" si="149"/>
        <v>1825</v>
      </c>
      <c r="L496" s="79">
        <f>Inputs!$P$8-B496</f>
        <v>114.45929999999998</v>
      </c>
      <c r="M496" s="79">
        <f>Inputs!$Q$8+L496*0.433</f>
        <v>1874.5608769</v>
      </c>
      <c r="N496" s="82">
        <f t="shared" si="150"/>
        <v>140899.92000000001</v>
      </c>
      <c r="O496" s="83">
        <f t="shared" si="151"/>
        <v>823.73170000000005</v>
      </c>
      <c r="P496" s="84">
        <f>IF(O496="","",Inputs!$C$5-O496)</f>
        <v>1.4527999999999111</v>
      </c>
      <c r="Q496" s="83">
        <f>IF(N496="","",TS!J496)</f>
        <v>2000</v>
      </c>
      <c r="R496" s="83">
        <f>IF(N496="","",TS!K496)</f>
        <v>1825</v>
      </c>
      <c r="S496" s="83">
        <f>Inputs!$H$5+TS!P496*0.4333</f>
        <v>1875.5952146899999</v>
      </c>
      <c r="T496" s="83">
        <f>Inputs!$G$5+TS!P496*0.4333</f>
        <v>1890.5952146899999</v>
      </c>
      <c r="U496" s="85">
        <f t="shared" si="152"/>
        <v>0.94529760734500001</v>
      </c>
      <c r="V496" s="86">
        <f t="shared" si="140"/>
        <v>0</v>
      </c>
      <c r="W496" s="86">
        <f t="shared" si="141"/>
        <v>0</v>
      </c>
      <c r="X496" s="86" t="e">
        <f>((PI()*((42-2*'Gen Calcs'!$E$13)^2)/4)/144)*(A539-#REF!)*(W496+14.7)/14.7</f>
        <v>#REF!</v>
      </c>
      <c r="Y496" s="86" t="e">
        <f t="shared" si="142"/>
        <v>#REF!</v>
      </c>
      <c r="Z496" s="86" t="e">
        <f t="shared" si="143"/>
        <v>#REF!</v>
      </c>
      <c r="AA496" s="83">
        <f>MAX(B$2:B496)-B496</f>
        <v>1.4527999999999111</v>
      </c>
      <c r="AB496" s="83">
        <f t="shared" si="144"/>
        <v>0.6290623999999615</v>
      </c>
      <c r="AC496" s="83">
        <f t="shared" si="146"/>
        <v>120</v>
      </c>
      <c r="AD496" s="72">
        <v>120</v>
      </c>
      <c r="AE496" s="73">
        <f t="shared" si="153"/>
        <v>907.92027688745009</v>
      </c>
      <c r="AF496" s="73">
        <f>SUM(AE$2:AE496)</f>
        <v>408016.28116787242</v>
      </c>
      <c r="AG496" s="73">
        <f t="shared" si="154"/>
        <v>765713.62125923671</v>
      </c>
    </row>
    <row r="497" spans="1:33" x14ac:dyDescent="0.25">
      <c r="A497" s="99">
        <v>140999.92000000001</v>
      </c>
      <c r="B497" s="96">
        <v>826.77499999999998</v>
      </c>
      <c r="C497" s="96">
        <v>0.6</v>
      </c>
      <c r="D497" s="80">
        <f t="shared" si="155"/>
        <v>100</v>
      </c>
      <c r="E497" s="81">
        <f t="shared" si="147"/>
        <v>6791.2436711181272</v>
      </c>
      <c r="F497" s="81">
        <f>SUM(E$2:E497)</f>
        <v>3055774.5747540896</v>
      </c>
      <c r="G497" s="43">
        <f t="shared" si="145"/>
        <v>1</v>
      </c>
      <c r="H497" s="78">
        <v>1</v>
      </c>
      <c r="I497" s="15">
        <f t="shared" si="148"/>
        <v>0.6</v>
      </c>
      <c r="J497" s="16">
        <f>VLOOKUP(G497,Inputs!$L$3:$P$15,5,FALSE)</f>
        <v>2000</v>
      </c>
      <c r="K497" s="16">
        <f t="shared" si="149"/>
        <v>1825</v>
      </c>
      <c r="L497" s="79">
        <f>Inputs!$P$8-B497</f>
        <v>111.41600000000005</v>
      </c>
      <c r="M497" s="79">
        <f>Inputs!$Q$8+L497*0.433</f>
        <v>1873.2431280000001</v>
      </c>
      <c r="N497" s="82">
        <f t="shared" si="150"/>
        <v>140999.92000000001</v>
      </c>
      <c r="O497" s="83">
        <f t="shared" si="151"/>
        <v>826.77499999999998</v>
      </c>
      <c r="P497" s="84">
        <f>IF(O497="","",Inputs!$C$5-O497)</f>
        <v>-1.59050000000002</v>
      </c>
      <c r="Q497" s="83">
        <f>IF(N497="","",TS!J497)</f>
        <v>2000</v>
      </c>
      <c r="R497" s="83">
        <f>IF(N497="","",TS!K497)</f>
        <v>1825</v>
      </c>
      <c r="S497" s="83">
        <f>Inputs!$H$5+TS!P497*0.4333</f>
        <v>1874.2765528</v>
      </c>
      <c r="T497" s="83">
        <f>Inputs!$G$5+TS!P497*0.4333</f>
        <v>1889.2765528</v>
      </c>
      <c r="U497" s="85">
        <f t="shared" si="152"/>
        <v>0.94463827639999998</v>
      </c>
      <c r="V497" s="86">
        <f t="shared" si="140"/>
        <v>0</v>
      </c>
      <c r="W497" s="86">
        <f t="shared" si="141"/>
        <v>0</v>
      </c>
      <c r="X497" s="86" t="e">
        <f>((PI()*((42-2*'Gen Calcs'!$E$13)^2)/4)/144)*(A540-#REF!)*(W497+14.7)/14.7</f>
        <v>#REF!</v>
      </c>
      <c r="Y497" s="86" t="e">
        <f t="shared" si="142"/>
        <v>#REF!</v>
      </c>
      <c r="Z497" s="86" t="e">
        <f t="shared" si="143"/>
        <v>#REF!</v>
      </c>
      <c r="AA497" s="83">
        <f>MAX(B$2:B497)-B497</f>
        <v>0</v>
      </c>
      <c r="AB497" s="83">
        <f t="shared" si="144"/>
        <v>0</v>
      </c>
      <c r="AC497" s="83">
        <f t="shared" si="146"/>
        <v>120</v>
      </c>
      <c r="AD497" s="72">
        <v>120</v>
      </c>
      <c r="AE497" s="73">
        <f t="shared" si="153"/>
        <v>907.92027688745009</v>
      </c>
      <c r="AF497" s="73">
        <f>SUM(AE$2:AE497)</f>
        <v>408924.20144475985</v>
      </c>
      <c r="AG497" s="73">
        <f t="shared" si="154"/>
        <v>764805.70098234934</v>
      </c>
    </row>
    <row r="498" spans="1:33" x14ac:dyDescent="0.25">
      <c r="A498" s="100">
        <v>141099.92000000001</v>
      </c>
      <c r="B498" s="97">
        <v>827.40380000000005</v>
      </c>
      <c r="C498" s="97">
        <v>0.6</v>
      </c>
      <c r="D498" s="80">
        <f t="shared" si="155"/>
        <v>100</v>
      </c>
      <c r="E498" s="81">
        <f t="shared" si="147"/>
        <v>6791.2436711181272</v>
      </c>
      <c r="F498" s="81">
        <f>SUM(E$2:E498)</f>
        <v>3062565.8184252079</v>
      </c>
      <c r="G498" s="43">
        <f t="shared" si="145"/>
        <v>1</v>
      </c>
      <c r="H498" s="78">
        <v>1</v>
      </c>
      <c r="I498" s="15">
        <f t="shared" si="148"/>
        <v>0.6</v>
      </c>
      <c r="J498" s="16">
        <f>VLOOKUP(G498,Inputs!$L$3:$P$15,5,FALSE)</f>
        <v>2000</v>
      </c>
      <c r="K498" s="16">
        <f t="shared" si="149"/>
        <v>1825</v>
      </c>
      <c r="L498" s="79">
        <f>Inputs!$P$8-B498</f>
        <v>110.78719999999998</v>
      </c>
      <c r="M498" s="79">
        <f>Inputs!$Q$8+L498*0.433</f>
        <v>1872.9708576</v>
      </c>
      <c r="N498" s="82">
        <f t="shared" si="150"/>
        <v>141099.92000000001</v>
      </c>
      <c r="O498" s="83">
        <f t="shared" si="151"/>
        <v>827.40380000000005</v>
      </c>
      <c r="P498" s="84">
        <f>IF(O498="","",Inputs!$C$5-O498)</f>
        <v>-2.2193000000000893</v>
      </c>
      <c r="Q498" s="83">
        <f>IF(N498="","",TS!J498)</f>
        <v>2000</v>
      </c>
      <c r="R498" s="83">
        <f>IF(N498="","",TS!K498)</f>
        <v>1825</v>
      </c>
      <c r="S498" s="83">
        <f>Inputs!$H$5+TS!P498*0.4333</f>
        <v>1874.0040937599999</v>
      </c>
      <c r="T498" s="83">
        <f>Inputs!$G$5+TS!P498*0.4333</f>
        <v>1889.0040937599999</v>
      </c>
      <c r="U498" s="85">
        <f t="shared" si="152"/>
        <v>0.94450204687999995</v>
      </c>
      <c r="V498" s="86">
        <f t="shared" si="140"/>
        <v>0</v>
      </c>
      <c r="W498" s="86">
        <f t="shared" si="141"/>
        <v>0</v>
      </c>
      <c r="X498" s="86" t="e">
        <f>((PI()*((42-2*'Gen Calcs'!$E$13)^2)/4)/144)*(A541-#REF!)*(W498+14.7)/14.7</f>
        <v>#REF!</v>
      </c>
      <c r="Y498" s="86" t="e">
        <f t="shared" si="142"/>
        <v>#REF!</v>
      </c>
      <c r="Z498" s="86" t="e">
        <f t="shared" si="143"/>
        <v>#REF!</v>
      </c>
      <c r="AA498" s="83">
        <f>MAX(B$2:B498)-B498</f>
        <v>0</v>
      </c>
      <c r="AB498" s="83">
        <f t="shared" si="144"/>
        <v>0</v>
      </c>
      <c r="AC498" s="83">
        <f t="shared" si="146"/>
        <v>120</v>
      </c>
      <c r="AD498" s="72">
        <v>120</v>
      </c>
      <c r="AE498" s="73">
        <f t="shared" si="153"/>
        <v>907.92027688745009</v>
      </c>
      <c r="AF498" s="73">
        <f>SUM(AE$2:AE498)</f>
        <v>409832.12172164727</v>
      </c>
      <c r="AG498" s="73">
        <f t="shared" si="154"/>
        <v>763897.78070546198</v>
      </c>
    </row>
    <row r="499" spans="1:33" x14ac:dyDescent="0.25">
      <c r="A499" s="99">
        <v>141199.92000000001</v>
      </c>
      <c r="B499" s="96">
        <v>826.91489999999999</v>
      </c>
      <c r="C499" s="96">
        <v>0.6</v>
      </c>
      <c r="D499" s="80">
        <f t="shared" si="155"/>
        <v>100</v>
      </c>
      <c r="E499" s="81">
        <f t="shared" si="147"/>
        <v>6791.2436711181272</v>
      </c>
      <c r="F499" s="81">
        <f>SUM(E$2:E499)</f>
        <v>3069357.0620963261</v>
      </c>
      <c r="G499" s="43">
        <f t="shared" si="145"/>
        <v>1</v>
      </c>
      <c r="H499" s="78">
        <v>1</v>
      </c>
      <c r="I499" s="15">
        <f t="shared" si="148"/>
        <v>0.6</v>
      </c>
      <c r="J499" s="16">
        <f>VLOOKUP(G499,Inputs!$L$3:$P$15,5,FALSE)</f>
        <v>2000</v>
      </c>
      <c r="K499" s="16">
        <f t="shared" si="149"/>
        <v>1825</v>
      </c>
      <c r="L499" s="79">
        <f>Inputs!$P$8-B499</f>
        <v>111.27610000000004</v>
      </c>
      <c r="M499" s="79">
        <f>Inputs!$Q$8+L499*0.433</f>
        <v>1873.1825513000001</v>
      </c>
      <c r="N499" s="82">
        <f t="shared" si="150"/>
        <v>141199.92000000001</v>
      </c>
      <c r="O499" s="83">
        <f t="shared" si="151"/>
        <v>826.91489999999999</v>
      </c>
      <c r="P499" s="84">
        <f>IF(O499="","",Inputs!$C$5-O499)</f>
        <v>-1.7304000000000315</v>
      </c>
      <c r="Q499" s="83">
        <f>IF(N499="","",TS!J499)</f>
        <v>2000</v>
      </c>
      <c r="R499" s="83">
        <f>IF(N499="","",TS!K499)</f>
        <v>1825</v>
      </c>
      <c r="S499" s="83">
        <f>Inputs!$H$5+TS!P499*0.4333</f>
        <v>1874.2159341299998</v>
      </c>
      <c r="T499" s="83">
        <f>Inputs!$G$5+TS!P499*0.4333</f>
        <v>1889.2159341299998</v>
      </c>
      <c r="U499" s="85">
        <f t="shared" si="152"/>
        <v>0.94460796706499994</v>
      </c>
      <c r="V499" s="86">
        <f t="shared" si="140"/>
        <v>0</v>
      </c>
      <c r="W499" s="86">
        <f t="shared" si="141"/>
        <v>0</v>
      </c>
      <c r="X499" s="86" t="e">
        <f>((PI()*((42-2*'Gen Calcs'!$E$13)^2)/4)/144)*(A542-#REF!)*(W499+14.7)/14.7</f>
        <v>#REF!</v>
      </c>
      <c r="Y499" s="86" t="e">
        <f t="shared" si="142"/>
        <v>#REF!</v>
      </c>
      <c r="Z499" s="86" t="e">
        <f t="shared" si="143"/>
        <v>#REF!</v>
      </c>
      <c r="AA499" s="83">
        <f>MAX(B$2:B499)-B499</f>
        <v>0.48890000000005784</v>
      </c>
      <c r="AB499" s="83">
        <f t="shared" si="144"/>
        <v>0.21169370000002505</v>
      </c>
      <c r="AC499" s="83">
        <f t="shared" si="146"/>
        <v>120</v>
      </c>
      <c r="AD499" s="72">
        <v>120</v>
      </c>
      <c r="AE499" s="73">
        <f t="shared" si="153"/>
        <v>907.92027688745009</v>
      </c>
      <c r="AF499" s="73">
        <f>SUM(AE$2:AE499)</f>
        <v>410740.0419985347</v>
      </c>
      <c r="AG499" s="73">
        <f t="shared" si="154"/>
        <v>762989.8604285745</v>
      </c>
    </row>
    <row r="500" spans="1:33" x14ac:dyDescent="0.25">
      <c r="A500" s="100">
        <v>141299.92000000001</v>
      </c>
      <c r="B500" s="97">
        <v>824.34529999999995</v>
      </c>
      <c r="C500" s="97">
        <v>0.6</v>
      </c>
      <c r="D500" s="80">
        <f t="shared" si="155"/>
        <v>100</v>
      </c>
      <c r="E500" s="81">
        <f t="shared" si="147"/>
        <v>6791.2436711181272</v>
      </c>
      <c r="F500" s="81">
        <f>SUM(E$2:E500)</f>
        <v>3076148.3057674444</v>
      </c>
      <c r="G500" s="43">
        <f t="shared" si="145"/>
        <v>1</v>
      </c>
      <c r="H500" s="78">
        <v>1</v>
      </c>
      <c r="I500" s="15">
        <f t="shared" si="148"/>
        <v>0.6</v>
      </c>
      <c r="J500" s="16">
        <f>VLOOKUP(G500,Inputs!$L$3:$P$15,5,FALSE)</f>
        <v>2000</v>
      </c>
      <c r="K500" s="16">
        <f t="shared" si="149"/>
        <v>1825</v>
      </c>
      <c r="L500" s="79">
        <f>Inputs!$P$8-B500</f>
        <v>113.84570000000008</v>
      </c>
      <c r="M500" s="79">
        <f>Inputs!$Q$8+L500*0.433</f>
        <v>1874.2951881000001</v>
      </c>
      <c r="N500" s="82">
        <f t="shared" si="150"/>
        <v>141299.92000000001</v>
      </c>
      <c r="O500" s="83">
        <f t="shared" si="151"/>
        <v>824.34529999999995</v>
      </c>
      <c r="P500" s="84">
        <f>IF(O500="","",Inputs!$C$5-O500)</f>
        <v>0.83920000000000528</v>
      </c>
      <c r="Q500" s="83">
        <f>IF(N500="","",TS!J500)</f>
        <v>2000</v>
      </c>
      <c r="R500" s="83">
        <f>IF(N500="","",TS!K500)</f>
        <v>1825</v>
      </c>
      <c r="S500" s="83">
        <f>Inputs!$H$5+TS!P500*0.4333</f>
        <v>1875.32934181</v>
      </c>
      <c r="T500" s="83">
        <f>Inputs!$G$5+TS!P500*0.4333</f>
        <v>1890.32934181</v>
      </c>
      <c r="U500" s="85">
        <f t="shared" si="152"/>
        <v>0.945164670905</v>
      </c>
      <c r="V500" s="86">
        <f t="shared" si="140"/>
        <v>0</v>
      </c>
      <c r="W500" s="86">
        <f t="shared" si="141"/>
        <v>0</v>
      </c>
      <c r="X500" s="86" t="e">
        <f>((PI()*((42-2*'Gen Calcs'!$E$13)^2)/4)/144)*(A543-#REF!)*(W500+14.7)/14.7</f>
        <v>#REF!</v>
      </c>
      <c r="Y500" s="86" t="e">
        <f t="shared" si="142"/>
        <v>#REF!</v>
      </c>
      <c r="Z500" s="86" t="e">
        <f t="shared" si="143"/>
        <v>#REF!</v>
      </c>
      <c r="AA500" s="83">
        <f>MAX(B$2:B500)-B500</f>
        <v>3.0585000000000946</v>
      </c>
      <c r="AB500" s="83">
        <f t="shared" si="144"/>
        <v>1.3243305000000409</v>
      </c>
      <c r="AC500" s="83">
        <f t="shared" si="146"/>
        <v>120</v>
      </c>
      <c r="AD500" s="72">
        <v>120</v>
      </c>
      <c r="AE500" s="73">
        <f t="shared" si="153"/>
        <v>907.92027688745009</v>
      </c>
      <c r="AF500" s="73">
        <f>SUM(AE$2:AE500)</f>
        <v>411647.96227542212</v>
      </c>
      <c r="AG500" s="73">
        <f t="shared" si="154"/>
        <v>762081.94015168701</v>
      </c>
    </row>
    <row r="501" spans="1:33" x14ac:dyDescent="0.25">
      <c r="A501" s="99">
        <v>141399.92000000001</v>
      </c>
      <c r="B501" s="96">
        <v>820.59130000000005</v>
      </c>
      <c r="C501" s="96">
        <v>0.6</v>
      </c>
      <c r="D501" s="80">
        <f t="shared" si="155"/>
        <v>100</v>
      </c>
      <c r="E501" s="81">
        <f t="shared" si="147"/>
        <v>6791.2436711181272</v>
      </c>
      <c r="F501" s="81">
        <f>SUM(E$2:E501)</f>
        <v>3082939.5494385627</v>
      </c>
      <c r="G501" s="43">
        <f t="shared" si="145"/>
        <v>1</v>
      </c>
      <c r="H501" s="78">
        <v>1</v>
      </c>
      <c r="I501" s="15">
        <f t="shared" si="148"/>
        <v>0.6</v>
      </c>
      <c r="J501" s="16">
        <f>VLOOKUP(G501,Inputs!$L$3:$P$15,5,FALSE)</f>
        <v>2000</v>
      </c>
      <c r="K501" s="16">
        <f t="shared" si="149"/>
        <v>1825</v>
      </c>
      <c r="L501" s="79">
        <f>Inputs!$P$8-B501</f>
        <v>117.59969999999998</v>
      </c>
      <c r="M501" s="79">
        <f>Inputs!$Q$8+L501*0.433</f>
        <v>1875.9206701000001</v>
      </c>
      <c r="N501" s="82">
        <f t="shared" si="150"/>
        <v>141399.92000000001</v>
      </c>
      <c r="O501" s="83">
        <f t="shared" si="151"/>
        <v>820.59130000000005</v>
      </c>
      <c r="P501" s="84">
        <f>IF(O501="","",Inputs!$C$5-O501)</f>
        <v>4.5931999999999107</v>
      </c>
      <c r="Q501" s="83">
        <f>IF(N501="","",TS!J501)</f>
        <v>2000</v>
      </c>
      <c r="R501" s="83">
        <f>IF(N501="","",TS!K501)</f>
        <v>1825</v>
      </c>
      <c r="S501" s="83">
        <f>Inputs!$H$5+TS!P501*0.4333</f>
        <v>1876.9559500099999</v>
      </c>
      <c r="T501" s="83">
        <f>Inputs!$G$5+TS!P501*0.4333</f>
        <v>1891.9559500099999</v>
      </c>
      <c r="U501" s="85">
        <f t="shared" si="152"/>
        <v>0.94597797500499992</v>
      </c>
      <c r="V501" s="86">
        <f t="shared" si="140"/>
        <v>0</v>
      </c>
      <c r="W501" s="86">
        <f t="shared" si="141"/>
        <v>0</v>
      </c>
      <c r="X501" s="86" t="e">
        <f>((PI()*((42-2*'Gen Calcs'!$E$13)^2)/4)/144)*(A544-#REF!)*(W501+14.7)/14.7</f>
        <v>#REF!</v>
      </c>
      <c r="Y501" s="86" t="e">
        <f t="shared" si="142"/>
        <v>#REF!</v>
      </c>
      <c r="Z501" s="86" t="e">
        <f t="shared" si="143"/>
        <v>#REF!</v>
      </c>
      <c r="AA501" s="83">
        <f>MAX(B$2:B501)-B501</f>
        <v>6.8125</v>
      </c>
      <c r="AB501" s="83">
        <f t="shared" si="144"/>
        <v>2.9498125000000002</v>
      </c>
      <c r="AC501" s="83">
        <f t="shared" si="146"/>
        <v>120</v>
      </c>
      <c r="AD501" s="72">
        <v>120</v>
      </c>
      <c r="AE501" s="73">
        <f t="shared" si="153"/>
        <v>907.92027688745009</v>
      </c>
      <c r="AF501" s="73">
        <f>SUM(AE$2:AE501)</f>
        <v>412555.88255230954</v>
      </c>
      <c r="AG501" s="73">
        <f t="shared" si="154"/>
        <v>761174.01987479965</v>
      </c>
    </row>
    <row r="502" spans="1:33" x14ac:dyDescent="0.25">
      <c r="A502" s="100">
        <v>141499.92000000001</v>
      </c>
      <c r="B502" s="97">
        <v>816.46270000000004</v>
      </c>
      <c r="C502" s="97">
        <v>0.6</v>
      </c>
      <c r="D502" s="80">
        <f t="shared" si="155"/>
        <v>100</v>
      </c>
      <c r="E502" s="81">
        <f t="shared" si="147"/>
        <v>6791.2436711181272</v>
      </c>
      <c r="F502" s="81">
        <f>SUM(E$2:E502)</f>
        <v>3089730.793109681</v>
      </c>
      <c r="G502" s="43">
        <f t="shared" si="145"/>
        <v>1</v>
      </c>
      <c r="H502" s="78">
        <v>1</v>
      </c>
      <c r="I502" s="15">
        <f t="shared" si="148"/>
        <v>0.6</v>
      </c>
      <c r="J502" s="16">
        <f>VLOOKUP(G502,Inputs!$L$3:$P$15,5,FALSE)</f>
        <v>2000</v>
      </c>
      <c r="K502" s="16">
        <f t="shared" si="149"/>
        <v>1825</v>
      </c>
      <c r="L502" s="79">
        <f>Inputs!$P$8-B502</f>
        <v>121.72829999999999</v>
      </c>
      <c r="M502" s="79">
        <f>Inputs!$Q$8+L502*0.433</f>
        <v>1877.7083539</v>
      </c>
      <c r="N502" s="82">
        <f t="shared" si="150"/>
        <v>141499.92000000001</v>
      </c>
      <c r="O502" s="83">
        <f t="shared" si="151"/>
        <v>816.46270000000004</v>
      </c>
      <c r="P502" s="84">
        <f>IF(O502="","",Inputs!$C$5-O502)</f>
        <v>8.7217999999999165</v>
      </c>
      <c r="Q502" s="83">
        <f>IF(N502="","",TS!J502)</f>
        <v>2000</v>
      </c>
      <c r="R502" s="83">
        <f>IF(N502="","",TS!K502)</f>
        <v>1825</v>
      </c>
      <c r="S502" s="83">
        <f>Inputs!$H$5+TS!P502*0.4333</f>
        <v>1878.74487239</v>
      </c>
      <c r="T502" s="83">
        <f>Inputs!$G$5+TS!P502*0.4333</f>
        <v>1893.74487239</v>
      </c>
      <c r="U502" s="85">
        <f t="shared" si="152"/>
        <v>0.94687243619499994</v>
      </c>
      <c r="V502" s="86">
        <f t="shared" ref="V502:V565" si="156">O502-MAX(O502:O502)</f>
        <v>0</v>
      </c>
      <c r="W502" s="86">
        <f t="shared" ref="W502:W565" si="157">-(V502)*0.433</f>
        <v>0</v>
      </c>
      <c r="X502" s="86" t="e">
        <f>((PI()*((42-2*'Gen Calcs'!$E$13)^2)/4)/144)*(A545-#REF!)*(W502+14.7)/14.7</f>
        <v>#REF!</v>
      </c>
      <c r="Y502" s="86" t="e">
        <f t="shared" ref="Y502:Y565" si="158">X502/1000</f>
        <v>#REF!</v>
      </c>
      <c r="Z502" s="86" t="e">
        <f t="shared" ref="Z502:Z565" si="159">IF(Y502&gt;Z501,Y502,Z501)</f>
        <v>#REF!</v>
      </c>
      <c r="AA502" s="83">
        <f>MAX(B$2:B502)-B502</f>
        <v>10.941100000000006</v>
      </c>
      <c r="AB502" s="83">
        <f t="shared" ref="AB502:AB565" si="160">AA502*0.433</f>
        <v>4.7374963000000028</v>
      </c>
      <c r="AC502" s="83">
        <f t="shared" si="146"/>
        <v>120</v>
      </c>
      <c r="AD502" s="72">
        <v>120</v>
      </c>
      <c r="AE502" s="73">
        <f t="shared" si="153"/>
        <v>907.92027688745009</v>
      </c>
      <c r="AF502" s="73">
        <f>SUM(AE$2:AE502)</f>
        <v>413463.80282919697</v>
      </c>
      <c r="AG502" s="73">
        <f t="shared" si="154"/>
        <v>760266.09959791228</v>
      </c>
    </row>
    <row r="503" spans="1:33" x14ac:dyDescent="0.25">
      <c r="A503" s="99">
        <v>141599.92000000001</v>
      </c>
      <c r="B503" s="96">
        <v>811.9579</v>
      </c>
      <c r="C503" s="96">
        <v>0.6</v>
      </c>
      <c r="D503" s="80">
        <f t="shared" si="155"/>
        <v>100</v>
      </c>
      <c r="E503" s="81">
        <f t="shared" si="147"/>
        <v>6791.2436711181272</v>
      </c>
      <c r="F503" s="81">
        <f>SUM(E$2:E503)</f>
        <v>3096522.0367807993</v>
      </c>
      <c r="G503" s="43">
        <f t="shared" si="145"/>
        <v>1</v>
      </c>
      <c r="H503" s="78">
        <v>1</v>
      </c>
      <c r="I503" s="15">
        <f t="shared" si="148"/>
        <v>0.6</v>
      </c>
      <c r="J503" s="16">
        <f>VLOOKUP(G503,Inputs!$L$3:$P$15,5,FALSE)</f>
        <v>2000</v>
      </c>
      <c r="K503" s="16">
        <f t="shared" si="149"/>
        <v>1825</v>
      </c>
      <c r="L503" s="79">
        <f>Inputs!$P$8-B503</f>
        <v>126.23310000000004</v>
      </c>
      <c r="M503" s="79">
        <f>Inputs!$Q$8+L503*0.433</f>
        <v>1879.6589323000001</v>
      </c>
      <c r="N503" s="82">
        <f t="shared" si="150"/>
        <v>141599.92000000001</v>
      </c>
      <c r="O503" s="83">
        <f t="shared" si="151"/>
        <v>811.9579</v>
      </c>
      <c r="P503" s="84">
        <f>IF(O503="","",Inputs!$C$5-O503)</f>
        <v>13.226599999999962</v>
      </c>
      <c r="Q503" s="83">
        <f>IF(N503="","",TS!J503)</f>
        <v>2000</v>
      </c>
      <c r="R503" s="83">
        <f>IF(N503="","",TS!K503)</f>
        <v>1825</v>
      </c>
      <c r="S503" s="83">
        <f>Inputs!$H$5+TS!P503*0.4333</f>
        <v>1880.69680223</v>
      </c>
      <c r="T503" s="83">
        <f>Inputs!$G$5+TS!P503*0.4333</f>
        <v>1895.69680223</v>
      </c>
      <c r="U503" s="85">
        <f t="shared" si="152"/>
        <v>0.94784840111500002</v>
      </c>
      <c r="V503" s="86">
        <f t="shared" si="156"/>
        <v>0</v>
      </c>
      <c r="W503" s="86">
        <f t="shared" si="157"/>
        <v>0</v>
      </c>
      <c r="X503" s="86" t="e">
        <f>((PI()*((42-2*'Gen Calcs'!$E$13)^2)/4)/144)*(A546-#REF!)*(W503+14.7)/14.7</f>
        <v>#REF!</v>
      </c>
      <c r="Y503" s="86" t="e">
        <f t="shared" si="158"/>
        <v>#REF!</v>
      </c>
      <c r="Z503" s="86" t="e">
        <f t="shared" si="159"/>
        <v>#REF!</v>
      </c>
      <c r="AA503" s="83">
        <f>MAX(B$2:B503)-B503</f>
        <v>15.445900000000051</v>
      </c>
      <c r="AB503" s="83">
        <f t="shared" si="160"/>
        <v>6.6880747000000218</v>
      </c>
      <c r="AC503" s="83">
        <f t="shared" si="146"/>
        <v>120</v>
      </c>
      <c r="AD503" s="72">
        <v>120</v>
      </c>
      <c r="AE503" s="73">
        <f t="shared" si="153"/>
        <v>907.92027688745009</v>
      </c>
      <c r="AF503" s="73">
        <f>SUM(AE$2:AE503)</f>
        <v>414371.72310608439</v>
      </c>
      <c r="AG503" s="73">
        <f t="shared" si="154"/>
        <v>759358.1793210248</v>
      </c>
    </row>
    <row r="504" spans="1:33" x14ac:dyDescent="0.25">
      <c r="A504" s="100">
        <v>141699.92000000001</v>
      </c>
      <c r="B504" s="97">
        <v>807.49890000000005</v>
      </c>
      <c r="C504" s="97">
        <v>0.6</v>
      </c>
      <c r="D504" s="80">
        <f t="shared" si="155"/>
        <v>100</v>
      </c>
      <c r="E504" s="81">
        <f t="shared" si="147"/>
        <v>6791.2436711181272</v>
      </c>
      <c r="F504" s="81">
        <f>SUM(E$2:E504)</f>
        <v>3103313.2804519176</v>
      </c>
      <c r="G504" s="43">
        <f t="shared" si="145"/>
        <v>1</v>
      </c>
      <c r="H504" s="78">
        <v>1</v>
      </c>
      <c r="I504" s="15">
        <f t="shared" si="148"/>
        <v>0.6</v>
      </c>
      <c r="J504" s="16">
        <f>VLOOKUP(G504,Inputs!$L$3:$P$15,5,FALSE)</f>
        <v>2000</v>
      </c>
      <c r="K504" s="16">
        <f t="shared" si="149"/>
        <v>1825</v>
      </c>
      <c r="L504" s="79">
        <f>Inputs!$P$8-B504</f>
        <v>130.69209999999998</v>
      </c>
      <c r="M504" s="79">
        <f>Inputs!$Q$8+L504*0.433</f>
        <v>1881.5896792999999</v>
      </c>
      <c r="N504" s="82">
        <f t="shared" si="150"/>
        <v>141699.92000000001</v>
      </c>
      <c r="O504" s="83">
        <f t="shared" si="151"/>
        <v>807.49890000000005</v>
      </c>
      <c r="P504" s="84">
        <f>IF(O504="","",Inputs!$C$5-O504)</f>
        <v>17.685599999999909</v>
      </c>
      <c r="Q504" s="83">
        <f>IF(N504="","",TS!J504)</f>
        <v>2000</v>
      </c>
      <c r="R504" s="83">
        <f>IF(N504="","",TS!K504)</f>
        <v>1825</v>
      </c>
      <c r="S504" s="83">
        <f>Inputs!$H$5+TS!P504*0.4333</f>
        <v>1882.6288869299999</v>
      </c>
      <c r="T504" s="83">
        <f>Inputs!$G$5+TS!P504*0.4333</f>
        <v>1897.6288869299999</v>
      </c>
      <c r="U504" s="85">
        <f t="shared" si="152"/>
        <v>0.94881444346499999</v>
      </c>
      <c r="V504" s="86">
        <f t="shared" si="156"/>
        <v>0</v>
      </c>
      <c r="W504" s="86">
        <f t="shared" si="157"/>
        <v>0</v>
      </c>
      <c r="X504" s="86" t="e">
        <f>((PI()*((42-2*'Gen Calcs'!$E$13)^2)/4)/144)*(A547-#REF!)*(W504+14.7)/14.7</f>
        <v>#REF!</v>
      </c>
      <c r="Y504" s="86" t="e">
        <f t="shared" si="158"/>
        <v>#REF!</v>
      </c>
      <c r="Z504" s="86" t="e">
        <f t="shared" si="159"/>
        <v>#REF!</v>
      </c>
      <c r="AA504" s="83">
        <f>MAX(B$2:B504)-B504</f>
        <v>19.904899999999998</v>
      </c>
      <c r="AB504" s="83">
        <f t="shared" si="160"/>
        <v>8.6188216999999998</v>
      </c>
      <c r="AC504" s="83">
        <f t="shared" si="146"/>
        <v>120</v>
      </c>
      <c r="AD504" s="72">
        <v>120</v>
      </c>
      <c r="AE504" s="73">
        <f t="shared" si="153"/>
        <v>907.92027688745009</v>
      </c>
      <c r="AF504" s="73">
        <f>SUM(AE$2:AE504)</f>
        <v>415279.64338297182</v>
      </c>
      <c r="AG504" s="73">
        <f t="shared" si="154"/>
        <v>758450.25904413732</v>
      </c>
    </row>
    <row r="505" spans="1:33" x14ac:dyDescent="0.25">
      <c r="A505" s="99">
        <v>141799.92000000001</v>
      </c>
      <c r="B505" s="96">
        <v>804.23710000000005</v>
      </c>
      <c r="C505" s="96">
        <v>0.6</v>
      </c>
      <c r="D505" s="80">
        <f t="shared" si="155"/>
        <v>100</v>
      </c>
      <c r="E505" s="81">
        <f t="shared" si="147"/>
        <v>6791.2436711181272</v>
      </c>
      <c r="F505" s="81">
        <f>SUM(E$2:E505)</f>
        <v>3110104.5241230358</v>
      </c>
      <c r="G505" s="43">
        <f t="shared" si="145"/>
        <v>1</v>
      </c>
      <c r="H505" s="78">
        <v>1</v>
      </c>
      <c r="I505" s="15">
        <f t="shared" si="148"/>
        <v>0.6</v>
      </c>
      <c r="J505" s="16">
        <f>VLOOKUP(G505,Inputs!$L$3:$P$15,5,FALSE)</f>
        <v>2000</v>
      </c>
      <c r="K505" s="16">
        <f t="shared" si="149"/>
        <v>1825</v>
      </c>
      <c r="L505" s="79">
        <f>Inputs!$P$8-B505</f>
        <v>133.95389999999998</v>
      </c>
      <c r="M505" s="79">
        <f>Inputs!$Q$8+L505*0.433</f>
        <v>1883.0020387</v>
      </c>
      <c r="N505" s="82">
        <f t="shared" si="150"/>
        <v>141799.92000000001</v>
      </c>
      <c r="O505" s="83">
        <f t="shared" si="151"/>
        <v>804.23710000000005</v>
      </c>
      <c r="P505" s="84">
        <f>IF(O505="","",Inputs!$C$5-O505)</f>
        <v>20.947399999999902</v>
      </c>
      <c r="Q505" s="83">
        <f>IF(N505="","",TS!J505)</f>
        <v>2000</v>
      </c>
      <c r="R505" s="83">
        <f>IF(N505="","",TS!K505)</f>
        <v>1825</v>
      </c>
      <c r="S505" s="83">
        <f>Inputs!$H$5+TS!P505*0.4333</f>
        <v>1884.0422248699999</v>
      </c>
      <c r="T505" s="83">
        <f>Inputs!$G$5+TS!P505*0.4333</f>
        <v>1899.0422248699999</v>
      </c>
      <c r="U505" s="85">
        <f t="shared" si="152"/>
        <v>0.94952111243499993</v>
      </c>
      <c r="V505" s="86">
        <f t="shared" si="156"/>
        <v>0</v>
      </c>
      <c r="W505" s="86">
        <f t="shared" si="157"/>
        <v>0</v>
      </c>
      <c r="X505" s="86" t="e">
        <f>((PI()*((42-2*'Gen Calcs'!$E$13)^2)/4)/144)*(A548-#REF!)*(W505+14.7)/14.7</f>
        <v>#REF!</v>
      </c>
      <c r="Y505" s="86" t="e">
        <f t="shared" si="158"/>
        <v>#REF!</v>
      </c>
      <c r="Z505" s="86" t="e">
        <f t="shared" si="159"/>
        <v>#REF!</v>
      </c>
      <c r="AA505" s="83">
        <f>MAX(B$2:B505)-B505</f>
        <v>23.166699999999992</v>
      </c>
      <c r="AB505" s="83">
        <f t="shared" si="160"/>
        <v>10.031181099999996</v>
      </c>
      <c r="AC505" s="83">
        <f t="shared" si="146"/>
        <v>120</v>
      </c>
      <c r="AD505" s="72">
        <v>120</v>
      </c>
      <c r="AE505" s="73">
        <f t="shared" si="153"/>
        <v>907.92027688745009</v>
      </c>
      <c r="AF505" s="73">
        <f>SUM(AE$2:AE505)</f>
        <v>416187.56365985924</v>
      </c>
      <c r="AG505" s="73">
        <f t="shared" si="154"/>
        <v>757542.33876724995</v>
      </c>
    </row>
    <row r="506" spans="1:33" x14ac:dyDescent="0.25">
      <c r="A506" s="100">
        <v>141899.92000000001</v>
      </c>
      <c r="B506" s="97">
        <v>802.54819999999995</v>
      </c>
      <c r="C506" s="97">
        <v>0.6</v>
      </c>
      <c r="D506" s="80">
        <f t="shared" si="155"/>
        <v>100</v>
      </c>
      <c r="E506" s="81">
        <f t="shared" si="147"/>
        <v>6791.2436711181272</v>
      </c>
      <c r="F506" s="81">
        <f>SUM(E$2:E506)</f>
        <v>3116895.7677941541</v>
      </c>
      <c r="G506" s="43">
        <f t="shared" si="145"/>
        <v>1</v>
      </c>
      <c r="H506" s="78">
        <v>1</v>
      </c>
      <c r="I506" s="15">
        <f t="shared" si="148"/>
        <v>0.6</v>
      </c>
      <c r="J506" s="16">
        <f>VLOOKUP(G506,Inputs!$L$3:$P$15,5,FALSE)</f>
        <v>2000</v>
      </c>
      <c r="K506" s="16">
        <f t="shared" si="149"/>
        <v>1825</v>
      </c>
      <c r="L506" s="79">
        <f>Inputs!$P$8-B506</f>
        <v>135.64280000000008</v>
      </c>
      <c r="M506" s="79">
        <f>Inputs!$Q$8+L506*0.433</f>
        <v>1883.7333324000001</v>
      </c>
      <c r="N506" s="82">
        <f t="shared" si="150"/>
        <v>141899.92000000001</v>
      </c>
      <c r="O506" s="83">
        <f t="shared" si="151"/>
        <v>802.54819999999995</v>
      </c>
      <c r="P506" s="84">
        <f>IF(O506="","",Inputs!$C$5-O506)</f>
        <v>22.636300000000006</v>
      </c>
      <c r="Q506" s="83">
        <f>IF(N506="","",TS!J506)</f>
        <v>2000</v>
      </c>
      <c r="R506" s="83">
        <f>IF(N506="","",TS!K506)</f>
        <v>1825</v>
      </c>
      <c r="S506" s="83">
        <f>Inputs!$H$5+TS!P506*0.4333</f>
        <v>1884.7740252399999</v>
      </c>
      <c r="T506" s="83">
        <f>Inputs!$G$5+TS!P506*0.4333</f>
        <v>1899.7740252399999</v>
      </c>
      <c r="U506" s="85">
        <f t="shared" si="152"/>
        <v>0.94988701261999997</v>
      </c>
      <c r="V506" s="86">
        <f t="shared" si="156"/>
        <v>0</v>
      </c>
      <c r="W506" s="86">
        <f t="shared" si="157"/>
        <v>0</v>
      </c>
      <c r="X506" s="86" t="e">
        <f>((PI()*((42-2*'Gen Calcs'!$E$13)^2)/4)/144)*(A549-#REF!)*(W506+14.7)/14.7</f>
        <v>#REF!</v>
      </c>
      <c r="Y506" s="86" t="e">
        <f t="shared" si="158"/>
        <v>#REF!</v>
      </c>
      <c r="Z506" s="86" t="e">
        <f t="shared" si="159"/>
        <v>#REF!</v>
      </c>
      <c r="AA506" s="83">
        <f>MAX(B$2:B506)-B506</f>
        <v>24.855600000000095</v>
      </c>
      <c r="AB506" s="83">
        <f t="shared" si="160"/>
        <v>10.762474800000041</v>
      </c>
      <c r="AC506" s="83">
        <f t="shared" si="146"/>
        <v>120</v>
      </c>
      <c r="AD506" s="72">
        <v>120</v>
      </c>
      <c r="AE506" s="73">
        <f t="shared" si="153"/>
        <v>907.92027688745009</v>
      </c>
      <c r="AF506" s="73">
        <f>SUM(AE$2:AE506)</f>
        <v>417095.48393674666</v>
      </c>
      <c r="AG506" s="73">
        <f t="shared" si="154"/>
        <v>756634.41849036259</v>
      </c>
    </row>
    <row r="507" spans="1:33" x14ac:dyDescent="0.25">
      <c r="A507" s="99">
        <v>141999.92000000001</v>
      </c>
      <c r="B507" s="96">
        <v>801.17409999999995</v>
      </c>
      <c r="C507" s="96">
        <v>0.6</v>
      </c>
      <c r="D507" s="80">
        <f t="shared" si="155"/>
        <v>100</v>
      </c>
      <c r="E507" s="81">
        <f t="shared" si="147"/>
        <v>6791.2436711181272</v>
      </c>
      <c r="F507" s="81">
        <f>SUM(E$2:E507)</f>
        <v>3123687.0114652724</v>
      </c>
      <c r="G507" s="43">
        <f t="shared" si="145"/>
        <v>1</v>
      </c>
      <c r="H507" s="78">
        <v>1</v>
      </c>
      <c r="I507" s="15">
        <f t="shared" si="148"/>
        <v>0.6</v>
      </c>
      <c r="J507" s="16">
        <f>VLOOKUP(G507,Inputs!$L$3:$P$15,5,FALSE)</f>
        <v>2000</v>
      </c>
      <c r="K507" s="16">
        <f t="shared" si="149"/>
        <v>1825</v>
      </c>
      <c r="L507" s="79">
        <f>Inputs!$P$8-B507</f>
        <v>137.01690000000008</v>
      </c>
      <c r="M507" s="79">
        <f>Inputs!$Q$8+L507*0.433</f>
        <v>1884.3283177000001</v>
      </c>
      <c r="N507" s="82">
        <f t="shared" si="150"/>
        <v>141999.92000000001</v>
      </c>
      <c r="O507" s="83">
        <f t="shared" si="151"/>
        <v>801.17409999999995</v>
      </c>
      <c r="P507" s="84">
        <f>IF(O507="","",Inputs!$C$5-O507)</f>
        <v>24.010400000000004</v>
      </c>
      <c r="Q507" s="83">
        <f>IF(N507="","",TS!J507)</f>
        <v>2000</v>
      </c>
      <c r="R507" s="83">
        <f>IF(N507="","",TS!K507)</f>
        <v>1825</v>
      </c>
      <c r="S507" s="83">
        <f>Inputs!$H$5+TS!P507*0.4333</f>
        <v>1885.36942277</v>
      </c>
      <c r="T507" s="83">
        <f>Inputs!$G$5+TS!P507*0.4333</f>
        <v>1900.36942277</v>
      </c>
      <c r="U507" s="85">
        <f t="shared" si="152"/>
        <v>0.95018471138500005</v>
      </c>
      <c r="V507" s="86">
        <f t="shared" si="156"/>
        <v>0</v>
      </c>
      <c r="W507" s="86">
        <f t="shared" si="157"/>
        <v>0</v>
      </c>
      <c r="X507" s="86" t="e">
        <f>((PI()*((42-2*'Gen Calcs'!$E$13)^2)/4)/144)*(A550-#REF!)*(W507+14.7)/14.7</f>
        <v>#REF!</v>
      </c>
      <c r="Y507" s="86" t="e">
        <f t="shared" si="158"/>
        <v>#REF!</v>
      </c>
      <c r="Z507" s="86" t="e">
        <f t="shared" si="159"/>
        <v>#REF!</v>
      </c>
      <c r="AA507" s="83">
        <f>MAX(B$2:B507)-B507</f>
        <v>26.229700000000093</v>
      </c>
      <c r="AB507" s="83">
        <f t="shared" si="160"/>
        <v>11.35746010000004</v>
      </c>
      <c r="AC507" s="83">
        <f t="shared" si="146"/>
        <v>120</v>
      </c>
      <c r="AD507" s="72">
        <v>120</v>
      </c>
      <c r="AE507" s="73">
        <f t="shared" si="153"/>
        <v>907.92027688745009</v>
      </c>
      <c r="AF507" s="73">
        <f>SUM(AE$2:AE507)</f>
        <v>418003.40421363409</v>
      </c>
      <c r="AG507" s="73">
        <f t="shared" si="154"/>
        <v>755726.4982134751</v>
      </c>
    </row>
    <row r="508" spans="1:33" x14ac:dyDescent="0.25">
      <c r="A508" s="100">
        <v>142099.92000000001</v>
      </c>
      <c r="B508" s="97">
        <v>800.67539999999997</v>
      </c>
      <c r="C508" s="97">
        <v>0.6</v>
      </c>
      <c r="D508" s="80">
        <f t="shared" si="155"/>
        <v>100</v>
      </c>
      <c r="E508" s="81">
        <f t="shared" si="147"/>
        <v>6791.2436711181272</v>
      </c>
      <c r="F508" s="81">
        <f>SUM(E$2:E508)</f>
        <v>3130478.2551363907</v>
      </c>
      <c r="G508" s="43">
        <f t="shared" si="145"/>
        <v>1</v>
      </c>
      <c r="H508" s="78">
        <v>1</v>
      </c>
      <c r="I508" s="15">
        <f t="shared" si="148"/>
        <v>0.6</v>
      </c>
      <c r="J508" s="16">
        <f>VLOOKUP(G508,Inputs!$L$3:$P$15,5,FALSE)</f>
        <v>2000</v>
      </c>
      <c r="K508" s="16">
        <f t="shared" si="149"/>
        <v>1825</v>
      </c>
      <c r="L508" s="79">
        <f>Inputs!$P$8-B508</f>
        <v>137.51560000000006</v>
      </c>
      <c r="M508" s="79">
        <f>Inputs!$Q$8+L508*0.433</f>
        <v>1884.5442548000001</v>
      </c>
      <c r="N508" s="82">
        <f t="shared" si="150"/>
        <v>142099.92000000001</v>
      </c>
      <c r="O508" s="83">
        <f t="shared" si="151"/>
        <v>800.67539999999997</v>
      </c>
      <c r="P508" s="84">
        <f>IF(O508="","",Inputs!$C$5-O508)</f>
        <v>24.509099999999989</v>
      </c>
      <c r="Q508" s="83">
        <f>IF(N508="","",TS!J508)</f>
        <v>2000</v>
      </c>
      <c r="R508" s="83">
        <f>IF(N508="","",TS!K508)</f>
        <v>1825</v>
      </c>
      <c r="S508" s="83">
        <f>Inputs!$H$5+TS!P508*0.4333</f>
        <v>1885.5855094799999</v>
      </c>
      <c r="T508" s="83">
        <f>Inputs!$G$5+TS!P508*0.4333</f>
        <v>1900.5855094799999</v>
      </c>
      <c r="U508" s="85">
        <f t="shared" si="152"/>
        <v>0.95029275473999997</v>
      </c>
      <c r="V508" s="86">
        <f t="shared" si="156"/>
        <v>0</v>
      </c>
      <c r="W508" s="86">
        <f t="shared" si="157"/>
        <v>0</v>
      </c>
      <c r="X508" s="86" t="e">
        <f>((PI()*((42-2*'Gen Calcs'!$E$13)^2)/4)/144)*(A551-#REF!)*(W508+14.7)/14.7</f>
        <v>#REF!</v>
      </c>
      <c r="Y508" s="86" t="e">
        <f t="shared" si="158"/>
        <v>#REF!</v>
      </c>
      <c r="Z508" s="86" t="e">
        <f t="shared" si="159"/>
        <v>#REF!</v>
      </c>
      <c r="AA508" s="83">
        <f>MAX(B$2:B508)-B508</f>
        <v>26.728400000000079</v>
      </c>
      <c r="AB508" s="83">
        <f t="shared" si="160"/>
        <v>11.573397200000034</v>
      </c>
      <c r="AC508" s="83">
        <f t="shared" si="146"/>
        <v>120</v>
      </c>
      <c r="AD508" s="72">
        <v>120</v>
      </c>
      <c r="AE508" s="73">
        <f t="shared" si="153"/>
        <v>907.92027688745009</v>
      </c>
      <c r="AF508" s="73">
        <f>SUM(AE$2:AE508)</f>
        <v>418911.32449052151</v>
      </c>
      <c r="AG508" s="73">
        <f t="shared" si="154"/>
        <v>754818.57793658762</v>
      </c>
    </row>
    <row r="509" spans="1:33" x14ac:dyDescent="0.25">
      <c r="A509" s="99">
        <v>142199.92000000001</v>
      </c>
      <c r="B509" s="96">
        <v>800.53520000000003</v>
      </c>
      <c r="C509" s="96">
        <v>0.6</v>
      </c>
      <c r="D509" s="80">
        <f t="shared" si="155"/>
        <v>100</v>
      </c>
      <c r="E509" s="81">
        <f t="shared" si="147"/>
        <v>6791.2436711181272</v>
      </c>
      <c r="F509" s="81">
        <f>SUM(E$2:E509)</f>
        <v>3137269.498807509</v>
      </c>
      <c r="G509" s="43">
        <f t="shared" si="145"/>
        <v>1</v>
      </c>
      <c r="H509" s="78">
        <v>1</v>
      </c>
      <c r="I509" s="15">
        <f t="shared" si="148"/>
        <v>0.6</v>
      </c>
      <c r="J509" s="16">
        <f>VLOOKUP(G509,Inputs!$L$3:$P$15,5,FALSE)</f>
        <v>2000</v>
      </c>
      <c r="K509" s="16">
        <f t="shared" si="149"/>
        <v>1825</v>
      </c>
      <c r="L509" s="79">
        <f>Inputs!$P$8-B509</f>
        <v>137.6558</v>
      </c>
      <c r="M509" s="79">
        <f>Inputs!$Q$8+L509*0.433</f>
        <v>1884.6049614000001</v>
      </c>
      <c r="N509" s="82">
        <f t="shared" si="150"/>
        <v>142199.92000000001</v>
      </c>
      <c r="O509" s="83">
        <f t="shared" si="151"/>
        <v>800.53520000000003</v>
      </c>
      <c r="P509" s="84">
        <f>IF(O509="","",Inputs!$C$5-O509)</f>
        <v>24.649299999999926</v>
      </c>
      <c r="Q509" s="83">
        <f>IF(N509="","",TS!J509)</f>
        <v>2000</v>
      </c>
      <c r="R509" s="83">
        <f>IF(N509="","",TS!K509)</f>
        <v>1825</v>
      </c>
      <c r="S509" s="83">
        <f>Inputs!$H$5+TS!P509*0.4333</f>
        <v>1885.6462581399999</v>
      </c>
      <c r="T509" s="83">
        <f>Inputs!$G$5+TS!P509*0.4333</f>
        <v>1900.6462581399999</v>
      </c>
      <c r="U509" s="85">
        <f t="shared" si="152"/>
        <v>0.95032312906999994</v>
      </c>
      <c r="V509" s="86">
        <f t="shared" si="156"/>
        <v>0</v>
      </c>
      <c r="W509" s="86">
        <f t="shared" si="157"/>
        <v>0</v>
      </c>
      <c r="X509" s="86" t="e">
        <f>((PI()*((42-2*'Gen Calcs'!$E$13)^2)/4)/144)*(A552-#REF!)*(W509+14.7)/14.7</f>
        <v>#REF!</v>
      </c>
      <c r="Y509" s="86" t="e">
        <f t="shared" si="158"/>
        <v>#REF!</v>
      </c>
      <c r="Z509" s="86" t="e">
        <f t="shared" si="159"/>
        <v>#REF!</v>
      </c>
      <c r="AA509" s="83">
        <f>MAX(B$2:B509)-B509</f>
        <v>26.868600000000015</v>
      </c>
      <c r="AB509" s="83">
        <f t="shared" si="160"/>
        <v>11.634103800000007</v>
      </c>
      <c r="AC509" s="83">
        <f t="shared" si="146"/>
        <v>120</v>
      </c>
      <c r="AD509" s="72">
        <v>120</v>
      </c>
      <c r="AE509" s="73">
        <f t="shared" si="153"/>
        <v>907.92027688745009</v>
      </c>
      <c r="AF509" s="73">
        <f>SUM(AE$2:AE509)</f>
        <v>419819.24476740893</v>
      </c>
      <c r="AG509" s="73">
        <f t="shared" si="154"/>
        <v>753910.65765970026</v>
      </c>
    </row>
    <row r="510" spans="1:33" x14ac:dyDescent="0.25">
      <c r="A510" s="100">
        <v>142299.92000000001</v>
      </c>
      <c r="B510" s="97">
        <v>799.94529999999997</v>
      </c>
      <c r="C510" s="97">
        <v>0.6</v>
      </c>
      <c r="D510" s="80">
        <f t="shared" si="155"/>
        <v>100</v>
      </c>
      <c r="E510" s="81">
        <f t="shared" si="147"/>
        <v>6791.2436711181272</v>
      </c>
      <c r="F510" s="81">
        <f>SUM(E$2:E510)</f>
        <v>3144060.7424786272</v>
      </c>
      <c r="G510" s="43">
        <f t="shared" si="145"/>
        <v>1</v>
      </c>
      <c r="H510" s="78">
        <v>1</v>
      </c>
      <c r="I510" s="15">
        <f t="shared" si="148"/>
        <v>0.6</v>
      </c>
      <c r="J510" s="16">
        <f>VLOOKUP(G510,Inputs!$L$3:$P$15,5,FALSE)</f>
        <v>2000</v>
      </c>
      <c r="K510" s="16">
        <f t="shared" si="149"/>
        <v>1825</v>
      </c>
      <c r="L510" s="79">
        <f>Inputs!$P$8-B510</f>
        <v>138.24570000000006</v>
      </c>
      <c r="M510" s="79">
        <f>Inputs!$Q$8+L510*0.433</f>
        <v>1884.8603880999999</v>
      </c>
      <c r="N510" s="82">
        <f t="shared" si="150"/>
        <v>142299.92000000001</v>
      </c>
      <c r="O510" s="83">
        <f t="shared" si="151"/>
        <v>799.94529999999997</v>
      </c>
      <c r="P510" s="84">
        <f>IF(O510="","",Inputs!$C$5-O510)</f>
        <v>25.239199999999983</v>
      </c>
      <c r="Q510" s="83">
        <f>IF(N510="","",TS!J510)</f>
        <v>2000</v>
      </c>
      <c r="R510" s="83">
        <f>IF(N510="","",TS!K510)</f>
        <v>1825</v>
      </c>
      <c r="S510" s="83">
        <f>Inputs!$H$5+TS!P510*0.4333</f>
        <v>1885.9018618099999</v>
      </c>
      <c r="T510" s="83">
        <f>Inputs!$G$5+TS!P510*0.4333</f>
        <v>1900.9018618099999</v>
      </c>
      <c r="U510" s="85">
        <f t="shared" si="152"/>
        <v>0.95045093090499999</v>
      </c>
      <c r="V510" s="86">
        <f t="shared" si="156"/>
        <v>0</v>
      </c>
      <c r="W510" s="86">
        <f t="shared" si="157"/>
        <v>0</v>
      </c>
      <c r="X510" s="86" t="e">
        <f>((PI()*((42-2*'Gen Calcs'!$E$13)^2)/4)/144)*(A553-#REF!)*(W510+14.7)/14.7</f>
        <v>#REF!</v>
      </c>
      <c r="Y510" s="86" t="e">
        <f t="shared" si="158"/>
        <v>#REF!</v>
      </c>
      <c r="Z510" s="86" t="e">
        <f t="shared" si="159"/>
        <v>#REF!</v>
      </c>
      <c r="AA510" s="83">
        <f>MAX(B$2:B510)-B510</f>
        <v>27.458500000000072</v>
      </c>
      <c r="AB510" s="83">
        <f t="shared" si="160"/>
        <v>11.889530500000031</v>
      </c>
      <c r="AC510" s="83">
        <f t="shared" si="146"/>
        <v>120</v>
      </c>
      <c r="AD510" s="72">
        <v>120</v>
      </c>
      <c r="AE510" s="73">
        <f t="shared" si="153"/>
        <v>907.92027688745009</v>
      </c>
      <c r="AF510" s="73">
        <f>SUM(AE$2:AE510)</f>
        <v>420727.16504429636</v>
      </c>
      <c r="AG510" s="73">
        <f t="shared" si="154"/>
        <v>753002.73738281289</v>
      </c>
    </row>
    <row r="511" spans="1:33" x14ac:dyDescent="0.25">
      <c r="A511" s="99">
        <v>142399.92000000001</v>
      </c>
      <c r="B511" s="96">
        <v>798.42639999999994</v>
      </c>
      <c r="C511" s="96">
        <v>0.6</v>
      </c>
      <c r="D511" s="80">
        <f t="shared" si="155"/>
        <v>100</v>
      </c>
      <c r="E511" s="81">
        <f t="shared" si="147"/>
        <v>6791.2436711181272</v>
      </c>
      <c r="F511" s="81">
        <f>SUM(E$2:E511)</f>
        <v>3150851.9861497455</v>
      </c>
      <c r="G511" s="43">
        <f t="shared" si="145"/>
        <v>1</v>
      </c>
      <c r="H511" s="78">
        <v>1</v>
      </c>
      <c r="I511" s="15">
        <f t="shared" si="148"/>
        <v>0.6</v>
      </c>
      <c r="J511" s="16">
        <f>VLOOKUP(G511,Inputs!$L$3:$P$15,5,FALSE)</f>
        <v>2000</v>
      </c>
      <c r="K511" s="16">
        <f t="shared" si="149"/>
        <v>1825</v>
      </c>
      <c r="L511" s="79">
        <f>Inputs!$P$8-B511</f>
        <v>139.76460000000009</v>
      </c>
      <c r="M511" s="79">
        <f>Inputs!$Q$8+L511*0.433</f>
        <v>1885.5180718000001</v>
      </c>
      <c r="N511" s="82">
        <f t="shared" si="150"/>
        <v>142399.92000000001</v>
      </c>
      <c r="O511" s="83">
        <f t="shared" si="151"/>
        <v>798.42639999999994</v>
      </c>
      <c r="P511" s="84">
        <f>IF(O511="","",Inputs!$C$5-O511)</f>
        <v>26.758100000000013</v>
      </c>
      <c r="Q511" s="83">
        <f>IF(N511="","",TS!J511)</f>
        <v>2000</v>
      </c>
      <c r="R511" s="83">
        <f>IF(N511="","",TS!K511)</f>
        <v>1825</v>
      </c>
      <c r="S511" s="83">
        <f>Inputs!$H$5+TS!P511*0.4333</f>
        <v>1886.56000118</v>
      </c>
      <c r="T511" s="83">
        <f>Inputs!$G$5+TS!P511*0.4333</f>
        <v>1901.56000118</v>
      </c>
      <c r="U511" s="85">
        <f t="shared" si="152"/>
        <v>0.95078000059000001</v>
      </c>
      <c r="V511" s="86">
        <f t="shared" si="156"/>
        <v>0</v>
      </c>
      <c r="W511" s="86">
        <f t="shared" si="157"/>
        <v>0</v>
      </c>
      <c r="X511" s="86" t="e">
        <f>((PI()*((42-2*'Gen Calcs'!$E$13)^2)/4)/144)*(A554-#REF!)*(W511+14.7)/14.7</f>
        <v>#REF!</v>
      </c>
      <c r="Y511" s="86" t="e">
        <f t="shared" si="158"/>
        <v>#REF!</v>
      </c>
      <c r="Z511" s="86" t="e">
        <f t="shared" si="159"/>
        <v>#REF!</v>
      </c>
      <c r="AA511" s="83">
        <f>MAX(B$2:B511)-B511</f>
        <v>28.977400000000102</v>
      </c>
      <c r="AB511" s="83">
        <f t="shared" si="160"/>
        <v>12.547214200000044</v>
      </c>
      <c r="AC511" s="83">
        <f t="shared" si="146"/>
        <v>120</v>
      </c>
      <c r="AD511" s="72">
        <v>120</v>
      </c>
      <c r="AE511" s="73">
        <f t="shared" si="153"/>
        <v>907.92027688745009</v>
      </c>
      <c r="AF511" s="73">
        <f>SUM(AE$2:AE511)</f>
        <v>421635.08532118378</v>
      </c>
      <c r="AG511" s="73">
        <f t="shared" si="154"/>
        <v>752094.81710592541</v>
      </c>
    </row>
    <row r="512" spans="1:33" x14ac:dyDescent="0.25">
      <c r="A512" s="100">
        <v>142427</v>
      </c>
      <c r="B512" s="97">
        <v>798.42639999999994</v>
      </c>
      <c r="C512" s="97">
        <v>0.86399999999999999</v>
      </c>
      <c r="D512" s="80">
        <f t="shared" si="155"/>
        <v>27.079999999987194</v>
      </c>
      <c r="E512" s="81">
        <f t="shared" si="147"/>
        <v>1791.777355026976</v>
      </c>
      <c r="F512" s="81">
        <f>SUM(E$2:E512)</f>
        <v>3152643.7635047724</v>
      </c>
      <c r="G512" s="43">
        <f t="shared" si="145"/>
        <v>2</v>
      </c>
      <c r="H512" s="78">
        <v>1</v>
      </c>
      <c r="I512" s="15">
        <f t="shared" si="148"/>
        <v>0.86399999999999999</v>
      </c>
      <c r="J512" s="16">
        <f>VLOOKUP(G512,Inputs!$L$3:$P$15,5,FALSE)</f>
        <v>2880</v>
      </c>
      <c r="K512" s="16">
        <f t="shared" si="149"/>
        <v>1825</v>
      </c>
      <c r="L512" s="79">
        <f>Inputs!$P$8-B512</f>
        <v>139.76460000000009</v>
      </c>
      <c r="M512" s="79">
        <f>Inputs!$Q$8+L512*0.433</f>
        <v>1885.5180718000001</v>
      </c>
      <c r="N512" s="82">
        <f t="shared" si="150"/>
        <v>142427</v>
      </c>
      <c r="O512" s="83">
        <f t="shared" si="151"/>
        <v>798.42639999999994</v>
      </c>
      <c r="P512" s="84">
        <f>IF(O512="","",Inputs!$C$5-O512)</f>
        <v>26.758100000000013</v>
      </c>
      <c r="Q512" s="83">
        <f>IF(N512="","",TS!J512)</f>
        <v>2880</v>
      </c>
      <c r="R512" s="83">
        <f>IF(N512="","",TS!K512)</f>
        <v>1825</v>
      </c>
      <c r="S512" s="83">
        <f>Inputs!$H$5+TS!P512*0.4333</f>
        <v>1886.56000118</v>
      </c>
      <c r="T512" s="83">
        <f>Inputs!$G$5+TS!P512*0.4333</f>
        <v>1901.56000118</v>
      </c>
      <c r="U512" s="85">
        <f t="shared" si="152"/>
        <v>0.66026388929861113</v>
      </c>
      <c r="V512" s="86">
        <f t="shared" si="156"/>
        <v>0</v>
      </c>
      <c r="W512" s="86">
        <f t="shared" si="157"/>
        <v>0</v>
      </c>
      <c r="X512" s="86" t="e">
        <f>((PI()*((42-2*'Gen Calcs'!$E$13)^2)/4)/144)*(A555-#REF!)*(W512+14.7)/14.7</f>
        <v>#REF!</v>
      </c>
      <c r="Y512" s="86" t="e">
        <f t="shared" si="158"/>
        <v>#REF!</v>
      </c>
      <c r="Z512" s="86" t="e">
        <f t="shared" si="159"/>
        <v>#REF!</v>
      </c>
      <c r="AA512" s="83">
        <f>MAX(B$2:B512)-B512</f>
        <v>28.977400000000102</v>
      </c>
      <c r="AB512" s="83">
        <f t="shared" si="160"/>
        <v>12.547214200000044</v>
      </c>
      <c r="AC512" s="83">
        <f t="shared" si="146"/>
        <v>120</v>
      </c>
      <c r="AD512" s="72">
        <v>120</v>
      </c>
      <c r="AE512" s="73">
        <f t="shared" si="153"/>
        <v>239.54242714264385</v>
      </c>
      <c r="AF512" s="73">
        <f>SUM(AE$2:AE512)</f>
        <v>421874.6277483264</v>
      </c>
      <c r="AG512" s="73">
        <f t="shared" si="154"/>
        <v>751855.27467878279</v>
      </c>
    </row>
    <row r="513" spans="1:33" x14ac:dyDescent="0.25">
      <c r="A513" s="99">
        <v>142499.92000000001</v>
      </c>
      <c r="B513" s="96">
        <v>795.91930000000002</v>
      </c>
      <c r="C513" s="96">
        <v>0.6</v>
      </c>
      <c r="D513" s="80">
        <f t="shared" si="155"/>
        <v>72.920000000012806</v>
      </c>
      <c r="E513" s="81">
        <f t="shared" si="147"/>
        <v>4952.1748849802079</v>
      </c>
      <c r="F513" s="81">
        <f>SUM(E$2:E513)</f>
        <v>3157595.9383897525</v>
      </c>
      <c r="G513" s="43">
        <f t="shared" si="145"/>
        <v>1</v>
      </c>
      <c r="H513" s="78">
        <v>1</v>
      </c>
      <c r="I513" s="15">
        <f t="shared" si="148"/>
        <v>0.6</v>
      </c>
      <c r="J513" s="16">
        <f>VLOOKUP(G513,Inputs!$L$3:$P$15,5,FALSE)</f>
        <v>2000</v>
      </c>
      <c r="K513" s="16">
        <f t="shared" si="149"/>
        <v>1825</v>
      </c>
      <c r="L513" s="79">
        <f>Inputs!$P$8-B513</f>
        <v>142.27170000000001</v>
      </c>
      <c r="M513" s="79">
        <f>Inputs!$Q$8+L513*0.433</f>
        <v>1886.6036461000001</v>
      </c>
      <c r="N513" s="82">
        <f t="shared" si="150"/>
        <v>142499.92000000001</v>
      </c>
      <c r="O513" s="83">
        <f t="shared" si="151"/>
        <v>795.91930000000002</v>
      </c>
      <c r="P513" s="84">
        <f>IF(O513="","",Inputs!$C$5-O513)</f>
        <v>29.265199999999936</v>
      </c>
      <c r="Q513" s="83">
        <f>IF(N513="","",TS!J513)</f>
        <v>2000</v>
      </c>
      <c r="R513" s="83">
        <f>IF(N513="","",TS!K513)</f>
        <v>1825</v>
      </c>
      <c r="S513" s="83">
        <f>Inputs!$H$5+TS!P513*0.4333</f>
        <v>1887.6463276099998</v>
      </c>
      <c r="T513" s="83">
        <f>Inputs!$G$5+TS!P513*0.4333</f>
        <v>1902.6463276099998</v>
      </c>
      <c r="U513" s="85">
        <f t="shared" si="152"/>
        <v>0.95132316380499993</v>
      </c>
      <c r="V513" s="86">
        <f t="shared" si="156"/>
        <v>0</v>
      </c>
      <c r="W513" s="86">
        <f t="shared" si="157"/>
        <v>0</v>
      </c>
      <c r="X513" s="86" t="e">
        <f>((PI()*((42-2*'Gen Calcs'!$E$13)^2)/4)/144)*(A556-#REF!)*(W513+14.7)/14.7</f>
        <v>#REF!</v>
      </c>
      <c r="Y513" s="86" t="e">
        <f t="shared" si="158"/>
        <v>#REF!</v>
      </c>
      <c r="Z513" s="86" t="e">
        <f t="shared" si="159"/>
        <v>#REF!</v>
      </c>
      <c r="AA513" s="83">
        <f>MAX(B$2:B513)-B513</f>
        <v>31.484500000000025</v>
      </c>
      <c r="AB513" s="83">
        <f t="shared" si="160"/>
        <v>13.632788500000011</v>
      </c>
      <c r="AC513" s="83">
        <f t="shared" si="146"/>
        <v>120</v>
      </c>
      <c r="AD513" s="72">
        <v>120</v>
      </c>
      <c r="AE513" s="73">
        <f t="shared" si="153"/>
        <v>662.05546590644485</v>
      </c>
      <c r="AF513" s="73">
        <f>SUM(AE$2:AE513)</f>
        <v>422536.68321423285</v>
      </c>
      <c r="AG513" s="73">
        <f t="shared" si="154"/>
        <v>751193.2192128764</v>
      </c>
    </row>
    <row r="514" spans="1:33" x14ac:dyDescent="0.25">
      <c r="A514" s="100">
        <v>142507</v>
      </c>
      <c r="B514" s="97">
        <v>795.91930000000002</v>
      </c>
      <c r="C514" s="97">
        <v>0.86399999999999999</v>
      </c>
      <c r="D514" s="80">
        <f t="shared" si="155"/>
        <v>7.0799999999871943</v>
      </c>
      <c r="E514" s="81">
        <f t="shared" si="147"/>
        <v>468.45582251011979</v>
      </c>
      <c r="F514" s="81">
        <f>SUM(E$2:E514)</f>
        <v>3158064.3942122627</v>
      </c>
      <c r="G514" s="43">
        <f t="shared" si="145"/>
        <v>2</v>
      </c>
      <c r="H514" s="78">
        <v>1</v>
      </c>
      <c r="I514" s="15">
        <f t="shared" si="148"/>
        <v>0.86399999999999999</v>
      </c>
      <c r="J514" s="16">
        <f>VLOOKUP(G514,Inputs!$L$3:$P$15,5,FALSE)</f>
        <v>2880</v>
      </c>
      <c r="K514" s="16">
        <f t="shared" si="149"/>
        <v>1825</v>
      </c>
      <c r="L514" s="79">
        <f>Inputs!$P$8-B514</f>
        <v>142.27170000000001</v>
      </c>
      <c r="M514" s="79">
        <f>Inputs!$Q$8+L514*0.433</f>
        <v>1886.6036461000001</v>
      </c>
      <c r="N514" s="82">
        <f t="shared" si="150"/>
        <v>142507</v>
      </c>
      <c r="O514" s="83">
        <f t="shared" si="151"/>
        <v>795.91930000000002</v>
      </c>
      <c r="P514" s="84">
        <f>IF(O514="","",Inputs!$C$5-O514)</f>
        <v>29.265199999999936</v>
      </c>
      <c r="Q514" s="83">
        <f>IF(N514="","",TS!J514)</f>
        <v>2880</v>
      </c>
      <c r="R514" s="83">
        <f>IF(N514="","",TS!K514)</f>
        <v>1825</v>
      </c>
      <c r="S514" s="83">
        <f>Inputs!$H$5+TS!P514*0.4333</f>
        <v>1887.6463276099998</v>
      </c>
      <c r="T514" s="83">
        <f>Inputs!$G$5+TS!P514*0.4333</f>
        <v>1902.6463276099998</v>
      </c>
      <c r="U514" s="85">
        <f t="shared" si="152"/>
        <v>0.66064108597569438</v>
      </c>
      <c r="V514" s="86">
        <f t="shared" si="156"/>
        <v>0</v>
      </c>
      <c r="W514" s="86">
        <f t="shared" si="157"/>
        <v>0</v>
      </c>
      <c r="X514" s="86" t="e">
        <f>((PI()*((42-2*'Gen Calcs'!$E$13)^2)/4)/144)*(A557-#REF!)*(W514+14.7)/14.7</f>
        <v>#REF!</v>
      </c>
      <c r="Y514" s="86" t="e">
        <f t="shared" si="158"/>
        <v>#REF!</v>
      </c>
      <c r="Z514" s="86" t="e">
        <f t="shared" si="159"/>
        <v>#REF!</v>
      </c>
      <c r="AA514" s="83">
        <f>MAX(B$2:B514)-B514</f>
        <v>31.484500000000025</v>
      </c>
      <c r="AB514" s="83">
        <f t="shared" si="160"/>
        <v>13.632788500000011</v>
      </c>
      <c r="AC514" s="83">
        <f t="shared" si="146"/>
        <v>120</v>
      </c>
      <c r="AD514" s="72">
        <v>120</v>
      </c>
      <c r="AE514" s="73">
        <f t="shared" si="153"/>
        <v>62.627783758037403</v>
      </c>
      <c r="AF514" s="73">
        <f>SUM(AE$2:AE514)</f>
        <v>422599.31099799089</v>
      </c>
      <c r="AG514" s="73">
        <f t="shared" si="154"/>
        <v>751130.5914291183</v>
      </c>
    </row>
    <row r="515" spans="1:33" x14ac:dyDescent="0.25">
      <c r="A515" s="99">
        <v>142599.92000000001</v>
      </c>
      <c r="B515" s="96">
        <v>793.42370000000005</v>
      </c>
      <c r="C515" s="96">
        <v>0.6</v>
      </c>
      <c r="D515" s="80">
        <f t="shared" si="155"/>
        <v>92.920000000012806</v>
      </c>
      <c r="E515" s="81">
        <f t="shared" si="147"/>
        <v>6310.4236192038334</v>
      </c>
      <c r="F515" s="81">
        <f>SUM(E$2:E515)</f>
        <v>3164374.8178314664</v>
      </c>
      <c r="G515" s="43">
        <f t="shared" ref="G515:G578" si="161">IF(C515=0.72,12,IF(C515=1,11,IF(C515=0.825,10,IF(C515=0.6,1,IF(C515=0.864,2,IF(C515=0.888,3))))))</f>
        <v>1</v>
      </c>
      <c r="H515" s="78">
        <v>1</v>
      </c>
      <c r="I515" s="15">
        <f t="shared" si="148"/>
        <v>0.6</v>
      </c>
      <c r="J515" s="16">
        <f>VLOOKUP(G515,Inputs!$L$3:$P$15,5,FALSE)</f>
        <v>2000</v>
      </c>
      <c r="K515" s="16">
        <f t="shared" si="149"/>
        <v>1825</v>
      </c>
      <c r="L515" s="79">
        <f>Inputs!$P$8-B515</f>
        <v>144.76729999999998</v>
      </c>
      <c r="M515" s="79">
        <f>Inputs!$Q$8+L515*0.433</f>
        <v>1887.6842409000001</v>
      </c>
      <c r="N515" s="82">
        <f t="shared" si="150"/>
        <v>142599.92000000001</v>
      </c>
      <c r="O515" s="83">
        <f t="shared" si="151"/>
        <v>793.42370000000005</v>
      </c>
      <c r="P515" s="84">
        <f>IF(O515="","",Inputs!$C$5-O515)</f>
        <v>31.760799999999904</v>
      </c>
      <c r="Q515" s="83">
        <f>IF(N515="","",TS!J515)</f>
        <v>2000</v>
      </c>
      <c r="R515" s="83">
        <f>IF(N515="","",TS!K515)</f>
        <v>1825</v>
      </c>
      <c r="S515" s="83">
        <f>Inputs!$H$5+TS!P515*0.4333</f>
        <v>1888.7276710899998</v>
      </c>
      <c r="T515" s="83">
        <f>Inputs!$G$5+TS!P515*0.4333</f>
        <v>1903.7276710899998</v>
      </c>
      <c r="U515" s="85">
        <f t="shared" si="152"/>
        <v>0.95186383554499987</v>
      </c>
      <c r="V515" s="86">
        <f t="shared" si="156"/>
        <v>0</v>
      </c>
      <c r="W515" s="86">
        <f t="shared" si="157"/>
        <v>0</v>
      </c>
      <c r="X515" s="86" t="e">
        <f>((PI()*((42-2*'Gen Calcs'!$E$13)^2)/4)/144)*(A558-#REF!)*(W515+14.7)/14.7</f>
        <v>#REF!</v>
      </c>
      <c r="Y515" s="86" t="e">
        <f t="shared" si="158"/>
        <v>#REF!</v>
      </c>
      <c r="Z515" s="86" t="e">
        <f t="shared" si="159"/>
        <v>#REF!</v>
      </c>
      <c r="AA515" s="83">
        <f>MAX(B$2:B515)-B515</f>
        <v>33.980099999999993</v>
      </c>
      <c r="AB515" s="83">
        <f t="shared" si="160"/>
        <v>14.713383299999997</v>
      </c>
      <c r="AC515" s="83">
        <f t="shared" ref="AC515:AC578" si="162">((MAX(O$2:O$1348)-O515)-(MAX(O$2:O$1348)-O515))*0.433+AD515</f>
        <v>120</v>
      </c>
      <c r="AD515" s="72">
        <v>120</v>
      </c>
      <c r="AE515" s="73">
        <f t="shared" si="153"/>
        <v>843.63952128393487</v>
      </c>
      <c r="AF515" s="73">
        <f>SUM(AE$2:AE515)</f>
        <v>423442.9505192748</v>
      </c>
      <c r="AG515" s="73">
        <f t="shared" si="154"/>
        <v>750286.95190783439</v>
      </c>
    </row>
    <row r="516" spans="1:33" x14ac:dyDescent="0.25">
      <c r="A516" s="100">
        <v>142699.92000000001</v>
      </c>
      <c r="B516" s="97">
        <v>790.99699999999996</v>
      </c>
      <c r="C516" s="97">
        <v>0.6</v>
      </c>
      <c r="D516" s="80">
        <f t="shared" si="155"/>
        <v>100</v>
      </c>
      <c r="E516" s="81">
        <f t="shared" si="147"/>
        <v>6791.2436711181272</v>
      </c>
      <c r="F516" s="81">
        <f>SUM(E$2:E516)</f>
        <v>3171166.0615025847</v>
      </c>
      <c r="G516" s="43">
        <f t="shared" si="161"/>
        <v>1</v>
      </c>
      <c r="H516" s="78">
        <v>1</v>
      </c>
      <c r="I516" s="15">
        <f t="shared" si="148"/>
        <v>0.6</v>
      </c>
      <c r="J516" s="16">
        <f>VLOOKUP(G516,Inputs!$L$3:$P$15,5,FALSE)</f>
        <v>2000</v>
      </c>
      <c r="K516" s="16">
        <f t="shared" si="149"/>
        <v>1825</v>
      </c>
      <c r="L516" s="79">
        <f>Inputs!$P$8-B516</f>
        <v>147.19400000000007</v>
      </c>
      <c r="M516" s="79">
        <f>Inputs!$Q$8+L516*0.433</f>
        <v>1888.7350020000001</v>
      </c>
      <c r="N516" s="82">
        <f t="shared" si="150"/>
        <v>142699.92000000001</v>
      </c>
      <c r="O516" s="83">
        <f t="shared" si="151"/>
        <v>790.99699999999996</v>
      </c>
      <c r="P516" s="84">
        <f>IF(O516="","",Inputs!$C$5-O516)</f>
        <v>34.1875</v>
      </c>
      <c r="Q516" s="83">
        <f>IF(N516="","",TS!J516)</f>
        <v>2000</v>
      </c>
      <c r="R516" s="83">
        <f>IF(N516="","",TS!K516)</f>
        <v>1825</v>
      </c>
      <c r="S516" s="83">
        <f>Inputs!$H$5+TS!P516*0.4333</f>
        <v>1889.7791602</v>
      </c>
      <c r="T516" s="83">
        <f>Inputs!$G$5+TS!P516*0.4333</f>
        <v>1904.7791602</v>
      </c>
      <c r="U516" s="85">
        <f t="shared" si="152"/>
        <v>0.95238958009999997</v>
      </c>
      <c r="V516" s="86">
        <f t="shared" si="156"/>
        <v>0</v>
      </c>
      <c r="W516" s="86">
        <f t="shared" si="157"/>
        <v>0</v>
      </c>
      <c r="X516" s="86" t="e">
        <f>((PI()*((42-2*'Gen Calcs'!$E$13)^2)/4)/144)*(A559-#REF!)*(W516+14.7)/14.7</f>
        <v>#REF!</v>
      </c>
      <c r="Y516" s="86" t="e">
        <f t="shared" si="158"/>
        <v>#REF!</v>
      </c>
      <c r="Z516" s="86" t="e">
        <f t="shared" si="159"/>
        <v>#REF!</v>
      </c>
      <c r="AA516" s="83">
        <f>MAX(B$2:B516)-B516</f>
        <v>36.406800000000089</v>
      </c>
      <c r="AB516" s="83">
        <f t="shared" si="160"/>
        <v>15.764144400000038</v>
      </c>
      <c r="AC516" s="83">
        <f t="shared" si="162"/>
        <v>120</v>
      </c>
      <c r="AD516" s="72">
        <v>120</v>
      </c>
      <c r="AE516" s="73">
        <f t="shared" si="153"/>
        <v>907.92027688745009</v>
      </c>
      <c r="AF516" s="73">
        <f>SUM(AE$2:AE516)</f>
        <v>424350.87079616223</v>
      </c>
      <c r="AG516" s="73">
        <f t="shared" si="154"/>
        <v>749379.03163094702</v>
      </c>
    </row>
    <row r="517" spans="1:33" x14ac:dyDescent="0.25">
      <c r="A517" s="99">
        <v>142799.92000000001</v>
      </c>
      <c r="B517" s="96">
        <v>788.5127</v>
      </c>
      <c r="C517" s="96">
        <v>0.6</v>
      </c>
      <c r="D517" s="80">
        <f t="shared" si="155"/>
        <v>100</v>
      </c>
      <c r="E517" s="81">
        <f t="shared" ref="E517:E580" si="163">(PI()/4*(42/12-(2*C559/12))^2)*(D517)*7.48</f>
        <v>6791.2436711181272</v>
      </c>
      <c r="F517" s="81">
        <f>SUM(E$2:E517)</f>
        <v>3177957.305173703</v>
      </c>
      <c r="G517" s="43">
        <f t="shared" si="161"/>
        <v>1</v>
      </c>
      <c r="H517" s="78">
        <v>1</v>
      </c>
      <c r="I517" s="15">
        <f t="shared" ref="I517:I580" si="164">C517</f>
        <v>0.6</v>
      </c>
      <c r="J517" s="16">
        <f>VLOOKUP(G517,Inputs!$L$3:$P$15,5,FALSE)</f>
        <v>2000</v>
      </c>
      <c r="K517" s="16">
        <f t="shared" ref="K517:K580" si="165">IF(H517=1,1825,IF(H517=2,1825,2220))</f>
        <v>1825</v>
      </c>
      <c r="L517" s="79">
        <f>Inputs!$P$8-B517</f>
        <v>149.67830000000004</v>
      </c>
      <c r="M517" s="79">
        <f>Inputs!$Q$8+L517*0.433</f>
        <v>1889.8107039000001</v>
      </c>
      <c r="N517" s="82">
        <f t="shared" ref="N517:N580" si="166">A517</f>
        <v>142799.92000000001</v>
      </c>
      <c r="O517" s="83">
        <f t="shared" ref="O517:O580" si="167">B517</f>
        <v>788.5127</v>
      </c>
      <c r="P517" s="84">
        <f>IF(O517="","",Inputs!$C$5-O517)</f>
        <v>36.671799999999962</v>
      </c>
      <c r="Q517" s="83">
        <f>IF(N517="","",TS!J517)</f>
        <v>2000</v>
      </c>
      <c r="R517" s="83">
        <f>IF(N517="","",TS!K517)</f>
        <v>1825</v>
      </c>
      <c r="S517" s="83">
        <f>Inputs!$H$5+TS!P517*0.4333</f>
        <v>1890.8556073899999</v>
      </c>
      <c r="T517" s="83">
        <f>Inputs!$G$5+TS!P517*0.4333</f>
        <v>1905.8556073899999</v>
      </c>
      <c r="U517" s="85">
        <f t="shared" ref="U517:U580" si="168">T517/(140000*C517/42)</f>
        <v>0.95292780369499996</v>
      </c>
      <c r="V517" s="86">
        <f t="shared" si="156"/>
        <v>0</v>
      </c>
      <c r="W517" s="86">
        <f t="shared" si="157"/>
        <v>0</v>
      </c>
      <c r="X517" s="86" t="e">
        <f>((PI()*((42-2*'Gen Calcs'!$E$13)^2)/4)/144)*(A560-#REF!)*(W517+14.7)/14.7</f>
        <v>#REF!</v>
      </c>
      <c r="Y517" s="86" t="e">
        <f t="shared" si="158"/>
        <v>#REF!</v>
      </c>
      <c r="Z517" s="86" t="e">
        <f t="shared" si="159"/>
        <v>#REF!</v>
      </c>
      <c r="AA517" s="83">
        <f>MAX(B$2:B517)-B517</f>
        <v>38.891100000000051</v>
      </c>
      <c r="AB517" s="83">
        <f t="shared" si="160"/>
        <v>16.839846300000023</v>
      </c>
      <c r="AC517" s="83">
        <f t="shared" si="162"/>
        <v>120</v>
      </c>
      <c r="AD517" s="72">
        <v>120</v>
      </c>
      <c r="AE517" s="73">
        <f t="shared" ref="AE517:AE580" si="169">PI()*(((42-2*C517)/12)^2/4)*D517</f>
        <v>907.92027688745009</v>
      </c>
      <c r="AF517" s="73">
        <f>SUM(AE$2:AE517)</f>
        <v>425258.79107304965</v>
      </c>
      <c r="AG517" s="73">
        <f t="shared" ref="AG517:AG580" si="170">AF$1391-AF517</f>
        <v>748471.11135405954</v>
      </c>
    </row>
    <row r="518" spans="1:33" x14ac:dyDescent="0.25">
      <c r="A518" s="100">
        <v>142899.92000000001</v>
      </c>
      <c r="B518" s="97">
        <v>787.18380000000002</v>
      </c>
      <c r="C518" s="97">
        <v>0.6</v>
      </c>
      <c r="D518" s="80">
        <f t="shared" si="155"/>
        <v>100</v>
      </c>
      <c r="E518" s="81">
        <f t="shared" si="163"/>
        <v>6791.2436711181272</v>
      </c>
      <c r="F518" s="81">
        <f>SUM(E$2:E518)</f>
        <v>3184748.5488448213</v>
      </c>
      <c r="G518" s="43">
        <f t="shared" si="161"/>
        <v>1</v>
      </c>
      <c r="H518" s="78">
        <v>1</v>
      </c>
      <c r="I518" s="15">
        <f t="shared" si="164"/>
        <v>0.6</v>
      </c>
      <c r="J518" s="16">
        <f>VLOOKUP(G518,Inputs!$L$3:$P$15,5,FALSE)</f>
        <v>2000</v>
      </c>
      <c r="K518" s="16">
        <f t="shared" si="165"/>
        <v>1825</v>
      </c>
      <c r="L518" s="79">
        <f>Inputs!$P$8-B518</f>
        <v>151.00720000000001</v>
      </c>
      <c r="M518" s="79">
        <f>Inputs!$Q$8+L518*0.433</f>
        <v>1890.3861176</v>
      </c>
      <c r="N518" s="82">
        <f t="shared" si="166"/>
        <v>142899.92000000001</v>
      </c>
      <c r="O518" s="83">
        <f t="shared" si="167"/>
        <v>787.18380000000002</v>
      </c>
      <c r="P518" s="84">
        <f>IF(O518="","",Inputs!$C$5-O518)</f>
        <v>38.000699999999938</v>
      </c>
      <c r="Q518" s="83">
        <f>IF(N518="","",TS!J518)</f>
        <v>2000</v>
      </c>
      <c r="R518" s="83">
        <f>IF(N518="","",TS!K518)</f>
        <v>1825</v>
      </c>
      <c r="S518" s="83">
        <f>Inputs!$H$5+TS!P518*0.4333</f>
        <v>1891.4314197599999</v>
      </c>
      <c r="T518" s="83">
        <f>Inputs!$G$5+TS!P518*0.4333</f>
        <v>1906.4314197599999</v>
      </c>
      <c r="U518" s="85">
        <f t="shared" si="168"/>
        <v>0.95321570987999993</v>
      </c>
      <c r="V518" s="86">
        <f t="shared" si="156"/>
        <v>0</v>
      </c>
      <c r="W518" s="86">
        <f t="shared" si="157"/>
        <v>0</v>
      </c>
      <c r="X518" s="86" t="e">
        <f>((PI()*((42-2*'Gen Calcs'!$E$13)^2)/4)/144)*(A561-#REF!)*(W518+14.7)/14.7</f>
        <v>#REF!</v>
      </c>
      <c r="Y518" s="86" t="e">
        <f t="shared" si="158"/>
        <v>#REF!</v>
      </c>
      <c r="Z518" s="86" t="e">
        <f t="shared" si="159"/>
        <v>#REF!</v>
      </c>
      <c r="AA518" s="83">
        <f>MAX(B$2:B518)-B518</f>
        <v>40.220000000000027</v>
      </c>
      <c r="AB518" s="83">
        <f t="shared" si="160"/>
        <v>17.415260000000011</v>
      </c>
      <c r="AC518" s="83">
        <f t="shared" si="162"/>
        <v>120</v>
      </c>
      <c r="AD518" s="72">
        <v>120</v>
      </c>
      <c r="AE518" s="73">
        <f t="shared" si="169"/>
        <v>907.92027688745009</v>
      </c>
      <c r="AF518" s="73">
        <f>SUM(AE$2:AE518)</f>
        <v>426166.71134993708</v>
      </c>
      <c r="AG518" s="73">
        <f t="shared" si="170"/>
        <v>747563.19107717206</v>
      </c>
    </row>
    <row r="519" spans="1:33" x14ac:dyDescent="0.25">
      <c r="A519" s="99">
        <v>142999.92000000001</v>
      </c>
      <c r="B519" s="96">
        <v>785.89269999999999</v>
      </c>
      <c r="C519" s="96">
        <v>0.6</v>
      </c>
      <c r="D519" s="80">
        <f t="shared" si="155"/>
        <v>100</v>
      </c>
      <c r="E519" s="81">
        <f t="shared" si="163"/>
        <v>6791.2436711181272</v>
      </c>
      <c r="F519" s="81">
        <f>SUM(E$2:E519)</f>
        <v>3191539.7925159396</v>
      </c>
      <c r="G519" s="43">
        <f t="shared" si="161"/>
        <v>1</v>
      </c>
      <c r="H519" s="78">
        <v>1</v>
      </c>
      <c r="I519" s="15">
        <f t="shared" si="164"/>
        <v>0.6</v>
      </c>
      <c r="J519" s="16">
        <f>VLOOKUP(G519,Inputs!$L$3:$P$15,5,FALSE)</f>
        <v>2000</v>
      </c>
      <c r="K519" s="16">
        <f t="shared" si="165"/>
        <v>1825</v>
      </c>
      <c r="L519" s="79">
        <f>Inputs!$P$8-B519</f>
        <v>152.29830000000004</v>
      </c>
      <c r="M519" s="79">
        <f>Inputs!$Q$8+L519*0.433</f>
        <v>1890.9451638999999</v>
      </c>
      <c r="N519" s="82">
        <f t="shared" si="166"/>
        <v>142999.92000000001</v>
      </c>
      <c r="O519" s="83">
        <f t="shared" si="167"/>
        <v>785.89269999999999</v>
      </c>
      <c r="P519" s="84">
        <f>IF(O519="","",Inputs!$C$5-O519)</f>
        <v>39.291799999999967</v>
      </c>
      <c r="Q519" s="83">
        <f>IF(N519="","",TS!J519)</f>
        <v>2000</v>
      </c>
      <c r="R519" s="83">
        <f>IF(N519="","",TS!K519)</f>
        <v>1825</v>
      </c>
      <c r="S519" s="83">
        <f>Inputs!$H$5+TS!P519*0.4333</f>
        <v>1891.99085339</v>
      </c>
      <c r="T519" s="83">
        <f>Inputs!$G$5+TS!P519*0.4333</f>
        <v>1906.99085339</v>
      </c>
      <c r="U519" s="85">
        <f t="shared" si="168"/>
        <v>0.95349542669499998</v>
      </c>
      <c r="V519" s="86">
        <f t="shared" si="156"/>
        <v>0</v>
      </c>
      <c r="W519" s="86">
        <f t="shared" si="157"/>
        <v>0</v>
      </c>
      <c r="X519" s="86" t="e">
        <f>((PI()*((42-2*'Gen Calcs'!$E$13)^2)/4)/144)*(A562-#REF!)*(W519+14.7)/14.7</f>
        <v>#REF!</v>
      </c>
      <c r="Y519" s="86" t="e">
        <f t="shared" si="158"/>
        <v>#REF!</v>
      </c>
      <c r="Z519" s="86" t="e">
        <f t="shared" si="159"/>
        <v>#REF!</v>
      </c>
      <c r="AA519" s="83">
        <f>MAX(B$2:B519)-B519</f>
        <v>41.511100000000056</v>
      </c>
      <c r="AB519" s="83">
        <f t="shared" si="160"/>
        <v>17.974306300000023</v>
      </c>
      <c r="AC519" s="83">
        <f t="shared" si="162"/>
        <v>120</v>
      </c>
      <c r="AD519" s="72">
        <v>120</v>
      </c>
      <c r="AE519" s="73">
        <f t="shared" si="169"/>
        <v>907.92027688745009</v>
      </c>
      <c r="AF519" s="73">
        <f>SUM(AE$2:AE519)</f>
        <v>427074.6316268245</v>
      </c>
      <c r="AG519" s="73">
        <f t="shared" si="170"/>
        <v>746655.27080028469</v>
      </c>
    </row>
    <row r="520" spans="1:33" x14ac:dyDescent="0.25">
      <c r="A520" s="100">
        <v>143099.92000000001</v>
      </c>
      <c r="B520" s="97">
        <v>783.50429999999994</v>
      </c>
      <c r="C520" s="97">
        <v>0.6</v>
      </c>
      <c r="D520" s="80">
        <f t="shared" si="155"/>
        <v>100</v>
      </c>
      <c r="E520" s="81">
        <f t="shared" si="163"/>
        <v>6791.2436711181272</v>
      </c>
      <c r="F520" s="81">
        <f>SUM(E$2:E520)</f>
        <v>3198331.0361870578</v>
      </c>
      <c r="G520" s="43">
        <f t="shared" si="161"/>
        <v>1</v>
      </c>
      <c r="H520" s="78">
        <v>1</v>
      </c>
      <c r="I520" s="15">
        <f t="shared" si="164"/>
        <v>0.6</v>
      </c>
      <c r="J520" s="16">
        <f>VLOOKUP(G520,Inputs!$L$3:$P$15,5,FALSE)</f>
        <v>2000</v>
      </c>
      <c r="K520" s="16">
        <f t="shared" si="165"/>
        <v>1825</v>
      </c>
      <c r="L520" s="79">
        <f>Inputs!$P$8-B520</f>
        <v>154.68670000000009</v>
      </c>
      <c r="M520" s="79">
        <f>Inputs!$Q$8+L520*0.433</f>
        <v>1891.9793411000001</v>
      </c>
      <c r="N520" s="82">
        <f t="shared" si="166"/>
        <v>143099.92000000001</v>
      </c>
      <c r="O520" s="83">
        <f t="shared" si="167"/>
        <v>783.50429999999994</v>
      </c>
      <c r="P520" s="84">
        <f>IF(O520="","",Inputs!$C$5-O520)</f>
        <v>41.680200000000013</v>
      </c>
      <c r="Q520" s="83">
        <f>IF(N520="","",TS!J520)</f>
        <v>2000</v>
      </c>
      <c r="R520" s="83">
        <f>IF(N520="","",TS!K520)</f>
        <v>1825</v>
      </c>
      <c r="S520" s="83">
        <f>Inputs!$H$5+TS!P520*0.4333</f>
        <v>1893.0257471099999</v>
      </c>
      <c r="T520" s="83">
        <f>Inputs!$G$5+TS!P520*0.4333</f>
        <v>1908.0257471099999</v>
      </c>
      <c r="U520" s="85">
        <f t="shared" si="168"/>
        <v>0.95401287355499997</v>
      </c>
      <c r="V520" s="86">
        <f t="shared" si="156"/>
        <v>0</v>
      </c>
      <c r="W520" s="86">
        <f t="shared" si="157"/>
        <v>0</v>
      </c>
      <c r="X520" s="86" t="e">
        <f>((PI()*((42-2*'Gen Calcs'!$E$13)^2)/4)/144)*(A563-#REF!)*(W520+14.7)/14.7</f>
        <v>#REF!</v>
      </c>
      <c r="Y520" s="86" t="e">
        <f t="shared" si="158"/>
        <v>#REF!</v>
      </c>
      <c r="Z520" s="86" t="e">
        <f t="shared" si="159"/>
        <v>#REF!</v>
      </c>
      <c r="AA520" s="83">
        <f>MAX(B$2:B520)-B520</f>
        <v>43.899500000000103</v>
      </c>
      <c r="AB520" s="83">
        <f t="shared" si="160"/>
        <v>19.008483500000043</v>
      </c>
      <c r="AC520" s="83">
        <f t="shared" si="162"/>
        <v>120</v>
      </c>
      <c r="AD520" s="72">
        <v>120</v>
      </c>
      <c r="AE520" s="73">
        <f t="shared" si="169"/>
        <v>907.92027688745009</v>
      </c>
      <c r="AF520" s="73">
        <f>SUM(AE$2:AE520)</f>
        <v>427982.55190371192</v>
      </c>
      <c r="AG520" s="73">
        <f t="shared" si="170"/>
        <v>745747.35052339733</v>
      </c>
    </row>
    <row r="521" spans="1:33" x14ac:dyDescent="0.25">
      <c r="A521" s="99">
        <v>143199.92000000001</v>
      </c>
      <c r="B521" s="96">
        <v>780.98249999999996</v>
      </c>
      <c r="C521" s="96">
        <v>0.6</v>
      </c>
      <c r="D521" s="80">
        <f t="shared" si="155"/>
        <v>100</v>
      </c>
      <c r="E521" s="81">
        <f t="shared" si="163"/>
        <v>6791.2436711181272</v>
      </c>
      <c r="F521" s="81">
        <f>SUM(E$2:E521)</f>
        <v>3205122.2798581761</v>
      </c>
      <c r="G521" s="43">
        <f t="shared" si="161"/>
        <v>1</v>
      </c>
      <c r="H521" s="78">
        <v>1</v>
      </c>
      <c r="I521" s="15">
        <f t="shared" si="164"/>
        <v>0.6</v>
      </c>
      <c r="J521" s="16">
        <f>VLOOKUP(G521,Inputs!$L$3:$P$15,5,FALSE)</f>
        <v>2000</v>
      </c>
      <c r="K521" s="16">
        <f t="shared" si="165"/>
        <v>1825</v>
      </c>
      <c r="L521" s="79">
        <f>Inputs!$P$8-B521</f>
        <v>157.20850000000007</v>
      </c>
      <c r="M521" s="79">
        <f>Inputs!$Q$8+L521*0.433</f>
        <v>1893.0712805000001</v>
      </c>
      <c r="N521" s="82">
        <f t="shared" si="166"/>
        <v>143199.92000000001</v>
      </c>
      <c r="O521" s="83">
        <f t="shared" si="167"/>
        <v>780.98249999999996</v>
      </c>
      <c r="P521" s="84">
        <f>IF(O521="","",Inputs!$C$5-O521)</f>
        <v>44.201999999999998</v>
      </c>
      <c r="Q521" s="83">
        <f>IF(N521="","",TS!J521)</f>
        <v>2000</v>
      </c>
      <c r="R521" s="83">
        <f>IF(N521="","",TS!K521)</f>
        <v>1825</v>
      </c>
      <c r="S521" s="83">
        <f>Inputs!$H$5+TS!P521*0.4333</f>
        <v>1894.11844305</v>
      </c>
      <c r="T521" s="83">
        <f>Inputs!$G$5+TS!P521*0.4333</f>
        <v>1909.11844305</v>
      </c>
      <c r="U521" s="85">
        <f t="shared" si="168"/>
        <v>0.95455922152499995</v>
      </c>
      <c r="V521" s="86">
        <f t="shared" si="156"/>
        <v>0</v>
      </c>
      <c r="W521" s="86">
        <f t="shared" si="157"/>
        <v>0</v>
      </c>
      <c r="X521" s="86" t="e">
        <f>((PI()*((42-2*'Gen Calcs'!$E$13)^2)/4)/144)*(A564-#REF!)*(W521+14.7)/14.7</f>
        <v>#REF!</v>
      </c>
      <c r="Y521" s="86" t="e">
        <f t="shared" si="158"/>
        <v>#REF!</v>
      </c>
      <c r="Z521" s="86" t="e">
        <f t="shared" si="159"/>
        <v>#REF!</v>
      </c>
      <c r="AA521" s="83">
        <f>MAX(B$2:B521)-B521</f>
        <v>46.421300000000087</v>
      </c>
      <c r="AB521" s="83">
        <f t="shared" si="160"/>
        <v>20.100422900000037</v>
      </c>
      <c r="AC521" s="83">
        <f t="shared" si="162"/>
        <v>120</v>
      </c>
      <c r="AD521" s="72">
        <v>120</v>
      </c>
      <c r="AE521" s="73">
        <f t="shared" si="169"/>
        <v>907.92027688745009</v>
      </c>
      <c r="AF521" s="73">
        <f>SUM(AE$2:AE521)</f>
        <v>428890.47218059935</v>
      </c>
      <c r="AG521" s="73">
        <f t="shared" si="170"/>
        <v>744839.43024650984</v>
      </c>
    </row>
    <row r="522" spans="1:33" x14ac:dyDescent="0.25">
      <c r="A522" s="100">
        <v>143299.92000000001</v>
      </c>
      <c r="B522" s="97">
        <v>774.16380000000004</v>
      </c>
      <c r="C522" s="97">
        <v>0.6</v>
      </c>
      <c r="D522" s="80">
        <f t="shared" si="155"/>
        <v>100</v>
      </c>
      <c r="E522" s="81">
        <f t="shared" si="163"/>
        <v>6791.2436711181272</v>
      </c>
      <c r="F522" s="81">
        <f>SUM(E$2:E522)</f>
        <v>3211913.5235292944</v>
      </c>
      <c r="G522" s="43">
        <f t="shared" si="161"/>
        <v>1</v>
      </c>
      <c r="H522" s="78">
        <v>1</v>
      </c>
      <c r="I522" s="15">
        <f t="shared" si="164"/>
        <v>0.6</v>
      </c>
      <c r="J522" s="16">
        <f>VLOOKUP(G522,Inputs!$L$3:$P$15,5,FALSE)</f>
        <v>2000</v>
      </c>
      <c r="K522" s="16">
        <f t="shared" si="165"/>
        <v>1825</v>
      </c>
      <c r="L522" s="79">
        <f>Inputs!$P$8-B522</f>
        <v>164.02719999999999</v>
      </c>
      <c r="M522" s="79">
        <f>Inputs!$Q$8+L522*0.433</f>
        <v>1896.0237775999999</v>
      </c>
      <c r="N522" s="82">
        <f t="shared" si="166"/>
        <v>143299.92000000001</v>
      </c>
      <c r="O522" s="83">
        <f t="shared" si="167"/>
        <v>774.16380000000004</v>
      </c>
      <c r="P522" s="84">
        <f>IF(O522="","",Inputs!$C$5-O522)</f>
        <v>51.02069999999992</v>
      </c>
      <c r="Q522" s="83">
        <f>IF(N522="","",TS!J522)</f>
        <v>2000</v>
      </c>
      <c r="R522" s="83">
        <f>IF(N522="","",TS!K522)</f>
        <v>1825</v>
      </c>
      <c r="S522" s="83">
        <f>Inputs!$H$5+TS!P522*0.4333</f>
        <v>1897.0729857599999</v>
      </c>
      <c r="T522" s="83">
        <f>Inputs!$G$5+TS!P522*0.4333</f>
        <v>1912.0729857599999</v>
      </c>
      <c r="U522" s="85">
        <f t="shared" si="168"/>
        <v>0.95603649287999992</v>
      </c>
      <c r="V522" s="86">
        <f t="shared" si="156"/>
        <v>0</v>
      </c>
      <c r="W522" s="86">
        <f t="shared" si="157"/>
        <v>0</v>
      </c>
      <c r="X522" s="86" t="e">
        <f>((PI()*((42-2*'Gen Calcs'!$E$13)^2)/4)/144)*(A565-#REF!)*(W522+14.7)/14.7</f>
        <v>#REF!</v>
      </c>
      <c r="Y522" s="86" t="e">
        <f t="shared" si="158"/>
        <v>#REF!</v>
      </c>
      <c r="Z522" s="86" t="e">
        <f t="shared" si="159"/>
        <v>#REF!</v>
      </c>
      <c r="AA522" s="83">
        <f>MAX(B$2:B522)-B522</f>
        <v>53.240000000000009</v>
      </c>
      <c r="AB522" s="83">
        <f t="shared" si="160"/>
        <v>23.052920000000004</v>
      </c>
      <c r="AC522" s="83">
        <f t="shared" si="162"/>
        <v>120</v>
      </c>
      <c r="AD522" s="72">
        <v>120</v>
      </c>
      <c r="AE522" s="73">
        <f t="shared" si="169"/>
        <v>907.92027688745009</v>
      </c>
      <c r="AF522" s="73">
        <f>SUM(AE$2:AE522)</f>
        <v>429798.39245748677</v>
      </c>
      <c r="AG522" s="73">
        <f t="shared" si="170"/>
        <v>743931.50996962236</v>
      </c>
    </row>
    <row r="523" spans="1:33" x14ac:dyDescent="0.25">
      <c r="A523" s="99">
        <v>143399.92000000001</v>
      </c>
      <c r="B523" s="96">
        <v>770.23540000000003</v>
      </c>
      <c r="C523" s="96">
        <v>0.6</v>
      </c>
      <c r="D523" s="80">
        <f t="shared" si="155"/>
        <v>100</v>
      </c>
      <c r="E523" s="81">
        <f t="shared" si="163"/>
        <v>6791.2436711181272</v>
      </c>
      <c r="F523" s="81">
        <f>SUM(E$2:E523)</f>
        <v>3218704.7672004127</v>
      </c>
      <c r="G523" s="43">
        <f t="shared" si="161"/>
        <v>1</v>
      </c>
      <c r="H523" s="78">
        <v>1</v>
      </c>
      <c r="I523" s="15">
        <f t="shared" si="164"/>
        <v>0.6</v>
      </c>
      <c r="J523" s="16">
        <f>VLOOKUP(G523,Inputs!$L$3:$P$15,5,FALSE)</f>
        <v>2000</v>
      </c>
      <c r="K523" s="16">
        <f t="shared" si="165"/>
        <v>1825</v>
      </c>
      <c r="L523" s="79">
        <f>Inputs!$P$8-B523</f>
        <v>167.9556</v>
      </c>
      <c r="M523" s="79">
        <f>Inputs!$Q$8+L523*0.433</f>
        <v>1897.7247748</v>
      </c>
      <c r="N523" s="82">
        <f t="shared" si="166"/>
        <v>143399.92000000001</v>
      </c>
      <c r="O523" s="83">
        <f t="shared" si="167"/>
        <v>770.23540000000003</v>
      </c>
      <c r="P523" s="84">
        <f>IF(O523="","",Inputs!$C$5-O523)</f>
        <v>54.94909999999993</v>
      </c>
      <c r="Q523" s="83">
        <f>IF(N523="","",TS!J523)</f>
        <v>2000</v>
      </c>
      <c r="R523" s="83">
        <f>IF(N523="","",TS!K523)</f>
        <v>1825</v>
      </c>
      <c r="S523" s="83">
        <f>Inputs!$H$5+TS!P523*0.4333</f>
        <v>1898.77516148</v>
      </c>
      <c r="T523" s="83">
        <f>Inputs!$G$5+TS!P523*0.4333</f>
        <v>1913.77516148</v>
      </c>
      <c r="U523" s="85">
        <f t="shared" si="168"/>
        <v>0.95688758074000002</v>
      </c>
      <c r="V523" s="86">
        <f t="shared" si="156"/>
        <v>0</v>
      </c>
      <c r="W523" s="86">
        <f t="shared" si="157"/>
        <v>0</v>
      </c>
      <c r="X523" s="86" t="e">
        <f>((PI()*((42-2*'Gen Calcs'!$E$13)^2)/4)/144)*(A566-#REF!)*(W523+14.7)/14.7</f>
        <v>#REF!</v>
      </c>
      <c r="Y523" s="86" t="e">
        <f t="shared" si="158"/>
        <v>#REF!</v>
      </c>
      <c r="Z523" s="86" t="e">
        <f t="shared" si="159"/>
        <v>#REF!</v>
      </c>
      <c r="AA523" s="83">
        <f>MAX(B$2:B523)-B523</f>
        <v>57.16840000000002</v>
      </c>
      <c r="AB523" s="83">
        <f t="shared" si="160"/>
        <v>24.753917200000007</v>
      </c>
      <c r="AC523" s="83">
        <f t="shared" si="162"/>
        <v>120</v>
      </c>
      <c r="AD523" s="72">
        <v>120</v>
      </c>
      <c r="AE523" s="73">
        <f t="shared" si="169"/>
        <v>907.92027688745009</v>
      </c>
      <c r="AF523" s="73">
        <f>SUM(AE$2:AE523)</f>
        <v>430706.31273437419</v>
      </c>
      <c r="AG523" s="73">
        <f t="shared" si="170"/>
        <v>743023.589692735</v>
      </c>
    </row>
    <row r="524" spans="1:33" x14ac:dyDescent="0.25">
      <c r="A524" s="100">
        <v>143499.92000000001</v>
      </c>
      <c r="B524" s="97">
        <v>766.94290000000001</v>
      </c>
      <c r="C524" s="97">
        <v>0.6</v>
      </c>
      <c r="D524" s="80">
        <f t="shared" si="155"/>
        <v>100</v>
      </c>
      <c r="E524" s="81">
        <f t="shared" si="163"/>
        <v>6791.2436711181272</v>
      </c>
      <c r="F524" s="81">
        <f>SUM(E$2:E524)</f>
        <v>3225496.010871531</v>
      </c>
      <c r="G524" s="43">
        <f t="shared" si="161"/>
        <v>1</v>
      </c>
      <c r="H524" s="78">
        <v>1</v>
      </c>
      <c r="I524" s="15">
        <f t="shared" si="164"/>
        <v>0.6</v>
      </c>
      <c r="J524" s="16">
        <f>VLOOKUP(G524,Inputs!$L$3:$P$15,5,FALSE)</f>
        <v>2000</v>
      </c>
      <c r="K524" s="16">
        <f t="shared" si="165"/>
        <v>1825</v>
      </c>
      <c r="L524" s="79">
        <f>Inputs!$P$8-B524</f>
        <v>171.24810000000002</v>
      </c>
      <c r="M524" s="79">
        <f>Inputs!$Q$8+L524*0.433</f>
        <v>1899.1504273</v>
      </c>
      <c r="N524" s="82">
        <f t="shared" si="166"/>
        <v>143499.92000000001</v>
      </c>
      <c r="O524" s="83">
        <f t="shared" si="167"/>
        <v>766.94290000000001</v>
      </c>
      <c r="P524" s="84">
        <f>IF(O524="","",Inputs!$C$5-O524)</f>
        <v>58.241599999999949</v>
      </c>
      <c r="Q524" s="83">
        <f>IF(N524="","",TS!J524)</f>
        <v>2000</v>
      </c>
      <c r="R524" s="83">
        <f>IF(N524="","",TS!K524)</f>
        <v>1825</v>
      </c>
      <c r="S524" s="83">
        <f>Inputs!$H$5+TS!P524*0.4333</f>
        <v>1900.2018017299999</v>
      </c>
      <c r="T524" s="83">
        <f>Inputs!$G$5+TS!P524*0.4333</f>
        <v>1915.2018017299999</v>
      </c>
      <c r="U524" s="85">
        <f t="shared" si="168"/>
        <v>0.95760090086499994</v>
      </c>
      <c r="V524" s="86">
        <f t="shared" si="156"/>
        <v>0</v>
      </c>
      <c r="W524" s="86">
        <f t="shared" si="157"/>
        <v>0</v>
      </c>
      <c r="X524" s="86" t="e">
        <f>((PI()*((42-2*'Gen Calcs'!$E$13)^2)/4)/144)*(A567-#REF!)*(W524+14.7)/14.7</f>
        <v>#REF!</v>
      </c>
      <c r="Y524" s="86" t="e">
        <f t="shared" si="158"/>
        <v>#REF!</v>
      </c>
      <c r="Z524" s="86" t="e">
        <f t="shared" si="159"/>
        <v>#REF!</v>
      </c>
      <c r="AA524" s="83">
        <f>MAX(B$2:B524)-B524</f>
        <v>60.460900000000038</v>
      </c>
      <c r="AB524" s="83">
        <f t="shared" si="160"/>
        <v>26.179569700000016</v>
      </c>
      <c r="AC524" s="83">
        <f t="shared" si="162"/>
        <v>120</v>
      </c>
      <c r="AD524" s="72">
        <v>120</v>
      </c>
      <c r="AE524" s="73">
        <f t="shared" si="169"/>
        <v>907.92027688745009</v>
      </c>
      <c r="AF524" s="73">
        <f>SUM(AE$2:AE524)</f>
        <v>431614.23301126162</v>
      </c>
      <c r="AG524" s="73">
        <f t="shared" si="170"/>
        <v>742115.66941584763</v>
      </c>
    </row>
    <row r="525" spans="1:33" x14ac:dyDescent="0.25">
      <c r="A525" s="99">
        <v>143599.92000000001</v>
      </c>
      <c r="B525" s="96">
        <v>766.94529999999997</v>
      </c>
      <c r="C525" s="96">
        <v>0.6</v>
      </c>
      <c r="D525" s="80">
        <f t="shared" si="155"/>
        <v>100</v>
      </c>
      <c r="E525" s="81">
        <f t="shared" si="163"/>
        <v>6791.2436711181272</v>
      </c>
      <c r="F525" s="81">
        <f>SUM(E$2:E525)</f>
        <v>3232287.2545426493</v>
      </c>
      <c r="G525" s="43">
        <f t="shared" si="161"/>
        <v>1</v>
      </c>
      <c r="H525" s="78">
        <v>1</v>
      </c>
      <c r="I525" s="15">
        <f t="shared" si="164"/>
        <v>0.6</v>
      </c>
      <c r="J525" s="16">
        <f>VLOOKUP(G525,Inputs!$L$3:$P$15,5,FALSE)</f>
        <v>2000</v>
      </c>
      <c r="K525" s="16">
        <f t="shared" si="165"/>
        <v>1825</v>
      </c>
      <c r="L525" s="79">
        <f>Inputs!$P$8-B525</f>
        <v>171.24570000000006</v>
      </c>
      <c r="M525" s="79">
        <f>Inputs!$Q$8+L525*0.433</f>
        <v>1899.1493881000001</v>
      </c>
      <c r="N525" s="82">
        <f t="shared" si="166"/>
        <v>143599.92000000001</v>
      </c>
      <c r="O525" s="83">
        <f t="shared" si="167"/>
        <v>766.94529999999997</v>
      </c>
      <c r="P525" s="84">
        <f>IF(O525="","",Inputs!$C$5-O525)</f>
        <v>58.239199999999983</v>
      </c>
      <c r="Q525" s="83">
        <f>IF(N525="","",TS!J525)</f>
        <v>2000</v>
      </c>
      <c r="R525" s="83">
        <f>IF(N525="","",TS!K525)</f>
        <v>1825</v>
      </c>
      <c r="S525" s="83">
        <f>Inputs!$H$5+TS!P525*0.4333</f>
        <v>1900.2007618099999</v>
      </c>
      <c r="T525" s="83">
        <f>Inputs!$G$5+TS!P525*0.4333</f>
        <v>1915.2007618099999</v>
      </c>
      <c r="U525" s="85">
        <f t="shared" si="168"/>
        <v>0.95760038090499999</v>
      </c>
      <c r="V525" s="86">
        <f t="shared" si="156"/>
        <v>0</v>
      </c>
      <c r="W525" s="86">
        <f t="shared" si="157"/>
        <v>0</v>
      </c>
      <c r="X525" s="86" t="e">
        <f>((PI()*((42-2*'Gen Calcs'!$E$13)^2)/4)/144)*(A568-#REF!)*(W525+14.7)/14.7</f>
        <v>#REF!</v>
      </c>
      <c r="Y525" s="86" t="e">
        <f t="shared" si="158"/>
        <v>#REF!</v>
      </c>
      <c r="Z525" s="86" t="e">
        <f t="shared" si="159"/>
        <v>#REF!</v>
      </c>
      <c r="AA525" s="83">
        <f>MAX(B$2:B525)-B525</f>
        <v>60.458500000000072</v>
      </c>
      <c r="AB525" s="83">
        <f t="shared" si="160"/>
        <v>26.178530500000029</v>
      </c>
      <c r="AC525" s="83">
        <f t="shared" si="162"/>
        <v>120</v>
      </c>
      <c r="AD525" s="72">
        <v>120</v>
      </c>
      <c r="AE525" s="73">
        <f t="shared" si="169"/>
        <v>907.92027688745009</v>
      </c>
      <c r="AF525" s="73">
        <f>SUM(AE$2:AE525)</f>
        <v>432522.15328814904</v>
      </c>
      <c r="AG525" s="73">
        <f t="shared" si="170"/>
        <v>741207.74913896015</v>
      </c>
    </row>
    <row r="526" spans="1:33" x14ac:dyDescent="0.25">
      <c r="A526" s="100">
        <v>143699.92000000001</v>
      </c>
      <c r="B526" s="97">
        <v>767.37379999999996</v>
      </c>
      <c r="C526" s="97">
        <v>0.6</v>
      </c>
      <c r="D526" s="80">
        <f t="shared" si="155"/>
        <v>100</v>
      </c>
      <c r="E526" s="81">
        <f t="shared" si="163"/>
        <v>6791.2436711181272</v>
      </c>
      <c r="F526" s="81">
        <f>SUM(E$2:E526)</f>
        <v>3239078.4982137675</v>
      </c>
      <c r="G526" s="43">
        <f t="shared" si="161"/>
        <v>1</v>
      </c>
      <c r="H526" s="78">
        <v>1</v>
      </c>
      <c r="I526" s="15">
        <f t="shared" si="164"/>
        <v>0.6</v>
      </c>
      <c r="J526" s="16">
        <f>VLOOKUP(G526,Inputs!$L$3:$P$15,5,FALSE)</f>
        <v>2000</v>
      </c>
      <c r="K526" s="16">
        <f t="shared" si="165"/>
        <v>1825</v>
      </c>
      <c r="L526" s="79">
        <f>Inputs!$P$8-B526</f>
        <v>170.81720000000007</v>
      </c>
      <c r="M526" s="79">
        <f>Inputs!$Q$8+L526*0.433</f>
        <v>1898.9638476</v>
      </c>
      <c r="N526" s="82">
        <f t="shared" si="166"/>
        <v>143699.92000000001</v>
      </c>
      <c r="O526" s="83">
        <f t="shared" si="167"/>
        <v>767.37379999999996</v>
      </c>
      <c r="P526" s="84">
        <f>IF(O526="","",Inputs!$C$5-O526)</f>
        <v>57.810699999999997</v>
      </c>
      <c r="Q526" s="83">
        <f>IF(N526="","",TS!J526)</f>
        <v>2000</v>
      </c>
      <c r="R526" s="83">
        <f>IF(N526="","",TS!K526)</f>
        <v>1825</v>
      </c>
      <c r="S526" s="83">
        <f>Inputs!$H$5+TS!P526*0.4333</f>
        <v>1900.01509276</v>
      </c>
      <c r="T526" s="83">
        <f>Inputs!$G$5+TS!P526*0.4333</f>
        <v>1915.01509276</v>
      </c>
      <c r="U526" s="85">
        <f t="shared" si="168"/>
        <v>0.95750754638000002</v>
      </c>
      <c r="V526" s="86">
        <f t="shared" si="156"/>
        <v>0</v>
      </c>
      <c r="W526" s="86">
        <f t="shared" si="157"/>
        <v>0</v>
      </c>
      <c r="X526" s="86" t="e">
        <f>((PI()*((42-2*'Gen Calcs'!$E$13)^2)/4)/144)*(A569-#REF!)*(W526+14.7)/14.7</f>
        <v>#REF!</v>
      </c>
      <c r="Y526" s="86" t="e">
        <f t="shared" si="158"/>
        <v>#REF!</v>
      </c>
      <c r="Z526" s="86" t="e">
        <f t="shared" si="159"/>
        <v>#REF!</v>
      </c>
      <c r="AA526" s="83">
        <f>MAX(B$2:B526)-B526</f>
        <v>60.030000000000086</v>
      </c>
      <c r="AB526" s="83">
        <f t="shared" si="160"/>
        <v>25.992990000000038</v>
      </c>
      <c r="AC526" s="83">
        <f t="shared" si="162"/>
        <v>120</v>
      </c>
      <c r="AD526" s="72">
        <v>120</v>
      </c>
      <c r="AE526" s="73">
        <f t="shared" si="169"/>
        <v>907.92027688745009</v>
      </c>
      <c r="AF526" s="73">
        <f>SUM(AE$2:AE526)</f>
        <v>433430.07356503647</v>
      </c>
      <c r="AG526" s="73">
        <f t="shared" si="170"/>
        <v>740299.82886207267</v>
      </c>
    </row>
    <row r="527" spans="1:33" x14ac:dyDescent="0.25">
      <c r="A527" s="99">
        <v>143799.92000000001</v>
      </c>
      <c r="B527" s="96">
        <v>769.48519999999996</v>
      </c>
      <c r="C527" s="96">
        <v>0.6</v>
      </c>
      <c r="D527" s="80">
        <f t="shared" si="155"/>
        <v>100</v>
      </c>
      <c r="E527" s="81">
        <f t="shared" si="163"/>
        <v>6791.2436711181272</v>
      </c>
      <c r="F527" s="81">
        <f>SUM(E$2:E527)</f>
        <v>3245869.7418848858</v>
      </c>
      <c r="G527" s="43">
        <f t="shared" si="161"/>
        <v>1</v>
      </c>
      <c r="H527" s="78">
        <v>1</v>
      </c>
      <c r="I527" s="15">
        <f t="shared" si="164"/>
        <v>0.6</v>
      </c>
      <c r="J527" s="16">
        <f>VLOOKUP(G527,Inputs!$L$3:$P$15,5,FALSE)</f>
        <v>2000</v>
      </c>
      <c r="K527" s="16">
        <f t="shared" si="165"/>
        <v>1825</v>
      </c>
      <c r="L527" s="79">
        <f>Inputs!$P$8-B527</f>
        <v>168.70580000000007</v>
      </c>
      <c r="M527" s="79">
        <f>Inputs!$Q$8+L527*0.433</f>
        <v>1898.0496114</v>
      </c>
      <c r="N527" s="82">
        <f t="shared" si="166"/>
        <v>143799.92000000001</v>
      </c>
      <c r="O527" s="83">
        <f t="shared" si="167"/>
        <v>769.48519999999996</v>
      </c>
      <c r="P527" s="84">
        <f>IF(O527="","",Inputs!$C$5-O527)</f>
        <v>55.699299999999994</v>
      </c>
      <c r="Q527" s="83">
        <f>IF(N527="","",TS!J527)</f>
        <v>2000</v>
      </c>
      <c r="R527" s="83">
        <f>IF(N527="","",TS!K527)</f>
        <v>1825</v>
      </c>
      <c r="S527" s="83">
        <f>Inputs!$H$5+TS!P527*0.4333</f>
        <v>1899.10022314</v>
      </c>
      <c r="T527" s="83">
        <f>Inputs!$G$5+TS!P527*0.4333</f>
        <v>1914.10022314</v>
      </c>
      <c r="U527" s="85">
        <f t="shared" si="168"/>
        <v>0.95705011156999997</v>
      </c>
      <c r="V527" s="86">
        <f t="shared" si="156"/>
        <v>0</v>
      </c>
      <c r="W527" s="86">
        <f t="shared" si="157"/>
        <v>0</v>
      </c>
      <c r="X527" s="86" t="e">
        <f>((PI()*((42-2*'Gen Calcs'!$E$13)^2)/4)/144)*(A570-#REF!)*(W527+14.7)/14.7</f>
        <v>#REF!</v>
      </c>
      <c r="Y527" s="86" t="e">
        <f t="shared" si="158"/>
        <v>#REF!</v>
      </c>
      <c r="Z527" s="86" t="e">
        <f t="shared" si="159"/>
        <v>#REF!</v>
      </c>
      <c r="AA527" s="83">
        <f>MAX(B$2:B527)-B527</f>
        <v>57.918600000000083</v>
      </c>
      <c r="AB527" s="83">
        <f t="shared" si="160"/>
        <v>25.078753800000037</v>
      </c>
      <c r="AC527" s="83">
        <f t="shared" si="162"/>
        <v>120</v>
      </c>
      <c r="AD527" s="72">
        <v>120</v>
      </c>
      <c r="AE527" s="73">
        <f t="shared" si="169"/>
        <v>907.92027688745009</v>
      </c>
      <c r="AF527" s="73">
        <f>SUM(AE$2:AE527)</f>
        <v>434337.99384192389</v>
      </c>
      <c r="AG527" s="73">
        <f t="shared" si="170"/>
        <v>739391.9085851853</v>
      </c>
    </row>
    <row r="528" spans="1:33" x14ac:dyDescent="0.25">
      <c r="A528" s="100">
        <v>143899.92000000001</v>
      </c>
      <c r="B528" s="97">
        <v>774.05830000000003</v>
      </c>
      <c r="C528" s="97">
        <v>0.6</v>
      </c>
      <c r="D528" s="80">
        <f t="shared" si="155"/>
        <v>100</v>
      </c>
      <c r="E528" s="81">
        <f t="shared" si="163"/>
        <v>6791.2436711181272</v>
      </c>
      <c r="F528" s="81">
        <f>SUM(E$2:E528)</f>
        <v>3252660.9855560041</v>
      </c>
      <c r="G528" s="43">
        <f t="shared" si="161"/>
        <v>1</v>
      </c>
      <c r="H528" s="78">
        <v>1</v>
      </c>
      <c r="I528" s="15">
        <f t="shared" si="164"/>
        <v>0.6</v>
      </c>
      <c r="J528" s="16">
        <f>VLOOKUP(G528,Inputs!$L$3:$P$15,5,FALSE)</f>
        <v>2000</v>
      </c>
      <c r="K528" s="16">
        <f t="shared" si="165"/>
        <v>1825</v>
      </c>
      <c r="L528" s="79">
        <f>Inputs!$P$8-B528</f>
        <v>164.1327</v>
      </c>
      <c r="M528" s="79">
        <f>Inputs!$Q$8+L528*0.433</f>
        <v>1896.0694590999999</v>
      </c>
      <c r="N528" s="82">
        <f t="shared" si="166"/>
        <v>143899.92000000001</v>
      </c>
      <c r="O528" s="83">
        <f t="shared" si="167"/>
        <v>774.05830000000003</v>
      </c>
      <c r="P528" s="84">
        <f>IF(O528="","",Inputs!$C$5-O528)</f>
        <v>51.126199999999926</v>
      </c>
      <c r="Q528" s="83">
        <f>IF(N528="","",TS!J528)</f>
        <v>2000</v>
      </c>
      <c r="R528" s="83">
        <f>IF(N528="","",TS!K528)</f>
        <v>1825</v>
      </c>
      <c r="S528" s="83">
        <f>Inputs!$H$5+TS!P528*0.4333</f>
        <v>1897.1186989099999</v>
      </c>
      <c r="T528" s="83">
        <f>Inputs!$G$5+TS!P528*0.4333</f>
        <v>1912.1186989099999</v>
      </c>
      <c r="U528" s="85">
        <f t="shared" si="168"/>
        <v>0.95605934945499993</v>
      </c>
      <c r="V528" s="86">
        <f t="shared" si="156"/>
        <v>0</v>
      </c>
      <c r="W528" s="86">
        <f t="shared" si="157"/>
        <v>0</v>
      </c>
      <c r="X528" s="86" t="e">
        <f>((PI()*((42-2*'Gen Calcs'!$E$13)^2)/4)/144)*(A571-#REF!)*(W528+14.7)/14.7</f>
        <v>#REF!</v>
      </c>
      <c r="Y528" s="86" t="e">
        <f t="shared" si="158"/>
        <v>#REF!</v>
      </c>
      <c r="Z528" s="86" t="e">
        <f t="shared" si="159"/>
        <v>#REF!</v>
      </c>
      <c r="AA528" s="83">
        <f>MAX(B$2:B528)-B528</f>
        <v>53.345500000000015</v>
      </c>
      <c r="AB528" s="83">
        <f t="shared" si="160"/>
        <v>23.098601500000008</v>
      </c>
      <c r="AC528" s="83">
        <f t="shared" si="162"/>
        <v>120</v>
      </c>
      <c r="AD528" s="72">
        <v>120</v>
      </c>
      <c r="AE528" s="73">
        <f t="shared" si="169"/>
        <v>907.92027688745009</v>
      </c>
      <c r="AF528" s="73">
        <f>SUM(AE$2:AE528)</f>
        <v>435245.91411881131</v>
      </c>
      <c r="AG528" s="73">
        <f t="shared" si="170"/>
        <v>738483.98830829794</v>
      </c>
    </row>
    <row r="529" spans="1:33" x14ac:dyDescent="0.25">
      <c r="A529" s="99">
        <v>143999.92000000001</v>
      </c>
      <c r="B529" s="96">
        <v>777.38789999999995</v>
      </c>
      <c r="C529" s="96">
        <v>0.6</v>
      </c>
      <c r="D529" s="80">
        <f t="shared" si="155"/>
        <v>100</v>
      </c>
      <c r="E529" s="81">
        <f t="shared" si="163"/>
        <v>6791.2436711181272</v>
      </c>
      <c r="F529" s="81">
        <f>SUM(E$2:E529)</f>
        <v>3259452.2292271224</v>
      </c>
      <c r="G529" s="43">
        <f t="shared" si="161"/>
        <v>1</v>
      </c>
      <c r="H529" s="78">
        <v>1</v>
      </c>
      <c r="I529" s="15">
        <f t="shared" si="164"/>
        <v>0.6</v>
      </c>
      <c r="J529" s="16">
        <f>VLOOKUP(G529,Inputs!$L$3:$P$15,5,FALSE)</f>
        <v>2000</v>
      </c>
      <c r="K529" s="16">
        <f t="shared" si="165"/>
        <v>1825</v>
      </c>
      <c r="L529" s="79">
        <f>Inputs!$P$8-B529</f>
        <v>160.80310000000009</v>
      </c>
      <c r="M529" s="79">
        <f>Inputs!$Q$8+L529*0.433</f>
        <v>1894.6277423000001</v>
      </c>
      <c r="N529" s="82">
        <f t="shared" si="166"/>
        <v>143999.92000000001</v>
      </c>
      <c r="O529" s="83">
        <f t="shared" si="167"/>
        <v>777.38789999999995</v>
      </c>
      <c r="P529" s="84">
        <f>IF(O529="","",Inputs!$C$5-O529)</f>
        <v>47.796600000000012</v>
      </c>
      <c r="Q529" s="83">
        <f>IF(N529="","",TS!J529)</f>
        <v>2000</v>
      </c>
      <c r="R529" s="83">
        <f>IF(N529="","",TS!K529)</f>
        <v>1825</v>
      </c>
      <c r="S529" s="83">
        <f>Inputs!$H$5+TS!P529*0.4333</f>
        <v>1895.6759832299999</v>
      </c>
      <c r="T529" s="83">
        <f>Inputs!$G$5+TS!P529*0.4333</f>
        <v>1910.6759832299999</v>
      </c>
      <c r="U529" s="85">
        <f t="shared" si="168"/>
        <v>0.95533799161499999</v>
      </c>
      <c r="V529" s="86">
        <f t="shared" si="156"/>
        <v>0</v>
      </c>
      <c r="W529" s="86">
        <f t="shared" si="157"/>
        <v>0</v>
      </c>
      <c r="X529" s="86" t="e">
        <f>((PI()*((42-2*'Gen Calcs'!$E$13)^2)/4)/144)*(A572-#REF!)*(W529+14.7)/14.7</f>
        <v>#REF!</v>
      </c>
      <c r="Y529" s="86" t="e">
        <f t="shared" si="158"/>
        <v>#REF!</v>
      </c>
      <c r="Z529" s="86" t="e">
        <f t="shared" si="159"/>
        <v>#REF!</v>
      </c>
      <c r="AA529" s="83">
        <f>MAX(B$2:B529)-B529</f>
        <v>50.015900000000101</v>
      </c>
      <c r="AB529" s="83">
        <f t="shared" si="160"/>
        <v>21.656884700000045</v>
      </c>
      <c r="AC529" s="83">
        <f t="shared" si="162"/>
        <v>120</v>
      </c>
      <c r="AD529" s="72">
        <v>120</v>
      </c>
      <c r="AE529" s="73">
        <f t="shared" si="169"/>
        <v>907.92027688745009</v>
      </c>
      <c r="AF529" s="73">
        <f>SUM(AE$2:AE529)</f>
        <v>436153.83439569874</v>
      </c>
      <c r="AG529" s="73">
        <f t="shared" si="170"/>
        <v>737576.06803141045</v>
      </c>
    </row>
    <row r="530" spans="1:33" x14ac:dyDescent="0.25">
      <c r="A530" s="100">
        <v>144099.92000000001</v>
      </c>
      <c r="B530" s="97">
        <v>780.49339999999995</v>
      </c>
      <c r="C530" s="97">
        <v>0.6</v>
      </c>
      <c r="D530" s="80">
        <f t="shared" si="155"/>
        <v>100</v>
      </c>
      <c r="E530" s="81">
        <f t="shared" si="163"/>
        <v>6791.2436711181272</v>
      </c>
      <c r="F530" s="81">
        <f>SUM(E$2:E530)</f>
        <v>3266243.4728982407</v>
      </c>
      <c r="G530" s="43">
        <f t="shared" si="161"/>
        <v>1</v>
      </c>
      <c r="H530" s="78">
        <v>1</v>
      </c>
      <c r="I530" s="15">
        <f t="shared" si="164"/>
        <v>0.6</v>
      </c>
      <c r="J530" s="16">
        <f>VLOOKUP(G530,Inputs!$L$3:$P$15,5,FALSE)</f>
        <v>2000</v>
      </c>
      <c r="K530" s="16">
        <f t="shared" si="165"/>
        <v>1825</v>
      </c>
      <c r="L530" s="79">
        <f>Inputs!$P$8-B530</f>
        <v>157.69760000000008</v>
      </c>
      <c r="M530" s="79">
        <f>Inputs!$Q$8+L530*0.433</f>
        <v>1893.2830607999999</v>
      </c>
      <c r="N530" s="82">
        <f t="shared" si="166"/>
        <v>144099.92000000001</v>
      </c>
      <c r="O530" s="83">
        <f t="shared" si="167"/>
        <v>780.49339999999995</v>
      </c>
      <c r="P530" s="84">
        <f>IF(O530="","",Inputs!$C$5-O530)</f>
        <v>44.691100000000006</v>
      </c>
      <c r="Q530" s="83">
        <f>IF(N530="","",TS!J530)</f>
        <v>2000</v>
      </c>
      <c r="R530" s="83">
        <f>IF(N530="","",TS!K530)</f>
        <v>1825</v>
      </c>
      <c r="S530" s="83">
        <f>Inputs!$H$5+TS!P530*0.4333</f>
        <v>1894.33037008</v>
      </c>
      <c r="T530" s="83">
        <f>Inputs!$G$5+TS!P530*0.4333</f>
        <v>1909.33037008</v>
      </c>
      <c r="U530" s="85">
        <f t="shared" si="168"/>
        <v>0.95466518503999998</v>
      </c>
      <c r="V530" s="86">
        <f t="shared" si="156"/>
        <v>0</v>
      </c>
      <c r="W530" s="86">
        <f t="shared" si="157"/>
        <v>0</v>
      </c>
      <c r="X530" s="86" t="e">
        <f>((PI()*((42-2*'Gen Calcs'!$E$13)^2)/4)/144)*(A573-#REF!)*(W530+14.7)/14.7</f>
        <v>#REF!</v>
      </c>
      <c r="Y530" s="86" t="e">
        <f t="shared" si="158"/>
        <v>#REF!</v>
      </c>
      <c r="Z530" s="86" t="e">
        <f t="shared" si="159"/>
        <v>#REF!</v>
      </c>
      <c r="AA530" s="83">
        <f>MAX(B$2:B530)-B530</f>
        <v>46.910400000000095</v>
      </c>
      <c r="AB530" s="83">
        <f t="shared" si="160"/>
        <v>20.312203200000042</v>
      </c>
      <c r="AC530" s="83">
        <f t="shared" si="162"/>
        <v>120</v>
      </c>
      <c r="AD530" s="72">
        <v>120</v>
      </c>
      <c r="AE530" s="73">
        <f t="shared" si="169"/>
        <v>907.92027688745009</v>
      </c>
      <c r="AF530" s="73">
        <f>SUM(AE$2:AE530)</f>
        <v>437061.75467258616</v>
      </c>
      <c r="AG530" s="73">
        <f t="shared" si="170"/>
        <v>736668.14775452297</v>
      </c>
    </row>
    <row r="531" spans="1:33" x14ac:dyDescent="0.25">
      <c r="A531" s="99">
        <v>144199.92000000001</v>
      </c>
      <c r="B531" s="96">
        <v>783.38080000000002</v>
      </c>
      <c r="C531" s="96">
        <v>0.6</v>
      </c>
      <c r="D531" s="80">
        <f t="shared" si="155"/>
        <v>100</v>
      </c>
      <c r="E531" s="81">
        <f t="shared" si="163"/>
        <v>6791.2436711181272</v>
      </c>
      <c r="F531" s="81">
        <f>SUM(E$2:E531)</f>
        <v>3273034.7165693589</v>
      </c>
      <c r="G531" s="43">
        <f t="shared" si="161"/>
        <v>1</v>
      </c>
      <c r="H531" s="78">
        <v>1</v>
      </c>
      <c r="I531" s="15">
        <f t="shared" si="164"/>
        <v>0.6</v>
      </c>
      <c r="J531" s="16">
        <f>VLOOKUP(G531,Inputs!$L$3:$P$15,5,FALSE)</f>
        <v>2000</v>
      </c>
      <c r="K531" s="16">
        <f t="shared" si="165"/>
        <v>1825</v>
      </c>
      <c r="L531" s="79">
        <f>Inputs!$P$8-B531</f>
        <v>154.81020000000001</v>
      </c>
      <c r="M531" s="79">
        <f>Inputs!$Q$8+L531*0.433</f>
        <v>1892.0328165999999</v>
      </c>
      <c r="N531" s="82">
        <f t="shared" si="166"/>
        <v>144199.92000000001</v>
      </c>
      <c r="O531" s="83">
        <f t="shared" si="167"/>
        <v>783.38080000000002</v>
      </c>
      <c r="P531" s="84">
        <f>IF(O531="","",Inputs!$C$5-O531)</f>
        <v>41.803699999999935</v>
      </c>
      <c r="Q531" s="83">
        <f>IF(N531="","",TS!J531)</f>
        <v>2000</v>
      </c>
      <c r="R531" s="83">
        <f>IF(N531="","",TS!K531)</f>
        <v>1825</v>
      </c>
      <c r="S531" s="83">
        <f>Inputs!$H$5+TS!P531*0.4333</f>
        <v>1893.0792596599999</v>
      </c>
      <c r="T531" s="83">
        <f>Inputs!$G$5+TS!P531*0.4333</f>
        <v>1908.0792596599999</v>
      </c>
      <c r="U531" s="85">
        <f t="shared" si="168"/>
        <v>0.95403962983000001</v>
      </c>
      <c r="V531" s="86">
        <f t="shared" si="156"/>
        <v>0</v>
      </c>
      <c r="W531" s="86">
        <f t="shared" si="157"/>
        <v>0</v>
      </c>
      <c r="X531" s="86" t="e">
        <f>((PI()*((42-2*'Gen Calcs'!$E$13)^2)/4)/144)*(A574-#REF!)*(W531+14.7)/14.7</f>
        <v>#REF!</v>
      </c>
      <c r="Y531" s="86" t="e">
        <f t="shared" si="158"/>
        <v>#REF!</v>
      </c>
      <c r="Z531" s="86" t="e">
        <f t="shared" si="159"/>
        <v>#REF!</v>
      </c>
      <c r="AA531" s="83">
        <f>MAX(B$2:B531)-B531</f>
        <v>44.023000000000025</v>
      </c>
      <c r="AB531" s="83">
        <f t="shared" si="160"/>
        <v>19.061959000000009</v>
      </c>
      <c r="AC531" s="83">
        <f t="shared" si="162"/>
        <v>120</v>
      </c>
      <c r="AD531" s="72">
        <v>120</v>
      </c>
      <c r="AE531" s="73">
        <f t="shared" si="169"/>
        <v>907.92027688745009</v>
      </c>
      <c r="AF531" s="73">
        <f>SUM(AE$2:AE531)</f>
        <v>437969.67494947359</v>
      </c>
      <c r="AG531" s="73">
        <f t="shared" si="170"/>
        <v>735760.22747763561</v>
      </c>
    </row>
    <row r="532" spans="1:33" x14ac:dyDescent="0.25">
      <c r="A532" s="100">
        <v>144299.92000000001</v>
      </c>
      <c r="B532" s="97">
        <v>785.74239999999998</v>
      </c>
      <c r="C532" s="97">
        <v>0.6</v>
      </c>
      <c r="D532" s="80">
        <f t="shared" si="155"/>
        <v>100</v>
      </c>
      <c r="E532" s="81">
        <f t="shared" si="163"/>
        <v>6791.2436711181272</v>
      </c>
      <c r="F532" s="81">
        <f>SUM(E$2:E532)</f>
        <v>3279825.9602404772</v>
      </c>
      <c r="G532" s="43">
        <f t="shared" si="161"/>
        <v>1</v>
      </c>
      <c r="H532" s="78">
        <v>1</v>
      </c>
      <c r="I532" s="15">
        <f t="shared" si="164"/>
        <v>0.6</v>
      </c>
      <c r="J532" s="16">
        <f>VLOOKUP(G532,Inputs!$L$3:$P$15,5,FALSE)</f>
        <v>2000</v>
      </c>
      <c r="K532" s="16">
        <f t="shared" si="165"/>
        <v>1825</v>
      </c>
      <c r="L532" s="79">
        <f>Inputs!$P$8-B532</f>
        <v>152.44860000000006</v>
      </c>
      <c r="M532" s="79">
        <f>Inputs!$Q$8+L532*0.433</f>
        <v>1891.0102438000001</v>
      </c>
      <c r="N532" s="82">
        <f t="shared" si="166"/>
        <v>144299.92000000001</v>
      </c>
      <c r="O532" s="83">
        <f t="shared" si="167"/>
        <v>785.74239999999998</v>
      </c>
      <c r="P532" s="84">
        <f>IF(O532="","",Inputs!$C$5-O532)</f>
        <v>39.442099999999982</v>
      </c>
      <c r="Q532" s="83">
        <f>IF(N532="","",TS!J532)</f>
        <v>2000</v>
      </c>
      <c r="R532" s="83">
        <f>IF(N532="","",TS!K532)</f>
        <v>1825</v>
      </c>
      <c r="S532" s="83">
        <f>Inputs!$H$5+TS!P532*0.4333</f>
        <v>1892.0559783799999</v>
      </c>
      <c r="T532" s="83">
        <f>Inputs!$G$5+TS!P532*0.4333</f>
        <v>1907.0559783799999</v>
      </c>
      <c r="U532" s="85">
        <f t="shared" si="168"/>
        <v>0.95352798918999992</v>
      </c>
      <c r="V532" s="86">
        <f t="shared" si="156"/>
        <v>0</v>
      </c>
      <c r="W532" s="86">
        <f t="shared" si="157"/>
        <v>0</v>
      </c>
      <c r="X532" s="86" t="e">
        <f>((PI()*((42-2*'Gen Calcs'!$E$13)^2)/4)/144)*(A575-#REF!)*(W532+14.7)/14.7</f>
        <v>#REF!</v>
      </c>
      <c r="Y532" s="86" t="e">
        <f t="shared" si="158"/>
        <v>#REF!</v>
      </c>
      <c r="Z532" s="86" t="e">
        <f t="shared" si="159"/>
        <v>#REF!</v>
      </c>
      <c r="AA532" s="83">
        <f>MAX(B$2:B532)-B532</f>
        <v>41.661400000000071</v>
      </c>
      <c r="AB532" s="83">
        <f t="shared" si="160"/>
        <v>18.039386200000031</v>
      </c>
      <c r="AC532" s="83">
        <f t="shared" si="162"/>
        <v>120</v>
      </c>
      <c r="AD532" s="72">
        <v>120</v>
      </c>
      <c r="AE532" s="73">
        <f t="shared" si="169"/>
        <v>907.92027688745009</v>
      </c>
      <c r="AF532" s="73">
        <f>SUM(AE$2:AE532)</f>
        <v>438877.59522636101</v>
      </c>
      <c r="AG532" s="73">
        <f t="shared" si="170"/>
        <v>734852.30720074824</v>
      </c>
    </row>
    <row r="533" spans="1:33" x14ac:dyDescent="0.25">
      <c r="A533" s="99">
        <v>144399.92000000001</v>
      </c>
      <c r="B533" s="96">
        <v>788.327</v>
      </c>
      <c r="C533" s="96">
        <v>0.6</v>
      </c>
      <c r="D533" s="80">
        <f t="shared" si="155"/>
        <v>100</v>
      </c>
      <c r="E533" s="81">
        <f t="shared" si="163"/>
        <v>6791.2436711181272</v>
      </c>
      <c r="F533" s="81">
        <f>SUM(E$2:E533)</f>
        <v>3286617.2039115955</v>
      </c>
      <c r="G533" s="43">
        <f t="shared" si="161"/>
        <v>1</v>
      </c>
      <c r="H533" s="78">
        <v>1</v>
      </c>
      <c r="I533" s="15">
        <f t="shared" si="164"/>
        <v>0.6</v>
      </c>
      <c r="J533" s="16">
        <f>VLOOKUP(G533,Inputs!$L$3:$P$15,5,FALSE)</f>
        <v>2000</v>
      </c>
      <c r="K533" s="16">
        <f t="shared" si="165"/>
        <v>1825</v>
      </c>
      <c r="L533" s="79">
        <f>Inputs!$P$8-B533</f>
        <v>149.86400000000003</v>
      </c>
      <c r="M533" s="79">
        <f>Inputs!$Q$8+L533*0.433</f>
        <v>1889.891112</v>
      </c>
      <c r="N533" s="82">
        <f t="shared" si="166"/>
        <v>144399.92000000001</v>
      </c>
      <c r="O533" s="83">
        <f t="shared" si="167"/>
        <v>788.327</v>
      </c>
      <c r="P533" s="84">
        <f>IF(O533="","",Inputs!$C$5-O533)</f>
        <v>36.857499999999959</v>
      </c>
      <c r="Q533" s="83">
        <f>IF(N533="","",TS!J533)</f>
        <v>2000</v>
      </c>
      <c r="R533" s="83">
        <f>IF(N533="","",TS!K533)</f>
        <v>1825</v>
      </c>
      <c r="S533" s="83">
        <f>Inputs!$H$5+TS!P533*0.4333</f>
        <v>1890.9360712</v>
      </c>
      <c r="T533" s="83">
        <f>Inputs!$G$5+TS!P533*0.4333</f>
        <v>1905.9360712</v>
      </c>
      <c r="U533" s="85">
        <f t="shared" si="168"/>
        <v>0.95296803559999999</v>
      </c>
      <c r="V533" s="86">
        <f t="shared" si="156"/>
        <v>0</v>
      </c>
      <c r="W533" s="86">
        <f t="shared" si="157"/>
        <v>0</v>
      </c>
      <c r="X533" s="86" t="e">
        <f>((PI()*((42-2*'Gen Calcs'!$E$13)^2)/4)/144)*(A576-#REF!)*(W533+14.7)/14.7</f>
        <v>#REF!</v>
      </c>
      <c r="Y533" s="86" t="e">
        <f t="shared" si="158"/>
        <v>#REF!</v>
      </c>
      <c r="Z533" s="86" t="e">
        <f t="shared" si="159"/>
        <v>#REF!</v>
      </c>
      <c r="AA533" s="83">
        <f>MAX(B$2:B533)-B533</f>
        <v>39.076800000000048</v>
      </c>
      <c r="AB533" s="83">
        <f t="shared" si="160"/>
        <v>16.920254400000022</v>
      </c>
      <c r="AC533" s="83">
        <f t="shared" si="162"/>
        <v>120</v>
      </c>
      <c r="AD533" s="72">
        <v>120</v>
      </c>
      <c r="AE533" s="73">
        <f t="shared" si="169"/>
        <v>907.92027688745009</v>
      </c>
      <c r="AF533" s="73">
        <f>SUM(AE$2:AE533)</f>
        <v>439785.51550324843</v>
      </c>
      <c r="AG533" s="73">
        <f t="shared" si="170"/>
        <v>733944.38692386076</v>
      </c>
    </row>
    <row r="534" spans="1:33" x14ac:dyDescent="0.25">
      <c r="A534" s="100">
        <v>144478.29999999999</v>
      </c>
      <c r="B534" s="97">
        <v>788.327</v>
      </c>
      <c r="C534" s="97">
        <v>0.86399999999999999</v>
      </c>
      <c r="D534" s="80">
        <f t="shared" si="155"/>
        <v>78.379999999975553</v>
      </c>
      <c r="E534" s="81">
        <f t="shared" si="163"/>
        <v>5322.976789420728</v>
      </c>
      <c r="F534" s="81">
        <f>SUM(E$2:E534)</f>
        <v>3291940.1807010164</v>
      </c>
      <c r="G534" s="43">
        <f t="shared" si="161"/>
        <v>2</v>
      </c>
      <c r="H534" s="78">
        <v>1</v>
      </c>
      <c r="I534" s="15">
        <f t="shared" si="164"/>
        <v>0.86399999999999999</v>
      </c>
      <c r="J534" s="16">
        <f>VLOOKUP(G534,Inputs!$L$3:$P$15,5,FALSE)</f>
        <v>2880</v>
      </c>
      <c r="K534" s="16">
        <f t="shared" si="165"/>
        <v>1825</v>
      </c>
      <c r="L534" s="79">
        <f>Inputs!$P$8-B534</f>
        <v>149.86400000000003</v>
      </c>
      <c r="M534" s="79">
        <f>Inputs!$Q$8+L534*0.433</f>
        <v>1889.891112</v>
      </c>
      <c r="N534" s="82">
        <f t="shared" si="166"/>
        <v>144478.29999999999</v>
      </c>
      <c r="O534" s="83">
        <f t="shared" si="167"/>
        <v>788.327</v>
      </c>
      <c r="P534" s="84">
        <f>IF(O534="","",Inputs!$C$5-O534)</f>
        <v>36.857499999999959</v>
      </c>
      <c r="Q534" s="83">
        <f>IF(N534="","",TS!J534)</f>
        <v>2880</v>
      </c>
      <c r="R534" s="83">
        <f>IF(N534="","",TS!K534)</f>
        <v>1825</v>
      </c>
      <c r="S534" s="83">
        <f>Inputs!$H$5+TS!P534*0.4333</f>
        <v>1890.9360712</v>
      </c>
      <c r="T534" s="83">
        <f>Inputs!$G$5+TS!P534*0.4333</f>
        <v>1905.9360712</v>
      </c>
      <c r="U534" s="85">
        <f t="shared" si="168"/>
        <v>0.66178335805555555</v>
      </c>
      <c r="V534" s="86">
        <f t="shared" si="156"/>
        <v>0</v>
      </c>
      <c r="W534" s="86">
        <f t="shared" si="157"/>
        <v>0</v>
      </c>
      <c r="X534" s="86" t="e">
        <f>((PI()*((42-2*'Gen Calcs'!$E$13)^2)/4)/144)*(A577-#REF!)*(W534+14.7)/14.7</f>
        <v>#REF!</v>
      </c>
      <c r="Y534" s="86" t="e">
        <f t="shared" si="158"/>
        <v>#REF!</v>
      </c>
      <c r="Z534" s="86" t="e">
        <f t="shared" si="159"/>
        <v>#REF!</v>
      </c>
      <c r="AA534" s="83">
        <f>MAX(B$2:B534)-B534</f>
        <v>39.076800000000048</v>
      </c>
      <c r="AB534" s="83">
        <f t="shared" si="160"/>
        <v>16.920254400000022</v>
      </c>
      <c r="AC534" s="83">
        <f t="shared" si="162"/>
        <v>120</v>
      </c>
      <c r="AD534" s="72">
        <v>120</v>
      </c>
      <c r="AE534" s="73">
        <f t="shared" si="169"/>
        <v>693.32848742405645</v>
      </c>
      <c r="AF534" s="73">
        <f>SUM(AE$2:AE534)</f>
        <v>440478.8439906725</v>
      </c>
      <c r="AG534" s="73">
        <f t="shared" si="170"/>
        <v>733251.0584364367</v>
      </c>
    </row>
    <row r="535" spans="1:33" x14ac:dyDescent="0.25">
      <c r="A535" s="99">
        <v>144499.92000000001</v>
      </c>
      <c r="B535" s="96">
        <v>790.9144</v>
      </c>
      <c r="C535" s="96">
        <v>0.6</v>
      </c>
      <c r="D535" s="80">
        <f t="shared" si="155"/>
        <v>21.620000000024447</v>
      </c>
      <c r="E535" s="81">
        <f t="shared" si="163"/>
        <v>1468.2668816973994</v>
      </c>
      <c r="F535" s="81">
        <f>SUM(E$2:E535)</f>
        <v>3293408.4475827138</v>
      </c>
      <c r="G535" s="43">
        <f t="shared" si="161"/>
        <v>1</v>
      </c>
      <c r="H535" s="78">
        <v>1</v>
      </c>
      <c r="I535" s="15">
        <f t="shared" si="164"/>
        <v>0.6</v>
      </c>
      <c r="J535" s="16">
        <f>VLOOKUP(G535,Inputs!$L$3:$P$15,5,FALSE)</f>
        <v>2000</v>
      </c>
      <c r="K535" s="16">
        <f t="shared" si="165"/>
        <v>1825</v>
      </c>
      <c r="L535" s="79">
        <f>Inputs!$P$8-B535</f>
        <v>147.27660000000003</v>
      </c>
      <c r="M535" s="79">
        <f>Inputs!$Q$8+L535*0.433</f>
        <v>1888.7707677999999</v>
      </c>
      <c r="N535" s="82">
        <f t="shared" si="166"/>
        <v>144499.92000000001</v>
      </c>
      <c r="O535" s="83">
        <f t="shared" si="167"/>
        <v>790.9144</v>
      </c>
      <c r="P535" s="84">
        <f>IF(O535="","",Inputs!$C$5-O535)</f>
        <v>34.270099999999957</v>
      </c>
      <c r="Q535" s="83">
        <f>IF(N535="","",TS!J535)</f>
        <v>2000</v>
      </c>
      <c r="R535" s="83">
        <f>IF(N535="","",TS!K535)</f>
        <v>1825</v>
      </c>
      <c r="S535" s="83">
        <f>Inputs!$H$5+TS!P535*0.4333</f>
        <v>1889.8149507799999</v>
      </c>
      <c r="T535" s="83">
        <f>Inputs!$G$5+TS!P535*0.4333</f>
        <v>1904.8149507799999</v>
      </c>
      <c r="U535" s="85">
        <f t="shared" si="168"/>
        <v>0.95240747538999992</v>
      </c>
      <c r="V535" s="86">
        <f t="shared" si="156"/>
        <v>0</v>
      </c>
      <c r="W535" s="86">
        <f t="shared" si="157"/>
        <v>0</v>
      </c>
      <c r="X535" s="86" t="e">
        <f>((PI()*((42-2*'Gen Calcs'!$E$13)^2)/4)/144)*(A578-#REF!)*(W535+14.7)/14.7</f>
        <v>#REF!</v>
      </c>
      <c r="Y535" s="86" t="e">
        <f t="shared" si="158"/>
        <v>#REF!</v>
      </c>
      <c r="Z535" s="86" t="e">
        <f t="shared" si="159"/>
        <v>#REF!</v>
      </c>
      <c r="AA535" s="83">
        <f>MAX(B$2:B535)-B535</f>
        <v>36.489400000000046</v>
      </c>
      <c r="AB535" s="83">
        <f t="shared" si="160"/>
        <v>15.799910200000021</v>
      </c>
      <c r="AC535" s="83">
        <f t="shared" si="162"/>
        <v>120</v>
      </c>
      <c r="AD535" s="72">
        <v>120</v>
      </c>
      <c r="AE535" s="73">
        <f t="shared" si="169"/>
        <v>196.29236386328867</v>
      </c>
      <c r="AF535" s="73">
        <f>SUM(AE$2:AE535)</f>
        <v>440675.13635453576</v>
      </c>
      <c r="AG535" s="73">
        <f t="shared" si="170"/>
        <v>733054.76607257337</v>
      </c>
    </row>
    <row r="536" spans="1:33" x14ac:dyDescent="0.25">
      <c r="A536" s="100">
        <v>144558.29999999999</v>
      </c>
      <c r="B536" s="97">
        <v>790.9144</v>
      </c>
      <c r="C536" s="97">
        <v>0.86399999999999999</v>
      </c>
      <c r="D536" s="80">
        <f t="shared" si="155"/>
        <v>58.379999999975553</v>
      </c>
      <c r="E536" s="81">
        <f t="shared" si="163"/>
        <v>3964.7280551971025</v>
      </c>
      <c r="F536" s="81">
        <f>SUM(E$2:E536)</f>
        <v>3297373.1756379111</v>
      </c>
      <c r="G536" s="43">
        <f t="shared" si="161"/>
        <v>2</v>
      </c>
      <c r="H536" s="78">
        <v>1</v>
      </c>
      <c r="I536" s="15">
        <f t="shared" si="164"/>
        <v>0.86399999999999999</v>
      </c>
      <c r="J536" s="16">
        <f>VLOOKUP(G536,Inputs!$L$3:$P$15,5,FALSE)</f>
        <v>2880</v>
      </c>
      <c r="K536" s="16">
        <f t="shared" si="165"/>
        <v>1825</v>
      </c>
      <c r="L536" s="79">
        <f>Inputs!$P$8-B536</f>
        <v>147.27660000000003</v>
      </c>
      <c r="M536" s="79">
        <f>Inputs!$Q$8+L536*0.433</f>
        <v>1888.7707677999999</v>
      </c>
      <c r="N536" s="82">
        <f t="shared" si="166"/>
        <v>144558.29999999999</v>
      </c>
      <c r="O536" s="83">
        <f t="shared" si="167"/>
        <v>790.9144</v>
      </c>
      <c r="P536" s="84">
        <f>IF(O536="","",Inputs!$C$5-O536)</f>
        <v>34.270099999999957</v>
      </c>
      <c r="Q536" s="83">
        <f>IF(N536="","",TS!J536)</f>
        <v>2880</v>
      </c>
      <c r="R536" s="83">
        <f>IF(N536="","",TS!K536)</f>
        <v>1825</v>
      </c>
      <c r="S536" s="83">
        <f>Inputs!$H$5+TS!P536*0.4333</f>
        <v>1889.8149507799999</v>
      </c>
      <c r="T536" s="83">
        <f>Inputs!$G$5+TS!P536*0.4333</f>
        <v>1904.8149507799999</v>
      </c>
      <c r="U536" s="85">
        <f t="shared" si="168"/>
        <v>0.66139408013194445</v>
      </c>
      <c r="V536" s="86">
        <f t="shared" si="156"/>
        <v>0</v>
      </c>
      <c r="W536" s="86">
        <f t="shared" si="157"/>
        <v>0</v>
      </c>
      <c r="X536" s="86" t="e">
        <f>((PI()*((42-2*'Gen Calcs'!$E$13)^2)/4)/144)*(A579-#REF!)*(W536+14.7)/14.7</f>
        <v>#REF!</v>
      </c>
      <c r="Y536" s="86" t="e">
        <f t="shared" si="158"/>
        <v>#REF!</v>
      </c>
      <c r="Z536" s="86" t="e">
        <f t="shared" si="159"/>
        <v>#REF!</v>
      </c>
      <c r="AA536" s="83">
        <f>MAX(B$2:B536)-B536</f>
        <v>36.489400000000046</v>
      </c>
      <c r="AB536" s="83">
        <f t="shared" si="160"/>
        <v>15.799910200000021</v>
      </c>
      <c r="AC536" s="83">
        <f t="shared" si="162"/>
        <v>120</v>
      </c>
      <c r="AD536" s="72">
        <v>120</v>
      </c>
      <c r="AE536" s="73">
        <f t="shared" si="169"/>
        <v>516.41384403944994</v>
      </c>
      <c r="AF536" s="73">
        <f>SUM(AE$2:AE536)</f>
        <v>441191.55019857519</v>
      </c>
      <c r="AG536" s="73">
        <f t="shared" si="170"/>
        <v>732538.35222853394</v>
      </c>
    </row>
    <row r="537" spans="1:33" x14ac:dyDescent="0.25">
      <c r="A537" s="99">
        <v>144599.92000000001</v>
      </c>
      <c r="B537" s="96">
        <v>793.48680000000002</v>
      </c>
      <c r="C537" s="96">
        <v>0.6</v>
      </c>
      <c r="D537" s="80">
        <f t="shared" si="155"/>
        <v>41.620000000024447</v>
      </c>
      <c r="E537" s="81">
        <f t="shared" si="163"/>
        <v>2826.5156159210246</v>
      </c>
      <c r="F537" s="81">
        <f>SUM(E$2:E537)</f>
        <v>3300199.6912538321</v>
      </c>
      <c r="G537" s="43">
        <f t="shared" si="161"/>
        <v>1</v>
      </c>
      <c r="H537" s="78">
        <v>1</v>
      </c>
      <c r="I537" s="15">
        <f t="shared" si="164"/>
        <v>0.6</v>
      </c>
      <c r="J537" s="16">
        <f>VLOOKUP(G537,Inputs!$L$3:$P$15,5,FALSE)</f>
        <v>2000</v>
      </c>
      <c r="K537" s="16">
        <f t="shared" si="165"/>
        <v>1825</v>
      </c>
      <c r="L537" s="79">
        <f>Inputs!$P$8-B537</f>
        <v>144.70420000000001</v>
      </c>
      <c r="M537" s="79">
        <f>Inputs!$Q$8+L537*0.433</f>
        <v>1887.6569185999999</v>
      </c>
      <c r="N537" s="82">
        <f t="shared" si="166"/>
        <v>144599.92000000001</v>
      </c>
      <c r="O537" s="83">
        <f t="shared" si="167"/>
        <v>793.48680000000002</v>
      </c>
      <c r="P537" s="84">
        <f>IF(O537="","",Inputs!$C$5-O537)</f>
        <v>31.697699999999941</v>
      </c>
      <c r="Q537" s="83">
        <f>IF(N537="","",TS!J537)</f>
        <v>2000</v>
      </c>
      <c r="R537" s="83">
        <f>IF(N537="","",TS!K537)</f>
        <v>1825</v>
      </c>
      <c r="S537" s="83">
        <f>Inputs!$H$5+TS!P537*0.4333</f>
        <v>1888.70032986</v>
      </c>
      <c r="T537" s="83">
        <f>Inputs!$G$5+TS!P537*0.4333</f>
        <v>1903.70032986</v>
      </c>
      <c r="U537" s="85">
        <f t="shared" si="168"/>
        <v>0.95185016492999996</v>
      </c>
      <c r="V537" s="86">
        <f t="shared" si="156"/>
        <v>0</v>
      </c>
      <c r="W537" s="86">
        <f t="shared" si="157"/>
        <v>0</v>
      </c>
      <c r="X537" s="86" t="e">
        <f>((PI()*((42-2*'Gen Calcs'!$E$13)^2)/4)/144)*(A580-#REF!)*(W537+14.7)/14.7</f>
        <v>#REF!</v>
      </c>
      <c r="Y537" s="86" t="e">
        <f t="shared" si="158"/>
        <v>#REF!</v>
      </c>
      <c r="Z537" s="86" t="e">
        <f t="shared" si="159"/>
        <v>#REF!</v>
      </c>
      <c r="AA537" s="83">
        <f>MAX(B$2:B537)-B537</f>
        <v>33.91700000000003</v>
      </c>
      <c r="AB537" s="83">
        <f t="shared" si="160"/>
        <v>14.686061000000013</v>
      </c>
      <c r="AC537" s="83">
        <f t="shared" si="162"/>
        <v>120</v>
      </c>
      <c r="AD537" s="72">
        <v>120</v>
      </c>
      <c r="AE537" s="73">
        <f t="shared" si="169"/>
        <v>377.87641924077866</v>
      </c>
      <c r="AF537" s="73">
        <f>SUM(AE$2:AE537)</f>
        <v>441569.42661781597</v>
      </c>
      <c r="AG537" s="73">
        <f t="shared" si="170"/>
        <v>732160.47580929322</v>
      </c>
    </row>
    <row r="538" spans="1:33" x14ac:dyDescent="0.25">
      <c r="A538" s="100">
        <v>144699.92000000001</v>
      </c>
      <c r="B538" s="97">
        <v>794.31989999999996</v>
      </c>
      <c r="C538" s="97">
        <v>0.6</v>
      </c>
      <c r="D538" s="80">
        <f t="shared" si="155"/>
        <v>100</v>
      </c>
      <c r="E538" s="81">
        <f t="shared" si="163"/>
        <v>6791.2436711181272</v>
      </c>
      <c r="F538" s="81">
        <f>SUM(E$2:E538)</f>
        <v>3306990.9349249504</v>
      </c>
      <c r="G538" s="43">
        <f t="shared" si="161"/>
        <v>1</v>
      </c>
      <c r="H538" s="78">
        <v>1</v>
      </c>
      <c r="I538" s="15">
        <f t="shared" si="164"/>
        <v>0.6</v>
      </c>
      <c r="J538" s="16">
        <f>VLOOKUP(G538,Inputs!$L$3:$P$15,5,FALSE)</f>
        <v>2000</v>
      </c>
      <c r="K538" s="16">
        <f t="shared" si="165"/>
        <v>1825</v>
      </c>
      <c r="L538" s="79">
        <f>Inputs!$P$8-B538</f>
        <v>143.87110000000007</v>
      </c>
      <c r="M538" s="79">
        <f>Inputs!$Q$8+L538*0.433</f>
        <v>1887.2961863</v>
      </c>
      <c r="N538" s="82">
        <f t="shared" si="166"/>
        <v>144699.92000000001</v>
      </c>
      <c r="O538" s="83">
        <f t="shared" si="167"/>
        <v>794.31989999999996</v>
      </c>
      <c r="P538" s="84">
        <f>IF(O538="","",Inputs!$C$5-O538)</f>
        <v>30.864599999999996</v>
      </c>
      <c r="Q538" s="83">
        <f>IF(N538="","",TS!J538)</f>
        <v>2000</v>
      </c>
      <c r="R538" s="83">
        <f>IF(N538="","",TS!K538)</f>
        <v>1825</v>
      </c>
      <c r="S538" s="83">
        <f>Inputs!$H$5+TS!P538*0.4333</f>
        <v>1888.33934763</v>
      </c>
      <c r="T538" s="83">
        <f>Inputs!$G$5+TS!P538*0.4333</f>
        <v>1903.33934763</v>
      </c>
      <c r="U538" s="85">
        <f t="shared" si="168"/>
        <v>0.95166967381500001</v>
      </c>
      <c r="V538" s="86">
        <f t="shared" si="156"/>
        <v>0</v>
      </c>
      <c r="W538" s="86">
        <f t="shared" si="157"/>
        <v>0</v>
      </c>
      <c r="X538" s="86" t="e">
        <f>((PI()*((42-2*'Gen Calcs'!$E$13)^2)/4)/144)*(A581-#REF!)*(W538+14.7)/14.7</f>
        <v>#REF!</v>
      </c>
      <c r="Y538" s="86" t="e">
        <f t="shared" si="158"/>
        <v>#REF!</v>
      </c>
      <c r="Z538" s="86" t="e">
        <f t="shared" si="159"/>
        <v>#REF!</v>
      </c>
      <c r="AA538" s="83">
        <f>MAX(B$2:B538)-B538</f>
        <v>33.083900000000085</v>
      </c>
      <c r="AB538" s="83">
        <f t="shared" si="160"/>
        <v>14.325328700000037</v>
      </c>
      <c r="AC538" s="83">
        <f t="shared" si="162"/>
        <v>120</v>
      </c>
      <c r="AD538" s="72">
        <v>120</v>
      </c>
      <c r="AE538" s="73">
        <f t="shared" si="169"/>
        <v>907.92027688745009</v>
      </c>
      <c r="AF538" s="73">
        <f>SUM(AE$2:AE538)</f>
        <v>442477.3468947034</v>
      </c>
      <c r="AG538" s="73">
        <f t="shared" si="170"/>
        <v>731252.55553240585</v>
      </c>
    </row>
    <row r="539" spans="1:33" x14ac:dyDescent="0.25">
      <c r="A539" s="99">
        <v>144799.92000000001</v>
      </c>
      <c r="B539" s="96">
        <v>791.61559999999997</v>
      </c>
      <c r="C539" s="96">
        <v>0.6</v>
      </c>
      <c r="D539" s="80">
        <f t="shared" si="155"/>
        <v>100</v>
      </c>
      <c r="E539" s="81">
        <f t="shared" si="163"/>
        <v>6791.2436711181272</v>
      </c>
      <c r="F539" s="81">
        <f>SUM(E$2:E539)</f>
        <v>3313782.1785960686</v>
      </c>
      <c r="G539" s="43">
        <f t="shared" si="161"/>
        <v>1</v>
      </c>
      <c r="H539" s="78">
        <v>1</v>
      </c>
      <c r="I539" s="15">
        <f t="shared" si="164"/>
        <v>0.6</v>
      </c>
      <c r="J539" s="16">
        <f>VLOOKUP(G539,Inputs!$L$3:$P$15,5,FALSE)</f>
        <v>2000</v>
      </c>
      <c r="K539" s="16">
        <f t="shared" si="165"/>
        <v>1825</v>
      </c>
      <c r="L539" s="79">
        <f>Inputs!$P$8-B539</f>
        <v>146.57540000000006</v>
      </c>
      <c r="M539" s="79">
        <f>Inputs!$Q$8+L539*0.433</f>
        <v>1888.4671482000001</v>
      </c>
      <c r="N539" s="82">
        <f t="shared" si="166"/>
        <v>144799.92000000001</v>
      </c>
      <c r="O539" s="83">
        <f t="shared" si="167"/>
        <v>791.61559999999997</v>
      </c>
      <c r="P539" s="84">
        <f>IF(O539="","",Inputs!$C$5-O539)</f>
        <v>33.568899999999985</v>
      </c>
      <c r="Q539" s="83">
        <f>IF(N539="","",TS!J539)</f>
        <v>2000</v>
      </c>
      <c r="R539" s="83">
        <f>IF(N539="","",TS!K539)</f>
        <v>1825</v>
      </c>
      <c r="S539" s="83">
        <f>Inputs!$H$5+TS!P539*0.4333</f>
        <v>1889.5111208199999</v>
      </c>
      <c r="T539" s="83">
        <f>Inputs!$G$5+TS!P539*0.4333</f>
        <v>1904.5111208199999</v>
      </c>
      <c r="U539" s="85">
        <f t="shared" si="168"/>
        <v>0.95225556040999992</v>
      </c>
      <c r="V539" s="86">
        <f t="shared" si="156"/>
        <v>0</v>
      </c>
      <c r="W539" s="86">
        <f t="shared" si="157"/>
        <v>0</v>
      </c>
      <c r="X539" s="86" t="e">
        <f>((PI()*((42-2*'Gen Calcs'!$E$13)^2)/4)/144)*(A582-#REF!)*(W539+14.7)/14.7</f>
        <v>#REF!</v>
      </c>
      <c r="Y539" s="86" t="e">
        <f t="shared" si="158"/>
        <v>#REF!</v>
      </c>
      <c r="Z539" s="86" t="e">
        <f t="shared" si="159"/>
        <v>#REF!</v>
      </c>
      <c r="AA539" s="83">
        <f>MAX(B$2:B539)-B539</f>
        <v>35.788200000000074</v>
      </c>
      <c r="AB539" s="83">
        <f t="shared" si="160"/>
        <v>15.496290600000032</v>
      </c>
      <c r="AC539" s="83">
        <f t="shared" si="162"/>
        <v>120</v>
      </c>
      <c r="AD539" s="72">
        <v>120</v>
      </c>
      <c r="AE539" s="73">
        <f t="shared" si="169"/>
        <v>907.92027688745009</v>
      </c>
      <c r="AF539" s="73">
        <f>SUM(AE$2:AE539)</f>
        <v>443385.26717159082</v>
      </c>
      <c r="AG539" s="73">
        <f t="shared" si="170"/>
        <v>730344.63525551837</v>
      </c>
    </row>
    <row r="540" spans="1:33" x14ac:dyDescent="0.25">
      <c r="A540" s="100">
        <v>144899.92000000001</v>
      </c>
      <c r="B540" s="97">
        <v>789.47249999999997</v>
      </c>
      <c r="C540" s="97">
        <v>0.6</v>
      </c>
      <c r="D540" s="80">
        <f t="shared" si="155"/>
        <v>100</v>
      </c>
      <c r="E540" s="81">
        <f t="shared" si="163"/>
        <v>6791.2436711181272</v>
      </c>
      <c r="F540" s="81">
        <f>SUM(E$2:E540)</f>
        <v>3320573.4222671869</v>
      </c>
      <c r="G540" s="43">
        <f t="shared" si="161"/>
        <v>1</v>
      </c>
      <c r="H540" s="78">
        <v>1</v>
      </c>
      <c r="I540" s="15">
        <f t="shared" si="164"/>
        <v>0.6</v>
      </c>
      <c r="J540" s="16">
        <f>VLOOKUP(G540,Inputs!$L$3:$P$15,5,FALSE)</f>
        <v>2000</v>
      </c>
      <c r="K540" s="16">
        <f t="shared" si="165"/>
        <v>1825</v>
      </c>
      <c r="L540" s="79">
        <f>Inputs!$P$8-B540</f>
        <v>148.71850000000006</v>
      </c>
      <c r="M540" s="79">
        <f>Inputs!$Q$8+L540*0.433</f>
        <v>1889.3951105000001</v>
      </c>
      <c r="N540" s="82">
        <f t="shared" si="166"/>
        <v>144899.92000000001</v>
      </c>
      <c r="O540" s="83">
        <f t="shared" si="167"/>
        <v>789.47249999999997</v>
      </c>
      <c r="P540" s="84">
        <f>IF(O540="","",Inputs!$C$5-O540)</f>
        <v>35.711999999999989</v>
      </c>
      <c r="Q540" s="83">
        <f>IF(N540="","",TS!J540)</f>
        <v>2000</v>
      </c>
      <c r="R540" s="83">
        <f>IF(N540="","",TS!K540)</f>
        <v>1825</v>
      </c>
      <c r="S540" s="83">
        <f>Inputs!$H$5+TS!P540*0.4333</f>
        <v>1890.43972605</v>
      </c>
      <c r="T540" s="83">
        <f>Inputs!$G$5+TS!P540*0.4333</f>
        <v>1905.43972605</v>
      </c>
      <c r="U540" s="85">
        <f t="shared" si="168"/>
        <v>0.952719863025</v>
      </c>
      <c r="V540" s="86">
        <f t="shared" si="156"/>
        <v>0</v>
      </c>
      <c r="W540" s="86">
        <f t="shared" si="157"/>
        <v>0</v>
      </c>
      <c r="X540" s="86" t="e">
        <f>((PI()*((42-2*'Gen Calcs'!$E$13)^2)/4)/144)*(A583-#REF!)*(W540+14.7)/14.7</f>
        <v>#REF!</v>
      </c>
      <c r="Y540" s="86" t="e">
        <f t="shared" si="158"/>
        <v>#REF!</v>
      </c>
      <c r="Z540" s="86" t="e">
        <f t="shared" si="159"/>
        <v>#REF!</v>
      </c>
      <c r="AA540" s="83">
        <f>MAX(B$2:B540)-B540</f>
        <v>37.931300000000078</v>
      </c>
      <c r="AB540" s="83">
        <f t="shared" si="160"/>
        <v>16.424252900000035</v>
      </c>
      <c r="AC540" s="83">
        <f t="shared" si="162"/>
        <v>120</v>
      </c>
      <c r="AD540" s="72">
        <v>120</v>
      </c>
      <c r="AE540" s="73">
        <f t="shared" si="169"/>
        <v>907.92027688745009</v>
      </c>
      <c r="AF540" s="73">
        <f>SUM(AE$2:AE540)</f>
        <v>444293.18744847825</v>
      </c>
      <c r="AG540" s="73">
        <f t="shared" si="170"/>
        <v>729436.71497863089</v>
      </c>
    </row>
    <row r="541" spans="1:33" x14ac:dyDescent="0.25">
      <c r="A541" s="99">
        <v>144999.92000000001</v>
      </c>
      <c r="B541" s="96">
        <v>786.78139999999996</v>
      </c>
      <c r="C541" s="96">
        <v>0.6</v>
      </c>
      <c r="D541" s="80">
        <f t="shared" si="155"/>
        <v>100</v>
      </c>
      <c r="E541" s="81">
        <f t="shared" si="163"/>
        <v>6791.2436711181272</v>
      </c>
      <c r="F541" s="81">
        <f>SUM(E$2:E541)</f>
        <v>3327364.6659383052</v>
      </c>
      <c r="G541" s="43">
        <f t="shared" si="161"/>
        <v>1</v>
      </c>
      <c r="H541" s="78">
        <v>1</v>
      </c>
      <c r="I541" s="15">
        <f t="shared" si="164"/>
        <v>0.6</v>
      </c>
      <c r="J541" s="16">
        <f>VLOOKUP(G541,Inputs!$L$3:$P$15,5,FALSE)</f>
        <v>2000</v>
      </c>
      <c r="K541" s="16">
        <f t="shared" si="165"/>
        <v>1825</v>
      </c>
      <c r="L541" s="79">
        <f>Inputs!$P$8-B541</f>
        <v>151.40960000000007</v>
      </c>
      <c r="M541" s="79">
        <f>Inputs!$Q$8+L541*0.433</f>
        <v>1890.5603568000001</v>
      </c>
      <c r="N541" s="82">
        <f t="shared" si="166"/>
        <v>144999.92000000001</v>
      </c>
      <c r="O541" s="83">
        <f t="shared" si="167"/>
        <v>786.78139999999996</v>
      </c>
      <c r="P541" s="84">
        <f>IF(O541="","",Inputs!$C$5-O541)</f>
        <v>38.403099999999995</v>
      </c>
      <c r="Q541" s="83">
        <f>IF(N541="","",TS!J541)</f>
        <v>2000</v>
      </c>
      <c r="R541" s="83">
        <f>IF(N541="","",TS!K541)</f>
        <v>1825</v>
      </c>
      <c r="S541" s="83">
        <f>Inputs!$H$5+TS!P541*0.4333</f>
        <v>1891.6057796799998</v>
      </c>
      <c r="T541" s="83">
        <f>Inputs!$G$5+TS!P541*0.4333</f>
        <v>1906.6057796799998</v>
      </c>
      <c r="U541" s="85">
        <f t="shared" si="168"/>
        <v>0.95330288983999989</v>
      </c>
      <c r="V541" s="86">
        <f t="shared" si="156"/>
        <v>0</v>
      </c>
      <c r="W541" s="86">
        <f t="shared" si="157"/>
        <v>0</v>
      </c>
      <c r="X541" s="86" t="e">
        <f>((PI()*((42-2*'Gen Calcs'!$E$13)^2)/4)/144)*(A584-#REF!)*(W541+14.7)/14.7</f>
        <v>#REF!</v>
      </c>
      <c r="Y541" s="86" t="e">
        <f t="shared" si="158"/>
        <v>#REF!</v>
      </c>
      <c r="Z541" s="86" t="e">
        <f t="shared" si="159"/>
        <v>#REF!</v>
      </c>
      <c r="AA541" s="83">
        <f>MAX(B$2:B541)-B541</f>
        <v>40.622400000000084</v>
      </c>
      <c r="AB541" s="83">
        <f t="shared" si="160"/>
        <v>17.589499200000038</v>
      </c>
      <c r="AC541" s="83">
        <f t="shared" si="162"/>
        <v>120</v>
      </c>
      <c r="AD541" s="72">
        <v>120</v>
      </c>
      <c r="AE541" s="73">
        <f t="shared" si="169"/>
        <v>907.92027688745009</v>
      </c>
      <c r="AF541" s="73">
        <f>SUM(AE$2:AE541)</f>
        <v>445201.10772536567</v>
      </c>
      <c r="AG541" s="73">
        <f t="shared" si="170"/>
        <v>728528.79470174352</v>
      </c>
    </row>
    <row r="542" spans="1:33" x14ac:dyDescent="0.25">
      <c r="A542" s="100">
        <v>145099.92000000001</v>
      </c>
      <c r="B542" s="97">
        <v>784.63940000000002</v>
      </c>
      <c r="C542" s="97">
        <v>0.6</v>
      </c>
      <c r="D542" s="80">
        <f t="shared" si="155"/>
        <v>100</v>
      </c>
      <c r="E542" s="81">
        <f t="shared" si="163"/>
        <v>6791.2436711181272</v>
      </c>
      <c r="F542" s="81">
        <f>SUM(E$2:E542)</f>
        <v>3334155.9096094235</v>
      </c>
      <c r="G542" s="43">
        <f t="shared" si="161"/>
        <v>1</v>
      </c>
      <c r="H542" s="78">
        <v>1</v>
      </c>
      <c r="I542" s="15">
        <f t="shared" si="164"/>
        <v>0.6</v>
      </c>
      <c r="J542" s="16">
        <f>VLOOKUP(G542,Inputs!$L$3:$P$15,5,FALSE)</f>
        <v>2000</v>
      </c>
      <c r="K542" s="16">
        <f t="shared" si="165"/>
        <v>1825</v>
      </c>
      <c r="L542" s="79">
        <f>Inputs!$P$8-B542</f>
        <v>153.55160000000001</v>
      </c>
      <c r="M542" s="79">
        <f>Inputs!$Q$8+L542*0.433</f>
        <v>1891.4878428</v>
      </c>
      <c r="N542" s="82">
        <f t="shared" si="166"/>
        <v>145099.92000000001</v>
      </c>
      <c r="O542" s="83">
        <f t="shared" si="167"/>
        <v>784.63940000000002</v>
      </c>
      <c r="P542" s="84">
        <f>IF(O542="","",Inputs!$C$5-O542)</f>
        <v>40.545099999999934</v>
      </c>
      <c r="Q542" s="83">
        <f>IF(N542="","",TS!J542)</f>
        <v>2000</v>
      </c>
      <c r="R542" s="83">
        <f>IF(N542="","",TS!K542)</f>
        <v>1825</v>
      </c>
      <c r="S542" s="83">
        <f>Inputs!$H$5+TS!P542*0.4333</f>
        <v>1892.5339082799999</v>
      </c>
      <c r="T542" s="83">
        <f>Inputs!$G$5+TS!P542*0.4333</f>
        <v>1907.5339082799999</v>
      </c>
      <c r="U542" s="85">
        <f t="shared" si="168"/>
        <v>0.9537669541399999</v>
      </c>
      <c r="V542" s="86">
        <f t="shared" si="156"/>
        <v>0</v>
      </c>
      <c r="W542" s="86">
        <f t="shared" si="157"/>
        <v>0</v>
      </c>
      <c r="X542" s="86" t="e">
        <f>((PI()*((42-2*'Gen Calcs'!$E$13)^2)/4)/144)*(A585-#REF!)*(W542+14.7)/14.7</f>
        <v>#REF!</v>
      </c>
      <c r="Y542" s="86" t="e">
        <f t="shared" si="158"/>
        <v>#REF!</v>
      </c>
      <c r="Z542" s="86" t="e">
        <f t="shared" si="159"/>
        <v>#REF!</v>
      </c>
      <c r="AA542" s="83">
        <f>MAX(B$2:B542)-B542</f>
        <v>42.764400000000023</v>
      </c>
      <c r="AB542" s="83">
        <f t="shared" si="160"/>
        <v>18.516985200000011</v>
      </c>
      <c r="AC542" s="83">
        <f t="shared" si="162"/>
        <v>120</v>
      </c>
      <c r="AD542" s="72">
        <v>120</v>
      </c>
      <c r="AE542" s="73">
        <f t="shared" si="169"/>
        <v>907.92027688745009</v>
      </c>
      <c r="AF542" s="73">
        <f>SUM(AE$2:AE542)</f>
        <v>446109.02800225309</v>
      </c>
      <c r="AG542" s="73">
        <f t="shared" si="170"/>
        <v>727620.87442485616</v>
      </c>
    </row>
    <row r="543" spans="1:33" x14ac:dyDescent="0.25">
      <c r="A543" s="99">
        <v>145199.92000000001</v>
      </c>
      <c r="B543" s="96">
        <v>782.76080000000002</v>
      </c>
      <c r="C543" s="96">
        <v>0.6</v>
      </c>
      <c r="D543" s="80">
        <f t="shared" si="155"/>
        <v>100</v>
      </c>
      <c r="E543" s="81">
        <f t="shared" si="163"/>
        <v>6791.2436711181272</v>
      </c>
      <c r="F543" s="81">
        <f>SUM(E$2:E543)</f>
        <v>3340947.1532805418</v>
      </c>
      <c r="G543" s="43">
        <f t="shared" si="161"/>
        <v>1</v>
      </c>
      <c r="H543" s="78">
        <v>1</v>
      </c>
      <c r="I543" s="15">
        <f t="shared" si="164"/>
        <v>0.6</v>
      </c>
      <c r="J543" s="16">
        <f>VLOOKUP(G543,Inputs!$L$3:$P$15,5,FALSE)</f>
        <v>2000</v>
      </c>
      <c r="K543" s="16">
        <f t="shared" si="165"/>
        <v>1825</v>
      </c>
      <c r="L543" s="79">
        <f>Inputs!$P$8-B543</f>
        <v>155.43020000000001</v>
      </c>
      <c r="M543" s="79">
        <f>Inputs!$Q$8+L543*0.433</f>
        <v>1892.3012765999999</v>
      </c>
      <c r="N543" s="82">
        <f t="shared" si="166"/>
        <v>145199.92000000001</v>
      </c>
      <c r="O543" s="83">
        <f t="shared" si="167"/>
        <v>782.76080000000002</v>
      </c>
      <c r="P543" s="84">
        <f>IF(O543="","",Inputs!$C$5-O543)</f>
        <v>42.42369999999994</v>
      </c>
      <c r="Q543" s="83">
        <f>IF(N543="","",TS!J543)</f>
        <v>2000</v>
      </c>
      <c r="R543" s="83">
        <f>IF(N543="","",TS!K543)</f>
        <v>1825</v>
      </c>
      <c r="S543" s="83">
        <f>Inputs!$H$5+TS!P543*0.4333</f>
        <v>1893.3479056599999</v>
      </c>
      <c r="T543" s="83">
        <f>Inputs!$G$5+TS!P543*0.4333</f>
        <v>1908.3479056599999</v>
      </c>
      <c r="U543" s="85">
        <f t="shared" si="168"/>
        <v>0.95417395282999995</v>
      </c>
      <c r="V543" s="86">
        <f t="shared" si="156"/>
        <v>0</v>
      </c>
      <c r="W543" s="86">
        <f t="shared" si="157"/>
        <v>0</v>
      </c>
      <c r="X543" s="86" t="e">
        <f>((PI()*((42-2*'Gen Calcs'!$E$13)^2)/4)/144)*(A586-#REF!)*(W543+14.7)/14.7</f>
        <v>#REF!</v>
      </c>
      <c r="Y543" s="86" t="e">
        <f t="shared" si="158"/>
        <v>#REF!</v>
      </c>
      <c r="Z543" s="86" t="e">
        <f t="shared" si="159"/>
        <v>#REF!</v>
      </c>
      <c r="AA543" s="83">
        <f>MAX(B$2:B543)-B543</f>
        <v>44.643000000000029</v>
      </c>
      <c r="AB543" s="83">
        <f t="shared" si="160"/>
        <v>19.330419000000013</v>
      </c>
      <c r="AC543" s="83">
        <f t="shared" si="162"/>
        <v>120</v>
      </c>
      <c r="AD543" s="72">
        <v>120</v>
      </c>
      <c r="AE543" s="73">
        <f t="shared" si="169"/>
        <v>907.92027688745009</v>
      </c>
      <c r="AF543" s="73">
        <f>SUM(AE$2:AE543)</f>
        <v>447016.94827914052</v>
      </c>
      <c r="AG543" s="73">
        <f t="shared" si="170"/>
        <v>726712.95414796867</v>
      </c>
    </row>
    <row r="544" spans="1:33" x14ac:dyDescent="0.25">
      <c r="A544" s="100">
        <v>145299.92000000001</v>
      </c>
      <c r="B544" s="97">
        <v>781.44650000000001</v>
      </c>
      <c r="C544" s="97">
        <v>0.6</v>
      </c>
      <c r="D544" s="80">
        <f t="shared" si="155"/>
        <v>100</v>
      </c>
      <c r="E544" s="81">
        <f t="shared" si="163"/>
        <v>6791.2436711181272</v>
      </c>
      <c r="F544" s="81">
        <f>SUM(E$2:E544)</f>
        <v>3347738.39695166</v>
      </c>
      <c r="G544" s="43">
        <f t="shared" si="161"/>
        <v>1</v>
      </c>
      <c r="H544" s="78">
        <v>1</v>
      </c>
      <c r="I544" s="15">
        <f t="shared" si="164"/>
        <v>0.6</v>
      </c>
      <c r="J544" s="16">
        <f>VLOOKUP(G544,Inputs!$L$3:$P$15,5,FALSE)</f>
        <v>2000</v>
      </c>
      <c r="K544" s="16">
        <f t="shared" si="165"/>
        <v>1825</v>
      </c>
      <c r="L544" s="79">
        <f>Inputs!$P$8-B544</f>
        <v>156.74450000000002</v>
      </c>
      <c r="M544" s="79">
        <f>Inputs!$Q$8+L544*0.433</f>
        <v>1892.8703685</v>
      </c>
      <c r="N544" s="82">
        <f t="shared" si="166"/>
        <v>145299.92000000001</v>
      </c>
      <c r="O544" s="83">
        <f t="shared" si="167"/>
        <v>781.44650000000001</v>
      </c>
      <c r="P544" s="84">
        <f>IF(O544="","",Inputs!$C$5-O544)</f>
        <v>43.737999999999943</v>
      </c>
      <c r="Q544" s="83">
        <f>IF(N544="","",TS!J544)</f>
        <v>2000</v>
      </c>
      <c r="R544" s="83">
        <f>IF(N544="","",TS!K544)</f>
        <v>1825</v>
      </c>
      <c r="S544" s="83">
        <f>Inputs!$H$5+TS!P544*0.4333</f>
        <v>1893.9173918499998</v>
      </c>
      <c r="T544" s="83">
        <f>Inputs!$G$5+TS!P544*0.4333</f>
        <v>1908.9173918499998</v>
      </c>
      <c r="U544" s="85">
        <f t="shared" si="168"/>
        <v>0.95445869592499988</v>
      </c>
      <c r="V544" s="86">
        <f t="shared" si="156"/>
        <v>0</v>
      </c>
      <c r="W544" s="86">
        <f t="shared" si="157"/>
        <v>0</v>
      </c>
      <c r="X544" s="86" t="e">
        <f>((PI()*((42-2*'Gen Calcs'!$E$13)^2)/4)/144)*(A587-#REF!)*(W544+14.7)/14.7</f>
        <v>#REF!</v>
      </c>
      <c r="Y544" s="86" t="e">
        <f t="shared" si="158"/>
        <v>#REF!</v>
      </c>
      <c r="Z544" s="86" t="e">
        <f t="shared" si="159"/>
        <v>#REF!</v>
      </c>
      <c r="AA544" s="83">
        <f>MAX(B$2:B544)-B544</f>
        <v>45.957300000000032</v>
      </c>
      <c r="AB544" s="83">
        <f t="shared" si="160"/>
        <v>19.899510900000013</v>
      </c>
      <c r="AC544" s="83">
        <f t="shared" si="162"/>
        <v>120</v>
      </c>
      <c r="AD544" s="72">
        <v>120</v>
      </c>
      <c r="AE544" s="73">
        <f t="shared" si="169"/>
        <v>907.92027688745009</v>
      </c>
      <c r="AF544" s="73">
        <f>SUM(AE$2:AE544)</f>
        <v>447924.86855602794</v>
      </c>
      <c r="AG544" s="73">
        <f t="shared" si="170"/>
        <v>725805.03387108119</v>
      </c>
    </row>
    <row r="545" spans="1:33" x14ac:dyDescent="0.25">
      <c r="A545" s="99">
        <v>145399.92000000001</v>
      </c>
      <c r="B545" s="96">
        <v>780.47630000000004</v>
      </c>
      <c r="C545" s="96">
        <v>0.6</v>
      </c>
      <c r="D545" s="80">
        <f t="shared" ref="D545:D608" si="171">A545-A544</f>
        <v>100</v>
      </c>
      <c r="E545" s="81">
        <f t="shared" si="163"/>
        <v>6791.2436711181272</v>
      </c>
      <c r="F545" s="81">
        <f>SUM(E$2:E545)</f>
        <v>3354529.6406227783</v>
      </c>
      <c r="G545" s="43">
        <f t="shared" si="161"/>
        <v>1</v>
      </c>
      <c r="H545" s="78">
        <v>1</v>
      </c>
      <c r="I545" s="15">
        <f t="shared" si="164"/>
        <v>0.6</v>
      </c>
      <c r="J545" s="16">
        <f>VLOOKUP(G545,Inputs!$L$3:$P$15,5,FALSE)</f>
        <v>2000</v>
      </c>
      <c r="K545" s="16">
        <f t="shared" si="165"/>
        <v>1825</v>
      </c>
      <c r="L545" s="79">
        <f>Inputs!$P$8-B545</f>
        <v>157.71469999999999</v>
      </c>
      <c r="M545" s="79">
        <f>Inputs!$Q$8+L545*0.433</f>
        <v>1893.2904650999999</v>
      </c>
      <c r="N545" s="82">
        <f t="shared" si="166"/>
        <v>145399.92000000001</v>
      </c>
      <c r="O545" s="83">
        <f t="shared" si="167"/>
        <v>780.47630000000004</v>
      </c>
      <c r="P545" s="84">
        <f>IF(O545="","",Inputs!$C$5-O545)</f>
        <v>44.70819999999992</v>
      </c>
      <c r="Q545" s="83">
        <f>IF(N545="","",TS!J545)</f>
        <v>2000</v>
      </c>
      <c r="R545" s="83">
        <f>IF(N545="","",TS!K545)</f>
        <v>1825</v>
      </c>
      <c r="S545" s="83">
        <f>Inputs!$H$5+TS!P545*0.4333</f>
        <v>1894.33777951</v>
      </c>
      <c r="T545" s="83">
        <f>Inputs!$G$5+TS!P545*0.4333</f>
        <v>1909.33777951</v>
      </c>
      <c r="U545" s="85">
        <f t="shared" si="168"/>
        <v>0.95466888975499997</v>
      </c>
      <c r="V545" s="86">
        <f t="shared" si="156"/>
        <v>0</v>
      </c>
      <c r="W545" s="86">
        <f t="shared" si="157"/>
        <v>0</v>
      </c>
      <c r="X545" s="86" t="e">
        <f>((PI()*((42-2*'Gen Calcs'!$E$13)^2)/4)/144)*(A588-#REF!)*(W545+14.7)/14.7</f>
        <v>#REF!</v>
      </c>
      <c r="Y545" s="86" t="e">
        <f t="shared" si="158"/>
        <v>#REF!</v>
      </c>
      <c r="Z545" s="86" t="e">
        <f t="shared" si="159"/>
        <v>#REF!</v>
      </c>
      <c r="AA545" s="83">
        <f>MAX(B$2:B545)-B545</f>
        <v>46.927500000000009</v>
      </c>
      <c r="AB545" s="83">
        <f t="shared" si="160"/>
        <v>20.319607500000004</v>
      </c>
      <c r="AC545" s="83">
        <f t="shared" si="162"/>
        <v>120</v>
      </c>
      <c r="AD545" s="72">
        <v>120</v>
      </c>
      <c r="AE545" s="73">
        <f t="shared" si="169"/>
        <v>907.92027688745009</v>
      </c>
      <c r="AF545" s="73">
        <f>SUM(AE$2:AE545)</f>
        <v>448832.78883291536</v>
      </c>
      <c r="AG545" s="73">
        <f t="shared" si="170"/>
        <v>724897.11359419383</v>
      </c>
    </row>
    <row r="546" spans="1:33" x14ac:dyDescent="0.25">
      <c r="A546" s="100">
        <v>145499.92000000001</v>
      </c>
      <c r="B546" s="97">
        <v>780.19529999999997</v>
      </c>
      <c r="C546" s="97">
        <v>0.6</v>
      </c>
      <c r="D546" s="80">
        <f t="shared" si="171"/>
        <v>100</v>
      </c>
      <c r="E546" s="81">
        <f t="shared" si="163"/>
        <v>6791.2436711181272</v>
      </c>
      <c r="F546" s="81">
        <f>SUM(E$2:E546)</f>
        <v>3361320.8842938966</v>
      </c>
      <c r="G546" s="43">
        <f t="shared" si="161"/>
        <v>1</v>
      </c>
      <c r="H546" s="78">
        <v>1</v>
      </c>
      <c r="I546" s="15">
        <f t="shared" si="164"/>
        <v>0.6</v>
      </c>
      <c r="J546" s="16">
        <f>VLOOKUP(G546,Inputs!$L$3:$P$15,5,FALSE)</f>
        <v>2000</v>
      </c>
      <c r="K546" s="16">
        <f t="shared" si="165"/>
        <v>1825</v>
      </c>
      <c r="L546" s="79">
        <f>Inputs!$P$8-B546</f>
        <v>157.99570000000006</v>
      </c>
      <c r="M546" s="79">
        <f>Inputs!$Q$8+L546*0.433</f>
        <v>1893.4121381</v>
      </c>
      <c r="N546" s="82">
        <f t="shared" si="166"/>
        <v>145499.92000000001</v>
      </c>
      <c r="O546" s="83">
        <f t="shared" si="167"/>
        <v>780.19529999999997</v>
      </c>
      <c r="P546" s="84">
        <f>IF(O546="","",Inputs!$C$5-O546)</f>
        <v>44.989199999999983</v>
      </c>
      <c r="Q546" s="83">
        <f>IF(N546="","",TS!J546)</f>
        <v>2000</v>
      </c>
      <c r="R546" s="83">
        <f>IF(N546="","",TS!K546)</f>
        <v>1825</v>
      </c>
      <c r="S546" s="83">
        <f>Inputs!$H$5+TS!P546*0.4333</f>
        <v>1894.4595368099999</v>
      </c>
      <c r="T546" s="83">
        <f>Inputs!$G$5+TS!P546*0.4333</f>
        <v>1909.4595368099999</v>
      </c>
      <c r="U546" s="85">
        <f t="shared" si="168"/>
        <v>0.95472976840500001</v>
      </c>
      <c r="V546" s="86">
        <f t="shared" si="156"/>
        <v>0</v>
      </c>
      <c r="W546" s="86">
        <f t="shared" si="157"/>
        <v>0</v>
      </c>
      <c r="X546" s="86" t="e">
        <f>((PI()*((42-2*'Gen Calcs'!$E$13)^2)/4)/144)*(A589-#REF!)*(W546+14.7)/14.7</f>
        <v>#REF!</v>
      </c>
      <c r="Y546" s="86" t="e">
        <f t="shared" si="158"/>
        <v>#REF!</v>
      </c>
      <c r="Z546" s="86" t="e">
        <f t="shared" si="159"/>
        <v>#REF!</v>
      </c>
      <c r="AA546" s="83">
        <f>MAX(B$2:B546)-B546</f>
        <v>47.208500000000072</v>
      </c>
      <c r="AB546" s="83">
        <f t="shared" si="160"/>
        <v>20.44128050000003</v>
      </c>
      <c r="AC546" s="83">
        <f t="shared" si="162"/>
        <v>120</v>
      </c>
      <c r="AD546" s="72">
        <v>120</v>
      </c>
      <c r="AE546" s="73">
        <f t="shared" si="169"/>
        <v>907.92027688745009</v>
      </c>
      <c r="AF546" s="73">
        <f>SUM(AE$2:AE546)</f>
        <v>449740.70910980279</v>
      </c>
      <c r="AG546" s="73">
        <f t="shared" si="170"/>
        <v>723989.19331730646</v>
      </c>
    </row>
    <row r="547" spans="1:33" x14ac:dyDescent="0.25">
      <c r="A547" s="99">
        <v>145599.92000000001</v>
      </c>
      <c r="B547" s="96">
        <v>781.19330000000002</v>
      </c>
      <c r="C547" s="96">
        <v>0.6</v>
      </c>
      <c r="D547" s="80">
        <f t="shared" si="171"/>
        <v>100</v>
      </c>
      <c r="E547" s="81">
        <f t="shared" si="163"/>
        <v>6791.2436711181272</v>
      </c>
      <c r="F547" s="81">
        <f>SUM(E$2:E547)</f>
        <v>3368112.1279650149</v>
      </c>
      <c r="G547" s="43">
        <f t="shared" si="161"/>
        <v>1</v>
      </c>
      <c r="H547" s="78">
        <v>1</v>
      </c>
      <c r="I547" s="15">
        <f t="shared" si="164"/>
        <v>0.6</v>
      </c>
      <c r="J547" s="16">
        <f>VLOOKUP(G547,Inputs!$L$3:$P$15,5,FALSE)</f>
        <v>2000</v>
      </c>
      <c r="K547" s="16">
        <f t="shared" si="165"/>
        <v>1825</v>
      </c>
      <c r="L547" s="79">
        <f>Inputs!$P$8-B547</f>
        <v>156.99770000000001</v>
      </c>
      <c r="M547" s="79">
        <f>Inputs!$Q$8+L547*0.433</f>
        <v>1892.9800041000001</v>
      </c>
      <c r="N547" s="82">
        <f t="shared" si="166"/>
        <v>145599.92000000001</v>
      </c>
      <c r="O547" s="83">
        <f t="shared" si="167"/>
        <v>781.19330000000002</v>
      </c>
      <c r="P547" s="84">
        <f>IF(O547="","",Inputs!$C$5-O547)</f>
        <v>43.991199999999935</v>
      </c>
      <c r="Q547" s="83">
        <f>IF(N547="","",TS!J547)</f>
        <v>2000</v>
      </c>
      <c r="R547" s="83">
        <f>IF(N547="","",TS!K547)</f>
        <v>1825</v>
      </c>
      <c r="S547" s="83">
        <f>Inputs!$H$5+TS!P547*0.4333</f>
        <v>1894.0271034099999</v>
      </c>
      <c r="T547" s="83">
        <f>Inputs!$G$5+TS!P547*0.4333</f>
        <v>1909.0271034099999</v>
      </c>
      <c r="U547" s="85">
        <f t="shared" si="168"/>
        <v>0.95451355170499996</v>
      </c>
      <c r="V547" s="86">
        <f t="shared" si="156"/>
        <v>0</v>
      </c>
      <c r="W547" s="86">
        <f t="shared" si="157"/>
        <v>0</v>
      </c>
      <c r="X547" s="86" t="e">
        <f>((PI()*((42-2*'Gen Calcs'!$E$13)^2)/4)/144)*(A590-#REF!)*(W547+14.7)/14.7</f>
        <v>#REF!</v>
      </c>
      <c r="Y547" s="86" t="e">
        <f t="shared" si="158"/>
        <v>#REF!</v>
      </c>
      <c r="Z547" s="86" t="e">
        <f t="shared" si="159"/>
        <v>#REF!</v>
      </c>
      <c r="AA547" s="83">
        <f>MAX(B$2:B547)-B547</f>
        <v>46.210500000000025</v>
      </c>
      <c r="AB547" s="83">
        <f t="shared" si="160"/>
        <v>20.009146500000011</v>
      </c>
      <c r="AC547" s="83">
        <f t="shared" si="162"/>
        <v>120</v>
      </c>
      <c r="AD547" s="72">
        <v>120</v>
      </c>
      <c r="AE547" s="73">
        <f t="shared" si="169"/>
        <v>907.92027688745009</v>
      </c>
      <c r="AF547" s="73">
        <f>SUM(AE$2:AE547)</f>
        <v>450648.62938669021</v>
      </c>
      <c r="AG547" s="73">
        <f t="shared" si="170"/>
        <v>723081.27304041898</v>
      </c>
    </row>
    <row r="548" spans="1:33" x14ac:dyDescent="0.25">
      <c r="A548" s="100">
        <v>145699.92000000001</v>
      </c>
      <c r="B548" s="97">
        <v>784.9742</v>
      </c>
      <c r="C548" s="97">
        <v>0.6</v>
      </c>
      <c r="D548" s="80">
        <f t="shared" si="171"/>
        <v>100</v>
      </c>
      <c r="E548" s="81">
        <f t="shared" si="163"/>
        <v>6791.2436711181272</v>
      </c>
      <c r="F548" s="81">
        <f>SUM(E$2:E548)</f>
        <v>3374903.3716361332</v>
      </c>
      <c r="G548" s="43">
        <f t="shared" si="161"/>
        <v>1</v>
      </c>
      <c r="H548" s="78">
        <v>1</v>
      </c>
      <c r="I548" s="15">
        <f t="shared" si="164"/>
        <v>0.6</v>
      </c>
      <c r="J548" s="16">
        <f>VLOOKUP(G548,Inputs!$L$3:$P$15,5,FALSE)</f>
        <v>2000</v>
      </c>
      <c r="K548" s="16">
        <f t="shared" si="165"/>
        <v>1825</v>
      </c>
      <c r="L548" s="79">
        <f>Inputs!$P$8-B548</f>
        <v>153.21680000000003</v>
      </c>
      <c r="M548" s="79">
        <f>Inputs!$Q$8+L548*0.433</f>
        <v>1891.3428744</v>
      </c>
      <c r="N548" s="82">
        <f t="shared" si="166"/>
        <v>145699.92000000001</v>
      </c>
      <c r="O548" s="83">
        <f t="shared" si="167"/>
        <v>784.9742</v>
      </c>
      <c r="P548" s="84">
        <f>IF(O548="","",Inputs!$C$5-O548)</f>
        <v>40.210299999999961</v>
      </c>
      <c r="Q548" s="83">
        <f>IF(N548="","",TS!J548)</f>
        <v>2000</v>
      </c>
      <c r="R548" s="83">
        <f>IF(N548="","",TS!K548)</f>
        <v>1825</v>
      </c>
      <c r="S548" s="83">
        <f>Inputs!$H$5+TS!P548*0.4333</f>
        <v>1892.3888394399999</v>
      </c>
      <c r="T548" s="83">
        <f>Inputs!$G$5+TS!P548*0.4333</f>
        <v>1907.3888394399999</v>
      </c>
      <c r="U548" s="85">
        <f t="shared" si="168"/>
        <v>0.95369441971999991</v>
      </c>
      <c r="V548" s="86">
        <f t="shared" si="156"/>
        <v>0</v>
      </c>
      <c r="W548" s="86">
        <f t="shared" si="157"/>
        <v>0</v>
      </c>
      <c r="X548" s="86" t="e">
        <f>((PI()*((42-2*'Gen Calcs'!$E$13)^2)/4)/144)*(A591-#REF!)*(W548+14.7)/14.7</f>
        <v>#REF!</v>
      </c>
      <c r="Y548" s="86" t="e">
        <f t="shared" si="158"/>
        <v>#REF!</v>
      </c>
      <c r="Z548" s="86" t="e">
        <f t="shared" si="159"/>
        <v>#REF!</v>
      </c>
      <c r="AA548" s="83">
        <f>MAX(B$2:B548)-B548</f>
        <v>42.42960000000005</v>
      </c>
      <c r="AB548" s="83">
        <f t="shared" si="160"/>
        <v>18.372016800000022</v>
      </c>
      <c r="AC548" s="83">
        <f t="shared" si="162"/>
        <v>120</v>
      </c>
      <c r="AD548" s="72">
        <v>120</v>
      </c>
      <c r="AE548" s="73">
        <f t="shared" si="169"/>
        <v>907.92027688745009</v>
      </c>
      <c r="AF548" s="73">
        <f>SUM(AE$2:AE548)</f>
        <v>451556.54966357764</v>
      </c>
      <c r="AG548" s="73">
        <f t="shared" si="170"/>
        <v>722173.3527635315</v>
      </c>
    </row>
    <row r="549" spans="1:33" x14ac:dyDescent="0.25">
      <c r="A549" s="99">
        <v>145799.92000000001</v>
      </c>
      <c r="B549" s="96">
        <v>788.13710000000003</v>
      </c>
      <c r="C549" s="96">
        <v>0.6</v>
      </c>
      <c r="D549" s="80">
        <f t="shared" si="171"/>
        <v>100</v>
      </c>
      <c r="E549" s="81">
        <f t="shared" si="163"/>
        <v>6791.2436711181272</v>
      </c>
      <c r="F549" s="81">
        <f>SUM(E$2:E549)</f>
        <v>3381694.6153072515</v>
      </c>
      <c r="G549" s="43">
        <f t="shared" si="161"/>
        <v>1</v>
      </c>
      <c r="H549" s="78">
        <v>1</v>
      </c>
      <c r="I549" s="15">
        <f t="shared" si="164"/>
        <v>0.6</v>
      </c>
      <c r="J549" s="16">
        <f>VLOOKUP(G549,Inputs!$L$3:$P$15,5,FALSE)</f>
        <v>2000</v>
      </c>
      <c r="K549" s="16">
        <f t="shared" si="165"/>
        <v>1825</v>
      </c>
      <c r="L549" s="79">
        <f>Inputs!$P$8-B549</f>
        <v>150.0539</v>
      </c>
      <c r="M549" s="79">
        <f>Inputs!$Q$8+L549*0.433</f>
        <v>1889.9733387000001</v>
      </c>
      <c r="N549" s="82">
        <f t="shared" si="166"/>
        <v>145799.92000000001</v>
      </c>
      <c r="O549" s="83">
        <f t="shared" si="167"/>
        <v>788.13710000000003</v>
      </c>
      <c r="P549" s="84">
        <f>IF(O549="","",Inputs!$C$5-O549)</f>
        <v>37.047399999999925</v>
      </c>
      <c r="Q549" s="83">
        <f>IF(N549="","",TS!J549)</f>
        <v>2000</v>
      </c>
      <c r="R549" s="83">
        <f>IF(N549="","",TS!K549)</f>
        <v>1825</v>
      </c>
      <c r="S549" s="83">
        <f>Inputs!$H$5+TS!P549*0.4333</f>
        <v>1891.0183548699999</v>
      </c>
      <c r="T549" s="83">
        <f>Inputs!$G$5+TS!P549*0.4333</f>
        <v>1906.0183548699999</v>
      </c>
      <c r="U549" s="85">
        <f t="shared" si="168"/>
        <v>0.95300917743500002</v>
      </c>
      <c r="V549" s="86">
        <f t="shared" si="156"/>
        <v>0</v>
      </c>
      <c r="W549" s="86">
        <f t="shared" si="157"/>
        <v>0</v>
      </c>
      <c r="X549" s="86" t="e">
        <f>((PI()*((42-2*'Gen Calcs'!$E$13)^2)/4)/144)*(A592-#REF!)*(W549+14.7)/14.7</f>
        <v>#REF!</v>
      </c>
      <c r="Y549" s="86" t="e">
        <f t="shared" si="158"/>
        <v>#REF!</v>
      </c>
      <c r="Z549" s="86" t="e">
        <f t="shared" si="159"/>
        <v>#REF!</v>
      </c>
      <c r="AA549" s="83">
        <f>MAX(B$2:B549)-B549</f>
        <v>39.266700000000014</v>
      </c>
      <c r="AB549" s="83">
        <f t="shared" si="160"/>
        <v>17.002481100000008</v>
      </c>
      <c r="AC549" s="83">
        <f t="shared" si="162"/>
        <v>120</v>
      </c>
      <c r="AD549" s="72">
        <v>120</v>
      </c>
      <c r="AE549" s="73">
        <f t="shared" si="169"/>
        <v>907.92027688745009</v>
      </c>
      <c r="AF549" s="73">
        <f>SUM(AE$2:AE549)</f>
        <v>452464.46994046506</v>
      </c>
      <c r="AG549" s="73">
        <f t="shared" si="170"/>
        <v>721265.43248664413</v>
      </c>
    </row>
    <row r="550" spans="1:33" x14ac:dyDescent="0.25">
      <c r="A550" s="100">
        <v>145899.92000000001</v>
      </c>
      <c r="B550" s="97">
        <v>792.80690000000004</v>
      </c>
      <c r="C550" s="97">
        <v>0.6</v>
      </c>
      <c r="D550" s="80">
        <f t="shared" si="171"/>
        <v>100</v>
      </c>
      <c r="E550" s="81">
        <f t="shared" si="163"/>
        <v>6791.2436711181272</v>
      </c>
      <c r="F550" s="81">
        <f>SUM(E$2:E550)</f>
        <v>3388485.8589783697</v>
      </c>
      <c r="G550" s="43">
        <f t="shared" si="161"/>
        <v>1</v>
      </c>
      <c r="H550" s="78">
        <v>1</v>
      </c>
      <c r="I550" s="15">
        <f t="shared" si="164"/>
        <v>0.6</v>
      </c>
      <c r="J550" s="16">
        <f>VLOOKUP(G550,Inputs!$L$3:$P$15,5,FALSE)</f>
        <v>2000</v>
      </c>
      <c r="K550" s="16">
        <f t="shared" si="165"/>
        <v>1825</v>
      </c>
      <c r="L550" s="79">
        <f>Inputs!$P$8-B550</f>
        <v>145.38409999999999</v>
      </c>
      <c r="M550" s="79">
        <f>Inputs!$Q$8+L550*0.433</f>
        <v>1887.9513153</v>
      </c>
      <c r="N550" s="82">
        <f t="shared" si="166"/>
        <v>145899.92000000001</v>
      </c>
      <c r="O550" s="83">
        <f t="shared" si="167"/>
        <v>792.80690000000004</v>
      </c>
      <c r="P550" s="84">
        <f>IF(O550="","",Inputs!$C$5-O550)</f>
        <v>32.377599999999916</v>
      </c>
      <c r="Q550" s="83">
        <f>IF(N550="","",TS!J550)</f>
        <v>2000</v>
      </c>
      <c r="R550" s="83">
        <f>IF(N550="","",TS!K550)</f>
        <v>1825</v>
      </c>
      <c r="S550" s="83">
        <f>Inputs!$H$5+TS!P550*0.4333</f>
        <v>1888.9949305299999</v>
      </c>
      <c r="T550" s="83">
        <f>Inputs!$G$5+TS!P550*0.4333</f>
        <v>1903.9949305299999</v>
      </c>
      <c r="U550" s="85">
        <f t="shared" si="168"/>
        <v>0.95199746526499995</v>
      </c>
      <c r="V550" s="86">
        <f t="shared" si="156"/>
        <v>0</v>
      </c>
      <c r="W550" s="86">
        <f t="shared" si="157"/>
        <v>0</v>
      </c>
      <c r="X550" s="86" t="e">
        <f>((PI()*((42-2*'Gen Calcs'!$E$13)^2)/4)/144)*(A593-#REF!)*(W550+14.7)/14.7</f>
        <v>#REF!</v>
      </c>
      <c r="Y550" s="86" t="e">
        <f t="shared" si="158"/>
        <v>#REF!</v>
      </c>
      <c r="Z550" s="86" t="e">
        <f t="shared" si="159"/>
        <v>#REF!</v>
      </c>
      <c r="AA550" s="83">
        <f>MAX(B$2:B550)-B550</f>
        <v>34.596900000000005</v>
      </c>
      <c r="AB550" s="83">
        <f t="shared" si="160"/>
        <v>14.980457700000002</v>
      </c>
      <c r="AC550" s="83">
        <f t="shared" si="162"/>
        <v>120</v>
      </c>
      <c r="AD550" s="72">
        <v>120</v>
      </c>
      <c r="AE550" s="73">
        <f t="shared" si="169"/>
        <v>907.92027688745009</v>
      </c>
      <c r="AF550" s="73">
        <f>SUM(AE$2:AE550)</f>
        <v>453372.39021735248</v>
      </c>
      <c r="AG550" s="73">
        <f t="shared" si="170"/>
        <v>720357.51220975677</v>
      </c>
    </row>
    <row r="551" spans="1:33" x14ac:dyDescent="0.25">
      <c r="A551" s="99">
        <v>145999.92000000001</v>
      </c>
      <c r="B551" s="96">
        <v>797.16160000000002</v>
      </c>
      <c r="C551" s="96">
        <v>0.6</v>
      </c>
      <c r="D551" s="80">
        <f t="shared" si="171"/>
        <v>100</v>
      </c>
      <c r="E551" s="81">
        <f t="shared" si="163"/>
        <v>6791.2436711181272</v>
      </c>
      <c r="F551" s="81">
        <f>SUM(E$2:E551)</f>
        <v>3395277.102649488</v>
      </c>
      <c r="G551" s="43">
        <f t="shared" si="161"/>
        <v>1</v>
      </c>
      <c r="H551" s="78">
        <v>1</v>
      </c>
      <c r="I551" s="15">
        <f t="shared" si="164"/>
        <v>0.6</v>
      </c>
      <c r="J551" s="16">
        <f>VLOOKUP(G551,Inputs!$L$3:$P$15,5,FALSE)</f>
        <v>2000</v>
      </c>
      <c r="K551" s="16">
        <f t="shared" si="165"/>
        <v>1825</v>
      </c>
      <c r="L551" s="79">
        <f>Inputs!$P$8-B551</f>
        <v>141.02940000000001</v>
      </c>
      <c r="M551" s="79">
        <f>Inputs!$Q$8+L551*0.433</f>
        <v>1886.0657302</v>
      </c>
      <c r="N551" s="82">
        <f t="shared" si="166"/>
        <v>145999.92000000001</v>
      </c>
      <c r="O551" s="83">
        <f t="shared" si="167"/>
        <v>797.16160000000002</v>
      </c>
      <c r="P551" s="84">
        <f>IF(O551="","",Inputs!$C$5-O551)</f>
        <v>28.022899999999936</v>
      </c>
      <c r="Q551" s="83">
        <f>IF(N551="","",TS!J551)</f>
        <v>2000</v>
      </c>
      <c r="R551" s="83">
        <f>IF(N551="","",TS!K551)</f>
        <v>1825</v>
      </c>
      <c r="S551" s="83">
        <f>Inputs!$H$5+TS!P551*0.4333</f>
        <v>1887.10803902</v>
      </c>
      <c r="T551" s="83">
        <f>Inputs!$G$5+TS!P551*0.4333</f>
        <v>1902.10803902</v>
      </c>
      <c r="U551" s="85">
        <f t="shared" si="168"/>
        <v>0.95105401951000001</v>
      </c>
      <c r="V551" s="86">
        <f t="shared" si="156"/>
        <v>0</v>
      </c>
      <c r="W551" s="86">
        <f t="shared" si="157"/>
        <v>0</v>
      </c>
      <c r="X551" s="86" t="e">
        <f>((PI()*((42-2*'Gen Calcs'!$E$13)^2)/4)/144)*(A594-#REF!)*(W551+14.7)/14.7</f>
        <v>#REF!</v>
      </c>
      <c r="Y551" s="86" t="e">
        <f t="shared" si="158"/>
        <v>#REF!</v>
      </c>
      <c r="Z551" s="86" t="e">
        <f t="shared" si="159"/>
        <v>#REF!</v>
      </c>
      <c r="AA551" s="83">
        <f>MAX(B$2:B551)-B551</f>
        <v>30.242200000000025</v>
      </c>
      <c r="AB551" s="83">
        <f t="shared" si="160"/>
        <v>13.094872600000011</v>
      </c>
      <c r="AC551" s="83">
        <f t="shared" si="162"/>
        <v>120</v>
      </c>
      <c r="AD551" s="72">
        <v>120</v>
      </c>
      <c r="AE551" s="73">
        <f t="shared" si="169"/>
        <v>907.92027688745009</v>
      </c>
      <c r="AF551" s="73">
        <f>SUM(AE$2:AE551)</f>
        <v>454280.31049423991</v>
      </c>
      <c r="AG551" s="73">
        <f t="shared" si="170"/>
        <v>719449.59193286928</v>
      </c>
    </row>
    <row r="552" spans="1:33" x14ac:dyDescent="0.25">
      <c r="A552" s="100">
        <v>146099.92000000001</v>
      </c>
      <c r="B552" s="97">
        <v>801.28959999999995</v>
      </c>
      <c r="C552" s="97">
        <v>0.6</v>
      </c>
      <c r="D552" s="80">
        <f t="shared" si="171"/>
        <v>100</v>
      </c>
      <c r="E552" s="81">
        <f t="shared" si="163"/>
        <v>6791.2436711181272</v>
      </c>
      <c r="F552" s="81">
        <f>SUM(E$2:E552)</f>
        <v>3402068.3463206063</v>
      </c>
      <c r="G552" s="43">
        <f t="shared" si="161"/>
        <v>1</v>
      </c>
      <c r="H552" s="78">
        <v>1</v>
      </c>
      <c r="I552" s="15">
        <f t="shared" si="164"/>
        <v>0.6</v>
      </c>
      <c r="J552" s="16">
        <f>VLOOKUP(G552,Inputs!$L$3:$P$15,5,FALSE)</f>
        <v>2000</v>
      </c>
      <c r="K552" s="16">
        <f t="shared" si="165"/>
        <v>1825</v>
      </c>
      <c r="L552" s="79">
        <f>Inputs!$P$8-B552</f>
        <v>136.90140000000008</v>
      </c>
      <c r="M552" s="79">
        <f>Inputs!$Q$8+L552*0.433</f>
        <v>1884.2783062000001</v>
      </c>
      <c r="N552" s="82">
        <f t="shared" si="166"/>
        <v>146099.92000000001</v>
      </c>
      <c r="O552" s="83">
        <f t="shared" si="167"/>
        <v>801.28959999999995</v>
      </c>
      <c r="P552" s="84">
        <f>IF(O552="","",Inputs!$C$5-O552)</f>
        <v>23.894900000000007</v>
      </c>
      <c r="Q552" s="83">
        <f>IF(N552="","",TS!J552)</f>
        <v>2000</v>
      </c>
      <c r="R552" s="83">
        <f>IF(N552="","",TS!K552)</f>
        <v>1825</v>
      </c>
      <c r="S552" s="83">
        <f>Inputs!$H$5+TS!P552*0.4333</f>
        <v>1885.31937662</v>
      </c>
      <c r="T552" s="83">
        <f>Inputs!$G$5+TS!P552*0.4333</f>
        <v>1900.31937662</v>
      </c>
      <c r="U552" s="85">
        <f t="shared" si="168"/>
        <v>0.95015968830999997</v>
      </c>
      <c r="V552" s="86">
        <f t="shared" si="156"/>
        <v>0</v>
      </c>
      <c r="W552" s="86">
        <f t="shared" si="157"/>
        <v>0</v>
      </c>
      <c r="X552" s="86" t="e">
        <f>((PI()*((42-2*'Gen Calcs'!$E$13)^2)/4)/144)*(A595-#REF!)*(W552+14.7)/14.7</f>
        <v>#REF!</v>
      </c>
      <c r="Y552" s="86" t="e">
        <f t="shared" si="158"/>
        <v>#REF!</v>
      </c>
      <c r="Z552" s="86" t="e">
        <f t="shared" si="159"/>
        <v>#REF!</v>
      </c>
      <c r="AA552" s="83">
        <f>MAX(B$2:B552)-B552</f>
        <v>26.114200000000096</v>
      </c>
      <c r="AB552" s="83">
        <f t="shared" si="160"/>
        <v>11.307448600000042</v>
      </c>
      <c r="AC552" s="83">
        <f t="shared" si="162"/>
        <v>120</v>
      </c>
      <c r="AD552" s="72">
        <v>120</v>
      </c>
      <c r="AE552" s="73">
        <f t="shared" si="169"/>
        <v>907.92027688745009</v>
      </c>
      <c r="AF552" s="73">
        <f>SUM(AE$2:AE552)</f>
        <v>455188.23077112733</v>
      </c>
      <c r="AG552" s="73">
        <f t="shared" si="170"/>
        <v>718541.6716559818</v>
      </c>
    </row>
    <row r="553" spans="1:33" x14ac:dyDescent="0.25">
      <c r="A553" s="99">
        <v>146199.92000000001</v>
      </c>
      <c r="B553" s="96">
        <v>805.10609999999997</v>
      </c>
      <c r="C553" s="96">
        <v>0.6</v>
      </c>
      <c r="D553" s="80">
        <f t="shared" si="171"/>
        <v>100</v>
      </c>
      <c r="E553" s="81">
        <f t="shared" si="163"/>
        <v>6616.6076625842816</v>
      </c>
      <c r="F553" s="81">
        <f>SUM(E$2:E553)</f>
        <v>3408684.9539831905</v>
      </c>
      <c r="G553" s="43">
        <f t="shared" si="161"/>
        <v>1</v>
      </c>
      <c r="H553" s="78">
        <v>1</v>
      </c>
      <c r="I553" s="15">
        <f t="shared" si="164"/>
        <v>0.6</v>
      </c>
      <c r="J553" s="16">
        <f>VLOOKUP(G553,Inputs!$L$3:$P$15,5,FALSE)</f>
        <v>2000</v>
      </c>
      <c r="K553" s="16">
        <f t="shared" si="165"/>
        <v>1825</v>
      </c>
      <c r="L553" s="79">
        <f>Inputs!$P$8-B553</f>
        <v>133.08490000000006</v>
      </c>
      <c r="M553" s="79">
        <f>Inputs!$Q$8+L553*0.433</f>
        <v>1882.6257617000001</v>
      </c>
      <c r="N553" s="82">
        <f t="shared" si="166"/>
        <v>146199.92000000001</v>
      </c>
      <c r="O553" s="83">
        <f t="shared" si="167"/>
        <v>805.10609999999997</v>
      </c>
      <c r="P553" s="84">
        <f>IF(O553="","",Inputs!$C$5-O553)</f>
        <v>20.078399999999988</v>
      </c>
      <c r="Q553" s="83">
        <f>IF(N553="","",TS!J553)</f>
        <v>2000</v>
      </c>
      <c r="R553" s="83">
        <f>IF(N553="","",TS!K553)</f>
        <v>1825</v>
      </c>
      <c r="S553" s="83">
        <f>Inputs!$H$5+TS!P553*0.4333</f>
        <v>1883.66568717</v>
      </c>
      <c r="T553" s="83">
        <f>Inputs!$G$5+TS!P553*0.4333</f>
        <v>1898.66568717</v>
      </c>
      <c r="U553" s="85">
        <f t="shared" si="168"/>
        <v>0.94933284358500003</v>
      </c>
      <c r="V553" s="86">
        <f t="shared" si="156"/>
        <v>0</v>
      </c>
      <c r="W553" s="86">
        <f t="shared" si="157"/>
        <v>0</v>
      </c>
      <c r="X553" s="86" t="e">
        <f>((PI()*((42-2*'Gen Calcs'!$E$13)^2)/4)/144)*(A596-#REF!)*(W553+14.7)/14.7</f>
        <v>#REF!</v>
      </c>
      <c r="Y553" s="86" t="e">
        <f t="shared" si="158"/>
        <v>#REF!</v>
      </c>
      <c r="Z553" s="86" t="e">
        <f t="shared" si="159"/>
        <v>#REF!</v>
      </c>
      <c r="AA553" s="83">
        <f>MAX(B$2:B553)-B553</f>
        <v>22.297700000000077</v>
      </c>
      <c r="AB553" s="83">
        <f t="shared" si="160"/>
        <v>9.6549041000000333</v>
      </c>
      <c r="AC553" s="83">
        <f t="shared" si="162"/>
        <v>120</v>
      </c>
      <c r="AD553" s="72">
        <v>120</v>
      </c>
      <c r="AE553" s="73">
        <f t="shared" si="169"/>
        <v>907.92027688745009</v>
      </c>
      <c r="AF553" s="73">
        <f>SUM(AE$2:AE553)</f>
        <v>456096.15104801476</v>
      </c>
      <c r="AG553" s="73">
        <f t="shared" si="170"/>
        <v>717633.75137909444</v>
      </c>
    </row>
    <row r="554" spans="1:33" x14ac:dyDescent="0.25">
      <c r="A554" s="100">
        <v>146262.29999999999</v>
      </c>
      <c r="B554" s="97">
        <v>805.10609999999997</v>
      </c>
      <c r="C554" s="97">
        <v>0.86399999999999999</v>
      </c>
      <c r="D554" s="80">
        <f t="shared" si="171"/>
        <v>62.379999999975553</v>
      </c>
      <c r="E554" s="81">
        <f t="shared" si="163"/>
        <v>4236.3778020418276</v>
      </c>
      <c r="F554" s="81">
        <f>SUM(E$2:E554)</f>
        <v>3412921.3317852323</v>
      </c>
      <c r="G554" s="43">
        <f t="shared" si="161"/>
        <v>2</v>
      </c>
      <c r="H554" s="78">
        <v>1</v>
      </c>
      <c r="I554" s="15">
        <f t="shared" si="164"/>
        <v>0.86399999999999999</v>
      </c>
      <c r="J554" s="16">
        <f>VLOOKUP(G554,Inputs!$L$3:$P$15,5,FALSE)</f>
        <v>2880</v>
      </c>
      <c r="K554" s="16">
        <f t="shared" si="165"/>
        <v>1825</v>
      </c>
      <c r="L554" s="79">
        <f>Inputs!$P$8-B554</f>
        <v>133.08490000000006</v>
      </c>
      <c r="M554" s="79">
        <f>Inputs!$Q$8+L554*0.433</f>
        <v>1882.6257617000001</v>
      </c>
      <c r="N554" s="82">
        <f t="shared" si="166"/>
        <v>146262.29999999999</v>
      </c>
      <c r="O554" s="83">
        <f t="shared" si="167"/>
        <v>805.10609999999997</v>
      </c>
      <c r="P554" s="84">
        <f>IF(O554="","",Inputs!$C$5-O554)</f>
        <v>20.078399999999988</v>
      </c>
      <c r="Q554" s="83">
        <f>IF(N554="","",TS!J554)</f>
        <v>2880</v>
      </c>
      <c r="R554" s="83">
        <f>IF(N554="","",TS!K554)</f>
        <v>1825</v>
      </c>
      <c r="S554" s="83">
        <f>Inputs!$H$5+TS!P554*0.4333</f>
        <v>1883.66568717</v>
      </c>
      <c r="T554" s="83">
        <f>Inputs!$G$5+TS!P554*0.4333</f>
        <v>1898.66568717</v>
      </c>
      <c r="U554" s="85">
        <f t="shared" si="168"/>
        <v>0.65925891915625001</v>
      </c>
      <c r="V554" s="86">
        <f t="shared" si="156"/>
        <v>0</v>
      </c>
      <c r="W554" s="86">
        <f t="shared" si="157"/>
        <v>0</v>
      </c>
      <c r="X554" s="86" t="e">
        <f>((PI()*((42-2*'Gen Calcs'!$E$13)^2)/4)/144)*(A597-#REF!)*(W554+14.7)/14.7</f>
        <v>#REF!</v>
      </c>
      <c r="Y554" s="86" t="e">
        <f t="shared" si="158"/>
        <v>#REF!</v>
      </c>
      <c r="Z554" s="86" t="e">
        <f t="shared" si="159"/>
        <v>#REF!</v>
      </c>
      <c r="AA554" s="83">
        <f>MAX(B$2:B554)-B554</f>
        <v>22.297700000000077</v>
      </c>
      <c r="AB554" s="83">
        <f t="shared" si="160"/>
        <v>9.6549041000000333</v>
      </c>
      <c r="AC554" s="83">
        <f t="shared" si="162"/>
        <v>120</v>
      </c>
      <c r="AD554" s="72">
        <v>120</v>
      </c>
      <c r="AE554" s="73">
        <f t="shared" si="169"/>
        <v>551.79677271637127</v>
      </c>
      <c r="AF554" s="73">
        <f>SUM(AE$2:AE554)</f>
        <v>456647.94782073115</v>
      </c>
      <c r="AG554" s="73">
        <f t="shared" si="170"/>
        <v>717081.95460637799</v>
      </c>
    </row>
    <row r="555" spans="1:33" x14ac:dyDescent="0.25">
      <c r="A555" s="99">
        <v>146299.92000000001</v>
      </c>
      <c r="B555" s="96">
        <v>809.65449999999998</v>
      </c>
      <c r="C555" s="96">
        <v>0.6</v>
      </c>
      <c r="D555" s="80">
        <f t="shared" si="171"/>
        <v>37.620000000024447</v>
      </c>
      <c r="E555" s="81">
        <f t="shared" si="163"/>
        <v>2489.1678026658242</v>
      </c>
      <c r="F555" s="81">
        <f>SUM(E$2:E555)</f>
        <v>3415410.4995878981</v>
      </c>
      <c r="G555" s="43">
        <f t="shared" si="161"/>
        <v>1</v>
      </c>
      <c r="H555" s="78">
        <v>1</v>
      </c>
      <c r="I555" s="15">
        <f t="shared" si="164"/>
        <v>0.6</v>
      </c>
      <c r="J555" s="16">
        <f>VLOOKUP(G555,Inputs!$L$3:$P$15,5,FALSE)</f>
        <v>2000</v>
      </c>
      <c r="K555" s="16">
        <f t="shared" si="165"/>
        <v>1825</v>
      </c>
      <c r="L555" s="79">
        <f>Inputs!$P$8-B555</f>
        <v>128.53650000000005</v>
      </c>
      <c r="M555" s="79">
        <f>Inputs!$Q$8+L555*0.433</f>
        <v>1880.6563045</v>
      </c>
      <c r="N555" s="82">
        <f t="shared" si="166"/>
        <v>146299.92000000001</v>
      </c>
      <c r="O555" s="83">
        <f t="shared" si="167"/>
        <v>809.65449999999998</v>
      </c>
      <c r="P555" s="84">
        <f>IF(O555="","",Inputs!$C$5-O555)</f>
        <v>15.529999999999973</v>
      </c>
      <c r="Q555" s="83">
        <f>IF(N555="","",TS!J555)</f>
        <v>2000</v>
      </c>
      <c r="R555" s="83">
        <f>IF(N555="","",TS!K555)</f>
        <v>1825</v>
      </c>
      <c r="S555" s="83">
        <f>Inputs!$H$5+TS!P555*0.4333</f>
        <v>1881.69486545</v>
      </c>
      <c r="T555" s="83">
        <f>Inputs!$G$5+TS!P555*0.4333</f>
        <v>1896.69486545</v>
      </c>
      <c r="U555" s="85">
        <f t="shared" si="168"/>
        <v>0.94834743272499999</v>
      </c>
      <c r="V555" s="86">
        <f t="shared" si="156"/>
        <v>0</v>
      </c>
      <c r="W555" s="86">
        <f t="shared" si="157"/>
        <v>0</v>
      </c>
      <c r="X555" s="86" t="e">
        <f>((PI()*((42-2*'Gen Calcs'!$E$13)^2)/4)/144)*(A598-#REF!)*(W555+14.7)/14.7</f>
        <v>#REF!</v>
      </c>
      <c r="Y555" s="86" t="e">
        <f t="shared" si="158"/>
        <v>#REF!</v>
      </c>
      <c r="Z555" s="86" t="e">
        <f t="shared" si="159"/>
        <v>#REF!</v>
      </c>
      <c r="AA555" s="83">
        <f>MAX(B$2:B555)-B555</f>
        <v>17.749300000000062</v>
      </c>
      <c r="AB555" s="83">
        <f t="shared" si="160"/>
        <v>7.6854469000000272</v>
      </c>
      <c r="AC555" s="83">
        <f t="shared" si="162"/>
        <v>120</v>
      </c>
      <c r="AD555" s="72">
        <v>120</v>
      </c>
      <c r="AE555" s="73">
        <f t="shared" si="169"/>
        <v>341.55960816528068</v>
      </c>
      <c r="AF555" s="73">
        <f>SUM(AE$2:AE555)</f>
        <v>456989.50742889644</v>
      </c>
      <c r="AG555" s="73">
        <f t="shared" si="170"/>
        <v>716740.39499821281</v>
      </c>
    </row>
    <row r="556" spans="1:33" x14ac:dyDescent="0.25">
      <c r="A556" s="100">
        <v>146342.29999999999</v>
      </c>
      <c r="B556" s="97">
        <v>809.65449999999998</v>
      </c>
      <c r="C556" s="97">
        <v>0.86399999999999999</v>
      </c>
      <c r="D556" s="80">
        <f t="shared" si="171"/>
        <v>42.379999999975553</v>
      </c>
      <c r="E556" s="81">
        <f t="shared" si="163"/>
        <v>2878.1290678182022</v>
      </c>
      <c r="F556" s="81">
        <f>SUM(E$2:E556)</f>
        <v>3418288.6286557163</v>
      </c>
      <c r="G556" s="43">
        <f t="shared" si="161"/>
        <v>2</v>
      </c>
      <c r="H556" s="78">
        <v>1</v>
      </c>
      <c r="I556" s="15">
        <f t="shared" si="164"/>
        <v>0.86399999999999999</v>
      </c>
      <c r="J556" s="16">
        <f>VLOOKUP(G556,Inputs!$L$3:$P$15,5,FALSE)</f>
        <v>2880</v>
      </c>
      <c r="K556" s="16">
        <f t="shared" si="165"/>
        <v>1825</v>
      </c>
      <c r="L556" s="79">
        <f>Inputs!$P$8-B556</f>
        <v>128.53650000000005</v>
      </c>
      <c r="M556" s="79">
        <f>Inputs!$Q$8+L556*0.433</f>
        <v>1880.6563045</v>
      </c>
      <c r="N556" s="82">
        <f t="shared" si="166"/>
        <v>146342.29999999999</v>
      </c>
      <c r="O556" s="83">
        <f t="shared" si="167"/>
        <v>809.65449999999998</v>
      </c>
      <c r="P556" s="84">
        <f>IF(O556="","",Inputs!$C$5-O556)</f>
        <v>15.529999999999973</v>
      </c>
      <c r="Q556" s="83">
        <f>IF(N556="","",TS!J556)</f>
        <v>2880</v>
      </c>
      <c r="R556" s="83">
        <f>IF(N556="","",TS!K556)</f>
        <v>1825</v>
      </c>
      <c r="S556" s="83">
        <f>Inputs!$H$5+TS!P556*0.4333</f>
        <v>1881.69486545</v>
      </c>
      <c r="T556" s="83">
        <f>Inputs!$G$5+TS!P556*0.4333</f>
        <v>1896.69486545</v>
      </c>
      <c r="U556" s="85">
        <f t="shared" si="168"/>
        <v>0.65857460605902773</v>
      </c>
      <c r="V556" s="86">
        <f t="shared" si="156"/>
        <v>0</v>
      </c>
      <c r="W556" s="86">
        <f t="shared" si="157"/>
        <v>0</v>
      </c>
      <c r="X556" s="86" t="e">
        <f>((PI()*((42-2*'Gen Calcs'!$E$13)^2)/4)/144)*(A599-#REF!)*(W556+14.7)/14.7</f>
        <v>#REF!</v>
      </c>
      <c r="Y556" s="86" t="e">
        <f t="shared" si="158"/>
        <v>#REF!</v>
      </c>
      <c r="Z556" s="86" t="e">
        <f t="shared" si="159"/>
        <v>#REF!</v>
      </c>
      <c r="AA556" s="83">
        <f>MAX(B$2:B556)-B556</f>
        <v>17.749300000000062</v>
      </c>
      <c r="AB556" s="83">
        <f t="shared" si="160"/>
        <v>7.6854469000000272</v>
      </c>
      <c r="AC556" s="83">
        <f t="shared" si="162"/>
        <v>120</v>
      </c>
      <c r="AD556" s="72">
        <v>120</v>
      </c>
      <c r="AE556" s="73">
        <f t="shared" si="169"/>
        <v>374.88212933176482</v>
      </c>
      <c r="AF556" s="73">
        <f>SUM(AE$2:AE556)</f>
        <v>457364.3895582282</v>
      </c>
      <c r="AG556" s="73">
        <f t="shared" si="170"/>
        <v>716365.51286888099</v>
      </c>
    </row>
    <row r="557" spans="1:33" x14ac:dyDescent="0.25">
      <c r="A557" s="99">
        <v>146399.92000000001</v>
      </c>
      <c r="B557" s="96">
        <v>813.6626</v>
      </c>
      <c r="C557" s="96">
        <v>0.6</v>
      </c>
      <c r="D557" s="80">
        <f t="shared" si="171"/>
        <v>57.620000000024447</v>
      </c>
      <c r="E557" s="81">
        <f t="shared" si="163"/>
        <v>3913.114603299925</v>
      </c>
      <c r="F557" s="81">
        <f>SUM(E$2:E557)</f>
        <v>3422201.7432590164</v>
      </c>
      <c r="G557" s="43">
        <f t="shared" si="161"/>
        <v>1</v>
      </c>
      <c r="H557" s="78">
        <v>1</v>
      </c>
      <c r="I557" s="15">
        <f t="shared" si="164"/>
        <v>0.6</v>
      </c>
      <c r="J557" s="16">
        <f>VLOOKUP(G557,Inputs!$L$3:$P$15,5,FALSE)</f>
        <v>2000</v>
      </c>
      <c r="K557" s="16">
        <f t="shared" si="165"/>
        <v>1825</v>
      </c>
      <c r="L557" s="79">
        <f>Inputs!$P$8-B557</f>
        <v>124.52840000000003</v>
      </c>
      <c r="M557" s="79">
        <f>Inputs!$Q$8+L557*0.433</f>
        <v>1878.9207971999999</v>
      </c>
      <c r="N557" s="82">
        <f t="shared" si="166"/>
        <v>146399.92000000001</v>
      </c>
      <c r="O557" s="83">
        <f t="shared" si="167"/>
        <v>813.6626</v>
      </c>
      <c r="P557" s="84">
        <f>IF(O557="","",Inputs!$C$5-O557)</f>
        <v>11.52189999999996</v>
      </c>
      <c r="Q557" s="83">
        <f>IF(N557="","",TS!J557)</f>
        <v>2000</v>
      </c>
      <c r="R557" s="83">
        <f>IF(N557="","",TS!K557)</f>
        <v>1825</v>
      </c>
      <c r="S557" s="83">
        <f>Inputs!$H$5+TS!P557*0.4333</f>
        <v>1879.9581557199999</v>
      </c>
      <c r="T557" s="83">
        <f>Inputs!$G$5+TS!P557*0.4333</f>
        <v>1894.9581557199999</v>
      </c>
      <c r="U557" s="85">
        <f t="shared" si="168"/>
        <v>0.94747907785999996</v>
      </c>
      <c r="V557" s="86">
        <f t="shared" si="156"/>
        <v>0</v>
      </c>
      <c r="W557" s="86">
        <f t="shared" si="157"/>
        <v>0</v>
      </c>
      <c r="X557" s="86" t="e">
        <f>((PI()*((42-2*'Gen Calcs'!$E$13)^2)/4)/144)*(A600-#REF!)*(W557+14.7)/14.7</f>
        <v>#REF!</v>
      </c>
      <c r="Y557" s="86" t="e">
        <f t="shared" si="158"/>
        <v>#REF!</v>
      </c>
      <c r="Z557" s="86" t="e">
        <f t="shared" si="159"/>
        <v>#REF!</v>
      </c>
      <c r="AA557" s="83">
        <f>MAX(B$2:B557)-B557</f>
        <v>13.741200000000049</v>
      </c>
      <c r="AB557" s="83">
        <f t="shared" si="160"/>
        <v>5.9499396000000209</v>
      </c>
      <c r="AC557" s="83">
        <f t="shared" si="162"/>
        <v>120</v>
      </c>
      <c r="AD557" s="72">
        <v>120</v>
      </c>
      <c r="AE557" s="73">
        <f t="shared" si="169"/>
        <v>523.1436635427707</v>
      </c>
      <c r="AF557" s="73">
        <f>SUM(AE$2:AE557)</f>
        <v>457887.53322177095</v>
      </c>
      <c r="AG557" s="73">
        <f t="shared" si="170"/>
        <v>715842.36920533818</v>
      </c>
    </row>
    <row r="558" spans="1:33" x14ac:dyDescent="0.25">
      <c r="A558" s="100">
        <v>146499.92000000001</v>
      </c>
      <c r="B558" s="97">
        <v>818.17079999999999</v>
      </c>
      <c r="C558" s="97">
        <v>0.6</v>
      </c>
      <c r="D558" s="80">
        <f t="shared" si="171"/>
        <v>100</v>
      </c>
      <c r="E558" s="81">
        <f t="shared" si="163"/>
        <v>6791.2436711181272</v>
      </c>
      <c r="F558" s="81">
        <f>SUM(E$2:E558)</f>
        <v>3428992.9869301347</v>
      </c>
      <c r="G558" s="43">
        <f t="shared" si="161"/>
        <v>1</v>
      </c>
      <c r="H558" s="78">
        <v>1</v>
      </c>
      <c r="I558" s="15">
        <f t="shared" si="164"/>
        <v>0.6</v>
      </c>
      <c r="J558" s="16">
        <f>VLOOKUP(G558,Inputs!$L$3:$P$15,5,FALSE)</f>
        <v>2000</v>
      </c>
      <c r="K558" s="16">
        <f t="shared" si="165"/>
        <v>1825</v>
      </c>
      <c r="L558" s="79">
        <f>Inputs!$P$8-B558</f>
        <v>120.02020000000005</v>
      </c>
      <c r="M558" s="79">
        <f>Inputs!$Q$8+L558*0.433</f>
        <v>1876.9687466</v>
      </c>
      <c r="N558" s="82">
        <f t="shared" si="166"/>
        <v>146499.92000000001</v>
      </c>
      <c r="O558" s="83">
        <f t="shared" si="167"/>
        <v>818.17079999999999</v>
      </c>
      <c r="P558" s="84">
        <f>IF(O558="","",Inputs!$C$5-O558)</f>
        <v>7.0136999999999716</v>
      </c>
      <c r="Q558" s="83">
        <f>IF(N558="","",TS!J558)</f>
        <v>2000</v>
      </c>
      <c r="R558" s="83">
        <f>IF(N558="","",TS!K558)</f>
        <v>1825</v>
      </c>
      <c r="S558" s="83">
        <f>Inputs!$H$5+TS!P558*0.4333</f>
        <v>1878.0047526599999</v>
      </c>
      <c r="T558" s="83">
        <f>Inputs!$G$5+TS!P558*0.4333</f>
        <v>1893.0047526599999</v>
      </c>
      <c r="U558" s="85">
        <f t="shared" si="168"/>
        <v>0.94650237632999989</v>
      </c>
      <c r="V558" s="86">
        <f t="shared" si="156"/>
        <v>0</v>
      </c>
      <c r="W558" s="86">
        <f t="shared" si="157"/>
        <v>0</v>
      </c>
      <c r="X558" s="86" t="e">
        <f>((PI()*((42-2*'Gen Calcs'!$E$13)^2)/4)/144)*(A601-#REF!)*(W558+14.7)/14.7</f>
        <v>#REF!</v>
      </c>
      <c r="Y558" s="86" t="e">
        <f t="shared" si="158"/>
        <v>#REF!</v>
      </c>
      <c r="Z558" s="86" t="e">
        <f t="shared" si="159"/>
        <v>#REF!</v>
      </c>
      <c r="AA558" s="83">
        <f>MAX(B$2:B558)-B558</f>
        <v>9.2330000000000609</v>
      </c>
      <c r="AB558" s="83">
        <f t="shared" si="160"/>
        <v>3.9978890000000264</v>
      </c>
      <c r="AC558" s="83">
        <f t="shared" si="162"/>
        <v>120</v>
      </c>
      <c r="AD558" s="72">
        <v>120</v>
      </c>
      <c r="AE558" s="73">
        <f t="shared" si="169"/>
        <v>907.92027688745009</v>
      </c>
      <c r="AF558" s="73">
        <f>SUM(AE$2:AE558)</f>
        <v>458795.45349865837</v>
      </c>
      <c r="AG558" s="73">
        <f t="shared" si="170"/>
        <v>714934.44892845082</v>
      </c>
    </row>
    <row r="559" spans="1:33" x14ac:dyDescent="0.25">
      <c r="A559" s="99">
        <v>146599.92000000001</v>
      </c>
      <c r="B559" s="96">
        <v>822.58870000000002</v>
      </c>
      <c r="C559" s="96">
        <v>0.6</v>
      </c>
      <c r="D559" s="80">
        <f t="shared" si="171"/>
        <v>100</v>
      </c>
      <c r="E559" s="81">
        <f t="shared" si="163"/>
        <v>6791.2436711181272</v>
      </c>
      <c r="F559" s="81">
        <f>SUM(E$2:E559)</f>
        <v>3435784.230601253</v>
      </c>
      <c r="G559" s="43">
        <f t="shared" si="161"/>
        <v>1</v>
      </c>
      <c r="H559" s="78">
        <v>1</v>
      </c>
      <c r="I559" s="15">
        <f t="shared" si="164"/>
        <v>0.6</v>
      </c>
      <c r="J559" s="16">
        <f>VLOOKUP(G559,Inputs!$L$3:$P$15,5,FALSE)</f>
        <v>2000</v>
      </c>
      <c r="K559" s="16">
        <f t="shared" si="165"/>
        <v>1825</v>
      </c>
      <c r="L559" s="79">
        <f>Inputs!$P$8-B559</f>
        <v>115.60230000000001</v>
      </c>
      <c r="M559" s="79">
        <f>Inputs!$Q$8+L559*0.433</f>
        <v>1875.0557959</v>
      </c>
      <c r="N559" s="82">
        <f t="shared" si="166"/>
        <v>146599.92000000001</v>
      </c>
      <c r="O559" s="83">
        <f t="shared" si="167"/>
        <v>822.58870000000002</v>
      </c>
      <c r="P559" s="84">
        <f>IF(O559="","",Inputs!$C$5-O559)</f>
        <v>2.5957999999999402</v>
      </c>
      <c r="Q559" s="83">
        <f>IF(N559="","",TS!J559)</f>
        <v>2000</v>
      </c>
      <c r="R559" s="83">
        <f>IF(N559="","",TS!K559)</f>
        <v>1825</v>
      </c>
      <c r="S559" s="83">
        <f>Inputs!$H$5+TS!P559*0.4333</f>
        <v>1876.09047659</v>
      </c>
      <c r="T559" s="83">
        <f>Inputs!$G$5+TS!P559*0.4333</f>
        <v>1891.09047659</v>
      </c>
      <c r="U559" s="85">
        <f t="shared" si="168"/>
        <v>0.94554523829500003</v>
      </c>
      <c r="V559" s="86">
        <f t="shared" si="156"/>
        <v>0</v>
      </c>
      <c r="W559" s="86">
        <f t="shared" si="157"/>
        <v>0</v>
      </c>
      <c r="X559" s="86" t="e">
        <f>((PI()*((42-2*'Gen Calcs'!$E$13)^2)/4)/144)*(A602-#REF!)*(W559+14.7)/14.7</f>
        <v>#REF!</v>
      </c>
      <c r="Y559" s="86" t="e">
        <f t="shared" si="158"/>
        <v>#REF!</v>
      </c>
      <c r="Z559" s="86" t="e">
        <f t="shared" si="159"/>
        <v>#REF!</v>
      </c>
      <c r="AA559" s="83">
        <f>MAX(B$2:B559)-B559</f>
        <v>4.8151000000000295</v>
      </c>
      <c r="AB559" s="83">
        <f t="shared" si="160"/>
        <v>2.0849383000000126</v>
      </c>
      <c r="AC559" s="83">
        <f t="shared" si="162"/>
        <v>120</v>
      </c>
      <c r="AD559" s="72">
        <v>120</v>
      </c>
      <c r="AE559" s="73">
        <f t="shared" si="169"/>
        <v>907.92027688745009</v>
      </c>
      <c r="AF559" s="73">
        <f>SUM(AE$2:AE559)</f>
        <v>459703.3737755458</v>
      </c>
      <c r="AG559" s="73">
        <f t="shared" si="170"/>
        <v>714026.52865156345</v>
      </c>
    </row>
    <row r="560" spans="1:33" x14ac:dyDescent="0.25">
      <c r="A560" s="100">
        <v>146699.92000000001</v>
      </c>
      <c r="B560" s="97">
        <v>824.63440000000003</v>
      </c>
      <c r="C560" s="97">
        <v>0.6</v>
      </c>
      <c r="D560" s="80">
        <f t="shared" si="171"/>
        <v>100</v>
      </c>
      <c r="E560" s="81">
        <f t="shared" si="163"/>
        <v>6791.2436711181272</v>
      </c>
      <c r="F560" s="81">
        <f>SUM(E$2:E560)</f>
        <v>3442575.4742723713</v>
      </c>
      <c r="G560" s="43">
        <f t="shared" si="161"/>
        <v>1</v>
      </c>
      <c r="H560" s="78">
        <v>1</v>
      </c>
      <c r="I560" s="15">
        <f t="shared" si="164"/>
        <v>0.6</v>
      </c>
      <c r="J560" s="16">
        <f>VLOOKUP(G560,Inputs!$L$3:$P$15,5,FALSE)</f>
        <v>2000</v>
      </c>
      <c r="K560" s="16">
        <f t="shared" si="165"/>
        <v>1825</v>
      </c>
      <c r="L560" s="79">
        <f>Inputs!$P$8-B560</f>
        <v>113.5566</v>
      </c>
      <c r="M560" s="79">
        <f>Inputs!$Q$8+L560*0.433</f>
        <v>1874.1700077999999</v>
      </c>
      <c r="N560" s="82">
        <f t="shared" si="166"/>
        <v>146699.92000000001</v>
      </c>
      <c r="O560" s="83">
        <f t="shared" si="167"/>
        <v>824.63440000000003</v>
      </c>
      <c r="P560" s="84">
        <f>IF(O560="","",Inputs!$C$5-O560)</f>
        <v>0.55009999999992942</v>
      </c>
      <c r="Q560" s="83">
        <f>IF(N560="","",TS!J560)</f>
        <v>2000</v>
      </c>
      <c r="R560" s="83">
        <f>IF(N560="","",TS!K560)</f>
        <v>1825</v>
      </c>
      <c r="S560" s="83">
        <f>Inputs!$H$5+TS!P560*0.4333</f>
        <v>1875.2040747799999</v>
      </c>
      <c r="T560" s="83">
        <f>Inputs!$G$5+TS!P560*0.4333</f>
        <v>1890.2040747799999</v>
      </c>
      <c r="U560" s="85">
        <f t="shared" si="168"/>
        <v>0.94510203738999998</v>
      </c>
      <c r="V560" s="86">
        <f t="shared" si="156"/>
        <v>0</v>
      </c>
      <c r="W560" s="86">
        <f t="shared" si="157"/>
        <v>0</v>
      </c>
      <c r="X560" s="86" t="e">
        <f>((PI()*((42-2*'Gen Calcs'!$E$13)^2)/4)/144)*(A603-#REF!)*(W560+14.7)/14.7</f>
        <v>#REF!</v>
      </c>
      <c r="Y560" s="86" t="e">
        <f t="shared" si="158"/>
        <v>#REF!</v>
      </c>
      <c r="Z560" s="86" t="e">
        <f t="shared" si="159"/>
        <v>#REF!</v>
      </c>
      <c r="AA560" s="83">
        <f>MAX(B$2:B560)-B560</f>
        <v>2.7694000000000187</v>
      </c>
      <c r="AB560" s="83">
        <f t="shared" si="160"/>
        <v>1.199150200000008</v>
      </c>
      <c r="AC560" s="83">
        <f t="shared" si="162"/>
        <v>120</v>
      </c>
      <c r="AD560" s="72">
        <v>120</v>
      </c>
      <c r="AE560" s="73">
        <f t="shared" si="169"/>
        <v>907.92027688745009</v>
      </c>
      <c r="AF560" s="73">
        <f>SUM(AE$2:AE560)</f>
        <v>460611.29405243322</v>
      </c>
      <c r="AG560" s="73">
        <f t="shared" si="170"/>
        <v>713118.60837467597</v>
      </c>
    </row>
    <row r="561" spans="1:33" x14ac:dyDescent="0.25">
      <c r="A561" s="99">
        <v>146799.92000000001</v>
      </c>
      <c r="B561" s="96">
        <v>827.05280000000005</v>
      </c>
      <c r="C561" s="96">
        <v>0.6</v>
      </c>
      <c r="D561" s="80">
        <f t="shared" si="171"/>
        <v>100</v>
      </c>
      <c r="E561" s="81">
        <f t="shared" si="163"/>
        <v>6791.2436711181272</v>
      </c>
      <c r="F561" s="81">
        <f>SUM(E$2:E561)</f>
        <v>3449366.7179434896</v>
      </c>
      <c r="G561" s="43">
        <f t="shared" si="161"/>
        <v>1</v>
      </c>
      <c r="H561" s="78">
        <v>1</v>
      </c>
      <c r="I561" s="15">
        <f t="shared" si="164"/>
        <v>0.6</v>
      </c>
      <c r="J561" s="16">
        <f>VLOOKUP(G561,Inputs!$L$3:$P$15,5,FALSE)</f>
        <v>2000</v>
      </c>
      <c r="K561" s="16">
        <f t="shared" si="165"/>
        <v>1825</v>
      </c>
      <c r="L561" s="79">
        <f>Inputs!$P$8-B561</f>
        <v>111.13819999999998</v>
      </c>
      <c r="M561" s="79">
        <f>Inputs!$Q$8+L561*0.433</f>
        <v>1873.1228406</v>
      </c>
      <c r="N561" s="82">
        <f t="shared" si="166"/>
        <v>146799.92000000001</v>
      </c>
      <c r="O561" s="83">
        <f t="shared" si="167"/>
        <v>827.05280000000005</v>
      </c>
      <c r="P561" s="84">
        <f>IF(O561="","",Inputs!$C$5-O561)</f>
        <v>-1.8683000000000902</v>
      </c>
      <c r="Q561" s="83">
        <f>IF(N561="","",TS!J561)</f>
        <v>2000</v>
      </c>
      <c r="R561" s="83">
        <f>IF(N561="","",TS!K561)</f>
        <v>1825</v>
      </c>
      <c r="S561" s="83">
        <f>Inputs!$H$5+TS!P561*0.4333</f>
        <v>1874.15618206</v>
      </c>
      <c r="T561" s="83">
        <f>Inputs!$G$5+TS!P561*0.4333</f>
        <v>1889.15618206</v>
      </c>
      <c r="U561" s="85">
        <f t="shared" si="168"/>
        <v>0.94457809103000001</v>
      </c>
      <c r="V561" s="86">
        <f t="shared" si="156"/>
        <v>0</v>
      </c>
      <c r="W561" s="86">
        <f t="shared" si="157"/>
        <v>0</v>
      </c>
      <c r="X561" s="86" t="e">
        <f>((PI()*((42-2*'Gen Calcs'!$E$13)^2)/4)/144)*(A604-#REF!)*(W561+14.7)/14.7</f>
        <v>#REF!</v>
      </c>
      <c r="Y561" s="86" t="e">
        <f t="shared" si="158"/>
        <v>#REF!</v>
      </c>
      <c r="Z561" s="86" t="e">
        <f t="shared" si="159"/>
        <v>#REF!</v>
      </c>
      <c r="AA561" s="83">
        <f>MAX(B$2:B561)-B561</f>
        <v>0.35099999999999909</v>
      </c>
      <c r="AB561" s="83">
        <f t="shared" si="160"/>
        <v>0.15198299999999962</v>
      </c>
      <c r="AC561" s="83">
        <f t="shared" si="162"/>
        <v>120</v>
      </c>
      <c r="AD561" s="72">
        <v>120</v>
      </c>
      <c r="AE561" s="73">
        <f t="shared" si="169"/>
        <v>907.92027688745009</v>
      </c>
      <c r="AF561" s="73">
        <f>SUM(AE$2:AE561)</f>
        <v>461519.21432932065</v>
      </c>
      <c r="AG561" s="73">
        <f t="shared" si="170"/>
        <v>712210.68809778849</v>
      </c>
    </row>
    <row r="562" spans="1:33" x14ac:dyDescent="0.25">
      <c r="A562" s="100">
        <v>146899.92000000001</v>
      </c>
      <c r="B562" s="97">
        <v>828.58169999999996</v>
      </c>
      <c r="C562" s="97">
        <v>0.6</v>
      </c>
      <c r="D562" s="80">
        <f t="shared" si="171"/>
        <v>100</v>
      </c>
      <c r="E562" s="81">
        <f t="shared" si="163"/>
        <v>6791.2436711181272</v>
      </c>
      <c r="F562" s="81">
        <f>SUM(E$2:E562)</f>
        <v>3456157.9616146078</v>
      </c>
      <c r="G562" s="43">
        <f t="shared" si="161"/>
        <v>1</v>
      </c>
      <c r="H562" s="78">
        <v>1</v>
      </c>
      <c r="I562" s="15">
        <f t="shared" si="164"/>
        <v>0.6</v>
      </c>
      <c r="J562" s="16">
        <f>VLOOKUP(G562,Inputs!$L$3:$P$15,5,FALSE)</f>
        <v>2000</v>
      </c>
      <c r="K562" s="16">
        <f t="shared" si="165"/>
        <v>1825</v>
      </c>
      <c r="L562" s="79">
        <f>Inputs!$P$8-B562</f>
        <v>109.60930000000008</v>
      </c>
      <c r="M562" s="79">
        <f>Inputs!$Q$8+L562*0.433</f>
        <v>1872.4608269</v>
      </c>
      <c r="N562" s="82">
        <f t="shared" si="166"/>
        <v>146899.92000000001</v>
      </c>
      <c r="O562" s="83">
        <f t="shared" si="167"/>
        <v>828.58169999999996</v>
      </c>
      <c r="P562" s="84">
        <f>IF(O562="","",Inputs!$C$5-O562)</f>
        <v>-3.397199999999998</v>
      </c>
      <c r="Q562" s="83">
        <f>IF(N562="","",TS!J562)</f>
        <v>2000</v>
      </c>
      <c r="R562" s="83">
        <f>IF(N562="","",TS!K562)</f>
        <v>1825</v>
      </c>
      <c r="S562" s="83">
        <f>Inputs!$H$5+TS!P562*0.4333</f>
        <v>1873.4937096899998</v>
      </c>
      <c r="T562" s="83">
        <f>Inputs!$G$5+TS!P562*0.4333</f>
        <v>1888.4937096899998</v>
      </c>
      <c r="U562" s="85">
        <f t="shared" si="168"/>
        <v>0.94424685484499993</v>
      </c>
      <c r="V562" s="86">
        <f t="shared" si="156"/>
        <v>0</v>
      </c>
      <c r="W562" s="86">
        <f t="shared" si="157"/>
        <v>0</v>
      </c>
      <c r="X562" s="86" t="e">
        <f>((PI()*((42-2*'Gen Calcs'!$E$13)^2)/4)/144)*(A605-#REF!)*(W562+14.7)/14.7</f>
        <v>#REF!</v>
      </c>
      <c r="Y562" s="86" t="e">
        <f t="shared" si="158"/>
        <v>#REF!</v>
      </c>
      <c r="Z562" s="86" t="e">
        <f t="shared" si="159"/>
        <v>#REF!</v>
      </c>
      <c r="AA562" s="83">
        <f>MAX(B$2:B562)-B562</f>
        <v>0</v>
      </c>
      <c r="AB562" s="83">
        <f t="shared" si="160"/>
        <v>0</v>
      </c>
      <c r="AC562" s="83">
        <f t="shared" si="162"/>
        <v>120</v>
      </c>
      <c r="AD562" s="72">
        <v>120</v>
      </c>
      <c r="AE562" s="73">
        <f t="shared" si="169"/>
        <v>907.92027688745009</v>
      </c>
      <c r="AF562" s="73">
        <f>SUM(AE$2:AE562)</f>
        <v>462427.13460620807</v>
      </c>
      <c r="AG562" s="73">
        <f t="shared" si="170"/>
        <v>711302.76782090112</v>
      </c>
    </row>
    <row r="563" spans="1:33" x14ac:dyDescent="0.25">
      <c r="A563" s="99">
        <v>146999.92000000001</v>
      </c>
      <c r="B563" s="96">
        <v>830.40909999999997</v>
      </c>
      <c r="C563" s="96">
        <v>0.6</v>
      </c>
      <c r="D563" s="80">
        <f t="shared" si="171"/>
        <v>100</v>
      </c>
      <c r="E563" s="81">
        <f t="shared" si="163"/>
        <v>6791.2436711181272</v>
      </c>
      <c r="F563" s="81">
        <f>SUM(E$2:E563)</f>
        <v>3462949.2052857261</v>
      </c>
      <c r="G563" s="43">
        <f t="shared" si="161"/>
        <v>1</v>
      </c>
      <c r="H563" s="78">
        <v>1</v>
      </c>
      <c r="I563" s="15">
        <f t="shared" si="164"/>
        <v>0.6</v>
      </c>
      <c r="J563" s="16">
        <f>VLOOKUP(G563,Inputs!$L$3:$P$15,5,FALSE)</f>
        <v>2000</v>
      </c>
      <c r="K563" s="16">
        <f t="shared" si="165"/>
        <v>1825</v>
      </c>
      <c r="L563" s="79">
        <f>Inputs!$P$8-B563</f>
        <v>107.78190000000006</v>
      </c>
      <c r="M563" s="79">
        <f>Inputs!$Q$8+L563*0.433</f>
        <v>1871.6695626999999</v>
      </c>
      <c r="N563" s="82">
        <f t="shared" si="166"/>
        <v>146999.92000000001</v>
      </c>
      <c r="O563" s="83">
        <f t="shared" si="167"/>
        <v>830.40909999999997</v>
      </c>
      <c r="P563" s="84">
        <f>IF(O563="","",Inputs!$C$5-O563)</f>
        <v>-5.2246000000000095</v>
      </c>
      <c r="Q563" s="83">
        <f>IF(N563="","",TS!J563)</f>
        <v>2000</v>
      </c>
      <c r="R563" s="83">
        <f>IF(N563="","",TS!K563)</f>
        <v>1825</v>
      </c>
      <c r="S563" s="83">
        <f>Inputs!$H$5+TS!P563*0.4333</f>
        <v>1872.70189727</v>
      </c>
      <c r="T563" s="83">
        <f>Inputs!$G$5+TS!P563*0.4333</f>
        <v>1887.70189727</v>
      </c>
      <c r="U563" s="85">
        <f t="shared" si="168"/>
        <v>0.94385094863499996</v>
      </c>
      <c r="V563" s="86">
        <f t="shared" si="156"/>
        <v>0</v>
      </c>
      <c r="W563" s="86">
        <f t="shared" si="157"/>
        <v>0</v>
      </c>
      <c r="X563" s="86" t="e">
        <f>((PI()*((42-2*'Gen Calcs'!$E$13)^2)/4)/144)*(A606-#REF!)*(W563+14.7)/14.7</f>
        <v>#REF!</v>
      </c>
      <c r="Y563" s="86" t="e">
        <f t="shared" si="158"/>
        <v>#REF!</v>
      </c>
      <c r="Z563" s="86" t="e">
        <f t="shared" si="159"/>
        <v>#REF!</v>
      </c>
      <c r="AA563" s="83">
        <f>MAX(B$2:B563)-B563</f>
        <v>0</v>
      </c>
      <c r="AB563" s="83">
        <f t="shared" si="160"/>
        <v>0</v>
      </c>
      <c r="AC563" s="83">
        <f t="shared" si="162"/>
        <v>120</v>
      </c>
      <c r="AD563" s="72">
        <v>120</v>
      </c>
      <c r="AE563" s="73">
        <f t="shared" si="169"/>
        <v>907.92027688745009</v>
      </c>
      <c r="AF563" s="73">
        <f>SUM(AE$2:AE563)</f>
        <v>463335.05488309549</v>
      </c>
      <c r="AG563" s="73">
        <f t="shared" si="170"/>
        <v>710394.84754401376</v>
      </c>
    </row>
    <row r="564" spans="1:33" x14ac:dyDescent="0.25">
      <c r="A564" s="100">
        <v>147099.92000000001</v>
      </c>
      <c r="B564" s="97">
        <v>831.7405</v>
      </c>
      <c r="C564" s="97">
        <v>0.6</v>
      </c>
      <c r="D564" s="80">
        <f t="shared" si="171"/>
        <v>100</v>
      </c>
      <c r="E564" s="81">
        <f t="shared" si="163"/>
        <v>6791.2436711181272</v>
      </c>
      <c r="F564" s="81">
        <f>SUM(E$2:E564)</f>
        <v>3469740.4489568444</v>
      </c>
      <c r="G564" s="43">
        <f t="shared" si="161"/>
        <v>1</v>
      </c>
      <c r="H564" s="78">
        <v>1</v>
      </c>
      <c r="I564" s="15">
        <f t="shared" si="164"/>
        <v>0.6</v>
      </c>
      <c r="J564" s="16">
        <f>VLOOKUP(G564,Inputs!$L$3:$P$15,5,FALSE)</f>
        <v>2000</v>
      </c>
      <c r="K564" s="16">
        <f t="shared" si="165"/>
        <v>1825</v>
      </c>
      <c r="L564" s="79">
        <f>Inputs!$P$8-B564</f>
        <v>106.45050000000003</v>
      </c>
      <c r="M564" s="79">
        <f>Inputs!$Q$8+L564*0.433</f>
        <v>1871.0930665000001</v>
      </c>
      <c r="N564" s="82">
        <f t="shared" si="166"/>
        <v>147099.92000000001</v>
      </c>
      <c r="O564" s="83">
        <f t="shared" si="167"/>
        <v>831.7405</v>
      </c>
      <c r="P564" s="84">
        <f>IF(O564="","",Inputs!$C$5-O564)</f>
        <v>-6.55600000000004</v>
      </c>
      <c r="Q564" s="83">
        <f>IF(N564="","",TS!J564)</f>
        <v>2000</v>
      </c>
      <c r="R564" s="83">
        <f>IF(N564="","",TS!K564)</f>
        <v>1825</v>
      </c>
      <c r="S564" s="83">
        <f>Inputs!$H$5+TS!P564*0.4333</f>
        <v>1872.1250016499998</v>
      </c>
      <c r="T564" s="83">
        <f>Inputs!$G$5+TS!P564*0.4333</f>
        <v>1887.1250016499998</v>
      </c>
      <c r="U564" s="85">
        <f t="shared" si="168"/>
        <v>0.94356250082499993</v>
      </c>
      <c r="V564" s="86">
        <f t="shared" si="156"/>
        <v>0</v>
      </c>
      <c r="W564" s="86">
        <f t="shared" si="157"/>
        <v>0</v>
      </c>
      <c r="X564" s="86" t="e">
        <f>((PI()*((42-2*'Gen Calcs'!$E$13)^2)/4)/144)*(A607-#REF!)*(W564+14.7)/14.7</f>
        <v>#REF!</v>
      </c>
      <c r="Y564" s="86" t="e">
        <f t="shared" si="158"/>
        <v>#REF!</v>
      </c>
      <c r="Z564" s="86" t="e">
        <f t="shared" si="159"/>
        <v>#REF!</v>
      </c>
      <c r="AA564" s="83">
        <f>MAX(B$2:B564)-B564</f>
        <v>0</v>
      </c>
      <c r="AB564" s="83">
        <f t="shared" si="160"/>
        <v>0</v>
      </c>
      <c r="AC564" s="83">
        <f t="shared" si="162"/>
        <v>120</v>
      </c>
      <c r="AD564" s="72">
        <v>120</v>
      </c>
      <c r="AE564" s="73">
        <f t="shared" si="169"/>
        <v>907.92027688745009</v>
      </c>
      <c r="AF564" s="73">
        <f>SUM(AE$2:AE564)</f>
        <v>464242.97515998292</v>
      </c>
      <c r="AG564" s="73">
        <f t="shared" si="170"/>
        <v>709486.92726712627</v>
      </c>
    </row>
    <row r="565" spans="1:33" x14ac:dyDescent="0.25">
      <c r="A565" s="99">
        <v>147199.92000000001</v>
      </c>
      <c r="B565" s="96">
        <v>832.62339999999995</v>
      </c>
      <c r="C565" s="96">
        <v>0.6</v>
      </c>
      <c r="D565" s="80">
        <f t="shared" si="171"/>
        <v>100</v>
      </c>
      <c r="E565" s="81">
        <f t="shared" si="163"/>
        <v>6791.2436711181272</v>
      </c>
      <c r="F565" s="81">
        <f>SUM(E$2:E565)</f>
        <v>3476531.6926279627</v>
      </c>
      <c r="G565" s="43">
        <f t="shared" si="161"/>
        <v>1</v>
      </c>
      <c r="H565" s="78">
        <v>1</v>
      </c>
      <c r="I565" s="15">
        <f t="shared" si="164"/>
        <v>0.6</v>
      </c>
      <c r="J565" s="16">
        <f>VLOOKUP(G565,Inputs!$L$3:$P$15,5,FALSE)</f>
        <v>2000</v>
      </c>
      <c r="K565" s="16">
        <f t="shared" si="165"/>
        <v>1825</v>
      </c>
      <c r="L565" s="79">
        <f>Inputs!$P$8-B565</f>
        <v>105.56760000000008</v>
      </c>
      <c r="M565" s="79">
        <f>Inputs!$Q$8+L565*0.433</f>
        <v>1870.7107708000001</v>
      </c>
      <c r="N565" s="82">
        <f t="shared" si="166"/>
        <v>147199.92000000001</v>
      </c>
      <c r="O565" s="83">
        <f t="shared" si="167"/>
        <v>832.62339999999995</v>
      </c>
      <c r="P565" s="84">
        <f>IF(O565="","",Inputs!$C$5-O565)</f>
        <v>-7.4388999999999896</v>
      </c>
      <c r="Q565" s="83">
        <f>IF(N565="","",TS!J565)</f>
        <v>2000</v>
      </c>
      <c r="R565" s="83">
        <f>IF(N565="","",TS!K565)</f>
        <v>1825</v>
      </c>
      <c r="S565" s="83">
        <f>Inputs!$H$5+TS!P565*0.4333</f>
        <v>1871.7424410799999</v>
      </c>
      <c r="T565" s="83">
        <f>Inputs!$G$5+TS!P565*0.4333</f>
        <v>1886.7424410799999</v>
      </c>
      <c r="U565" s="85">
        <f t="shared" si="168"/>
        <v>0.94337122054</v>
      </c>
      <c r="V565" s="86">
        <f t="shared" si="156"/>
        <v>0</v>
      </c>
      <c r="W565" s="86">
        <f t="shared" si="157"/>
        <v>0</v>
      </c>
      <c r="X565" s="86" t="e">
        <f>((PI()*((42-2*'Gen Calcs'!$E$13)^2)/4)/144)*(A608-#REF!)*(W565+14.7)/14.7</f>
        <v>#REF!</v>
      </c>
      <c r="Y565" s="86" t="e">
        <f t="shared" si="158"/>
        <v>#REF!</v>
      </c>
      <c r="Z565" s="86" t="e">
        <f t="shared" si="159"/>
        <v>#REF!</v>
      </c>
      <c r="AA565" s="83">
        <f>MAX(B$2:B565)-B565</f>
        <v>0</v>
      </c>
      <c r="AB565" s="83">
        <f t="shared" si="160"/>
        <v>0</v>
      </c>
      <c r="AC565" s="83">
        <f t="shared" si="162"/>
        <v>120</v>
      </c>
      <c r="AD565" s="72">
        <v>120</v>
      </c>
      <c r="AE565" s="73">
        <f t="shared" si="169"/>
        <v>907.92027688745009</v>
      </c>
      <c r="AF565" s="73">
        <f>SUM(AE$2:AE565)</f>
        <v>465150.89543687034</v>
      </c>
      <c r="AG565" s="73">
        <f t="shared" si="170"/>
        <v>708579.00699023879</v>
      </c>
    </row>
    <row r="566" spans="1:33" x14ac:dyDescent="0.25">
      <c r="A566" s="100">
        <v>147299.92000000001</v>
      </c>
      <c r="B566" s="97">
        <v>832.42589999999996</v>
      </c>
      <c r="C566" s="97">
        <v>0.6</v>
      </c>
      <c r="D566" s="80">
        <f t="shared" si="171"/>
        <v>100</v>
      </c>
      <c r="E566" s="81">
        <f t="shared" si="163"/>
        <v>6791.2436711181272</v>
      </c>
      <c r="F566" s="81">
        <f>SUM(E$2:E566)</f>
        <v>3483322.936299081</v>
      </c>
      <c r="G566" s="43">
        <f t="shared" si="161"/>
        <v>1</v>
      </c>
      <c r="H566" s="78">
        <v>1</v>
      </c>
      <c r="I566" s="15">
        <f t="shared" si="164"/>
        <v>0.6</v>
      </c>
      <c r="J566" s="16">
        <f>VLOOKUP(G566,Inputs!$L$3:$P$15,5,FALSE)</f>
        <v>2000</v>
      </c>
      <c r="K566" s="16">
        <f t="shared" si="165"/>
        <v>1825</v>
      </c>
      <c r="L566" s="79">
        <f>Inputs!$P$8-B566</f>
        <v>105.76510000000007</v>
      </c>
      <c r="M566" s="79">
        <f>Inputs!$Q$8+L566*0.433</f>
        <v>1870.7962883</v>
      </c>
      <c r="N566" s="82">
        <f t="shared" si="166"/>
        <v>147299.92000000001</v>
      </c>
      <c r="O566" s="83">
        <f t="shared" si="167"/>
        <v>832.42589999999996</v>
      </c>
      <c r="P566" s="84">
        <f>IF(O566="","",Inputs!$C$5-O566)</f>
        <v>-7.2413999999999987</v>
      </c>
      <c r="Q566" s="83">
        <f>IF(N566="","",TS!J566)</f>
        <v>2000</v>
      </c>
      <c r="R566" s="83">
        <f>IF(N566="","",TS!K566)</f>
        <v>1825</v>
      </c>
      <c r="S566" s="83">
        <f>Inputs!$H$5+TS!P566*0.4333</f>
        <v>1871.8280178299999</v>
      </c>
      <c r="T566" s="83">
        <f>Inputs!$G$5+TS!P566*0.4333</f>
        <v>1886.8280178299999</v>
      </c>
      <c r="U566" s="85">
        <f t="shared" si="168"/>
        <v>0.94341400891499994</v>
      </c>
      <c r="V566" s="86">
        <f t="shared" ref="V566:V629" si="172">O566-MAX(O566:O566)</f>
        <v>0</v>
      </c>
      <c r="W566" s="86">
        <f t="shared" ref="W566:W629" si="173">-(V566)*0.433</f>
        <v>0</v>
      </c>
      <c r="X566" s="86" t="e">
        <f>((PI()*((42-2*'Gen Calcs'!$E$13)^2)/4)/144)*(A609-#REF!)*(W566+14.7)/14.7</f>
        <v>#REF!</v>
      </c>
      <c r="Y566" s="86" t="e">
        <f t="shared" ref="Y566:Y629" si="174">X566/1000</f>
        <v>#REF!</v>
      </c>
      <c r="Z566" s="86" t="e">
        <f t="shared" ref="Z566:Z629" si="175">IF(Y566&gt;Z565,Y566,Z565)</f>
        <v>#REF!</v>
      </c>
      <c r="AA566" s="83">
        <f>MAX(B$2:B566)-B566</f>
        <v>0.19749999999999091</v>
      </c>
      <c r="AB566" s="83">
        <f t="shared" ref="AB566:AB629" si="176">AA566*0.433</f>
        <v>8.5517499999996055E-2</v>
      </c>
      <c r="AC566" s="83">
        <f t="shared" si="162"/>
        <v>120</v>
      </c>
      <c r="AD566" s="72">
        <v>120</v>
      </c>
      <c r="AE566" s="73">
        <f t="shared" si="169"/>
        <v>907.92027688745009</v>
      </c>
      <c r="AF566" s="73">
        <f>SUM(AE$2:AE566)</f>
        <v>466058.81571375777</v>
      </c>
      <c r="AG566" s="73">
        <f t="shared" si="170"/>
        <v>707671.08671335143</v>
      </c>
    </row>
    <row r="567" spans="1:33" x14ac:dyDescent="0.25">
      <c r="A567" s="99">
        <v>147399.92000000001</v>
      </c>
      <c r="B567" s="96">
        <v>831.21669999999995</v>
      </c>
      <c r="C567" s="96">
        <v>0.6</v>
      </c>
      <c r="D567" s="80">
        <f t="shared" si="171"/>
        <v>100</v>
      </c>
      <c r="E567" s="81">
        <f t="shared" si="163"/>
        <v>6791.2436711181272</v>
      </c>
      <c r="F567" s="81">
        <f>SUM(E$2:E567)</f>
        <v>3490114.1799701992</v>
      </c>
      <c r="G567" s="43">
        <f t="shared" si="161"/>
        <v>1</v>
      </c>
      <c r="H567" s="78">
        <v>1</v>
      </c>
      <c r="I567" s="15">
        <f t="shared" si="164"/>
        <v>0.6</v>
      </c>
      <c r="J567" s="16">
        <f>VLOOKUP(G567,Inputs!$L$3:$P$15,5,FALSE)</f>
        <v>2000</v>
      </c>
      <c r="K567" s="16">
        <f t="shared" si="165"/>
        <v>1825</v>
      </c>
      <c r="L567" s="79">
        <f>Inputs!$P$8-B567</f>
        <v>106.97430000000008</v>
      </c>
      <c r="M567" s="79">
        <f>Inputs!$Q$8+L567*0.433</f>
        <v>1871.3198719</v>
      </c>
      <c r="N567" s="82">
        <f t="shared" si="166"/>
        <v>147399.92000000001</v>
      </c>
      <c r="O567" s="83">
        <f t="shared" si="167"/>
        <v>831.21669999999995</v>
      </c>
      <c r="P567" s="84">
        <f>IF(O567="","",Inputs!$C$5-O567)</f>
        <v>-6.0321999999999889</v>
      </c>
      <c r="Q567" s="83">
        <f>IF(N567="","",TS!J567)</f>
        <v>2000</v>
      </c>
      <c r="R567" s="83">
        <f>IF(N567="","",TS!K567)</f>
        <v>1825</v>
      </c>
      <c r="S567" s="83">
        <f>Inputs!$H$5+TS!P567*0.4333</f>
        <v>1872.35196419</v>
      </c>
      <c r="T567" s="83">
        <f>Inputs!$G$5+TS!P567*0.4333</f>
        <v>1887.35196419</v>
      </c>
      <c r="U567" s="85">
        <f t="shared" si="168"/>
        <v>0.94367598209500003</v>
      </c>
      <c r="V567" s="86">
        <f t="shared" si="172"/>
        <v>0</v>
      </c>
      <c r="W567" s="86">
        <f t="shared" si="173"/>
        <v>0</v>
      </c>
      <c r="X567" s="86" t="e">
        <f>((PI()*((42-2*'Gen Calcs'!$E$13)^2)/4)/144)*(A610-#REF!)*(W567+14.7)/14.7</f>
        <v>#REF!</v>
      </c>
      <c r="Y567" s="86" t="e">
        <f t="shared" si="174"/>
        <v>#REF!</v>
      </c>
      <c r="Z567" s="86" t="e">
        <f t="shared" si="175"/>
        <v>#REF!</v>
      </c>
      <c r="AA567" s="83">
        <f>MAX(B$2:B567)-B567</f>
        <v>1.4067000000000007</v>
      </c>
      <c r="AB567" s="83">
        <f t="shared" si="176"/>
        <v>0.60910110000000028</v>
      </c>
      <c r="AC567" s="83">
        <f t="shared" si="162"/>
        <v>120</v>
      </c>
      <c r="AD567" s="72">
        <v>120</v>
      </c>
      <c r="AE567" s="73">
        <f t="shared" si="169"/>
        <v>907.92027688745009</v>
      </c>
      <c r="AF567" s="73">
        <f>SUM(AE$2:AE567)</f>
        <v>466966.73599064519</v>
      </c>
      <c r="AG567" s="73">
        <f t="shared" si="170"/>
        <v>706763.16643646406</v>
      </c>
    </row>
    <row r="568" spans="1:33" x14ac:dyDescent="0.25">
      <c r="A568" s="100">
        <v>147499.92000000001</v>
      </c>
      <c r="B568" s="97">
        <v>828.89269999999999</v>
      </c>
      <c r="C568" s="97">
        <v>0.6</v>
      </c>
      <c r="D568" s="80">
        <f t="shared" si="171"/>
        <v>100</v>
      </c>
      <c r="E568" s="81">
        <f t="shared" si="163"/>
        <v>6791.2436711181272</v>
      </c>
      <c r="F568" s="81">
        <f>SUM(E$2:E568)</f>
        <v>3496905.4236413175</v>
      </c>
      <c r="G568" s="43">
        <f t="shared" si="161"/>
        <v>1</v>
      </c>
      <c r="H568" s="78">
        <v>1</v>
      </c>
      <c r="I568" s="15">
        <f t="shared" si="164"/>
        <v>0.6</v>
      </c>
      <c r="J568" s="16">
        <f>VLOOKUP(G568,Inputs!$L$3:$P$15,5,FALSE)</f>
        <v>2000</v>
      </c>
      <c r="K568" s="16">
        <f t="shared" si="165"/>
        <v>1825</v>
      </c>
      <c r="L568" s="79">
        <f>Inputs!$P$8-B568</f>
        <v>109.29830000000004</v>
      </c>
      <c r="M568" s="79">
        <f>Inputs!$Q$8+L568*0.433</f>
        <v>1872.3261639</v>
      </c>
      <c r="N568" s="82">
        <f t="shared" si="166"/>
        <v>147499.92000000001</v>
      </c>
      <c r="O568" s="83">
        <f t="shared" si="167"/>
        <v>828.89269999999999</v>
      </c>
      <c r="P568" s="84">
        <f>IF(O568="","",Inputs!$C$5-O568)</f>
        <v>-3.7082000000000335</v>
      </c>
      <c r="Q568" s="83">
        <f>IF(N568="","",TS!J568)</f>
        <v>2000</v>
      </c>
      <c r="R568" s="83">
        <f>IF(N568="","",TS!K568)</f>
        <v>1825</v>
      </c>
      <c r="S568" s="83">
        <f>Inputs!$H$5+TS!P568*0.4333</f>
        <v>1873.3589533899999</v>
      </c>
      <c r="T568" s="83">
        <f>Inputs!$G$5+TS!P568*0.4333</f>
        <v>1888.3589533899999</v>
      </c>
      <c r="U568" s="85">
        <f t="shared" si="168"/>
        <v>0.94417947669499991</v>
      </c>
      <c r="V568" s="86">
        <f t="shared" si="172"/>
        <v>0</v>
      </c>
      <c r="W568" s="86">
        <f t="shared" si="173"/>
        <v>0</v>
      </c>
      <c r="X568" s="86" t="e">
        <f>((PI()*((42-2*'Gen Calcs'!$E$13)^2)/4)/144)*(A611-#REF!)*(W568+14.7)/14.7</f>
        <v>#REF!</v>
      </c>
      <c r="Y568" s="86" t="e">
        <f t="shared" si="174"/>
        <v>#REF!</v>
      </c>
      <c r="Z568" s="86" t="e">
        <f t="shared" si="175"/>
        <v>#REF!</v>
      </c>
      <c r="AA568" s="83">
        <f>MAX(B$2:B568)-B568</f>
        <v>3.7306999999999562</v>
      </c>
      <c r="AB568" s="83">
        <f t="shared" si="176"/>
        <v>1.615393099999981</v>
      </c>
      <c r="AC568" s="83">
        <f t="shared" si="162"/>
        <v>120</v>
      </c>
      <c r="AD568" s="72">
        <v>120</v>
      </c>
      <c r="AE568" s="73">
        <f t="shared" si="169"/>
        <v>907.92027688745009</v>
      </c>
      <c r="AF568" s="73">
        <f>SUM(AE$2:AE568)</f>
        <v>467874.65626753261</v>
      </c>
      <c r="AG568" s="73">
        <f t="shared" si="170"/>
        <v>705855.24615957658</v>
      </c>
    </row>
    <row r="569" spans="1:33" x14ac:dyDescent="0.25">
      <c r="A569" s="99">
        <v>147599.92000000001</v>
      </c>
      <c r="B569" s="96">
        <v>826.12670000000003</v>
      </c>
      <c r="C569" s="96">
        <v>0.6</v>
      </c>
      <c r="D569" s="80">
        <f t="shared" si="171"/>
        <v>100</v>
      </c>
      <c r="E569" s="81">
        <f t="shared" si="163"/>
        <v>6791.2436711181272</v>
      </c>
      <c r="F569" s="81">
        <f>SUM(E$2:E569)</f>
        <v>3503696.6673124358</v>
      </c>
      <c r="G569" s="43">
        <f t="shared" si="161"/>
        <v>1</v>
      </c>
      <c r="H569" s="78">
        <v>1</v>
      </c>
      <c r="I569" s="15">
        <f t="shared" si="164"/>
        <v>0.6</v>
      </c>
      <c r="J569" s="16">
        <f>VLOOKUP(G569,Inputs!$L$3:$P$15,5,FALSE)</f>
        <v>2000</v>
      </c>
      <c r="K569" s="16">
        <f t="shared" si="165"/>
        <v>1825</v>
      </c>
      <c r="L569" s="79">
        <f>Inputs!$P$8-B569</f>
        <v>112.0643</v>
      </c>
      <c r="M569" s="79">
        <f>Inputs!$Q$8+L569*0.433</f>
        <v>1873.5238419</v>
      </c>
      <c r="N569" s="82">
        <f t="shared" si="166"/>
        <v>147599.92000000001</v>
      </c>
      <c r="O569" s="83">
        <f t="shared" si="167"/>
        <v>826.12670000000003</v>
      </c>
      <c r="P569" s="84">
        <f>IF(O569="","",Inputs!$C$5-O569)</f>
        <v>-0.94220000000007076</v>
      </c>
      <c r="Q569" s="83">
        <f>IF(N569="","",TS!J569)</f>
        <v>2000</v>
      </c>
      <c r="R569" s="83">
        <f>IF(N569="","",TS!K569)</f>
        <v>1825</v>
      </c>
      <c r="S569" s="83">
        <f>Inputs!$H$5+TS!P569*0.4333</f>
        <v>1874.5574611899999</v>
      </c>
      <c r="T569" s="83">
        <f>Inputs!$G$5+TS!P569*0.4333</f>
        <v>1889.5574611899999</v>
      </c>
      <c r="U569" s="85">
        <f t="shared" si="168"/>
        <v>0.94477873059499995</v>
      </c>
      <c r="V569" s="86">
        <f t="shared" si="172"/>
        <v>0</v>
      </c>
      <c r="W569" s="86">
        <f t="shared" si="173"/>
        <v>0</v>
      </c>
      <c r="X569" s="86" t="e">
        <f>((PI()*((42-2*'Gen Calcs'!$E$13)^2)/4)/144)*(A612-#REF!)*(W569+14.7)/14.7</f>
        <v>#REF!</v>
      </c>
      <c r="Y569" s="86" t="e">
        <f t="shared" si="174"/>
        <v>#REF!</v>
      </c>
      <c r="Z569" s="86" t="e">
        <f t="shared" si="175"/>
        <v>#REF!</v>
      </c>
      <c r="AA569" s="83">
        <f>MAX(B$2:B569)-B569</f>
        <v>6.4966999999999189</v>
      </c>
      <c r="AB569" s="83">
        <f t="shared" si="176"/>
        <v>2.8130710999999646</v>
      </c>
      <c r="AC569" s="83">
        <f t="shared" si="162"/>
        <v>120</v>
      </c>
      <c r="AD569" s="72">
        <v>120</v>
      </c>
      <c r="AE569" s="73">
        <f t="shared" si="169"/>
        <v>907.92027688745009</v>
      </c>
      <c r="AF569" s="73">
        <f>SUM(AE$2:AE569)</f>
        <v>468782.57654442004</v>
      </c>
      <c r="AG569" s="73">
        <f t="shared" si="170"/>
        <v>704947.3258826891</v>
      </c>
    </row>
    <row r="570" spans="1:33" x14ac:dyDescent="0.25">
      <c r="A570" s="100">
        <v>147699.92000000001</v>
      </c>
      <c r="B570" s="97">
        <v>823.57470000000001</v>
      </c>
      <c r="C570" s="97">
        <v>0.6</v>
      </c>
      <c r="D570" s="80">
        <f t="shared" si="171"/>
        <v>100</v>
      </c>
      <c r="E570" s="81">
        <f t="shared" si="163"/>
        <v>6791.2436711181272</v>
      </c>
      <c r="F570" s="81">
        <f>SUM(E$2:E570)</f>
        <v>3510487.9109835541</v>
      </c>
      <c r="G570" s="43">
        <f t="shared" si="161"/>
        <v>1</v>
      </c>
      <c r="H570" s="78">
        <v>1</v>
      </c>
      <c r="I570" s="15">
        <f t="shared" si="164"/>
        <v>0.6</v>
      </c>
      <c r="J570" s="16">
        <f>VLOOKUP(G570,Inputs!$L$3:$P$15,5,FALSE)</f>
        <v>2000</v>
      </c>
      <c r="K570" s="16">
        <f t="shared" si="165"/>
        <v>1825</v>
      </c>
      <c r="L570" s="79">
        <f>Inputs!$P$8-B570</f>
        <v>114.61630000000002</v>
      </c>
      <c r="M570" s="79">
        <f>Inputs!$Q$8+L570*0.433</f>
        <v>1874.6288579</v>
      </c>
      <c r="N570" s="82">
        <f t="shared" si="166"/>
        <v>147699.92000000001</v>
      </c>
      <c r="O570" s="83">
        <f t="shared" si="167"/>
        <v>823.57470000000001</v>
      </c>
      <c r="P570" s="84">
        <f>IF(O570="","",Inputs!$C$5-O570)</f>
        <v>1.6097999999999502</v>
      </c>
      <c r="Q570" s="83">
        <f>IF(N570="","",TS!J570)</f>
        <v>2000</v>
      </c>
      <c r="R570" s="83">
        <f>IF(N570="","",TS!K570)</f>
        <v>1825</v>
      </c>
      <c r="S570" s="83">
        <f>Inputs!$H$5+TS!P570*0.4333</f>
        <v>1875.6632427899999</v>
      </c>
      <c r="T570" s="83">
        <f>Inputs!$G$5+TS!P570*0.4333</f>
        <v>1890.6632427899999</v>
      </c>
      <c r="U570" s="85">
        <f t="shared" si="168"/>
        <v>0.94533162139499993</v>
      </c>
      <c r="V570" s="86">
        <f t="shared" si="172"/>
        <v>0</v>
      </c>
      <c r="W570" s="86">
        <f t="shared" si="173"/>
        <v>0</v>
      </c>
      <c r="X570" s="86" t="e">
        <f>((PI()*((42-2*'Gen Calcs'!$E$13)^2)/4)/144)*(A613-#REF!)*(W570+14.7)/14.7</f>
        <v>#REF!</v>
      </c>
      <c r="Y570" s="86" t="e">
        <f t="shared" si="174"/>
        <v>#REF!</v>
      </c>
      <c r="Z570" s="86" t="e">
        <f t="shared" si="175"/>
        <v>#REF!</v>
      </c>
      <c r="AA570" s="83">
        <f>MAX(B$2:B570)-B570</f>
        <v>9.0486999999999398</v>
      </c>
      <c r="AB570" s="83">
        <f t="shared" si="176"/>
        <v>3.918087099999974</v>
      </c>
      <c r="AC570" s="83">
        <f t="shared" si="162"/>
        <v>120</v>
      </c>
      <c r="AD570" s="72">
        <v>120</v>
      </c>
      <c r="AE570" s="73">
        <f t="shared" si="169"/>
        <v>907.92027688745009</v>
      </c>
      <c r="AF570" s="73">
        <f>SUM(AE$2:AE570)</f>
        <v>469690.49682130746</v>
      </c>
      <c r="AG570" s="73">
        <f t="shared" si="170"/>
        <v>704039.40560580173</v>
      </c>
    </row>
    <row r="571" spans="1:33" x14ac:dyDescent="0.25">
      <c r="A571" s="99">
        <v>147799.92000000001</v>
      </c>
      <c r="B571" s="96">
        <v>819.89769999999999</v>
      </c>
      <c r="C571" s="96">
        <v>0.6</v>
      </c>
      <c r="D571" s="80">
        <f t="shared" si="171"/>
        <v>100</v>
      </c>
      <c r="E571" s="81">
        <f t="shared" si="163"/>
        <v>6791.2436711181272</v>
      </c>
      <c r="F571" s="81">
        <f>SUM(E$2:E571)</f>
        <v>3517279.1546546724</v>
      </c>
      <c r="G571" s="43">
        <f t="shared" si="161"/>
        <v>1</v>
      </c>
      <c r="H571" s="78">
        <v>1</v>
      </c>
      <c r="I571" s="15">
        <f t="shared" si="164"/>
        <v>0.6</v>
      </c>
      <c r="J571" s="16">
        <f>VLOOKUP(G571,Inputs!$L$3:$P$15,5,FALSE)</f>
        <v>2000</v>
      </c>
      <c r="K571" s="16">
        <f t="shared" si="165"/>
        <v>1825</v>
      </c>
      <c r="L571" s="79">
        <f>Inputs!$P$8-B571</f>
        <v>118.29330000000004</v>
      </c>
      <c r="M571" s="79">
        <f>Inputs!$Q$8+L571*0.433</f>
        <v>1876.2209989</v>
      </c>
      <c r="N571" s="82">
        <f t="shared" si="166"/>
        <v>147799.92000000001</v>
      </c>
      <c r="O571" s="83">
        <f t="shared" si="167"/>
        <v>819.89769999999999</v>
      </c>
      <c r="P571" s="84">
        <f>IF(O571="","",Inputs!$C$5-O571)</f>
        <v>5.2867999999999711</v>
      </c>
      <c r="Q571" s="83">
        <f>IF(N571="","",TS!J571)</f>
        <v>2000</v>
      </c>
      <c r="R571" s="83">
        <f>IF(N571="","",TS!K571)</f>
        <v>1825</v>
      </c>
      <c r="S571" s="83">
        <f>Inputs!$H$5+TS!P571*0.4333</f>
        <v>1877.2564868899999</v>
      </c>
      <c r="T571" s="83">
        <f>Inputs!$G$5+TS!P571*0.4333</f>
        <v>1892.2564868899999</v>
      </c>
      <c r="U571" s="85">
        <f t="shared" si="168"/>
        <v>0.94612824344499991</v>
      </c>
      <c r="V571" s="86">
        <f t="shared" si="172"/>
        <v>0</v>
      </c>
      <c r="W571" s="86">
        <f t="shared" si="173"/>
        <v>0</v>
      </c>
      <c r="X571" s="86" t="e">
        <f>((PI()*((42-2*'Gen Calcs'!$E$13)^2)/4)/144)*(A614-#REF!)*(W571+14.7)/14.7</f>
        <v>#REF!</v>
      </c>
      <c r="Y571" s="86" t="e">
        <f t="shared" si="174"/>
        <v>#REF!</v>
      </c>
      <c r="Z571" s="86" t="e">
        <f t="shared" si="175"/>
        <v>#REF!</v>
      </c>
      <c r="AA571" s="83">
        <f>MAX(B$2:B571)-B571</f>
        <v>12.725699999999961</v>
      </c>
      <c r="AB571" s="83">
        <f t="shared" si="176"/>
        <v>5.5102280999999831</v>
      </c>
      <c r="AC571" s="83">
        <f t="shared" si="162"/>
        <v>120</v>
      </c>
      <c r="AD571" s="72">
        <v>120</v>
      </c>
      <c r="AE571" s="73">
        <f t="shared" si="169"/>
        <v>907.92027688745009</v>
      </c>
      <c r="AF571" s="73">
        <f>SUM(AE$2:AE571)</f>
        <v>470598.41709819488</v>
      </c>
      <c r="AG571" s="73">
        <f t="shared" si="170"/>
        <v>703131.48532891436</v>
      </c>
    </row>
    <row r="572" spans="1:33" x14ac:dyDescent="0.25">
      <c r="A572" s="100">
        <v>147899.92000000001</v>
      </c>
      <c r="B572" s="97">
        <v>816.67409999999995</v>
      </c>
      <c r="C572" s="97">
        <v>0.6</v>
      </c>
      <c r="D572" s="80">
        <f t="shared" si="171"/>
        <v>100</v>
      </c>
      <c r="E572" s="81">
        <f t="shared" si="163"/>
        <v>6791.2436711181272</v>
      </c>
      <c r="F572" s="81">
        <f>SUM(E$2:E572)</f>
        <v>3524070.3983257907</v>
      </c>
      <c r="G572" s="43">
        <f t="shared" si="161"/>
        <v>1</v>
      </c>
      <c r="H572" s="78">
        <v>1</v>
      </c>
      <c r="I572" s="15">
        <f t="shared" si="164"/>
        <v>0.6</v>
      </c>
      <c r="J572" s="16">
        <f>VLOOKUP(G572,Inputs!$L$3:$P$15,5,FALSE)</f>
        <v>2000</v>
      </c>
      <c r="K572" s="16">
        <f t="shared" si="165"/>
        <v>1825</v>
      </c>
      <c r="L572" s="79">
        <f>Inputs!$P$8-B572</f>
        <v>121.51690000000008</v>
      </c>
      <c r="M572" s="79">
        <f>Inputs!$Q$8+L572*0.433</f>
        <v>1877.6168177</v>
      </c>
      <c r="N572" s="82">
        <f t="shared" si="166"/>
        <v>147899.92000000001</v>
      </c>
      <c r="O572" s="83">
        <f t="shared" si="167"/>
        <v>816.67409999999995</v>
      </c>
      <c r="P572" s="84">
        <f>IF(O572="","",Inputs!$C$5-O572)</f>
        <v>8.5104000000000042</v>
      </c>
      <c r="Q572" s="83">
        <f>IF(N572="","",TS!J572)</f>
        <v>2000</v>
      </c>
      <c r="R572" s="83">
        <f>IF(N572="","",TS!K572)</f>
        <v>1825</v>
      </c>
      <c r="S572" s="83">
        <f>Inputs!$H$5+TS!P572*0.4333</f>
        <v>1878.6532727700001</v>
      </c>
      <c r="T572" s="83">
        <f>Inputs!$G$5+TS!P572*0.4333</f>
        <v>1893.6532727700001</v>
      </c>
      <c r="U572" s="85">
        <f t="shared" si="168"/>
        <v>0.94682663638499998</v>
      </c>
      <c r="V572" s="86">
        <f t="shared" si="172"/>
        <v>0</v>
      </c>
      <c r="W572" s="86">
        <f t="shared" si="173"/>
        <v>0</v>
      </c>
      <c r="X572" s="86" t="e">
        <f>((PI()*((42-2*'Gen Calcs'!$E$13)^2)/4)/144)*(A615-#REF!)*(W572+14.7)/14.7</f>
        <v>#REF!</v>
      </c>
      <c r="Y572" s="86" t="e">
        <f t="shared" si="174"/>
        <v>#REF!</v>
      </c>
      <c r="Z572" s="86" t="e">
        <f t="shared" si="175"/>
        <v>#REF!</v>
      </c>
      <c r="AA572" s="83">
        <f>MAX(B$2:B572)-B572</f>
        <v>15.949299999999994</v>
      </c>
      <c r="AB572" s="83">
        <f t="shared" si="176"/>
        <v>6.9060468999999971</v>
      </c>
      <c r="AC572" s="83">
        <f t="shared" si="162"/>
        <v>120</v>
      </c>
      <c r="AD572" s="72">
        <v>120</v>
      </c>
      <c r="AE572" s="73">
        <f t="shared" si="169"/>
        <v>907.92027688745009</v>
      </c>
      <c r="AF572" s="73">
        <f>SUM(AE$2:AE572)</f>
        <v>471506.33737508231</v>
      </c>
      <c r="AG572" s="73">
        <f t="shared" si="170"/>
        <v>702223.56505202688</v>
      </c>
    </row>
    <row r="573" spans="1:33" x14ac:dyDescent="0.25">
      <c r="A573" s="99">
        <v>147999.92000000001</v>
      </c>
      <c r="B573" s="96">
        <v>813.77620000000002</v>
      </c>
      <c r="C573" s="96">
        <v>0.6</v>
      </c>
      <c r="D573" s="80">
        <f t="shared" si="171"/>
        <v>100</v>
      </c>
      <c r="E573" s="81">
        <f t="shared" si="163"/>
        <v>6791.2436711181272</v>
      </c>
      <c r="F573" s="81">
        <f>SUM(E$2:E573)</f>
        <v>3530861.6419969089</v>
      </c>
      <c r="G573" s="43">
        <f t="shared" si="161"/>
        <v>1</v>
      </c>
      <c r="H573" s="78">
        <v>1</v>
      </c>
      <c r="I573" s="15">
        <f t="shared" si="164"/>
        <v>0.6</v>
      </c>
      <c r="J573" s="16">
        <f>VLOOKUP(G573,Inputs!$L$3:$P$15,5,FALSE)</f>
        <v>2000</v>
      </c>
      <c r="K573" s="16">
        <f t="shared" si="165"/>
        <v>1825</v>
      </c>
      <c r="L573" s="79">
        <f>Inputs!$P$8-B573</f>
        <v>124.41480000000001</v>
      </c>
      <c r="M573" s="79">
        <f>Inputs!$Q$8+L573*0.433</f>
        <v>1878.8716084</v>
      </c>
      <c r="N573" s="82">
        <f t="shared" si="166"/>
        <v>147999.92000000001</v>
      </c>
      <c r="O573" s="83">
        <f t="shared" si="167"/>
        <v>813.77620000000002</v>
      </c>
      <c r="P573" s="84">
        <f>IF(O573="","",Inputs!$C$5-O573)</f>
        <v>11.40829999999994</v>
      </c>
      <c r="Q573" s="83">
        <f>IF(N573="","",TS!J573)</f>
        <v>2000</v>
      </c>
      <c r="R573" s="83">
        <f>IF(N573="","",TS!K573)</f>
        <v>1825</v>
      </c>
      <c r="S573" s="83">
        <f>Inputs!$H$5+TS!P573*0.4333</f>
        <v>1879.9089328399998</v>
      </c>
      <c r="T573" s="83">
        <f>Inputs!$G$5+TS!P573*0.4333</f>
        <v>1894.9089328399998</v>
      </c>
      <c r="U573" s="85">
        <f t="shared" si="168"/>
        <v>0.94745446641999986</v>
      </c>
      <c r="V573" s="86">
        <f t="shared" si="172"/>
        <v>0</v>
      </c>
      <c r="W573" s="86">
        <f t="shared" si="173"/>
        <v>0</v>
      </c>
      <c r="X573" s="86" t="e">
        <f>((PI()*((42-2*'Gen Calcs'!$E$13)^2)/4)/144)*(A616-#REF!)*(W573+14.7)/14.7</f>
        <v>#REF!</v>
      </c>
      <c r="Y573" s="86" t="e">
        <f t="shared" si="174"/>
        <v>#REF!</v>
      </c>
      <c r="Z573" s="86" t="e">
        <f t="shared" si="175"/>
        <v>#REF!</v>
      </c>
      <c r="AA573" s="83">
        <f>MAX(B$2:B573)-B573</f>
        <v>18.84719999999993</v>
      </c>
      <c r="AB573" s="83">
        <f t="shared" si="176"/>
        <v>8.1608375999999687</v>
      </c>
      <c r="AC573" s="83">
        <f t="shared" si="162"/>
        <v>120</v>
      </c>
      <c r="AD573" s="72">
        <v>120</v>
      </c>
      <c r="AE573" s="73">
        <f t="shared" si="169"/>
        <v>907.92027688745009</v>
      </c>
      <c r="AF573" s="73">
        <f>SUM(AE$2:AE573)</f>
        <v>472414.25765196973</v>
      </c>
      <c r="AG573" s="73">
        <f t="shared" si="170"/>
        <v>701315.6447751394</v>
      </c>
    </row>
    <row r="574" spans="1:33" x14ac:dyDescent="0.25">
      <c r="A574" s="100">
        <v>148099.92000000001</v>
      </c>
      <c r="B574" s="97">
        <v>810.94200000000001</v>
      </c>
      <c r="C574" s="97">
        <v>0.6</v>
      </c>
      <c r="D574" s="80">
        <f t="shared" si="171"/>
        <v>100</v>
      </c>
      <c r="E574" s="81">
        <f t="shared" si="163"/>
        <v>6791.2436711181272</v>
      </c>
      <c r="F574" s="81">
        <f>SUM(E$2:E574)</f>
        <v>3537652.8856680272</v>
      </c>
      <c r="G574" s="43">
        <f t="shared" si="161"/>
        <v>1</v>
      </c>
      <c r="H574" s="78">
        <v>1</v>
      </c>
      <c r="I574" s="15">
        <f t="shared" si="164"/>
        <v>0.6</v>
      </c>
      <c r="J574" s="16">
        <f>VLOOKUP(G574,Inputs!$L$3:$P$15,5,FALSE)</f>
        <v>2000</v>
      </c>
      <c r="K574" s="16">
        <f t="shared" si="165"/>
        <v>1825</v>
      </c>
      <c r="L574" s="79">
        <f>Inputs!$P$8-B574</f>
        <v>127.24900000000002</v>
      </c>
      <c r="M574" s="79">
        <f>Inputs!$Q$8+L574*0.433</f>
        <v>1880.0988170000001</v>
      </c>
      <c r="N574" s="82">
        <f t="shared" si="166"/>
        <v>148099.92000000001</v>
      </c>
      <c r="O574" s="83">
        <f t="shared" si="167"/>
        <v>810.94200000000001</v>
      </c>
      <c r="P574" s="84">
        <f>IF(O574="","",Inputs!$C$5-O574)</f>
        <v>14.24249999999995</v>
      </c>
      <c r="Q574" s="83">
        <f>IF(N574="","",TS!J574)</f>
        <v>2000</v>
      </c>
      <c r="R574" s="83">
        <f>IF(N574="","",TS!K574)</f>
        <v>1825</v>
      </c>
      <c r="S574" s="83">
        <f>Inputs!$H$5+TS!P574*0.4333</f>
        <v>1881.1369917</v>
      </c>
      <c r="T574" s="83">
        <f>Inputs!$G$5+TS!P574*0.4333</f>
        <v>1896.1369917</v>
      </c>
      <c r="U574" s="85">
        <f t="shared" si="168"/>
        <v>0.94806849584999997</v>
      </c>
      <c r="V574" s="86">
        <f t="shared" si="172"/>
        <v>0</v>
      </c>
      <c r="W574" s="86">
        <f t="shared" si="173"/>
        <v>0</v>
      </c>
      <c r="X574" s="86" t="e">
        <f>((PI()*((42-2*'Gen Calcs'!$E$13)^2)/4)/144)*(A617-#REF!)*(W574+14.7)/14.7</f>
        <v>#REF!</v>
      </c>
      <c r="Y574" s="86" t="e">
        <f t="shared" si="174"/>
        <v>#REF!</v>
      </c>
      <c r="Z574" s="86" t="e">
        <f t="shared" si="175"/>
        <v>#REF!</v>
      </c>
      <c r="AA574" s="83">
        <f>MAX(B$2:B574)-B574</f>
        <v>21.68139999999994</v>
      </c>
      <c r="AB574" s="83">
        <f t="shared" si="176"/>
        <v>9.3880461999999731</v>
      </c>
      <c r="AC574" s="83">
        <f t="shared" si="162"/>
        <v>120</v>
      </c>
      <c r="AD574" s="72">
        <v>120</v>
      </c>
      <c r="AE574" s="73">
        <f t="shared" si="169"/>
        <v>907.92027688745009</v>
      </c>
      <c r="AF574" s="73">
        <f>SUM(AE$2:AE574)</f>
        <v>473322.17792885716</v>
      </c>
      <c r="AG574" s="73">
        <f t="shared" si="170"/>
        <v>700407.72449825204</v>
      </c>
    </row>
    <row r="575" spans="1:33" x14ac:dyDescent="0.25">
      <c r="A575" s="99">
        <v>148199.92000000001</v>
      </c>
      <c r="B575" s="96">
        <v>808.03679999999997</v>
      </c>
      <c r="C575" s="96">
        <v>0.6</v>
      </c>
      <c r="D575" s="80">
        <f t="shared" si="171"/>
        <v>100</v>
      </c>
      <c r="E575" s="81">
        <f t="shared" si="163"/>
        <v>6791.2436711181272</v>
      </c>
      <c r="F575" s="81">
        <f>SUM(E$2:E575)</f>
        <v>3544444.1293391455</v>
      </c>
      <c r="G575" s="43">
        <f t="shared" si="161"/>
        <v>1</v>
      </c>
      <c r="H575" s="78">
        <v>1</v>
      </c>
      <c r="I575" s="15">
        <f t="shared" si="164"/>
        <v>0.6</v>
      </c>
      <c r="J575" s="16">
        <f>VLOOKUP(G575,Inputs!$L$3:$P$15,5,FALSE)</f>
        <v>2000</v>
      </c>
      <c r="K575" s="16">
        <f t="shared" si="165"/>
        <v>1825</v>
      </c>
      <c r="L575" s="79">
        <f>Inputs!$P$8-B575</f>
        <v>130.15420000000006</v>
      </c>
      <c r="M575" s="79">
        <f>Inputs!$Q$8+L575*0.433</f>
        <v>1881.3567686000001</v>
      </c>
      <c r="N575" s="82">
        <f t="shared" si="166"/>
        <v>148199.92000000001</v>
      </c>
      <c r="O575" s="83">
        <f t="shared" si="167"/>
        <v>808.03679999999997</v>
      </c>
      <c r="P575" s="84">
        <f>IF(O575="","",Inputs!$C$5-O575)</f>
        <v>17.147699999999986</v>
      </c>
      <c r="Q575" s="83">
        <f>IF(N575="","",TS!J575)</f>
        <v>2000</v>
      </c>
      <c r="R575" s="83">
        <f>IF(N575="","",TS!K575)</f>
        <v>1825</v>
      </c>
      <c r="S575" s="83">
        <f>Inputs!$H$5+TS!P575*0.4333</f>
        <v>1882.39581486</v>
      </c>
      <c r="T575" s="83">
        <f>Inputs!$G$5+TS!P575*0.4333</f>
        <v>1897.39581486</v>
      </c>
      <c r="U575" s="85">
        <f t="shared" si="168"/>
        <v>0.94869790742999993</v>
      </c>
      <c r="V575" s="86">
        <f t="shared" si="172"/>
        <v>0</v>
      </c>
      <c r="W575" s="86">
        <f t="shared" si="173"/>
        <v>0</v>
      </c>
      <c r="X575" s="86" t="e">
        <f>((PI()*((42-2*'Gen Calcs'!$E$13)^2)/4)/144)*(A618-#REF!)*(W575+14.7)/14.7</f>
        <v>#REF!</v>
      </c>
      <c r="Y575" s="86" t="e">
        <f t="shared" si="174"/>
        <v>#REF!</v>
      </c>
      <c r="Z575" s="86" t="e">
        <f t="shared" si="175"/>
        <v>#REF!</v>
      </c>
      <c r="AA575" s="83">
        <f>MAX(B$2:B575)-B575</f>
        <v>24.586599999999976</v>
      </c>
      <c r="AB575" s="83">
        <f t="shared" si="176"/>
        <v>10.645997799999989</v>
      </c>
      <c r="AC575" s="83">
        <f t="shared" si="162"/>
        <v>120</v>
      </c>
      <c r="AD575" s="72">
        <v>120</v>
      </c>
      <c r="AE575" s="73">
        <f t="shared" si="169"/>
        <v>907.92027688745009</v>
      </c>
      <c r="AF575" s="73">
        <f>SUM(AE$2:AE575)</f>
        <v>474230.09820574458</v>
      </c>
      <c r="AG575" s="73">
        <f t="shared" si="170"/>
        <v>699499.80422136467</v>
      </c>
    </row>
    <row r="576" spans="1:33" x14ac:dyDescent="0.25">
      <c r="A576" s="100">
        <v>148299.92000000001</v>
      </c>
      <c r="B576" s="97">
        <v>805.1123</v>
      </c>
      <c r="C576" s="97">
        <v>0.6</v>
      </c>
      <c r="D576" s="80">
        <f t="shared" si="171"/>
        <v>100</v>
      </c>
      <c r="E576" s="81">
        <f t="shared" si="163"/>
        <v>6791.2436711181272</v>
      </c>
      <c r="F576" s="81">
        <f>SUM(E$2:E576)</f>
        <v>3551235.3730102638</v>
      </c>
      <c r="G576" s="43">
        <f t="shared" si="161"/>
        <v>1</v>
      </c>
      <c r="H576" s="78">
        <v>1</v>
      </c>
      <c r="I576" s="15">
        <f t="shared" si="164"/>
        <v>0.6</v>
      </c>
      <c r="J576" s="16">
        <f>VLOOKUP(G576,Inputs!$L$3:$P$15,5,FALSE)</f>
        <v>2000</v>
      </c>
      <c r="K576" s="16">
        <f t="shared" si="165"/>
        <v>1825</v>
      </c>
      <c r="L576" s="79">
        <f>Inputs!$P$8-B576</f>
        <v>133.07870000000003</v>
      </c>
      <c r="M576" s="79">
        <f>Inputs!$Q$8+L576*0.433</f>
        <v>1882.6230771</v>
      </c>
      <c r="N576" s="82">
        <f t="shared" si="166"/>
        <v>148299.92000000001</v>
      </c>
      <c r="O576" s="83">
        <f t="shared" si="167"/>
        <v>805.1123</v>
      </c>
      <c r="P576" s="84">
        <f>IF(O576="","",Inputs!$C$5-O576)</f>
        <v>20.072199999999953</v>
      </c>
      <c r="Q576" s="83">
        <f>IF(N576="","",TS!J576)</f>
        <v>2000</v>
      </c>
      <c r="R576" s="83">
        <f>IF(N576="","",TS!K576)</f>
        <v>1825</v>
      </c>
      <c r="S576" s="83">
        <f>Inputs!$H$5+TS!P576*0.4333</f>
        <v>1883.66300071</v>
      </c>
      <c r="T576" s="83">
        <f>Inputs!$G$5+TS!P576*0.4333</f>
        <v>1898.66300071</v>
      </c>
      <c r="U576" s="85">
        <f t="shared" si="168"/>
        <v>0.94933150035500002</v>
      </c>
      <c r="V576" s="86">
        <f t="shared" si="172"/>
        <v>0</v>
      </c>
      <c r="W576" s="86">
        <f t="shared" si="173"/>
        <v>0</v>
      </c>
      <c r="X576" s="86" t="e">
        <f>((PI()*((42-2*'Gen Calcs'!$E$13)^2)/4)/144)*(A619-#REF!)*(W576+14.7)/14.7</f>
        <v>#REF!</v>
      </c>
      <c r="Y576" s="86" t="e">
        <f t="shared" si="174"/>
        <v>#REF!</v>
      </c>
      <c r="Z576" s="86" t="e">
        <f t="shared" si="175"/>
        <v>#REF!</v>
      </c>
      <c r="AA576" s="83">
        <f>MAX(B$2:B576)-B576</f>
        <v>27.511099999999942</v>
      </c>
      <c r="AB576" s="83">
        <f t="shared" si="176"/>
        <v>11.912306299999974</v>
      </c>
      <c r="AC576" s="83">
        <f t="shared" si="162"/>
        <v>120</v>
      </c>
      <c r="AD576" s="72">
        <v>120</v>
      </c>
      <c r="AE576" s="73">
        <f t="shared" si="169"/>
        <v>907.92027688745009</v>
      </c>
      <c r="AF576" s="73">
        <f>SUM(AE$2:AE576)</f>
        <v>475138.018482632</v>
      </c>
      <c r="AG576" s="73">
        <f t="shared" si="170"/>
        <v>698591.88394447719</v>
      </c>
    </row>
    <row r="577" spans="1:33" x14ac:dyDescent="0.25">
      <c r="A577" s="99">
        <v>148399.92000000001</v>
      </c>
      <c r="B577" s="96">
        <v>800.68420000000003</v>
      </c>
      <c r="C577" s="96">
        <v>0.6</v>
      </c>
      <c r="D577" s="80">
        <f t="shared" si="171"/>
        <v>100</v>
      </c>
      <c r="E577" s="81">
        <f t="shared" si="163"/>
        <v>6791.2436711181272</v>
      </c>
      <c r="F577" s="81">
        <f>SUM(E$2:E577)</f>
        <v>3558026.6166813821</v>
      </c>
      <c r="G577" s="43">
        <f t="shared" si="161"/>
        <v>1</v>
      </c>
      <c r="H577" s="78">
        <v>1</v>
      </c>
      <c r="I577" s="15">
        <f t="shared" si="164"/>
        <v>0.6</v>
      </c>
      <c r="J577" s="16">
        <f>VLOOKUP(G577,Inputs!$L$3:$P$15,5,FALSE)</f>
        <v>2000</v>
      </c>
      <c r="K577" s="16">
        <f t="shared" si="165"/>
        <v>1825</v>
      </c>
      <c r="L577" s="79">
        <f>Inputs!$P$8-B577</f>
        <v>137.5068</v>
      </c>
      <c r="M577" s="79">
        <f>Inputs!$Q$8+L577*0.433</f>
        <v>1884.5404444000001</v>
      </c>
      <c r="N577" s="82">
        <f t="shared" si="166"/>
        <v>148399.92000000001</v>
      </c>
      <c r="O577" s="83">
        <f t="shared" si="167"/>
        <v>800.68420000000003</v>
      </c>
      <c r="P577" s="84">
        <f>IF(O577="","",Inputs!$C$5-O577)</f>
        <v>24.500299999999925</v>
      </c>
      <c r="Q577" s="83">
        <f>IF(N577="","",TS!J577)</f>
        <v>2000</v>
      </c>
      <c r="R577" s="83">
        <f>IF(N577="","",TS!K577)</f>
        <v>1825</v>
      </c>
      <c r="S577" s="83">
        <f>Inputs!$H$5+TS!P577*0.4333</f>
        <v>1885.5816964399999</v>
      </c>
      <c r="T577" s="83">
        <f>Inputs!$G$5+TS!P577*0.4333</f>
        <v>1900.5816964399999</v>
      </c>
      <c r="U577" s="85">
        <f t="shared" si="168"/>
        <v>0.95029084821999998</v>
      </c>
      <c r="V577" s="86">
        <f t="shared" si="172"/>
        <v>0</v>
      </c>
      <c r="W577" s="86">
        <f t="shared" si="173"/>
        <v>0</v>
      </c>
      <c r="X577" s="86" t="e">
        <f>((PI()*((42-2*'Gen Calcs'!$E$13)^2)/4)/144)*(A620-#REF!)*(W577+14.7)/14.7</f>
        <v>#REF!</v>
      </c>
      <c r="Y577" s="86" t="e">
        <f t="shared" si="174"/>
        <v>#REF!</v>
      </c>
      <c r="Z577" s="86" t="e">
        <f t="shared" si="175"/>
        <v>#REF!</v>
      </c>
      <c r="AA577" s="83">
        <f>MAX(B$2:B577)-B577</f>
        <v>31.939199999999914</v>
      </c>
      <c r="AB577" s="83">
        <f t="shared" si="176"/>
        <v>13.829673599999962</v>
      </c>
      <c r="AC577" s="83">
        <f t="shared" si="162"/>
        <v>120</v>
      </c>
      <c r="AD577" s="72">
        <v>120</v>
      </c>
      <c r="AE577" s="73">
        <f t="shared" si="169"/>
        <v>907.92027688745009</v>
      </c>
      <c r="AF577" s="73">
        <f>SUM(AE$2:AE577)</f>
        <v>476045.93875951943</v>
      </c>
      <c r="AG577" s="73">
        <f t="shared" si="170"/>
        <v>697683.96366758971</v>
      </c>
    </row>
    <row r="578" spans="1:33" x14ac:dyDescent="0.25">
      <c r="A578" s="100">
        <v>148499.92000000001</v>
      </c>
      <c r="B578" s="97">
        <v>803.7491</v>
      </c>
      <c r="C578" s="97">
        <v>0.6</v>
      </c>
      <c r="D578" s="80">
        <f t="shared" si="171"/>
        <v>100</v>
      </c>
      <c r="E578" s="81">
        <f t="shared" si="163"/>
        <v>6791.2436711181272</v>
      </c>
      <c r="F578" s="81">
        <f>SUM(E$2:E578)</f>
        <v>3564817.8603525003</v>
      </c>
      <c r="G578" s="43">
        <f t="shared" si="161"/>
        <v>1</v>
      </c>
      <c r="H578" s="78">
        <v>1</v>
      </c>
      <c r="I578" s="15">
        <f t="shared" si="164"/>
        <v>0.6</v>
      </c>
      <c r="J578" s="16">
        <f>VLOOKUP(G578,Inputs!$L$3:$P$15,5,FALSE)</f>
        <v>2000</v>
      </c>
      <c r="K578" s="16">
        <f t="shared" si="165"/>
        <v>1825</v>
      </c>
      <c r="L578" s="79">
        <f>Inputs!$P$8-B578</f>
        <v>134.44190000000003</v>
      </c>
      <c r="M578" s="79">
        <f>Inputs!$Q$8+L578*0.433</f>
        <v>1883.2133427000001</v>
      </c>
      <c r="N578" s="82">
        <f t="shared" si="166"/>
        <v>148499.92000000001</v>
      </c>
      <c r="O578" s="83">
        <f t="shared" si="167"/>
        <v>803.7491</v>
      </c>
      <c r="P578" s="84">
        <f>IF(O578="","",Inputs!$C$5-O578)</f>
        <v>21.435399999999959</v>
      </c>
      <c r="Q578" s="83">
        <f>IF(N578="","",TS!J578)</f>
        <v>2000</v>
      </c>
      <c r="R578" s="83">
        <f>IF(N578="","",TS!K578)</f>
        <v>1825</v>
      </c>
      <c r="S578" s="83">
        <f>Inputs!$H$5+TS!P578*0.4333</f>
        <v>1884.25367527</v>
      </c>
      <c r="T578" s="83">
        <f>Inputs!$G$5+TS!P578*0.4333</f>
        <v>1899.25367527</v>
      </c>
      <c r="U578" s="85">
        <f t="shared" si="168"/>
        <v>0.949626837635</v>
      </c>
      <c r="V578" s="86">
        <f t="shared" si="172"/>
        <v>0</v>
      </c>
      <c r="W578" s="86">
        <f t="shared" si="173"/>
        <v>0</v>
      </c>
      <c r="X578" s="86" t="e">
        <f>((PI()*((42-2*'Gen Calcs'!$E$13)^2)/4)/144)*(A621-#REF!)*(W578+14.7)/14.7</f>
        <v>#REF!</v>
      </c>
      <c r="Y578" s="86" t="e">
        <f t="shared" si="174"/>
        <v>#REF!</v>
      </c>
      <c r="Z578" s="86" t="e">
        <f t="shared" si="175"/>
        <v>#REF!</v>
      </c>
      <c r="AA578" s="83">
        <f>MAX(B$2:B578)-B578</f>
        <v>28.874299999999948</v>
      </c>
      <c r="AB578" s="83">
        <f t="shared" si="176"/>
        <v>12.502571899999978</v>
      </c>
      <c r="AC578" s="83">
        <f t="shared" si="162"/>
        <v>120</v>
      </c>
      <c r="AD578" s="72">
        <v>120</v>
      </c>
      <c r="AE578" s="73">
        <f t="shared" si="169"/>
        <v>907.92027688745009</v>
      </c>
      <c r="AF578" s="73">
        <f>SUM(AE$2:AE578)</f>
        <v>476953.85903640685</v>
      </c>
      <c r="AG578" s="73">
        <f t="shared" si="170"/>
        <v>696776.04339070234</v>
      </c>
    </row>
    <row r="579" spans="1:33" x14ac:dyDescent="0.25">
      <c r="A579" s="99">
        <v>148599.92000000001</v>
      </c>
      <c r="B579" s="96">
        <v>804.34109999999998</v>
      </c>
      <c r="C579" s="96">
        <v>0.6</v>
      </c>
      <c r="D579" s="80">
        <f t="shared" si="171"/>
        <v>100</v>
      </c>
      <c r="E579" s="81">
        <f t="shared" si="163"/>
        <v>6791.2436711181272</v>
      </c>
      <c r="F579" s="81">
        <f>SUM(E$2:E579)</f>
        <v>3571609.1040236186</v>
      </c>
      <c r="G579" s="43">
        <f t="shared" ref="G579:G642" si="177">IF(C579=0.72,12,IF(C579=1,11,IF(C579=0.825,10,IF(C579=0.6,1,IF(C579=0.864,2,IF(C579=0.888,3))))))</f>
        <v>1</v>
      </c>
      <c r="H579" s="78">
        <v>1</v>
      </c>
      <c r="I579" s="15">
        <f t="shared" si="164"/>
        <v>0.6</v>
      </c>
      <c r="J579" s="16">
        <f>VLOOKUP(G579,Inputs!$L$3:$P$15,5,FALSE)</f>
        <v>2000</v>
      </c>
      <c r="K579" s="16">
        <f t="shared" si="165"/>
        <v>1825</v>
      </c>
      <c r="L579" s="79">
        <f>Inputs!$P$8-B579</f>
        <v>133.84990000000005</v>
      </c>
      <c r="M579" s="79">
        <f>Inputs!$Q$8+L579*0.433</f>
        <v>1882.9570067</v>
      </c>
      <c r="N579" s="82">
        <f t="shared" si="166"/>
        <v>148599.92000000001</v>
      </c>
      <c r="O579" s="83">
        <f t="shared" si="167"/>
        <v>804.34109999999998</v>
      </c>
      <c r="P579" s="84">
        <f>IF(O579="","",Inputs!$C$5-O579)</f>
        <v>20.843399999999974</v>
      </c>
      <c r="Q579" s="83">
        <f>IF(N579="","",TS!J579)</f>
        <v>2000</v>
      </c>
      <c r="R579" s="83">
        <f>IF(N579="","",TS!K579)</f>
        <v>1825</v>
      </c>
      <c r="S579" s="83">
        <f>Inputs!$H$5+TS!P579*0.4333</f>
        <v>1883.99716167</v>
      </c>
      <c r="T579" s="83">
        <f>Inputs!$G$5+TS!P579*0.4333</f>
        <v>1898.99716167</v>
      </c>
      <c r="U579" s="85">
        <f t="shared" si="168"/>
        <v>0.94949858083499994</v>
      </c>
      <c r="V579" s="86">
        <f t="shared" si="172"/>
        <v>0</v>
      </c>
      <c r="W579" s="86">
        <f t="shared" si="173"/>
        <v>0</v>
      </c>
      <c r="X579" s="86" t="e">
        <f>((PI()*((42-2*'Gen Calcs'!$E$13)^2)/4)/144)*(A622-#REF!)*(W579+14.7)/14.7</f>
        <v>#REF!</v>
      </c>
      <c r="Y579" s="86" t="e">
        <f t="shared" si="174"/>
        <v>#REF!</v>
      </c>
      <c r="Z579" s="86" t="e">
        <f t="shared" si="175"/>
        <v>#REF!</v>
      </c>
      <c r="AA579" s="83">
        <f>MAX(B$2:B579)-B579</f>
        <v>28.282299999999964</v>
      </c>
      <c r="AB579" s="83">
        <f t="shared" si="176"/>
        <v>12.246235899999984</v>
      </c>
      <c r="AC579" s="83">
        <f t="shared" ref="AC579:AC642" si="178">((MAX(O$2:O$1348)-O579)-(MAX(O$2:O$1348)-O579))*0.433+AD579</f>
        <v>120</v>
      </c>
      <c r="AD579" s="72">
        <v>120</v>
      </c>
      <c r="AE579" s="73">
        <f t="shared" si="169"/>
        <v>907.92027688745009</v>
      </c>
      <c r="AF579" s="73">
        <f>SUM(AE$2:AE579)</f>
        <v>477861.77931329428</v>
      </c>
      <c r="AG579" s="73">
        <f t="shared" si="170"/>
        <v>695868.12311381497</v>
      </c>
    </row>
    <row r="580" spans="1:33" x14ac:dyDescent="0.25">
      <c r="A580" s="100">
        <v>148699.92000000001</v>
      </c>
      <c r="B580" s="97">
        <v>802.07209999999998</v>
      </c>
      <c r="C580" s="97">
        <v>0.6</v>
      </c>
      <c r="D580" s="80">
        <f t="shared" si="171"/>
        <v>100</v>
      </c>
      <c r="E580" s="81">
        <f t="shared" si="163"/>
        <v>6791.2436711181272</v>
      </c>
      <c r="F580" s="81">
        <f>SUM(E$2:E580)</f>
        <v>3578400.3476947369</v>
      </c>
      <c r="G580" s="43">
        <f t="shared" si="177"/>
        <v>1</v>
      </c>
      <c r="H580" s="78">
        <v>1</v>
      </c>
      <c r="I580" s="15">
        <f t="shared" si="164"/>
        <v>0.6</v>
      </c>
      <c r="J580" s="16">
        <f>VLOOKUP(G580,Inputs!$L$3:$P$15,5,FALSE)</f>
        <v>2000</v>
      </c>
      <c r="K580" s="16">
        <f t="shared" si="165"/>
        <v>1825</v>
      </c>
      <c r="L580" s="79">
        <f>Inputs!$P$8-B580</f>
        <v>136.11890000000005</v>
      </c>
      <c r="M580" s="79">
        <f>Inputs!$Q$8+L580*0.433</f>
        <v>1883.9394837</v>
      </c>
      <c r="N580" s="82">
        <f t="shared" si="166"/>
        <v>148699.92000000001</v>
      </c>
      <c r="O580" s="83">
        <f t="shared" si="167"/>
        <v>802.07209999999998</v>
      </c>
      <c r="P580" s="84">
        <f>IF(O580="","",Inputs!$C$5-O580)</f>
        <v>23.11239999999998</v>
      </c>
      <c r="Q580" s="83">
        <f>IF(N580="","",TS!J580)</f>
        <v>2000</v>
      </c>
      <c r="R580" s="83">
        <f>IF(N580="","",TS!K580)</f>
        <v>1825</v>
      </c>
      <c r="S580" s="83">
        <f>Inputs!$H$5+TS!P580*0.4333</f>
        <v>1884.98031937</v>
      </c>
      <c r="T580" s="83">
        <f>Inputs!$G$5+TS!P580*0.4333</f>
        <v>1899.98031937</v>
      </c>
      <c r="U580" s="85">
        <f t="shared" si="168"/>
        <v>0.949990159685</v>
      </c>
      <c r="V580" s="86">
        <f t="shared" si="172"/>
        <v>0</v>
      </c>
      <c r="W580" s="86">
        <f t="shared" si="173"/>
        <v>0</v>
      </c>
      <c r="X580" s="86" t="e">
        <f>((PI()*((42-2*'Gen Calcs'!$E$13)^2)/4)/144)*(A623-#REF!)*(W580+14.7)/14.7</f>
        <v>#REF!</v>
      </c>
      <c r="Y580" s="86" t="e">
        <f t="shared" si="174"/>
        <v>#REF!</v>
      </c>
      <c r="Z580" s="86" t="e">
        <f t="shared" si="175"/>
        <v>#REF!</v>
      </c>
      <c r="AA580" s="83">
        <f>MAX(B$2:B580)-B580</f>
        <v>30.551299999999969</v>
      </c>
      <c r="AB580" s="83">
        <f t="shared" si="176"/>
        <v>13.228712899999987</v>
      </c>
      <c r="AC580" s="83">
        <f t="shared" si="178"/>
        <v>120</v>
      </c>
      <c r="AD580" s="72">
        <v>120</v>
      </c>
      <c r="AE580" s="73">
        <f t="shared" si="169"/>
        <v>907.92027688745009</v>
      </c>
      <c r="AF580" s="73">
        <f>SUM(AE$2:AE580)</f>
        <v>478769.6995901817</v>
      </c>
      <c r="AG580" s="73">
        <f t="shared" si="170"/>
        <v>694960.20283692749</v>
      </c>
    </row>
    <row r="581" spans="1:33" x14ac:dyDescent="0.25">
      <c r="A581" s="99">
        <v>148799.92000000001</v>
      </c>
      <c r="B581" s="96">
        <v>800.22910000000002</v>
      </c>
      <c r="C581" s="96">
        <v>0.6</v>
      </c>
      <c r="D581" s="80">
        <f t="shared" si="171"/>
        <v>100</v>
      </c>
      <c r="E581" s="81">
        <f t="shared" ref="E581:E644" si="179">(PI()/4*(42/12-(2*C623/12))^2)*(D581)*7.48</f>
        <v>6791.2436711181272</v>
      </c>
      <c r="F581" s="81">
        <f>SUM(E$2:E581)</f>
        <v>3585191.5913658552</v>
      </c>
      <c r="G581" s="43">
        <f t="shared" si="177"/>
        <v>1</v>
      </c>
      <c r="H581" s="78">
        <v>1</v>
      </c>
      <c r="I581" s="15">
        <f t="shared" ref="I581:I644" si="180">C581</f>
        <v>0.6</v>
      </c>
      <c r="J581" s="16">
        <f>VLOOKUP(G581,Inputs!$L$3:$P$15,5,FALSE)</f>
        <v>2000</v>
      </c>
      <c r="K581" s="16">
        <f t="shared" ref="K581:K644" si="181">IF(H581=1,1825,IF(H581=2,1825,2220))</f>
        <v>1825</v>
      </c>
      <c r="L581" s="79">
        <f>Inputs!$P$8-B581</f>
        <v>137.96190000000001</v>
      </c>
      <c r="M581" s="79">
        <f>Inputs!$Q$8+L581*0.433</f>
        <v>1884.7375027000001</v>
      </c>
      <c r="N581" s="82">
        <f t="shared" ref="N581:N644" si="182">A581</f>
        <v>148799.92000000001</v>
      </c>
      <c r="O581" s="83">
        <f t="shared" ref="O581:O644" si="183">B581</f>
        <v>800.22910000000002</v>
      </c>
      <c r="P581" s="84">
        <f>IF(O581="","",Inputs!$C$5-O581)</f>
        <v>24.955399999999941</v>
      </c>
      <c r="Q581" s="83">
        <f>IF(N581="","",TS!J581)</f>
        <v>2000</v>
      </c>
      <c r="R581" s="83">
        <f>IF(N581="","",TS!K581)</f>
        <v>1825</v>
      </c>
      <c r="S581" s="83">
        <f>Inputs!$H$5+TS!P581*0.4333</f>
        <v>1885.77889127</v>
      </c>
      <c r="T581" s="83">
        <f>Inputs!$G$5+TS!P581*0.4333</f>
        <v>1900.77889127</v>
      </c>
      <c r="U581" s="85">
        <f t="shared" ref="U581:U644" si="184">T581/(140000*C581/42)</f>
        <v>0.95038944563500005</v>
      </c>
      <c r="V581" s="86">
        <f t="shared" si="172"/>
        <v>0</v>
      </c>
      <c r="W581" s="86">
        <f t="shared" si="173"/>
        <v>0</v>
      </c>
      <c r="X581" s="86" t="e">
        <f>((PI()*((42-2*'Gen Calcs'!$E$13)^2)/4)/144)*(A624-#REF!)*(W581+14.7)/14.7</f>
        <v>#REF!</v>
      </c>
      <c r="Y581" s="86" t="e">
        <f t="shared" si="174"/>
        <v>#REF!</v>
      </c>
      <c r="Z581" s="86" t="e">
        <f t="shared" si="175"/>
        <v>#REF!</v>
      </c>
      <c r="AA581" s="83">
        <f>MAX(B$2:B581)-B581</f>
        <v>32.39429999999993</v>
      </c>
      <c r="AB581" s="83">
        <f t="shared" si="176"/>
        <v>14.026731899999969</v>
      </c>
      <c r="AC581" s="83">
        <f t="shared" si="178"/>
        <v>120</v>
      </c>
      <c r="AD581" s="72">
        <v>120</v>
      </c>
      <c r="AE581" s="73">
        <f t="shared" ref="AE581:AE644" si="185">PI()*(((42-2*C581)/12)^2/4)*D581</f>
        <v>907.92027688745009</v>
      </c>
      <c r="AF581" s="73">
        <f>SUM(AE$2:AE581)</f>
        <v>479677.61986706912</v>
      </c>
      <c r="AG581" s="73">
        <f t="shared" ref="AG581:AG644" si="186">AF$1391-AF581</f>
        <v>694052.28256004001</v>
      </c>
    </row>
    <row r="582" spans="1:33" x14ac:dyDescent="0.25">
      <c r="A582" s="100">
        <v>148899.92000000001</v>
      </c>
      <c r="B582" s="97">
        <v>798.58799999999997</v>
      </c>
      <c r="C582" s="97">
        <v>0.6</v>
      </c>
      <c r="D582" s="80">
        <f t="shared" si="171"/>
        <v>100</v>
      </c>
      <c r="E582" s="81">
        <f t="shared" si="179"/>
        <v>6791.2436711181272</v>
      </c>
      <c r="F582" s="81">
        <f>SUM(E$2:E582)</f>
        <v>3591982.8350369735</v>
      </c>
      <c r="G582" s="43">
        <f t="shared" si="177"/>
        <v>1</v>
      </c>
      <c r="H582" s="78">
        <v>1</v>
      </c>
      <c r="I582" s="15">
        <f t="shared" si="180"/>
        <v>0.6</v>
      </c>
      <c r="J582" s="16">
        <f>VLOOKUP(G582,Inputs!$L$3:$P$15,5,FALSE)</f>
        <v>2000</v>
      </c>
      <c r="K582" s="16">
        <f t="shared" si="181"/>
        <v>1825</v>
      </c>
      <c r="L582" s="79">
        <f>Inputs!$P$8-B582</f>
        <v>139.60300000000007</v>
      </c>
      <c r="M582" s="79">
        <f>Inputs!$Q$8+L582*0.433</f>
        <v>1885.448099</v>
      </c>
      <c r="N582" s="82">
        <f t="shared" si="182"/>
        <v>148899.92000000001</v>
      </c>
      <c r="O582" s="83">
        <f t="shared" si="183"/>
        <v>798.58799999999997</v>
      </c>
      <c r="P582" s="84">
        <f>IF(O582="","",Inputs!$C$5-O582)</f>
        <v>26.596499999999992</v>
      </c>
      <c r="Q582" s="83">
        <f>IF(N582="","",TS!J582)</f>
        <v>2000</v>
      </c>
      <c r="R582" s="83">
        <f>IF(N582="","",TS!K582)</f>
        <v>1825</v>
      </c>
      <c r="S582" s="83">
        <f>Inputs!$H$5+TS!P582*0.4333</f>
        <v>1886.4899799</v>
      </c>
      <c r="T582" s="83">
        <f>Inputs!$G$5+TS!P582*0.4333</f>
        <v>1901.4899799</v>
      </c>
      <c r="U582" s="85">
        <f t="shared" si="184"/>
        <v>0.95074498995000001</v>
      </c>
      <c r="V582" s="86">
        <f t="shared" si="172"/>
        <v>0</v>
      </c>
      <c r="W582" s="86">
        <f t="shared" si="173"/>
        <v>0</v>
      </c>
      <c r="X582" s="86" t="e">
        <f>((PI()*((42-2*'Gen Calcs'!$E$13)^2)/4)/144)*(A625-#REF!)*(W582+14.7)/14.7</f>
        <v>#REF!</v>
      </c>
      <c r="Y582" s="86" t="e">
        <f t="shared" si="174"/>
        <v>#REF!</v>
      </c>
      <c r="Z582" s="86" t="e">
        <f t="shared" si="175"/>
        <v>#REF!</v>
      </c>
      <c r="AA582" s="83">
        <f>MAX(B$2:B582)-B582</f>
        <v>34.035399999999981</v>
      </c>
      <c r="AB582" s="83">
        <f t="shared" si="176"/>
        <v>14.737328199999991</v>
      </c>
      <c r="AC582" s="83">
        <f t="shared" si="178"/>
        <v>120</v>
      </c>
      <c r="AD582" s="72">
        <v>120</v>
      </c>
      <c r="AE582" s="73">
        <f t="shared" si="185"/>
        <v>907.92027688745009</v>
      </c>
      <c r="AF582" s="73">
        <f>SUM(AE$2:AE582)</f>
        <v>480585.54014395655</v>
      </c>
      <c r="AG582" s="73">
        <f t="shared" si="186"/>
        <v>693144.36228315264</v>
      </c>
    </row>
    <row r="583" spans="1:33" x14ac:dyDescent="0.25">
      <c r="A583" s="99">
        <v>148999.92000000001</v>
      </c>
      <c r="B583" s="96">
        <v>796.79060000000004</v>
      </c>
      <c r="C583" s="96">
        <v>0.6</v>
      </c>
      <c r="D583" s="80">
        <f t="shared" si="171"/>
        <v>100</v>
      </c>
      <c r="E583" s="81">
        <f t="shared" si="179"/>
        <v>6791.2436711181272</v>
      </c>
      <c r="F583" s="81">
        <f>SUM(E$2:E583)</f>
        <v>3598774.0787080918</v>
      </c>
      <c r="G583" s="43">
        <f t="shared" si="177"/>
        <v>1</v>
      </c>
      <c r="H583" s="78">
        <v>1</v>
      </c>
      <c r="I583" s="15">
        <f t="shared" si="180"/>
        <v>0.6</v>
      </c>
      <c r="J583" s="16">
        <f>VLOOKUP(G583,Inputs!$L$3:$P$15,5,FALSE)</f>
        <v>2000</v>
      </c>
      <c r="K583" s="16">
        <f t="shared" si="181"/>
        <v>1825</v>
      </c>
      <c r="L583" s="79">
        <f>Inputs!$P$8-B583</f>
        <v>141.40039999999999</v>
      </c>
      <c r="M583" s="79">
        <f>Inputs!$Q$8+L583*0.433</f>
        <v>1886.2263731999999</v>
      </c>
      <c r="N583" s="82">
        <f t="shared" si="182"/>
        <v>148999.92000000001</v>
      </c>
      <c r="O583" s="83">
        <f t="shared" si="183"/>
        <v>796.79060000000004</v>
      </c>
      <c r="P583" s="84">
        <f>IF(O583="","",Inputs!$C$5-O583)</f>
        <v>28.393899999999917</v>
      </c>
      <c r="Q583" s="83">
        <f>IF(N583="","",TS!J583)</f>
        <v>2000</v>
      </c>
      <c r="R583" s="83">
        <f>IF(N583="","",TS!K583)</f>
        <v>1825</v>
      </c>
      <c r="S583" s="83">
        <f>Inputs!$H$5+TS!P583*0.4333</f>
        <v>1887.26879332</v>
      </c>
      <c r="T583" s="83">
        <f>Inputs!$G$5+TS!P583*0.4333</f>
        <v>1902.26879332</v>
      </c>
      <c r="U583" s="85">
        <f t="shared" si="184"/>
        <v>0.95113439665999999</v>
      </c>
      <c r="V583" s="86">
        <f t="shared" si="172"/>
        <v>0</v>
      </c>
      <c r="W583" s="86">
        <f t="shared" si="173"/>
        <v>0</v>
      </c>
      <c r="X583" s="86" t="e">
        <f>((PI()*((42-2*'Gen Calcs'!$E$13)^2)/4)/144)*(A626-#REF!)*(W583+14.7)/14.7</f>
        <v>#REF!</v>
      </c>
      <c r="Y583" s="86" t="e">
        <f t="shared" si="174"/>
        <v>#REF!</v>
      </c>
      <c r="Z583" s="86" t="e">
        <f t="shared" si="175"/>
        <v>#REF!</v>
      </c>
      <c r="AA583" s="83">
        <f>MAX(B$2:B583)-B583</f>
        <v>35.832799999999907</v>
      </c>
      <c r="AB583" s="83">
        <f t="shared" si="176"/>
        <v>15.51560239999996</v>
      </c>
      <c r="AC583" s="83">
        <f t="shared" si="178"/>
        <v>120</v>
      </c>
      <c r="AD583" s="72">
        <v>120</v>
      </c>
      <c r="AE583" s="73">
        <f t="shared" si="185"/>
        <v>907.92027688745009</v>
      </c>
      <c r="AF583" s="73">
        <f>SUM(AE$2:AE583)</f>
        <v>481493.46042084397</v>
      </c>
      <c r="AG583" s="73">
        <f t="shared" si="186"/>
        <v>692236.44200626528</v>
      </c>
    </row>
    <row r="584" spans="1:33" x14ac:dyDescent="0.25">
      <c r="A584" s="100">
        <v>149099.92000000001</v>
      </c>
      <c r="B584" s="97">
        <v>794.74699999999996</v>
      </c>
      <c r="C584" s="97">
        <v>0.6</v>
      </c>
      <c r="D584" s="80">
        <f t="shared" si="171"/>
        <v>100</v>
      </c>
      <c r="E584" s="81">
        <f t="shared" si="179"/>
        <v>6791.2436711181272</v>
      </c>
      <c r="F584" s="81">
        <f>SUM(E$2:E584)</f>
        <v>3605565.32237921</v>
      </c>
      <c r="G584" s="43">
        <f t="shared" si="177"/>
        <v>1</v>
      </c>
      <c r="H584" s="78">
        <v>1</v>
      </c>
      <c r="I584" s="15">
        <f t="shared" si="180"/>
        <v>0.6</v>
      </c>
      <c r="J584" s="16">
        <f>VLOOKUP(G584,Inputs!$L$3:$P$15,5,FALSE)</f>
        <v>2000</v>
      </c>
      <c r="K584" s="16">
        <f t="shared" si="181"/>
        <v>1825</v>
      </c>
      <c r="L584" s="79">
        <f>Inputs!$P$8-B584</f>
        <v>143.44400000000007</v>
      </c>
      <c r="M584" s="79">
        <f>Inputs!$Q$8+L584*0.433</f>
        <v>1887.1112519999999</v>
      </c>
      <c r="N584" s="82">
        <f t="shared" si="182"/>
        <v>149099.92000000001</v>
      </c>
      <c r="O584" s="83">
        <f t="shared" si="183"/>
        <v>794.74699999999996</v>
      </c>
      <c r="P584" s="84">
        <f>IF(O584="","",Inputs!$C$5-O584)</f>
        <v>30.4375</v>
      </c>
      <c r="Q584" s="83">
        <f>IF(N584="","",TS!J584)</f>
        <v>2000</v>
      </c>
      <c r="R584" s="83">
        <f>IF(N584="","",TS!K584)</f>
        <v>1825</v>
      </c>
      <c r="S584" s="83">
        <f>Inputs!$H$5+TS!P584*0.4333</f>
        <v>1888.1542852</v>
      </c>
      <c r="T584" s="83">
        <f>Inputs!$G$5+TS!P584*0.4333</f>
        <v>1903.1542852</v>
      </c>
      <c r="U584" s="85">
        <f t="shared" si="184"/>
        <v>0.95157714260000004</v>
      </c>
      <c r="V584" s="86">
        <f t="shared" si="172"/>
        <v>0</v>
      </c>
      <c r="W584" s="86">
        <f t="shared" si="173"/>
        <v>0</v>
      </c>
      <c r="X584" s="86" t="e">
        <f>((PI()*((42-2*'Gen Calcs'!$E$13)^2)/4)/144)*(A627-#REF!)*(W584+14.7)/14.7</f>
        <v>#REF!</v>
      </c>
      <c r="Y584" s="86" t="e">
        <f t="shared" si="174"/>
        <v>#REF!</v>
      </c>
      <c r="Z584" s="86" t="e">
        <f t="shared" si="175"/>
        <v>#REF!</v>
      </c>
      <c r="AA584" s="83">
        <f>MAX(B$2:B584)-B584</f>
        <v>37.87639999999999</v>
      </c>
      <c r="AB584" s="83">
        <f t="shared" si="176"/>
        <v>16.400481199999994</v>
      </c>
      <c r="AC584" s="83">
        <f t="shared" si="178"/>
        <v>120</v>
      </c>
      <c r="AD584" s="72">
        <v>120</v>
      </c>
      <c r="AE584" s="73">
        <f t="shared" si="185"/>
        <v>907.92027688745009</v>
      </c>
      <c r="AF584" s="73">
        <f>SUM(AE$2:AE584)</f>
        <v>482401.38069773139</v>
      </c>
      <c r="AG584" s="73">
        <f t="shared" si="186"/>
        <v>691328.5217293778</v>
      </c>
    </row>
    <row r="585" spans="1:33" x14ac:dyDescent="0.25">
      <c r="A585" s="99">
        <v>149199.92000000001</v>
      </c>
      <c r="B585" s="96">
        <v>791.97209999999995</v>
      </c>
      <c r="C585" s="96">
        <v>0.6</v>
      </c>
      <c r="D585" s="80">
        <f t="shared" si="171"/>
        <v>100</v>
      </c>
      <c r="E585" s="81">
        <f t="shared" si="179"/>
        <v>6791.2436711181272</v>
      </c>
      <c r="F585" s="81">
        <f>SUM(E$2:E585)</f>
        <v>3612356.5660503283</v>
      </c>
      <c r="G585" s="43">
        <f t="shared" si="177"/>
        <v>1</v>
      </c>
      <c r="H585" s="78">
        <v>1</v>
      </c>
      <c r="I585" s="15">
        <f t="shared" si="180"/>
        <v>0.6</v>
      </c>
      <c r="J585" s="16">
        <f>VLOOKUP(G585,Inputs!$L$3:$P$15,5,FALSE)</f>
        <v>2000</v>
      </c>
      <c r="K585" s="16">
        <f t="shared" si="181"/>
        <v>1825</v>
      </c>
      <c r="L585" s="79">
        <f>Inputs!$P$8-B585</f>
        <v>146.21890000000008</v>
      </c>
      <c r="M585" s="79">
        <f>Inputs!$Q$8+L585*0.433</f>
        <v>1888.3127837</v>
      </c>
      <c r="N585" s="82">
        <f t="shared" si="182"/>
        <v>149199.92000000001</v>
      </c>
      <c r="O585" s="83">
        <f t="shared" si="183"/>
        <v>791.97209999999995</v>
      </c>
      <c r="P585" s="84">
        <f>IF(O585="","",Inputs!$C$5-O585)</f>
        <v>33.212400000000002</v>
      </c>
      <c r="Q585" s="83">
        <f>IF(N585="","",TS!J585)</f>
        <v>2000</v>
      </c>
      <c r="R585" s="83">
        <f>IF(N585="","",TS!K585)</f>
        <v>1825</v>
      </c>
      <c r="S585" s="83">
        <f>Inputs!$H$5+TS!P585*0.4333</f>
        <v>1889.35664937</v>
      </c>
      <c r="T585" s="83">
        <f>Inputs!$G$5+TS!P585*0.4333</f>
        <v>1904.35664937</v>
      </c>
      <c r="U585" s="85">
        <f t="shared" si="184"/>
        <v>0.95217832468499997</v>
      </c>
      <c r="V585" s="86">
        <f t="shared" si="172"/>
        <v>0</v>
      </c>
      <c r="W585" s="86">
        <f t="shared" si="173"/>
        <v>0</v>
      </c>
      <c r="X585" s="86" t="e">
        <f>((PI()*((42-2*'Gen Calcs'!$E$13)^2)/4)/144)*(A628-#REF!)*(W585+14.7)/14.7</f>
        <v>#REF!</v>
      </c>
      <c r="Y585" s="86" t="e">
        <f t="shared" si="174"/>
        <v>#REF!</v>
      </c>
      <c r="Z585" s="86" t="e">
        <f t="shared" si="175"/>
        <v>#REF!</v>
      </c>
      <c r="AA585" s="83">
        <f>MAX(B$2:B585)-B585</f>
        <v>40.651299999999992</v>
      </c>
      <c r="AB585" s="83">
        <f t="shared" si="176"/>
        <v>17.602012899999995</v>
      </c>
      <c r="AC585" s="83">
        <f t="shared" si="178"/>
        <v>120</v>
      </c>
      <c r="AD585" s="72">
        <v>120</v>
      </c>
      <c r="AE585" s="73">
        <f t="shared" si="185"/>
        <v>907.92027688745009</v>
      </c>
      <c r="AF585" s="73">
        <f>SUM(AE$2:AE585)</f>
        <v>483309.30097461882</v>
      </c>
      <c r="AG585" s="73">
        <f t="shared" si="186"/>
        <v>690420.60145249031</v>
      </c>
    </row>
    <row r="586" spans="1:33" x14ac:dyDescent="0.25">
      <c r="A586" s="100">
        <v>149299.92000000001</v>
      </c>
      <c r="B586" s="97">
        <v>789.93700000000001</v>
      </c>
      <c r="C586" s="97">
        <v>0.6</v>
      </c>
      <c r="D586" s="80">
        <f t="shared" si="171"/>
        <v>100</v>
      </c>
      <c r="E586" s="81">
        <f t="shared" si="179"/>
        <v>6791.2436711181272</v>
      </c>
      <c r="F586" s="81">
        <f>SUM(E$2:E586)</f>
        <v>3619147.8097214466</v>
      </c>
      <c r="G586" s="43">
        <f t="shared" si="177"/>
        <v>1</v>
      </c>
      <c r="H586" s="78">
        <v>1</v>
      </c>
      <c r="I586" s="15">
        <f t="shared" si="180"/>
        <v>0.6</v>
      </c>
      <c r="J586" s="16">
        <f>VLOOKUP(G586,Inputs!$L$3:$P$15,5,FALSE)</f>
        <v>2000</v>
      </c>
      <c r="K586" s="16">
        <f t="shared" si="181"/>
        <v>1825</v>
      </c>
      <c r="L586" s="79">
        <f>Inputs!$P$8-B586</f>
        <v>148.25400000000002</v>
      </c>
      <c r="M586" s="79">
        <f>Inputs!$Q$8+L586*0.433</f>
        <v>1889.193982</v>
      </c>
      <c r="N586" s="82">
        <f t="shared" si="182"/>
        <v>149299.92000000001</v>
      </c>
      <c r="O586" s="83">
        <f t="shared" si="183"/>
        <v>789.93700000000001</v>
      </c>
      <c r="P586" s="84">
        <f>IF(O586="","",Inputs!$C$5-O586)</f>
        <v>35.247499999999945</v>
      </c>
      <c r="Q586" s="83">
        <f>IF(N586="","",TS!J586)</f>
        <v>2000</v>
      </c>
      <c r="R586" s="83">
        <f>IF(N586="","",TS!K586)</f>
        <v>1825</v>
      </c>
      <c r="S586" s="83">
        <f>Inputs!$H$5+TS!P586*0.4333</f>
        <v>1890.2384582</v>
      </c>
      <c r="T586" s="83">
        <f>Inputs!$G$5+TS!P586*0.4333</f>
        <v>1905.2384582</v>
      </c>
      <c r="U586" s="85">
        <f t="shared" si="184"/>
        <v>0.95261922909999996</v>
      </c>
      <c r="V586" s="86">
        <f t="shared" si="172"/>
        <v>0</v>
      </c>
      <c r="W586" s="86">
        <f t="shared" si="173"/>
        <v>0</v>
      </c>
      <c r="X586" s="86" t="e">
        <f>((PI()*((42-2*'Gen Calcs'!$E$13)^2)/4)/144)*(A629-#REF!)*(W586+14.7)/14.7</f>
        <v>#REF!</v>
      </c>
      <c r="Y586" s="86" t="e">
        <f t="shared" si="174"/>
        <v>#REF!</v>
      </c>
      <c r="Z586" s="86" t="e">
        <f t="shared" si="175"/>
        <v>#REF!</v>
      </c>
      <c r="AA586" s="83">
        <f>MAX(B$2:B586)-B586</f>
        <v>42.686399999999935</v>
      </c>
      <c r="AB586" s="83">
        <f t="shared" si="176"/>
        <v>18.483211199999971</v>
      </c>
      <c r="AC586" s="83">
        <f t="shared" si="178"/>
        <v>120</v>
      </c>
      <c r="AD586" s="72">
        <v>120</v>
      </c>
      <c r="AE586" s="73">
        <f t="shared" si="185"/>
        <v>907.92027688745009</v>
      </c>
      <c r="AF586" s="73">
        <f>SUM(AE$2:AE586)</f>
        <v>484217.22125150624</v>
      </c>
      <c r="AG586" s="73">
        <f t="shared" si="186"/>
        <v>689512.68117560295</v>
      </c>
    </row>
    <row r="587" spans="1:33" x14ac:dyDescent="0.25">
      <c r="A587" s="99">
        <v>149399.92000000001</v>
      </c>
      <c r="B587" s="96">
        <v>786.36869999999999</v>
      </c>
      <c r="C587" s="96">
        <v>0.6</v>
      </c>
      <c r="D587" s="80">
        <f t="shared" si="171"/>
        <v>100</v>
      </c>
      <c r="E587" s="81">
        <f t="shared" si="179"/>
        <v>6791.2436711181272</v>
      </c>
      <c r="F587" s="81">
        <f>SUM(E$2:E587)</f>
        <v>3625939.0533925649</v>
      </c>
      <c r="G587" s="43">
        <f t="shared" si="177"/>
        <v>1</v>
      </c>
      <c r="H587" s="78">
        <v>1</v>
      </c>
      <c r="I587" s="15">
        <f t="shared" si="180"/>
        <v>0.6</v>
      </c>
      <c r="J587" s="16">
        <f>VLOOKUP(G587,Inputs!$L$3:$P$15,5,FALSE)</f>
        <v>2000</v>
      </c>
      <c r="K587" s="16">
        <f t="shared" si="181"/>
        <v>1825</v>
      </c>
      <c r="L587" s="79">
        <f>Inputs!$P$8-B587</f>
        <v>151.82230000000004</v>
      </c>
      <c r="M587" s="79">
        <f>Inputs!$Q$8+L587*0.433</f>
        <v>1890.7390559</v>
      </c>
      <c r="N587" s="82">
        <f t="shared" si="182"/>
        <v>149399.92000000001</v>
      </c>
      <c r="O587" s="83">
        <f t="shared" si="183"/>
        <v>786.36869999999999</v>
      </c>
      <c r="P587" s="84">
        <f>IF(O587="","",Inputs!$C$5-O587)</f>
        <v>38.815799999999967</v>
      </c>
      <c r="Q587" s="83">
        <f>IF(N587="","",TS!J587)</f>
        <v>2000</v>
      </c>
      <c r="R587" s="83">
        <f>IF(N587="","",TS!K587)</f>
        <v>1825</v>
      </c>
      <c r="S587" s="83">
        <f>Inputs!$H$5+TS!P587*0.4333</f>
        <v>1891.7846025899998</v>
      </c>
      <c r="T587" s="83">
        <f>Inputs!$G$5+TS!P587*0.4333</f>
        <v>1906.7846025899998</v>
      </c>
      <c r="U587" s="85">
        <f t="shared" si="184"/>
        <v>0.95339230129499997</v>
      </c>
      <c r="V587" s="86">
        <f t="shared" si="172"/>
        <v>0</v>
      </c>
      <c r="W587" s="86">
        <f t="shared" si="173"/>
        <v>0</v>
      </c>
      <c r="X587" s="86" t="e">
        <f>((PI()*((42-2*'Gen Calcs'!$E$13)^2)/4)/144)*(A630-#REF!)*(W587+14.7)/14.7</f>
        <v>#REF!</v>
      </c>
      <c r="Y587" s="86" t="e">
        <f t="shared" si="174"/>
        <v>#REF!</v>
      </c>
      <c r="Z587" s="86" t="e">
        <f t="shared" si="175"/>
        <v>#REF!</v>
      </c>
      <c r="AA587" s="83">
        <f>MAX(B$2:B587)-B587</f>
        <v>46.254699999999957</v>
      </c>
      <c r="AB587" s="83">
        <f t="shared" si="176"/>
        <v>20.02828509999998</v>
      </c>
      <c r="AC587" s="83">
        <f t="shared" si="178"/>
        <v>120</v>
      </c>
      <c r="AD587" s="72">
        <v>120</v>
      </c>
      <c r="AE587" s="73">
        <f t="shared" si="185"/>
        <v>907.92027688745009</v>
      </c>
      <c r="AF587" s="73">
        <f>SUM(AE$2:AE587)</f>
        <v>485125.14152839367</v>
      </c>
      <c r="AG587" s="73">
        <f t="shared" si="186"/>
        <v>688604.76089871558</v>
      </c>
    </row>
    <row r="588" spans="1:33" x14ac:dyDescent="0.25">
      <c r="A588" s="100">
        <v>149499.92000000001</v>
      </c>
      <c r="B588" s="97">
        <v>790.19500000000005</v>
      </c>
      <c r="C588" s="97">
        <v>0.6</v>
      </c>
      <c r="D588" s="80">
        <f t="shared" si="171"/>
        <v>100</v>
      </c>
      <c r="E588" s="81">
        <f t="shared" si="179"/>
        <v>6791.2436711181272</v>
      </c>
      <c r="F588" s="81">
        <f>SUM(E$2:E588)</f>
        <v>3632730.2970636832</v>
      </c>
      <c r="G588" s="43">
        <f t="shared" si="177"/>
        <v>1</v>
      </c>
      <c r="H588" s="78">
        <v>1</v>
      </c>
      <c r="I588" s="15">
        <f t="shared" si="180"/>
        <v>0.6</v>
      </c>
      <c r="J588" s="16">
        <f>VLOOKUP(G588,Inputs!$L$3:$P$15,5,FALSE)</f>
        <v>2000</v>
      </c>
      <c r="K588" s="16">
        <f t="shared" si="181"/>
        <v>1825</v>
      </c>
      <c r="L588" s="79">
        <f>Inputs!$P$8-B588</f>
        <v>147.99599999999998</v>
      </c>
      <c r="M588" s="79">
        <f>Inputs!$Q$8+L588*0.433</f>
        <v>1889.0822679999999</v>
      </c>
      <c r="N588" s="82">
        <f t="shared" si="182"/>
        <v>149499.92000000001</v>
      </c>
      <c r="O588" s="83">
        <f t="shared" si="183"/>
        <v>790.19500000000005</v>
      </c>
      <c r="P588" s="84">
        <f>IF(O588="","",Inputs!$C$5-O588)</f>
        <v>34.989499999999907</v>
      </c>
      <c r="Q588" s="83">
        <f>IF(N588="","",TS!J588)</f>
        <v>2000</v>
      </c>
      <c r="R588" s="83">
        <f>IF(N588="","",TS!K588)</f>
        <v>1825</v>
      </c>
      <c r="S588" s="83">
        <f>Inputs!$H$5+TS!P588*0.4333</f>
        <v>1890.1266667999998</v>
      </c>
      <c r="T588" s="83">
        <f>Inputs!$G$5+TS!P588*0.4333</f>
        <v>1905.1266667999998</v>
      </c>
      <c r="U588" s="85">
        <f t="shared" si="184"/>
        <v>0.95256333339999988</v>
      </c>
      <c r="V588" s="86">
        <f t="shared" si="172"/>
        <v>0</v>
      </c>
      <c r="W588" s="86">
        <f t="shared" si="173"/>
        <v>0</v>
      </c>
      <c r="X588" s="86" t="e">
        <f>((PI()*((42-2*'Gen Calcs'!$E$13)^2)/4)/144)*(A631-#REF!)*(W588+14.7)/14.7</f>
        <v>#REF!</v>
      </c>
      <c r="Y588" s="86" t="e">
        <f t="shared" si="174"/>
        <v>#REF!</v>
      </c>
      <c r="Z588" s="86" t="e">
        <f t="shared" si="175"/>
        <v>#REF!</v>
      </c>
      <c r="AA588" s="83">
        <f>MAX(B$2:B588)-B588</f>
        <v>42.428399999999897</v>
      </c>
      <c r="AB588" s="83">
        <f t="shared" si="176"/>
        <v>18.371497199999954</v>
      </c>
      <c r="AC588" s="83">
        <f t="shared" si="178"/>
        <v>120</v>
      </c>
      <c r="AD588" s="72">
        <v>120</v>
      </c>
      <c r="AE588" s="73">
        <f t="shared" si="185"/>
        <v>907.92027688745009</v>
      </c>
      <c r="AF588" s="73">
        <f>SUM(AE$2:AE588)</f>
        <v>486033.06180528109</v>
      </c>
      <c r="AG588" s="73">
        <f t="shared" si="186"/>
        <v>687696.8406218281</v>
      </c>
    </row>
    <row r="589" spans="1:33" x14ac:dyDescent="0.25">
      <c r="A589" s="99">
        <v>149599.92000000001</v>
      </c>
      <c r="B589" s="96">
        <v>797.92079999999999</v>
      </c>
      <c r="C589" s="96">
        <v>0.6</v>
      </c>
      <c r="D589" s="80">
        <f t="shared" si="171"/>
        <v>100</v>
      </c>
      <c r="E589" s="81">
        <f t="shared" si="179"/>
        <v>6791.2436711181272</v>
      </c>
      <c r="F589" s="81">
        <f>SUM(E$2:E589)</f>
        <v>3639521.5407348014</v>
      </c>
      <c r="G589" s="43">
        <f t="shared" si="177"/>
        <v>1</v>
      </c>
      <c r="H589" s="78">
        <v>1</v>
      </c>
      <c r="I589" s="15">
        <f t="shared" si="180"/>
        <v>0.6</v>
      </c>
      <c r="J589" s="16">
        <f>VLOOKUP(G589,Inputs!$L$3:$P$15,5,FALSE)</f>
        <v>2000</v>
      </c>
      <c r="K589" s="16">
        <f t="shared" si="181"/>
        <v>1825</v>
      </c>
      <c r="L589" s="79">
        <f>Inputs!$P$8-B589</f>
        <v>140.27020000000005</v>
      </c>
      <c r="M589" s="79">
        <f>Inputs!$Q$8+L589*0.433</f>
        <v>1885.7369966000001</v>
      </c>
      <c r="N589" s="82">
        <f t="shared" si="182"/>
        <v>149599.92000000001</v>
      </c>
      <c r="O589" s="83">
        <f t="shared" si="183"/>
        <v>797.92079999999999</v>
      </c>
      <c r="P589" s="84">
        <f>IF(O589="","",Inputs!$C$5-O589)</f>
        <v>27.263699999999972</v>
      </c>
      <c r="Q589" s="83">
        <f>IF(N589="","",TS!J589)</f>
        <v>2000</v>
      </c>
      <c r="R589" s="83">
        <f>IF(N589="","",TS!K589)</f>
        <v>1825</v>
      </c>
      <c r="S589" s="83">
        <f>Inputs!$H$5+TS!P589*0.4333</f>
        <v>1886.77907766</v>
      </c>
      <c r="T589" s="83">
        <f>Inputs!$G$5+TS!P589*0.4333</f>
        <v>1901.77907766</v>
      </c>
      <c r="U589" s="85">
        <f t="shared" si="184"/>
        <v>0.95088953883000005</v>
      </c>
      <c r="V589" s="86">
        <f t="shared" si="172"/>
        <v>0</v>
      </c>
      <c r="W589" s="86">
        <f t="shared" si="173"/>
        <v>0</v>
      </c>
      <c r="X589" s="86" t="e">
        <f>((PI()*((42-2*'Gen Calcs'!$E$13)^2)/4)/144)*(A632-#REF!)*(W589+14.7)/14.7</f>
        <v>#REF!</v>
      </c>
      <c r="Y589" s="86" t="e">
        <f t="shared" si="174"/>
        <v>#REF!</v>
      </c>
      <c r="Z589" s="86" t="e">
        <f t="shared" si="175"/>
        <v>#REF!</v>
      </c>
      <c r="AA589" s="83">
        <f>MAX(B$2:B589)-B589</f>
        <v>34.702599999999961</v>
      </c>
      <c r="AB589" s="83">
        <f t="shared" si="176"/>
        <v>15.026225799999983</v>
      </c>
      <c r="AC589" s="83">
        <f t="shared" si="178"/>
        <v>120</v>
      </c>
      <c r="AD589" s="72">
        <v>120</v>
      </c>
      <c r="AE589" s="73">
        <f t="shared" si="185"/>
        <v>907.92027688745009</v>
      </c>
      <c r="AF589" s="73">
        <f>SUM(AE$2:AE589)</f>
        <v>486940.98208216851</v>
      </c>
      <c r="AG589" s="73">
        <f t="shared" si="186"/>
        <v>686788.92034494062</v>
      </c>
    </row>
    <row r="590" spans="1:33" x14ac:dyDescent="0.25">
      <c r="A590" s="100">
        <v>149699.92000000001</v>
      </c>
      <c r="B590" s="97">
        <v>803.56330000000003</v>
      </c>
      <c r="C590" s="97">
        <v>0.6</v>
      </c>
      <c r="D590" s="80">
        <f t="shared" si="171"/>
        <v>100</v>
      </c>
      <c r="E590" s="81">
        <f t="shared" si="179"/>
        <v>6791.2436711181272</v>
      </c>
      <c r="F590" s="81">
        <f>SUM(E$2:E590)</f>
        <v>3646312.7844059197</v>
      </c>
      <c r="G590" s="43">
        <f t="shared" si="177"/>
        <v>1</v>
      </c>
      <c r="H590" s="78">
        <v>1</v>
      </c>
      <c r="I590" s="15">
        <f t="shared" si="180"/>
        <v>0.6</v>
      </c>
      <c r="J590" s="16">
        <f>VLOOKUP(G590,Inputs!$L$3:$P$15,5,FALSE)</f>
        <v>2000</v>
      </c>
      <c r="K590" s="16">
        <f t="shared" si="181"/>
        <v>1825</v>
      </c>
      <c r="L590" s="79">
        <f>Inputs!$P$8-B590</f>
        <v>134.6277</v>
      </c>
      <c r="M590" s="79">
        <f>Inputs!$Q$8+L590*0.433</f>
        <v>1883.2937941</v>
      </c>
      <c r="N590" s="82">
        <f t="shared" si="182"/>
        <v>149699.92000000001</v>
      </c>
      <c r="O590" s="83">
        <f t="shared" si="183"/>
        <v>803.56330000000003</v>
      </c>
      <c r="P590" s="84">
        <f>IF(O590="","",Inputs!$C$5-O590)</f>
        <v>21.621199999999931</v>
      </c>
      <c r="Q590" s="83">
        <f>IF(N590="","",TS!J590)</f>
        <v>2000</v>
      </c>
      <c r="R590" s="83">
        <f>IF(N590="","",TS!K590)</f>
        <v>1825</v>
      </c>
      <c r="S590" s="83">
        <f>Inputs!$H$5+TS!P590*0.4333</f>
        <v>1884.3341824099998</v>
      </c>
      <c r="T590" s="83">
        <f>Inputs!$G$5+TS!P590*0.4333</f>
        <v>1899.3341824099998</v>
      </c>
      <c r="U590" s="85">
        <f t="shared" si="184"/>
        <v>0.94966709120499992</v>
      </c>
      <c r="V590" s="86">
        <f t="shared" si="172"/>
        <v>0</v>
      </c>
      <c r="W590" s="86">
        <f t="shared" si="173"/>
        <v>0</v>
      </c>
      <c r="X590" s="86" t="e">
        <f>((PI()*((42-2*'Gen Calcs'!$E$13)^2)/4)/144)*(A633-#REF!)*(W590+14.7)/14.7</f>
        <v>#REF!</v>
      </c>
      <c r="Y590" s="86" t="e">
        <f t="shared" si="174"/>
        <v>#REF!</v>
      </c>
      <c r="Z590" s="86" t="e">
        <f t="shared" si="175"/>
        <v>#REF!</v>
      </c>
      <c r="AA590" s="83">
        <f>MAX(B$2:B590)-B590</f>
        <v>29.06009999999992</v>
      </c>
      <c r="AB590" s="83">
        <f t="shared" si="176"/>
        <v>12.583023299999965</v>
      </c>
      <c r="AC590" s="83">
        <f t="shared" si="178"/>
        <v>120</v>
      </c>
      <c r="AD590" s="72">
        <v>120</v>
      </c>
      <c r="AE590" s="73">
        <f t="shared" si="185"/>
        <v>907.92027688745009</v>
      </c>
      <c r="AF590" s="73">
        <f>SUM(AE$2:AE590)</f>
        <v>487848.90235905594</v>
      </c>
      <c r="AG590" s="73">
        <f t="shared" si="186"/>
        <v>685881.00006805325</v>
      </c>
    </row>
    <row r="591" spans="1:33" x14ac:dyDescent="0.25">
      <c r="A591" s="99">
        <v>149799.92000000001</v>
      </c>
      <c r="B591" s="96">
        <v>810.63980000000004</v>
      </c>
      <c r="C591" s="96">
        <v>0.6</v>
      </c>
      <c r="D591" s="80">
        <f t="shared" si="171"/>
        <v>100</v>
      </c>
      <c r="E591" s="81">
        <f t="shared" si="179"/>
        <v>6791.2436711181272</v>
      </c>
      <c r="F591" s="81">
        <f>SUM(E$2:E591)</f>
        <v>3653104.028077038</v>
      </c>
      <c r="G591" s="43">
        <f t="shared" si="177"/>
        <v>1</v>
      </c>
      <c r="H591" s="78">
        <v>1</v>
      </c>
      <c r="I591" s="15">
        <f t="shared" si="180"/>
        <v>0.6</v>
      </c>
      <c r="J591" s="16">
        <f>VLOOKUP(G591,Inputs!$L$3:$P$15,5,FALSE)</f>
        <v>2000</v>
      </c>
      <c r="K591" s="16">
        <f t="shared" si="181"/>
        <v>1825</v>
      </c>
      <c r="L591" s="79">
        <f>Inputs!$P$8-B591</f>
        <v>127.55119999999999</v>
      </c>
      <c r="M591" s="79">
        <f>Inputs!$Q$8+L591*0.433</f>
        <v>1880.2296696000001</v>
      </c>
      <c r="N591" s="82">
        <f t="shared" si="182"/>
        <v>149799.92000000001</v>
      </c>
      <c r="O591" s="83">
        <f t="shared" si="183"/>
        <v>810.63980000000004</v>
      </c>
      <c r="P591" s="84">
        <f>IF(O591="","",Inputs!$C$5-O591)</f>
        <v>14.544699999999921</v>
      </c>
      <c r="Q591" s="83">
        <f>IF(N591="","",TS!J591)</f>
        <v>2000</v>
      </c>
      <c r="R591" s="83">
        <f>IF(N591="","",TS!K591)</f>
        <v>1825</v>
      </c>
      <c r="S591" s="83">
        <f>Inputs!$H$5+TS!P591*0.4333</f>
        <v>1881.2679349599998</v>
      </c>
      <c r="T591" s="83">
        <f>Inputs!$G$5+TS!P591*0.4333</f>
        <v>1896.2679349599998</v>
      </c>
      <c r="U591" s="85">
        <f t="shared" si="184"/>
        <v>0.9481339674799999</v>
      </c>
      <c r="V591" s="86">
        <f t="shared" si="172"/>
        <v>0</v>
      </c>
      <c r="W591" s="86">
        <f t="shared" si="173"/>
        <v>0</v>
      </c>
      <c r="X591" s="86" t="e">
        <f>((PI()*((42-2*'Gen Calcs'!$E$13)^2)/4)/144)*(A634-#REF!)*(W591+14.7)/14.7</f>
        <v>#REF!</v>
      </c>
      <c r="Y591" s="86" t="e">
        <f t="shared" si="174"/>
        <v>#REF!</v>
      </c>
      <c r="Z591" s="86" t="e">
        <f t="shared" si="175"/>
        <v>#REF!</v>
      </c>
      <c r="AA591" s="83">
        <f>MAX(B$2:B591)-B591</f>
        <v>21.98359999999991</v>
      </c>
      <c r="AB591" s="83">
        <f t="shared" si="176"/>
        <v>9.5188987999999615</v>
      </c>
      <c r="AC591" s="83">
        <f t="shared" si="178"/>
        <v>120</v>
      </c>
      <c r="AD591" s="72">
        <v>120</v>
      </c>
      <c r="AE591" s="73">
        <f t="shared" si="185"/>
        <v>907.92027688745009</v>
      </c>
      <c r="AF591" s="73">
        <f>SUM(AE$2:AE591)</f>
        <v>488756.82263594336</v>
      </c>
      <c r="AG591" s="73">
        <f t="shared" si="186"/>
        <v>684973.07979116589</v>
      </c>
    </row>
    <row r="592" spans="1:33" x14ac:dyDescent="0.25">
      <c r="A592" s="100">
        <v>149899.92000000001</v>
      </c>
      <c r="B592" s="97">
        <v>815.77369999999996</v>
      </c>
      <c r="C592" s="97">
        <v>0.6</v>
      </c>
      <c r="D592" s="80">
        <f t="shared" si="171"/>
        <v>100</v>
      </c>
      <c r="E592" s="81">
        <f t="shared" si="179"/>
        <v>6616.6076625842816</v>
      </c>
      <c r="F592" s="81">
        <f>SUM(E$2:E592)</f>
        <v>3659720.6357396222</v>
      </c>
      <c r="G592" s="43">
        <f t="shared" si="177"/>
        <v>1</v>
      </c>
      <c r="H592" s="78">
        <v>1</v>
      </c>
      <c r="I592" s="15">
        <f t="shared" si="180"/>
        <v>0.6</v>
      </c>
      <c r="J592" s="16">
        <f>VLOOKUP(G592,Inputs!$L$3:$P$15,5,FALSE)</f>
        <v>2000</v>
      </c>
      <c r="K592" s="16">
        <f t="shared" si="181"/>
        <v>1825</v>
      </c>
      <c r="L592" s="79">
        <f>Inputs!$P$8-B592</f>
        <v>122.41730000000007</v>
      </c>
      <c r="M592" s="79">
        <f>Inputs!$Q$8+L592*0.433</f>
        <v>1878.0066909</v>
      </c>
      <c r="N592" s="82">
        <f t="shared" si="182"/>
        <v>149899.92000000001</v>
      </c>
      <c r="O592" s="83">
        <f t="shared" si="183"/>
        <v>815.77369999999996</v>
      </c>
      <c r="P592" s="84">
        <f>IF(O592="","",Inputs!$C$5-O592)</f>
        <v>9.4107999999999947</v>
      </c>
      <c r="Q592" s="83">
        <f>IF(N592="","",TS!J592)</f>
        <v>2000</v>
      </c>
      <c r="R592" s="83">
        <f>IF(N592="","",TS!K592)</f>
        <v>1825</v>
      </c>
      <c r="S592" s="83">
        <f>Inputs!$H$5+TS!P592*0.4333</f>
        <v>1879.0434160899999</v>
      </c>
      <c r="T592" s="83">
        <f>Inputs!$G$5+TS!P592*0.4333</f>
        <v>1894.0434160899999</v>
      </c>
      <c r="U592" s="85">
        <f t="shared" si="184"/>
        <v>0.94702170804499997</v>
      </c>
      <c r="V592" s="86">
        <f t="shared" si="172"/>
        <v>0</v>
      </c>
      <c r="W592" s="86">
        <f t="shared" si="173"/>
        <v>0</v>
      </c>
      <c r="X592" s="86" t="e">
        <f>((PI()*((42-2*'Gen Calcs'!$E$13)^2)/4)/144)*(A635-#REF!)*(W592+14.7)/14.7</f>
        <v>#REF!</v>
      </c>
      <c r="Y592" s="86" t="e">
        <f t="shared" si="174"/>
        <v>#REF!</v>
      </c>
      <c r="Z592" s="86" t="e">
        <f t="shared" si="175"/>
        <v>#REF!</v>
      </c>
      <c r="AA592" s="83">
        <f>MAX(B$2:B592)-B592</f>
        <v>16.849699999999984</v>
      </c>
      <c r="AB592" s="83">
        <f t="shared" si="176"/>
        <v>7.2959200999999929</v>
      </c>
      <c r="AC592" s="83">
        <f t="shared" si="178"/>
        <v>120</v>
      </c>
      <c r="AD592" s="72">
        <v>120</v>
      </c>
      <c r="AE592" s="73">
        <f t="shared" si="185"/>
        <v>907.92027688745009</v>
      </c>
      <c r="AF592" s="73">
        <f>SUM(AE$2:AE592)</f>
        <v>489664.74291283078</v>
      </c>
      <c r="AG592" s="73">
        <f t="shared" si="186"/>
        <v>684065.15951427841</v>
      </c>
    </row>
    <row r="593" spans="1:33" x14ac:dyDescent="0.25">
      <c r="A593" s="99">
        <v>149999.92000000001</v>
      </c>
      <c r="B593" s="96">
        <v>819.40179999999998</v>
      </c>
      <c r="C593" s="96">
        <v>0.6</v>
      </c>
      <c r="D593" s="80">
        <f t="shared" si="171"/>
        <v>100</v>
      </c>
      <c r="E593" s="81">
        <f t="shared" si="179"/>
        <v>6791.2436711181272</v>
      </c>
      <c r="F593" s="81">
        <f>SUM(E$2:E593)</f>
        <v>3666511.8794107405</v>
      </c>
      <c r="G593" s="43">
        <f t="shared" si="177"/>
        <v>1</v>
      </c>
      <c r="H593" s="78">
        <v>1</v>
      </c>
      <c r="I593" s="15">
        <f t="shared" si="180"/>
        <v>0.6</v>
      </c>
      <c r="J593" s="16">
        <f>VLOOKUP(G593,Inputs!$L$3:$P$15,5,FALSE)</f>
        <v>2000</v>
      </c>
      <c r="K593" s="16">
        <f t="shared" si="181"/>
        <v>1825</v>
      </c>
      <c r="L593" s="79">
        <f>Inputs!$P$8-B593</f>
        <v>118.78920000000005</v>
      </c>
      <c r="M593" s="79">
        <f>Inputs!$Q$8+L593*0.433</f>
        <v>1876.4357236000001</v>
      </c>
      <c r="N593" s="82">
        <f t="shared" si="182"/>
        <v>149999.92000000001</v>
      </c>
      <c r="O593" s="83">
        <f t="shared" si="183"/>
        <v>819.40179999999998</v>
      </c>
      <c r="P593" s="84">
        <f>IF(O593="","",Inputs!$C$5-O593)</f>
        <v>5.7826999999999771</v>
      </c>
      <c r="Q593" s="83">
        <f>IF(N593="","",TS!J593)</f>
        <v>2000</v>
      </c>
      <c r="R593" s="83">
        <f>IF(N593="","",TS!K593)</f>
        <v>1825</v>
      </c>
      <c r="S593" s="83">
        <f>Inputs!$H$5+TS!P593*0.4333</f>
        <v>1877.4713603599998</v>
      </c>
      <c r="T593" s="83">
        <f>Inputs!$G$5+TS!P593*0.4333</f>
        <v>1892.4713603599998</v>
      </c>
      <c r="U593" s="85">
        <f t="shared" si="184"/>
        <v>0.94623568017999993</v>
      </c>
      <c r="V593" s="86">
        <f t="shared" si="172"/>
        <v>0</v>
      </c>
      <c r="W593" s="86">
        <f t="shared" si="173"/>
        <v>0</v>
      </c>
      <c r="X593" s="86" t="e">
        <f>((PI()*((42-2*'Gen Calcs'!$E$13)^2)/4)/144)*(A636-#REF!)*(W593+14.7)/14.7</f>
        <v>#REF!</v>
      </c>
      <c r="Y593" s="86" t="e">
        <f t="shared" si="174"/>
        <v>#REF!</v>
      </c>
      <c r="Z593" s="86" t="e">
        <f t="shared" si="175"/>
        <v>#REF!</v>
      </c>
      <c r="AA593" s="83">
        <f>MAX(B$2:B593)-B593</f>
        <v>13.221599999999967</v>
      </c>
      <c r="AB593" s="83">
        <f t="shared" si="176"/>
        <v>5.7249527999999854</v>
      </c>
      <c r="AC593" s="83">
        <f t="shared" si="178"/>
        <v>120</v>
      </c>
      <c r="AD593" s="72">
        <v>120</v>
      </c>
      <c r="AE593" s="73">
        <f t="shared" si="185"/>
        <v>907.92027688745009</v>
      </c>
      <c r="AF593" s="73">
        <f>SUM(AE$2:AE593)</f>
        <v>490572.66318971821</v>
      </c>
      <c r="AG593" s="73">
        <f t="shared" si="186"/>
        <v>683157.23923739092</v>
      </c>
    </row>
    <row r="594" spans="1:33" x14ac:dyDescent="0.25">
      <c r="A594" s="100">
        <v>150099.92000000001</v>
      </c>
      <c r="B594" s="97">
        <v>820.81539999999995</v>
      </c>
      <c r="C594" s="97">
        <v>0.6</v>
      </c>
      <c r="D594" s="80">
        <f t="shared" si="171"/>
        <v>100</v>
      </c>
      <c r="E594" s="81">
        <f t="shared" si="179"/>
        <v>6791.2436711181272</v>
      </c>
      <c r="F594" s="81">
        <f>SUM(E$2:E594)</f>
        <v>3673303.1230818587</v>
      </c>
      <c r="G594" s="43">
        <f t="shared" si="177"/>
        <v>1</v>
      </c>
      <c r="H594" s="78">
        <v>1</v>
      </c>
      <c r="I594" s="15">
        <f t="shared" si="180"/>
        <v>0.6</v>
      </c>
      <c r="J594" s="16">
        <f>VLOOKUP(G594,Inputs!$L$3:$P$15,5,FALSE)</f>
        <v>2000</v>
      </c>
      <c r="K594" s="16">
        <f t="shared" si="181"/>
        <v>1825</v>
      </c>
      <c r="L594" s="79">
        <f>Inputs!$P$8-B594</f>
        <v>117.37560000000008</v>
      </c>
      <c r="M594" s="79">
        <f>Inputs!$Q$8+L594*0.433</f>
        <v>1875.8236348</v>
      </c>
      <c r="N594" s="82">
        <f t="shared" si="182"/>
        <v>150099.92000000001</v>
      </c>
      <c r="O594" s="83">
        <f t="shared" si="183"/>
        <v>820.81539999999995</v>
      </c>
      <c r="P594" s="84">
        <f>IF(O594="","",Inputs!$C$5-O594)</f>
        <v>4.3691000000000031</v>
      </c>
      <c r="Q594" s="83">
        <f>IF(N594="","",TS!J594)</f>
        <v>2000</v>
      </c>
      <c r="R594" s="83">
        <f>IF(N594="","",TS!K594)</f>
        <v>1825</v>
      </c>
      <c r="S594" s="83">
        <f>Inputs!$H$5+TS!P594*0.4333</f>
        <v>1876.8588474799999</v>
      </c>
      <c r="T594" s="83">
        <f>Inputs!$G$5+TS!P594*0.4333</f>
        <v>1891.8588474799999</v>
      </c>
      <c r="U594" s="85">
        <f t="shared" si="184"/>
        <v>0.94592942374</v>
      </c>
      <c r="V594" s="86">
        <f t="shared" si="172"/>
        <v>0</v>
      </c>
      <c r="W594" s="86">
        <f t="shared" si="173"/>
        <v>0</v>
      </c>
      <c r="X594" s="86" t="e">
        <f>((PI()*((42-2*'Gen Calcs'!$E$13)^2)/4)/144)*(A637-#REF!)*(W594+14.7)/14.7</f>
        <v>#REF!</v>
      </c>
      <c r="Y594" s="86" t="e">
        <f t="shared" si="174"/>
        <v>#REF!</v>
      </c>
      <c r="Z594" s="86" t="e">
        <f t="shared" si="175"/>
        <v>#REF!</v>
      </c>
      <c r="AA594" s="83">
        <f>MAX(B$2:B594)-B594</f>
        <v>11.807999999999993</v>
      </c>
      <c r="AB594" s="83">
        <f t="shared" si="176"/>
        <v>5.1128639999999965</v>
      </c>
      <c r="AC594" s="83">
        <f t="shared" si="178"/>
        <v>120</v>
      </c>
      <c r="AD594" s="72">
        <v>120</v>
      </c>
      <c r="AE594" s="73">
        <f t="shared" si="185"/>
        <v>907.92027688745009</v>
      </c>
      <c r="AF594" s="73">
        <f>SUM(AE$2:AE594)</f>
        <v>491480.58346660563</v>
      </c>
      <c r="AG594" s="73">
        <f t="shared" si="186"/>
        <v>682249.31896050356</v>
      </c>
    </row>
    <row r="595" spans="1:33" x14ac:dyDescent="0.25">
      <c r="A595" s="99">
        <v>150120.79999999999</v>
      </c>
      <c r="B595" s="96">
        <v>820.81539999999995</v>
      </c>
      <c r="C595" s="96">
        <v>0.86399999999999999</v>
      </c>
      <c r="D595" s="80">
        <f t="shared" si="171"/>
        <v>20.879999999975553</v>
      </c>
      <c r="E595" s="81">
        <f t="shared" si="179"/>
        <v>1418.0116785278046</v>
      </c>
      <c r="F595" s="81">
        <f>SUM(E$2:E595)</f>
        <v>3674721.1347603863</v>
      </c>
      <c r="G595" s="43">
        <f t="shared" si="177"/>
        <v>2</v>
      </c>
      <c r="H595" s="78">
        <v>1</v>
      </c>
      <c r="I595" s="15">
        <f t="shared" si="180"/>
        <v>0.86399999999999999</v>
      </c>
      <c r="J595" s="16">
        <f>VLOOKUP(G595,Inputs!$L$3:$P$15,5,FALSE)</f>
        <v>2880</v>
      </c>
      <c r="K595" s="16">
        <f t="shared" si="181"/>
        <v>1825</v>
      </c>
      <c r="L595" s="79">
        <f>Inputs!$P$8-B595</f>
        <v>117.37560000000008</v>
      </c>
      <c r="M595" s="79">
        <f>Inputs!$Q$8+L595*0.433</f>
        <v>1875.8236348</v>
      </c>
      <c r="N595" s="82">
        <f t="shared" si="182"/>
        <v>150120.79999999999</v>
      </c>
      <c r="O595" s="83">
        <f t="shared" si="183"/>
        <v>820.81539999999995</v>
      </c>
      <c r="P595" s="84">
        <f>IF(O595="","",Inputs!$C$5-O595)</f>
        <v>4.3691000000000031</v>
      </c>
      <c r="Q595" s="83">
        <f>IF(N595="","",TS!J595)</f>
        <v>2880</v>
      </c>
      <c r="R595" s="83">
        <f>IF(N595="","",TS!K595)</f>
        <v>1825</v>
      </c>
      <c r="S595" s="83">
        <f>Inputs!$H$5+TS!P595*0.4333</f>
        <v>1876.8588474799999</v>
      </c>
      <c r="T595" s="83">
        <f>Inputs!$G$5+TS!P595*0.4333</f>
        <v>1891.8588474799999</v>
      </c>
      <c r="U595" s="85">
        <f t="shared" si="184"/>
        <v>0.65689543315277776</v>
      </c>
      <c r="V595" s="86">
        <f t="shared" si="172"/>
        <v>0</v>
      </c>
      <c r="W595" s="86">
        <f t="shared" si="173"/>
        <v>0</v>
      </c>
      <c r="X595" s="86" t="e">
        <f>((PI()*((42-2*'Gen Calcs'!$E$13)^2)/4)/144)*(A638-#REF!)*(W595+14.7)/14.7</f>
        <v>#REF!</v>
      </c>
      <c r="Y595" s="86" t="e">
        <f t="shared" si="174"/>
        <v>#REF!</v>
      </c>
      <c r="Z595" s="86" t="e">
        <f t="shared" si="175"/>
        <v>#REF!</v>
      </c>
      <c r="AA595" s="83">
        <f>MAX(B$2:B595)-B595</f>
        <v>11.807999999999993</v>
      </c>
      <c r="AB595" s="83">
        <f t="shared" si="176"/>
        <v>5.1128639999999965</v>
      </c>
      <c r="AC595" s="83">
        <f t="shared" si="178"/>
        <v>120</v>
      </c>
      <c r="AD595" s="72">
        <v>120</v>
      </c>
      <c r="AE595" s="73">
        <f t="shared" si="185"/>
        <v>184.69888769331288</v>
      </c>
      <c r="AF595" s="73">
        <f>SUM(AE$2:AE595)</f>
        <v>491665.28235429892</v>
      </c>
      <c r="AG595" s="73">
        <f t="shared" si="186"/>
        <v>682064.62007281021</v>
      </c>
    </row>
    <row r="596" spans="1:33" x14ac:dyDescent="0.25">
      <c r="A596" s="100">
        <v>150199.92000000001</v>
      </c>
      <c r="B596" s="97">
        <v>821.08989999999994</v>
      </c>
      <c r="C596" s="97">
        <v>0.6</v>
      </c>
      <c r="D596" s="80">
        <f t="shared" si="171"/>
        <v>79.120000000024447</v>
      </c>
      <c r="E596" s="81">
        <f t="shared" si="179"/>
        <v>5373.2319925903221</v>
      </c>
      <c r="F596" s="81">
        <f>SUM(E$2:E596)</f>
        <v>3680094.3667529766</v>
      </c>
      <c r="G596" s="43">
        <f t="shared" si="177"/>
        <v>1</v>
      </c>
      <c r="H596" s="78">
        <v>1</v>
      </c>
      <c r="I596" s="15">
        <f t="shared" si="180"/>
        <v>0.6</v>
      </c>
      <c r="J596" s="16">
        <f>VLOOKUP(G596,Inputs!$L$3:$P$15,5,FALSE)</f>
        <v>2000</v>
      </c>
      <c r="K596" s="16">
        <f t="shared" si="181"/>
        <v>1825</v>
      </c>
      <c r="L596" s="79">
        <f>Inputs!$P$8-B596</f>
        <v>117.10110000000009</v>
      </c>
      <c r="M596" s="79">
        <f>Inputs!$Q$8+L596*0.433</f>
        <v>1875.7047763</v>
      </c>
      <c r="N596" s="82">
        <f t="shared" si="182"/>
        <v>150199.92000000001</v>
      </c>
      <c r="O596" s="83">
        <f t="shared" si="183"/>
        <v>821.08989999999994</v>
      </c>
      <c r="P596" s="84">
        <f>IF(O596="","",Inputs!$C$5-O596)</f>
        <v>4.094600000000014</v>
      </c>
      <c r="Q596" s="83">
        <f>IF(N596="","",TS!J596)</f>
        <v>2000</v>
      </c>
      <c r="R596" s="83">
        <f>IF(N596="","",TS!K596)</f>
        <v>1825</v>
      </c>
      <c r="S596" s="83">
        <f>Inputs!$H$5+TS!P596*0.4333</f>
        <v>1876.73990663</v>
      </c>
      <c r="T596" s="83">
        <f>Inputs!$G$5+TS!P596*0.4333</f>
        <v>1891.73990663</v>
      </c>
      <c r="U596" s="85">
        <f t="shared" si="184"/>
        <v>0.94586995331500001</v>
      </c>
      <c r="V596" s="86">
        <f t="shared" si="172"/>
        <v>0</v>
      </c>
      <c r="W596" s="86">
        <f t="shared" si="173"/>
        <v>0</v>
      </c>
      <c r="X596" s="86" t="e">
        <f>((PI()*((42-2*'Gen Calcs'!$E$13)^2)/4)/144)*(A639-#REF!)*(W596+14.7)/14.7</f>
        <v>#REF!</v>
      </c>
      <c r="Y596" s="86" t="e">
        <f t="shared" si="174"/>
        <v>#REF!</v>
      </c>
      <c r="Z596" s="86" t="e">
        <f t="shared" si="175"/>
        <v>#REF!</v>
      </c>
      <c r="AA596" s="83">
        <f>MAX(B$2:B596)-B596</f>
        <v>11.533500000000004</v>
      </c>
      <c r="AB596" s="83">
        <f t="shared" si="176"/>
        <v>4.9940055000000019</v>
      </c>
      <c r="AC596" s="83">
        <f t="shared" si="178"/>
        <v>120</v>
      </c>
      <c r="AD596" s="72">
        <v>120</v>
      </c>
      <c r="AE596" s="73">
        <f t="shared" si="185"/>
        <v>718.34652307357248</v>
      </c>
      <c r="AF596" s="73">
        <f>SUM(AE$2:AE596)</f>
        <v>492383.62887737248</v>
      </c>
      <c r="AG596" s="73">
        <f t="shared" si="186"/>
        <v>681346.27354973671</v>
      </c>
    </row>
    <row r="597" spans="1:33" x14ac:dyDescent="0.25">
      <c r="A597" s="99">
        <v>150240.79999999999</v>
      </c>
      <c r="B597" s="96">
        <v>821.08989999999994</v>
      </c>
      <c r="C597" s="96">
        <v>0.86399999999999999</v>
      </c>
      <c r="D597" s="80">
        <f t="shared" si="171"/>
        <v>40.879999999975553</v>
      </c>
      <c r="E597" s="81">
        <f t="shared" si="179"/>
        <v>2776.2604127514301</v>
      </c>
      <c r="F597" s="81">
        <f>SUM(E$2:E597)</f>
        <v>3682870.6271657278</v>
      </c>
      <c r="G597" s="43">
        <f t="shared" si="177"/>
        <v>2</v>
      </c>
      <c r="H597" s="78">
        <v>1</v>
      </c>
      <c r="I597" s="15">
        <f t="shared" si="180"/>
        <v>0.86399999999999999</v>
      </c>
      <c r="J597" s="16">
        <f>VLOOKUP(G597,Inputs!$L$3:$P$15,5,FALSE)</f>
        <v>2880</v>
      </c>
      <c r="K597" s="16">
        <f t="shared" si="181"/>
        <v>1825</v>
      </c>
      <c r="L597" s="79">
        <f>Inputs!$P$8-B597</f>
        <v>117.10110000000009</v>
      </c>
      <c r="M597" s="79">
        <f>Inputs!$Q$8+L597*0.433</f>
        <v>1875.7047763</v>
      </c>
      <c r="N597" s="82">
        <f t="shared" si="182"/>
        <v>150240.79999999999</v>
      </c>
      <c r="O597" s="83">
        <f t="shared" si="183"/>
        <v>821.08989999999994</v>
      </c>
      <c r="P597" s="84">
        <f>IF(O597="","",Inputs!$C$5-O597)</f>
        <v>4.094600000000014</v>
      </c>
      <c r="Q597" s="83">
        <f>IF(N597="","",TS!J597)</f>
        <v>2880</v>
      </c>
      <c r="R597" s="83">
        <f>IF(N597="","",TS!K597)</f>
        <v>1825</v>
      </c>
      <c r="S597" s="83">
        <f>Inputs!$H$5+TS!P597*0.4333</f>
        <v>1876.73990663</v>
      </c>
      <c r="T597" s="83">
        <f>Inputs!$G$5+TS!P597*0.4333</f>
        <v>1891.73990663</v>
      </c>
      <c r="U597" s="85">
        <f t="shared" si="184"/>
        <v>0.65685413424652772</v>
      </c>
      <c r="V597" s="86">
        <f t="shared" si="172"/>
        <v>0</v>
      </c>
      <c r="W597" s="86">
        <f t="shared" si="173"/>
        <v>0</v>
      </c>
      <c r="X597" s="86" t="e">
        <f>((PI()*((42-2*'Gen Calcs'!$E$13)^2)/4)/144)*(A640-#REF!)*(W597+14.7)/14.7</f>
        <v>#REF!</v>
      </c>
      <c r="Y597" s="86" t="e">
        <f t="shared" si="174"/>
        <v>#REF!</v>
      </c>
      <c r="Z597" s="86" t="e">
        <f t="shared" si="175"/>
        <v>#REF!</v>
      </c>
      <c r="AA597" s="83">
        <f>MAX(B$2:B597)-B597</f>
        <v>11.533500000000004</v>
      </c>
      <c r="AB597" s="83">
        <f t="shared" si="176"/>
        <v>4.9940055000000019</v>
      </c>
      <c r="AC597" s="83">
        <f t="shared" si="178"/>
        <v>120</v>
      </c>
      <c r="AD597" s="72">
        <v>120</v>
      </c>
      <c r="AE597" s="73">
        <f t="shared" si="185"/>
        <v>361.61353107791933</v>
      </c>
      <c r="AF597" s="73">
        <f>SUM(AE$2:AE597)</f>
        <v>492745.2424084504</v>
      </c>
      <c r="AG597" s="73">
        <f t="shared" si="186"/>
        <v>680984.66001865873</v>
      </c>
    </row>
    <row r="598" spans="1:33" x14ac:dyDescent="0.25">
      <c r="A598" s="100">
        <v>150299.92000000001</v>
      </c>
      <c r="B598" s="97">
        <v>820.28399999999999</v>
      </c>
      <c r="C598" s="97">
        <v>0.6</v>
      </c>
      <c r="D598" s="80">
        <f t="shared" si="171"/>
        <v>59.120000000024447</v>
      </c>
      <c r="E598" s="81">
        <f t="shared" si="179"/>
        <v>4014.9832583666971</v>
      </c>
      <c r="F598" s="81">
        <f>SUM(E$2:E598)</f>
        <v>3686885.6104240944</v>
      </c>
      <c r="G598" s="43">
        <f t="shared" si="177"/>
        <v>1</v>
      </c>
      <c r="H598" s="78">
        <v>1</v>
      </c>
      <c r="I598" s="15">
        <f t="shared" si="180"/>
        <v>0.6</v>
      </c>
      <c r="J598" s="16">
        <f>VLOOKUP(G598,Inputs!$L$3:$P$15,5,FALSE)</f>
        <v>2000</v>
      </c>
      <c r="K598" s="16">
        <f t="shared" si="181"/>
        <v>1825</v>
      </c>
      <c r="L598" s="79">
        <f>Inputs!$P$8-B598</f>
        <v>117.90700000000004</v>
      </c>
      <c r="M598" s="79">
        <f>Inputs!$Q$8+L598*0.433</f>
        <v>1876.053731</v>
      </c>
      <c r="N598" s="82">
        <f t="shared" si="182"/>
        <v>150299.92000000001</v>
      </c>
      <c r="O598" s="83">
        <f t="shared" si="183"/>
        <v>820.28399999999999</v>
      </c>
      <c r="P598" s="84">
        <f>IF(O598="","",Inputs!$C$5-O598)</f>
        <v>4.9004999999999654</v>
      </c>
      <c r="Q598" s="83">
        <f>IF(N598="","",TS!J598)</f>
        <v>2000</v>
      </c>
      <c r="R598" s="83">
        <f>IF(N598="","",TS!K598)</f>
        <v>1825</v>
      </c>
      <c r="S598" s="83">
        <f>Inputs!$H$5+TS!P598*0.4333</f>
        <v>1877.0891030999999</v>
      </c>
      <c r="T598" s="83">
        <f>Inputs!$G$5+TS!P598*0.4333</f>
        <v>1892.0891030999999</v>
      </c>
      <c r="U598" s="85">
        <f t="shared" si="184"/>
        <v>0.94604455154999989</v>
      </c>
      <c r="V598" s="86">
        <f t="shared" si="172"/>
        <v>0</v>
      </c>
      <c r="W598" s="86">
        <f t="shared" si="173"/>
        <v>0</v>
      </c>
      <c r="X598" s="86" t="e">
        <f>((PI()*((42-2*'Gen Calcs'!$E$13)^2)/4)/144)*(A641-#REF!)*(W598+14.7)/14.7</f>
        <v>#REF!</v>
      </c>
      <c r="Y598" s="86" t="e">
        <f t="shared" si="174"/>
        <v>#REF!</v>
      </c>
      <c r="Z598" s="86" t="e">
        <f t="shared" si="175"/>
        <v>#REF!</v>
      </c>
      <c r="AA598" s="83">
        <f>MAX(B$2:B598)-B598</f>
        <v>12.339399999999955</v>
      </c>
      <c r="AB598" s="83">
        <f t="shared" si="176"/>
        <v>5.3429601999999807</v>
      </c>
      <c r="AC598" s="83">
        <f t="shared" si="178"/>
        <v>120</v>
      </c>
      <c r="AD598" s="72">
        <v>120</v>
      </c>
      <c r="AE598" s="73">
        <f t="shared" si="185"/>
        <v>536.76246769608247</v>
      </c>
      <c r="AF598" s="73">
        <f>SUM(AE$2:AE598)</f>
        <v>493282.0048761465</v>
      </c>
      <c r="AG598" s="73">
        <f t="shared" si="186"/>
        <v>680447.89755096263</v>
      </c>
    </row>
    <row r="599" spans="1:33" x14ac:dyDescent="0.25">
      <c r="A599" s="99">
        <v>150399.92000000001</v>
      </c>
      <c r="B599" s="96">
        <v>818.74030000000005</v>
      </c>
      <c r="C599" s="96">
        <v>0.6</v>
      </c>
      <c r="D599" s="80">
        <f t="shared" si="171"/>
        <v>100</v>
      </c>
      <c r="E599" s="81">
        <f t="shared" si="179"/>
        <v>6791.2436711181272</v>
      </c>
      <c r="F599" s="81">
        <f>SUM(E$2:E599)</f>
        <v>3693676.8540952126</v>
      </c>
      <c r="G599" s="43">
        <f t="shared" si="177"/>
        <v>1</v>
      </c>
      <c r="H599" s="78">
        <v>1</v>
      </c>
      <c r="I599" s="15">
        <f t="shared" si="180"/>
        <v>0.6</v>
      </c>
      <c r="J599" s="16">
        <f>VLOOKUP(G599,Inputs!$L$3:$P$15,5,FALSE)</f>
        <v>2000</v>
      </c>
      <c r="K599" s="16">
        <f t="shared" si="181"/>
        <v>1825</v>
      </c>
      <c r="L599" s="79">
        <f>Inputs!$P$8-B599</f>
        <v>119.45069999999998</v>
      </c>
      <c r="M599" s="79">
        <f>Inputs!$Q$8+L599*0.433</f>
        <v>1876.7221531</v>
      </c>
      <c r="N599" s="82">
        <f t="shared" si="182"/>
        <v>150399.92000000001</v>
      </c>
      <c r="O599" s="83">
        <f t="shared" si="183"/>
        <v>818.74030000000005</v>
      </c>
      <c r="P599" s="84">
        <f>IF(O599="","",Inputs!$C$5-O599)</f>
        <v>6.4441999999999098</v>
      </c>
      <c r="Q599" s="83">
        <f>IF(N599="","",TS!J599)</f>
        <v>2000</v>
      </c>
      <c r="R599" s="83">
        <f>IF(N599="","",TS!K599)</f>
        <v>1825</v>
      </c>
      <c r="S599" s="83">
        <f>Inputs!$H$5+TS!P599*0.4333</f>
        <v>1877.75798831</v>
      </c>
      <c r="T599" s="83">
        <f>Inputs!$G$5+TS!P599*0.4333</f>
        <v>1892.75798831</v>
      </c>
      <c r="U599" s="85">
        <f t="shared" si="184"/>
        <v>0.94637899415500004</v>
      </c>
      <c r="V599" s="86">
        <f t="shared" si="172"/>
        <v>0</v>
      </c>
      <c r="W599" s="86">
        <f t="shared" si="173"/>
        <v>0</v>
      </c>
      <c r="X599" s="86" t="e">
        <f>((PI()*((42-2*'Gen Calcs'!$E$13)^2)/4)/144)*(A642-#REF!)*(W599+14.7)/14.7</f>
        <v>#REF!</v>
      </c>
      <c r="Y599" s="86" t="e">
        <f t="shared" si="174"/>
        <v>#REF!</v>
      </c>
      <c r="Z599" s="86" t="e">
        <f t="shared" si="175"/>
        <v>#REF!</v>
      </c>
      <c r="AA599" s="83">
        <f>MAX(B$2:B599)-B599</f>
        <v>13.883099999999899</v>
      </c>
      <c r="AB599" s="83">
        <f t="shared" si="176"/>
        <v>6.0113822999999567</v>
      </c>
      <c r="AC599" s="83">
        <f t="shared" si="178"/>
        <v>120</v>
      </c>
      <c r="AD599" s="72">
        <v>120</v>
      </c>
      <c r="AE599" s="73">
        <f t="shared" si="185"/>
        <v>907.92027688745009</v>
      </c>
      <c r="AF599" s="73">
        <f>SUM(AE$2:AE599)</f>
        <v>494189.92515303392</v>
      </c>
      <c r="AG599" s="73">
        <f t="shared" si="186"/>
        <v>679539.97727407527</v>
      </c>
    </row>
    <row r="600" spans="1:33" x14ac:dyDescent="0.25">
      <c r="A600" s="100">
        <v>150499.92000000001</v>
      </c>
      <c r="B600" s="97">
        <v>816.9751</v>
      </c>
      <c r="C600" s="97">
        <v>0.6</v>
      </c>
      <c r="D600" s="80">
        <f t="shared" si="171"/>
        <v>100</v>
      </c>
      <c r="E600" s="81">
        <f t="shared" si="179"/>
        <v>6791.2436711181272</v>
      </c>
      <c r="F600" s="81">
        <f>SUM(E$2:E600)</f>
        <v>3700468.0977663309</v>
      </c>
      <c r="G600" s="43">
        <f t="shared" si="177"/>
        <v>1</v>
      </c>
      <c r="H600" s="78">
        <v>1</v>
      </c>
      <c r="I600" s="15">
        <f t="shared" si="180"/>
        <v>0.6</v>
      </c>
      <c r="J600" s="16">
        <f>VLOOKUP(G600,Inputs!$L$3:$P$15,5,FALSE)</f>
        <v>2000</v>
      </c>
      <c r="K600" s="16">
        <f t="shared" si="181"/>
        <v>1825</v>
      </c>
      <c r="L600" s="79">
        <f>Inputs!$P$8-B600</f>
        <v>121.21590000000003</v>
      </c>
      <c r="M600" s="79">
        <f>Inputs!$Q$8+L600*0.433</f>
        <v>1877.4864847000001</v>
      </c>
      <c r="N600" s="82">
        <f t="shared" si="182"/>
        <v>150499.92000000001</v>
      </c>
      <c r="O600" s="83">
        <f t="shared" si="183"/>
        <v>816.9751</v>
      </c>
      <c r="P600" s="84">
        <f>IF(O600="","",Inputs!$C$5-O600)</f>
        <v>8.2093999999999596</v>
      </c>
      <c r="Q600" s="83">
        <f>IF(N600="","",TS!J600)</f>
        <v>2000</v>
      </c>
      <c r="R600" s="83">
        <f>IF(N600="","",TS!K600)</f>
        <v>1825</v>
      </c>
      <c r="S600" s="83">
        <f>Inputs!$H$5+TS!P600*0.4333</f>
        <v>1878.52284947</v>
      </c>
      <c r="T600" s="83">
        <f>Inputs!$G$5+TS!P600*0.4333</f>
        <v>1893.52284947</v>
      </c>
      <c r="U600" s="85">
        <f t="shared" si="184"/>
        <v>0.94676142473500002</v>
      </c>
      <c r="V600" s="86">
        <f t="shared" si="172"/>
        <v>0</v>
      </c>
      <c r="W600" s="86">
        <f t="shared" si="173"/>
        <v>0</v>
      </c>
      <c r="X600" s="86" t="e">
        <f>((PI()*((42-2*'Gen Calcs'!$E$13)^2)/4)/144)*(A643-#REF!)*(W600+14.7)/14.7</f>
        <v>#REF!</v>
      </c>
      <c r="Y600" s="86" t="e">
        <f t="shared" si="174"/>
        <v>#REF!</v>
      </c>
      <c r="Z600" s="86" t="e">
        <f t="shared" si="175"/>
        <v>#REF!</v>
      </c>
      <c r="AA600" s="83">
        <f>MAX(B$2:B600)-B600</f>
        <v>15.648299999999949</v>
      </c>
      <c r="AB600" s="83">
        <f t="shared" si="176"/>
        <v>6.7757138999999782</v>
      </c>
      <c r="AC600" s="83">
        <f t="shared" si="178"/>
        <v>120</v>
      </c>
      <c r="AD600" s="72">
        <v>120</v>
      </c>
      <c r="AE600" s="73">
        <f t="shared" si="185"/>
        <v>907.92027688745009</v>
      </c>
      <c r="AF600" s="73">
        <f>SUM(AE$2:AE600)</f>
        <v>495097.84542992135</v>
      </c>
      <c r="AG600" s="73">
        <f t="shared" si="186"/>
        <v>678632.0569971879</v>
      </c>
    </row>
    <row r="601" spans="1:33" x14ac:dyDescent="0.25">
      <c r="A601" s="99">
        <v>150599.92000000001</v>
      </c>
      <c r="B601" s="96">
        <v>815.06</v>
      </c>
      <c r="C601" s="96">
        <v>0.6</v>
      </c>
      <c r="D601" s="80">
        <f t="shared" si="171"/>
        <v>100</v>
      </c>
      <c r="E601" s="81">
        <f t="shared" si="179"/>
        <v>6791.2436711181272</v>
      </c>
      <c r="F601" s="81">
        <f>SUM(E$2:E601)</f>
        <v>3707259.3414374492</v>
      </c>
      <c r="G601" s="43">
        <f t="shared" si="177"/>
        <v>1</v>
      </c>
      <c r="H601" s="78">
        <v>1</v>
      </c>
      <c r="I601" s="15">
        <f t="shared" si="180"/>
        <v>0.6</v>
      </c>
      <c r="J601" s="16">
        <f>VLOOKUP(G601,Inputs!$L$3:$P$15,5,FALSE)</f>
        <v>2000</v>
      </c>
      <c r="K601" s="16">
        <f t="shared" si="181"/>
        <v>1825</v>
      </c>
      <c r="L601" s="79">
        <f>Inputs!$P$8-B601</f>
        <v>123.13100000000009</v>
      </c>
      <c r="M601" s="79">
        <f>Inputs!$Q$8+L601*0.433</f>
        <v>1878.3157229999999</v>
      </c>
      <c r="N601" s="82">
        <f t="shared" si="182"/>
        <v>150599.92000000001</v>
      </c>
      <c r="O601" s="83">
        <f t="shared" si="183"/>
        <v>815.06</v>
      </c>
      <c r="P601" s="84">
        <f>IF(O601="","",Inputs!$C$5-O601)</f>
        <v>10.124500000000012</v>
      </c>
      <c r="Q601" s="83">
        <f>IF(N601="","",TS!J601)</f>
        <v>2000</v>
      </c>
      <c r="R601" s="83">
        <f>IF(N601="","",TS!K601)</f>
        <v>1825</v>
      </c>
      <c r="S601" s="83">
        <f>Inputs!$H$5+TS!P601*0.4333</f>
        <v>1879.3526623</v>
      </c>
      <c r="T601" s="83">
        <f>Inputs!$G$5+TS!P601*0.4333</f>
        <v>1894.3526623</v>
      </c>
      <c r="U601" s="85">
        <f t="shared" si="184"/>
        <v>0.94717633114999999</v>
      </c>
      <c r="V601" s="86">
        <f t="shared" si="172"/>
        <v>0</v>
      </c>
      <c r="W601" s="86">
        <f t="shared" si="173"/>
        <v>0</v>
      </c>
      <c r="X601" s="86" t="e">
        <f>((PI()*((42-2*'Gen Calcs'!$E$13)^2)/4)/144)*(A644-#REF!)*(W601+14.7)/14.7</f>
        <v>#REF!</v>
      </c>
      <c r="Y601" s="86" t="e">
        <f t="shared" si="174"/>
        <v>#REF!</v>
      </c>
      <c r="Z601" s="86" t="e">
        <f t="shared" si="175"/>
        <v>#REF!</v>
      </c>
      <c r="AA601" s="83">
        <f>MAX(B$2:B601)-B601</f>
        <v>17.563400000000001</v>
      </c>
      <c r="AB601" s="83">
        <f t="shared" si="176"/>
        <v>7.6049522000000005</v>
      </c>
      <c r="AC601" s="83">
        <f t="shared" si="178"/>
        <v>120</v>
      </c>
      <c r="AD601" s="72">
        <v>120</v>
      </c>
      <c r="AE601" s="73">
        <f t="shared" si="185"/>
        <v>907.92027688745009</v>
      </c>
      <c r="AF601" s="73">
        <f>SUM(AE$2:AE601)</f>
        <v>496005.76570680877</v>
      </c>
      <c r="AG601" s="73">
        <f t="shared" si="186"/>
        <v>677724.13672030042</v>
      </c>
    </row>
    <row r="602" spans="1:33" x14ac:dyDescent="0.25">
      <c r="A602" s="100">
        <v>150699.92000000001</v>
      </c>
      <c r="B602" s="97">
        <v>812.91949999999997</v>
      </c>
      <c r="C602" s="97">
        <v>0.6</v>
      </c>
      <c r="D602" s="80">
        <f t="shared" si="171"/>
        <v>100</v>
      </c>
      <c r="E602" s="81">
        <f t="shared" si="179"/>
        <v>6791.2436711181272</v>
      </c>
      <c r="F602" s="81">
        <f>SUM(E$2:E602)</f>
        <v>3714050.5851085675</v>
      </c>
      <c r="G602" s="43">
        <f t="shared" si="177"/>
        <v>1</v>
      </c>
      <c r="H602" s="78">
        <v>1</v>
      </c>
      <c r="I602" s="15">
        <f t="shared" si="180"/>
        <v>0.6</v>
      </c>
      <c r="J602" s="16">
        <f>VLOOKUP(G602,Inputs!$L$3:$P$15,5,FALSE)</f>
        <v>2000</v>
      </c>
      <c r="K602" s="16">
        <f t="shared" si="181"/>
        <v>1825</v>
      </c>
      <c r="L602" s="79">
        <f>Inputs!$P$8-B602</f>
        <v>125.27150000000006</v>
      </c>
      <c r="M602" s="79">
        <f>Inputs!$Q$8+L602*0.433</f>
        <v>1879.2425595</v>
      </c>
      <c r="N602" s="82">
        <f t="shared" si="182"/>
        <v>150699.92000000001</v>
      </c>
      <c r="O602" s="83">
        <f t="shared" si="183"/>
        <v>812.91949999999997</v>
      </c>
      <c r="P602" s="84">
        <f>IF(O602="","",Inputs!$C$5-O602)</f>
        <v>12.264999999999986</v>
      </c>
      <c r="Q602" s="83">
        <f>IF(N602="","",TS!J602)</f>
        <v>2000</v>
      </c>
      <c r="R602" s="83">
        <f>IF(N602="","",TS!K602)</f>
        <v>1825</v>
      </c>
      <c r="S602" s="83">
        <f>Inputs!$H$5+TS!P602*0.4333</f>
        <v>1880.28014095</v>
      </c>
      <c r="T602" s="83">
        <f>Inputs!$G$5+TS!P602*0.4333</f>
        <v>1895.28014095</v>
      </c>
      <c r="U602" s="85">
        <f t="shared" si="184"/>
        <v>0.94764007047499998</v>
      </c>
      <c r="V602" s="86">
        <f t="shared" si="172"/>
        <v>0</v>
      </c>
      <c r="W602" s="86">
        <f t="shared" si="173"/>
        <v>0</v>
      </c>
      <c r="X602" s="86" t="e">
        <f>((PI()*((42-2*'Gen Calcs'!$E$13)^2)/4)/144)*(A645-#REF!)*(W602+14.7)/14.7</f>
        <v>#REF!</v>
      </c>
      <c r="Y602" s="86" t="e">
        <f t="shared" si="174"/>
        <v>#REF!</v>
      </c>
      <c r="Z602" s="86" t="e">
        <f t="shared" si="175"/>
        <v>#REF!</v>
      </c>
      <c r="AA602" s="83">
        <f>MAX(B$2:B602)-B602</f>
        <v>19.703899999999976</v>
      </c>
      <c r="AB602" s="83">
        <f t="shared" si="176"/>
        <v>8.5317886999999892</v>
      </c>
      <c r="AC602" s="83">
        <f t="shared" si="178"/>
        <v>120</v>
      </c>
      <c r="AD602" s="72">
        <v>120</v>
      </c>
      <c r="AE602" s="73">
        <f t="shared" si="185"/>
        <v>907.92027688745009</v>
      </c>
      <c r="AF602" s="73">
        <f>SUM(AE$2:AE602)</f>
        <v>496913.6859836962</v>
      </c>
      <c r="AG602" s="73">
        <f t="shared" si="186"/>
        <v>676816.21644341294</v>
      </c>
    </row>
    <row r="603" spans="1:33" x14ac:dyDescent="0.25">
      <c r="A603" s="99">
        <v>150799.92000000001</v>
      </c>
      <c r="B603" s="96">
        <v>810.75199999999995</v>
      </c>
      <c r="C603" s="96">
        <v>0.6</v>
      </c>
      <c r="D603" s="80">
        <f t="shared" si="171"/>
        <v>100</v>
      </c>
      <c r="E603" s="81">
        <f t="shared" si="179"/>
        <v>6791.2436711181272</v>
      </c>
      <c r="F603" s="81">
        <f>SUM(E$2:E603)</f>
        <v>3720841.8287796858</v>
      </c>
      <c r="G603" s="43">
        <f t="shared" si="177"/>
        <v>1</v>
      </c>
      <c r="H603" s="78">
        <v>1</v>
      </c>
      <c r="I603" s="15">
        <f t="shared" si="180"/>
        <v>0.6</v>
      </c>
      <c r="J603" s="16">
        <f>VLOOKUP(G603,Inputs!$L$3:$P$15,5,FALSE)</f>
        <v>2000</v>
      </c>
      <c r="K603" s="16">
        <f t="shared" si="181"/>
        <v>1825</v>
      </c>
      <c r="L603" s="79">
        <f>Inputs!$P$8-B603</f>
        <v>127.43900000000008</v>
      </c>
      <c r="M603" s="79">
        <f>Inputs!$Q$8+L603*0.433</f>
        <v>1880.1810869999999</v>
      </c>
      <c r="N603" s="82">
        <f t="shared" si="182"/>
        <v>150799.92000000001</v>
      </c>
      <c r="O603" s="83">
        <f t="shared" si="183"/>
        <v>810.75199999999995</v>
      </c>
      <c r="P603" s="84">
        <f>IF(O603="","",Inputs!$C$5-O603)</f>
        <v>14.432500000000005</v>
      </c>
      <c r="Q603" s="83">
        <f>IF(N603="","",TS!J603)</f>
        <v>2000</v>
      </c>
      <c r="R603" s="83">
        <f>IF(N603="","",TS!K603)</f>
        <v>1825</v>
      </c>
      <c r="S603" s="83">
        <f>Inputs!$H$5+TS!P603*0.4333</f>
        <v>1881.2193187</v>
      </c>
      <c r="T603" s="83">
        <f>Inputs!$G$5+TS!P603*0.4333</f>
        <v>1896.2193187</v>
      </c>
      <c r="U603" s="85">
        <f t="shared" si="184"/>
        <v>0.94810965935000002</v>
      </c>
      <c r="V603" s="86">
        <f t="shared" si="172"/>
        <v>0</v>
      </c>
      <c r="W603" s="86">
        <f t="shared" si="173"/>
        <v>0</v>
      </c>
      <c r="X603" s="86" t="e">
        <f>((PI()*((42-2*'Gen Calcs'!$E$13)^2)/4)/144)*(A646-#REF!)*(W603+14.7)/14.7</f>
        <v>#REF!</v>
      </c>
      <c r="Y603" s="86" t="e">
        <f t="shared" si="174"/>
        <v>#REF!</v>
      </c>
      <c r="Z603" s="86" t="e">
        <f t="shared" si="175"/>
        <v>#REF!</v>
      </c>
      <c r="AA603" s="83">
        <f>MAX(B$2:B603)-B603</f>
        <v>21.871399999999994</v>
      </c>
      <c r="AB603" s="83">
        <f t="shared" si="176"/>
        <v>9.4703161999999974</v>
      </c>
      <c r="AC603" s="83">
        <f t="shared" si="178"/>
        <v>120</v>
      </c>
      <c r="AD603" s="72">
        <v>120</v>
      </c>
      <c r="AE603" s="73">
        <f t="shared" si="185"/>
        <v>907.92027688745009</v>
      </c>
      <c r="AF603" s="73">
        <f>SUM(AE$2:AE603)</f>
        <v>497821.60626058362</v>
      </c>
      <c r="AG603" s="73">
        <f t="shared" si="186"/>
        <v>675908.29616652557</v>
      </c>
    </row>
    <row r="604" spans="1:33" x14ac:dyDescent="0.25">
      <c r="A604" s="100">
        <v>150899.92000000001</v>
      </c>
      <c r="B604" s="97">
        <v>807.89750000000004</v>
      </c>
      <c r="C604" s="97">
        <v>0.6</v>
      </c>
      <c r="D604" s="80">
        <f t="shared" si="171"/>
        <v>100</v>
      </c>
      <c r="E604" s="81">
        <f t="shared" si="179"/>
        <v>6791.2436711181272</v>
      </c>
      <c r="F604" s="81">
        <f>SUM(E$2:E604)</f>
        <v>3727633.0724508041</v>
      </c>
      <c r="G604" s="43">
        <f t="shared" si="177"/>
        <v>1</v>
      </c>
      <c r="H604" s="78">
        <v>1</v>
      </c>
      <c r="I604" s="15">
        <f t="shared" si="180"/>
        <v>0.6</v>
      </c>
      <c r="J604" s="16">
        <f>VLOOKUP(G604,Inputs!$L$3:$P$15,5,FALSE)</f>
        <v>2000</v>
      </c>
      <c r="K604" s="16">
        <f t="shared" si="181"/>
        <v>1825</v>
      </c>
      <c r="L604" s="79">
        <f>Inputs!$P$8-B604</f>
        <v>130.29349999999999</v>
      </c>
      <c r="M604" s="79">
        <f>Inputs!$Q$8+L604*0.433</f>
        <v>1881.4170855</v>
      </c>
      <c r="N604" s="82">
        <f t="shared" si="182"/>
        <v>150899.92000000001</v>
      </c>
      <c r="O604" s="83">
        <f t="shared" si="183"/>
        <v>807.89750000000004</v>
      </c>
      <c r="P604" s="84">
        <f>IF(O604="","",Inputs!$C$5-O604)</f>
        <v>17.286999999999921</v>
      </c>
      <c r="Q604" s="83">
        <f>IF(N604="","",TS!J604)</f>
        <v>2000</v>
      </c>
      <c r="R604" s="83">
        <f>IF(N604="","",TS!K604)</f>
        <v>1825</v>
      </c>
      <c r="S604" s="83">
        <f>Inputs!$H$5+TS!P604*0.4333</f>
        <v>1882.4561735499999</v>
      </c>
      <c r="T604" s="83">
        <f>Inputs!$G$5+TS!P604*0.4333</f>
        <v>1897.4561735499999</v>
      </c>
      <c r="U604" s="85">
        <f t="shared" si="184"/>
        <v>0.94872808677499998</v>
      </c>
      <c r="V604" s="86">
        <f t="shared" si="172"/>
        <v>0</v>
      </c>
      <c r="W604" s="86">
        <f t="shared" si="173"/>
        <v>0</v>
      </c>
      <c r="X604" s="86" t="e">
        <f>((PI()*((42-2*'Gen Calcs'!$E$13)^2)/4)/144)*(A647-#REF!)*(W604+14.7)/14.7</f>
        <v>#REF!</v>
      </c>
      <c r="Y604" s="86" t="e">
        <f t="shared" si="174"/>
        <v>#REF!</v>
      </c>
      <c r="Z604" s="86" t="e">
        <f t="shared" si="175"/>
        <v>#REF!</v>
      </c>
      <c r="AA604" s="83">
        <f>MAX(B$2:B604)-B604</f>
        <v>24.725899999999911</v>
      </c>
      <c r="AB604" s="83">
        <f t="shared" si="176"/>
        <v>10.706314699999961</v>
      </c>
      <c r="AC604" s="83">
        <f t="shared" si="178"/>
        <v>120</v>
      </c>
      <c r="AD604" s="72">
        <v>120</v>
      </c>
      <c r="AE604" s="73">
        <f t="shared" si="185"/>
        <v>907.92027688745009</v>
      </c>
      <c r="AF604" s="73">
        <f>SUM(AE$2:AE604)</f>
        <v>498729.52653747104</v>
      </c>
      <c r="AG604" s="73">
        <f t="shared" si="186"/>
        <v>675000.37588963821</v>
      </c>
    </row>
    <row r="605" spans="1:33" x14ac:dyDescent="0.25">
      <c r="A605" s="99">
        <v>150999.92000000001</v>
      </c>
      <c r="B605" s="96">
        <v>809.73180000000002</v>
      </c>
      <c r="C605" s="96">
        <v>0.6</v>
      </c>
      <c r="D605" s="80">
        <f t="shared" si="171"/>
        <v>100</v>
      </c>
      <c r="E605" s="81">
        <f t="shared" si="179"/>
        <v>6791.2436711181272</v>
      </c>
      <c r="F605" s="81">
        <f>SUM(E$2:E605)</f>
        <v>3734424.3161219223</v>
      </c>
      <c r="G605" s="43">
        <f t="shared" si="177"/>
        <v>1</v>
      </c>
      <c r="H605" s="78">
        <v>1</v>
      </c>
      <c r="I605" s="15">
        <f t="shared" si="180"/>
        <v>0.6</v>
      </c>
      <c r="J605" s="16">
        <f>VLOOKUP(G605,Inputs!$L$3:$P$15,5,FALSE)</f>
        <v>2000</v>
      </c>
      <c r="K605" s="16">
        <f t="shared" si="181"/>
        <v>1825</v>
      </c>
      <c r="L605" s="79">
        <f>Inputs!$P$8-B605</f>
        <v>128.45920000000001</v>
      </c>
      <c r="M605" s="79">
        <f>Inputs!$Q$8+L605*0.433</f>
        <v>1880.6228335999999</v>
      </c>
      <c r="N605" s="82">
        <f t="shared" si="182"/>
        <v>150999.92000000001</v>
      </c>
      <c r="O605" s="83">
        <f t="shared" si="183"/>
        <v>809.73180000000002</v>
      </c>
      <c r="P605" s="84">
        <f>IF(O605="","",Inputs!$C$5-O605)</f>
        <v>15.452699999999936</v>
      </c>
      <c r="Q605" s="83">
        <f>IF(N605="","",TS!J605)</f>
        <v>2000</v>
      </c>
      <c r="R605" s="83">
        <f>IF(N605="","",TS!K605)</f>
        <v>1825</v>
      </c>
      <c r="S605" s="83">
        <f>Inputs!$H$5+TS!P605*0.4333</f>
        <v>1881.66137136</v>
      </c>
      <c r="T605" s="83">
        <f>Inputs!$G$5+TS!P605*0.4333</f>
        <v>1896.66137136</v>
      </c>
      <c r="U605" s="85">
        <f t="shared" si="184"/>
        <v>0.94833068568000001</v>
      </c>
      <c r="V605" s="86">
        <f t="shared" si="172"/>
        <v>0</v>
      </c>
      <c r="W605" s="86">
        <f t="shared" si="173"/>
        <v>0</v>
      </c>
      <c r="X605" s="86" t="e">
        <f>((PI()*((42-2*'Gen Calcs'!$E$13)^2)/4)/144)*(A648-#REF!)*(W605+14.7)/14.7</f>
        <v>#REF!</v>
      </c>
      <c r="Y605" s="86" t="e">
        <f t="shared" si="174"/>
        <v>#REF!</v>
      </c>
      <c r="Z605" s="86" t="e">
        <f t="shared" si="175"/>
        <v>#REF!</v>
      </c>
      <c r="AA605" s="83">
        <f>MAX(B$2:B605)-B605</f>
        <v>22.891599999999926</v>
      </c>
      <c r="AB605" s="83">
        <f t="shared" si="176"/>
        <v>9.9120627999999673</v>
      </c>
      <c r="AC605" s="83">
        <f t="shared" si="178"/>
        <v>120</v>
      </c>
      <c r="AD605" s="72">
        <v>120</v>
      </c>
      <c r="AE605" s="73">
        <f t="shared" si="185"/>
        <v>907.92027688745009</v>
      </c>
      <c r="AF605" s="73">
        <f>SUM(AE$2:AE605)</f>
        <v>499637.44681435847</v>
      </c>
      <c r="AG605" s="73">
        <f t="shared" si="186"/>
        <v>674092.45561275072</v>
      </c>
    </row>
    <row r="606" spans="1:33" x14ac:dyDescent="0.25">
      <c r="A606" s="100">
        <v>151099.92000000001</v>
      </c>
      <c r="B606" s="97">
        <v>810.87850000000003</v>
      </c>
      <c r="C606" s="97">
        <v>0.6</v>
      </c>
      <c r="D606" s="80">
        <f t="shared" si="171"/>
        <v>100</v>
      </c>
      <c r="E606" s="81">
        <f t="shared" si="179"/>
        <v>6791.2436711181272</v>
      </c>
      <c r="F606" s="81">
        <f>SUM(E$2:E606)</f>
        <v>3741215.5597930406</v>
      </c>
      <c r="G606" s="43">
        <f t="shared" si="177"/>
        <v>1</v>
      </c>
      <c r="H606" s="78">
        <v>1</v>
      </c>
      <c r="I606" s="15">
        <f t="shared" si="180"/>
        <v>0.6</v>
      </c>
      <c r="J606" s="16">
        <f>VLOOKUP(G606,Inputs!$L$3:$P$15,5,FALSE)</f>
        <v>2000</v>
      </c>
      <c r="K606" s="16">
        <f t="shared" si="181"/>
        <v>1825</v>
      </c>
      <c r="L606" s="79">
        <f>Inputs!$P$8-B606</f>
        <v>127.3125</v>
      </c>
      <c r="M606" s="79">
        <f>Inputs!$Q$8+L606*0.433</f>
        <v>1880.1263125</v>
      </c>
      <c r="N606" s="82">
        <f t="shared" si="182"/>
        <v>151099.92000000001</v>
      </c>
      <c r="O606" s="83">
        <f t="shared" si="183"/>
        <v>810.87850000000003</v>
      </c>
      <c r="P606" s="84">
        <f>IF(O606="","",Inputs!$C$5-O606)</f>
        <v>14.305999999999926</v>
      </c>
      <c r="Q606" s="83">
        <f>IF(N606="","",TS!J606)</f>
        <v>2000</v>
      </c>
      <c r="R606" s="83">
        <f>IF(N606="","",TS!K606)</f>
        <v>1825</v>
      </c>
      <c r="S606" s="83">
        <f>Inputs!$H$5+TS!P606*0.4333</f>
        <v>1881.1645062499999</v>
      </c>
      <c r="T606" s="83">
        <f>Inputs!$G$5+TS!P606*0.4333</f>
        <v>1896.1645062499999</v>
      </c>
      <c r="U606" s="85">
        <f t="shared" si="184"/>
        <v>0.94808225312499994</v>
      </c>
      <c r="V606" s="86">
        <f t="shared" si="172"/>
        <v>0</v>
      </c>
      <c r="W606" s="86">
        <f t="shared" si="173"/>
        <v>0</v>
      </c>
      <c r="X606" s="86" t="e">
        <f>((PI()*((42-2*'Gen Calcs'!$E$13)^2)/4)/144)*(A649-#REF!)*(W606+14.7)/14.7</f>
        <v>#REF!</v>
      </c>
      <c r="Y606" s="86" t="e">
        <f t="shared" si="174"/>
        <v>#REF!</v>
      </c>
      <c r="Z606" s="86" t="e">
        <f t="shared" si="175"/>
        <v>#REF!</v>
      </c>
      <c r="AA606" s="83">
        <f>MAX(B$2:B606)-B606</f>
        <v>21.744899999999916</v>
      </c>
      <c r="AB606" s="83">
        <f t="shared" si="176"/>
        <v>9.415541699999963</v>
      </c>
      <c r="AC606" s="83">
        <f t="shared" si="178"/>
        <v>120</v>
      </c>
      <c r="AD606" s="72">
        <v>120</v>
      </c>
      <c r="AE606" s="73">
        <f t="shared" si="185"/>
        <v>907.92027688745009</v>
      </c>
      <c r="AF606" s="73">
        <f>SUM(AE$2:AE606)</f>
        <v>500545.36709124589</v>
      </c>
      <c r="AG606" s="73">
        <f t="shared" si="186"/>
        <v>673184.53533586324</v>
      </c>
    </row>
    <row r="607" spans="1:33" x14ac:dyDescent="0.25">
      <c r="A607" s="99">
        <v>151199.92000000001</v>
      </c>
      <c r="B607" s="96">
        <v>812.07899999999995</v>
      </c>
      <c r="C607" s="96">
        <v>0.6</v>
      </c>
      <c r="D607" s="80">
        <f t="shared" si="171"/>
        <v>100</v>
      </c>
      <c r="E607" s="81">
        <f t="shared" si="179"/>
        <v>6791.2436711181272</v>
      </c>
      <c r="F607" s="81">
        <f>SUM(E$2:E607)</f>
        <v>3748006.8034641589</v>
      </c>
      <c r="G607" s="43">
        <f t="shared" si="177"/>
        <v>1</v>
      </c>
      <c r="H607" s="78">
        <v>1</v>
      </c>
      <c r="I607" s="15">
        <f t="shared" si="180"/>
        <v>0.6</v>
      </c>
      <c r="J607" s="16">
        <f>VLOOKUP(G607,Inputs!$L$3:$P$15,5,FALSE)</f>
        <v>2000</v>
      </c>
      <c r="K607" s="16">
        <f t="shared" si="181"/>
        <v>1825</v>
      </c>
      <c r="L607" s="79">
        <f>Inputs!$P$8-B607</f>
        <v>126.11200000000008</v>
      </c>
      <c r="M607" s="79">
        <f>Inputs!$Q$8+L607*0.433</f>
        <v>1879.6064960000001</v>
      </c>
      <c r="N607" s="82">
        <f t="shared" si="182"/>
        <v>151199.92000000001</v>
      </c>
      <c r="O607" s="83">
        <f t="shared" si="183"/>
        <v>812.07899999999995</v>
      </c>
      <c r="P607" s="84">
        <f>IF(O607="","",Inputs!$C$5-O607)</f>
        <v>13.105500000000006</v>
      </c>
      <c r="Q607" s="83">
        <f>IF(N607="","",TS!J607)</f>
        <v>2000</v>
      </c>
      <c r="R607" s="83">
        <f>IF(N607="","",TS!K607)</f>
        <v>1825</v>
      </c>
      <c r="S607" s="83">
        <f>Inputs!$H$5+TS!P607*0.4333</f>
        <v>1880.6443296</v>
      </c>
      <c r="T607" s="83">
        <f>Inputs!$G$5+TS!P607*0.4333</f>
        <v>1895.6443296</v>
      </c>
      <c r="U607" s="85">
        <f t="shared" si="184"/>
        <v>0.94782216480000003</v>
      </c>
      <c r="V607" s="86">
        <f t="shared" si="172"/>
        <v>0</v>
      </c>
      <c r="W607" s="86">
        <f t="shared" si="173"/>
        <v>0</v>
      </c>
      <c r="X607" s="86" t="e">
        <f>((PI()*((42-2*'Gen Calcs'!$E$13)^2)/4)/144)*(A650-#REF!)*(W607+14.7)/14.7</f>
        <v>#REF!</v>
      </c>
      <c r="Y607" s="86" t="e">
        <f t="shared" si="174"/>
        <v>#REF!</v>
      </c>
      <c r="Z607" s="86" t="e">
        <f t="shared" si="175"/>
        <v>#REF!</v>
      </c>
      <c r="AA607" s="83">
        <f>MAX(B$2:B607)-B607</f>
        <v>20.544399999999996</v>
      </c>
      <c r="AB607" s="83">
        <f t="shared" si="176"/>
        <v>8.8957251999999976</v>
      </c>
      <c r="AC607" s="83">
        <f t="shared" si="178"/>
        <v>120</v>
      </c>
      <c r="AD607" s="72">
        <v>120</v>
      </c>
      <c r="AE607" s="73">
        <f t="shared" si="185"/>
        <v>907.92027688745009</v>
      </c>
      <c r="AF607" s="73">
        <f>SUM(AE$2:AE607)</f>
        <v>501453.28736813331</v>
      </c>
      <c r="AG607" s="73">
        <f t="shared" si="186"/>
        <v>672276.61505897588</v>
      </c>
    </row>
    <row r="608" spans="1:33" x14ac:dyDescent="0.25">
      <c r="A608" s="100">
        <v>151299.92000000001</v>
      </c>
      <c r="B608" s="97">
        <v>812.25670000000002</v>
      </c>
      <c r="C608" s="97">
        <v>0.6</v>
      </c>
      <c r="D608" s="80">
        <f t="shared" si="171"/>
        <v>100</v>
      </c>
      <c r="E608" s="81">
        <f t="shared" si="179"/>
        <v>6791.2436711181272</v>
      </c>
      <c r="F608" s="81">
        <f>SUM(E$2:E608)</f>
        <v>3754798.0471352772</v>
      </c>
      <c r="G608" s="43">
        <f t="shared" si="177"/>
        <v>1</v>
      </c>
      <c r="H608" s="78">
        <v>1</v>
      </c>
      <c r="I608" s="15">
        <f t="shared" si="180"/>
        <v>0.6</v>
      </c>
      <c r="J608" s="16">
        <f>VLOOKUP(G608,Inputs!$L$3:$P$15,5,FALSE)</f>
        <v>2000</v>
      </c>
      <c r="K608" s="16">
        <f t="shared" si="181"/>
        <v>1825</v>
      </c>
      <c r="L608" s="79">
        <f>Inputs!$P$8-B608</f>
        <v>125.93430000000001</v>
      </c>
      <c r="M608" s="79">
        <f>Inputs!$Q$8+L608*0.433</f>
        <v>1879.5295519000001</v>
      </c>
      <c r="N608" s="82">
        <f t="shared" si="182"/>
        <v>151299.92000000001</v>
      </c>
      <c r="O608" s="83">
        <f t="shared" si="183"/>
        <v>812.25670000000002</v>
      </c>
      <c r="P608" s="84">
        <f>IF(O608="","",Inputs!$C$5-O608)</f>
        <v>12.927799999999934</v>
      </c>
      <c r="Q608" s="83">
        <f>IF(N608="","",TS!J608)</f>
        <v>2000</v>
      </c>
      <c r="R608" s="83">
        <f>IF(N608="","",TS!K608)</f>
        <v>1825</v>
      </c>
      <c r="S608" s="83">
        <f>Inputs!$H$5+TS!P608*0.4333</f>
        <v>1880.5673321899999</v>
      </c>
      <c r="T608" s="83">
        <f>Inputs!$G$5+TS!P608*0.4333</f>
        <v>1895.5673321899999</v>
      </c>
      <c r="U608" s="85">
        <f t="shared" si="184"/>
        <v>0.94778366609499998</v>
      </c>
      <c r="V608" s="86">
        <f t="shared" si="172"/>
        <v>0</v>
      </c>
      <c r="W608" s="86">
        <f t="shared" si="173"/>
        <v>0</v>
      </c>
      <c r="X608" s="86" t="e">
        <f>((PI()*((42-2*'Gen Calcs'!$E$13)^2)/4)/144)*(A651-#REF!)*(W608+14.7)/14.7</f>
        <v>#REF!</v>
      </c>
      <c r="Y608" s="86" t="e">
        <f t="shared" si="174"/>
        <v>#REF!</v>
      </c>
      <c r="Z608" s="86" t="e">
        <f t="shared" si="175"/>
        <v>#REF!</v>
      </c>
      <c r="AA608" s="83">
        <f>MAX(B$2:B608)-B608</f>
        <v>20.366699999999923</v>
      </c>
      <c r="AB608" s="83">
        <f t="shared" si="176"/>
        <v>8.818781099999967</v>
      </c>
      <c r="AC608" s="83">
        <f t="shared" si="178"/>
        <v>120</v>
      </c>
      <c r="AD608" s="72">
        <v>120</v>
      </c>
      <c r="AE608" s="73">
        <f t="shared" si="185"/>
        <v>907.92027688745009</v>
      </c>
      <c r="AF608" s="73">
        <f>SUM(AE$2:AE608)</f>
        <v>502361.20764502074</v>
      </c>
      <c r="AG608" s="73">
        <f t="shared" si="186"/>
        <v>671368.69478208851</v>
      </c>
    </row>
    <row r="609" spans="1:33" x14ac:dyDescent="0.25">
      <c r="A609" s="99">
        <v>151399.92000000001</v>
      </c>
      <c r="B609" s="96">
        <v>811.63139999999999</v>
      </c>
      <c r="C609" s="96">
        <v>0.6</v>
      </c>
      <c r="D609" s="80">
        <f t="shared" ref="D609:D672" si="187">A609-A608</f>
        <v>100</v>
      </c>
      <c r="E609" s="81">
        <f t="shared" si="179"/>
        <v>6791.2436711181272</v>
      </c>
      <c r="F609" s="81">
        <f>SUM(E$2:E609)</f>
        <v>3761589.2908063955</v>
      </c>
      <c r="G609" s="43">
        <f t="shared" si="177"/>
        <v>1</v>
      </c>
      <c r="H609" s="78">
        <v>1</v>
      </c>
      <c r="I609" s="15">
        <f t="shared" si="180"/>
        <v>0.6</v>
      </c>
      <c r="J609" s="16">
        <f>VLOOKUP(G609,Inputs!$L$3:$P$15,5,FALSE)</f>
        <v>2000</v>
      </c>
      <c r="K609" s="16">
        <f t="shared" si="181"/>
        <v>1825</v>
      </c>
      <c r="L609" s="79">
        <f>Inputs!$P$8-B609</f>
        <v>126.55960000000005</v>
      </c>
      <c r="M609" s="79">
        <f>Inputs!$Q$8+L609*0.433</f>
        <v>1879.8003068</v>
      </c>
      <c r="N609" s="82">
        <f t="shared" si="182"/>
        <v>151399.92000000001</v>
      </c>
      <c r="O609" s="83">
        <f t="shared" si="183"/>
        <v>811.63139999999999</v>
      </c>
      <c r="P609" s="84">
        <f>IF(O609="","",Inputs!$C$5-O609)</f>
        <v>13.553099999999972</v>
      </c>
      <c r="Q609" s="83">
        <f>IF(N609="","",TS!J609)</f>
        <v>2000</v>
      </c>
      <c r="R609" s="83">
        <f>IF(N609="","",TS!K609)</f>
        <v>1825</v>
      </c>
      <c r="S609" s="83">
        <f>Inputs!$H$5+TS!P609*0.4333</f>
        <v>1880.83827468</v>
      </c>
      <c r="T609" s="83">
        <f>Inputs!$G$5+TS!P609*0.4333</f>
        <v>1895.83827468</v>
      </c>
      <c r="U609" s="85">
        <f t="shared" si="184"/>
        <v>0.94791913734</v>
      </c>
      <c r="V609" s="86">
        <f t="shared" si="172"/>
        <v>0</v>
      </c>
      <c r="W609" s="86">
        <f t="shared" si="173"/>
        <v>0</v>
      </c>
      <c r="X609" s="86" t="e">
        <f>((PI()*((42-2*'Gen Calcs'!$E$13)^2)/4)/144)*(A652-#REF!)*(W609+14.7)/14.7</f>
        <v>#REF!</v>
      </c>
      <c r="Y609" s="86" t="e">
        <f t="shared" si="174"/>
        <v>#REF!</v>
      </c>
      <c r="Z609" s="86" t="e">
        <f t="shared" si="175"/>
        <v>#REF!</v>
      </c>
      <c r="AA609" s="83">
        <f>MAX(B$2:B609)-B609</f>
        <v>20.991999999999962</v>
      </c>
      <c r="AB609" s="83">
        <f t="shared" si="176"/>
        <v>9.089535999999983</v>
      </c>
      <c r="AC609" s="83">
        <f t="shared" si="178"/>
        <v>120</v>
      </c>
      <c r="AD609" s="72">
        <v>120</v>
      </c>
      <c r="AE609" s="73">
        <f t="shared" si="185"/>
        <v>907.92027688745009</v>
      </c>
      <c r="AF609" s="73">
        <f>SUM(AE$2:AE609)</f>
        <v>503269.12792190816</v>
      </c>
      <c r="AG609" s="73">
        <f t="shared" si="186"/>
        <v>670460.77450520103</v>
      </c>
    </row>
    <row r="610" spans="1:33" x14ac:dyDescent="0.25">
      <c r="A610" s="100">
        <v>151499.92000000001</v>
      </c>
      <c r="B610" s="97">
        <v>810.05280000000005</v>
      </c>
      <c r="C610" s="97">
        <v>0.6</v>
      </c>
      <c r="D610" s="80">
        <f t="shared" si="187"/>
        <v>100</v>
      </c>
      <c r="E610" s="81">
        <f t="shared" si="179"/>
        <v>6616.6076625842816</v>
      </c>
      <c r="F610" s="81">
        <f>SUM(E$2:E610)</f>
        <v>3768205.8984689796</v>
      </c>
      <c r="G610" s="43">
        <f t="shared" si="177"/>
        <v>1</v>
      </c>
      <c r="H610" s="78">
        <v>1</v>
      </c>
      <c r="I610" s="15">
        <f t="shared" si="180"/>
        <v>0.6</v>
      </c>
      <c r="J610" s="16">
        <f>VLOOKUP(G610,Inputs!$L$3:$P$15,5,FALSE)</f>
        <v>2000</v>
      </c>
      <c r="K610" s="16">
        <f t="shared" si="181"/>
        <v>1825</v>
      </c>
      <c r="L610" s="79">
        <f>Inputs!$P$8-B610</f>
        <v>128.13819999999998</v>
      </c>
      <c r="M610" s="79">
        <f>Inputs!$Q$8+L610*0.433</f>
        <v>1880.4838405999999</v>
      </c>
      <c r="N610" s="82">
        <f t="shared" si="182"/>
        <v>151499.92000000001</v>
      </c>
      <c r="O610" s="83">
        <f t="shared" si="183"/>
        <v>810.05280000000005</v>
      </c>
      <c r="P610" s="84">
        <f>IF(O610="","",Inputs!$C$5-O610)</f>
        <v>15.13169999999991</v>
      </c>
      <c r="Q610" s="83">
        <f>IF(N610="","",TS!J610)</f>
        <v>2000</v>
      </c>
      <c r="R610" s="83">
        <f>IF(N610="","",TS!K610)</f>
        <v>1825</v>
      </c>
      <c r="S610" s="83">
        <f>Inputs!$H$5+TS!P610*0.4333</f>
        <v>1881.52228206</v>
      </c>
      <c r="T610" s="83">
        <f>Inputs!$G$5+TS!P610*0.4333</f>
        <v>1896.52228206</v>
      </c>
      <c r="U610" s="85">
        <f t="shared" si="184"/>
        <v>0.94826114102999992</v>
      </c>
      <c r="V610" s="86">
        <f t="shared" si="172"/>
        <v>0</v>
      </c>
      <c r="W610" s="86">
        <f t="shared" si="173"/>
        <v>0</v>
      </c>
      <c r="X610" s="86" t="e">
        <f>((PI()*((42-2*'Gen Calcs'!$E$13)^2)/4)/144)*(A653-#REF!)*(W610+14.7)/14.7</f>
        <v>#REF!</v>
      </c>
      <c r="Y610" s="86" t="e">
        <f t="shared" si="174"/>
        <v>#REF!</v>
      </c>
      <c r="Z610" s="86" t="e">
        <f t="shared" si="175"/>
        <v>#REF!</v>
      </c>
      <c r="AA610" s="83">
        <f>MAX(B$2:B610)-B610</f>
        <v>22.570599999999899</v>
      </c>
      <c r="AB610" s="83">
        <f t="shared" si="176"/>
        <v>9.7730697999999556</v>
      </c>
      <c r="AC610" s="83">
        <f t="shared" si="178"/>
        <v>120</v>
      </c>
      <c r="AD610" s="72">
        <v>120</v>
      </c>
      <c r="AE610" s="73">
        <f t="shared" si="185"/>
        <v>907.92027688745009</v>
      </c>
      <c r="AF610" s="73">
        <f>SUM(AE$2:AE610)</f>
        <v>504177.04819879559</v>
      </c>
      <c r="AG610" s="73">
        <f t="shared" si="186"/>
        <v>669552.85422831355</v>
      </c>
    </row>
    <row r="611" spans="1:33" x14ac:dyDescent="0.25">
      <c r="A611" s="99">
        <v>151599.92000000001</v>
      </c>
      <c r="B611" s="96">
        <v>807.41189999999995</v>
      </c>
      <c r="C611" s="96">
        <v>0.6</v>
      </c>
      <c r="D611" s="80">
        <f t="shared" si="187"/>
        <v>100</v>
      </c>
      <c r="E611" s="81">
        <f t="shared" si="179"/>
        <v>6791.2436711181272</v>
      </c>
      <c r="F611" s="81">
        <f>SUM(E$2:E611)</f>
        <v>3774997.1421400979</v>
      </c>
      <c r="G611" s="43">
        <f t="shared" si="177"/>
        <v>1</v>
      </c>
      <c r="H611" s="78">
        <v>1</v>
      </c>
      <c r="I611" s="15">
        <f t="shared" si="180"/>
        <v>0.6</v>
      </c>
      <c r="J611" s="16">
        <f>VLOOKUP(G611,Inputs!$L$3:$P$15,5,FALSE)</f>
        <v>2000</v>
      </c>
      <c r="K611" s="16">
        <f t="shared" si="181"/>
        <v>1825</v>
      </c>
      <c r="L611" s="79">
        <f>Inputs!$P$8-B611</f>
        <v>130.77910000000008</v>
      </c>
      <c r="M611" s="79">
        <f>Inputs!$Q$8+L611*0.433</f>
        <v>1881.6273503</v>
      </c>
      <c r="N611" s="82">
        <f t="shared" si="182"/>
        <v>151599.92000000001</v>
      </c>
      <c r="O611" s="83">
        <f t="shared" si="183"/>
        <v>807.41189999999995</v>
      </c>
      <c r="P611" s="84">
        <f>IF(O611="","",Inputs!$C$5-O611)</f>
        <v>17.772600000000011</v>
      </c>
      <c r="Q611" s="83">
        <f>IF(N611="","",TS!J611)</f>
        <v>2000</v>
      </c>
      <c r="R611" s="83">
        <f>IF(N611="","",TS!K611)</f>
        <v>1825</v>
      </c>
      <c r="S611" s="83">
        <f>Inputs!$H$5+TS!P611*0.4333</f>
        <v>1882.66658403</v>
      </c>
      <c r="T611" s="83">
        <f>Inputs!$G$5+TS!P611*0.4333</f>
        <v>1897.66658403</v>
      </c>
      <c r="U611" s="85">
        <f t="shared" si="184"/>
        <v>0.948833292015</v>
      </c>
      <c r="V611" s="86">
        <f t="shared" si="172"/>
        <v>0</v>
      </c>
      <c r="W611" s="86">
        <f t="shared" si="173"/>
        <v>0</v>
      </c>
      <c r="X611" s="86" t="e">
        <f>((PI()*((42-2*'Gen Calcs'!$E$13)^2)/4)/144)*(A654-#REF!)*(W611+14.7)/14.7</f>
        <v>#REF!</v>
      </c>
      <c r="Y611" s="86" t="e">
        <f t="shared" si="174"/>
        <v>#REF!</v>
      </c>
      <c r="Z611" s="86" t="e">
        <f t="shared" si="175"/>
        <v>#REF!</v>
      </c>
      <c r="AA611" s="83">
        <f>MAX(B$2:B611)-B611</f>
        <v>25.211500000000001</v>
      </c>
      <c r="AB611" s="83">
        <f t="shared" si="176"/>
        <v>10.916579500000001</v>
      </c>
      <c r="AC611" s="83">
        <f t="shared" si="178"/>
        <v>120</v>
      </c>
      <c r="AD611" s="72">
        <v>120</v>
      </c>
      <c r="AE611" s="73">
        <f t="shared" si="185"/>
        <v>907.92027688745009</v>
      </c>
      <c r="AF611" s="73">
        <f>SUM(AE$2:AE611)</f>
        <v>505084.96847568301</v>
      </c>
      <c r="AG611" s="73">
        <f t="shared" si="186"/>
        <v>668644.93395142618</v>
      </c>
    </row>
    <row r="612" spans="1:33" x14ac:dyDescent="0.25">
      <c r="A612" s="100">
        <v>151699.92000000001</v>
      </c>
      <c r="B612" s="97">
        <v>805.7328</v>
      </c>
      <c r="C612" s="97">
        <v>0.6</v>
      </c>
      <c r="D612" s="80">
        <f t="shared" si="187"/>
        <v>100</v>
      </c>
      <c r="E612" s="81">
        <f t="shared" si="179"/>
        <v>6791.2436711181272</v>
      </c>
      <c r="F612" s="81">
        <f>SUM(E$2:E612)</f>
        <v>3781788.3858112162</v>
      </c>
      <c r="G612" s="43">
        <f t="shared" si="177"/>
        <v>1</v>
      </c>
      <c r="H612" s="78">
        <v>1</v>
      </c>
      <c r="I612" s="15">
        <f t="shared" si="180"/>
        <v>0.6</v>
      </c>
      <c r="J612" s="16">
        <f>VLOOKUP(G612,Inputs!$L$3:$P$15,5,FALSE)</f>
        <v>2000</v>
      </c>
      <c r="K612" s="16">
        <f t="shared" si="181"/>
        <v>1825</v>
      </c>
      <c r="L612" s="79">
        <f>Inputs!$P$8-B612</f>
        <v>132.45820000000003</v>
      </c>
      <c r="M612" s="79">
        <f>Inputs!$Q$8+L612*0.433</f>
        <v>1882.3544006</v>
      </c>
      <c r="N612" s="82">
        <f t="shared" si="182"/>
        <v>151699.92000000001</v>
      </c>
      <c r="O612" s="83">
        <f t="shared" si="183"/>
        <v>805.7328</v>
      </c>
      <c r="P612" s="84">
        <f>IF(O612="","",Inputs!$C$5-O612)</f>
        <v>19.45169999999996</v>
      </c>
      <c r="Q612" s="83">
        <f>IF(N612="","",TS!J612)</f>
        <v>2000</v>
      </c>
      <c r="R612" s="83">
        <f>IF(N612="","",TS!K612)</f>
        <v>1825</v>
      </c>
      <c r="S612" s="83">
        <f>Inputs!$H$5+TS!P612*0.4333</f>
        <v>1883.3941380599999</v>
      </c>
      <c r="T612" s="83">
        <f>Inputs!$G$5+TS!P612*0.4333</f>
        <v>1898.3941380599999</v>
      </c>
      <c r="U612" s="85">
        <f t="shared" si="184"/>
        <v>0.94919706903000001</v>
      </c>
      <c r="V612" s="86">
        <f t="shared" si="172"/>
        <v>0</v>
      </c>
      <c r="W612" s="86">
        <f t="shared" si="173"/>
        <v>0</v>
      </c>
      <c r="X612" s="86" t="e">
        <f>((PI()*((42-2*'Gen Calcs'!$E$13)^2)/4)/144)*(A655-#REF!)*(W612+14.7)/14.7</f>
        <v>#REF!</v>
      </c>
      <c r="Y612" s="86" t="e">
        <f t="shared" si="174"/>
        <v>#REF!</v>
      </c>
      <c r="Z612" s="86" t="e">
        <f t="shared" si="175"/>
        <v>#REF!</v>
      </c>
      <c r="AA612" s="83">
        <f>MAX(B$2:B612)-B612</f>
        <v>26.890599999999949</v>
      </c>
      <c r="AB612" s="83">
        <f t="shared" si="176"/>
        <v>11.643629799999978</v>
      </c>
      <c r="AC612" s="83">
        <f t="shared" si="178"/>
        <v>120</v>
      </c>
      <c r="AD612" s="72">
        <v>120</v>
      </c>
      <c r="AE612" s="73">
        <f t="shared" si="185"/>
        <v>907.92027688745009</v>
      </c>
      <c r="AF612" s="73">
        <f>SUM(AE$2:AE612)</f>
        <v>505992.88875257043</v>
      </c>
      <c r="AG612" s="73">
        <f t="shared" si="186"/>
        <v>667737.01367453882</v>
      </c>
    </row>
    <row r="613" spans="1:33" x14ac:dyDescent="0.25">
      <c r="A613" s="99">
        <v>151799.92000000001</v>
      </c>
      <c r="B613" s="96">
        <v>804.68769999999995</v>
      </c>
      <c r="C613" s="96">
        <v>0.6</v>
      </c>
      <c r="D613" s="80">
        <f t="shared" si="187"/>
        <v>100</v>
      </c>
      <c r="E613" s="81">
        <f t="shared" si="179"/>
        <v>6791.2436711181272</v>
      </c>
      <c r="F613" s="81">
        <f>SUM(E$2:E613)</f>
        <v>3788579.6294823345</v>
      </c>
      <c r="G613" s="43">
        <f t="shared" si="177"/>
        <v>1</v>
      </c>
      <c r="H613" s="78">
        <v>1</v>
      </c>
      <c r="I613" s="15">
        <f t="shared" si="180"/>
        <v>0.6</v>
      </c>
      <c r="J613" s="16">
        <f>VLOOKUP(G613,Inputs!$L$3:$P$15,5,FALSE)</f>
        <v>2000</v>
      </c>
      <c r="K613" s="16">
        <f t="shared" si="181"/>
        <v>1825</v>
      </c>
      <c r="L613" s="79">
        <f>Inputs!$P$8-B613</f>
        <v>133.50330000000008</v>
      </c>
      <c r="M613" s="79">
        <f>Inputs!$Q$8+L613*0.433</f>
        <v>1882.8069289</v>
      </c>
      <c r="N613" s="82">
        <f t="shared" si="182"/>
        <v>151799.92000000001</v>
      </c>
      <c r="O613" s="83">
        <f t="shared" si="183"/>
        <v>804.68769999999995</v>
      </c>
      <c r="P613" s="84">
        <f>IF(O613="","",Inputs!$C$5-O613)</f>
        <v>20.496800000000007</v>
      </c>
      <c r="Q613" s="83">
        <f>IF(N613="","",TS!J613)</f>
        <v>2000</v>
      </c>
      <c r="R613" s="83">
        <f>IF(N613="","",TS!K613)</f>
        <v>1825</v>
      </c>
      <c r="S613" s="83">
        <f>Inputs!$H$5+TS!P613*0.4333</f>
        <v>1883.8469798900001</v>
      </c>
      <c r="T613" s="83">
        <f>Inputs!$G$5+TS!P613*0.4333</f>
        <v>1898.8469798900001</v>
      </c>
      <c r="U613" s="85">
        <f t="shared" si="184"/>
        <v>0.94942348994500003</v>
      </c>
      <c r="V613" s="86">
        <f t="shared" si="172"/>
        <v>0</v>
      </c>
      <c r="W613" s="86">
        <f t="shared" si="173"/>
        <v>0</v>
      </c>
      <c r="X613" s="86" t="e">
        <f>((PI()*((42-2*'Gen Calcs'!$E$13)^2)/4)/144)*(A656-#REF!)*(W613+14.7)/14.7</f>
        <v>#REF!</v>
      </c>
      <c r="Y613" s="86" t="e">
        <f t="shared" si="174"/>
        <v>#REF!</v>
      </c>
      <c r="Z613" s="86" t="e">
        <f t="shared" si="175"/>
        <v>#REF!</v>
      </c>
      <c r="AA613" s="83">
        <f>MAX(B$2:B613)-B613</f>
        <v>27.935699999999997</v>
      </c>
      <c r="AB613" s="83">
        <f t="shared" si="176"/>
        <v>12.096158099999998</v>
      </c>
      <c r="AC613" s="83">
        <f t="shared" si="178"/>
        <v>120</v>
      </c>
      <c r="AD613" s="72">
        <v>120</v>
      </c>
      <c r="AE613" s="73">
        <f t="shared" si="185"/>
        <v>907.92027688745009</v>
      </c>
      <c r="AF613" s="73">
        <f>SUM(AE$2:AE613)</f>
        <v>506900.80902945786</v>
      </c>
      <c r="AG613" s="73">
        <f t="shared" si="186"/>
        <v>666829.09339765133</v>
      </c>
    </row>
    <row r="614" spans="1:33" x14ac:dyDescent="0.25">
      <c r="A614" s="100">
        <v>151899.92000000001</v>
      </c>
      <c r="B614" s="97">
        <v>803.17070000000001</v>
      </c>
      <c r="C614" s="97">
        <v>0.6</v>
      </c>
      <c r="D614" s="80">
        <f t="shared" si="187"/>
        <v>100</v>
      </c>
      <c r="E614" s="81">
        <f t="shared" si="179"/>
        <v>6791.2436711181272</v>
      </c>
      <c r="F614" s="81">
        <f>SUM(E$2:E614)</f>
        <v>3795370.8731534528</v>
      </c>
      <c r="G614" s="43">
        <f t="shared" si="177"/>
        <v>1</v>
      </c>
      <c r="H614" s="78">
        <v>1</v>
      </c>
      <c r="I614" s="15">
        <f t="shared" si="180"/>
        <v>0.6</v>
      </c>
      <c r="J614" s="16">
        <f>VLOOKUP(G614,Inputs!$L$3:$P$15,5,FALSE)</f>
        <v>2000</v>
      </c>
      <c r="K614" s="16">
        <f t="shared" si="181"/>
        <v>1825</v>
      </c>
      <c r="L614" s="79">
        <f>Inputs!$P$8-B614</f>
        <v>135.02030000000002</v>
      </c>
      <c r="M614" s="79">
        <f>Inputs!$Q$8+L614*0.433</f>
        <v>1883.4637898999999</v>
      </c>
      <c r="N614" s="82">
        <f t="shared" si="182"/>
        <v>151899.92000000001</v>
      </c>
      <c r="O614" s="83">
        <f t="shared" si="183"/>
        <v>803.17070000000001</v>
      </c>
      <c r="P614" s="84">
        <f>IF(O614="","",Inputs!$C$5-O614)</f>
        <v>22.013799999999947</v>
      </c>
      <c r="Q614" s="83">
        <f>IF(N614="","",TS!J614)</f>
        <v>2000</v>
      </c>
      <c r="R614" s="83">
        <f>IF(N614="","",TS!K614)</f>
        <v>1825</v>
      </c>
      <c r="S614" s="83">
        <f>Inputs!$H$5+TS!P614*0.4333</f>
        <v>1884.5042959899999</v>
      </c>
      <c r="T614" s="83">
        <f>Inputs!$G$5+TS!P614*0.4333</f>
        <v>1899.5042959899999</v>
      </c>
      <c r="U614" s="85">
        <f t="shared" si="184"/>
        <v>0.94975214799499996</v>
      </c>
      <c r="V614" s="86">
        <f t="shared" si="172"/>
        <v>0</v>
      </c>
      <c r="W614" s="86">
        <f t="shared" si="173"/>
        <v>0</v>
      </c>
      <c r="X614" s="86" t="e">
        <f>((PI()*((42-2*'Gen Calcs'!$E$13)^2)/4)/144)*(A657-#REF!)*(W614+14.7)/14.7</f>
        <v>#REF!</v>
      </c>
      <c r="Y614" s="86" t="e">
        <f t="shared" si="174"/>
        <v>#REF!</v>
      </c>
      <c r="Z614" s="86" t="e">
        <f t="shared" si="175"/>
        <v>#REF!</v>
      </c>
      <c r="AA614" s="83">
        <f>MAX(B$2:B614)-B614</f>
        <v>29.452699999999936</v>
      </c>
      <c r="AB614" s="83">
        <f t="shared" si="176"/>
        <v>12.753019099999973</v>
      </c>
      <c r="AC614" s="83">
        <f t="shared" si="178"/>
        <v>120</v>
      </c>
      <c r="AD614" s="72">
        <v>120</v>
      </c>
      <c r="AE614" s="73">
        <f t="shared" si="185"/>
        <v>907.92027688745009</v>
      </c>
      <c r="AF614" s="73">
        <f>SUM(AE$2:AE614)</f>
        <v>507808.72930634528</v>
      </c>
      <c r="AG614" s="73">
        <f t="shared" si="186"/>
        <v>665921.17312076385</v>
      </c>
    </row>
    <row r="615" spans="1:33" x14ac:dyDescent="0.25">
      <c r="A615" s="99">
        <v>151999.92000000001</v>
      </c>
      <c r="B615" s="96">
        <v>802.50400000000002</v>
      </c>
      <c r="C615" s="96">
        <v>0.6</v>
      </c>
      <c r="D615" s="80">
        <f t="shared" si="187"/>
        <v>100</v>
      </c>
      <c r="E615" s="81">
        <f t="shared" si="179"/>
        <v>6791.2436711181272</v>
      </c>
      <c r="F615" s="81">
        <f>SUM(E$2:E615)</f>
        <v>3802162.116824571</v>
      </c>
      <c r="G615" s="43">
        <f t="shared" si="177"/>
        <v>1</v>
      </c>
      <c r="H615" s="78">
        <v>1</v>
      </c>
      <c r="I615" s="15">
        <f t="shared" si="180"/>
        <v>0.6</v>
      </c>
      <c r="J615" s="16">
        <f>VLOOKUP(G615,Inputs!$L$3:$P$15,5,FALSE)</f>
        <v>2000</v>
      </c>
      <c r="K615" s="16">
        <f t="shared" si="181"/>
        <v>1825</v>
      </c>
      <c r="L615" s="79">
        <f>Inputs!$P$8-B615</f>
        <v>135.68700000000001</v>
      </c>
      <c r="M615" s="79">
        <f>Inputs!$Q$8+L615*0.433</f>
        <v>1883.752471</v>
      </c>
      <c r="N615" s="82">
        <f t="shared" si="182"/>
        <v>151999.92000000001</v>
      </c>
      <c r="O615" s="83">
        <f t="shared" si="183"/>
        <v>802.50400000000002</v>
      </c>
      <c r="P615" s="84">
        <f>IF(O615="","",Inputs!$C$5-O615)</f>
        <v>22.680499999999938</v>
      </c>
      <c r="Q615" s="83">
        <f>IF(N615="","",TS!J615)</f>
        <v>2000</v>
      </c>
      <c r="R615" s="83">
        <f>IF(N615="","",TS!K615)</f>
        <v>1825</v>
      </c>
      <c r="S615" s="83">
        <f>Inputs!$H$5+TS!P615*0.4333</f>
        <v>1884.7931770999999</v>
      </c>
      <c r="T615" s="83">
        <f>Inputs!$G$5+TS!P615*0.4333</f>
        <v>1899.7931770999999</v>
      </c>
      <c r="U615" s="85">
        <f t="shared" si="184"/>
        <v>0.94989658854999992</v>
      </c>
      <c r="V615" s="86">
        <f t="shared" si="172"/>
        <v>0</v>
      </c>
      <c r="W615" s="86">
        <f t="shared" si="173"/>
        <v>0</v>
      </c>
      <c r="X615" s="86" t="e">
        <f>((PI()*((42-2*'Gen Calcs'!$E$13)^2)/4)/144)*(A658-#REF!)*(W615+14.7)/14.7</f>
        <v>#REF!</v>
      </c>
      <c r="Y615" s="86" t="e">
        <f t="shared" si="174"/>
        <v>#REF!</v>
      </c>
      <c r="Z615" s="86" t="e">
        <f t="shared" si="175"/>
        <v>#REF!</v>
      </c>
      <c r="AA615" s="83">
        <f>MAX(B$2:B615)-B615</f>
        <v>30.119399999999928</v>
      </c>
      <c r="AB615" s="83">
        <f t="shared" si="176"/>
        <v>13.041700199999969</v>
      </c>
      <c r="AC615" s="83">
        <f t="shared" si="178"/>
        <v>120</v>
      </c>
      <c r="AD615" s="72">
        <v>120</v>
      </c>
      <c r="AE615" s="73">
        <f t="shared" si="185"/>
        <v>907.92027688745009</v>
      </c>
      <c r="AF615" s="73">
        <f>SUM(AE$2:AE615)</f>
        <v>508716.64958323271</v>
      </c>
      <c r="AG615" s="73">
        <f t="shared" si="186"/>
        <v>665013.25284387649</v>
      </c>
    </row>
    <row r="616" spans="1:33" x14ac:dyDescent="0.25">
      <c r="A616" s="100">
        <v>152099.92000000001</v>
      </c>
      <c r="B616" s="97">
        <v>800.0163</v>
      </c>
      <c r="C616" s="97">
        <v>0.6</v>
      </c>
      <c r="D616" s="80">
        <f t="shared" si="187"/>
        <v>100</v>
      </c>
      <c r="E616" s="81">
        <f t="shared" si="179"/>
        <v>6791.2436711181272</v>
      </c>
      <c r="F616" s="81">
        <f>SUM(E$2:E616)</f>
        <v>3808953.3604956893</v>
      </c>
      <c r="G616" s="43">
        <f t="shared" si="177"/>
        <v>1</v>
      </c>
      <c r="H616" s="78">
        <v>1</v>
      </c>
      <c r="I616" s="15">
        <f t="shared" si="180"/>
        <v>0.6</v>
      </c>
      <c r="J616" s="16">
        <f>VLOOKUP(G616,Inputs!$L$3:$P$15,5,FALSE)</f>
        <v>2000</v>
      </c>
      <c r="K616" s="16">
        <f t="shared" si="181"/>
        <v>1825</v>
      </c>
      <c r="L616" s="79">
        <f>Inputs!$P$8-B616</f>
        <v>138.17470000000003</v>
      </c>
      <c r="M616" s="79">
        <f>Inputs!$Q$8+L616*0.433</f>
        <v>1884.8296451000001</v>
      </c>
      <c r="N616" s="82">
        <f t="shared" si="182"/>
        <v>152099.92000000001</v>
      </c>
      <c r="O616" s="83">
        <f t="shared" si="183"/>
        <v>800.0163</v>
      </c>
      <c r="P616" s="84">
        <f>IF(O616="","",Inputs!$C$5-O616)</f>
        <v>25.168199999999956</v>
      </c>
      <c r="Q616" s="83">
        <f>IF(N616="","",TS!J616)</f>
        <v>2000</v>
      </c>
      <c r="R616" s="83">
        <f>IF(N616="","",TS!K616)</f>
        <v>1825</v>
      </c>
      <c r="S616" s="83">
        <f>Inputs!$H$5+TS!P616*0.4333</f>
        <v>1885.87109751</v>
      </c>
      <c r="T616" s="83">
        <f>Inputs!$G$5+TS!P616*0.4333</f>
        <v>1900.87109751</v>
      </c>
      <c r="U616" s="85">
        <f t="shared" si="184"/>
        <v>0.95043554875500003</v>
      </c>
      <c r="V616" s="86">
        <f t="shared" si="172"/>
        <v>0</v>
      </c>
      <c r="W616" s="86">
        <f t="shared" si="173"/>
        <v>0</v>
      </c>
      <c r="X616" s="86" t="e">
        <f>((PI()*((42-2*'Gen Calcs'!$E$13)^2)/4)/144)*(A659-#REF!)*(W616+14.7)/14.7</f>
        <v>#REF!</v>
      </c>
      <c r="Y616" s="86" t="e">
        <f t="shared" si="174"/>
        <v>#REF!</v>
      </c>
      <c r="Z616" s="86" t="e">
        <f t="shared" si="175"/>
        <v>#REF!</v>
      </c>
      <c r="AA616" s="83">
        <f>MAX(B$2:B616)-B616</f>
        <v>32.607099999999946</v>
      </c>
      <c r="AB616" s="83">
        <f t="shared" si="176"/>
        <v>14.118874299999977</v>
      </c>
      <c r="AC616" s="83">
        <f t="shared" si="178"/>
        <v>120</v>
      </c>
      <c r="AD616" s="72">
        <v>120</v>
      </c>
      <c r="AE616" s="73">
        <f t="shared" si="185"/>
        <v>907.92027688745009</v>
      </c>
      <c r="AF616" s="73">
        <f>SUM(AE$2:AE616)</f>
        <v>509624.56986012013</v>
      </c>
      <c r="AG616" s="73">
        <f t="shared" si="186"/>
        <v>664105.33256698912</v>
      </c>
    </row>
    <row r="617" spans="1:33" x14ac:dyDescent="0.25">
      <c r="A617" s="99">
        <v>152199.92000000001</v>
      </c>
      <c r="B617" s="96">
        <v>798.11959999999999</v>
      </c>
      <c r="C617" s="96">
        <v>0.6</v>
      </c>
      <c r="D617" s="80">
        <f t="shared" si="187"/>
        <v>100</v>
      </c>
      <c r="E617" s="81">
        <f t="shared" si="179"/>
        <v>6791.2436711181272</v>
      </c>
      <c r="F617" s="81">
        <f>SUM(E$2:E617)</f>
        <v>3815744.6041668076</v>
      </c>
      <c r="G617" s="43">
        <f t="shared" si="177"/>
        <v>1</v>
      </c>
      <c r="H617" s="78">
        <v>1</v>
      </c>
      <c r="I617" s="15">
        <f t="shared" si="180"/>
        <v>0.6</v>
      </c>
      <c r="J617" s="16">
        <f>VLOOKUP(G617,Inputs!$L$3:$P$15,5,FALSE)</f>
        <v>2000</v>
      </c>
      <c r="K617" s="16">
        <f t="shared" si="181"/>
        <v>1825</v>
      </c>
      <c r="L617" s="79">
        <f>Inputs!$P$8-B617</f>
        <v>140.07140000000004</v>
      </c>
      <c r="M617" s="79">
        <f>Inputs!$Q$8+L617*0.433</f>
        <v>1885.6509162</v>
      </c>
      <c r="N617" s="82">
        <f t="shared" si="182"/>
        <v>152199.92000000001</v>
      </c>
      <c r="O617" s="83">
        <f t="shared" si="183"/>
        <v>798.11959999999999</v>
      </c>
      <c r="P617" s="84">
        <f>IF(O617="","",Inputs!$C$5-O617)</f>
        <v>27.064899999999966</v>
      </c>
      <c r="Q617" s="83">
        <f>IF(N617="","",TS!J617)</f>
        <v>2000</v>
      </c>
      <c r="R617" s="83">
        <f>IF(N617="","",TS!K617)</f>
        <v>1825</v>
      </c>
      <c r="S617" s="83">
        <f>Inputs!$H$5+TS!P617*0.4333</f>
        <v>1886.6929376199998</v>
      </c>
      <c r="T617" s="83">
        <f>Inputs!$G$5+TS!P617*0.4333</f>
        <v>1901.6929376199998</v>
      </c>
      <c r="U617" s="85">
        <f t="shared" si="184"/>
        <v>0.9508464688099999</v>
      </c>
      <c r="V617" s="86">
        <f t="shared" si="172"/>
        <v>0</v>
      </c>
      <c r="W617" s="86">
        <f t="shared" si="173"/>
        <v>0</v>
      </c>
      <c r="X617" s="86" t="e">
        <f>((PI()*((42-2*'Gen Calcs'!$E$13)^2)/4)/144)*(A660-#REF!)*(W617+14.7)/14.7</f>
        <v>#REF!</v>
      </c>
      <c r="Y617" s="86" t="e">
        <f t="shared" si="174"/>
        <v>#REF!</v>
      </c>
      <c r="Z617" s="86" t="e">
        <f t="shared" si="175"/>
        <v>#REF!</v>
      </c>
      <c r="AA617" s="83">
        <f>MAX(B$2:B617)-B617</f>
        <v>34.503799999999956</v>
      </c>
      <c r="AB617" s="83">
        <f t="shared" si="176"/>
        <v>14.940145399999981</v>
      </c>
      <c r="AC617" s="83">
        <f t="shared" si="178"/>
        <v>120</v>
      </c>
      <c r="AD617" s="72">
        <v>120</v>
      </c>
      <c r="AE617" s="73">
        <f t="shared" si="185"/>
        <v>907.92027688745009</v>
      </c>
      <c r="AF617" s="73">
        <f>SUM(AE$2:AE617)</f>
        <v>510532.49013700755</v>
      </c>
      <c r="AG617" s="73">
        <f t="shared" si="186"/>
        <v>663197.41229010164</v>
      </c>
    </row>
    <row r="618" spans="1:33" x14ac:dyDescent="0.25">
      <c r="A618" s="100">
        <v>152299.92000000001</v>
      </c>
      <c r="B618" s="97">
        <v>798.03809999999999</v>
      </c>
      <c r="C618" s="97">
        <v>0.6</v>
      </c>
      <c r="D618" s="80">
        <f t="shared" si="187"/>
        <v>100</v>
      </c>
      <c r="E618" s="81">
        <f t="shared" si="179"/>
        <v>6791.2436711181272</v>
      </c>
      <c r="F618" s="81">
        <f>SUM(E$2:E618)</f>
        <v>3822535.8478379259</v>
      </c>
      <c r="G618" s="43">
        <f t="shared" si="177"/>
        <v>1</v>
      </c>
      <c r="H618" s="78">
        <v>1</v>
      </c>
      <c r="I618" s="15">
        <f t="shared" si="180"/>
        <v>0.6</v>
      </c>
      <c r="J618" s="16">
        <f>VLOOKUP(G618,Inputs!$L$3:$P$15,5,FALSE)</f>
        <v>2000</v>
      </c>
      <c r="K618" s="16">
        <f t="shared" si="181"/>
        <v>1825</v>
      </c>
      <c r="L618" s="79">
        <f>Inputs!$P$8-B618</f>
        <v>140.15290000000005</v>
      </c>
      <c r="M618" s="79">
        <f>Inputs!$Q$8+L618*0.433</f>
        <v>1885.6862057000001</v>
      </c>
      <c r="N618" s="82">
        <f t="shared" si="182"/>
        <v>152299.92000000001</v>
      </c>
      <c r="O618" s="83">
        <f t="shared" si="183"/>
        <v>798.03809999999999</v>
      </c>
      <c r="P618" s="84">
        <f>IF(O618="","",Inputs!$C$5-O618)</f>
        <v>27.146399999999971</v>
      </c>
      <c r="Q618" s="83">
        <f>IF(N618="","",TS!J618)</f>
        <v>2000</v>
      </c>
      <c r="R618" s="83">
        <f>IF(N618="","",TS!K618)</f>
        <v>1825</v>
      </c>
      <c r="S618" s="83">
        <f>Inputs!$H$5+TS!P618*0.4333</f>
        <v>1886.7282515699999</v>
      </c>
      <c r="T618" s="83">
        <f>Inputs!$G$5+TS!P618*0.4333</f>
        <v>1901.7282515699999</v>
      </c>
      <c r="U618" s="85">
        <f t="shared" si="184"/>
        <v>0.9508641257849999</v>
      </c>
      <c r="V618" s="86">
        <f t="shared" si="172"/>
        <v>0</v>
      </c>
      <c r="W618" s="86">
        <f t="shared" si="173"/>
        <v>0</v>
      </c>
      <c r="X618" s="86" t="e">
        <f>((PI()*((42-2*'Gen Calcs'!$E$13)^2)/4)/144)*(A661-#REF!)*(W618+14.7)/14.7</f>
        <v>#REF!</v>
      </c>
      <c r="Y618" s="86" t="e">
        <f t="shared" si="174"/>
        <v>#REF!</v>
      </c>
      <c r="Z618" s="86" t="e">
        <f t="shared" si="175"/>
        <v>#REF!</v>
      </c>
      <c r="AA618" s="83">
        <f>MAX(B$2:B618)-B618</f>
        <v>34.585299999999961</v>
      </c>
      <c r="AB618" s="83">
        <f t="shared" si="176"/>
        <v>14.975434899999984</v>
      </c>
      <c r="AC618" s="83">
        <f t="shared" si="178"/>
        <v>120</v>
      </c>
      <c r="AD618" s="72">
        <v>120</v>
      </c>
      <c r="AE618" s="73">
        <f t="shared" si="185"/>
        <v>907.92027688745009</v>
      </c>
      <c r="AF618" s="73">
        <f>SUM(AE$2:AE618)</f>
        <v>511440.41041389498</v>
      </c>
      <c r="AG618" s="73">
        <f t="shared" si="186"/>
        <v>662289.49201321416</v>
      </c>
    </row>
    <row r="619" spans="1:33" x14ac:dyDescent="0.25">
      <c r="A619" s="99">
        <v>152399.92000000001</v>
      </c>
      <c r="B619" s="96">
        <v>798.52380000000005</v>
      </c>
      <c r="C619" s="96">
        <v>0.6</v>
      </c>
      <c r="D619" s="80">
        <f t="shared" si="187"/>
        <v>100</v>
      </c>
      <c r="E619" s="81">
        <f t="shared" si="179"/>
        <v>6791.2436711181272</v>
      </c>
      <c r="F619" s="81">
        <f>SUM(E$2:E619)</f>
        <v>3829327.0915090442</v>
      </c>
      <c r="G619" s="43">
        <f t="shared" si="177"/>
        <v>1</v>
      </c>
      <c r="H619" s="78">
        <v>1</v>
      </c>
      <c r="I619" s="15">
        <f t="shared" si="180"/>
        <v>0.6</v>
      </c>
      <c r="J619" s="16">
        <f>VLOOKUP(G619,Inputs!$L$3:$P$15,5,FALSE)</f>
        <v>2000</v>
      </c>
      <c r="K619" s="16">
        <f t="shared" si="181"/>
        <v>1825</v>
      </c>
      <c r="L619" s="79">
        <f>Inputs!$P$8-B619</f>
        <v>139.66719999999998</v>
      </c>
      <c r="M619" s="79">
        <f>Inputs!$Q$8+L619*0.433</f>
        <v>1885.4758976000001</v>
      </c>
      <c r="N619" s="82">
        <f t="shared" si="182"/>
        <v>152399.92000000001</v>
      </c>
      <c r="O619" s="83">
        <f t="shared" si="183"/>
        <v>798.52380000000005</v>
      </c>
      <c r="P619" s="84">
        <f>IF(O619="","",Inputs!$C$5-O619)</f>
        <v>26.660699999999906</v>
      </c>
      <c r="Q619" s="83">
        <f>IF(N619="","",TS!J619)</f>
        <v>2000</v>
      </c>
      <c r="R619" s="83">
        <f>IF(N619="","",TS!K619)</f>
        <v>1825</v>
      </c>
      <c r="S619" s="83">
        <f>Inputs!$H$5+TS!P619*0.4333</f>
        <v>1886.5177977599999</v>
      </c>
      <c r="T619" s="83">
        <f>Inputs!$G$5+TS!P619*0.4333</f>
        <v>1901.5177977599999</v>
      </c>
      <c r="U619" s="85">
        <f t="shared" si="184"/>
        <v>0.95075889887999998</v>
      </c>
      <c r="V619" s="86">
        <f t="shared" si="172"/>
        <v>0</v>
      </c>
      <c r="W619" s="86">
        <f t="shared" si="173"/>
        <v>0</v>
      </c>
      <c r="X619" s="86" t="e">
        <f>((PI()*((42-2*'Gen Calcs'!$E$13)^2)/4)/144)*(A662-#REF!)*(W619+14.7)/14.7</f>
        <v>#REF!</v>
      </c>
      <c r="Y619" s="86" t="e">
        <f t="shared" si="174"/>
        <v>#REF!</v>
      </c>
      <c r="Z619" s="86" t="e">
        <f t="shared" si="175"/>
        <v>#REF!</v>
      </c>
      <c r="AA619" s="83">
        <f>MAX(B$2:B619)-B619</f>
        <v>34.099599999999896</v>
      </c>
      <c r="AB619" s="83">
        <f t="shared" si="176"/>
        <v>14.765126799999955</v>
      </c>
      <c r="AC619" s="83">
        <f t="shared" si="178"/>
        <v>120</v>
      </c>
      <c r="AD619" s="72">
        <v>120</v>
      </c>
      <c r="AE619" s="73">
        <f t="shared" si="185"/>
        <v>907.92027688745009</v>
      </c>
      <c r="AF619" s="73">
        <f>SUM(AE$2:AE619)</f>
        <v>512348.3306907824</v>
      </c>
      <c r="AG619" s="73">
        <f t="shared" si="186"/>
        <v>661381.57173632679</v>
      </c>
    </row>
    <row r="620" spans="1:33" x14ac:dyDescent="0.25">
      <c r="A620" s="100">
        <v>152499.92000000001</v>
      </c>
      <c r="B620" s="97">
        <v>797.75</v>
      </c>
      <c r="C620" s="97">
        <v>0.6</v>
      </c>
      <c r="D620" s="80">
        <f t="shared" si="187"/>
        <v>100</v>
      </c>
      <c r="E620" s="81">
        <f t="shared" si="179"/>
        <v>6791.2436711181272</v>
      </c>
      <c r="F620" s="81">
        <f>SUM(E$2:E620)</f>
        <v>3836118.3351801625</v>
      </c>
      <c r="G620" s="43">
        <f t="shared" si="177"/>
        <v>1</v>
      </c>
      <c r="H620" s="78">
        <v>1</v>
      </c>
      <c r="I620" s="15">
        <f t="shared" si="180"/>
        <v>0.6</v>
      </c>
      <c r="J620" s="16">
        <f>VLOOKUP(G620,Inputs!$L$3:$P$15,5,FALSE)</f>
        <v>2000</v>
      </c>
      <c r="K620" s="16">
        <f t="shared" si="181"/>
        <v>1825</v>
      </c>
      <c r="L620" s="79">
        <f>Inputs!$P$8-B620</f>
        <v>140.44100000000003</v>
      </c>
      <c r="M620" s="79">
        <f>Inputs!$Q$8+L620*0.433</f>
        <v>1885.8109529999999</v>
      </c>
      <c r="N620" s="82">
        <f t="shared" si="182"/>
        <v>152499.92000000001</v>
      </c>
      <c r="O620" s="83">
        <f t="shared" si="183"/>
        <v>797.75</v>
      </c>
      <c r="P620" s="84">
        <f>IF(O620="","",Inputs!$C$5-O620)</f>
        <v>27.434499999999957</v>
      </c>
      <c r="Q620" s="83">
        <f>IF(N620="","",TS!J620)</f>
        <v>2000</v>
      </c>
      <c r="R620" s="83">
        <f>IF(N620="","",TS!K620)</f>
        <v>1825</v>
      </c>
      <c r="S620" s="83">
        <f>Inputs!$H$5+TS!P620*0.4333</f>
        <v>1886.8530853</v>
      </c>
      <c r="T620" s="83">
        <f>Inputs!$G$5+TS!P620*0.4333</f>
        <v>1901.8530853</v>
      </c>
      <c r="U620" s="85">
        <f t="shared" si="184"/>
        <v>0.95092654264999998</v>
      </c>
      <c r="V620" s="86">
        <f t="shared" si="172"/>
        <v>0</v>
      </c>
      <c r="W620" s="86">
        <f t="shared" si="173"/>
        <v>0</v>
      </c>
      <c r="X620" s="86" t="e">
        <f>((PI()*((42-2*'Gen Calcs'!$E$13)^2)/4)/144)*(A663-#REF!)*(W620+14.7)/14.7</f>
        <v>#REF!</v>
      </c>
      <c r="Y620" s="86" t="e">
        <f t="shared" si="174"/>
        <v>#REF!</v>
      </c>
      <c r="Z620" s="86" t="e">
        <f t="shared" si="175"/>
        <v>#REF!</v>
      </c>
      <c r="AA620" s="83">
        <f>MAX(B$2:B620)-B620</f>
        <v>34.873399999999947</v>
      </c>
      <c r="AB620" s="83">
        <f t="shared" si="176"/>
        <v>15.100182199999978</v>
      </c>
      <c r="AC620" s="83">
        <f t="shared" si="178"/>
        <v>120</v>
      </c>
      <c r="AD620" s="72">
        <v>120</v>
      </c>
      <c r="AE620" s="73">
        <f t="shared" si="185"/>
        <v>907.92027688745009</v>
      </c>
      <c r="AF620" s="73">
        <f>SUM(AE$2:AE620)</f>
        <v>513256.25096766982</v>
      </c>
      <c r="AG620" s="73">
        <f t="shared" si="186"/>
        <v>660473.65145943942</v>
      </c>
    </row>
    <row r="621" spans="1:33" x14ac:dyDescent="0.25">
      <c r="A621" s="99">
        <v>152599.92000000001</v>
      </c>
      <c r="B621" s="96">
        <v>797.51490000000001</v>
      </c>
      <c r="C621" s="96">
        <v>0.6</v>
      </c>
      <c r="D621" s="80">
        <f t="shared" si="187"/>
        <v>100</v>
      </c>
      <c r="E621" s="81">
        <f t="shared" si="179"/>
        <v>6791.2436711181272</v>
      </c>
      <c r="F621" s="81">
        <f>SUM(E$2:E621)</f>
        <v>3842909.5788512807</v>
      </c>
      <c r="G621" s="43">
        <f t="shared" si="177"/>
        <v>1</v>
      </c>
      <c r="H621" s="78">
        <v>1</v>
      </c>
      <c r="I621" s="15">
        <f t="shared" si="180"/>
        <v>0.6</v>
      </c>
      <c r="J621" s="16">
        <f>VLOOKUP(G621,Inputs!$L$3:$P$15,5,FALSE)</f>
        <v>2000</v>
      </c>
      <c r="K621" s="16">
        <f t="shared" si="181"/>
        <v>1825</v>
      </c>
      <c r="L621" s="79">
        <f>Inputs!$P$8-B621</f>
        <v>140.67610000000002</v>
      </c>
      <c r="M621" s="79">
        <f>Inputs!$Q$8+L621*0.433</f>
        <v>1885.9127513000001</v>
      </c>
      <c r="N621" s="82">
        <f t="shared" si="182"/>
        <v>152599.92000000001</v>
      </c>
      <c r="O621" s="83">
        <f t="shared" si="183"/>
        <v>797.51490000000001</v>
      </c>
      <c r="P621" s="84">
        <f>IF(O621="","",Inputs!$C$5-O621)</f>
        <v>27.669599999999946</v>
      </c>
      <c r="Q621" s="83">
        <f>IF(N621="","",TS!J621)</f>
        <v>2000</v>
      </c>
      <c r="R621" s="83">
        <f>IF(N621="","",TS!K621)</f>
        <v>1825</v>
      </c>
      <c r="S621" s="83">
        <f>Inputs!$H$5+TS!P621*0.4333</f>
        <v>1886.95495413</v>
      </c>
      <c r="T621" s="83">
        <f>Inputs!$G$5+TS!P621*0.4333</f>
        <v>1901.95495413</v>
      </c>
      <c r="U621" s="85">
        <f t="shared" si="184"/>
        <v>0.95097747706500002</v>
      </c>
      <c r="V621" s="86">
        <f t="shared" si="172"/>
        <v>0</v>
      </c>
      <c r="W621" s="86">
        <f t="shared" si="173"/>
        <v>0</v>
      </c>
      <c r="X621" s="86" t="e">
        <f>((PI()*((42-2*'Gen Calcs'!$E$13)^2)/4)/144)*(A664-#REF!)*(W621+14.7)/14.7</f>
        <v>#REF!</v>
      </c>
      <c r="Y621" s="86" t="e">
        <f t="shared" si="174"/>
        <v>#REF!</v>
      </c>
      <c r="Z621" s="86" t="e">
        <f t="shared" si="175"/>
        <v>#REF!</v>
      </c>
      <c r="AA621" s="83">
        <f>MAX(B$2:B621)-B621</f>
        <v>35.108499999999935</v>
      </c>
      <c r="AB621" s="83">
        <f t="shared" si="176"/>
        <v>15.201980499999971</v>
      </c>
      <c r="AC621" s="83">
        <f t="shared" si="178"/>
        <v>120</v>
      </c>
      <c r="AD621" s="72">
        <v>120</v>
      </c>
      <c r="AE621" s="73">
        <f t="shared" si="185"/>
        <v>907.92027688745009</v>
      </c>
      <c r="AF621" s="73">
        <f>SUM(AE$2:AE621)</f>
        <v>514164.17124455725</v>
      </c>
      <c r="AG621" s="73">
        <f t="shared" si="186"/>
        <v>659565.73118255194</v>
      </c>
    </row>
    <row r="622" spans="1:33" x14ac:dyDescent="0.25">
      <c r="A622" s="100">
        <v>152699.92000000001</v>
      </c>
      <c r="B622" s="97">
        <v>797.93309999999997</v>
      </c>
      <c r="C622" s="97">
        <v>0.6</v>
      </c>
      <c r="D622" s="80">
        <f t="shared" si="187"/>
        <v>100</v>
      </c>
      <c r="E622" s="81">
        <f t="shared" si="179"/>
        <v>6791.2436711181272</v>
      </c>
      <c r="F622" s="81">
        <f>SUM(E$2:E622)</f>
        <v>3849700.822522399</v>
      </c>
      <c r="G622" s="43">
        <f t="shared" si="177"/>
        <v>1</v>
      </c>
      <c r="H622" s="78">
        <v>1</v>
      </c>
      <c r="I622" s="15">
        <f t="shared" si="180"/>
        <v>0.6</v>
      </c>
      <c r="J622" s="16">
        <f>VLOOKUP(G622,Inputs!$L$3:$P$15,5,FALSE)</f>
        <v>2000</v>
      </c>
      <c r="K622" s="16">
        <f t="shared" si="181"/>
        <v>1825</v>
      </c>
      <c r="L622" s="79">
        <f>Inputs!$P$8-B622</f>
        <v>140.25790000000006</v>
      </c>
      <c r="M622" s="79">
        <f>Inputs!$Q$8+L622*0.433</f>
        <v>1885.7316707</v>
      </c>
      <c r="N622" s="82">
        <f t="shared" si="182"/>
        <v>152699.92000000001</v>
      </c>
      <c r="O622" s="83">
        <f t="shared" si="183"/>
        <v>797.93309999999997</v>
      </c>
      <c r="P622" s="84">
        <f>IF(O622="","",Inputs!$C$5-O622)</f>
        <v>27.25139999999999</v>
      </c>
      <c r="Q622" s="83">
        <f>IF(N622="","",TS!J622)</f>
        <v>2000</v>
      </c>
      <c r="R622" s="83">
        <f>IF(N622="","",TS!K622)</f>
        <v>1825</v>
      </c>
      <c r="S622" s="83">
        <f>Inputs!$H$5+TS!P622*0.4333</f>
        <v>1886.77374807</v>
      </c>
      <c r="T622" s="83">
        <f>Inputs!$G$5+TS!P622*0.4333</f>
        <v>1901.77374807</v>
      </c>
      <c r="U622" s="85">
        <f t="shared" si="184"/>
        <v>0.95088687403500005</v>
      </c>
      <c r="V622" s="86">
        <f t="shared" si="172"/>
        <v>0</v>
      </c>
      <c r="W622" s="86">
        <f t="shared" si="173"/>
        <v>0</v>
      </c>
      <c r="X622" s="86" t="e">
        <f>((PI()*((42-2*'Gen Calcs'!$E$13)^2)/4)/144)*(A665-#REF!)*(W622+14.7)/14.7</f>
        <v>#REF!</v>
      </c>
      <c r="Y622" s="86" t="e">
        <f t="shared" si="174"/>
        <v>#REF!</v>
      </c>
      <c r="Z622" s="86" t="e">
        <f t="shared" si="175"/>
        <v>#REF!</v>
      </c>
      <c r="AA622" s="83">
        <f>MAX(B$2:B622)-B622</f>
        <v>34.690299999999979</v>
      </c>
      <c r="AB622" s="83">
        <f t="shared" si="176"/>
        <v>15.020899899999991</v>
      </c>
      <c r="AC622" s="83">
        <f t="shared" si="178"/>
        <v>120</v>
      </c>
      <c r="AD622" s="72">
        <v>120</v>
      </c>
      <c r="AE622" s="73">
        <f t="shared" si="185"/>
        <v>907.92027688745009</v>
      </c>
      <c r="AF622" s="73">
        <f>SUM(AE$2:AE622)</f>
        <v>515072.09152144467</v>
      </c>
      <c r="AG622" s="73">
        <f t="shared" si="186"/>
        <v>658657.81090566446</v>
      </c>
    </row>
    <row r="623" spans="1:33" x14ac:dyDescent="0.25">
      <c r="A623" s="99">
        <v>152799.92000000001</v>
      </c>
      <c r="B623" s="96">
        <v>798.64179999999999</v>
      </c>
      <c r="C623" s="96">
        <v>0.6</v>
      </c>
      <c r="D623" s="80">
        <f t="shared" si="187"/>
        <v>100</v>
      </c>
      <c r="E623" s="81">
        <f t="shared" si="179"/>
        <v>6791.2436711181272</v>
      </c>
      <c r="F623" s="81">
        <f>SUM(E$2:E623)</f>
        <v>3856492.0661935173</v>
      </c>
      <c r="G623" s="43">
        <f t="shared" si="177"/>
        <v>1</v>
      </c>
      <c r="H623" s="78">
        <v>1</v>
      </c>
      <c r="I623" s="15">
        <f t="shared" si="180"/>
        <v>0.6</v>
      </c>
      <c r="J623" s="16">
        <f>VLOOKUP(G623,Inputs!$L$3:$P$15,5,FALSE)</f>
        <v>2000</v>
      </c>
      <c r="K623" s="16">
        <f t="shared" si="181"/>
        <v>1825</v>
      </c>
      <c r="L623" s="79">
        <f>Inputs!$P$8-B623</f>
        <v>139.54920000000004</v>
      </c>
      <c r="M623" s="79">
        <f>Inputs!$Q$8+L623*0.433</f>
        <v>1885.4248035999999</v>
      </c>
      <c r="N623" s="82">
        <f t="shared" si="182"/>
        <v>152799.92000000001</v>
      </c>
      <c r="O623" s="83">
        <f t="shared" si="183"/>
        <v>798.64179999999999</v>
      </c>
      <c r="P623" s="84">
        <f>IF(O623="","",Inputs!$C$5-O623)</f>
        <v>26.542699999999968</v>
      </c>
      <c r="Q623" s="83">
        <f>IF(N623="","",TS!J623)</f>
        <v>2000</v>
      </c>
      <c r="R623" s="83">
        <f>IF(N623="","",TS!K623)</f>
        <v>1825</v>
      </c>
      <c r="S623" s="83">
        <f>Inputs!$H$5+TS!P623*0.4333</f>
        <v>1886.4666683599999</v>
      </c>
      <c r="T623" s="83">
        <f>Inputs!$G$5+TS!P623*0.4333</f>
        <v>1901.4666683599999</v>
      </c>
      <c r="U623" s="85">
        <f t="shared" si="184"/>
        <v>0.95073333417999994</v>
      </c>
      <c r="V623" s="86">
        <f t="shared" si="172"/>
        <v>0</v>
      </c>
      <c r="W623" s="86">
        <f t="shared" si="173"/>
        <v>0</v>
      </c>
      <c r="X623" s="86" t="e">
        <f>((PI()*((42-2*'Gen Calcs'!$E$13)^2)/4)/144)*(A666-#REF!)*(W623+14.7)/14.7</f>
        <v>#REF!</v>
      </c>
      <c r="Y623" s="86" t="e">
        <f t="shared" si="174"/>
        <v>#REF!</v>
      </c>
      <c r="Z623" s="86" t="e">
        <f t="shared" si="175"/>
        <v>#REF!</v>
      </c>
      <c r="AA623" s="83">
        <f>MAX(B$2:B623)-B623</f>
        <v>33.981599999999958</v>
      </c>
      <c r="AB623" s="83">
        <f t="shared" si="176"/>
        <v>14.714032799999982</v>
      </c>
      <c r="AC623" s="83">
        <f t="shared" si="178"/>
        <v>120</v>
      </c>
      <c r="AD623" s="72">
        <v>120</v>
      </c>
      <c r="AE623" s="73">
        <f t="shared" si="185"/>
        <v>907.92027688745009</v>
      </c>
      <c r="AF623" s="73">
        <f>SUM(AE$2:AE623)</f>
        <v>515980.0117983321</v>
      </c>
      <c r="AG623" s="73">
        <f t="shared" si="186"/>
        <v>657749.8906287771</v>
      </c>
    </row>
    <row r="624" spans="1:33" x14ac:dyDescent="0.25">
      <c r="A624" s="100">
        <v>152899.92000000001</v>
      </c>
      <c r="B624" s="97">
        <v>800.6961</v>
      </c>
      <c r="C624" s="97">
        <v>0.6</v>
      </c>
      <c r="D624" s="80">
        <f t="shared" si="187"/>
        <v>100</v>
      </c>
      <c r="E624" s="81">
        <f t="shared" si="179"/>
        <v>6791.2436711181272</v>
      </c>
      <c r="F624" s="81">
        <f>SUM(E$2:E624)</f>
        <v>3863283.3098646356</v>
      </c>
      <c r="G624" s="43">
        <f t="shared" si="177"/>
        <v>1</v>
      </c>
      <c r="H624" s="78">
        <v>1</v>
      </c>
      <c r="I624" s="15">
        <f t="shared" si="180"/>
        <v>0.6</v>
      </c>
      <c r="J624" s="16">
        <f>VLOOKUP(G624,Inputs!$L$3:$P$15,5,FALSE)</f>
        <v>2000</v>
      </c>
      <c r="K624" s="16">
        <f t="shared" si="181"/>
        <v>1825</v>
      </c>
      <c r="L624" s="79">
        <f>Inputs!$P$8-B624</f>
        <v>137.49490000000003</v>
      </c>
      <c r="M624" s="79">
        <f>Inputs!$Q$8+L624*0.433</f>
        <v>1884.5352917</v>
      </c>
      <c r="N624" s="82">
        <f t="shared" si="182"/>
        <v>152899.92000000001</v>
      </c>
      <c r="O624" s="83">
        <f t="shared" si="183"/>
        <v>800.6961</v>
      </c>
      <c r="P624" s="84">
        <f>IF(O624="","",Inputs!$C$5-O624)</f>
        <v>24.488399999999956</v>
      </c>
      <c r="Q624" s="83">
        <f>IF(N624="","",TS!J624)</f>
        <v>2000</v>
      </c>
      <c r="R624" s="83">
        <f>IF(N624="","",TS!K624)</f>
        <v>1825</v>
      </c>
      <c r="S624" s="83">
        <f>Inputs!$H$5+TS!P624*0.4333</f>
        <v>1885.5765401699998</v>
      </c>
      <c r="T624" s="83">
        <f>Inputs!$G$5+TS!P624*0.4333</f>
        <v>1900.5765401699998</v>
      </c>
      <c r="U624" s="85">
        <f t="shared" si="184"/>
        <v>0.95028827008499994</v>
      </c>
      <c r="V624" s="86">
        <f t="shared" si="172"/>
        <v>0</v>
      </c>
      <c r="W624" s="86">
        <f t="shared" si="173"/>
        <v>0</v>
      </c>
      <c r="X624" s="86" t="e">
        <f>((PI()*((42-2*'Gen Calcs'!$E$13)^2)/4)/144)*(A667-#REF!)*(W624+14.7)/14.7</f>
        <v>#REF!</v>
      </c>
      <c r="Y624" s="86" t="e">
        <f t="shared" si="174"/>
        <v>#REF!</v>
      </c>
      <c r="Z624" s="86" t="e">
        <f t="shared" si="175"/>
        <v>#REF!</v>
      </c>
      <c r="AA624" s="83">
        <f>MAX(B$2:B624)-B624</f>
        <v>31.927299999999946</v>
      </c>
      <c r="AB624" s="83">
        <f t="shared" si="176"/>
        <v>13.824520899999976</v>
      </c>
      <c r="AC624" s="83">
        <f t="shared" si="178"/>
        <v>120</v>
      </c>
      <c r="AD624" s="72">
        <v>120</v>
      </c>
      <c r="AE624" s="73">
        <f t="shared" si="185"/>
        <v>907.92027688745009</v>
      </c>
      <c r="AF624" s="73">
        <f>SUM(AE$2:AE624)</f>
        <v>516887.93207521952</v>
      </c>
      <c r="AG624" s="73">
        <f t="shared" si="186"/>
        <v>656841.97035188973</v>
      </c>
    </row>
    <row r="625" spans="1:33" x14ac:dyDescent="0.25">
      <c r="A625" s="99">
        <v>152999.92000000001</v>
      </c>
      <c r="B625" s="96">
        <v>802.14790000000005</v>
      </c>
      <c r="C625" s="96">
        <v>0.6</v>
      </c>
      <c r="D625" s="80">
        <f t="shared" si="187"/>
        <v>100</v>
      </c>
      <c r="E625" s="81">
        <f t="shared" si="179"/>
        <v>6791.2436711181272</v>
      </c>
      <c r="F625" s="81">
        <f>SUM(E$2:E625)</f>
        <v>3870074.5535357539</v>
      </c>
      <c r="G625" s="43">
        <f t="shared" si="177"/>
        <v>1</v>
      </c>
      <c r="H625" s="78">
        <v>1</v>
      </c>
      <c r="I625" s="15">
        <f t="shared" si="180"/>
        <v>0.6</v>
      </c>
      <c r="J625" s="16">
        <f>VLOOKUP(G625,Inputs!$L$3:$P$15,5,FALSE)</f>
        <v>2000</v>
      </c>
      <c r="K625" s="16">
        <f t="shared" si="181"/>
        <v>1825</v>
      </c>
      <c r="L625" s="79">
        <f>Inputs!$P$8-B625</f>
        <v>136.04309999999998</v>
      </c>
      <c r="M625" s="79">
        <f>Inputs!$Q$8+L625*0.433</f>
        <v>1883.9066622999999</v>
      </c>
      <c r="N625" s="82">
        <f t="shared" si="182"/>
        <v>152999.92000000001</v>
      </c>
      <c r="O625" s="83">
        <f t="shared" si="183"/>
        <v>802.14790000000005</v>
      </c>
      <c r="P625" s="84">
        <f>IF(O625="","",Inputs!$C$5-O625)</f>
        <v>23.036599999999908</v>
      </c>
      <c r="Q625" s="83">
        <f>IF(N625="","",TS!J625)</f>
        <v>2000</v>
      </c>
      <c r="R625" s="83">
        <f>IF(N625="","",TS!K625)</f>
        <v>1825</v>
      </c>
      <c r="S625" s="83">
        <f>Inputs!$H$5+TS!P625*0.4333</f>
        <v>1884.94747523</v>
      </c>
      <c r="T625" s="83">
        <f>Inputs!$G$5+TS!P625*0.4333</f>
        <v>1899.94747523</v>
      </c>
      <c r="U625" s="85">
        <f t="shared" si="184"/>
        <v>0.94997373761500004</v>
      </c>
      <c r="V625" s="86">
        <f t="shared" si="172"/>
        <v>0</v>
      </c>
      <c r="W625" s="86">
        <f t="shared" si="173"/>
        <v>0</v>
      </c>
      <c r="X625" s="86" t="e">
        <f>((PI()*((42-2*'Gen Calcs'!$E$13)^2)/4)/144)*(A668-#REF!)*(W625+14.7)/14.7</f>
        <v>#REF!</v>
      </c>
      <c r="Y625" s="86" t="e">
        <f t="shared" si="174"/>
        <v>#REF!</v>
      </c>
      <c r="Z625" s="86" t="e">
        <f t="shared" si="175"/>
        <v>#REF!</v>
      </c>
      <c r="AA625" s="83">
        <f>MAX(B$2:B625)-B625</f>
        <v>30.475499999999897</v>
      </c>
      <c r="AB625" s="83">
        <f t="shared" si="176"/>
        <v>13.195891499999956</v>
      </c>
      <c r="AC625" s="83">
        <f t="shared" si="178"/>
        <v>120</v>
      </c>
      <c r="AD625" s="72">
        <v>120</v>
      </c>
      <c r="AE625" s="73">
        <f t="shared" si="185"/>
        <v>907.92027688745009</v>
      </c>
      <c r="AF625" s="73">
        <f>SUM(AE$2:AE625)</f>
        <v>517795.85235210694</v>
      </c>
      <c r="AG625" s="73">
        <f t="shared" si="186"/>
        <v>655934.05007500225</v>
      </c>
    </row>
    <row r="626" spans="1:33" x14ac:dyDescent="0.25">
      <c r="A626" s="100">
        <v>153099.92000000001</v>
      </c>
      <c r="B626" s="97">
        <v>802.66849999999999</v>
      </c>
      <c r="C626" s="97">
        <v>0.6</v>
      </c>
      <c r="D626" s="80">
        <f t="shared" si="187"/>
        <v>100</v>
      </c>
      <c r="E626" s="81">
        <f t="shared" si="179"/>
        <v>6791.2436711181272</v>
      </c>
      <c r="F626" s="81">
        <f>SUM(E$2:E626)</f>
        <v>3876865.7972068721</v>
      </c>
      <c r="G626" s="43">
        <f t="shared" si="177"/>
        <v>1</v>
      </c>
      <c r="H626" s="78">
        <v>1</v>
      </c>
      <c r="I626" s="15">
        <f t="shared" si="180"/>
        <v>0.6</v>
      </c>
      <c r="J626" s="16">
        <f>VLOOKUP(G626,Inputs!$L$3:$P$15,5,FALSE)</f>
        <v>2000</v>
      </c>
      <c r="K626" s="16">
        <f t="shared" si="181"/>
        <v>1825</v>
      </c>
      <c r="L626" s="79">
        <f>Inputs!$P$8-B626</f>
        <v>135.52250000000004</v>
      </c>
      <c r="M626" s="79">
        <f>Inputs!$Q$8+L626*0.433</f>
        <v>1883.6812425000001</v>
      </c>
      <c r="N626" s="82">
        <f t="shared" si="182"/>
        <v>153099.92000000001</v>
      </c>
      <c r="O626" s="83">
        <f t="shared" si="183"/>
        <v>802.66849999999999</v>
      </c>
      <c r="P626" s="84">
        <f>IF(O626="","",Inputs!$C$5-O626)</f>
        <v>22.515999999999963</v>
      </c>
      <c r="Q626" s="83">
        <f>IF(N626="","",TS!J626)</f>
        <v>2000</v>
      </c>
      <c r="R626" s="83">
        <f>IF(N626="","",TS!K626)</f>
        <v>1825</v>
      </c>
      <c r="S626" s="83">
        <f>Inputs!$H$5+TS!P626*0.4333</f>
        <v>1884.72189925</v>
      </c>
      <c r="T626" s="83">
        <f>Inputs!$G$5+TS!P626*0.4333</f>
        <v>1899.72189925</v>
      </c>
      <c r="U626" s="85">
        <f t="shared" si="184"/>
        <v>0.94986094962500001</v>
      </c>
      <c r="V626" s="86">
        <f t="shared" si="172"/>
        <v>0</v>
      </c>
      <c r="W626" s="86">
        <f t="shared" si="173"/>
        <v>0</v>
      </c>
      <c r="X626" s="86" t="e">
        <f>((PI()*((42-2*'Gen Calcs'!$E$13)^2)/4)/144)*(A669-#REF!)*(W626+14.7)/14.7</f>
        <v>#REF!</v>
      </c>
      <c r="Y626" s="86" t="e">
        <f t="shared" si="174"/>
        <v>#REF!</v>
      </c>
      <c r="Z626" s="86" t="e">
        <f t="shared" si="175"/>
        <v>#REF!</v>
      </c>
      <c r="AA626" s="83">
        <f>MAX(B$2:B626)-B626</f>
        <v>29.954899999999952</v>
      </c>
      <c r="AB626" s="83">
        <f t="shared" si="176"/>
        <v>12.97047169999998</v>
      </c>
      <c r="AC626" s="83">
        <f t="shared" si="178"/>
        <v>120</v>
      </c>
      <c r="AD626" s="72">
        <v>120</v>
      </c>
      <c r="AE626" s="73">
        <f t="shared" si="185"/>
        <v>907.92027688745009</v>
      </c>
      <c r="AF626" s="73">
        <f>SUM(AE$2:AE626)</f>
        <v>518703.77262899437</v>
      </c>
      <c r="AG626" s="73">
        <f t="shared" si="186"/>
        <v>655026.12979811477</v>
      </c>
    </row>
    <row r="627" spans="1:33" x14ac:dyDescent="0.25">
      <c r="A627" s="99">
        <v>153199.92000000001</v>
      </c>
      <c r="B627" s="96">
        <v>802.12810000000002</v>
      </c>
      <c r="C627" s="96">
        <v>0.6</v>
      </c>
      <c r="D627" s="80">
        <f t="shared" si="187"/>
        <v>100</v>
      </c>
      <c r="E627" s="81">
        <f t="shared" si="179"/>
        <v>6791.2436711181272</v>
      </c>
      <c r="F627" s="81">
        <f>SUM(E$2:E627)</f>
        <v>3883657.0408779904</v>
      </c>
      <c r="G627" s="43">
        <f t="shared" si="177"/>
        <v>1</v>
      </c>
      <c r="H627" s="78">
        <v>1</v>
      </c>
      <c r="I627" s="15">
        <f t="shared" si="180"/>
        <v>0.6</v>
      </c>
      <c r="J627" s="16">
        <f>VLOOKUP(G627,Inputs!$L$3:$P$15,5,FALSE)</f>
        <v>2000</v>
      </c>
      <c r="K627" s="16">
        <f t="shared" si="181"/>
        <v>1825</v>
      </c>
      <c r="L627" s="79">
        <f>Inputs!$P$8-B627</f>
        <v>136.06290000000001</v>
      </c>
      <c r="M627" s="79">
        <f>Inputs!$Q$8+L627*0.433</f>
        <v>1883.9152357</v>
      </c>
      <c r="N627" s="82">
        <f t="shared" si="182"/>
        <v>153199.92000000001</v>
      </c>
      <c r="O627" s="83">
        <f t="shared" si="183"/>
        <v>802.12810000000002</v>
      </c>
      <c r="P627" s="84">
        <f>IF(O627="","",Inputs!$C$5-O627)</f>
        <v>23.05639999999994</v>
      </c>
      <c r="Q627" s="83">
        <f>IF(N627="","",TS!J627)</f>
        <v>2000</v>
      </c>
      <c r="R627" s="83">
        <f>IF(N627="","",TS!K627)</f>
        <v>1825</v>
      </c>
      <c r="S627" s="83">
        <f>Inputs!$H$5+TS!P627*0.4333</f>
        <v>1884.9560545699999</v>
      </c>
      <c r="T627" s="83">
        <f>Inputs!$G$5+TS!P627*0.4333</f>
        <v>1899.9560545699999</v>
      </c>
      <c r="U627" s="85">
        <f t="shared" si="184"/>
        <v>0.94997802728499992</v>
      </c>
      <c r="V627" s="86">
        <f t="shared" si="172"/>
        <v>0</v>
      </c>
      <c r="W627" s="86">
        <f t="shared" si="173"/>
        <v>0</v>
      </c>
      <c r="X627" s="86" t="e">
        <f>((PI()*((42-2*'Gen Calcs'!$E$13)^2)/4)/144)*(A670-#REF!)*(W627+14.7)/14.7</f>
        <v>#REF!</v>
      </c>
      <c r="Y627" s="86" t="e">
        <f t="shared" si="174"/>
        <v>#REF!</v>
      </c>
      <c r="Z627" s="86" t="e">
        <f t="shared" si="175"/>
        <v>#REF!</v>
      </c>
      <c r="AA627" s="83">
        <f>MAX(B$2:B627)-B627</f>
        <v>30.495299999999929</v>
      </c>
      <c r="AB627" s="83">
        <f t="shared" si="176"/>
        <v>13.204464899999969</v>
      </c>
      <c r="AC627" s="83">
        <f t="shared" si="178"/>
        <v>120</v>
      </c>
      <c r="AD627" s="72">
        <v>120</v>
      </c>
      <c r="AE627" s="73">
        <f t="shared" si="185"/>
        <v>907.92027688745009</v>
      </c>
      <c r="AF627" s="73">
        <f>SUM(AE$2:AE627)</f>
        <v>519611.69290588179</v>
      </c>
      <c r="AG627" s="73">
        <f t="shared" si="186"/>
        <v>654118.2095212274</v>
      </c>
    </row>
    <row r="628" spans="1:33" x14ac:dyDescent="0.25">
      <c r="A628" s="100">
        <v>153299.92000000001</v>
      </c>
      <c r="B628" s="97">
        <v>801.47439999999995</v>
      </c>
      <c r="C628" s="97">
        <v>0.6</v>
      </c>
      <c r="D628" s="80">
        <f t="shared" si="187"/>
        <v>100</v>
      </c>
      <c r="E628" s="81">
        <f t="shared" si="179"/>
        <v>6791.2436711181272</v>
      </c>
      <c r="F628" s="81">
        <f>SUM(E$2:E628)</f>
        <v>3890448.2845491087</v>
      </c>
      <c r="G628" s="43">
        <f t="shared" si="177"/>
        <v>1</v>
      </c>
      <c r="H628" s="78">
        <v>1</v>
      </c>
      <c r="I628" s="15">
        <f t="shared" si="180"/>
        <v>0.6</v>
      </c>
      <c r="J628" s="16">
        <f>VLOOKUP(G628,Inputs!$L$3:$P$15,5,FALSE)</f>
        <v>2000</v>
      </c>
      <c r="K628" s="16">
        <f t="shared" si="181"/>
        <v>1825</v>
      </c>
      <c r="L628" s="79">
        <f>Inputs!$P$8-B628</f>
        <v>136.71660000000008</v>
      </c>
      <c r="M628" s="79">
        <f>Inputs!$Q$8+L628*0.433</f>
        <v>1884.1982878000001</v>
      </c>
      <c r="N628" s="82">
        <f t="shared" si="182"/>
        <v>153299.92000000001</v>
      </c>
      <c r="O628" s="83">
        <f t="shared" si="183"/>
        <v>801.47439999999995</v>
      </c>
      <c r="P628" s="84">
        <f>IF(O628="","",Inputs!$C$5-O628)</f>
        <v>23.710100000000011</v>
      </c>
      <c r="Q628" s="83">
        <f>IF(N628="","",TS!J628)</f>
        <v>2000</v>
      </c>
      <c r="R628" s="83">
        <f>IF(N628="","",TS!K628)</f>
        <v>1825</v>
      </c>
      <c r="S628" s="83">
        <f>Inputs!$H$5+TS!P628*0.4333</f>
        <v>1885.2393027799999</v>
      </c>
      <c r="T628" s="83">
        <f>Inputs!$G$5+TS!P628*0.4333</f>
        <v>1900.2393027799999</v>
      </c>
      <c r="U628" s="85">
        <f t="shared" si="184"/>
        <v>0.95011965138999999</v>
      </c>
      <c r="V628" s="86">
        <f t="shared" si="172"/>
        <v>0</v>
      </c>
      <c r="W628" s="86">
        <f t="shared" si="173"/>
        <v>0</v>
      </c>
      <c r="X628" s="86" t="e">
        <f>((PI()*((42-2*'Gen Calcs'!$E$13)^2)/4)/144)*(A671-#REF!)*(W628+14.7)/14.7</f>
        <v>#REF!</v>
      </c>
      <c r="Y628" s="86" t="e">
        <f t="shared" si="174"/>
        <v>#REF!</v>
      </c>
      <c r="Z628" s="86" t="e">
        <f t="shared" si="175"/>
        <v>#REF!</v>
      </c>
      <c r="AA628" s="83">
        <f>MAX(B$2:B628)-B628</f>
        <v>31.149000000000001</v>
      </c>
      <c r="AB628" s="83">
        <f t="shared" si="176"/>
        <v>13.487517</v>
      </c>
      <c r="AC628" s="83">
        <f t="shared" si="178"/>
        <v>120</v>
      </c>
      <c r="AD628" s="72">
        <v>120</v>
      </c>
      <c r="AE628" s="73">
        <f t="shared" si="185"/>
        <v>907.92027688745009</v>
      </c>
      <c r="AF628" s="73">
        <f>SUM(AE$2:AE628)</f>
        <v>520519.61318276922</v>
      </c>
      <c r="AG628" s="73">
        <f t="shared" si="186"/>
        <v>653210.28924434003</v>
      </c>
    </row>
    <row r="629" spans="1:33" x14ac:dyDescent="0.25">
      <c r="A629" s="99">
        <v>153399.92000000001</v>
      </c>
      <c r="B629" s="96">
        <v>800.54930000000002</v>
      </c>
      <c r="C629" s="96">
        <v>0.6</v>
      </c>
      <c r="D629" s="80">
        <f t="shared" si="187"/>
        <v>100</v>
      </c>
      <c r="E629" s="81">
        <f t="shared" si="179"/>
        <v>6791.2436711181272</v>
      </c>
      <c r="F629" s="81">
        <f>SUM(E$2:E629)</f>
        <v>3897239.528220227</v>
      </c>
      <c r="G629" s="43">
        <f t="shared" si="177"/>
        <v>1</v>
      </c>
      <c r="H629" s="78">
        <v>1</v>
      </c>
      <c r="I629" s="15">
        <f t="shared" si="180"/>
        <v>0.6</v>
      </c>
      <c r="J629" s="16">
        <f>VLOOKUP(G629,Inputs!$L$3:$P$15,5,FALSE)</f>
        <v>2000</v>
      </c>
      <c r="K629" s="16">
        <f t="shared" si="181"/>
        <v>1825</v>
      </c>
      <c r="L629" s="79">
        <f>Inputs!$P$8-B629</f>
        <v>137.64170000000001</v>
      </c>
      <c r="M629" s="79">
        <f>Inputs!$Q$8+L629*0.433</f>
        <v>1884.5988560999999</v>
      </c>
      <c r="N629" s="82">
        <f t="shared" si="182"/>
        <v>153399.92000000001</v>
      </c>
      <c r="O629" s="83">
        <f t="shared" si="183"/>
        <v>800.54930000000002</v>
      </c>
      <c r="P629" s="84">
        <f>IF(O629="","",Inputs!$C$5-O629)</f>
        <v>24.635199999999941</v>
      </c>
      <c r="Q629" s="83">
        <f>IF(N629="","",TS!J629)</f>
        <v>2000</v>
      </c>
      <c r="R629" s="83">
        <f>IF(N629="","",TS!K629)</f>
        <v>1825</v>
      </c>
      <c r="S629" s="83">
        <f>Inputs!$H$5+TS!P629*0.4333</f>
        <v>1885.6401486099999</v>
      </c>
      <c r="T629" s="83">
        <f>Inputs!$G$5+TS!P629*0.4333</f>
        <v>1900.6401486099999</v>
      </c>
      <c r="U629" s="85">
        <f t="shared" si="184"/>
        <v>0.95032007430499998</v>
      </c>
      <c r="V629" s="86">
        <f t="shared" si="172"/>
        <v>0</v>
      </c>
      <c r="W629" s="86">
        <f t="shared" si="173"/>
        <v>0</v>
      </c>
      <c r="X629" s="86" t="e">
        <f>((PI()*((42-2*'Gen Calcs'!$E$13)^2)/4)/144)*(A672-#REF!)*(W629+14.7)/14.7</f>
        <v>#REF!</v>
      </c>
      <c r="Y629" s="86" t="e">
        <f t="shared" si="174"/>
        <v>#REF!</v>
      </c>
      <c r="Z629" s="86" t="e">
        <f t="shared" si="175"/>
        <v>#REF!</v>
      </c>
      <c r="AA629" s="83">
        <f>MAX(B$2:B629)-B629</f>
        <v>32.07409999999993</v>
      </c>
      <c r="AB629" s="83">
        <f t="shared" si="176"/>
        <v>13.88808529999997</v>
      </c>
      <c r="AC629" s="83">
        <f t="shared" si="178"/>
        <v>120</v>
      </c>
      <c r="AD629" s="72">
        <v>120</v>
      </c>
      <c r="AE629" s="73">
        <f t="shared" si="185"/>
        <v>907.92027688745009</v>
      </c>
      <c r="AF629" s="73">
        <f>SUM(AE$2:AE629)</f>
        <v>521427.53345965664</v>
      </c>
      <c r="AG629" s="73">
        <f t="shared" si="186"/>
        <v>652302.36896745255</v>
      </c>
    </row>
    <row r="630" spans="1:33" x14ac:dyDescent="0.25">
      <c r="A630" s="100">
        <v>153499.92000000001</v>
      </c>
      <c r="B630" s="97">
        <v>799.54700000000003</v>
      </c>
      <c r="C630" s="97">
        <v>0.6</v>
      </c>
      <c r="D630" s="80">
        <f t="shared" si="187"/>
        <v>100</v>
      </c>
      <c r="E630" s="81">
        <f t="shared" si="179"/>
        <v>6791.2436711181272</v>
      </c>
      <c r="F630" s="81">
        <f>SUM(E$2:E630)</f>
        <v>3904030.7718913453</v>
      </c>
      <c r="G630" s="43">
        <f t="shared" si="177"/>
        <v>1</v>
      </c>
      <c r="H630" s="78">
        <v>1</v>
      </c>
      <c r="I630" s="15">
        <f t="shared" si="180"/>
        <v>0.6</v>
      </c>
      <c r="J630" s="16">
        <f>VLOOKUP(G630,Inputs!$L$3:$P$15,5,FALSE)</f>
        <v>2000</v>
      </c>
      <c r="K630" s="16">
        <f t="shared" si="181"/>
        <v>1825</v>
      </c>
      <c r="L630" s="79">
        <f>Inputs!$P$8-B630</f>
        <v>138.64400000000001</v>
      </c>
      <c r="M630" s="79">
        <f>Inputs!$Q$8+L630*0.433</f>
        <v>1885.032852</v>
      </c>
      <c r="N630" s="82">
        <f t="shared" si="182"/>
        <v>153499.92000000001</v>
      </c>
      <c r="O630" s="83">
        <f t="shared" si="183"/>
        <v>799.54700000000003</v>
      </c>
      <c r="P630" s="84">
        <f>IF(O630="","",Inputs!$C$5-O630)</f>
        <v>25.637499999999932</v>
      </c>
      <c r="Q630" s="83">
        <f>IF(N630="","",TS!J630)</f>
        <v>2000</v>
      </c>
      <c r="R630" s="83">
        <f>IF(N630="","",TS!K630)</f>
        <v>1825</v>
      </c>
      <c r="S630" s="83">
        <f>Inputs!$H$5+TS!P630*0.4333</f>
        <v>1886.0744451999999</v>
      </c>
      <c r="T630" s="83">
        <f>Inputs!$G$5+TS!P630*0.4333</f>
        <v>1901.0744451999999</v>
      </c>
      <c r="U630" s="85">
        <f t="shared" si="184"/>
        <v>0.95053722259999995</v>
      </c>
      <c r="V630" s="86">
        <f t="shared" ref="V630:V693" si="188">O630-MAX(O630:O630)</f>
        <v>0</v>
      </c>
      <c r="W630" s="86">
        <f t="shared" ref="W630:W693" si="189">-(V630)*0.433</f>
        <v>0</v>
      </c>
      <c r="X630" s="86" t="e">
        <f>((PI()*((42-2*'Gen Calcs'!$E$13)^2)/4)/144)*(A673-#REF!)*(W630+14.7)/14.7</f>
        <v>#REF!</v>
      </c>
      <c r="Y630" s="86" t="e">
        <f t="shared" ref="Y630:Y693" si="190">X630/1000</f>
        <v>#REF!</v>
      </c>
      <c r="Z630" s="86" t="e">
        <f t="shared" ref="Z630:Z693" si="191">IF(Y630&gt;Z629,Y630,Z629)</f>
        <v>#REF!</v>
      </c>
      <c r="AA630" s="83">
        <f>MAX(B$2:B630)-B630</f>
        <v>33.076399999999921</v>
      </c>
      <c r="AB630" s="83">
        <f t="shared" ref="AB630:AB693" si="192">AA630*0.433</f>
        <v>14.322081199999966</v>
      </c>
      <c r="AC630" s="83">
        <f t="shared" si="178"/>
        <v>120</v>
      </c>
      <c r="AD630" s="72">
        <v>120</v>
      </c>
      <c r="AE630" s="73">
        <f t="shared" si="185"/>
        <v>907.92027688745009</v>
      </c>
      <c r="AF630" s="73">
        <f>SUM(AE$2:AE630)</f>
        <v>522335.45373654406</v>
      </c>
      <c r="AG630" s="73">
        <f t="shared" si="186"/>
        <v>651394.44869056507</v>
      </c>
    </row>
    <row r="631" spans="1:33" x14ac:dyDescent="0.25">
      <c r="A631" s="99">
        <v>153599.92000000001</v>
      </c>
      <c r="B631" s="96">
        <v>799.24429999999995</v>
      </c>
      <c r="C631" s="96">
        <v>0.6</v>
      </c>
      <c r="D631" s="80">
        <f t="shared" si="187"/>
        <v>100</v>
      </c>
      <c r="E631" s="81">
        <f t="shared" si="179"/>
        <v>6791.2436711181272</v>
      </c>
      <c r="F631" s="81">
        <f>SUM(E$2:E631)</f>
        <v>3910822.0155624636</v>
      </c>
      <c r="G631" s="43">
        <f t="shared" si="177"/>
        <v>1</v>
      </c>
      <c r="H631" s="78">
        <v>1</v>
      </c>
      <c r="I631" s="15">
        <f t="shared" si="180"/>
        <v>0.6</v>
      </c>
      <c r="J631" s="16">
        <f>VLOOKUP(G631,Inputs!$L$3:$P$15,5,FALSE)</f>
        <v>2000</v>
      </c>
      <c r="K631" s="16">
        <f t="shared" si="181"/>
        <v>1825</v>
      </c>
      <c r="L631" s="79">
        <f>Inputs!$P$8-B631</f>
        <v>138.94670000000008</v>
      </c>
      <c r="M631" s="79">
        <f>Inputs!$Q$8+L631*0.433</f>
        <v>1885.1639210999999</v>
      </c>
      <c r="N631" s="82">
        <f t="shared" si="182"/>
        <v>153599.92000000001</v>
      </c>
      <c r="O631" s="83">
        <f t="shared" si="183"/>
        <v>799.24429999999995</v>
      </c>
      <c r="P631" s="84">
        <f>IF(O631="","",Inputs!$C$5-O631)</f>
        <v>25.940200000000004</v>
      </c>
      <c r="Q631" s="83">
        <f>IF(N631="","",TS!J631)</f>
        <v>2000</v>
      </c>
      <c r="R631" s="83">
        <f>IF(N631="","",TS!K631)</f>
        <v>1825</v>
      </c>
      <c r="S631" s="83">
        <f>Inputs!$H$5+TS!P631*0.4333</f>
        <v>1886.2056051099999</v>
      </c>
      <c r="T631" s="83">
        <f>Inputs!$G$5+TS!P631*0.4333</f>
        <v>1901.2056051099999</v>
      </c>
      <c r="U631" s="85">
        <f t="shared" si="184"/>
        <v>0.95060280255499996</v>
      </c>
      <c r="V631" s="86">
        <f t="shared" si="188"/>
        <v>0</v>
      </c>
      <c r="W631" s="86">
        <f t="shared" si="189"/>
        <v>0</v>
      </c>
      <c r="X631" s="86" t="e">
        <f>((PI()*((42-2*'Gen Calcs'!$E$13)^2)/4)/144)*(A674-#REF!)*(W631+14.7)/14.7</f>
        <v>#REF!</v>
      </c>
      <c r="Y631" s="86" t="e">
        <f t="shared" si="190"/>
        <v>#REF!</v>
      </c>
      <c r="Z631" s="86" t="e">
        <f t="shared" si="191"/>
        <v>#REF!</v>
      </c>
      <c r="AA631" s="83">
        <f>MAX(B$2:B631)-B631</f>
        <v>33.379099999999994</v>
      </c>
      <c r="AB631" s="83">
        <f t="shared" si="192"/>
        <v>14.453150299999997</v>
      </c>
      <c r="AC631" s="83">
        <f t="shared" si="178"/>
        <v>120</v>
      </c>
      <c r="AD631" s="72">
        <v>120</v>
      </c>
      <c r="AE631" s="73">
        <f t="shared" si="185"/>
        <v>907.92027688745009</v>
      </c>
      <c r="AF631" s="73">
        <f>SUM(AE$2:AE631)</f>
        <v>523243.37401343149</v>
      </c>
      <c r="AG631" s="73">
        <f t="shared" si="186"/>
        <v>650486.5284136777</v>
      </c>
    </row>
    <row r="632" spans="1:33" x14ac:dyDescent="0.25">
      <c r="A632" s="100">
        <v>153699.92000000001</v>
      </c>
      <c r="B632" s="97">
        <v>799.03449999999998</v>
      </c>
      <c r="C632" s="97">
        <v>0.6</v>
      </c>
      <c r="D632" s="80">
        <f t="shared" si="187"/>
        <v>100</v>
      </c>
      <c r="E632" s="81">
        <f t="shared" si="179"/>
        <v>6791.2436711181272</v>
      </c>
      <c r="F632" s="81">
        <f>SUM(E$2:E632)</f>
        <v>3917613.2592335818</v>
      </c>
      <c r="G632" s="43">
        <f t="shared" si="177"/>
        <v>1</v>
      </c>
      <c r="H632" s="78">
        <v>1</v>
      </c>
      <c r="I632" s="15">
        <f t="shared" si="180"/>
        <v>0.6</v>
      </c>
      <c r="J632" s="16">
        <f>VLOOKUP(G632,Inputs!$L$3:$P$15,5,FALSE)</f>
        <v>2000</v>
      </c>
      <c r="K632" s="16">
        <f t="shared" si="181"/>
        <v>1825</v>
      </c>
      <c r="L632" s="79">
        <f>Inputs!$P$8-B632</f>
        <v>139.15650000000005</v>
      </c>
      <c r="M632" s="79">
        <f>Inputs!$Q$8+L632*0.433</f>
        <v>1885.2547645</v>
      </c>
      <c r="N632" s="82">
        <f t="shared" si="182"/>
        <v>153699.92000000001</v>
      </c>
      <c r="O632" s="83">
        <f t="shared" si="183"/>
        <v>799.03449999999998</v>
      </c>
      <c r="P632" s="84">
        <f>IF(O632="","",Inputs!$C$5-O632)</f>
        <v>26.149999999999977</v>
      </c>
      <c r="Q632" s="83">
        <f>IF(N632="","",TS!J632)</f>
        <v>2000</v>
      </c>
      <c r="R632" s="83">
        <f>IF(N632="","",TS!K632)</f>
        <v>1825</v>
      </c>
      <c r="S632" s="83">
        <f>Inputs!$H$5+TS!P632*0.4333</f>
        <v>1886.29651145</v>
      </c>
      <c r="T632" s="83">
        <f>Inputs!$G$5+TS!P632*0.4333</f>
        <v>1901.29651145</v>
      </c>
      <c r="U632" s="85">
        <f t="shared" si="184"/>
        <v>0.950648255725</v>
      </c>
      <c r="V632" s="86">
        <f t="shared" si="188"/>
        <v>0</v>
      </c>
      <c r="W632" s="86">
        <f t="shared" si="189"/>
        <v>0</v>
      </c>
      <c r="X632" s="86" t="e">
        <f>((PI()*((42-2*'Gen Calcs'!$E$13)^2)/4)/144)*(A675-#REF!)*(W632+14.7)/14.7</f>
        <v>#REF!</v>
      </c>
      <c r="Y632" s="86" t="e">
        <f t="shared" si="190"/>
        <v>#REF!</v>
      </c>
      <c r="Z632" s="86" t="e">
        <f t="shared" si="191"/>
        <v>#REF!</v>
      </c>
      <c r="AA632" s="83">
        <f>MAX(B$2:B632)-B632</f>
        <v>33.588899999999967</v>
      </c>
      <c r="AB632" s="83">
        <f t="shared" si="192"/>
        <v>14.543993699999985</v>
      </c>
      <c r="AC632" s="83">
        <f t="shared" si="178"/>
        <v>120</v>
      </c>
      <c r="AD632" s="72">
        <v>120</v>
      </c>
      <c r="AE632" s="73">
        <f t="shared" si="185"/>
        <v>907.92027688745009</v>
      </c>
      <c r="AF632" s="73">
        <f>SUM(AE$2:AE632)</f>
        <v>524151.29429031891</v>
      </c>
      <c r="AG632" s="73">
        <f t="shared" si="186"/>
        <v>649578.60813679034</v>
      </c>
    </row>
    <row r="633" spans="1:33" x14ac:dyDescent="0.25">
      <c r="A633" s="99">
        <v>153799.92000000001</v>
      </c>
      <c r="B633" s="96">
        <v>799.05370000000005</v>
      </c>
      <c r="C633" s="96">
        <v>0.6</v>
      </c>
      <c r="D633" s="80">
        <f t="shared" si="187"/>
        <v>100</v>
      </c>
      <c r="E633" s="81">
        <f t="shared" si="179"/>
        <v>6791.2436711181272</v>
      </c>
      <c r="F633" s="81">
        <f>SUM(E$2:E633)</f>
        <v>3924404.5029047001</v>
      </c>
      <c r="G633" s="43">
        <f t="shared" si="177"/>
        <v>1</v>
      </c>
      <c r="H633" s="78">
        <v>1</v>
      </c>
      <c r="I633" s="15">
        <f t="shared" si="180"/>
        <v>0.6</v>
      </c>
      <c r="J633" s="16">
        <f>VLOOKUP(G633,Inputs!$L$3:$P$15,5,FALSE)</f>
        <v>2000</v>
      </c>
      <c r="K633" s="16">
        <f t="shared" si="181"/>
        <v>1825</v>
      </c>
      <c r="L633" s="79">
        <f>Inputs!$P$8-B633</f>
        <v>139.13729999999998</v>
      </c>
      <c r="M633" s="79">
        <f>Inputs!$Q$8+L633*0.433</f>
        <v>1885.2464508999999</v>
      </c>
      <c r="N633" s="82">
        <f t="shared" si="182"/>
        <v>153799.92000000001</v>
      </c>
      <c r="O633" s="83">
        <f t="shared" si="183"/>
        <v>799.05370000000005</v>
      </c>
      <c r="P633" s="84">
        <f>IF(O633="","",Inputs!$C$5-O633)</f>
        <v>26.130799999999908</v>
      </c>
      <c r="Q633" s="83">
        <f>IF(N633="","",TS!J633)</f>
        <v>2000</v>
      </c>
      <c r="R633" s="83">
        <f>IF(N633="","",TS!K633)</f>
        <v>1825</v>
      </c>
      <c r="S633" s="83">
        <f>Inputs!$H$5+TS!P633*0.4333</f>
        <v>1886.2881920899999</v>
      </c>
      <c r="T633" s="83">
        <f>Inputs!$G$5+TS!P633*0.4333</f>
        <v>1901.2881920899999</v>
      </c>
      <c r="U633" s="85">
        <f t="shared" si="184"/>
        <v>0.950644096045</v>
      </c>
      <c r="V633" s="86">
        <f t="shared" si="188"/>
        <v>0</v>
      </c>
      <c r="W633" s="86">
        <f t="shared" si="189"/>
        <v>0</v>
      </c>
      <c r="X633" s="86" t="e">
        <f>((PI()*((42-2*'Gen Calcs'!$E$13)^2)/4)/144)*(A676-#REF!)*(W633+14.7)/14.7</f>
        <v>#REF!</v>
      </c>
      <c r="Y633" s="86" t="e">
        <f t="shared" si="190"/>
        <v>#REF!</v>
      </c>
      <c r="Z633" s="86" t="e">
        <f t="shared" si="191"/>
        <v>#REF!</v>
      </c>
      <c r="AA633" s="83">
        <f>MAX(B$2:B633)-B633</f>
        <v>33.569699999999898</v>
      </c>
      <c r="AB633" s="83">
        <f t="shared" si="192"/>
        <v>14.535680099999956</v>
      </c>
      <c r="AC633" s="83">
        <f t="shared" si="178"/>
        <v>120</v>
      </c>
      <c r="AD633" s="72">
        <v>120</v>
      </c>
      <c r="AE633" s="73">
        <f t="shared" si="185"/>
        <v>907.92027688745009</v>
      </c>
      <c r="AF633" s="73">
        <f>SUM(AE$2:AE633)</f>
        <v>525059.21456720633</v>
      </c>
      <c r="AG633" s="73">
        <f t="shared" si="186"/>
        <v>648670.68785990286</v>
      </c>
    </row>
    <row r="634" spans="1:33" x14ac:dyDescent="0.25">
      <c r="A634" s="100">
        <v>153859</v>
      </c>
      <c r="B634" s="97">
        <v>799.05370000000005</v>
      </c>
      <c r="C634" s="97">
        <v>0.86399999999999999</v>
      </c>
      <c r="D634" s="80">
        <f t="shared" si="187"/>
        <v>59.079999999987194</v>
      </c>
      <c r="E634" s="81">
        <f t="shared" si="179"/>
        <v>4012.2667608957195</v>
      </c>
      <c r="F634" s="81">
        <f>SUM(E$2:E634)</f>
        <v>3928416.7696655956</v>
      </c>
      <c r="G634" s="43">
        <f t="shared" si="177"/>
        <v>2</v>
      </c>
      <c r="H634" s="78">
        <v>1</v>
      </c>
      <c r="I634" s="15">
        <f t="shared" si="180"/>
        <v>0.86399999999999999</v>
      </c>
      <c r="J634" s="16">
        <f>VLOOKUP(G634,Inputs!$L$3:$P$15,5,FALSE)</f>
        <v>2880</v>
      </c>
      <c r="K634" s="16">
        <f t="shared" si="181"/>
        <v>1825</v>
      </c>
      <c r="L634" s="79">
        <f>Inputs!$P$8-B634</f>
        <v>139.13729999999998</v>
      </c>
      <c r="M634" s="79">
        <f>Inputs!$Q$8+L634*0.433</f>
        <v>1885.2464508999999</v>
      </c>
      <c r="N634" s="82">
        <f t="shared" si="182"/>
        <v>153859</v>
      </c>
      <c r="O634" s="83">
        <f t="shared" si="183"/>
        <v>799.05370000000005</v>
      </c>
      <c r="P634" s="84">
        <f>IF(O634="","",Inputs!$C$5-O634)</f>
        <v>26.130799999999908</v>
      </c>
      <c r="Q634" s="83">
        <f>IF(N634="","",TS!J634)</f>
        <v>2880</v>
      </c>
      <c r="R634" s="83">
        <f>IF(N634="","",TS!K634)</f>
        <v>1825</v>
      </c>
      <c r="S634" s="83">
        <f>Inputs!$H$5+TS!P634*0.4333</f>
        <v>1886.2881920899999</v>
      </c>
      <c r="T634" s="83">
        <f>Inputs!$G$5+TS!P634*0.4333</f>
        <v>1901.2881920899999</v>
      </c>
      <c r="U634" s="85">
        <f t="shared" si="184"/>
        <v>0.66016951114236111</v>
      </c>
      <c r="V634" s="86">
        <f t="shared" si="188"/>
        <v>0</v>
      </c>
      <c r="W634" s="86">
        <f t="shared" si="189"/>
        <v>0</v>
      </c>
      <c r="X634" s="86" t="e">
        <f>((PI()*((42-2*'Gen Calcs'!$E$13)^2)/4)/144)*(A677-#REF!)*(W634+14.7)/14.7</f>
        <v>#REF!</v>
      </c>
      <c r="Y634" s="86" t="e">
        <f t="shared" si="190"/>
        <v>#REF!</v>
      </c>
      <c r="Z634" s="86" t="e">
        <f t="shared" si="191"/>
        <v>#REF!</v>
      </c>
      <c r="AA634" s="83">
        <f>MAX(B$2:B634)-B634</f>
        <v>33.569699999999898</v>
      </c>
      <c r="AB634" s="83">
        <f t="shared" si="192"/>
        <v>14.535680099999956</v>
      </c>
      <c r="AC634" s="83">
        <f t="shared" si="178"/>
        <v>120</v>
      </c>
      <c r="AD634" s="72">
        <v>120</v>
      </c>
      <c r="AE634" s="73">
        <f t="shared" si="185"/>
        <v>522.60585655801412</v>
      </c>
      <c r="AF634" s="73">
        <f>SUM(AE$2:AE634)</f>
        <v>525581.82042376429</v>
      </c>
      <c r="AG634" s="73">
        <f t="shared" si="186"/>
        <v>648148.0820033449</v>
      </c>
    </row>
    <row r="635" spans="1:33" x14ac:dyDescent="0.25">
      <c r="A635" s="99">
        <v>153899.92000000001</v>
      </c>
      <c r="B635" s="96">
        <v>798.35019999999997</v>
      </c>
      <c r="C635" s="96">
        <v>0.6</v>
      </c>
      <c r="D635" s="80">
        <f t="shared" si="187"/>
        <v>40.920000000012806</v>
      </c>
      <c r="E635" s="81">
        <f t="shared" si="179"/>
        <v>2778.9769102224072</v>
      </c>
      <c r="F635" s="81">
        <f>SUM(E$2:E635)</f>
        <v>3931195.7465758179</v>
      </c>
      <c r="G635" s="43">
        <f t="shared" si="177"/>
        <v>1</v>
      </c>
      <c r="H635" s="78">
        <v>1</v>
      </c>
      <c r="I635" s="15">
        <f t="shared" si="180"/>
        <v>0.6</v>
      </c>
      <c r="J635" s="16">
        <f>VLOOKUP(G635,Inputs!$L$3:$P$15,5,FALSE)</f>
        <v>2000</v>
      </c>
      <c r="K635" s="16">
        <f t="shared" si="181"/>
        <v>1825</v>
      </c>
      <c r="L635" s="79">
        <f>Inputs!$P$8-B635</f>
        <v>139.84080000000006</v>
      </c>
      <c r="M635" s="79">
        <f>Inputs!$Q$8+L635*0.433</f>
        <v>1885.5510664000001</v>
      </c>
      <c r="N635" s="82">
        <f t="shared" si="182"/>
        <v>153899.92000000001</v>
      </c>
      <c r="O635" s="83">
        <f t="shared" si="183"/>
        <v>798.35019999999997</v>
      </c>
      <c r="P635" s="84">
        <f>IF(O635="","",Inputs!$C$5-O635)</f>
        <v>26.834299999999985</v>
      </c>
      <c r="Q635" s="83">
        <f>IF(N635="","",TS!J635)</f>
        <v>2000</v>
      </c>
      <c r="R635" s="83">
        <f>IF(N635="","",TS!K635)</f>
        <v>1825</v>
      </c>
      <c r="S635" s="83">
        <f>Inputs!$H$5+TS!P635*0.4333</f>
        <v>1886.5930186399999</v>
      </c>
      <c r="T635" s="83">
        <f>Inputs!$G$5+TS!P635*0.4333</f>
        <v>1901.5930186399999</v>
      </c>
      <c r="U635" s="85">
        <f t="shared" si="184"/>
        <v>0.95079650931999993</v>
      </c>
      <c r="V635" s="86">
        <f t="shared" si="188"/>
        <v>0</v>
      </c>
      <c r="W635" s="86">
        <f t="shared" si="189"/>
        <v>0</v>
      </c>
      <c r="X635" s="86" t="e">
        <f>((PI()*((42-2*'Gen Calcs'!$E$13)^2)/4)/144)*(A678-#REF!)*(W635+14.7)/14.7</f>
        <v>#REF!</v>
      </c>
      <c r="Y635" s="86" t="e">
        <f t="shared" si="190"/>
        <v>#REF!</v>
      </c>
      <c r="Z635" s="86" t="e">
        <f t="shared" si="191"/>
        <v>#REF!</v>
      </c>
      <c r="AA635" s="83">
        <f>MAX(B$2:B635)-B635</f>
        <v>34.273199999999974</v>
      </c>
      <c r="AB635" s="83">
        <f t="shared" si="192"/>
        <v>14.840295599999989</v>
      </c>
      <c r="AC635" s="83">
        <f t="shared" si="178"/>
        <v>120</v>
      </c>
      <c r="AD635" s="72">
        <v>120</v>
      </c>
      <c r="AE635" s="73">
        <f t="shared" si="185"/>
        <v>371.52097730246084</v>
      </c>
      <c r="AF635" s="73">
        <f>SUM(AE$2:AE635)</f>
        <v>525953.34140106675</v>
      </c>
      <c r="AG635" s="73">
        <f t="shared" si="186"/>
        <v>647776.56102604244</v>
      </c>
    </row>
    <row r="636" spans="1:33" x14ac:dyDescent="0.25">
      <c r="A636" s="100">
        <v>153999.92000000001</v>
      </c>
      <c r="B636" s="97">
        <v>797.43849999999998</v>
      </c>
      <c r="C636" s="97">
        <v>0.6</v>
      </c>
      <c r="D636" s="80">
        <f t="shared" si="187"/>
        <v>100</v>
      </c>
      <c r="E636" s="81">
        <f t="shared" si="179"/>
        <v>6791.2436711181272</v>
      </c>
      <c r="F636" s="81">
        <f>SUM(E$2:E636)</f>
        <v>3937986.9902469362</v>
      </c>
      <c r="G636" s="43">
        <f t="shared" si="177"/>
        <v>1</v>
      </c>
      <c r="H636" s="78">
        <v>1</v>
      </c>
      <c r="I636" s="15">
        <f t="shared" si="180"/>
        <v>0.6</v>
      </c>
      <c r="J636" s="16">
        <f>VLOOKUP(G636,Inputs!$L$3:$P$15,5,FALSE)</f>
        <v>2000</v>
      </c>
      <c r="K636" s="16">
        <f t="shared" si="181"/>
        <v>1825</v>
      </c>
      <c r="L636" s="79">
        <f>Inputs!$P$8-B636</f>
        <v>140.75250000000005</v>
      </c>
      <c r="M636" s="79">
        <f>Inputs!$Q$8+L636*0.433</f>
        <v>1885.9458325000001</v>
      </c>
      <c r="N636" s="82">
        <f t="shared" si="182"/>
        <v>153999.92000000001</v>
      </c>
      <c r="O636" s="83">
        <f t="shared" si="183"/>
        <v>797.43849999999998</v>
      </c>
      <c r="P636" s="84">
        <f>IF(O636="","",Inputs!$C$5-O636)</f>
        <v>27.745999999999981</v>
      </c>
      <c r="Q636" s="83">
        <f>IF(N636="","",TS!J636)</f>
        <v>2000</v>
      </c>
      <c r="R636" s="83">
        <f>IF(N636="","",TS!K636)</f>
        <v>1825</v>
      </c>
      <c r="S636" s="83">
        <f>Inputs!$H$5+TS!P636*0.4333</f>
        <v>1886.98805825</v>
      </c>
      <c r="T636" s="83">
        <f>Inputs!$G$5+TS!P636*0.4333</f>
        <v>1901.98805825</v>
      </c>
      <c r="U636" s="85">
        <f t="shared" si="184"/>
        <v>0.95099402912499997</v>
      </c>
      <c r="V636" s="86">
        <f t="shared" si="188"/>
        <v>0</v>
      </c>
      <c r="W636" s="86">
        <f t="shared" si="189"/>
        <v>0</v>
      </c>
      <c r="X636" s="86" t="e">
        <f>((PI()*((42-2*'Gen Calcs'!$E$13)^2)/4)/144)*(A679-#REF!)*(W636+14.7)/14.7</f>
        <v>#REF!</v>
      </c>
      <c r="Y636" s="86" t="e">
        <f t="shared" si="190"/>
        <v>#REF!</v>
      </c>
      <c r="Z636" s="86" t="e">
        <f t="shared" si="191"/>
        <v>#REF!</v>
      </c>
      <c r="AA636" s="83">
        <f>MAX(B$2:B636)-B636</f>
        <v>35.184899999999971</v>
      </c>
      <c r="AB636" s="83">
        <f t="shared" si="192"/>
        <v>15.235061699999987</v>
      </c>
      <c r="AC636" s="83">
        <f t="shared" si="178"/>
        <v>120</v>
      </c>
      <c r="AD636" s="72">
        <v>120</v>
      </c>
      <c r="AE636" s="73">
        <f t="shared" si="185"/>
        <v>907.92027688745009</v>
      </c>
      <c r="AF636" s="73">
        <f>SUM(AE$2:AE636)</f>
        <v>526861.26167795423</v>
      </c>
      <c r="AG636" s="73">
        <f t="shared" si="186"/>
        <v>646868.64074915496</v>
      </c>
    </row>
    <row r="637" spans="1:33" x14ac:dyDescent="0.25">
      <c r="A637" s="99">
        <v>154099.92000000001</v>
      </c>
      <c r="B637" s="96">
        <v>796.82209999999998</v>
      </c>
      <c r="C637" s="96">
        <v>0.6</v>
      </c>
      <c r="D637" s="80">
        <f t="shared" si="187"/>
        <v>100</v>
      </c>
      <c r="E637" s="81">
        <f t="shared" si="179"/>
        <v>6791.2436711181272</v>
      </c>
      <c r="F637" s="81">
        <f>SUM(E$2:E637)</f>
        <v>3944778.2339180545</v>
      </c>
      <c r="G637" s="43">
        <f t="shared" si="177"/>
        <v>1</v>
      </c>
      <c r="H637" s="78">
        <v>1</v>
      </c>
      <c r="I637" s="15">
        <f t="shared" si="180"/>
        <v>0.6</v>
      </c>
      <c r="J637" s="16">
        <f>VLOOKUP(G637,Inputs!$L$3:$P$15,5,FALSE)</f>
        <v>2000</v>
      </c>
      <c r="K637" s="16">
        <f t="shared" si="181"/>
        <v>1825</v>
      </c>
      <c r="L637" s="79">
        <f>Inputs!$P$8-B637</f>
        <v>141.36890000000005</v>
      </c>
      <c r="M637" s="79">
        <f>Inputs!$Q$8+L637*0.433</f>
        <v>1886.2127336999999</v>
      </c>
      <c r="N637" s="82">
        <f t="shared" si="182"/>
        <v>154099.92000000001</v>
      </c>
      <c r="O637" s="83">
        <f t="shared" si="183"/>
        <v>796.82209999999998</v>
      </c>
      <c r="P637" s="84">
        <f>IF(O637="","",Inputs!$C$5-O637)</f>
        <v>28.36239999999998</v>
      </c>
      <c r="Q637" s="83">
        <f>IF(N637="","",TS!J637)</f>
        <v>2000</v>
      </c>
      <c r="R637" s="83">
        <f>IF(N637="","",TS!K637)</f>
        <v>1825</v>
      </c>
      <c r="S637" s="83">
        <f>Inputs!$H$5+TS!P637*0.4333</f>
        <v>1887.2551443699999</v>
      </c>
      <c r="T637" s="83">
        <f>Inputs!$G$5+TS!P637*0.4333</f>
        <v>1902.2551443699999</v>
      </c>
      <c r="U637" s="85">
        <f t="shared" si="184"/>
        <v>0.95112757218499999</v>
      </c>
      <c r="V637" s="86">
        <f t="shared" si="188"/>
        <v>0</v>
      </c>
      <c r="W637" s="86">
        <f t="shared" si="189"/>
        <v>0</v>
      </c>
      <c r="X637" s="86" t="e">
        <f>((PI()*((42-2*'Gen Calcs'!$E$13)^2)/4)/144)*(A680-#REF!)*(W637+14.7)/14.7</f>
        <v>#REF!</v>
      </c>
      <c r="Y637" s="86" t="e">
        <f t="shared" si="190"/>
        <v>#REF!</v>
      </c>
      <c r="Z637" s="86" t="e">
        <f t="shared" si="191"/>
        <v>#REF!</v>
      </c>
      <c r="AA637" s="83">
        <f>MAX(B$2:B637)-B637</f>
        <v>35.801299999999969</v>
      </c>
      <c r="AB637" s="83">
        <f t="shared" si="192"/>
        <v>15.501962899999986</v>
      </c>
      <c r="AC637" s="83">
        <f t="shared" si="178"/>
        <v>120</v>
      </c>
      <c r="AD637" s="72">
        <v>120</v>
      </c>
      <c r="AE637" s="73">
        <f t="shared" si="185"/>
        <v>907.92027688745009</v>
      </c>
      <c r="AF637" s="73">
        <f>SUM(AE$2:AE637)</f>
        <v>527769.18195484171</v>
      </c>
      <c r="AG637" s="73">
        <f t="shared" si="186"/>
        <v>645960.72047226748</v>
      </c>
    </row>
    <row r="638" spans="1:33" x14ac:dyDescent="0.25">
      <c r="A638" s="100">
        <v>154199.92000000001</v>
      </c>
      <c r="B638" s="97">
        <v>796.94960000000003</v>
      </c>
      <c r="C638" s="97">
        <v>0.6</v>
      </c>
      <c r="D638" s="80">
        <f t="shared" si="187"/>
        <v>100</v>
      </c>
      <c r="E638" s="81">
        <f t="shared" si="179"/>
        <v>6791.2436711181272</v>
      </c>
      <c r="F638" s="81">
        <f>SUM(E$2:E638)</f>
        <v>3951569.4775891728</v>
      </c>
      <c r="G638" s="43">
        <f t="shared" si="177"/>
        <v>1</v>
      </c>
      <c r="H638" s="78">
        <v>1</v>
      </c>
      <c r="I638" s="15">
        <f t="shared" si="180"/>
        <v>0.6</v>
      </c>
      <c r="J638" s="16">
        <f>VLOOKUP(G638,Inputs!$L$3:$P$15,5,FALSE)</f>
        <v>2000</v>
      </c>
      <c r="K638" s="16">
        <f t="shared" si="181"/>
        <v>1825</v>
      </c>
      <c r="L638" s="79">
        <f>Inputs!$P$8-B638</f>
        <v>141.2414</v>
      </c>
      <c r="M638" s="79">
        <f>Inputs!$Q$8+L638*0.433</f>
        <v>1886.1575261999999</v>
      </c>
      <c r="N638" s="82">
        <f t="shared" si="182"/>
        <v>154199.92000000001</v>
      </c>
      <c r="O638" s="83">
        <f t="shared" si="183"/>
        <v>796.94960000000003</v>
      </c>
      <c r="P638" s="84">
        <f>IF(O638="","",Inputs!$C$5-O638)</f>
        <v>28.234899999999925</v>
      </c>
      <c r="Q638" s="83">
        <f>IF(N638="","",TS!J638)</f>
        <v>2000</v>
      </c>
      <c r="R638" s="83">
        <f>IF(N638="","",TS!K638)</f>
        <v>1825</v>
      </c>
      <c r="S638" s="83">
        <f>Inputs!$H$5+TS!P638*0.4333</f>
        <v>1887.1998986199999</v>
      </c>
      <c r="T638" s="83">
        <f>Inputs!$G$5+TS!P638*0.4333</f>
        <v>1902.1998986199999</v>
      </c>
      <c r="U638" s="85">
        <f t="shared" si="184"/>
        <v>0.95109994930999997</v>
      </c>
      <c r="V638" s="86">
        <f t="shared" si="188"/>
        <v>0</v>
      </c>
      <c r="W638" s="86">
        <f t="shared" si="189"/>
        <v>0</v>
      </c>
      <c r="X638" s="86" t="e">
        <f>((PI()*((42-2*'Gen Calcs'!$E$13)^2)/4)/144)*(A681-#REF!)*(W638+14.7)/14.7</f>
        <v>#REF!</v>
      </c>
      <c r="Y638" s="86" t="e">
        <f t="shared" si="190"/>
        <v>#REF!</v>
      </c>
      <c r="Z638" s="86" t="e">
        <f t="shared" si="191"/>
        <v>#REF!</v>
      </c>
      <c r="AA638" s="83">
        <f>MAX(B$2:B638)-B638</f>
        <v>35.673799999999915</v>
      </c>
      <c r="AB638" s="83">
        <f t="shared" si="192"/>
        <v>15.446755399999963</v>
      </c>
      <c r="AC638" s="83">
        <f t="shared" si="178"/>
        <v>120</v>
      </c>
      <c r="AD638" s="72">
        <v>120</v>
      </c>
      <c r="AE638" s="73">
        <f t="shared" si="185"/>
        <v>907.92027688745009</v>
      </c>
      <c r="AF638" s="73">
        <f>SUM(AE$2:AE638)</f>
        <v>528677.10223172919</v>
      </c>
      <c r="AG638" s="73">
        <f t="shared" si="186"/>
        <v>645052.80019538</v>
      </c>
    </row>
    <row r="639" spans="1:33" x14ac:dyDescent="0.25">
      <c r="A639" s="99">
        <v>154299.92000000001</v>
      </c>
      <c r="B639" s="96">
        <v>797.30259999999998</v>
      </c>
      <c r="C639" s="96">
        <v>0.6</v>
      </c>
      <c r="D639" s="80">
        <f t="shared" si="187"/>
        <v>100</v>
      </c>
      <c r="E639" s="81">
        <f t="shared" si="179"/>
        <v>6791.2436711181272</v>
      </c>
      <c r="F639" s="81">
        <f>SUM(E$2:E639)</f>
        <v>3958360.7212602911</v>
      </c>
      <c r="G639" s="43">
        <f t="shared" si="177"/>
        <v>1</v>
      </c>
      <c r="H639" s="78">
        <v>1</v>
      </c>
      <c r="I639" s="15">
        <f t="shared" si="180"/>
        <v>0.6</v>
      </c>
      <c r="J639" s="16">
        <f>VLOOKUP(G639,Inputs!$L$3:$P$15,5,FALSE)</f>
        <v>2000</v>
      </c>
      <c r="K639" s="16">
        <f t="shared" si="181"/>
        <v>1825</v>
      </c>
      <c r="L639" s="79">
        <f>Inputs!$P$8-B639</f>
        <v>140.88840000000005</v>
      </c>
      <c r="M639" s="79">
        <f>Inputs!$Q$8+L639*0.433</f>
        <v>1886.0046772000001</v>
      </c>
      <c r="N639" s="82">
        <f t="shared" si="182"/>
        <v>154299.92000000001</v>
      </c>
      <c r="O639" s="83">
        <f t="shared" si="183"/>
        <v>797.30259999999998</v>
      </c>
      <c r="P639" s="84">
        <f>IF(O639="","",Inputs!$C$5-O639)</f>
        <v>27.881899999999973</v>
      </c>
      <c r="Q639" s="83">
        <f>IF(N639="","",TS!J639)</f>
        <v>2000</v>
      </c>
      <c r="R639" s="83">
        <f>IF(N639="","",TS!K639)</f>
        <v>1825</v>
      </c>
      <c r="S639" s="83">
        <f>Inputs!$H$5+TS!P639*0.4333</f>
        <v>1887.0469437199999</v>
      </c>
      <c r="T639" s="83">
        <f>Inputs!$G$5+TS!P639*0.4333</f>
        <v>1902.0469437199999</v>
      </c>
      <c r="U639" s="85">
        <f t="shared" si="184"/>
        <v>0.95102347186000002</v>
      </c>
      <c r="V639" s="86">
        <f t="shared" si="188"/>
        <v>0</v>
      </c>
      <c r="W639" s="86">
        <f t="shared" si="189"/>
        <v>0</v>
      </c>
      <c r="X639" s="86" t="e">
        <f>((PI()*((42-2*'Gen Calcs'!$E$13)^2)/4)/144)*(A682-#REF!)*(W639+14.7)/14.7</f>
        <v>#REF!</v>
      </c>
      <c r="Y639" s="86" t="e">
        <f t="shared" si="190"/>
        <v>#REF!</v>
      </c>
      <c r="Z639" s="86" t="e">
        <f t="shared" si="191"/>
        <v>#REF!</v>
      </c>
      <c r="AA639" s="83">
        <f>MAX(B$2:B639)-B639</f>
        <v>35.320799999999963</v>
      </c>
      <c r="AB639" s="83">
        <f t="shared" si="192"/>
        <v>15.293906399999983</v>
      </c>
      <c r="AC639" s="83">
        <f t="shared" si="178"/>
        <v>120</v>
      </c>
      <c r="AD639" s="72">
        <v>120</v>
      </c>
      <c r="AE639" s="73">
        <f t="shared" si="185"/>
        <v>907.92027688745009</v>
      </c>
      <c r="AF639" s="73">
        <f>SUM(AE$2:AE639)</f>
        <v>529585.02250861668</v>
      </c>
      <c r="AG639" s="73">
        <f t="shared" si="186"/>
        <v>644144.87991849252</v>
      </c>
    </row>
    <row r="640" spans="1:33" x14ac:dyDescent="0.25">
      <c r="A640" s="100">
        <v>154399.92000000001</v>
      </c>
      <c r="B640" s="97">
        <v>799.63900000000001</v>
      </c>
      <c r="C640" s="97">
        <v>0.6</v>
      </c>
      <c r="D640" s="80">
        <f t="shared" si="187"/>
        <v>100</v>
      </c>
      <c r="E640" s="81">
        <f t="shared" si="179"/>
        <v>6791.2436711181272</v>
      </c>
      <c r="F640" s="81">
        <f>SUM(E$2:E640)</f>
        <v>3965151.9649314093</v>
      </c>
      <c r="G640" s="43">
        <f t="shared" si="177"/>
        <v>1</v>
      </c>
      <c r="H640" s="78">
        <v>1</v>
      </c>
      <c r="I640" s="15">
        <f t="shared" si="180"/>
        <v>0.6</v>
      </c>
      <c r="J640" s="16">
        <f>VLOOKUP(G640,Inputs!$L$3:$P$15,5,FALSE)</f>
        <v>2000</v>
      </c>
      <c r="K640" s="16">
        <f t="shared" si="181"/>
        <v>1825</v>
      </c>
      <c r="L640" s="79">
        <f>Inputs!$P$8-B640</f>
        <v>138.55200000000002</v>
      </c>
      <c r="M640" s="79">
        <f>Inputs!$Q$8+L640*0.433</f>
        <v>1884.9930159999999</v>
      </c>
      <c r="N640" s="82">
        <f t="shared" si="182"/>
        <v>154399.92000000001</v>
      </c>
      <c r="O640" s="83">
        <f t="shared" si="183"/>
        <v>799.63900000000001</v>
      </c>
      <c r="P640" s="84">
        <f>IF(O640="","",Inputs!$C$5-O640)</f>
        <v>25.545499999999947</v>
      </c>
      <c r="Q640" s="83">
        <f>IF(N640="","",TS!J640)</f>
        <v>2000</v>
      </c>
      <c r="R640" s="83">
        <f>IF(N640="","",TS!K640)</f>
        <v>1825</v>
      </c>
      <c r="S640" s="83">
        <f>Inputs!$H$5+TS!P640*0.4333</f>
        <v>1886.0345815999999</v>
      </c>
      <c r="T640" s="83">
        <f>Inputs!$G$5+TS!P640*0.4333</f>
        <v>1901.0345815999999</v>
      </c>
      <c r="U640" s="85">
        <f t="shared" si="184"/>
        <v>0.95051729079999991</v>
      </c>
      <c r="V640" s="86">
        <f t="shared" si="188"/>
        <v>0</v>
      </c>
      <c r="W640" s="86">
        <f t="shared" si="189"/>
        <v>0</v>
      </c>
      <c r="X640" s="86" t="e">
        <f>((PI()*((42-2*'Gen Calcs'!$E$13)^2)/4)/144)*(A683-#REF!)*(W640+14.7)/14.7</f>
        <v>#REF!</v>
      </c>
      <c r="Y640" s="86" t="e">
        <f t="shared" si="190"/>
        <v>#REF!</v>
      </c>
      <c r="Z640" s="86" t="e">
        <f t="shared" si="191"/>
        <v>#REF!</v>
      </c>
      <c r="AA640" s="83">
        <f>MAX(B$2:B640)-B640</f>
        <v>32.984399999999937</v>
      </c>
      <c r="AB640" s="83">
        <f t="shared" si="192"/>
        <v>14.282245199999972</v>
      </c>
      <c r="AC640" s="83">
        <f t="shared" si="178"/>
        <v>120</v>
      </c>
      <c r="AD640" s="72">
        <v>120</v>
      </c>
      <c r="AE640" s="73">
        <f t="shared" si="185"/>
        <v>907.92027688745009</v>
      </c>
      <c r="AF640" s="73">
        <f>SUM(AE$2:AE640)</f>
        <v>530492.94278550416</v>
      </c>
      <c r="AG640" s="73">
        <f t="shared" si="186"/>
        <v>643236.95964160503</v>
      </c>
    </row>
    <row r="641" spans="1:33" x14ac:dyDescent="0.25">
      <c r="A641" s="99">
        <v>154499.92000000001</v>
      </c>
      <c r="B641" s="96">
        <v>800.18920000000003</v>
      </c>
      <c r="C641" s="96">
        <v>0.6</v>
      </c>
      <c r="D641" s="80">
        <f t="shared" si="187"/>
        <v>100</v>
      </c>
      <c r="E641" s="81">
        <f t="shared" si="179"/>
        <v>6791.2436711181272</v>
      </c>
      <c r="F641" s="81">
        <f>SUM(E$2:E641)</f>
        <v>3971943.2086025276</v>
      </c>
      <c r="G641" s="43">
        <f t="shared" si="177"/>
        <v>1</v>
      </c>
      <c r="H641" s="78">
        <v>1</v>
      </c>
      <c r="I641" s="15">
        <f t="shared" si="180"/>
        <v>0.6</v>
      </c>
      <c r="J641" s="16">
        <f>VLOOKUP(G641,Inputs!$L$3:$P$15,5,FALSE)</f>
        <v>2000</v>
      </c>
      <c r="K641" s="16">
        <f t="shared" si="181"/>
        <v>1825</v>
      </c>
      <c r="L641" s="79">
        <f>Inputs!$P$8-B641</f>
        <v>138.0018</v>
      </c>
      <c r="M641" s="79">
        <f>Inputs!$Q$8+L641*0.433</f>
        <v>1884.7547794</v>
      </c>
      <c r="N641" s="82">
        <f t="shared" si="182"/>
        <v>154499.92000000001</v>
      </c>
      <c r="O641" s="83">
        <f t="shared" si="183"/>
        <v>800.18920000000003</v>
      </c>
      <c r="P641" s="84">
        <f>IF(O641="","",Inputs!$C$5-O641)</f>
        <v>24.995299999999929</v>
      </c>
      <c r="Q641" s="83">
        <f>IF(N641="","",TS!J641)</f>
        <v>2000</v>
      </c>
      <c r="R641" s="83">
        <f>IF(N641="","",TS!K641)</f>
        <v>1825</v>
      </c>
      <c r="S641" s="83">
        <f>Inputs!$H$5+TS!P641*0.4333</f>
        <v>1885.79617994</v>
      </c>
      <c r="T641" s="83">
        <f>Inputs!$G$5+TS!P641*0.4333</f>
        <v>1900.79617994</v>
      </c>
      <c r="U641" s="85">
        <f t="shared" si="184"/>
        <v>0.95039808996999997</v>
      </c>
      <c r="V641" s="86">
        <f t="shared" si="188"/>
        <v>0</v>
      </c>
      <c r="W641" s="86">
        <f t="shared" si="189"/>
        <v>0</v>
      </c>
      <c r="X641" s="86" t="e">
        <f>((PI()*((42-2*'Gen Calcs'!$E$13)^2)/4)/144)*(A684-#REF!)*(W641+14.7)/14.7</f>
        <v>#REF!</v>
      </c>
      <c r="Y641" s="86" t="e">
        <f t="shared" si="190"/>
        <v>#REF!</v>
      </c>
      <c r="Z641" s="86" t="e">
        <f t="shared" si="191"/>
        <v>#REF!</v>
      </c>
      <c r="AA641" s="83">
        <f>MAX(B$2:B641)-B641</f>
        <v>32.434199999999919</v>
      </c>
      <c r="AB641" s="83">
        <f t="shared" si="192"/>
        <v>14.044008599999964</v>
      </c>
      <c r="AC641" s="83">
        <f t="shared" si="178"/>
        <v>120</v>
      </c>
      <c r="AD641" s="72">
        <v>120</v>
      </c>
      <c r="AE641" s="73">
        <f t="shared" si="185"/>
        <v>907.92027688745009</v>
      </c>
      <c r="AF641" s="73">
        <f>SUM(AE$2:AE641)</f>
        <v>531400.86306239164</v>
      </c>
      <c r="AG641" s="73">
        <f t="shared" si="186"/>
        <v>642329.03936471755</v>
      </c>
    </row>
    <row r="642" spans="1:33" x14ac:dyDescent="0.25">
      <c r="A642" s="100">
        <v>154599.92000000001</v>
      </c>
      <c r="B642" s="97">
        <v>788.19219999999996</v>
      </c>
      <c r="C642" s="97">
        <v>0.6</v>
      </c>
      <c r="D642" s="80">
        <f t="shared" si="187"/>
        <v>100</v>
      </c>
      <c r="E642" s="81">
        <f t="shared" si="179"/>
        <v>6791.2436711181272</v>
      </c>
      <c r="F642" s="81">
        <f>SUM(E$2:E642)</f>
        <v>3978734.4522736459</v>
      </c>
      <c r="G642" s="43">
        <f t="shared" si="177"/>
        <v>1</v>
      </c>
      <c r="H642" s="78">
        <v>1</v>
      </c>
      <c r="I642" s="15">
        <f t="shared" si="180"/>
        <v>0.6</v>
      </c>
      <c r="J642" s="16">
        <f>VLOOKUP(G642,Inputs!$L$3:$P$15,5,FALSE)</f>
        <v>2000</v>
      </c>
      <c r="K642" s="16">
        <f t="shared" si="181"/>
        <v>1825</v>
      </c>
      <c r="L642" s="79">
        <f>Inputs!$P$8-B642</f>
        <v>149.99880000000007</v>
      </c>
      <c r="M642" s="79">
        <f>Inputs!$Q$8+L642*0.433</f>
        <v>1889.9494804000001</v>
      </c>
      <c r="N642" s="82">
        <f t="shared" si="182"/>
        <v>154599.92000000001</v>
      </c>
      <c r="O642" s="83">
        <f t="shared" si="183"/>
        <v>788.19219999999996</v>
      </c>
      <c r="P642" s="84">
        <f>IF(O642="","",Inputs!$C$5-O642)</f>
        <v>36.9923</v>
      </c>
      <c r="Q642" s="83">
        <f>IF(N642="","",TS!J642)</f>
        <v>2000</v>
      </c>
      <c r="R642" s="83">
        <f>IF(N642="","",TS!K642)</f>
        <v>1825</v>
      </c>
      <c r="S642" s="83">
        <f>Inputs!$H$5+TS!P642*0.4333</f>
        <v>1890.9944800399999</v>
      </c>
      <c r="T642" s="83">
        <f>Inputs!$G$5+TS!P642*0.4333</f>
        <v>1905.9944800399999</v>
      </c>
      <c r="U642" s="85">
        <f t="shared" si="184"/>
        <v>0.95299724001999997</v>
      </c>
      <c r="V642" s="86">
        <f t="shared" si="188"/>
        <v>0</v>
      </c>
      <c r="W642" s="86">
        <f t="shared" si="189"/>
        <v>0</v>
      </c>
      <c r="X642" s="86" t="e">
        <f>((PI()*((42-2*'Gen Calcs'!$E$13)^2)/4)/144)*(A685-#REF!)*(W642+14.7)/14.7</f>
        <v>#REF!</v>
      </c>
      <c r="Y642" s="86" t="e">
        <f t="shared" si="190"/>
        <v>#REF!</v>
      </c>
      <c r="Z642" s="86" t="e">
        <f t="shared" si="191"/>
        <v>#REF!</v>
      </c>
      <c r="AA642" s="83">
        <f>MAX(B$2:B642)-B642</f>
        <v>44.43119999999999</v>
      </c>
      <c r="AB642" s="83">
        <f t="shared" si="192"/>
        <v>19.238709599999996</v>
      </c>
      <c r="AC642" s="83">
        <f t="shared" si="178"/>
        <v>120</v>
      </c>
      <c r="AD642" s="72">
        <v>120</v>
      </c>
      <c r="AE642" s="73">
        <f t="shared" si="185"/>
        <v>907.92027688745009</v>
      </c>
      <c r="AF642" s="73">
        <f>SUM(AE$2:AE642)</f>
        <v>532308.78333927912</v>
      </c>
      <c r="AG642" s="73">
        <f t="shared" si="186"/>
        <v>641421.11908783007</v>
      </c>
    </row>
    <row r="643" spans="1:33" x14ac:dyDescent="0.25">
      <c r="A643" s="99">
        <v>154699.92000000001</v>
      </c>
      <c r="B643" s="96">
        <v>797.96370000000002</v>
      </c>
      <c r="C643" s="96">
        <v>0.6</v>
      </c>
      <c r="D643" s="80">
        <f t="shared" si="187"/>
        <v>100</v>
      </c>
      <c r="E643" s="81">
        <f t="shared" si="179"/>
        <v>6616.6076625842816</v>
      </c>
      <c r="F643" s="81">
        <f>SUM(E$2:E643)</f>
        <v>3985351.0599362301</v>
      </c>
      <c r="G643" s="43">
        <f t="shared" ref="G643:G706" si="193">IF(C643=0.72,12,IF(C643=1,11,IF(C643=0.825,10,IF(C643=0.6,1,IF(C643=0.864,2,IF(C643=0.888,3))))))</f>
        <v>1</v>
      </c>
      <c r="H643" s="78">
        <v>1</v>
      </c>
      <c r="I643" s="15">
        <f t="shared" si="180"/>
        <v>0.6</v>
      </c>
      <c r="J643" s="16">
        <f>VLOOKUP(G643,Inputs!$L$3:$P$15,5,FALSE)</f>
        <v>2000</v>
      </c>
      <c r="K643" s="16">
        <f t="shared" si="181"/>
        <v>1825</v>
      </c>
      <c r="L643" s="79">
        <f>Inputs!$P$8-B643</f>
        <v>140.22730000000001</v>
      </c>
      <c r="M643" s="79">
        <f>Inputs!$Q$8+L643*0.433</f>
        <v>1885.7184209</v>
      </c>
      <c r="N643" s="82">
        <f t="shared" si="182"/>
        <v>154699.92000000001</v>
      </c>
      <c r="O643" s="83">
        <f t="shared" si="183"/>
        <v>797.96370000000002</v>
      </c>
      <c r="P643" s="84">
        <f>IF(O643="","",Inputs!$C$5-O643)</f>
        <v>27.22079999999994</v>
      </c>
      <c r="Q643" s="83">
        <f>IF(N643="","",TS!J643)</f>
        <v>2000</v>
      </c>
      <c r="R643" s="83">
        <f>IF(N643="","",TS!K643)</f>
        <v>1825</v>
      </c>
      <c r="S643" s="83">
        <f>Inputs!$H$5+TS!P643*0.4333</f>
        <v>1886.76048909</v>
      </c>
      <c r="T643" s="83">
        <f>Inputs!$G$5+TS!P643*0.4333</f>
        <v>1901.76048909</v>
      </c>
      <c r="U643" s="85">
        <f t="shared" si="184"/>
        <v>0.95088024454499998</v>
      </c>
      <c r="V643" s="86">
        <f t="shared" si="188"/>
        <v>0</v>
      </c>
      <c r="W643" s="86">
        <f t="shared" si="189"/>
        <v>0</v>
      </c>
      <c r="X643" s="86" t="e">
        <f>((PI()*((42-2*'Gen Calcs'!$E$13)^2)/4)/144)*(A686-#REF!)*(W643+14.7)/14.7</f>
        <v>#REF!</v>
      </c>
      <c r="Y643" s="86" t="e">
        <f t="shared" si="190"/>
        <v>#REF!</v>
      </c>
      <c r="Z643" s="86" t="e">
        <f t="shared" si="191"/>
        <v>#REF!</v>
      </c>
      <c r="AA643" s="83">
        <f>MAX(B$2:B643)-B643</f>
        <v>34.65969999999993</v>
      </c>
      <c r="AB643" s="83">
        <f t="shared" si="192"/>
        <v>15.007650099999969</v>
      </c>
      <c r="AC643" s="83">
        <f t="shared" ref="AC643:AC706" si="194">((MAX(O$2:O$1348)-O643)-(MAX(O$2:O$1348)-O643))*0.433+AD643</f>
        <v>120</v>
      </c>
      <c r="AD643" s="72">
        <v>120</v>
      </c>
      <c r="AE643" s="73">
        <f t="shared" si="185"/>
        <v>907.92027688745009</v>
      </c>
      <c r="AF643" s="73">
        <f>SUM(AE$2:AE643)</f>
        <v>533216.7036161666</v>
      </c>
      <c r="AG643" s="73">
        <f t="shared" si="186"/>
        <v>640513.19881094259</v>
      </c>
    </row>
    <row r="644" spans="1:33" x14ac:dyDescent="0.25">
      <c r="A644" s="100">
        <v>154799.92000000001</v>
      </c>
      <c r="B644" s="97">
        <v>797.18619999999999</v>
      </c>
      <c r="C644" s="97">
        <v>0.6</v>
      </c>
      <c r="D644" s="80">
        <f t="shared" si="187"/>
        <v>100</v>
      </c>
      <c r="E644" s="81">
        <f t="shared" si="179"/>
        <v>6791.2436711181272</v>
      </c>
      <c r="F644" s="81">
        <f>SUM(E$2:E644)</f>
        <v>3992142.3036073484</v>
      </c>
      <c r="G644" s="43">
        <f t="shared" si="193"/>
        <v>1</v>
      </c>
      <c r="H644" s="78">
        <v>1</v>
      </c>
      <c r="I644" s="15">
        <f t="shared" si="180"/>
        <v>0.6</v>
      </c>
      <c r="J644" s="16">
        <f>VLOOKUP(G644,Inputs!$L$3:$P$15,5,FALSE)</f>
        <v>2000</v>
      </c>
      <c r="K644" s="16">
        <f t="shared" si="181"/>
        <v>1825</v>
      </c>
      <c r="L644" s="79">
        <f>Inputs!$P$8-B644</f>
        <v>141.00480000000005</v>
      </c>
      <c r="M644" s="79">
        <f>Inputs!$Q$8+L644*0.433</f>
        <v>1886.0550784</v>
      </c>
      <c r="N644" s="82">
        <f t="shared" si="182"/>
        <v>154799.92000000001</v>
      </c>
      <c r="O644" s="83">
        <f t="shared" si="183"/>
        <v>797.18619999999999</v>
      </c>
      <c r="P644" s="84">
        <f>IF(O644="","",Inputs!$C$5-O644)</f>
        <v>27.998299999999972</v>
      </c>
      <c r="Q644" s="83">
        <f>IF(N644="","",TS!J644)</f>
        <v>2000</v>
      </c>
      <c r="R644" s="83">
        <f>IF(N644="","",TS!K644)</f>
        <v>1825</v>
      </c>
      <c r="S644" s="83">
        <f>Inputs!$H$5+TS!P644*0.4333</f>
        <v>1887.09737984</v>
      </c>
      <c r="T644" s="83">
        <f>Inputs!$G$5+TS!P644*0.4333</f>
        <v>1902.09737984</v>
      </c>
      <c r="U644" s="85">
        <f t="shared" si="184"/>
        <v>0.95104868992000002</v>
      </c>
      <c r="V644" s="86">
        <f t="shared" si="188"/>
        <v>0</v>
      </c>
      <c r="W644" s="86">
        <f t="shared" si="189"/>
        <v>0</v>
      </c>
      <c r="X644" s="86" t="e">
        <f>((PI()*((42-2*'Gen Calcs'!$E$13)^2)/4)/144)*(A687-#REF!)*(W644+14.7)/14.7</f>
        <v>#REF!</v>
      </c>
      <c r="Y644" s="86" t="e">
        <f t="shared" si="190"/>
        <v>#REF!</v>
      </c>
      <c r="Z644" s="86" t="e">
        <f t="shared" si="191"/>
        <v>#REF!</v>
      </c>
      <c r="AA644" s="83">
        <f>MAX(B$2:B644)-B644</f>
        <v>35.437199999999962</v>
      </c>
      <c r="AB644" s="83">
        <f t="shared" si="192"/>
        <v>15.344307599999983</v>
      </c>
      <c r="AC644" s="83">
        <f t="shared" si="194"/>
        <v>120</v>
      </c>
      <c r="AD644" s="72">
        <v>120</v>
      </c>
      <c r="AE644" s="73">
        <f t="shared" si="185"/>
        <v>907.92027688745009</v>
      </c>
      <c r="AF644" s="73">
        <f>SUM(AE$2:AE644)</f>
        <v>534124.62389305409</v>
      </c>
      <c r="AG644" s="73">
        <f t="shared" si="186"/>
        <v>639605.27853405511</v>
      </c>
    </row>
    <row r="645" spans="1:33" x14ac:dyDescent="0.25">
      <c r="A645" s="99">
        <v>154899.92000000001</v>
      </c>
      <c r="B645" s="96">
        <v>793.74390000000005</v>
      </c>
      <c r="C645" s="96">
        <v>0.6</v>
      </c>
      <c r="D645" s="80">
        <f t="shared" si="187"/>
        <v>100</v>
      </c>
      <c r="E645" s="81">
        <f t="shared" ref="E645:E708" si="195">(PI()/4*(42/12-(2*C687/12))^2)*(D645)*7.48</f>
        <v>6616.6076625842816</v>
      </c>
      <c r="F645" s="81">
        <f>SUM(E$2:E645)</f>
        <v>3998758.9112699325</v>
      </c>
      <c r="G645" s="43">
        <f t="shared" si="193"/>
        <v>1</v>
      </c>
      <c r="H645" s="78">
        <v>1</v>
      </c>
      <c r="I645" s="15">
        <f t="shared" ref="I645:I708" si="196">C645</f>
        <v>0.6</v>
      </c>
      <c r="J645" s="16">
        <f>VLOOKUP(G645,Inputs!$L$3:$P$15,5,FALSE)</f>
        <v>2000</v>
      </c>
      <c r="K645" s="16">
        <f t="shared" ref="K645:K708" si="197">IF(H645=1,1825,IF(H645=2,1825,2220))</f>
        <v>1825</v>
      </c>
      <c r="L645" s="79">
        <f>Inputs!$P$8-B645</f>
        <v>144.44709999999998</v>
      </c>
      <c r="M645" s="79">
        <f>Inputs!$Q$8+L645*0.433</f>
        <v>1887.5455942999999</v>
      </c>
      <c r="N645" s="82">
        <f t="shared" ref="N645:N708" si="198">A645</f>
        <v>154899.92000000001</v>
      </c>
      <c r="O645" s="83">
        <f t="shared" ref="O645:O708" si="199">B645</f>
        <v>793.74390000000005</v>
      </c>
      <c r="P645" s="84">
        <f>IF(O645="","",Inputs!$C$5-O645)</f>
        <v>31.440599999999904</v>
      </c>
      <c r="Q645" s="83">
        <f>IF(N645="","",TS!J645)</f>
        <v>2000</v>
      </c>
      <c r="R645" s="83">
        <f>IF(N645="","",TS!K645)</f>
        <v>1825</v>
      </c>
      <c r="S645" s="83">
        <f>Inputs!$H$5+TS!P645*0.4333</f>
        <v>1888.5889284299999</v>
      </c>
      <c r="T645" s="83">
        <f>Inputs!$G$5+TS!P645*0.4333</f>
        <v>1903.5889284299999</v>
      </c>
      <c r="U645" s="85">
        <f t="shared" ref="U645:U708" si="200">T645/(140000*C645/42)</f>
        <v>0.95179446421499991</v>
      </c>
      <c r="V645" s="86">
        <f t="shared" si="188"/>
        <v>0</v>
      </c>
      <c r="W645" s="86">
        <f t="shared" si="189"/>
        <v>0</v>
      </c>
      <c r="X645" s="86" t="e">
        <f>((PI()*((42-2*'Gen Calcs'!$E$13)^2)/4)/144)*(A688-#REF!)*(W645+14.7)/14.7</f>
        <v>#REF!</v>
      </c>
      <c r="Y645" s="86" t="e">
        <f t="shared" si="190"/>
        <v>#REF!</v>
      </c>
      <c r="Z645" s="86" t="e">
        <f t="shared" si="191"/>
        <v>#REF!</v>
      </c>
      <c r="AA645" s="83">
        <f>MAX(B$2:B645)-B645</f>
        <v>38.879499999999894</v>
      </c>
      <c r="AB645" s="83">
        <f t="shared" si="192"/>
        <v>16.834823499999953</v>
      </c>
      <c r="AC645" s="83">
        <f t="shared" si="194"/>
        <v>120</v>
      </c>
      <c r="AD645" s="72">
        <v>120</v>
      </c>
      <c r="AE645" s="73">
        <f t="shared" ref="AE645:AE708" si="201">PI()*(((42-2*C645)/12)^2/4)*D645</f>
        <v>907.92027688745009</v>
      </c>
      <c r="AF645" s="73">
        <f>SUM(AE$2:AE645)</f>
        <v>535032.54416994157</v>
      </c>
      <c r="AG645" s="73">
        <f t="shared" ref="AG645:AG708" si="202">AF$1391-AF645</f>
        <v>638697.35825716762</v>
      </c>
    </row>
    <row r="646" spans="1:33" x14ac:dyDescent="0.25">
      <c r="A646" s="100">
        <v>154999.92000000001</v>
      </c>
      <c r="B646" s="97">
        <v>795.81989999999996</v>
      </c>
      <c r="C646" s="97">
        <v>0.6</v>
      </c>
      <c r="D646" s="80">
        <f t="shared" si="187"/>
        <v>100</v>
      </c>
      <c r="E646" s="81">
        <f t="shared" si="195"/>
        <v>6791.2436711181272</v>
      </c>
      <c r="F646" s="81">
        <f>SUM(E$2:E646)</f>
        <v>4005550.1549410508</v>
      </c>
      <c r="G646" s="43">
        <f t="shared" si="193"/>
        <v>1</v>
      </c>
      <c r="H646" s="78">
        <v>1</v>
      </c>
      <c r="I646" s="15">
        <f t="shared" si="196"/>
        <v>0.6</v>
      </c>
      <c r="J646" s="16">
        <f>VLOOKUP(G646,Inputs!$L$3:$P$15,5,FALSE)</f>
        <v>2000</v>
      </c>
      <c r="K646" s="16">
        <f t="shared" si="197"/>
        <v>1825</v>
      </c>
      <c r="L646" s="79">
        <f>Inputs!$P$8-B646</f>
        <v>142.37110000000007</v>
      </c>
      <c r="M646" s="79">
        <f>Inputs!$Q$8+L646*0.433</f>
        <v>1886.6466863000001</v>
      </c>
      <c r="N646" s="82">
        <f t="shared" si="198"/>
        <v>154999.92000000001</v>
      </c>
      <c r="O646" s="83">
        <f t="shared" si="199"/>
        <v>795.81989999999996</v>
      </c>
      <c r="P646" s="84">
        <f>IF(O646="","",Inputs!$C$5-O646)</f>
        <v>29.364599999999996</v>
      </c>
      <c r="Q646" s="83">
        <f>IF(N646="","",TS!J646)</f>
        <v>2000</v>
      </c>
      <c r="R646" s="83">
        <f>IF(N646="","",TS!K646)</f>
        <v>1825</v>
      </c>
      <c r="S646" s="83">
        <f>Inputs!$H$5+TS!P646*0.4333</f>
        <v>1887.68939763</v>
      </c>
      <c r="T646" s="83">
        <f>Inputs!$G$5+TS!P646*0.4333</f>
        <v>1902.68939763</v>
      </c>
      <c r="U646" s="85">
        <f t="shared" si="200"/>
        <v>0.95134469881500006</v>
      </c>
      <c r="V646" s="86">
        <f t="shared" si="188"/>
        <v>0</v>
      </c>
      <c r="W646" s="86">
        <f t="shared" si="189"/>
        <v>0</v>
      </c>
      <c r="X646" s="86" t="e">
        <f>((PI()*((42-2*'Gen Calcs'!$E$13)^2)/4)/144)*(A689-#REF!)*(W646+14.7)/14.7</f>
        <v>#REF!</v>
      </c>
      <c r="Y646" s="86" t="e">
        <f t="shared" si="190"/>
        <v>#REF!</v>
      </c>
      <c r="Z646" s="86" t="e">
        <f t="shared" si="191"/>
        <v>#REF!</v>
      </c>
      <c r="AA646" s="83">
        <f>MAX(B$2:B646)-B646</f>
        <v>36.803499999999985</v>
      </c>
      <c r="AB646" s="83">
        <f t="shared" si="192"/>
        <v>15.935915499999993</v>
      </c>
      <c r="AC646" s="83">
        <f t="shared" si="194"/>
        <v>120</v>
      </c>
      <c r="AD646" s="72">
        <v>120</v>
      </c>
      <c r="AE646" s="73">
        <f t="shared" si="201"/>
        <v>907.92027688745009</v>
      </c>
      <c r="AF646" s="73">
        <f>SUM(AE$2:AE646)</f>
        <v>535940.46444682905</v>
      </c>
      <c r="AG646" s="73">
        <f t="shared" si="202"/>
        <v>637789.43798028014</v>
      </c>
    </row>
    <row r="647" spans="1:33" x14ac:dyDescent="0.25">
      <c r="A647" s="99">
        <v>155099.92000000001</v>
      </c>
      <c r="B647" s="96">
        <v>800.23080000000004</v>
      </c>
      <c r="C647" s="96">
        <v>0.6</v>
      </c>
      <c r="D647" s="80">
        <f t="shared" si="187"/>
        <v>100</v>
      </c>
      <c r="E647" s="81">
        <f t="shared" si="195"/>
        <v>6791.2436711181272</v>
      </c>
      <c r="F647" s="81">
        <f>SUM(E$2:E647)</f>
        <v>4012341.3986121691</v>
      </c>
      <c r="G647" s="43">
        <f t="shared" si="193"/>
        <v>1</v>
      </c>
      <c r="H647" s="78">
        <v>1</v>
      </c>
      <c r="I647" s="15">
        <f t="shared" si="196"/>
        <v>0.6</v>
      </c>
      <c r="J647" s="16">
        <f>VLOOKUP(G647,Inputs!$L$3:$P$15,5,FALSE)</f>
        <v>2000</v>
      </c>
      <c r="K647" s="16">
        <f t="shared" si="197"/>
        <v>1825</v>
      </c>
      <c r="L647" s="79">
        <f>Inputs!$P$8-B647</f>
        <v>137.96019999999999</v>
      </c>
      <c r="M647" s="79">
        <f>Inputs!$Q$8+L647*0.433</f>
        <v>1884.7367666</v>
      </c>
      <c r="N647" s="82">
        <f t="shared" si="198"/>
        <v>155099.92000000001</v>
      </c>
      <c r="O647" s="83">
        <f t="shared" si="199"/>
        <v>800.23080000000004</v>
      </c>
      <c r="P647" s="84">
        <f>IF(O647="","",Inputs!$C$5-O647)</f>
        <v>24.953699999999913</v>
      </c>
      <c r="Q647" s="83">
        <f>IF(N647="","",TS!J647)</f>
        <v>2000</v>
      </c>
      <c r="R647" s="83">
        <f>IF(N647="","",TS!K647)</f>
        <v>1825</v>
      </c>
      <c r="S647" s="83">
        <f>Inputs!$H$5+TS!P647*0.4333</f>
        <v>1885.7781546599999</v>
      </c>
      <c r="T647" s="83">
        <f>Inputs!$G$5+TS!P647*0.4333</f>
        <v>1900.7781546599999</v>
      </c>
      <c r="U647" s="85">
        <f t="shared" si="200"/>
        <v>0.95038907733</v>
      </c>
      <c r="V647" s="86">
        <f t="shared" si="188"/>
        <v>0</v>
      </c>
      <c r="W647" s="86">
        <f t="shared" si="189"/>
        <v>0</v>
      </c>
      <c r="X647" s="86" t="e">
        <f>((PI()*((42-2*'Gen Calcs'!$E$13)^2)/4)/144)*(A690-#REF!)*(W647+14.7)/14.7</f>
        <v>#REF!</v>
      </c>
      <c r="Y647" s="86" t="e">
        <f t="shared" si="190"/>
        <v>#REF!</v>
      </c>
      <c r="Z647" s="86" t="e">
        <f t="shared" si="191"/>
        <v>#REF!</v>
      </c>
      <c r="AA647" s="83">
        <f>MAX(B$2:B647)-B647</f>
        <v>32.392599999999902</v>
      </c>
      <c r="AB647" s="83">
        <f t="shared" si="192"/>
        <v>14.025995799999958</v>
      </c>
      <c r="AC647" s="83">
        <f t="shared" si="194"/>
        <v>120</v>
      </c>
      <c r="AD647" s="72">
        <v>120</v>
      </c>
      <c r="AE647" s="73">
        <f t="shared" si="201"/>
        <v>907.92027688745009</v>
      </c>
      <c r="AF647" s="73">
        <f>SUM(AE$2:AE647)</f>
        <v>536848.38472371653</v>
      </c>
      <c r="AG647" s="73">
        <f t="shared" si="202"/>
        <v>636881.51770339266</v>
      </c>
    </row>
    <row r="648" spans="1:33" x14ac:dyDescent="0.25">
      <c r="A648" s="100">
        <v>155199.92000000001</v>
      </c>
      <c r="B648" s="97">
        <v>802.2559</v>
      </c>
      <c r="C648" s="97">
        <v>0.6</v>
      </c>
      <c r="D648" s="80">
        <f t="shared" si="187"/>
        <v>100</v>
      </c>
      <c r="E648" s="81">
        <f t="shared" si="195"/>
        <v>6791.2436711181272</v>
      </c>
      <c r="F648" s="81">
        <f>SUM(E$2:E648)</f>
        <v>4019132.6422832874</v>
      </c>
      <c r="G648" s="43">
        <f t="shared" si="193"/>
        <v>1</v>
      </c>
      <c r="H648" s="78">
        <v>1</v>
      </c>
      <c r="I648" s="15">
        <f t="shared" si="196"/>
        <v>0.6</v>
      </c>
      <c r="J648" s="16">
        <f>VLOOKUP(G648,Inputs!$L$3:$P$15,5,FALSE)</f>
        <v>2000</v>
      </c>
      <c r="K648" s="16">
        <f t="shared" si="197"/>
        <v>1825</v>
      </c>
      <c r="L648" s="79">
        <f>Inputs!$P$8-B648</f>
        <v>135.93510000000003</v>
      </c>
      <c r="M648" s="79">
        <f>Inputs!$Q$8+L648*0.433</f>
        <v>1883.8598982999999</v>
      </c>
      <c r="N648" s="82">
        <f t="shared" si="198"/>
        <v>155199.92000000001</v>
      </c>
      <c r="O648" s="83">
        <f t="shared" si="199"/>
        <v>802.2559</v>
      </c>
      <c r="P648" s="84">
        <f>IF(O648="","",Inputs!$C$5-O648)</f>
        <v>22.92859999999996</v>
      </c>
      <c r="Q648" s="83">
        <f>IF(N648="","",TS!J648)</f>
        <v>2000</v>
      </c>
      <c r="R648" s="83">
        <f>IF(N648="","",TS!K648)</f>
        <v>1825</v>
      </c>
      <c r="S648" s="83">
        <f>Inputs!$H$5+TS!P648*0.4333</f>
        <v>1884.9006788299998</v>
      </c>
      <c r="T648" s="83">
        <f>Inputs!$G$5+TS!P648*0.4333</f>
        <v>1899.9006788299998</v>
      </c>
      <c r="U648" s="85">
        <f t="shared" si="200"/>
        <v>0.94995033941499996</v>
      </c>
      <c r="V648" s="86">
        <f t="shared" si="188"/>
        <v>0</v>
      </c>
      <c r="W648" s="86">
        <f t="shared" si="189"/>
        <v>0</v>
      </c>
      <c r="X648" s="86" t="e">
        <f>((PI()*((42-2*'Gen Calcs'!$E$13)^2)/4)/144)*(A691-#REF!)*(W648+14.7)/14.7</f>
        <v>#REF!</v>
      </c>
      <c r="Y648" s="86" t="e">
        <f t="shared" si="190"/>
        <v>#REF!</v>
      </c>
      <c r="Z648" s="86" t="e">
        <f t="shared" si="191"/>
        <v>#REF!</v>
      </c>
      <c r="AA648" s="83">
        <f>MAX(B$2:B648)-B648</f>
        <v>30.36749999999995</v>
      </c>
      <c r="AB648" s="83">
        <f t="shared" si="192"/>
        <v>13.149127499999977</v>
      </c>
      <c r="AC648" s="83">
        <f t="shared" si="194"/>
        <v>120</v>
      </c>
      <c r="AD648" s="72">
        <v>120</v>
      </c>
      <c r="AE648" s="73">
        <f t="shared" si="201"/>
        <v>907.92027688745009</v>
      </c>
      <c r="AF648" s="73">
        <f>SUM(AE$2:AE648)</f>
        <v>537756.30500060401</v>
      </c>
      <c r="AG648" s="73">
        <f t="shared" si="202"/>
        <v>635973.59742650518</v>
      </c>
    </row>
    <row r="649" spans="1:33" x14ac:dyDescent="0.25">
      <c r="A649" s="99">
        <v>155299.92000000001</v>
      </c>
      <c r="B649" s="96">
        <v>804.06539999999995</v>
      </c>
      <c r="C649" s="96">
        <v>0.6</v>
      </c>
      <c r="D649" s="80">
        <f t="shared" si="187"/>
        <v>100</v>
      </c>
      <c r="E649" s="81">
        <f t="shared" si="195"/>
        <v>6791.2436711181272</v>
      </c>
      <c r="F649" s="81">
        <f>SUM(E$2:E649)</f>
        <v>4025923.8859544056</v>
      </c>
      <c r="G649" s="43">
        <f t="shared" si="193"/>
        <v>1</v>
      </c>
      <c r="H649" s="78">
        <v>1</v>
      </c>
      <c r="I649" s="15">
        <f t="shared" si="196"/>
        <v>0.6</v>
      </c>
      <c r="J649" s="16">
        <f>VLOOKUP(G649,Inputs!$L$3:$P$15,5,FALSE)</f>
        <v>2000</v>
      </c>
      <c r="K649" s="16">
        <f t="shared" si="197"/>
        <v>1825</v>
      </c>
      <c r="L649" s="79">
        <f>Inputs!$P$8-B649</f>
        <v>134.12560000000008</v>
      </c>
      <c r="M649" s="79">
        <f>Inputs!$Q$8+L649*0.433</f>
        <v>1883.0763848000001</v>
      </c>
      <c r="N649" s="82">
        <f t="shared" si="198"/>
        <v>155299.92000000001</v>
      </c>
      <c r="O649" s="83">
        <f t="shared" si="199"/>
        <v>804.06539999999995</v>
      </c>
      <c r="P649" s="84">
        <f>IF(O649="","",Inputs!$C$5-O649)</f>
        <v>21.119100000000003</v>
      </c>
      <c r="Q649" s="83">
        <f>IF(N649="","",TS!J649)</f>
        <v>2000</v>
      </c>
      <c r="R649" s="83">
        <f>IF(N649="","",TS!K649)</f>
        <v>1825</v>
      </c>
      <c r="S649" s="83">
        <f>Inputs!$H$5+TS!P649*0.4333</f>
        <v>1884.1166224799999</v>
      </c>
      <c r="T649" s="83">
        <f>Inputs!$G$5+TS!P649*0.4333</f>
        <v>1899.1166224799999</v>
      </c>
      <c r="U649" s="85">
        <f t="shared" si="200"/>
        <v>0.94955831124000001</v>
      </c>
      <c r="V649" s="86">
        <f t="shared" si="188"/>
        <v>0</v>
      </c>
      <c r="W649" s="86">
        <f t="shared" si="189"/>
        <v>0</v>
      </c>
      <c r="X649" s="86" t="e">
        <f>((PI()*((42-2*'Gen Calcs'!$E$13)^2)/4)/144)*(A692-#REF!)*(W649+14.7)/14.7</f>
        <v>#REF!</v>
      </c>
      <c r="Y649" s="86" t="e">
        <f t="shared" si="190"/>
        <v>#REF!</v>
      </c>
      <c r="Z649" s="86" t="e">
        <f t="shared" si="191"/>
        <v>#REF!</v>
      </c>
      <c r="AA649" s="83">
        <f>MAX(B$2:B649)-B649</f>
        <v>28.557999999999993</v>
      </c>
      <c r="AB649" s="83">
        <f t="shared" si="192"/>
        <v>12.365613999999997</v>
      </c>
      <c r="AC649" s="83">
        <f t="shared" si="194"/>
        <v>120</v>
      </c>
      <c r="AD649" s="72">
        <v>120</v>
      </c>
      <c r="AE649" s="73">
        <f t="shared" si="201"/>
        <v>907.92027688745009</v>
      </c>
      <c r="AF649" s="73">
        <f>SUM(AE$2:AE649)</f>
        <v>538664.2252774915</v>
      </c>
      <c r="AG649" s="73">
        <f t="shared" si="202"/>
        <v>635065.6771496177</v>
      </c>
    </row>
    <row r="650" spans="1:33" x14ac:dyDescent="0.25">
      <c r="A650" s="100">
        <v>155399.92000000001</v>
      </c>
      <c r="B650" s="97">
        <v>806.88210000000004</v>
      </c>
      <c r="C650" s="97">
        <v>0.6</v>
      </c>
      <c r="D650" s="80">
        <f t="shared" si="187"/>
        <v>100</v>
      </c>
      <c r="E650" s="81">
        <f t="shared" si="195"/>
        <v>6791.2436711181272</v>
      </c>
      <c r="F650" s="81">
        <f>SUM(E$2:E650)</f>
        <v>4032715.1296255239</v>
      </c>
      <c r="G650" s="43">
        <f t="shared" si="193"/>
        <v>1</v>
      </c>
      <c r="H650" s="78">
        <v>1</v>
      </c>
      <c r="I650" s="15">
        <f t="shared" si="196"/>
        <v>0.6</v>
      </c>
      <c r="J650" s="16">
        <f>VLOOKUP(G650,Inputs!$L$3:$P$15,5,FALSE)</f>
        <v>2000</v>
      </c>
      <c r="K650" s="16">
        <f t="shared" si="197"/>
        <v>1825</v>
      </c>
      <c r="L650" s="79">
        <f>Inputs!$P$8-B650</f>
        <v>131.30889999999999</v>
      </c>
      <c r="M650" s="79">
        <f>Inputs!$Q$8+L650*0.433</f>
        <v>1881.8567536999999</v>
      </c>
      <c r="N650" s="82">
        <f t="shared" si="198"/>
        <v>155399.92000000001</v>
      </c>
      <c r="O650" s="83">
        <f t="shared" si="199"/>
        <v>806.88210000000004</v>
      </c>
      <c r="P650" s="84">
        <f>IF(O650="","",Inputs!$C$5-O650)</f>
        <v>18.302399999999921</v>
      </c>
      <c r="Q650" s="83">
        <f>IF(N650="","",TS!J650)</f>
        <v>2000</v>
      </c>
      <c r="R650" s="83">
        <f>IF(N650="","",TS!K650)</f>
        <v>1825</v>
      </c>
      <c r="S650" s="83">
        <f>Inputs!$H$5+TS!P650*0.4333</f>
        <v>1882.89614637</v>
      </c>
      <c r="T650" s="83">
        <f>Inputs!$G$5+TS!P650*0.4333</f>
        <v>1897.89614637</v>
      </c>
      <c r="U650" s="85">
        <f t="shared" si="200"/>
        <v>0.94894807318499996</v>
      </c>
      <c r="V650" s="86">
        <f t="shared" si="188"/>
        <v>0</v>
      </c>
      <c r="W650" s="86">
        <f t="shared" si="189"/>
        <v>0</v>
      </c>
      <c r="X650" s="86" t="e">
        <f>((PI()*((42-2*'Gen Calcs'!$E$13)^2)/4)/144)*(A693-#REF!)*(W650+14.7)/14.7</f>
        <v>#REF!</v>
      </c>
      <c r="Y650" s="86" t="e">
        <f t="shared" si="190"/>
        <v>#REF!</v>
      </c>
      <c r="Z650" s="86" t="e">
        <f t="shared" si="191"/>
        <v>#REF!</v>
      </c>
      <c r="AA650" s="83">
        <f>MAX(B$2:B650)-B650</f>
        <v>25.74129999999991</v>
      </c>
      <c r="AB650" s="83">
        <f t="shared" si="192"/>
        <v>11.145982899999961</v>
      </c>
      <c r="AC650" s="83">
        <f t="shared" si="194"/>
        <v>120</v>
      </c>
      <c r="AD650" s="72">
        <v>120</v>
      </c>
      <c r="AE650" s="73">
        <f t="shared" si="201"/>
        <v>907.92027688745009</v>
      </c>
      <c r="AF650" s="73">
        <f>SUM(AE$2:AE650)</f>
        <v>539572.14555437898</v>
      </c>
      <c r="AG650" s="73">
        <f t="shared" si="202"/>
        <v>634157.75687273021</v>
      </c>
    </row>
    <row r="651" spans="1:33" x14ac:dyDescent="0.25">
      <c r="A651" s="99">
        <v>155499.92000000001</v>
      </c>
      <c r="B651" s="96">
        <v>810.20349999999996</v>
      </c>
      <c r="C651" s="96">
        <v>0.6</v>
      </c>
      <c r="D651" s="80">
        <f t="shared" si="187"/>
        <v>100</v>
      </c>
      <c r="E651" s="81">
        <f t="shared" si="195"/>
        <v>6791.2436711181272</v>
      </c>
      <c r="F651" s="81">
        <f>SUM(E$2:E651)</f>
        <v>4039506.3732966422</v>
      </c>
      <c r="G651" s="43">
        <f t="shared" si="193"/>
        <v>1</v>
      </c>
      <c r="H651" s="78">
        <v>1</v>
      </c>
      <c r="I651" s="15">
        <f t="shared" si="196"/>
        <v>0.6</v>
      </c>
      <c r="J651" s="16">
        <f>VLOOKUP(G651,Inputs!$L$3:$P$15,5,FALSE)</f>
        <v>2000</v>
      </c>
      <c r="K651" s="16">
        <f t="shared" si="197"/>
        <v>1825</v>
      </c>
      <c r="L651" s="79">
        <f>Inputs!$P$8-B651</f>
        <v>127.98750000000007</v>
      </c>
      <c r="M651" s="79">
        <f>Inputs!$Q$8+L651*0.433</f>
        <v>1880.4185875000001</v>
      </c>
      <c r="N651" s="82">
        <f t="shared" si="198"/>
        <v>155499.92000000001</v>
      </c>
      <c r="O651" s="83">
        <f t="shared" si="199"/>
        <v>810.20349999999996</v>
      </c>
      <c r="P651" s="84">
        <f>IF(O651="","",Inputs!$C$5-O651)</f>
        <v>14.980999999999995</v>
      </c>
      <c r="Q651" s="83">
        <f>IF(N651="","",TS!J651)</f>
        <v>2000</v>
      </c>
      <c r="R651" s="83">
        <f>IF(N651="","",TS!K651)</f>
        <v>1825</v>
      </c>
      <c r="S651" s="83">
        <f>Inputs!$H$5+TS!P651*0.4333</f>
        <v>1881.4569837499998</v>
      </c>
      <c r="T651" s="83">
        <f>Inputs!$G$5+TS!P651*0.4333</f>
        <v>1896.4569837499998</v>
      </c>
      <c r="U651" s="85">
        <f t="shared" si="200"/>
        <v>0.94822849187499991</v>
      </c>
      <c r="V651" s="86">
        <f t="shared" si="188"/>
        <v>0</v>
      </c>
      <c r="W651" s="86">
        <f t="shared" si="189"/>
        <v>0</v>
      </c>
      <c r="X651" s="86" t="e">
        <f>((PI()*((42-2*'Gen Calcs'!$E$13)^2)/4)/144)*(A694-#REF!)*(W651+14.7)/14.7</f>
        <v>#REF!</v>
      </c>
      <c r="Y651" s="86" t="e">
        <f t="shared" si="190"/>
        <v>#REF!</v>
      </c>
      <c r="Z651" s="86" t="e">
        <f t="shared" si="191"/>
        <v>#REF!</v>
      </c>
      <c r="AA651" s="83">
        <f>MAX(B$2:B651)-B651</f>
        <v>22.419899999999984</v>
      </c>
      <c r="AB651" s="83">
        <f t="shared" si="192"/>
        <v>9.7078166999999933</v>
      </c>
      <c r="AC651" s="83">
        <f t="shared" si="194"/>
        <v>120</v>
      </c>
      <c r="AD651" s="72">
        <v>120</v>
      </c>
      <c r="AE651" s="73">
        <f t="shared" si="201"/>
        <v>907.92027688745009</v>
      </c>
      <c r="AF651" s="73">
        <f>SUM(AE$2:AE651)</f>
        <v>540480.06583126646</v>
      </c>
      <c r="AG651" s="73">
        <f t="shared" si="202"/>
        <v>633249.83659584273</v>
      </c>
    </row>
    <row r="652" spans="1:33" x14ac:dyDescent="0.25">
      <c r="A652" s="100">
        <v>155569</v>
      </c>
      <c r="B652" s="97">
        <v>810.20349999999996</v>
      </c>
      <c r="C652" s="97">
        <v>0.86399999999999999</v>
      </c>
      <c r="D652" s="80">
        <f t="shared" si="187"/>
        <v>69.079999999987194</v>
      </c>
      <c r="E652" s="81">
        <f t="shared" si="195"/>
        <v>4691.3911280075326</v>
      </c>
      <c r="F652" s="81">
        <f>SUM(E$2:E652)</f>
        <v>4044197.7644246495</v>
      </c>
      <c r="G652" s="43">
        <f t="shared" si="193"/>
        <v>2</v>
      </c>
      <c r="H652" s="78">
        <v>1</v>
      </c>
      <c r="I652" s="15">
        <f t="shared" si="196"/>
        <v>0.86399999999999999</v>
      </c>
      <c r="J652" s="16">
        <f>VLOOKUP(G652,Inputs!$L$3:$P$15,5,FALSE)</f>
        <v>2880</v>
      </c>
      <c r="K652" s="16">
        <f t="shared" si="197"/>
        <v>1825</v>
      </c>
      <c r="L652" s="79">
        <f>Inputs!$P$8-B652</f>
        <v>127.98750000000007</v>
      </c>
      <c r="M652" s="79">
        <f>Inputs!$Q$8+L652*0.433</f>
        <v>1880.4185875000001</v>
      </c>
      <c r="N652" s="82">
        <f t="shared" si="198"/>
        <v>155569</v>
      </c>
      <c r="O652" s="83">
        <f t="shared" si="199"/>
        <v>810.20349999999996</v>
      </c>
      <c r="P652" s="84">
        <f>IF(O652="","",Inputs!$C$5-O652)</f>
        <v>14.980999999999995</v>
      </c>
      <c r="Q652" s="83">
        <f>IF(N652="","",TS!J652)</f>
        <v>2880</v>
      </c>
      <c r="R652" s="83">
        <f>IF(N652="","",TS!K652)</f>
        <v>1825</v>
      </c>
      <c r="S652" s="83">
        <f>Inputs!$H$5+TS!P652*0.4333</f>
        <v>1881.4569837499998</v>
      </c>
      <c r="T652" s="83">
        <f>Inputs!$G$5+TS!P652*0.4333</f>
        <v>1896.4569837499998</v>
      </c>
      <c r="U652" s="85">
        <f t="shared" si="200"/>
        <v>0.65849200824652776</v>
      </c>
      <c r="V652" s="86">
        <f t="shared" si="188"/>
        <v>0</v>
      </c>
      <c r="W652" s="86">
        <f t="shared" si="189"/>
        <v>0</v>
      </c>
      <c r="X652" s="86" t="e">
        <f>((PI()*((42-2*'Gen Calcs'!$E$13)^2)/4)/144)*(A695-#REF!)*(W652+14.7)/14.7</f>
        <v>#REF!</v>
      </c>
      <c r="Y652" s="86" t="e">
        <f t="shared" si="190"/>
        <v>#REF!</v>
      </c>
      <c r="Z652" s="86" t="e">
        <f t="shared" si="191"/>
        <v>#REF!</v>
      </c>
      <c r="AA652" s="83">
        <f>MAX(B$2:B652)-B652</f>
        <v>22.419899999999984</v>
      </c>
      <c r="AB652" s="83">
        <f t="shared" si="192"/>
        <v>9.7078166999999933</v>
      </c>
      <c r="AC652" s="83">
        <f t="shared" si="194"/>
        <v>120</v>
      </c>
      <c r="AD652" s="72">
        <v>120</v>
      </c>
      <c r="AE652" s="73">
        <f t="shared" si="201"/>
        <v>611.06317825031738</v>
      </c>
      <c r="AF652" s="73">
        <f>SUM(AE$2:AE652)</f>
        <v>541091.12900951679</v>
      </c>
      <c r="AG652" s="73">
        <f t="shared" si="202"/>
        <v>632638.7734175924</v>
      </c>
    </row>
    <row r="653" spans="1:33" x14ac:dyDescent="0.25">
      <c r="A653" s="99">
        <v>155599.92000000001</v>
      </c>
      <c r="B653" s="96">
        <v>813.57820000000004</v>
      </c>
      <c r="C653" s="96">
        <v>0.6</v>
      </c>
      <c r="D653" s="80">
        <f t="shared" si="187"/>
        <v>30.920000000012806</v>
      </c>
      <c r="E653" s="81">
        <f t="shared" si="195"/>
        <v>2045.855089271907</v>
      </c>
      <c r="F653" s="81">
        <f>SUM(E$2:E653)</f>
        <v>4046243.6195139214</v>
      </c>
      <c r="G653" s="43">
        <f t="shared" si="193"/>
        <v>1</v>
      </c>
      <c r="H653" s="78">
        <v>1</v>
      </c>
      <c r="I653" s="15">
        <f t="shared" si="196"/>
        <v>0.6</v>
      </c>
      <c r="J653" s="16">
        <f>VLOOKUP(G653,Inputs!$L$3:$P$15,5,FALSE)</f>
        <v>2000</v>
      </c>
      <c r="K653" s="16">
        <f t="shared" si="197"/>
        <v>1825</v>
      </c>
      <c r="L653" s="79">
        <f>Inputs!$P$8-B653</f>
        <v>124.61279999999999</v>
      </c>
      <c r="M653" s="79">
        <f>Inputs!$Q$8+L653*0.433</f>
        <v>1878.9573424</v>
      </c>
      <c r="N653" s="82">
        <f t="shared" si="198"/>
        <v>155599.92000000001</v>
      </c>
      <c r="O653" s="83">
        <f t="shared" si="199"/>
        <v>813.57820000000004</v>
      </c>
      <c r="P653" s="84">
        <f>IF(O653="","",Inputs!$C$5-O653)</f>
        <v>11.606299999999919</v>
      </c>
      <c r="Q653" s="83">
        <f>IF(N653="","",TS!J653)</f>
        <v>2000</v>
      </c>
      <c r="R653" s="83">
        <f>IF(N653="","",TS!K653)</f>
        <v>1825</v>
      </c>
      <c r="S653" s="83">
        <f>Inputs!$H$5+TS!P653*0.4333</f>
        <v>1879.9947262399999</v>
      </c>
      <c r="T653" s="83">
        <f>Inputs!$G$5+TS!P653*0.4333</f>
        <v>1894.9947262399999</v>
      </c>
      <c r="U653" s="85">
        <f t="shared" si="200"/>
        <v>0.94749736311999988</v>
      </c>
      <c r="V653" s="86">
        <f t="shared" si="188"/>
        <v>0</v>
      </c>
      <c r="W653" s="86">
        <f t="shared" si="189"/>
        <v>0</v>
      </c>
      <c r="X653" s="86" t="e">
        <f>((PI()*((42-2*'Gen Calcs'!$E$13)^2)/4)/144)*(A696-#REF!)*(W653+14.7)/14.7</f>
        <v>#REF!</v>
      </c>
      <c r="Y653" s="86" t="e">
        <f t="shared" si="190"/>
        <v>#REF!</v>
      </c>
      <c r="Z653" s="86" t="e">
        <f t="shared" si="191"/>
        <v>#REF!</v>
      </c>
      <c r="AA653" s="83">
        <f>MAX(B$2:B653)-B653</f>
        <v>19.045199999999909</v>
      </c>
      <c r="AB653" s="83">
        <f t="shared" si="192"/>
        <v>8.2465715999999603</v>
      </c>
      <c r="AC653" s="83">
        <f t="shared" si="194"/>
        <v>120</v>
      </c>
      <c r="AD653" s="72">
        <v>120</v>
      </c>
      <c r="AE653" s="73">
        <f t="shared" si="201"/>
        <v>280.72894961371583</v>
      </c>
      <c r="AF653" s="73">
        <f>SUM(AE$2:AE653)</f>
        <v>541371.85795913055</v>
      </c>
      <c r="AG653" s="73">
        <f t="shared" si="202"/>
        <v>632358.04446797865</v>
      </c>
    </row>
    <row r="654" spans="1:33" x14ac:dyDescent="0.25">
      <c r="A654" s="100">
        <v>155699.92000000001</v>
      </c>
      <c r="B654" s="97">
        <v>815.87879999999996</v>
      </c>
      <c r="C654" s="97">
        <v>0.6</v>
      </c>
      <c r="D654" s="80">
        <f t="shared" si="187"/>
        <v>100</v>
      </c>
      <c r="E654" s="81">
        <f t="shared" si="195"/>
        <v>6791.2436711181272</v>
      </c>
      <c r="F654" s="81">
        <f>SUM(E$2:E654)</f>
        <v>4053034.8631850397</v>
      </c>
      <c r="G654" s="43">
        <f t="shared" si="193"/>
        <v>1</v>
      </c>
      <c r="H654" s="78">
        <v>1</v>
      </c>
      <c r="I654" s="15">
        <f t="shared" si="196"/>
        <v>0.6</v>
      </c>
      <c r="J654" s="16">
        <f>VLOOKUP(G654,Inputs!$L$3:$P$15,5,FALSE)</f>
        <v>2000</v>
      </c>
      <c r="K654" s="16">
        <f t="shared" si="197"/>
        <v>1825</v>
      </c>
      <c r="L654" s="79">
        <f>Inputs!$P$8-B654</f>
        <v>122.31220000000008</v>
      </c>
      <c r="M654" s="79">
        <f>Inputs!$Q$8+L654*0.433</f>
        <v>1877.9611826</v>
      </c>
      <c r="N654" s="82">
        <f t="shared" si="198"/>
        <v>155699.92000000001</v>
      </c>
      <c r="O654" s="83">
        <f t="shared" si="199"/>
        <v>815.87879999999996</v>
      </c>
      <c r="P654" s="84">
        <f>IF(O654="","",Inputs!$C$5-O654)</f>
        <v>9.3057000000000016</v>
      </c>
      <c r="Q654" s="83">
        <f>IF(N654="","",TS!J654)</f>
        <v>2000</v>
      </c>
      <c r="R654" s="83">
        <f>IF(N654="","",TS!K654)</f>
        <v>1825</v>
      </c>
      <c r="S654" s="83">
        <f>Inputs!$H$5+TS!P654*0.4333</f>
        <v>1878.9978762599999</v>
      </c>
      <c r="T654" s="83">
        <f>Inputs!$G$5+TS!P654*0.4333</f>
        <v>1893.9978762599999</v>
      </c>
      <c r="U654" s="85">
        <f t="shared" si="200"/>
        <v>0.94699893812999991</v>
      </c>
      <c r="V654" s="86">
        <f t="shared" si="188"/>
        <v>0</v>
      </c>
      <c r="W654" s="86">
        <f t="shared" si="189"/>
        <v>0</v>
      </c>
      <c r="X654" s="86" t="e">
        <f>((PI()*((42-2*'Gen Calcs'!$E$13)^2)/4)/144)*(A697-#REF!)*(W654+14.7)/14.7</f>
        <v>#REF!</v>
      </c>
      <c r="Y654" s="86" t="e">
        <f t="shared" si="190"/>
        <v>#REF!</v>
      </c>
      <c r="Z654" s="86" t="e">
        <f t="shared" si="191"/>
        <v>#REF!</v>
      </c>
      <c r="AA654" s="83">
        <f>MAX(B$2:B654)-B654</f>
        <v>16.744599999999991</v>
      </c>
      <c r="AB654" s="83">
        <f t="shared" si="192"/>
        <v>7.2504117999999957</v>
      </c>
      <c r="AC654" s="83">
        <f t="shared" si="194"/>
        <v>120</v>
      </c>
      <c r="AD654" s="72">
        <v>120</v>
      </c>
      <c r="AE654" s="73">
        <f t="shared" si="201"/>
        <v>907.92027688745009</v>
      </c>
      <c r="AF654" s="73">
        <f>SUM(AE$2:AE654)</f>
        <v>542279.77823601803</v>
      </c>
      <c r="AG654" s="73">
        <f t="shared" si="202"/>
        <v>631450.12419109116</v>
      </c>
    </row>
    <row r="655" spans="1:33" x14ac:dyDescent="0.25">
      <c r="A655" s="99">
        <v>155799.92000000001</v>
      </c>
      <c r="B655" s="96">
        <v>817.34109999999998</v>
      </c>
      <c r="C655" s="96">
        <v>0.6</v>
      </c>
      <c r="D655" s="80">
        <f t="shared" si="187"/>
        <v>100</v>
      </c>
      <c r="E655" s="81">
        <f t="shared" si="195"/>
        <v>6616.6076625842816</v>
      </c>
      <c r="F655" s="81">
        <f>SUM(E$2:E655)</f>
        <v>4059651.4708476239</v>
      </c>
      <c r="G655" s="43">
        <f t="shared" si="193"/>
        <v>1</v>
      </c>
      <c r="H655" s="78">
        <v>1</v>
      </c>
      <c r="I655" s="15">
        <f t="shared" si="196"/>
        <v>0.6</v>
      </c>
      <c r="J655" s="16">
        <f>VLOOKUP(G655,Inputs!$L$3:$P$15,5,FALSE)</f>
        <v>2000</v>
      </c>
      <c r="K655" s="16">
        <f t="shared" si="197"/>
        <v>1825</v>
      </c>
      <c r="L655" s="79">
        <f>Inputs!$P$8-B655</f>
        <v>120.84990000000005</v>
      </c>
      <c r="M655" s="79">
        <f>Inputs!$Q$8+L655*0.433</f>
        <v>1877.3280067000001</v>
      </c>
      <c r="N655" s="82">
        <f t="shared" si="198"/>
        <v>155799.92000000001</v>
      </c>
      <c r="O655" s="83">
        <f t="shared" si="199"/>
        <v>817.34109999999998</v>
      </c>
      <c r="P655" s="84">
        <f>IF(O655="","",Inputs!$C$5-O655)</f>
        <v>7.8433999999999742</v>
      </c>
      <c r="Q655" s="83">
        <f>IF(N655="","",TS!J655)</f>
        <v>2000</v>
      </c>
      <c r="R655" s="83">
        <f>IF(N655="","",TS!K655)</f>
        <v>1825</v>
      </c>
      <c r="S655" s="83">
        <f>Inputs!$H$5+TS!P655*0.4333</f>
        <v>1878.3642616699999</v>
      </c>
      <c r="T655" s="83">
        <f>Inputs!$G$5+TS!P655*0.4333</f>
        <v>1893.3642616699999</v>
      </c>
      <c r="U655" s="85">
        <f t="shared" si="200"/>
        <v>0.94668213083499997</v>
      </c>
      <c r="V655" s="86">
        <f t="shared" si="188"/>
        <v>0</v>
      </c>
      <c r="W655" s="86">
        <f t="shared" si="189"/>
        <v>0</v>
      </c>
      <c r="X655" s="86" t="e">
        <f>((PI()*((42-2*'Gen Calcs'!$E$13)^2)/4)/144)*(A698-#REF!)*(W655+14.7)/14.7</f>
        <v>#REF!</v>
      </c>
      <c r="Y655" s="86" t="e">
        <f t="shared" si="190"/>
        <v>#REF!</v>
      </c>
      <c r="Z655" s="86" t="e">
        <f t="shared" si="191"/>
        <v>#REF!</v>
      </c>
      <c r="AA655" s="83">
        <f>MAX(B$2:B655)-B655</f>
        <v>15.282299999999964</v>
      </c>
      <c r="AB655" s="83">
        <f t="shared" si="192"/>
        <v>6.6172358999999839</v>
      </c>
      <c r="AC655" s="83">
        <f t="shared" si="194"/>
        <v>120</v>
      </c>
      <c r="AD655" s="72">
        <v>120</v>
      </c>
      <c r="AE655" s="73">
        <f t="shared" si="201"/>
        <v>907.92027688745009</v>
      </c>
      <c r="AF655" s="73">
        <f>SUM(AE$2:AE655)</f>
        <v>543187.69851290551</v>
      </c>
      <c r="AG655" s="73">
        <f t="shared" si="202"/>
        <v>630542.20391420368</v>
      </c>
    </row>
    <row r="656" spans="1:33" x14ac:dyDescent="0.25">
      <c r="A656" s="100">
        <v>155899.92000000001</v>
      </c>
      <c r="B656" s="97">
        <v>821.39300000000003</v>
      </c>
      <c r="C656" s="97">
        <v>0.6</v>
      </c>
      <c r="D656" s="80">
        <f t="shared" si="187"/>
        <v>100</v>
      </c>
      <c r="E656" s="81">
        <f t="shared" si="195"/>
        <v>6791.2436711181272</v>
      </c>
      <c r="F656" s="81">
        <f>SUM(E$2:E656)</f>
        <v>4066442.7145187422</v>
      </c>
      <c r="G656" s="43">
        <f t="shared" si="193"/>
        <v>1</v>
      </c>
      <c r="H656" s="78">
        <v>1</v>
      </c>
      <c r="I656" s="15">
        <f t="shared" si="196"/>
        <v>0.6</v>
      </c>
      <c r="J656" s="16">
        <f>VLOOKUP(G656,Inputs!$L$3:$P$15,5,FALSE)</f>
        <v>2000</v>
      </c>
      <c r="K656" s="16">
        <f t="shared" si="197"/>
        <v>1825</v>
      </c>
      <c r="L656" s="79">
        <f>Inputs!$P$8-B656</f>
        <v>116.798</v>
      </c>
      <c r="M656" s="79">
        <f>Inputs!$Q$8+L656*0.433</f>
        <v>1875.5735340000001</v>
      </c>
      <c r="N656" s="82">
        <f t="shared" si="198"/>
        <v>155899.92000000001</v>
      </c>
      <c r="O656" s="83">
        <f t="shared" si="199"/>
        <v>821.39300000000003</v>
      </c>
      <c r="P656" s="84">
        <f>IF(O656="","",Inputs!$C$5-O656)</f>
        <v>3.7914999999999281</v>
      </c>
      <c r="Q656" s="83">
        <f>IF(N656="","",TS!J656)</f>
        <v>2000</v>
      </c>
      <c r="R656" s="83">
        <f>IF(N656="","",TS!K656)</f>
        <v>1825</v>
      </c>
      <c r="S656" s="83">
        <f>Inputs!$H$5+TS!P656*0.4333</f>
        <v>1876.6085733999998</v>
      </c>
      <c r="T656" s="83">
        <f>Inputs!$G$5+TS!P656*0.4333</f>
        <v>1891.6085733999998</v>
      </c>
      <c r="U656" s="85">
        <f t="shared" si="200"/>
        <v>0.94580428669999994</v>
      </c>
      <c r="V656" s="86">
        <f t="shared" si="188"/>
        <v>0</v>
      </c>
      <c r="W656" s="86">
        <f t="shared" si="189"/>
        <v>0</v>
      </c>
      <c r="X656" s="86" t="e">
        <f>((PI()*((42-2*'Gen Calcs'!$E$13)^2)/4)/144)*(A699-#REF!)*(W656+14.7)/14.7</f>
        <v>#REF!</v>
      </c>
      <c r="Y656" s="86" t="e">
        <f t="shared" si="190"/>
        <v>#REF!</v>
      </c>
      <c r="Z656" s="86" t="e">
        <f t="shared" si="191"/>
        <v>#REF!</v>
      </c>
      <c r="AA656" s="83">
        <f>MAX(B$2:B656)-B656</f>
        <v>11.230399999999918</v>
      </c>
      <c r="AB656" s="83">
        <f t="shared" si="192"/>
        <v>4.8627631999999643</v>
      </c>
      <c r="AC656" s="83">
        <f t="shared" si="194"/>
        <v>120</v>
      </c>
      <c r="AD656" s="72">
        <v>120</v>
      </c>
      <c r="AE656" s="73">
        <f t="shared" si="201"/>
        <v>907.92027688745009</v>
      </c>
      <c r="AF656" s="73">
        <f>SUM(AE$2:AE656)</f>
        <v>544095.61878979299</v>
      </c>
      <c r="AG656" s="73">
        <f t="shared" si="202"/>
        <v>629634.2836373162</v>
      </c>
    </row>
    <row r="657" spans="1:33" x14ac:dyDescent="0.25">
      <c r="A657" s="99">
        <v>155999.92000000001</v>
      </c>
      <c r="B657" s="96">
        <v>822.24620000000004</v>
      </c>
      <c r="C657" s="96">
        <v>0.6</v>
      </c>
      <c r="D657" s="80">
        <f t="shared" si="187"/>
        <v>100</v>
      </c>
      <c r="E657" s="81">
        <f t="shared" si="195"/>
        <v>6791.2436711181272</v>
      </c>
      <c r="F657" s="81">
        <f>SUM(E$2:E657)</f>
        <v>4073233.9581898605</v>
      </c>
      <c r="G657" s="43">
        <f t="shared" si="193"/>
        <v>1</v>
      </c>
      <c r="H657" s="78">
        <v>1</v>
      </c>
      <c r="I657" s="15">
        <f t="shared" si="196"/>
        <v>0.6</v>
      </c>
      <c r="J657" s="16">
        <f>VLOOKUP(G657,Inputs!$L$3:$P$15,5,FALSE)</f>
        <v>2000</v>
      </c>
      <c r="K657" s="16">
        <f t="shared" si="197"/>
        <v>1825</v>
      </c>
      <c r="L657" s="79">
        <f>Inputs!$P$8-B657</f>
        <v>115.94479999999999</v>
      </c>
      <c r="M657" s="79">
        <f>Inputs!$Q$8+L657*0.433</f>
        <v>1875.2040984</v>
      </c>
      <c r="N657" s="82">
        <f t="shared" si="198"/>
        <v>155999.92000000001</v>
      </c>
      <c r="O657" s="83">
        <f t="shared" si="199"/>
        <v>822.24620000000004</v>
      </c>
      <c r="P657" s="84">
        <f>IF(O657="","",Inputs!$C$5-O657)</f>
        <v>2.9382999999999129</v>
      </c>
      <c r="Q657" s="83">
        <f>IF(N657="","",TS!J657)</f>
        <v>2000</v>
      </c>
      <c r="R657" s="83">
        <f>IF(N657="","",TS!K657)</f>
        <v>1825</v>
      </c>
      <c r="S657" s="83">
        <f>Inputs!$H$5+TS!P657*0.4333</f>
        <v>1876.23888184</v>
      </c>
      <c r="T657" s="83">
        <f>Inputs!$G$5+TS!P657*0.4333</f>
        <v>1891.23888184</v>
      </c>
      <c r="U657" s="85">
        <f t="shared" si="200"/>
        <v>0.94561944091999994</v>
      </c>
      <c r="V657" s="86">
        <f t="shared" si="188"/>
        <v>0</v>
      </c>
      <c r="W657" s="86">
        <f t="shared" si="189"/>
        <v>0</v>
      </c>
      <c r="X657" s="86" t="e">
        <f>((PI()*((42-2*'Gen Calcs'!$E$13)^2)/4)/144)*(A700-#REF!)*(W657+14.7)/14.7</f>
        <v>#REF!</v>
      </c>
      <c r="Y657" s="86" t="e">
        <f t="shared" si="190"/>
        <v>#REF!</v>
      </c>
      <c r="Z657" s="86" t="e">
        <f t="shared" si="191"/>
        <v>#REF!</v>
      </c>
      <c r="AA657" s="83">
        <f>MAX(B$2:B657)-B657</f>
        <v>10.377199999999903</v>
      </c>
      <c r="AB657" s="83">
        <f t="shared" si="192"/>
        <v>4.493327599999958</v>
      </c>
      <c r="AC657" s="83">
        <f t="shared" si="194"/>
        <v>120</v>
      </c>
      <c r="AD657" s="72">
        <v>120</v>
      </c>
      <c r="AE657" s="73">
        <f t="shared" si="201"/>
        <v>907.92027688745009</v>
      </c>
      <c r="AF657" s="73">
        <f>SUM(AE$2:AE657)</f>
        <v>545003.53906668047</v>
      </c>
      <c r="AG657" s="73">
        <f t="shared" si="202"/>
        <v>628726.36336042872</v>
      </c>
    </row>
    <row r="658" spans="1:33" x14ac:dyDescent="0.25">
      <c r="A658" s="100">
        <v>156099.92000000001</v>
      </c>
      <c r="B658" s="97">
        <v>819.7527</v>
      </c>
      <c r="C658" s="97">
        <v>0.6</v>
      </c>
      <c r="D658" s="80">
        <f t="shared" si="187"/>
        <v>100</v>
      </c>
      <c r="E658" s="81">
        <f t="shared" si="195"/>
        <v>6791.2436711181272</v>
      </c>
      <c r="F658" s="81">
        <f>SUM(E$2:E658)</f>
        <v>4080025.2018609787</v>
      </c>
      <c r="G658" s="43">
        <f t="shared" si="193"/>
        <v>1</v>
      </c>
      <c r="H658" s="78">
        <v>1</v>
      </c>
      <c r="I658" s="15">
        <f t="shared" si="196"/>
        <v>0.6</v>
      </c>
      <c r="J658" s="16">
        <f>VLOOKUP(G658,Inputs!$L$3:$P$15,5,FALSE)</f>
        <v>2000</v>
      </c>
      <c r="K658" s="16">
        <f t="shared" si="197"/>
        <v>1825</v>
      </c>
      <c r="L658" s="79">
        <f>Inputs!$P$8-B658</f>
        <v>118.43830000000003</v>
      </c>
      <c r="M658" s="79">
        <f>Inputs!$Q$8+L658*0.433</f>
        <v>1876.2837839000001</v>
      </c>
      <c r="N658" s="82">
        <f t="shared" si="198"/>
        <v>156099.92000000001</v>
      </c>
      <c r="O658" s="83">
        <f t="shared" si="199"/>
        <v>819.7527</v>
      </c>
      <c r="P658" s="84">
        <f>IF(O658="","",Inputs!$C$5-O658)</f>
        <v>5.4317999999999529</v>
      </c>
      <c r="Q658" s="83">
        <f>IF(N658="","",TS!J658)</f>
        <v>2000</v>
      </c>
      <c r="R658" s="83">
        <f>IF(N658="","",TS!K658)</f>
        <v>1825</v>
      </c>
      <c r="S658" s="83">
        <f>Inputs!$H$5+TS!P658*0.4333</f>
        <v>1877.3193153899999</v>
      </c>
      <c r="T658" s="83">
        <f>Inputs!$G$5+TS!P658*0.4333</f>
        <v>1892.3193153899999</v>
      </c>
      <c r="U658" s="85">
        <f t="shared" si="200"/>
        <v>0.94615965769499999</v>
      </c>
      <c r="V658" s="86">
        <f t="shared" si="188"/>
        <v>0</v>
      </c>
      <c r="W658" s="86">
        <f t="shared" si="189"/>
        <v>0</v>
      </c>
      <c r="X658" s="86" t="e">
        <f>((PI()*((42-2*'Gen Calcs'!$E$13)^2)/4)/144)*(A701-#REF!)*(W658+14.7)/14.7</f>
        <v>#REF!</v>
      </c>
      <c r="Y658" s="86" t="e">
        <f t="shared" si="190"/>
        <v>#REF!</v>
      </c>
      <c r="Z658" s="86" t="e">
        <f t="shared" si="191"/>
        <v>#REF!</v>
      </c>
      <c r="AA658" s="83">
        <f>MAX(B$2:B658)-B658</f>
        <v>12.870699999999943</v>
      </c>
      <c r="AB658" s="83">
        <f t="shared" si="192"/>
        <v>5.573013099999975</v>
      </c>
      <c r="AC658" s="83">
        <f t="shared" si="194"/>
        <v>120</v>
      </c>
      <c r="AD658" s="72">
        <v>120</v>
      </c>
      <c r="AE658" s="73">
        <f t="shared" si="201"/>
        <v>907.92027688745009</v>
      </c>
      <c r="AF658" s="73">
        <f>SUM(AE$2:AE658)</f>
        <v>545911.45934356796</v>
      </c>
      <c r="AG658" s="73">
        <f t="shared" si="202"/>
        <v>627818.44308354123</v>
      </c>
    </row>
    <row r="659" spans="1:33" x14ac:dyDescent="0.25">
      <c r="A659" s="99">
        <v>156199.92000000001</v>
      </c>
      <c r="B659" s="96">
        <v>815.86369999999999</v>
      </c>
      <c r="C659" s="96">
        <v>0.6</v>
      </c>
      <c r="D659" s="80">
        <f t="shared" si="187"/>
        <v>100</v>
      </c>
      <c r="E659" s="81">
        <f t="shared" si="195"/>
        <v>6791.2436711181272</v>
      </c>
      <c r="F659" s="81">
        <f>SUM(E$2:E659)</f>
        <v>4086816.445532097</v>
      </c>
      <c r="G659" s="43">
        <f t="shared" si="193"/>
        <v>1</v>
      </c>
      <c r="H659" s="78">
        <v>1</v>
      </c>
      <c r="I659" s="15">
        <f t="shared" si="196"/>
        <v>0.6</v>
      </c>
      <c r="J659" s="16">
        <f>VLOOKUP(G659,Inputs!$L$3:$P$15,5,FALSE)</f>
        <v>2000</v>
      </c>
      <c r="K659" s="16">
        <f t="shared" si="197"/>
        <v>1825</v>
      </c>
      <c r="L659" s="79">
        <f>Inputs!$P$8-B659</f>
        <v>122.32730000000004</v>
      </c>
      <c r="M659" s="79">
        <f>Inputs!$Q$8+L659*0.433</f>
        <v>1877.9677209000001</v>
      </c>
      <c r="N659" s="82">
        <f t="shared" si="198"/>
        <v>156199.92000000001</v>
      </c>
      <c r="O659" s="83">
        <f t="shared" si="199"/>
        <v>815.86369999999999</v>
      </c>
      <c r="P659" s="84">
        <f>IF(O659="","",Inputs!$C$5-O659)</f>
        <v>9.3207999999999629</v>
      </c>
      <c r="Q659" s="83">
        <f>IF(N659="","",TS!J659)</f>
        <v>2000</v>
      </c>
      <c r="R659" s="83">
        <f>IF(N659="","",TS!K659)</f>
        <v>1825</v>
      </c>
      <c r="S659" s="83">
        <f>Inputs!$H$5+TS!P659*0.4333</f>
        <v>1879.0044190899998</v>
      </c>
      <c r="T659" s="83">
        <f>Inputs!$G$5+TS!P659*0.4333</f>
        <v>1894.0044190899998</v>
      </c>
      <c r="U659" s="85">
        <f t="shared" si="200"/>
        <v>0.94700220954499992</v>
      </c>
      <c r="V659" s="86">
        <f t="shared" si="188"/>
        <v>0</v>
      </c>
      <c r="W659" s="86">
        <f t="shared" si="189"/>
        <v>0</v>
      </c>
      <c r="X659" s="86" t="e">
        <f>((PI()*((42-2*'Gen Calcs'!$E$13)^2)/4)/144)*(A702-#REF!)*(W659+14.7)/14.7</f>
        <v>#REF!</v>
      </c>
      <c r="Y659" s="86" t="e">
        <f t="shared" si="190"/>
        <v>#REF!</v>
      </c>
      <c r="Z659" s="86" t="e">
        <f t="shared" si="191"/>
        <v>#REF!</v>
      </c>
      <c r="AA659" s="83">
        <f>MAX(B$2:B659)-B659</f>
        <v>16.759699999999953</v>
      </c>
      <c r="AB659" s="83">
        <f t="shared" si="192"/>
        <v>7.2569500999999796</v>
      </c>
      <c r="AC659" s="83">
        <f t="shared" si="194"/>
        <v>120</v>
      </c>
      <c r="AD659" s="72">
        <v>120</v>
      </c>
      <c r="AE659" s="73">
        <f t="shared" si="201"/>
        <v>907.92027688745009</v>
      </c>
      <c r="AF659" s="73">
        <f>SUM(AE$2:AE659)</f>
        <v>546819.37962045544</v>
      </c>
      <c r="AG659" s="73">
        <f t="shared" si="202"/>
        <v>626910.52280665375</v>
      </c>
    </row>
    <row r="660" spans="1:33" x14ac:dyDescent="0.25">
      <c r="A660" s="100">
        <v>156299.92000000001</v>
      </c>
      <c r="B660" s="97">
        <v>821.0915</v>
      </c>
      <c r="C660" s="97">
        <v>0.6</v>
      </c>
      <c r="D660" s="80">
        <f t="shared" si="187"/>
        <v>100</v>
      </c>
      <c r="E660" s="81">
        <f t="shared" si="195"/>
        <v>6791.2436711181272</v>
      </c>
      <c r="F660" s="81">
        <f>SUM(E$2:E660)</f>
        <v>4093607.6892032153</v>
      </c>
      <c r="G660" s="43">
        <f t="shared" si="193"/>
        <v>1</v>
      </c>
      <c r="H660" s="78">
        <v>1</v>
      </c>
      <c r="I660" s="15">
        <f t="shared" si="196"/>
        <v>0.6</v>
      </c>
      <c r="J660" s="16">
        <f>VLOOKUP(G660,Inputs!$L$3:$P$15,5,FALSE)</f>
        <v>2000</v>
      </c>
      <c r="K660" s="16">
        <f t="shared" si="197"/>
        <v>1825</v>
      </c>
      <c r="L660" s="79">
        <f>Inputs!$P$8-B660</f>
        <v>117.09950000000003</v>
      </c>
      <c r="M660" s="79">
        <f>Inputs!$Q$8+L660*0.433</f>
        <v>1875.7040835</v>
      </c>
      <c r="N660" s="82">
        <f t="shared" si="198"/>
        <v>156299.92000000001</v>
      </c>
      <c r="O660" s="83">
        <f t="shared" si="199"/>
        <v>821.0915</v>
      </c>
      <c r="P660" s="84">
        <f>IF(O660="","",Inputs!$C$5-O660)</f>
        <v>4.0929999999999609</v>
      </c>
      <c r="Q660" s="83">
        <f>IF(N660="","",TS!J660)</f>
        <v>2000</v>
      </c>
      <c r="R660" s="83">
        <f>IF(N660="","",TS!K660)</f>
        <v>1825</v>
      </c>
      <c r="S660" s="83">
        <f>Inputs!$H$5+TS!P660*0.4333</f>
        <v>1876.73921335</v>
      </c>
      <c r="T660" s="83">
        <f>Inputs!$G$5+TS!P660*0.4333</f>
        <v>1891.73921335</v>
      </c>
      <c r="U660" s="85">
        <f t="shared" si="200"/>
        <v>0.94586960667499997</v>
      </c>
      <c r="V660" s="86">
        <f t="shared" si="188"/>
        <v>0</v>
      </c>
      <c r="W660" s="86">
        <f t="shared" si="189"/>
        <v>0</v>
      </c>
      <c r="X660" s="86" t="e">
        <f>((PI()*((42-2*'Gen Calcs'!$E$13)^2)/4)/144)*(A703-#REF!)*(W660+14.7)/14.7</f>
        <v>#REF!</v>
      </c>
      <c r="Y660" s="86" t="e">
        <f t="shared" si="190"/>
        <v>#REF!</v>
      </c>
      <c r="Z660" s="86" t="e">
        <f t="shared" si="191"/>
        <v>#REF!</v>
      </c>
      <c r="AA660" s="83">
        <f>MAX(B$2:B660)-B660</f>
        <v>11.531899999999951</v>
      </c>
      <c r="AB660" s="83">
        <f t="shared" si="192"/>
        <v>4.9933126999999784</v>
      </c>
      <c r="AC660" s="83">
        <f t="shared" si="194"/>
        <v>120</v>
      </c>
      <c r="AD660" s="72">
        <v>120</v>
      </c>
      <c r="AE660" s="73">
        <f t="shared" si="201"/>
        <v>907.92027688745009</v>
      </c>
      <c r="AF660" s="73">
        <f>SUM(AE$2:AE660)</f>
        <v>547727.29989734292</v>
      </c>
      <c r="AG660" s="73">
        <f t="shared" si="202"/>
        <v>626002.60252976627</v>
      </c>
    </row>
    <row r="661" spans="1:33" x14ac:dyDescent="0.25">
      <c r="A661" s="99">
        <v>156399.92000000001</v>
      </c>
      <c r="B661" s="96">
        <v>827.04549999999995</v>
      </c>
      <c r="C661" s="96">
        <v>0.6</v>
      </c>
      <c r="D661" s="80">
        <f t="shared" si="187"/>
        <v>100</v>
      </c>
      <c r="E661" s="81">
        <f t="shared" si="195"/>
        <v>6791.2436711181272</v>
      </c>
      <c r="F661" s="81">
        <f>SUM(E$2:E661)</f>
        <v>4100398.9328743336</v>
      </c>
      <c r="G661" s="43">
        <f t="shared" si="193"/>
        <v>1</v>
      </c>
      <c r="H661" s="78">
        <v>1</v>
      </c>
      <c r="I661" s="15">
        <f t="shared" si="196"/>
        <v>0.6</v>
      </c>
      <c r="J661" s="16">
        <f>VLOOKUP(G661,Inputs!$L$3:$P$15,5,FALSE)</f>
        <v>2000</v>
      </c>
      <c r="K661" s="16">
        <f t="shared" si="197"/>
        <v>1825</v>
      </c>
      <c r="L661" s="79">
        <f>Inputs!$P$8-B661</f>
        <v>111.14550000000008</v>
      </c>
      <c r="M661" s="79">
        <f>Inputs!$Q$8+L661*0.433</f>
        <v>1873.1260015</v>
      </c>
      <c r="N661" s="82">
        <f t="shared" si="198"/>
        <v>156399.92000000001</v>
      </c>
      <c r="O661" s="83">
        <f t="shared" si="199"/>
        <v>827.04549999999995</v>
      </c>
      <c r="P661" s="84">
        <f>IF(O661="","",Inputs!$C$5-O661)</f>
        <v>-1.86099999999999</v>
      </c>
      <c r="Q661" s="83">
        <f>IF(N661="","",TS!J661)</f>
        <v>2000</v>
      </c>
      <c r="R661" s="83">
        <f>IF(N661="","",TS!K661)</f>
        <v>1825</v>
      </c>
      <c r="S661" s="83">
        <f>Inputs!$H$5+TS!P661*0.4333</f>
        <v>1874.15934515</v>
      </c>
      <c r="T661" s="83">
        <f>Inputs!$G$5+TS!P661*0.4333</f>
        <v>1889.15934515</v>
      </c>
      <c r="U661" s="85">
        <f t="shared" si="200"/>
        <v>0.94457967257499997</v>
      </c>
      <c r="V661" s="86">
        <f t="shared" si="188"/>
        <v>0</v>
      </c>
      <c r="W661" s="86">
        <f t="shared" si="189"/>
        <v>0</v>
      </c>
      <c r="X661" s="86" t="e">
        <f>((PI()*((42-2*'Gen Calcs'!$E$13)^2)/4)/144)*(A704-#REF!)*(W661+14.7)/14.7</f>
        <v>#REF!</v>
      </c>
      <c r="Y661" s="86" t="e">
        <f t="shared" si="190"/>
        <v>#REF!</v>
      </c>
      <c r="Z661" s="86" t="e">
        <f t="shared" si="191"/>
        <v>#REF!</v>
      </c>
      <c r="AA661" s="83">
        <f>MAX(B$2:B661)-B661</f>
        <v>5.5778999999999996</v>
      </c>
      <c r="AB661" s="83">
        <f t="shared" si="192"/>
        <v>2.4152307</v>
      </c>
      <c r="AC661" s="83">
        <f t="shared" si="194"/>
        <v>120</v>
      </c>
      <c r="AD661" s="72">
        <v>120</v>
      </c>
      <c r="AE661" s="73">
        <f t="shared" si="201"/>
        <v>907.92027688745009</v>
      </c>
      <c r="AF661" s="73">
        <f>SUM(AE$2:AE661)</f>
        <v>548635.2201742304</v>
      </c>
      <c r="AG661" s="73">
        <f t="shared" si="202"/>
        <v>625094.68225287879</v>
      </c>
    </row>
    <row r="662" spans="1:33" x14ac:dyDescent="0.25">
      <c r="A662" s="100">
        <v>156499.92000000001</v>
      </c>
      <c r="B662" s="97">
        <v>831.65449999999998</v>
      </c>
      <c r="C662" s="97">
        <v>0.6</v>
      </c>
      <c r="D662" s="80">
        <f t="shared" si="187"/>
        <v>100</v>
      </c>
      <c r="E662" s="81">
        <f t="shared" si="195"/>
        <v>6791.2436711181272</v>
      </c>
      <c r="F662" s="81">
        <f>SUM(E$2:E662)</f>
        <v>4107190.1765454519</v>
      </c>
      <c r="G662" s="43">
        <f t="shared" si="193"/>
        <v>1</v>
      </c>
      <c r="H662" s="78">
        <v>1</v>
      </c>
      <c r="I662" s="15">
        <f t="shared" si="196"/>
        <v>0.6</v>
      </c>
      <c r="J662" s="16">
        <f>VLOOKUP(G662,Inputs!$L$3:$P$15,5,FALSE)</f>
        <v>2000</v>
      </c>
      <c r="K662" s="16">
        <f t="shared" si="197"/>
        <v>1825</v>
      </c>
      <c r="L662" s="79">
        <f>Inputs!$P$8-B662</f>
        <v>106.53650000000005</v>
      </c>
      <c r="M662" s="79">
        <f>Inputs!$Q$8+L662*0.433</f>
        <v>1871.1303045</v>
      </c>
      <c r="N662" s="82">
        <f t="shared" si="198"/>
        <v>156499.92000000001</v>
      </c>
      <c r="O662" s="83">
        <f t="shared" si="199"/>
        <v>831.65449999999998</v>
      </c>
      <c r="P662" s="84">
        <f>IF(O662="","",Inputs!$C$5-O662)</f>
        <v>-6.4700000000000273</v>
      </c>
      <c r="Q662" s="83">
        <f>IF(N662="","",TS!J662)</f>
        <v>2000</v>
      </c>
      <c r="R662" s="83">
        <f>IF(N662="","",TS!K662)</f>
        <v>1825</v>
      </c>
      <c r="S662" s="83">
        <f>Inputs!$H$5+TS!P662*0.4333</f>
        <v>1872.1622654499999</v>
      </c>
      <c r="T662" s="83">
        <f>Inputs!$G$5+TS!P662*0.4333</f>
        <v>1887.1622654499999</v>
      </c>
      <c r="U662" s="85">
        <f t="shared" si="200"/>
        <v>0.94358113272499999</v>
      </c>
      <c r="V662" s="86">
        <f t="shared" si="188"/>
        <v>0</v>
      </c>
      <c r="W662" s="86">
        <f t="shared" si="189"/>
        <v>0</v>
      </c>
      <c r="X662" s="86" t="e">
        <f>((PI()*((42-2*'Gen Calcs'!$E$13)^2)/4)/144)*(A705-#REF!)*(W662+14.7)/14.7</f>
        <v>#REF!</v>
      </c>
      <c r="Y662" s="86" t="e">
        <f t="shared" si="190"/>
        <v>#REF!</v>
      </c>
      <c r="Z662" s="86" t="e">
        <f t="shared" si="191"/>
        <v>#REF!</v>
      </c>
      <c r="AA662" s="83">
        <f>MAX(B$2:B662)-B662</f>
        <v>0.96889999999996235</v>
      </c>
      <c r="AB662" s="83">
        <f t="shared" si="192"/>
        <v>0.41953369999998369</v>
      </c>
      <c r="AC662" s="83">
        <f t="shared" si="194"/>
        <v>120</v>
      </c>
      <c r="AD662" s="72">
        <v>120</v>
      </c>
      <c r="AE662" s="73">
        <f t="shared" si="201"/>
        <v>907.92027688745009</v>
      </c>
      <c r="AF662" s="73">
        <f>SUM(AE$2:AE662)</f>
        <v>549543.14045111788</v>
      </c>
      <c r="AG662" s="73">
        <f t="shared" si="202"/>
        <v>624186.76197599131</v>
      </c>
    </row>
    <row r="663" spans="1:33" x14ac:dyDescent="0.25">
      <c r="A663" s="99">
        <v>156599.92000000001</v>
      </c>
      <c r="B663" s="96">
        <v>834.62469999999996</v>
      </c>
      <c r="C663" s="96">
        <v>0.6</v>
      </c>
      <c r="D663" s="80">
        <f t="shared" si="187"/>
        <v>100</v>
      </c>
      <c r="E663" s="81">
        <f t="shared" si="195"/>
        <v>6791.2436711181272</v>
      </c>
      <c r="F663" s="81">
        <f>SUM(E$2:E663)</f>
        <v>4113981.4202165701</v>
      </c>
      <c r="G663" s="43">
        <f t="shared" si="193"/>
        <v>1</v>
      </c>
      <c r="H663" s="78">
        <v>1</v>
      </c>
      <c r="I663" s="15">
        <f t="shared" si="196"/>
        <v>0.6</v>
      </c>
      <c r="J663" s="16">
        <f>VLOOKUP(G663,Inputs!$L$3:$P$15,5,FALSE)</f>
        <v>2000</v>
      </c>
      <c r="K663" s="16">
        <f t="shared" si="197"/>
        <v>1825</v>
      </c>
      <c r="L663" s="79">
        <f>Inputs!$P$8-B663</f>
        <v>103.56630000000007</v>
      </c>
      <c r="M663" s="79">
        <f>Inputs!$Q$8+L663*0.433</f>
        <v>1869.8442079000001</v>
      </c>
      <c r="N663" s="82">
        <f t="shared" si="198"/>
        <v>156599.92000000001</v>
      </c>
      <c r="O663" s="83">
        <f t="shared" si="199"/>
        <v>834.62469999999996</v>
      </c>
      <c r="P663" s="84">
        <f>IF(O663="","",Inputs!$C$5-O663)</f>
        <v>-9.4402000000000044</v>
      </c>
      <c r="Q663" s="83">
        <f>IF(N663="","",TS!J663)</f>
        <v>2000</v>
      </c>
      <c r="R663" s="83">
        <f>IF(N663="","",TS!K663)</f>
        <v>1825</v>
      </c>
      <c r="S663" s="83">
        <f>Inputs!$H$5+TS!P663*0.4333</f>
        <v>1870.8752777899999</v>
      </c>
      <c r="T663" s="83">
        <f>Inputs!$G$5+TS!P663*0.4333</f>
        <v>1885.8752777899999</v>
      </c>
      <c r="U663" s="85">
        <f t="shared" si="200"/>
        <v>0.94293763889499993</v>
      </c>
      <c r="V663" s="86">
        <f t="shared" si="188"/>
        <v>0</v>
      </c>
      <c r="W663" s="86">
        <f t="shared" si="189"/>
        <v>0</v>
      </c>
      <c r="X663" s="86" t="e">
        <f>((PI()*((42-2*'Gen Calcs'!$E$13)^2)/4)/144)*(A706-#REF!)*(W663+14.7)/14.7</f>
        <v>#REF!</v>
      </c>
      <c r="Y663" s="86" t="e">
        <f t="shared" si="190"/>
        <v>#REF!</v>
      </c>
      <c r="Z663" s="86" t="e">
        <f t="shared" si="191"/>
        <v>#REF!</v>
      </c>
      <c r="AA663" s="83">
        <f>MAX(B$2:B663)-B663</f>
        <v>0</v>
      </c>
      <c r="AB663" s="83">
        <f t="shared" si="192"/>
        <v>0</v>
      </c>
      <c r="AC663" s="83">
        <f t="shared" si="194"/>
        <v>120</v>
      </c>
      <c r="AD663" s="72">
        <v>120</v>
      </c>
      <c r="AE663" s="73">
        <f t="shared" si="201"/>
        <v>907.92027688745009</v>
      </c>
      <c r="AF663" s="73">
        <f>SUM(AE$2:AE663)</f>
        <v>550451.06072800537</v>
      </c>
      <c r="AG663" s="73">
        <f t="shared" si="202"/>
        <v>623278.84169910382</v>
      </c>
    </row>
    <row r="664" spans="1:33" x14ac:dyDescent="0.25">
      <c r="A664" s="100">
        <v>156699.92000000001</v>
      </c>
      <c r="B664" s="97">
        <v>839.80799999999999</v>
      </c>
      <c r="C664" s="97">
        <v>0.6</v>
      </c>
      <c r="D664" s="80">
        <f t="shared" si="187"/>
        <v>100</v>
      </c>
      <c r="E664" s="81">
        <f t="shared" si="195"/>
        <v>6791.2436711181272</v>
      </c>
      <c r="F664" s="81">
        <f>SUM(E$2:E664)</f>
        <v>4120772.6638876884</v>
      </c>
      <c r="G664" s="43">
        <f t="shared" si="193"/>
        <v>1</v>
      </c>
      <c r="H664" s="78">
        <v>1</v>
      </c>
      <c r="I664" s="15">
        <f t="shared" si="196"/>
        <v>0.6</v>
      </c>
      <c r="J664" s="16">
        <f>VLOOKUP(G664,Inputs!$L$3:$P$15,5,FALSE)</f>
        <v>2000</v>
      </c>
      <c r="K664" s="16">
        <f t="shared" si="197"/>
        <v>1825</v>
      </c>
      <c r="L664" s="79">
        <f>Inputs!$P$8-B664</f>
        <v>98.383000000000038</v>
      </c>
      <c r="M664" s="79">
        <f>Inputs!$Q$8+L664*0.433</f>
        <v>1867.599839</v>
      </c>
      <c r="N664" s="82">
        <f t="shared" si="198"/>
        <v>156699.92000000001</v>
      </c>
      <c r="O664" s="83">
        <f t="shared" si="199"/>
        <v>839.80799999999999</v>
      </c>
      <c r="P664" s="84">
        <f>IF(O664="","",Inputs!$C$5-O664)</f>
        <v>-14.623500000000035</v>
      </c>
      <c r="Q664" s="83">
        <f>IF(N664="","",TS!J664)</f>
        <v>2000</v>
      </c>
      <c r="R664" s="83">
        <f>IF(N664="","",TS!K664)</f>
        <v>1825</v>
      </c>
      <c r="S664" s="83">
        <f>Inputs!$H$5+TS!P664*0.4333</f>
        <v>1868.6293538999998</v>
      </c>
      <c r="T664" s="83">
        <f>Inputs!$G$5+TS!P664*0.4333</f>
        <v>1883.6293538999998</v>
      </c>
      <c r="U664" s="85">
        <f t="shared" si="200"/>
        <v>0.94181467694999987</v>
      </c>
      <c r="V664" s="86">
        <f t="shared" si="188"/>
        <v>0</v>
      </c>
      <c r="W664" s="86">
        <f t="shared" si="189"/>
        <v>0</v>
      </c>
      <c r="X664" s="86" t="e">
        <f>((PI()*((42-2*'Gen Calcs'!$E$13)^2)/4)/144)*(A707-#REF!)*(W664+14.7)/14.7</f>
        <v>#REF!</v>
      </c>
      <c r="Y664" s="86" t="e">
        <f t="shared" si="190"/>
        <v>#REF!</v>
      </c>
      <c r="Z664" s="86" t="e">
        <f t="shared" si="191"/>
        <v>#REF!</v>
      </c>
      <c r="AA664" s="83">
        <f>MAX(B$2:B664)-B664</f>
        <v>0</v>
      </c>
      <c r="AB664" s="83">
        <f t="shared" si="192"/>
        <v>0</v>
      </c>
      <c r="AC664" s="83">
        <f t="shared" si="194"/>
        <v>120</v>
      </c>
      <c r="AD664" s="72">
        <v>120</v>
      </c>
      <c r="AE664" s="73">
        <f t="shared" si="201"/>
        <v>907.92027688745009</v>
      </c>
      <c r="AF664" s="73">
        <f>SUM(AE$2:AE664)</f>
        <v>551358.98100489285</v>
      </c>
      <c r="AG664" s="73">
        <f t="shared" si="202"/>
        <v>622370.92142221634</v>
      </c>
    </row>
    <row r="665" spans="1:33" x14ac:dyDescent="0.25">
      <c r="A665" s="99">
        <v>156799.92000000001</v>
      </c>
      <c r="B665" s="96">
        <v>851.4239</v>
      </c>
      <c r="C665" s="96">
        <v>0.6</v>
      </c>
      <c r="D665" s="80">
        <f t="shared" si="187"/>
        <v>100</v>
      </c>
      <c r="E665" s="81">
        <f t="shared" si="195"/>
        <v>6791.2436711181272</v>
      </c>
      <c r="F665" s="81">
        <f>SUM(E$2:E665)</f>
        <v>4127563.9075588067</v>
      </c>
      <c r="G665" s="43">
        <f t="shared" si="193"/>
        <v>1</v>
      </c>
      <c r="H665" s="78">
        <v>1</v>
      </c>
      <c r="I665" s="15">
        <f t="shared" si="196"/>
        <v>0.6</v>
      </c>
      <c r="J665" s="16">
        <f>VLOOKUP(G665,Inputs!$L$3:$P$15,5,FALSE)</f>
        <v>2000</v>
      </c>
      <c r="K665" s="16">
        <f t="shared" si="197"/>
        <v>1825</v>
      </c>
      <c r="L665" s="79">
        <f>Inputs!$P$8-B665</f>
        <v>86.767100000000028</v>
      </c>
      <c r="M665" s="79">
        <f>Inputs!$Q$8+L665*0.433</f>
        <v>1862.5701543</v>
      </c>
      <c r="N665" s="82">
        <f t="shared" si="198"/>
        <v>156799.92000000001</v>
      </c>
      <c r="O665" s="83">
        <f t="shared" si="199"/>
        <v>851.4239</v>
      </c>
      <c r="P665" s="84">
        <f>IF(O665="","",Inputs!$C$5-O665)</f>
        <v>-26.239400000000046</v>
      </c>
      <c r="Q665" s="83">
        <f>IF(N665="","",TS!J665)</f>
        <v>2000</v>
      </c>
      <c r="R665" s="83">
        <f>IF(N665="","",TS!K665)</f>
        <v>1825</v>
      </c>
      <c r="S665" s="83">
        <f>Inputs!$H$5+TS!P665*0.4333</f>
        <v>1863.59618443</v>
      </c>
      <c r="T665" s="83">
        <f>Inputs!$G$5+TS!P665*0.4333</f>
        <v>1878.59618443</v>
      </c>
      <c r="U665" s="85">
        <f t="shared" si="200"/>
        <v>0.93929809221500005</v>
      </c>
      <c r="V665" s="86">
        <f t="shared" si="188"/>
        <v>0</v>
      </c>
      <c r="W665" s="86">
        <f t="shared" si="189"/>
        <v>0</v>
      </c>
      <c r="X665" s="86" t="e">
        <f>((PI()*((42-2*'Gen Calcs'!$E$13)^2)/4)/144)*(A708-#REF!)*(W665+14.7)/14.7</f>
        <v>#REF!</v>
      </c>
      <c r="Y665" s="86" t="e">
        <f t="shared" si="190"/>
        <v>#REF!</v>
      </c>
      <c r="Z665" s="86" t="e">
        <f t="shared" si="191"/>
        <v>#REF!</v>
      </c>
      <c r="AA665" s="83">
        <f>MAX(B$2:B665)-B665</f>
        <v>0</v>
      </c>
      <c r="AB665" s="83">
        <f t="shared" si="192"/>
        <v>0</v>
      </c>
      <c r="AC665" s="83">
        <f t="shared" si="194"/>
        <v>120</v>
      </c>
      <c r="AD665" s="72">
        <v>120</v>
      </c>
      <c r="AE665" s="73">
        <f t="shared" si="201"/>
        <v>907.92027688745009</v>
      </c>
      <c r="AF665" s="73">
        <f>SUM(AE$2:AE665)</f>
        <v>552266.90128178033</v>
      </c>
      <c r="AG665" s="73">
        <f t="shared" si="202"/>
        <v>621463.00114532886</v>
      </c>
    </row>
    <row r="666" spans="1:33" x14ac:dyDescent="0.25">
      <c r="A666" s="100">
        <v>156899.92000000001</v>
      </c>
      <c r="B666" s="97">
        <v>862.62639999999999</v>
      </c>
      <c r="C666" s="97">
        <v>0.6</v>
      </c>
      <c r="D666" s="80">
        <f t="shared" si="187"/>
        <v>100</v>
      </c>
      <c r="E666" s="81">
        <f t="shared" si="195"/>
        <v>6791.2436711181272</v>
      </c>
      <c r="F666" s="81">
        <f>SUM(E$2:E666)</f>
        <v>4134355.151229925</v>
      </c>
      <c r="G666" s="43">
        <f t="shared" si="193"/>
        <v>1</v>
      </c>
      <c r="H666" s="78">
        <v>1</v>
      </c>
      <c r="I666" s="15">
        <f t="shared" si="196"/>
        <v>0.6</v>
      </c>
      <c r="J666" s="16">
        <f>VLOOKUP(G666,Inputs!$L$3:$P$15,5,FALSE)</f>
        <v>2000</v>
      </c>
      <c r="K666" s="16">
        <f t="shared" si="197"/>
        <v>1825</v>
      </c>
      <c r="L666" s="79">
        <f>Inputs!$P$8-B666</f>
        <v>75.564600000000041</v>
      </c>
      <c r="M666" s="79">
        <f>Inputs!$Q$8+L666*0.433</f>
        <v>1857.7194718000001</v>
      </c>
      <c r="N666" s="82">
        <f t="shared" si="198"/>
        <v>156899.92000000001</v>
      </c>
      <c r="O666" s="83">
        <f t="shared" si="199"/>
        <v>862.62639999999999</v>
      </c>
      <c r="P666" s="84">
        <f>IF(O666="","",Inputs!$C$5-O666)</f>
        <v>-37.441900000000032</v>
      </c>
      <c r="Q666" s="83">
        <f>IF(N666="","",TS!J666)</f>
        <v>2000</v>
      </c>
      <c r="R666" s="83">
        <f>IF(N666="","",TS!K666)</f>
        <v>1825</v>
      </c>
      <c r="S666" s="83">
        <f>Inputs!$H$5+TS!P666*0.4333</f>
        <v>1858.7421411799999</v>
      </c>
      <c r="T666" s="83">
        <f>Inputs!$G$5+TS!P666*0.4333</f>
        <v>1873.7421411799999</v>
      </c>
      <c r="U666" s="85">
        <f t="shared" si="200"/>
        <v>0.93687107058999997</v>
      </c>
      <c r="V666" s="86">
        <f t="shared" si="188"/>
        <v>0</v>
      </c>
      <c r="W666" s="86">
        <f t="shared" si="189"/>
        <v>0</v>
      </c>
      <c r="X666" s="86" t="e">
        <f>((PI()*((42-2*'Gen Calcs'!$E$13)^2)/4)/144)*(A709-#REF!)*(W666+14.7)/14.7</f>
        <v>#REF!</v>
      </c>
      <c r="Y666" s="86" t="e">
        <f t="shared" si="190"/>
        <v>#REF!</v>
      </c>
      <c r="Z666" s="86" t="e">
        <f t="shared" si="191"/>
        <v>#REF!</v>
      </c>
      <c r="AA666" s="83">
        <f>MAX(B$2:B666)-B666</f>
        <v>0</v>
      </c>
      <c r="AB666" s="83">
        <f t="shared" si="192"/>
        <v>0</v>
      </c>
      <c r="AC666" s="83">
        <f t="shared" si="194"/>
        <v>120</v>
      </c>
      <c r="AD666" s="72">
        <v>120</v>
      </c>
      <c r="AE666" s="73">
        <f t="shared" si="201"/>
        <v>907.92027688745009</v>
      </c>
      <c r="AF666" s="73">
        <f>SUM(AE$2:AE666)</f>
        <v>553174.82155866781</v>
      </c>
      <c r="AG666" s="73">
        <f t="shared" si="202"/>
        <v>620555.08086844138</v>
      </c>
    </row>
    <row r="667" spans="1:33" x14ac:dyDescent="0.25">
      <c r="A667" s="99">
        <v>156999.92000000001</v>
      </c>
      <c r="B667" s="96">
        <v>875.53279999999995</v>
      </c>
      <c r="C667" s="96">
        <v>0.6</v>
      </c>
      <c r="D667" s="80">
        <f t="shared" si="187"/>
        <v>100</v>
      </c>
      <c r="E667" s="81">
        <f t="shared" si="195"/>
        <v>6791.2436711181272</v>
      </c>
      <c r="F667" s="81">
        <f>SUM(E$2:E667)</f>
        <v>4141146.3949010433</v>
      </c>
      <c r="G667" s="43">
        <f t="shared" si="193"/>
        <v>1</v>
      </c>
      <c r="H667" s="78">
        <v>1</v>
      </c>
      <c r="I667" s="15">
        <f t="shared" si="196"/>
        <v>0.6</v>
      </c>
      <c r="J667" s="16">
        <f>VLOOKUP(G667,Inputs!$L$3:$P$15,5,FALSE)</f>
        <v>2000</v>
      </c>
      <c r="K667" s="16">
        <f t="shared" si="197"/>
        <v>1825</v>
      </c>
      <c r="L667" s="79">
        <f>Inputs!$P$8-B667</f>
        <v>62.658200000000079</v>
      </c>
      <c r="M667" s="79">
        <f>Inputs!$Q$8+L667*0.433</f>
        <v>1852.1310006000001</v>
      </c>
      <c r="N667" s="82">
        <f t="shared" si="198"/>
        <v>156999.92000000001</v>
      </c>
      <c r="O667" s="83">
        <f t="shared" si="199"/>
        <v>875.53279999999995</v>
      </c>
      <c r="P667" s="84">
        <f>IF(O667="","",Inputs!$C$5-O667)</f>
        <v>-50.348299999999995</v>
      </c>
      <c r="Q667" s="83">
        <f>IF(N667="","",TS!J667)</f>
        <v>2000</v>
      </c>
      <c r="R667" s="83">
        <f>IF(N667="","",TS!K667)</f>
        <v>1825</v>
      </c>
      <c r="S667" s="83">
        <f>Inputs!$H$5+TS!P667*0.4333</f>
        <v>1853.14979806</v>
      </c>
      <c r="T667" s="83">
        <f>Inputs!$G$5+TS!P667*0.4333</f>
        <v>1868.14979806</v>
      </c>
      <c r="U667" s="85">
        <f t="shared" si="200"/>
        <v>0.93407489902999996</v>
      </c>
      <c r="V667" s="86">
        <f t="shared" si="188"/>
        <v>0</v>
      </c>
      <c r="W667" s="86">
        <f t="shared" si="189"/>
        <v>0</v>
      </c>
      <c r="X667" s="86" t="e">
        <f>((PI()*((42-2*'Gen Calcs'!$E$13)^2)/4)/144)*(A710-#REF!)*(W667+14.7)/14.7</f>
        <v>#REF!</v>
      </c>
      <c r="Y667" s="86" t="e">
        <f t="shared" si="190"/>
        <v>#REF!</v>
      </c>
      <c r="Z667" s="86" t="e">
        <f t="shared" si="191"/>
        <v>#REF!</v>
      </c>
      <c r="AA667" s="83">
        <f>MAX(B$2:B667)-B667</f>
        <v>0</v>
      </c>
      <c r="AB667" s="83">
        <f t="shared" si="192"/>
        <v>0</v>
      </c>
      <c r="AC667" s="83">
        <f t="shared" si="194"/>
        <v>120</v>
      </c>
      <c r="AD667" s="72">
        <v>120</v>
      </c>
      <c r="AE667" s="73">
        <f t="shared" si="201"/>
        <v>907.92027688745009</v>
      </c>
      <c r="AF667" s="73">
        <f>SUM(AE$2:AE667)</f>
        <v>554082.74183555529</v>
      </c>
      <c r="AG667" s="73">
        <f t="shared" si="202"/>
        <v>619647.1605915539</v>
      </c>
    </row>
    <row r="668" spans="1:33" x14ac:dyDescent="0.25">
      <c r="A668" s="100">
        <v>157099.92000000001</v>
      </c>
      <c r="B668" s="97">
        <v>888.32079999999996</v>
      </c>
      <c r="C668" s="97">
        <v>0.6</v>
      </c>
      <c r="D668" s="80">
        <f t="shared" si="187"/>
        <v>100</v>
      </c>
      <c r="E668" s="81">
        <f t="shared" si="195"/>
        <v>6791.2436711181272</v>
      </c>
      <c r="F668" s="81">
        <f>SUM(E$2:E668)</f>
        <v>4147937.6385721616</v>
      </c>
      <c r="G668" s="43">
        <f t="shared" si="193"/>
        <v>1</v>
      </c>
      <c r="H668" s="78">
        <v>1</v>
      </c>
      <c r="I668" s="15">
        <f t="shared" si="196"/>
        <v>0.6</v>
      </c>
      <c r="J668" s="16">
        <f>VLOOKUP(G668,Inputs!$L$3:$P$15,5,FALSE)</f>
        <v>2000</v>
      </c>
      <c r="K668" s="16">
        <f t="shared" si="197"/>
        <v>1825</v>
      </c>
      <c r="L668" s="79">
        <f>Inputs!$P$8-B668</f>
        <v>49.870200000000068</v>
      </c>
      <c r="M668" s="79">
        <f>Inputs!$Q$8+L668*0.433</f>
        <v>1846.5937966000001</v>
      </c>
      <c r="N668" s="82">
        <f t="shared" si="198"/>
        <v>157099.92000000001</v>
      </c>
      <c r="O668" s="83">
        <f t="shared" si="199"/>
        <v>888.32079999999996</v>
      </c>
      <c r="P668" s="84">
        <f>IF(O668="","",Inputs!$C$5-O668)</f>
        <v>-63.136300000000006</v>
      </c>
      <c r="Q668" s="83">
        <f>IF(N668="","",TS!J668)</f>
        <v>2000</v>
      </c>
      <c r="R668" s="83">
        <f>IF(N668="","",TS!K668)</f>
        <v>1825</v>
      </c>
      <c r="S668" s="83">
        <f>Inputs!$H$5+TS!P668*0.4333</f>
        <v>1847.60875766</v>
      </c>
      <c r="T668" s="83">
        <f>Inputs!$G$5+TS!P668*0.4333</f>
        <v>1862.60875766</v>
      </c>
      <c r="U668" s="85">
        <f t="shared" si="200"/>
        <v>0.93130437883000006</v>
      </c>
      <c r="V668" s="86">
        <f t="shared" si="188"/>
        <v>0</v>
      </c>
      <c r="W668" s="86">
        <f t="shared" si="189"/>
        <v>0</v>
      </c>
      <c r="X668" s="86" t="e">
        <f>((PI()*((42-2*'Gen Calcs'!$E$13)^2)/4)/144)*(A711-#REF!)*(W668+14.7)/14.7</f>
        <v>#REF!</v>
      </c>
      <c r="Y668" s="86" t="e">
        <f t="shared" si="190"/>
        <v>#REF!</v>
      </c>
      <c r="Z668" s="86" t="e">
        <f t="shared" si="191"/>
        <v>#REF!</v>
      </c>
      <c r="AA668" s="83">
        <f>MAX(B$2:B668)-B668</f>
        <v>0</v>
      </c>
      <c r="AB668" s="83">
        <f t="shared" si="192"/>
        <v>0</v>
      </c>
      <c r="AC668" s="83">
        <f t="shared" si="194"/>
        <v>120</v>
      </c>
      <c r="AD668" s="72">
        <v>120</v>
      </c>
      <c r="AE668" s="73">
        <f t="shared" si="201"/>
        <v>907.92027688745009</v>
      </c>
      <c r="AF668" s="73">
        <f>SUM(AE$2:AE668)</f>
        <v>554990.66211244278</v>
      </c>
      <c r="AG668" s="73">
        <f t="shared" si="202"/>
        <v>618739.24031466641</v>
      </c>
    </row>
    <row r="669" spans="1:33" x14ac:dyDescent="0.25">
      <c r="A669" s="99">
        <v>157199.92000000001</v>
      </c>
      <c r="B669" s="96">
        <v>895.10479999999995</v>
      </c>
      <c r="C669" s="96">
        <v>0.6</v>
      </c>
      <c r="D669" s="80">
        <f t="shared" si="187"/>
        <v>100</v>
      </c>
      <c r="E669" s="81">
        <f t="shared" si="195"/>
        <v>6791.2436711181272</v>
      </c>
      <c r="F669" s="81">
        <f>SUM(E$2:E669)</f>
        <v>4154728.8822432798</v>
      </c>
      <c r="G669" s="43">
        <f t="shared" si="193"/>
        <v>1</v>
      </c>
      <c r="H669" s="78">
        <v>1</v>
      </c>
      <c r="I669" s="15">
        <f t="shared" si="196"/>
        <v>0.6</v>
      </c>
      <c r="J669" s="16">
        <f>VLOOKUP(G669,Inputs!$L$3:$P$15,5,FALSE)</f>
        <v>2000</v>
      </c>
      <c r="K669" s="16">
        <f t="shared" si="197"/>
        <v>1825</v>
      </c>
      <c r="L669" s="79">
        <f>Inputs!$P$8-B669</f>
        <v>43.086200000000076</v>
      </c>
      <c r="M669" s="79">
        <f>Inputs!$Q$8+L669*0.433</f>
        <v>1843.6563246000001</v>
      </c>
      <c r="N669" s="82">
        <f t="shared" si="198"/>
        <v>157199.92000000001</v>
      </c>
      <c r="O669" s="83">
        <f t="shared" si="199"/>
        <v>895.10479999999995</v>
      </c>
      <c r="P669" s="84">
        <f>IF(O669="","",Inputs!$C$5-O669)</f>
        <v>-69.920299999999997</v>
      </c>
      <c r="Q669" s="83">
        <f>IF(N669="","",TS!J669)</f>
        <v>2000</v>
      </c>
      <c r="R669" s="83">
        <f>IF(N669="","",TS!K669)</f>
        <v>1825</v>
      </c>
      <c r="S669" s="83">
        <f>Inputs!$H$5+TS!P669*0.4333</f>
        <v>1844.6692504600001</v>
      </c>
      <c r="T669" s="83">
        <f>Inputs!$G$5+TS!P669*0.4333</f>
        <v>1859.6692504600001</v>
      </c>
      <c r="U669" s="85">
        <f t="shared" si="200"/>
        <v>0.92983462523000004</v>
      </c>
      <c r="V669" s="86">
        <f t="shared" si="188"/>
        <v>0</v>
      </c>
      <c r="W669" s="86">
        <f t="shared" si="189"/>
        <v>0</v>
      </c>
      <c r="X669" s="86" t="e">
        <f>((PI()*((42-2*'Gen Calcs'!$E$13)^2)/4)/144)*(A712-#REF!)*(W669+14.7)/14.7</f>
        <v>#REF!</v>
      </c>
      <c r="Y669" s="86" t="e">
        <f t="shared" si="190"/>
        <v>#REF!</v>
      </c>
      <c r="Z669" s="86" t="e">
        <f t="shared" si="191"/>
        <v>#REF!</v>
      </c>
      <c r="AA669" s="83">
        <f>MAX(B$2:B669)-B669</f>
        <v>0</v>
      </c>
      <c r="AB669" s="83">
        <f t="shared" si="192"/>
        <v>0</v>
      </c>
      <c r="AC669" s="83">
        <f t="shared" si="194"/>
        <v>120</v>
      </c>
      <c r="AD669" s="72">
        <v>120</v>
      </c>
      <c r="AE669" s="73">
        <f t="shared" si="201"/>
        <v>907.92027688745009</v>
      </c>
      <c r="AF669" s="73">
        <f>SUM(AE$2:AE669)</f>
        <v>555898.58238933026</v>
      </c>
      <c r="AG669" s="73">
        <f t="shared" si="202"/>
        <v>617831.32003777893</v>
      </c>
    </row>
    <row r="670" spans="1:33" x14ac:dyDescent="0.25">
      <c r="A670" s="100">
        <v>157299.92000000001</v>
      </c>
      <c r="B670" s="97">
        <v>901.92470000000003</v>
      </c>
      <c r="C670" s="97">
        <v>0.6</v>
      </c>
      <c r="D670" s="80">
        <f t="shared" si="187"/>
        <v>100</v>
      </c>
      <c r="E670" s="81">
        <f t="shared" si="195"/>
        <v>6791.2436711181272</v>
      </c>
      <c r="F670" s="81">
        <f>SUM(E$2:E670)</f>
        <v>4161520.1259143981</v>
      </c>
      <c r="G670" s="43">
        <f t="shared" si="193"/>
        <v>1</v>
      </c>
      <c r="H670" s="78">
        <v>1</v>
      </c>
      <c r="I670" s="15">
        <f t="shared" si="196"/>
        <v>0.6</v>
      </c>
      <c r="J670" s="16">
        <f>VLOOKUP(G670,Inputs!$L$3:$P$15,5,FALSE)</f>
        <v>2000</v>
      </c>
      <c r="K670" s="16">
        <f t="shared" si="197"/>
        <v>1825</v>
      </c>
      <c r="L670" s="79">
        <f>Inputs!$P$8-B670</f>
        <v>36.266300000000001</v>
      </c>
      <c r="M670" s="79">
        <f>Inputs!$Q$8+L670*0.433</f>
        <v>1840.7033079</v>
      </c>
      <c r="N670" s="82">
        <f t="shared" si="198"/>
        <v>157299.92000000001</v>
      </c>
      <c r="O670" s="83">
        <f t="shared" si="199"/>
        <v>901.92470000000003</v>
      </c>
      <c r="P670" s="84">
        <f>IF(O670="","",Inputs!$C$5-O670)</f>
        <v>-76.740200000000073</v>
      </c>
      <c r="Q670" s="83">
        <f>IF(N670="","",TS!J670)</f>
        <v>2000</v>
      </c>
      <c r="R670" s="83">
        <f>IF(N670="","",TS!K670)</f>
        <v>1825</v>
      </c>
      <c r="S670" s="83">
        <f>Inputs!$H$5+TS!P670*0.4333</f>
        <v>1841.7141877899999</v>
      </c>
      <c r="T670" s="83">
        <f>Inputs!$G$5+TS!P670*0.4333</f>
        <v>1856.7141877899999</v>
      </c>
      <c r="U670" s="85">
        <f t="shared" si="200"/>
        <v>0.92835709389499999</v>
      </c>
      <c r="V670" s="86">
        <f t="shared" si="188"/>
        <v>0</v>
      </c>
      <c r="W670" s="86">
        <f t="shared" si="189"/>
        <v>0</v>
      </c>
      <c r="X670" s="86" t="e">
        <f>((PI()*((42-2*'Gen Calcs'!$E$13)^2)/4)/144)*(A713-#REF!)*(W670+14.7)/14.7</f>
        <v>#REF!</v>
      </c>
      <c r="Y670" s="86" t="e">
        <f t="shared" si="190"/>
        <v>#REF!</v>
      </c>
      <c r="Z670" s="86" t="e">
        <f t="shared" si="191"/>
        <v>#REF!</v>
      </c>
      <c r="AA670" s="83">
        <f>MAX(B$2:B670)-B670</f>
        <v>0</v>
      </c>
      <c r="AB670" s="83">
        <f t="shared" si="192"/>
        <v>0</v>
      </c>
      <c r="AC670" s="83">
        <f t="shared" si="194"/>
        <v>120</v>
      </c>
      <c r="AD670" s="72">
        <v>120</v>
      </c>
      <c r="AE670" s="73">
        <f t="shared" si="201"/>
        <v>907.92027688745009</v>
      </c>
      <c r="AF670" s="73">
        <f>SUM(AE$2:AE670)</f>
        <v>556806.50266621774</v>
      </c>
      <c r="AG670" s="73">
        <f t="shared" si="202"/>
        <v>616923.39976089145</v>
      </c>
    </row>
    <row r="671" spans="1:33" x14ac:dyDescent="0.25">
      <c r="A671" s="99">
        <v>157399.92000000001</v>
      </c>
      <c r="B671" s="96">
        <v>906.52059999999994</v>
      </c>
      <c r="C671" s="96">
        <v>0.6</v>
      </c>
      <c r="D671" s="80">
        <f t="shared" si="187"/>
        <v>100</v>
      </c>
      <c r="E671" s="81">
        <f t="shared" si="195"/>
        <v>6791.2436711181272</v>
      </c>
      <c r="F671" s="81">
        <f>SUM(E$2:E671)</f>
        <v>4168311.3695855164</v>
      </c>
      <c r="G671" s="43">
        <f t="shared" si="193"/>
        <v>1</v>
      </c>
      <c r="H671" s="78">
        <v>1</v>
      </c>
      <c r="I671" s="15">
        <f t="shared" si="196"/>
        <v>0.6</v>
      </c>
      <c r="J671" s="16">
        <f>VLOOKUP(G671,Inputs!$L$3:$P$15,5,FALSE)</f>
        <v>2000</v>
      </c>
      <c r="K671" s="16">
        <f t="shared" si="197"/>
        <v>1825</v>
      </c>
      <c r="L671" s="79">
        <f>Inputs!$P$8-B671</f>
        <v>31.670400000000086</v>
      </c>
      <c r="M671" s="79">
        <f>Inputs!$Q$8+L671*0.433</f>
        <v>1838.7132832</v>
      </c>
      <c r="N671" s="82">
        <f t="shared" si="198"/>
        <v>157399.92000000001</v>
      </c>
      <c r="O671" s="83">
        <f t="shared" si="199"/>
        <v>906.52059999999994</v>
      </c>
      <c r="P671" s="84">
        <f>IF(O671="","",Inputs!$C$5-O671)</f>
        <v>-81.336099999999988</v>
      </c>
      <c r="Q671" s="83">
        <f>IF(N671="","",TS!J671)</f>
        <v>2000</v>
      </c>
      <c r="R671" s="83">
        <f>IF(N671="","",TS!K671)</f>
        <v>1825</v>
      </c>
      <c r="S671" s="83">
        <f>Inputs!$H$5+TS!P671*0.4333</f>
        <v>1839.7227843199998</v>
      </c>
      <c r="T671" s="83">
        <f>Inputs!$G$5+TS!P671*0.4333</f>
        <v>1854.7227843199998</v>
      </c>
      <c r="U671" s="85">
        <f t="shared" si="200"/>
        <v>0.92736139215999991</v>
      </c>
      <c r="V671" s="86">
        <f t="shared" si="188"/>
        <v>0</v>
      </c>
      <c r="W671" s="86">
        <f t="shared" si="189"/>
        <v>0</v>
      </c>
      <c r="X671" s="86" t="e">
        <f>((PI()*((42-2*'Gen Calcs'!$E$13)^2)/4)/144)*(A714-#REF!)*(W671+14.7)/14.7</f>
        <v>#REF!</v>
      </c>
      <c r="Y671" s="86" t="e">
        <f t="shared" si="190"/>
        <v>#REF!</v>
      </c>
      <c r="Z671" s="86" t="e">
        <f t="shared" si="191"/>
        <v>#REF!</v>
      </c>
      <c r="AA671" s="83">
        <f>MAX(B$2:B671)-B671</f>
        <v>0</v>
      </c>
      <c r="AB671" s="83">
        <f t="shared" si="192"/>
        <v>0</v>
      </c>
      <c r="AC671" s="83">
        <f t="shared" si="194"/>
        <v>120</v>
      </c>
      <c r="AD671" s="72">
        <v>120</v>
      </c>
      <c r="AE671" s="73">
        <f t="shared" si="201"/>
        <v>907.92027688745009</v>
      </c>
      <c r="AF671" s="73">
        <f>SUM(AE$2:AE671)</f>
        <v>557714.42294310522</v>
      </c>
      <c r="AG671" s="73">
        <f t="shared" si="202"/>
        <v>616015.47948400397</v>
      </c>
    </row>
    <row r="672" spans="1:33" x14ac:dyDescent="0.25">
      <c r="A672" s="100">
        <v>157499.92000000001</v>
      </c>
      <c r="B672" s="97">
        <v>910.94399999999996</v>
      </c>
      <c r="C672" s="97">
        <v>0.6</v>
      </c>
      <c r="D672" s="80">
        <f t="shared" si="187"/>
        <v>100</v>
      </c>
      <c r="E672" s="81">
        <f t="shared" si="195"/>
        <v>6791.2436711181272</v>
      </c>
      <c r="F672" s="81">
        <f>SUM(E$2:E672)</f>
        <v>4175102.6132566347</v>
      </c>
      <c r="G672" s="43">
        <f t="shared" si="193"/>
        <v>1</v>
      </c>
      <c r="H672" s="78">
        <v>1</v>
      </c>
      <c r="I672" s="15">
        <f t="shared" si="196"/>
        <v>0.6</v>
      </c>
      <c r="J672" s="16">
        <f>VLOOKUP(G672,Inputs!$L$3:$P$15,5,FALSE)</f>
        <v>2000</v>
      </c>
      <c r="K672" s="16">
        <f t="shared" si="197"/>
        <v>1825</v>
      </c>
      <c r="L672" s="79">
        <f>Inputs!$P$8-B672</f>
        <v>27.247000000000071</v>
      </c>
      <c r="M672" s="79">
        <f>Inputs!$Q$8+L672*0.433</f>
        <v>1836.797951</v>
      </c>
      <c r="N672" s="82">
        <f t="shared" si="198"/>
        <v>157499.92000000001</v>
      </c>
      <c r="O672" s="83">
        <f t="shared" si="199"/>
        <v>910.94399999999996</v>
      </c>
      <c r="P672" s="84">
        <f>IF(O672="","",Inputs!$C$5-O672)</f>
        <v>-85.759500000000003</v>
      </c>
      <c r="Q672" s="83">
        <f>IF(N672="","",TS!J672)</f>
        <v>2000</v>
      </c>
      <c r="R672" s="83">
        <f>IF(N672="","",TS!K672)</f>
        <v>1825</v>
      </c>
      <c r="S672" s="83">
        <f>Inputs!$H$5+TS!P672*0.4333</f>
        <v>1837.8061250999999</v>
      </c>
      <c r="T672" s="83">
        <f>Inputs!$G$5+TS!P672*0.4333</f>
        <v>1852.8061250999999</v>
      </c>
      <c r="U672" s="85">
        <f t="shared" si="200"/>
        <v>0.92640306254999993</v>
      </c>
      <c r="V672" s="86">
        <f t="shared" si="188"/>
        <v>0</v>
      </c>
      <c r="W672" s="86">
        <f t="shared" si="189"/>
        <v>0</v>
      </c>
      <c r="X672" s="86" t="e">
        <f>((PI()*((42-2*'Gen Calcs'!$E$13)^2)/4)/144)*(A715-#REF!)*(W672+14.7)/14.7</f>
        <v>#REF!</v>
      </c>
      <c r="Y672" s="86" t="e">
        <f t="shared" si="190"/>
        <v>#REF!</v>
      </c>
      <c r="Z672" s="86" t="e">
        <f t="shared" si="191"/>
        <v>#REF!</v>
      </c>
      <c r="AA672" s="83">
        <f>MAX(B$2:B672)-B672</f>
        <v>0</v>
      </c>
      <c r="AB672" s="83">
        <f t="shared" si="192"/>
        <v>0</v>
      </c>
      <c r="AC672" s="83">
        <f t="shared" si="194"/>
        <v>120</v>
      </c>
      <c r="AD672" s="72">
        <v>120</v>
      </c>
      <c r="AE672" s="73">
        <f t="shared" si="201"/>
        <v>907.92027688745009</v>
      </c>
      <c r="AF672" s="73">
        <f>SUM(AE$2:AE672)</f>
        <v>558622.3432199927</v>
      </c>
      <c r="AG672" s="73">
        <f t="shared" si="202"/>
        <v>615107.55920711649</v>
      </c>
    </row>
    <row r="673" spans="1:33" x14ac:dyDescent="0.25">
      <c r="A673" s="99">
        <v>157599.92000000001</v>
      </c>
      <c r="B673" s="96">
        <v>916.79300000000001</v>
      </c>
      <c r="C673" s="96">
        <v>0.6</v>
      </c>
      <c r="D673" s="80">
        <f t="shared" ref="D673:D736" si="203">A673-A672</f>
        <v>100</v>
      </c>
      <c r="E673" s="81">
        <f t="shared" si="195"/>
        <v>6791.2436711181272</v>
      </c>
      <c r="F673" s="81">
        <f>SUM(E$2:E673)</f>
        <v>4181893.856927753</v>
      </c>
      <c r="G673" s="43">
        <f t="shared" si="193"/>
        <v>1</v>
      </c>
      <c r="H673" s="78">
        <v>1</v>
      </c>
      <c r="I673" s="15">
        <f t="shared" si="196"/>
        <v>0.6</v>
      </c>
      <c r="J673" s="16">
        <f>VLOOKUP(G673,Inputs!$L$3:$P$15,5,FALSE)</f>
        <v>2000</v>
      </c>
      <c r="K673" s="16">
        <f t="shared" si="197"/>
        <v>1825</v>
      </c>
      <c r="L673" s="79">
        <f>Inputs!$P$8-B673</f>
        <v>21.398000000000025</v>
      </c>
      <c r="M673" s="79">
        <f>Inputs!$Q$8+L673*0.433</f>
        <v>1834.2653339999999</v>
      </c>
      <c r="N673" s="82">
        <f t="shared" si="198"/>
        <v>157599.92000000001</v>
      </c>
      <c r="O673" s="83">
        <f t="shared" si="199"/>
        <v>916.79300000000001</v>
      </c>
      <c r="P673" s="84">
        <f>IF(O673="","",Inputs!$C$5-O673)</f>
        <v>-91.608500000000049</v>
      </c>
      <c r="Q673" s="83">
        <f>IF(N673="","",TS!J673)</f>
        <v>2000</v>
      </c>
      <c r="R673" s="83">
        <f>IF(N673="","",TS!K673)</f>
        <v>1825</v>
      </c>
      <c r="S673" s="83">
        <f>Inputs!$H$5+TS!P673*0.4333</f>
        <v>1835.2717533999999</v>
      </c>
      <c r="T673" s="83">
        <f>Inputs!$G$5+TS!P673*0.4333</f>
        <v>1850.2717533999999</v>
      </c>
      <c r="U673" s="85">
        <f t="shared" si="200"/>
        <v>0.92513587669999997</v>
      </c>
      <c r="V673" s="86">
        <f t="shared" si="188"/>
        <v>0</v>
      </c>
      <c r="W673" s="86">
        <f t="shared" si="189"/>
        <v>0</v>
      </c>
      <c r="X673" s="86" t="e">
        <f>((PI()*((42-2*'Gen Calcs'!$E$13)^2)/4)/144)*(A716-#REF!)*(W673+14.7)/14.7</f>
        <v>#REF!</v>
      </c>
      <c r="Y673" s="86" t="e">
        <f t="shared" si="190"/>
        <v>#REF!</v>
      </c>
      <c r="Z673" s="86" t="e">
        <f t="shared" si="191"/>
        <v>#REF!</v>
      </c>
      <c r="AA673" s="83">
        <f>MAX(B$2:B673)-B673</f>
        <v>0</v>
      </c>
      <c r="AB673" s="83">
        <f t="shared" si="192"/>
        <v>0</v>
      </c>
      <c r="AC673" s="83">
        <f t="shared" si="194"/>
        <v>120</v>
      </c>
      <c r="AD673" s="72">
        <v>120</v>
      </c>
      <c r="AE673" s="73">
        <f t="shared" si="201"/>
        <v>907.92027688745009</v>
      </c>
      <c r="AF673" s="73">
        <f>SUM(AE$2:AE673)</f>
        <v>559530.26349688019</v>
      </c>
      <c r="AG673" s="73">
        <f t="shared" si="202"/>
        <v>614199.638930229</v>
      </c>
    </row>
    <row r="674" spans="1:33" x14ac:dyDescent="0.25">
      <c r="A674" s="100">
        <v>157699.92000000001</v>
      </c>
      <c r="B674" s="97">
        <v>923.90099999999995</v>
      </c>
      <c r="C674" s="97">
        <v>0.6</v>
      </c>
      <c r="D674" s="80">
        <f t="shared" si="203"/>
        <v>100</v>
      </c>
      <c r="E674" s="81">
        <f t="shared" si="195"/>
        <v>6791.2436711181272</v>
      </c>
      <c r="F674" s="81">
        <f>SUM(E$2:E674)</f>
        <v>4188685.1005988712</v>
      </c>
      <c r="G674" s="43">
        <f t="shared" si="193"/>
        <v>1</v>
      </c>
      <c r="H674" s="78">
        <v>1</v>
      </c>
      <c r="I674" s="15">
        <f t="shared" si="196"/>
        <v>0.6</v>
      </c>
      <c r="J674" s="16">
        <f>VLOOKUP(G674,Inputs!$L$3:$P$15,5,FALSE)</f>
        <v>2000</v>
      </c>
      <c r="K674" s="16">
        <f t="shared" si="197"/>
        <v>1825</v>
      </c>
      <c r="L674" s="79">
        <f>Inputs!$P$8-B674</f>
        <v>14.290000000000077</v>
      </c>
      <c r="M674" s="79">
        <f>Inputs!$Q$8+L674*0.433</f>
        <v>1831.1875700000001</v>
      </c>
      <c r="N674" s="82">
        <f t="shared" si="198"/>
        <v>157699.92000000001</v>
      </c>
      <c r="O674" s="83">
        <f t="shared" si="199"/>
        <v>923.90099999999995</v>
      </c>
      <c r="P674" s="84">
        <f>IF(O674="","",Inputs!$C$5-O674)</f>
        <v>-98.716499999999996</v>
      </c>
      <c r="Q674" s="83">
        <f>IF(N674="","",TS!J674)</f>
        <v>2000</v>
      </c>
      <c r="R674" s="83">
        <f>IF(N674="","",TS!K674)</f>
        <v>1825</v>
      </c>
      <c r="S674" s="83">
        <f>Inputs!$H$5+TS!P674*0.4333</f>
        <v>1832.191857</v>
      </c>
      <c r="T674" s="83">
        <f>Inputs!$G$5+TS!P674*0.4333</f>
        <v>1847.191857</v>
      </c>
      <c r="U674" s="85">
        <f t="shared" si="200"/>
        <v>0.92359592850000005</v>
      </c>
      <c r="V674" s="86">
        <f t="shared" si="188"/>
        <v>0</v>
      </c>
      <c r="W674" s="86">
        <f t="shared" si="189"/>
        <v>0</v>
      </c>
      <c r="X674" s="86" t="e">
        <f>((PI()*((42-2*'Gen Calcs'!$E$13)^2)/4)/144)*(A717-#REF!)*(W674+14.7)/14.7</f>
        <v>#REF!</v>
      </c>
      <c r="Y674" s="86" t="e">
        <f t="shared" si="190"/>
        <v>#REF!</v>
      </c>
      <c r="Z674" s="86" t="e">
        <f t="shared" si="191"/>
        <v>#REF!</v>
      </c>
      <c r="AA674" s="83">
        <f>MAX(B$2:B674)-B674</f>
        <v>0</v>
      </c>
      <c r="AB674" s="83">
        <f t="shared" si="192"/>
        <v>0</v>
      </c>
      <c r="AC674" s="83">
        <f t="shared" si="194"/>
        <v>120</v>
      </c>
      <c r="AD674" s="72">
        <v>120</v>
      </c>
      <c r="AE674" s="73">
        <f t="shared" si="201"/>
        <v>907.92027688745009</v>
      </c>
      <c r="AF674" s="73">
        <f>SUM(AE$2:AE674)</f>
        <v>560438.18377376767</v>
      </c>
      <c r="AG674" s="73">
        <f t="shared" si="202"/>
        <v>613291.71865334152</v>
      </c>
    </row>
    <row r="675" spans="1:33" x14ac:dyDescent="0.25">
      <c r="A675" s="99">
        <v>157799.92000000001</v>
      </c>
      <c r="B675" s="96">
        <v>919.55150000000003</v>
      </c>
      <c r="C675" s="96">
        <v>0.6</v>
      </c>
      <c r="D675" s="80">
        <f t="shared" si="203"/>
        <v>100</v>
      </c>
      <c r="E675" s="81">
        <f t="shared" si="195"/>
        <v>6791.2436711181272</v>
      </c>
      <c r="F675" s="81">
        <f>SUM(E$2:E675)</f>
        <v>4195476.3442699891</v>
      </c>
      <c r="G675" s="43">
        <f t="shared" si="193"/>
        <v>1</v>
      </c>
      <c r="H675" s="78">
        <v>1</v>
      </c>
      <c r="I675" s="15">
        <f t="shared" si="196"/>
        <v>0.6</v>
      </c>
      <c r="J675" s="16">
        <f>VLOOKUP(G675,Inputs!$L$3:$P$15,5,FALSE)</f>
        <v>2000</v>
      </c>
      <c r="K675" s="16">
        <f t="shared" si="197"/>
        <v>1825</v>
      </c>
      <c r="L675" s="79">
        <f>Inputs!$P$8-B675</f>
        <v>18.639499999999998</v>
      </c>
      <c r="M675" s="79">
        <f>Inputs!$Q$8+L675*0.433</f>
        <v>1833.0709035</v>
      </c>
      <c r="N675" s="82">
        <f t="shared" si="198"/>
        <v>157799.92000000001</v>
      </c>
      <c r="O675" s="83">
        <f t="shared" si="199"/>
        <v>919.55150000000003</v>
      </c>
      <c r="P675" s="84">
        <f>IF(O675="","",Inputs!$C$5-O675)</f>
        <v>-94.367000000000075</v>
      </c>
      <c r="Q675" s="83">
        <f>IF(N675="","",TS!J675)</f>
        <v>2000</v>
      </c>
      <c r="R675" s="83">
        <f>IF(N675="","",TS!K675)</f>
        <v>1825</v>
      </c>
      <c r="S675" s="83">
        <f>Inputs!$H$5+TS!P675*0.4333</f>
        <v>1834.07649535</v>
      </c>
      <c r="T675" s="83">
        <f>Inputs!$G$5+TS!P675*0.4333</f>
        <v>1849.07649535</v>
      </c>
      <c r="U675" s="85">
        <f t="shared" si="200"/>
        <v>0.92453824767499992</v>
      </c>
      <c r="V675" s="86">
        <f t="shared" si="188"/>
        <v>0</v>
      </c>
      <c r="W675" s="86">
        <f t="shared" si="189"/>
        <v>0</v>
      </c>
      <c r="X675" s="86" t="e">
        <f>((PI()*((42-2*'Gen Calcs'!$E$13)^2)/4)/144)*(A718-#REF!)*(W675+14.7)/14.7</f>
        <v>#REF!</v>
      </c>
      <c r="Y675" s="86" t="e">
        <f t="shared" si="190"/>
        <v>#REF!</v>
      </c>
      <c r="Z675" s="86" t="e">
        <f t="shared" si="191"/>
        <v>#REF!</v>
      </c>
      <c r="AA675" s="83">
        <f>MAX(B$2:B675)-B675</f>
        <v>4.3494999999999209</v>
      </c>
      <c r="AB675" s="83">
        <f t="shared" si="192"/>
        <v>1.8833334999999658</v>
      </c>
      <c r="AC675" s="83">
        <f t="shared" si="194"/>
        <v>120</v>
      </c>
      <c r="AD675" s="72">
        <v>120</v>
      </c>
      <c r="AE675" s="73">
        <f t="shared" si="201"/>
        <v>907.92027688745009</v>
      </c>
      <c r="AF675" s="73">
        <f>SUM(AE$2:AE675)</f>
        <v>561346.10405065515</v>
      </c>
      <c r="AG675" s="73">
        <f t="shared" si="202"/>
        <v>612383.79837645404</v>
      </c>
    </row>
    <row r="676" spans="1:33" x14ac:dyDescent="0.25">
      <c r="A676" s="100">
        <v>157899.92000000001</v>
      </c>
      <c r="B676" s="97">
        <v>910.14649999999995</v>
      </c>
      <c r="C676" s="97">
        <v>0.6</v>
      </c>
      <c r="D676" s="80">
        <f t="shared" si="203"/>
        <v>100</v>
      </c>
      <c r="E676" s="81">
        <f t="shared" si="195"/>
        <v>6791.2436711181272</v>
      </c>
      <c r="F676" s="81">
        <f>SUM(E$2:E676)</f>
        <v>4202267.5879411073</v>
      </c>
      <c r="G676" s="43">
        <f t="shared" si="193"/>
        <v>1</v>
      </c>
      <c r="H676" s="78">
        <v>1</v>
      </c>
      <c r="I676" s="15">
        <f t="shared" si="196"/>
        <v>0.6</v>
      </c>
      <c r="J676" s="16">
        <f>VLOOKUP(G676,Inputs!$L$3:$P$15,5,FALSE)</f>
        <v>2000</v>
      </c>
      <c r="K676" s="16">
        <f t="shared" si="197"/>
        <v>1825</v>
      </c>
      <c r="L676" s="79">
        <f>Inputs!$P$8-B676</f>
        <v>28.044500000000085</v>
      </c>
      <c r="M676" s="79">
        <f>Inputs!$Q$8+L676*0.433</f>
        <v>1837.1432685</v>
      </c>
      <c r="N676" s="82">
        <f t="shared" si="198"/>
        <v>157899.92000000001</v>
      </c>
      <c r="O676" s="83">
        <f t="shared" si="199"/>
        <v>910.14649999999995</v>
      </c>
      <c r="P676" s="84">
        <f>IF(O676="","",Inputs!$C$5-O676)</f>
        <v>-84.961999999999989</v>
      </c>
      <c r="Q676" s="83">
        <f>IF(N676="","",TS!J676)</f>
        <v>2000</v>
      </c>
      <c r="R676" s="83">
        <f>IF(N676="","",TS!K676)</f>
        <v>1825</v>
      </c>
      <c r="S676" s="83">
        <f>Inputs!$H$5+TS!P676*0.4333</f>
        <v>1838.1516818499999</v>
      </c>
      <c r="T676" s="83">
        <f>Inputs!$G$5+TS!P676*0.4333</f>
        <v>1853.1516818499999</v>
      </c>
      <c r="U676" s="85">
        <f t="shared" si="200"/>
        <v>0.926575840925</v>
      </c>
      <c r="V676" s="86">
        <f t="shared" si="188"/>
        <v>0</v>
      </c>
      <c r="W676" s="86">
        <f t="shared" si="189"/>
        <v>0</v>
      </c>
      <c r="X676" s="86" t="e">
        <f>((PI()*((42-2*'Gen Calcs'!$E$13)^2)/4)/144)*(A719-#REF!)*(W676+14.7)/14.7</f>
        <v>#REF!</v>
      </c>
      <c r="Y676" s="86" t="e">
        <f t="shared" si="190"/>
        <v>#REF!</v>
      </c>
      <c r="Z676" s="86" t="e">
        <f t="shared" si="191"/>
        <v>#REF!</v>
      </c>
      <c r="AA676" s="83">
        <f>MAX(B$2:B676)-B676</f>
        <v>13.754500000000007</v>
      </c>
      <c r="AB676" s="83">
        <f t="shared" si="192"/>
        <v>5.9556985000000031</v>
      </c>
      <c r="AC676" s="83">
        <f t="shared" si="194"/>
        <v>120</v>
      </c>
      <c r="AD676" s="72">
        <v>120</v>
      </c>
      <c r="AE676" s="73">
        <f t="shared" si="201"/>
        <v>907.92027688745009</v>
      </c>
      <c r="AF676" s="73">
        <f>SUM(AE$2:AE676)</f>
        <v>562254.02432754263</v>
      </c>
      <c r="AG676" s="73">
        <f t="shared" si="202"/>
        <v>611475.87809956656</v>
      </c>
    </row>
    <row r="677" spans="1:33" x14ac:dyDescent="0.25">
      <c r="A677" s="99">
        <v>157999.92000000001</v>
      </c>
      <c r="B677" s="96">
        <v>902.46550000000002</v>
      </c>
      <c r="C677" s="96">
        <v>0.6</v>
      </c>
      <c r="D677" s="80">
        <f t="shared" si="203"/>
        <v>100</v>
      </c>
      <c r="E677" s="81">
        <f t="shared" si="195"/>
        <v>6791.2436711181272</v>
      </c>
      <c r="F677" s="81">
        <f>SUM(E$2:E677)</f>
        <v>4209058.8316122256</v>
      </c>
      <c r="G677" s="43">
        <f t="shared" si="193"/>
        <v>1</v>
      </c>
      <c r="H677" s="78">
        <v>1</v>
      </c>
      <c r="I677" s="15">
        <f t="shared" si="196"/>
        <v>0.6</v>
      </c>
      <c r="J677" s="16">
        <f>VLOOKUP(G677,Inputs!$L$3:$P$15,5,FALSE)</f>
        <v>2000</v>
      </c>
      <c r="K677" s="16">
        <f t="shared" si="197"/>
        <v>1825</v>
      </c>
      <c r="L677" s="79">
        <f>Inputs!$P$8-B677</f>
        <v>35.725500000000011</v>
      </c>
      <c r="M677" s="79">
        <f>Inputs!$Q$8+L677*0.433</f>
        <v>1840.4691415</v>
      </c>
      <c r="N677" s="82">
        <f t="shared" si="198"/>
        <v>157999.92000000001</v>
      </c>
      <c r="O677" s="83">
        <f t="shared" si="199"/>
        <v>902.46550000000002</v>
      </c>
      <c r="P677" s="84">
        <f>IF(O677="","",Inputs!$C$5-O677)</f>
        <v>-77.281000000000063</v>
      </c>
      <c r="Q677" s="83">
        <f>IF(N677="","",TS!J677)</f>
        <v>2000</v>
      </c>
      <c r="R677" s="83">
        <f>IF(N677="","",TS!K677)</f>
        <v>1825</v>
      </c>
      <c r="S677" s="83">
        <f>Inputs!$H$5+TS!P677*0.4333</f>
        <v>1841.4798591499998</v>
      </c>
      <c r="T677" s="83">
        <f>Inputs!$G$5+TS!P677*0.4333</f>
        <v>1856.4798591499998</v>
      </c>
      <c r="U677" s="85">
        <f t="shared" si="200"/>
        <v>0.9282399295749999</v>
      </c>
      <c r="V677" s="86">
        <f t="shared" si="188"/>
        <v>0</v>
      </c>
      <c r="W677" s="86">
        <f t="shared" si="189"/>
        <v>0</v>
      </c>
      <c r="X677" s="86" t="e">
        <f>((PI()*((42-2*'Gen Calcs'!$E$13)^2)/4)/144)*(A720-#REF!)*(W677+14.7)/14.7</f>
        <v>#REF!</v>
      </c>
      <c r="Y677" s="86" t="e">
        <f t="shared" si="190"/>
        <v>#REF!</v>
      </c>
      <c r="Z677" s="86" t="e">
        <f t="shared" si="191"/>
        <v>#REF!</v>
      </c>
      <c r="AA677" s="83">
        <f>MAX(B$2:B677)-B677</f>
        <v>21.435499999999934</v>
      </c>
      <c r="AB677" s="83">
        <f t="shared" si="192"/>
        <v>9.2815714999999717</v>
      </c>
      <c r="AC677" s="83">
        <f t="shared" si="194"/>
        <v>120</v>
      </c>
      <c r="AD677" s="72">
        <v>120</v>
      </c>
      <c r="AE677" s="73">
        <f t="shared" si="201"/>
        <v>907.92027688745009</v>
      </c>
      <c r="AF677" s="73">
        <f>SUM(AE$2:AE677)</f>
        <v>563161.94460443011</v>
      </c>
      <c r="AG677" s="73">
        <f t="shared" si="202"/>
        <v>610567.95782267908</v>
      </c>
    </row>
    <row r="678" spans="1:33" x14ac:dyDescent="0.25">
      <c r="A678" s="100">
        <v>158099.92000000001</v>
      </c>
      <c r="B678" s="97">
        <v>895.15920000000006</v>
      </c>
      <c r="C678" s="97">
        <v>0.6</v>
      </c>
      <c r="D678" s="80">
        <f t="shared" si="203"/>
        <v>100</v>
      </c>
      <c r="E678" s="81">
        <f t="shared" si="195"/>
        <v>6791.2436711181272</v>
      </c>
      <c r="F678" s="81">
        <f>SUM(E$2:E678)</f>
        <v>4215850.0752833439</v>
      </c>
      <c r="G678" s="43">
        <f t="shared" si="193"/>
        <v>1</v>
      </c>
      <c r="H678" s="78">
        <v>1</v>
      </c>
      <c r="I678" s="15">
        <f t="shared" si="196"/>
        <v>0.6</v>
      </c>
      <c r="J678" s="16">
        <f>VLOOKUP(G678,Inputs!$L$3:$P$15,5,FALSE)</f>
        <v>2000</v>
      </c>
      <c r="K678" s="16">
        <f t="shared" si="197"/>
        <v>1825</v>
      </c>
      <c r="L678" s="79">
        <f>Inputs!$P$8-B678</f>
        <v>43.031799999999976</v>
      </c>
      <c r="M678" s="79">
        <f>Inputs!$Q$8+L678*0.433</f>
        <v>1843.6327693999999</v>
      </c>
      <c r="N678" s="82">
        <f t="shared" si="198"/>
        <v>158099.92000000001</v>
      </c>
      <c r="O678" s="83">
        <f t="shared" si="199"/>
        <v>895.15920000000006</v>
      </c>
      <c r="P678" s="84">
        <f>IF(O678="","",Inputs!$C$5-O678)</f>
        <v>-69.974700000000098</v>
      </c>
      <c r="Q678" s="83">
        <f>IF(N678="","",TS!J678)</f>
        <v>2000</v>
      </c>
      <c r="R678" s="83">
        <f>IF(N678="","",TS!K678)</f>
        <v>1825</v>
      </c>
      <c r="S678" s="83">
        <f>Inputs!$H$5+TS!P678*0.4333</f>
        <v>1844.6456789399999</v>
      </c>
      <c r="T678" s="83">
        <f>Inputs!$G$5+TS!P678*0.4333</f>
        <v>1859.6456789399999</v>
      </c>
      <c r="U678" s="85">
        <f t="shared" si="200"/>
        <v>0.92982283947</v>
      </c>
      <c r="V678" s="86">
        <f t="shared" si="188"/>
        <v>0</v>
      </c>
      <c r="W678" s="86">
        <f t="shared" si="189"/>
        <v>0</v>
      </c>
      <c r="X678" s="86" t="e">
        <f>((PI()*((42-2*'Gen Calcs'!$E$13)^2)/4)/144)*(A721-#REF!)*(W678+14.7)/14.7</f>
        <v>#REF!</v>
      </c>
      <c r="Y678" s="86" t="e">
        <f t="shared" si="190"/>
        <v>#REF!</v>
      </c>
      <c r="Z678" s="86" t="e">
        <f t="shared" si="191"/>
        <v>#REF!</v>
      </c>
      <c r="AA678" s="83">
        <f>MAX(B$2:B678)-B678</f>
        <v>28.741799999999898</v>
      </c>
      <c r="AB678" s="83">
        <f t="shared" si="192"/>
        <v>12.445199399999956</v>
      </c>
      <c r="AC678" s="83">
        <f t="shared" si="194"/>
        <v>120</v>
      </c>
      <c r="AD678" s="72">
        <v>120</v>
      </c>
      <c r="AE678" s="73">
        <f t="shared" si="201"/>
        <v>907.92027688745009</v>
      </c>
      <c r="AF678" s="73">
        <f>SUM(AE$2:AE678)</f>
        <v>564069.8648813176</v>
      </c>
      <c r="AG678" s="73">
        <f t="shared" si="202"/>
        <v>609660.03754579159</v>
      </c>
    </row>
    <row r="679" spans="1:33" x14ac:dyDescent="0.25">
      <c r="A679" s="99">
        <v>158199.92000000001</v>
      </c>
      <c r="B679" s="96">
        <v>887.08219999999994</v>
      </c>
      <c r="C679" s="96">
        <v>0.6</v>
      </c>
      <c r="D679" s="80">
        <f t="shared" si="203"/>
        <v>100</v>
      </c>
      <c r="E679" s="81">
        <f t="shared" si="195"/>
        <v>6791.2436711181272</v>
      </c>
      <c r="F679" s="81">
        <f>SUM(E$2:E679)</f>
        <v>4222641.3189544622</v>
      </c>
      <c r="G679" s="43">
        <f t="shared" si="193"/>
        <v>1</v>
      </c>
      <c r="H679" s="78">
        <v>1</v>
      </c>
      <c r="I679" s="15">
        <f t="shared" si="196"/>
        <v>0.6</v>
      </c>
      <c r="J679" s="16">
        <f>VLOOKUP(G679,Inputs!$L$3:$P$15,5,FALSE)</f>
        <v>2000</v>
      </c>
      <c r="K679" s="16">
        <f t="shared" si="197"/>
        <v>1825</v>
      </c>
      <c r="L679" s="79">
        <f>Inputs!$P$8-B679</f>
        <v>51.108800000000087</v>
      </c>
      <c r="M679" s="79">
        <f>Inputs!$Q$8+L679*0.433</f>
        <v>1847.1301104000001</v>
      </c>
      <c r="N679" s="82">
        <f t="shared" si="198"/>
        <v>158199.92000000001</v>
      </c>
      <c r="O679" s="83">
        <f t="shared" si="199"/>
        <v>887.08219999999994</v>
      </c>
      <c r="P679" s="84">
        <f>IF(O679="","",Inputs!$C$5-O679)</f>
        <v>-61.897699999999986</v>
      </c>
      <c r="Q679" s="83">
        <f>IF(N679="","",TS!J679)</f>
        <v>2000</v>
      </c>
      <c r="R679" s="83">
        <f>IF(N679="","",TS!K679)</f>
        <v>1825</v>
      </c>
      <c r="S679" s="83">
        <f>Inputs!$H$5+TS!P679*0.4333</f>
        <v>1848.1454430399999</v>
      </c>
      <c r="T679" s="83">
        <f>Inputs!$G$5+TS!P679*0.4333</f>
        <v>1863.1454430399999</v>
      </c>
      <c r="U679" s="85">
        <f t="shared" si="200"/>
        <v>0.93157272151999992</v>
      </c>
      <c r="V679" s="86">
        <f t="shared" si="188"/>
        <v>0</v>
      </c>
      <c r="W679" s="86">
        <f t="shared" si="189"/>
        <v>0</v>
      </c>
      <c r="X679" s="86" t="e">
        <f>((PI()*((42-2*'Gen Calcs'!$E$13)^2)/4)/144)*(A722-#REF!)*(W679+14.7)/14.7</f>
        <v>#REF!</v>
      </c>
      <c r="Y679" s="86" t="e">
        <f t="shared" si="190"/>
        <v>#REF!</v>
      </c>
      <c r="Z679" s="86" t="e">
        <f t="shared" si="191"/>
        <v>#REF!</v>
      </c>
      <c r="AA679" s="83">
        <f>MAX(B$2:B679)-B679</f>
        <v>36.81880000000001</v>
      </c>
      <c r="AB679" s="83">
        <f t="shared" si="192"/>
        <v>15.942540400000004</v>
      </c>
      <c r="AC679" s="83">
        <f t="shared" si="194"/>
        <v>120</v>
      </c>
      <c r="AD679" s="72">
        <v>120</v>
      </c>
      <c r="AE679" s="73">
        <f t="shared" si="201"/>
        <v>907.92027688745009</v>
      </c>
      <c r="AF679" s="73">
        <f>SUM(AE$2:AE679)</f>
        <v>564977.78515820508</v>
      </c>
      <c r="AG679" s="73">
        <f t="shared" si="202"/>
        <v>608752.11726890411</v>
      </c>
    </row>
    <row r="680" spans="1:33" x14ac:dyDescent="0.25">
      <c r="A680" s="100">
        <v>158299.92000000001</v>
      </c>
      <c r="B680" s="97">
        <v>897.33309999999994</v>
      </c>
      <c r="C680" s="97">
        <v>0.6</v>
      </c>
      <c r="D680" s="80">
        <f t="shared" si="203"/>
        <v>100</v>
      </c>
      <c r="E680" s="81">
        <f t="shared" si="195"/>
        <v>6791.2436711181272</v>
      </c>
      <c r="F680" s="81">
        <f>SUM(E$2:E680)</f>
        <v>4229432.5626255805</v>
      </c>
      <c r="G680" s="43">
        <f t="shared" si="193"/>
        <v>1</v>
      </c>
      <c r="H680" s="78">
        <v>1</v>
      </c>
      <c r="I680" s="15">
        <f t="shared" si="196"/>
        <v>0.6</v>
      </c>
      <c r="J680" s="16">
        <f>VLOOKUP(G680,Inputs!$L$3:$P$15,5,FALSE)</f>
        <v>2000</v>
      </c>
      <c r="K680" s="16">
        <f t="shared" si="197"/>
        <v>1825</v>
      </c>
      <c r="L680" s="79">
        <f>Inputs!$P$8-B680</f>
        <v>40.857900000000086</v>
      </c>
      <c r="M680" s="79">
        <f>Inputs!$Q$8+L680*0.433</f>
        <v>1842.6914707000001</v>
      </c>
      <c r="N680" s="82">
        <f t="shared" si="198"/>
        <v>158299.92000000001</v>
      </c>
      <c r="O680" s="83">
        <f t="shared" si="199"/>
        <v>897.33309999999994</v>
      </c>
      <c r="P680" s="84">
        <f>IF(O680="","",Inputs!$C$5-O680)</f>
        <v>-72.148599999999988</v>
      </c>
      <c r="Q680" s="83">
        <f>IF(N680="","",TS!J680)</f>
        <v>2000</v>
      </c>
      <c r="R680" s="83">
        <f>IF(N680="","",TS!K680)</f>
        <v>1825</v>
      </c>
      <c r="S680" s="83">
        <f>Inputs!$H$5+TS!P680*0.4333</f>
        <v>1843.7037280699999</v>
      </c>
      <c r="T680" s="83">
        <f>Inputs!$G$5+TS!P680*0.4333</f>
        <v>1858.7037280699999</v>
      </c>
      <c r="U680" s="85">
        <f t="shared" si="200"/>
        <v>0.92935186403499992</v>
      </c>
      <c r="V680" s="86">
        <f t="shared" si="188"/>
        <v>0</v>
      </c>
      <c r="W680" s="86">
        <f t="shared" si="189"/>
        <v>0</v>
      </c>
      <c r="X680" s="86" t="e">
        <f>((PI()*((42-2*'Gen Calcs'!$E$13)^2)/4)/144)*(A723-#REF!)*(W680+14.7)/14.7</f>
        <v>#REF!</v>
      </c>
      <c r="Y680" s="86" t="e">
        <f t="shared" si="190"/>
        <v>#REF!</v>
      </c>
      <c r="Z680" s="86" t="e">
        <f t="shared" si="191"/>
        <v>#REF!</v>
      </c>
      <c r="AA680" s="83">
        <f>MAX(B$2:B680)-B680</f>
        <v>26.567900000000009</v>
      </c>
      <c r="AB680" s="83">
        <f t="shared" si="192"/>
        <v>11.503900700000004</v>
      </c>
      <c r="AC680" s="83">
        <f t="shared" si="194"/>
        <v>120</v>
      </c>
      <c r="AD680" s="72">
        <v>120</v>
      </c>
      <c r="AE680" s="73">
        <f t="shared" si="201"/>
        <v>907.92027688745009</v>
      </c>
      <c r="AF680" s="73">
        <f>SUM(AE$2:AE680)</f>
        <v>565885.70543509256</v>
      </c>
      <c r="AG680" s="73">
        <f t="shared" si="202"/>
        <v>607844.19699201663</v>
      </c>
    </row>
    <row r="681" spans="1:33" x14ac:dyDescent="0.25">
      <c r="A681" s="99">
        <v>158399.92000000001</v>
      </c>
      <c r="B681" s="96">
        <v>898.08130000000006</v>
      </c>
      <c r="C681" s="96">
        <v>0.6</v>
      </c>
      <c r="D681" s="80">
        <f t="shared" si="203"/>
        <v>100</v>
      </c>
      <c r="E681" s="81">
        <f t="shared" si="195"/>
        <v>6791.2436711181272</v>
      </c>
      <c r="F681" s="81">
        <f>SUM(E$2:E681)</f>
        <v>4236223.8062966987</v>
      </c>
      <c r="G681" s="43">
        <f t="shared" si="193"/>
        <v>1</v>
      </c>
      <c r="H681" s="78">
        <v>1</v>
      </c>
      <c r="I681" s="15">
        <f t="shared" si="196"/>
        <v>0.6</v>
      </c>
      <c r="J681" s="16">
        <f>VLOOKUP(G681,Inputs!$L$3:$P$15,5,FALSE)</f>
        <v>2000</v>
      </c>
      <c r="K681" s="16">
        <f t="shared" si="197"/>
        <v>1825</v>
      </c>
      <c r="L681" s="79">
        <f>Inputs!$P$8-B681</f>
        <v>40.109699999999975</v>
      </c>
      <c r="M681" s="79">
        <f>Inputs!$Q$8+L681*0.433</f>
        <v>1842.3675000999999</v>
      </c>
      <c r="N681" s="82">
        <f t="shared" si="198"/>
        <v>158399.92000000001</v>
      </c>
      <c r="O681" s="83">
        <f t="shared" si="199"/>
        <v>898.08130000000006</v>
      </c>
      <c r="P681" s="84">
        <f>IF(O681="","",Inputs!$C$5-O681)</f>
        <v>-72.896800000000098</v>
      </c>
      <c r="Q681" s="83">
        <f>IF(N681="","",TS!J681)</f>
        <v>2000</v>
      </c>
      <c r="R681" s="83">
        <f>IF(N681="","",TS!K681)</f>
        <v>1825</v>
      </c>
      <c r="S681" s="83">
        <f>Inputs!$H$5+TS!P681*0.4333</f>
        <v>1843.3795330099999</v>
      </c>
      <c r="T681" s="83">
        <f>Inputs!$G$5+TS!P681*0.4333</f>
        <v>1858.3795330099999</v>
      </c>
      <c r="U681" s="85">
        <f t="shared" si="200"/>
        <v>0.92918976650499996</v>
      </c>
      <c r="V681" s="86">
        <f t="shared" si="188"/>
        <v>0</v>
      </c>
      <c r="W681" s="86">
        <f t="shared" si="189"/>
        <v>0</v>
      </c>
      <c r="X681" s="86" t="e">
        <f>((PI()*((42-2*'Gen Calcs'!$E$13)^2)/4)/144)*(A724-#REF!)*(W681+14.7)/14.7</f>
        <v>#REF!</v>
      </c>
      <c r="Y681" s="86" t="e">
        <f t="shared" si="190"/>
        <v>#REF!</v>
      </c>
      <c r="Z681" s="86" t="e">
        <f t="shared" si="191"/>
        <v>#REF!</v>
      </c>
      <c r="AA681" s="83">
        <f>MAX(B$2:B681)-B681</f>
        <v>25.819699999999898</v>
      </c>
      <c r="AB681" s="83">
        <f t="shared" si="192"/>
        <v>11.179930099999956</v>
      </c>
      <c r="AC681" s="83">
        <f t="shared" si="194"/>
        <v>120</v>
      </c>
      <c r="AD681" s="72">
        <v>120</v>
      </c>
      <c r="AE681" s="73">
        <f t="shared" si="201"/>
        <v>907.92027688745009</v>
      </c>
      <c r="AF681" s="73">
        <f>SUM(AE$2:AE681)</f>
        <v>566793.62571198004</v>
      </c>
      <c r="AG681" s="73">
        <f t="shared" si="202"/>
        <v>606936.27671512915</v>
      </c>
    </row>
    <row r="682" spans="1:33" x14ac:dyDescent="0.25">
      <c r="A682" s="100">
        <v>158499.92000000001</v>
      </c>
      <c r="B682" s="97">
        <v>891.90700000000004</v>
      </c>
      <c r="C682" s="97">
        <v>0.6</v>
      </c>
      <c r="D682" s="80">
        <f t="shared" si="203"/>
        <v>100</v>
      </c>
      <c r="E682" s="81">
        <f t="shared" si="195"/>
        <v>6791.2436711181272</v>
      </c>
      <c r="F682" s="81">
        <f>SUM(E$2:E682)</f>
        <v>4243015.049967817</v>
      </c>
      <c r="G682" s="43">
        <f t="shared" si="193"/>
        <v>1</v>
      </c>
      <c r="H682" s="78">
        <v>1</v>
      </c>
      <c r="I682" s="15">
        <f t="shared" si="196"/>
        <v>0.6</v>
      </c>
      <c r="J682" s="16">
        <f>VLOOKUP(G682,Inputs!$L$3:$P$15,5,FALSE)</f>
        <v>2000</v>
      </c>
      <c r="K682" s="16">
        <f t="shared" si="197"/>
        <v>1825</v>
      </c>
      <c r="L682" s="79">
        <f>Inputs!$P$8-B682</f>
        <v>46.283999999999992</v>
      </c>
      <c r="M682" s="79">
        <f>Inputs!$Q$8+L682*0.433</f>
        <v>1845.040972</v>
      </c>
      <c r="N682" s="82">
        <f t="shared" si="198"/>
        <v>158499.92000000001</v>
      </c>
      <c r="O682" s="83">
        <f t="shared" si="199"/>
        <v>891.90700000000004</v>
      </c>
      <c r="P682" s="84">
        <f>IF(O682="","",Inputs!$C$5-O682)</f>
        <v>-66.722500000000082</v>
      </c>
      <c r="Q682" s="83">
        <f>IF(N682="","",TS!J682)</f>
        <v>2000</v>
      </c>
      <c r="R682" s="83">
        <f>IF(N682="","",TS!K682)</f>
        <v>1825</v>
      </c>
      <c r="S682" s="83">
        <f>Inputs!$H$5+TS!P682*0.4333</f>
        <v>1846.0548572</v>
      </c>
      <c r="T682" s="83">
        <f>Inputs!$G$5+TS!P682*0.4333</f>
        <v>1861.0548572</v>
      </c>
      <c r="U682" s="85">
        <f t="shared" si="200"/>
        <v>0.93052742860000004</v>
      </c>
      <c r="V682" s="86">
        <f t="shared" si="188"/>
        <v>0</v>
      </c>
      <c r="W682" s="86">
        <f t="shared" si="189"/>
        <v>0</v>
      </c>
      <c r="X682" s="86" t="e">
        <f>((PI()*((42-2*'Gen Calcs'!$E$13)^2)/4)/144)*(A725-#REF!)*(W682+14.7)/14.7</f>
        <v>#REF!</v>
      </c>
      <c r="Y682" s="86" t="e">
        <f t="shared" si="190"/>
        <v>#REF!</v>
      </c>
      <c r="Z682" s="86" t="e">
        <f t="shared" si="191"/>
        <v>#REF!</v>
      </c>
      <c r="AA682" s="83">
        <f>MAX(B$2:B682)-B682</f>
        <v>31.993999999999915</v>
      </c>
      <c r="AB682" s="83">
        <f t="shared" si="192"/>
        <v>13.853401999999964</v>
      </c>
      <c r="AC682" s="83">
        <f t="shared" si="194"/>
        <v>120</v>
      </c>
      <c r="AD682" s="72">
        <v>120</v>
      </c>
      <c r="AE682" s="73">
        <f t="shared" si="201"/>
        <v>907.92027688745009</v>
      </c>
      <c r="AF682" s="73">
        <f>SUM(AE$2:AE682)</f>
        <v>567701.54598886753</v>
      </c>
      <c r="AG682" s="73">
        <f t="shared" si="202"/>
        <v>606028.35643824167</v>
      </c>
    </row>
    <row r="683" spans="1:33" x14ac:dyDescent="0.25">
      <c r="A683" s="99">
        <v>158599.92000000001</v>
      </c>
      <c r="B683" s="96">
        <v>881.4751</v>
      </c>
      <c r="C683" s="96">
        <v>0.6</v>
      </c>
      <c r="D683" s="80">
        <f t="shared" si="203"/>
        <v>100</v>
      </c>
      <c r="E683" s="81">
        <f t="shared" si="195"/>
        <v>6791.2436711181272</v>
      </c>
      <c r="F683" s="81">
        <f>SUM(E$2:E683)</f>
        <v>4249806.2936389353</v>
      </c>
      <c r="G683" s="43">
        <f t="shared" si="193"/>
        <v>1</v>
      </c>
      <c r="H683" s="78">
        <v>1</v>
      </c>
      <c r="I683" s="15">
        <f t="shared" si="196"/>
        <v>0.6</v>
      </c>
      <c r="J683" s="16">
        <f>VLOOKUP(G683,Inputs!$L$3:$P$15,5,FALSE)</f>
        <v>2000</v>
      </c>
      <c r="K683" s="16">
        <f t="shared" si="197"/>
        <v>1825</v>
      </c>
      <c r="L683" s="79">
        <f>Inputs!$P$8-B683</f>
        <v>56.715900000000033</v>
      </c>
      <c r="M683" s="79">
        <f>Inputs!$Q$8+L683*0.433</f>
        <v>1849.5579846999999</v>
      </c>
      <c r="N683" s="82">
        <f t="shared" si="198"/>
        <v>158599.92000000001</v>
      </c>
      <c r="O683" s="83">
        <f t="shared" si="199"/>
        <v>881.4751</v>
      </c>
      <c r="P683" s="84">
        <f>IF(O683="","",Inputs!$C$5-O683)</f>
        <v>-56.29060000000004</v>
      </c>
      <c r="Q683" s="83">
        <f>IF(N683="","",TS!J683)</f>
        <v>2000</v>
      </c>
      <c r="R683" s="83">
        <f>IF(N683="","",TS!K683)</f>
        <v>1825</v>
      </c>
      <c r="S683" s="83">
        <f>Inputs!$H$5+TS!P683*0.4333</f>
        <v>1850.57499947</v>
      </c>
      <c r="T683" s="83">
        <f>Inputs!$G$5+TS!P683*0.4333</f>
        <v>1865.57499947</v>
      </c>
      <c r="U683" s="85">
        <f t="shared" si="200"/>
        <v>0.93278749973499997</v>
      </c>
      <c r="V683" s="86">
        <f t="shared" si="188"/>
        <v>0</v>
      </c>
      <c r="W683" s="86">
        <f t="shared" si="189"/>
        <v>0</v>
      </c>
      <c r="X683" s="86" t="e">
        <f>((PI()*((42-2*'Gen Calcs'!$E$13)^2)/4)/144)*(A726-#REF!)*(W683+14.7)/14.7</f>
        <v>#REF!</v>
      </c>
      <c r="Y683" s="86" t="e">
        <f t="shared" si="190"/>
        <v>#REF!</v>
      </c>
      <c r="Z683" s="86" t="e">
        <f t="shared" si="191"/>
        <v>#REF!</v>
      </c>
      <c r="AA683" s="83">
        <f>MAX(B$2:B683)-B683</f>
        <v>42.425899999999956</v>
      </c>
      <c r="AB683" s="83">
        <f t="shared" si="192"/>
        <v>18.37041469999998</v>
      </c>
      <c r="AC683" s="83">
        <f t="shared" si="194"/>
        <v>120</v>
      </c>
      <c r="AD683" s="72">
        <v>120</v>
      </c>
      <c r="AE683" s="73">
        <f t="shared" si="201"/>
        <v>907.92027688745009</v>
      </c>
      <c r="AF683" s="73">
        <f>SUM(AE$2:AE683)</f>
        <v>568609.46626575501</v>
      </c>
      <c r="AG683" s="73">
        <f t="shared" si="202"/>
        <v>605120.43616135418</v>
      </c>
    </row>
    <row r="684" spans="1:33" x14ac:dyDescent="0.25">
      <c r="A684" s="100">
        <v>158699.92000000001</v>
      </c>
      <c r="B684" s="97">
        <v>864.74850000000004</v>
      </c>
      <c r="C684" s="97">
        <v>0.6</v>
      </c>
      <c r="D684" s="80">
        <f t="shared" si="203"/>
        <v>100</v>
      </c>
      <c r="E684" s="81">
        <f t="shared" si="195"/>
        <v>6791.2436711181272</v>
      </c>
      <c r="F684" s="81">
        <f>SUM(E$2:E684)</f>
        <v>4256597.5373100536</v>
      </c>
      <c r="G684" s="43">
        <f t="shared" si="193"/>
        <v>1</v>
      </c>
      <c r="H684" s="78">
        <v>1</v>
      </c>
      <c r="I684" s="15">
        <f t="shared" si="196"/>
        <v>0.6</v>
      </c>
      <c r="J684" s="16">
        <f>VLOOKUP(G684,Inputs!$L$3:$P$15,5,FALSE)</f>
        <v>2000</v>
      </c>
      <c r="K684" s="16">
        <f t="shared" si="197"/>
        <v>1825</v>
      </c>
      <c r="L684" s="79">
        <f>Inputs!$P$8-B684</f>
        <v>73.442499999999995</v>
      </c>
      <c r="M684" s="79">
        <f>Inputs!$Q$8+L684*0.433</f>
        <v>1856.8006025</v>
      </c>
      <c r="N684" s="82">
        <f t="shared" si="198"/>
        <v>158699.92000000001</v>
      </c>
      <c r="O684" s="83">
        <f t="shared" si="199"/>
        <v>864.74850000000004</v>
      </c>
      <c r="P684" s="84">
        <f>IF(O684="","",Inputs!$C$5-O684)</f>
        <v>-39.564000000000078</v>
      </c>
      <c r="Q684" s="83">
        <f>IF(N684="","",TS!J684)</f>
        <v>2000</v>
      </c>
      <c r="R684" s="83">
        <f>IF(N684="","",TS!K684)</f>
        <v>1825</v>
      </c>
      <c r="S684" s="83">
        <f>Inputs!$H$5+TS!P684*0.4333</f>
        <v>1857.8226352499998</v>
      </c>
      <c r="T684" s="83">
        <f>Inputs!$G$5+TS!P684*0.4333</f>
        <v>1872.8226352499998</v>
      </c>
      <c r="U684" s="85">
        <f t="shared" si="200"/>
        <v>0.93641131762499996</v>
      </c>
      <c r="V684" s="86">
        <f t="shared" si="188"/>
        <v>0</v>
      </c>
      <c r="W684" s="86">
        <f t="shared" si="189"/>
        <v>0</v>
      </c>
      <c r="X684" s="86" t="e">
        <f>((PI()*((42-2*'Gen Calcs'!$E$13)^2)/4)/144)*(A727-#REF!)*(W684+14.7)/14.7</f>
        <v>#REF!</v>
      </c>
      <c r="Y684" s="86" t="e">
        <f t="shared" si="190"/>
        <v>#REF!</v>
      </c>
      <c r="Z684" s="86" t="e">
        <f t="shared" si="191"/>
        <v>#REF!</v>
      </c>
      <c r="AA684" s="83">
        <f>MAX(B$2:B684)-B684</f>
        <v>59.152499999999918</v>
      </c>
      <c r="AB684" s="83">
        <f t="shared" si="192"/>
        <v>25.613032499999964</v>
      </c>
      <c r="AC684" s="83">
        <f t="shared" si="194"/>
        <v>120</v>
      </c>
      <c r="AD684" s="72">
        <v>120</v>
      </c>
      <c r="AE684" s="73">
        <f t="shared" si="201"/>
        <v>907.92027688745009</v>
      </c>
      <c r="AF684" s="73">
        <f>SUM(AE$2:AE684)</f>
        <v>569517.38654264249</v>
      </c>
      <c r="AG684" s="73">
        <f t="shared" si="202"/>
        <v>604212.5158844667</v>
      </c>
    </row>
    <row r="685" spans="1:33" x14ac:dyDescent="0.25">
      <c r="A685" s="99">
        <v>158737.4</v>
      </c>
      <c r="B685" s="96">
        <v>864.74850000000004</v>
      </c>
      <c r="C685" s="96">
        <v>0.86399999999999999</v>
      </c>
      <c r="D685" s="80">
        <f t="shared" si="203"/>
        <v>37.479999999981374</v>
      </c>
      <c r="E685" s="81">
        <f t="shared" si="195"/>
        <v>2545.3581279338091</v>
      </c>
      <c r="F685" s="81">
        <f>SUM(E$2:E685)</f>
        <v>4259142.8954379875</v>
      </c>
      <c r="G685" s="43">
        <f t="shared" si="193"/>
        <v>2</v>
      </c>
      <c r="H685" s="78">
        <v>1</v>
      </c>
      <c r="I685" s="15">
        <f t="shared" si="196"/>
        <v>0.86399999999999999</v>
      </c>
      <c r="J685" s="16">
        <f>VLOOKUP(G685,Inputs!$L$3:$P$15,5,FALSE)</f>
        <v>2880</v>
      </c>
      <c r="K685" s="16">
        <f t="shared" si="197"/>
        <v>1825</v>
      </c>
      <c r="L685" s="79">
        <f>Inputs!$P$8-B685</f>
        <v>73.442499999999995</v>
      </c>
      <c r="M685" s="79">
        <f>Inputs!$Q$8+L685*0.433</f>
        <v>1856.8006025</v>
      </c>
      <c r="N685" s="82">
        <f t="shared" si="198"/>
        <v>158737.4</v>
      </c>
      <c r="O685" s="83">
        <f t="shared" si="199"/>
        <v>864.74850000000004</v>
      </c>
      <c r="P685" s="84">
        <f>IF(O685="","",Inputs!$C$5-O685)</f>
        <v>-39.564000000000078</v>
      </c>
      <c r="Q685" s="83">
        <f>IF(N685="","",TS!J685)</f>
        <v>2880</v>
      </c>
      <c r="R685" s="83">
        <f>IF(N685="","",TS!K685)</f>
        <v>1825</v>
      </c>
      <c r="S685" s="83">
        <f>Inputs!$H$5+TS!P685*0.4333</f>
        <v>1857.8226352499998</v>
      </c>
      <c r="T685" s="83">
        <f>Inputs!$G$5+TS!P685*0.4333</f>
        <v>1872.8226352499998</v>
      </c>
      <c r="U685" s="85">
        <f t="shared" si="200"/>
        <v>0.65028563723958333</v>
      </c>
      <c r="V685" s="86">
        <f t="shared" si="188"/>
        <v>0</v>
      </c>
      <c r="W685" s="86">
        <f t="shared" si="189"/>
        <v>0</v>
      </c>
      <c r="X685" s="86" t="e">
        <f>((PI()*((42-2*'Gen Calcs'!$E$13)^2)/4)/144)*(A728-#REF!)*(W685+14.7)/14.7</f>
        <v>#REF!</v>
      </c>
      <c r="Y685" s="86" t="e">
        <f t="shared" si="190"/>
        <v>#REF!</v>
      </c>
      <c r="Z685" s="86" t="e">
        <f t="shared" si="191"/>
        <v>#REF!</v>
      </c>
      <c r="AA685" s="83">
        <f>MAX(B$2:B685)-B685</f>
        <v>59.152499999999918</v>
      </c>
      <c r="AB685" s="83">
        <f t="shared" si="192"/>
        <v>25.613032499999964</v>
      </c>
      <c r="AC685" s="83">
        <f t="shared" si="194"/>
        <v>120</v>
      </c>
      <c r="AD685" s="72">
        <v>120</v>
      </c>
      <c r="AE685" s="73">
        <f t="shared" si="201"/>
        <v>331.53804170258769</v>
      </c>
      <c r="AF685" s="73">
        <f>SUM(AE$2:AE685)</f>
        <v>569848.92458434508</v>
      </c>
      <c r="AG685" s="73">
        <f t="shared" si="202"/>
        <v>603880.97784276411</v>
      </c>
    </row>
    <row r="686" spans="1:33" x14ac:dyDescent="0.25">
      <c r="A686" s="100">
        <v>158799.92000000001</v>
      </c>
      <c r="B686" s="97">
        <v>870.1</v>
      </c>
      <c r="C686" s="97">
        <v>0.6</v>
      </c>
      <c r="D686" s="80">
        <f t="shared" si="203"/>
        <v>62.520000000018626</v>
      </c>
      <c r="E686" s="81">
        <f t="shared" si="195"/>
        <v>4245.8855431843176</v>
      </c>
      <c r="F686" s="81">
        <f>SUM(E$2:E686)</f>
        <v>4263388.7809811719</v>
      </c>
      <c r="G686" s="43">
        <f t="shared" si="193"/>
        <v>1</v>
      </c>
      <c r="H686" s="78">
        <v>1</v>
      </c>
      <c r="I686" s="15">
        <f t="shared" si="196"/>
        <v>0.6</v>
      </c>
      <c r="J686" s="16">
        <f>VLOOKUP(G686,Inputs!$L$3:$P$15,5,FALSE)</f>
        <v>2000</v>
      </c>
      <c r="K686" s="16">
        <f t="shared" si="197"/>
        <v>1825</v>
      </c>
      <c r="L686" s="79">
        <f>Inputs!$P$8-B686</f>
        <v>68.091000000000008</v>
      </c>
      <c r="M686" s="79">
        <f>Inputs!$Q$8+L686*0.433</f>
        <v>1854.483403</v>
      </c>
      <c r="N686" s="82">
        <f t="shared" si="198"/>
        <v>158799.92000000001</v>
      </c>
      <c r="O686" s="83">
        <f t="shared" si="199"/>
        <v>870.1</v>
      </c>
      <c r="P686" s="84">
        <f>IF(O686="","",Inputs!$C$5-O686)</f>
        <v>-44.915500000000065</v>
      </c>
      <c r="Q686" s="83">
        <f>IF(N686="","",TS!J686)</f>
        <v>2000</v>
      </c>
      <c r="R686" s="83">
        <f>IF(N686="","",TS!K686)</f>
        <v>1825</v>
      </c>
      <c r="S686" s="83">
        <f>Inputs!$H$5+TS!P686*0.4333</f>
        <v>1855.5038302999999</v>
      </c>
      <c r="T686" s="83">
        <f>Inputs!$G$5+TS!P686*0.4333</f>
        <v>1870.5038302999999</v>
      </c>
      <c r="U686" s="85">
        <f t="shared" si="200"/>
        <v>0.93525191514999995</v>
      </c>
      <c r="V686" s="86">
        <f t="shared" si="188"/>
        <v>0</v>
      </c>
      <c r="W686" s="86">
        <f t="shared" si="189"/>
        <v>0</v>
      </c>
      <c r="X686" s="86" t="e">
        <f>((PI()*((42-2*'Gen Calcs'!$E$13)^2)/4)/144)*(A729-#REF!)*(W686+14.7)/14.7</f>
        <v>#REF!</v>
      </c>
      <c r="Y686" s="86" t="e">
        <f t="shared" si="190"/>
        <v>#REF!</v>
      </c>
      <c r="Z686" s="86" t="e">
        <f t="shared" si="191"/>
        <v>#REF!</v>
      </c>
      <c r="AA686" s="83">
        <f>MAX(B$2:B686)-B686</f>
        <v>53.800999999999931</v>
      </c>
      <c r="AB686" s="83">
        <f t="shared" si="192"/>
        <v>23.29583299999997</v>
      </c>
      <c r="AC686" s="83">
        <f t="shared" si="194"/>
        <v>120</v>
      </c>
      <c r="AD686" s="72">
        <v>120</v>
      </c>
      <c r="AE686" s="73">
        <f t="shared" si="201"/>
        <v>567.6317571102029</v>
      </c>
      <c r="AF686" s="73">
        <f>SUM(AE$2:AE686)</f>
        <v>570416.55634145532</v>
      </c>
      <c r="AG686" s="73">
        <f t="shared" si="202"/>
        <v>603313.34608565387</v>
      </c>
    </row>
    <row r="687" spans="1:33" x14ac:dyDescent="0.25">
      <c r="A687" s="99">
        <v>158897.4</v>
      </c>
      <c r="B687" s="96">
        <v>870.1</v>
      </c>
      <c r="C687" s="96">
        <v>0.86399999999999999</v>
      </c>
      <c r="D687" s="80">
        <f t="shared" si="203"/>
        <v>97.479999999981374</v>
      </c>
      <c r="E687" s="81">
        <f t="shared" si="195"/>
        <v>6620.1043306046849</v>
      </c>
      <c r="F687" s="81">
        <f>SUM(E$2:E687)</f>
        <v>4270008.8853117768</v>
      </c>
      <c r="G687" s="43">
        <f t="shared" si="193"/>
        <v>2</v>
      </c>
      <c r="H687" s="78">
        <v>1</v>
      </c>
      <c r="I687" s="15">
        <f t="shared" si="196"/>
        <v>0.86399999999999999</v>
      </c>
      <c r="J687" s="16">
        <f>VLOOKUP(G687,Inputs!$L$3:$P$15,5,FALSE)</f>
        <v>2880</v>
      </c>
      <c r="K687" s="16">
        <f t="shared" si="197"/>
        <v>1825</v>
      </c>
      <c r="L687" s="79">
        <f>Inputs!$P$8-B687</f>
        <v>68.091000000000008</v>
      </c>
      <c r="M687" s="79">
        <f>Inputs!$Q$8+L687*0.433</f>
        <v>1854.483403</v>
      </c>
      <c r="N687" s="82">
        <f t="shared" si="198"/>
        <v>158897.4</v>
      </c>
      <c r="O687" s="83">
        <f t="shared" si="199"/>
        <v>870.1</v>
      </c>
      <c r="P687" s="84">
        <f>IF(O687="","",Inputs!$C$5-O687)</f>
        <v>-44.915500000000065</v>
      </c>
      <c r="Q687" s="83">
        <f>IF(N687="","",TS!J687)</f>
        <v>2880</v>
      </c>
      <c r="R687" s="83">
        <f>IF(N687="","",TS!K687)</f>
        <v>1825</v>
      </c>
      <c r="S687" s="83">
        <f>Inputs!$H$5+TS!P687*0.4333</f>
        <v>1855.5038302999999</v>
      </c>
      <c r="T687" s="83">
        <f>Inputs!$G$5+TS!P687*0.4333</f>
        <v>1870.5038302999999</v>
      </c>
      <c r="U687" s="85">
        <f t="shared" si="200"/>
        <v>0.6494804966319444</v>
      </c>
      <c r="V687" s="86">
        <f t="shared" si="188"/>
        <v>0</v>
      </c>
      <c r="W687" s="86">
        <f t="shared" si="189"/>
        <v>0</v>
      </c>
      <c r="X687" s="86" t="e">
        <f>((PI()*((42-2*'Gen Calcs'!$E$13)^2)/4)/144)*(A730-#REF!)*(W687+14.7)/14.7</f>
        <v>#REF!</v>
      </c>
      <c r="Y687" s="86" t="e">
        <f t="shared" si="190"/>
        <v>#REF!</v>
      </c>
      <c r="Z687" s="86" t="e">
        <f t="shared" si="191"/>
        <v>#REF!</v>
      </c>
      <c r="AA687" s="83">
        <f>MAX(B$2:B687)-B687</f>
        <v>53.800999999999931</v>
      </c>
      <c r="AB687" s="83">
        <f t="shared" si="192"/>
        <v>23.29583299999997</v>
      </c>
      <c r="AC687" s="83">
        <f t="shared" si="194"/>
        <v>120</v>
      </c>
      <c r="AD687" s="72">
        <v>120</v>
      </c>
      <c r="AE687" s="73">
        <f t="shared" si="201"/>
        <v>862.28197185640704</v>
      </c>
      <c r="AF687" s="73">
        <f>SUM(AE$2:AE687)</f>
        <v>571278.83831331169</v>
      </c>
      <c r="AG687" s="73">
        <f t="shared" si="202"/>
        <v>602451.0641137975</v>
      </c>
    </row>
    <row r="688" spans="1:33" x14ac:dyDescent="0.25">
      <c r="A688" s="100">
        <v>158899.92000000001</v>
      </c>
      <c r="B688" s="97">
        <v>875.0575</v>
      </c>
      <c r="C688" s="97">
        <v>0.6</v>
      </c>
      <c r="D688" s="80">
        <f t="shared" si="203"/>
        <v>2.5200000000186265</v>
      </c>
      <c r="E688" s="81">
        <f t="shared" si="195"/>
        <v>171.13934051344174</v>
      </c>
      <c r="F688" s="81">
        <f>SUM(E$2:E688)</f>
        <v>4270180.0246522902</v>
      </c>
      <c r="G688" s="43">
        <f t="shared" si="193"/>
        <v>1</v>
      </c>
      <c r="H688" s="78">
        <v>1</v>
      </c>
      <c r="I688" s="15">
        <f t="shared" si="196"/>
        <v>0.6</v>
      </c>
      <c r="J688" s="16">
        <f>VLOOKUP(G688,Inputs!$L$3:$P$15,5,FALSE)</f>
        <v>2000</v>
      </c>
      <c r="K688" s="16">
        <f t="shared" si="197"/>
        <v>1825</v>
      </c>
      <c r="L688" s="79">
        <f>Inputs!$P$8-B688</f>
        <v>63.133500000000026</v>
      </c>
      <c r="M688" s="79">
        <f>Inputs!$Q$8+L688*0.433</f>
        <v>1852.3368055000001</v>
      </c>
      <c r="N688" s="82">
        <f t="shared" si="198"/>
        <v>158899.92000000001</v>
      </c>
      <c r="O688" s="83">
        <f t="shared" si="199"/>
        <v>875.0575</v>
      </c>
      <c r="P688" s="84">
        <f>IF(O688="","",Inputs!$C$5-O688)</f>
        <v>-49.873000000000047</v>
      </c>
      <c r="Q688" s="83">
        <f>IF(N688="","",TS!J688)</f>
        <v>2000</v>
      </c>
      <c r="R688" s="83">
        <f>IF(N688="","",TS!K688)</f>
        <v>1825</v>
      </c>
      <c r="S688" s="83">
        <f>Inputs!$H$5+TS!P688*0.4333</f>
        <v>1853.3557455499999</v>
      </c>
      <c r="T688" s="83">
        <f>Inputs!$G$5+TS!P688*0.4333</f>
        <v>1868.3557455499999</v>
      </c>
      <c r="U688" s="85">
        <f t="shared" si="200"/>
        <v>0.93417787277499997</v>
      </c>
      <c r="V688" s="86">
        <f t="shared" si="188"/>
        <v>0</v>
      </c>
      <c r="W688" s="86">
        <f t="shared" si="189"/>
        <v>0</v>
      </c>
      <c r="X688" s="86" t="e">
        <f>((PI()*((42-2*'Gen Calcs'!$E$13)^2)/4)/144)*(A731-#REF!)*(W688+14.7)/14.7</f>
        <v>#REF!</v>
      </c>
      <c r="Y688" s="86" t="e">
        <f t="shared" si="190"/>
        <v>#REF!</v>
      </c>
      <c r="Z688" s="86" t="e">
        <f t="shared" si="191"/>
        <v>#REF!</v>
      </c>
      <c r="AA688" s="83">
        <f>MAX(B$2:B688)-B688</f>
        <v>48.843499999999949</v>
      </c>
      <c r="AB688" s="83">
        <f t="shared" si="192"/>
        <v>21.149235499999978</v>
      </c>
      <c r="AC688" s="83">
        <f t="shared" si="194"/>
        <v>120</v>
      </c>
      <c r="AD688" s="72">
        <v>120</v>
      </c>
      <c r="AE688" s="73">
        <f t="shared" si="201"/>
        <v>22.879590977732853</v>
      </c>
      <c r="AF688" s="73">
        <f>SUM(AE$2:AE688)</f>
        <v>571301.71790428937</v>
      </c>
      <c r="AG688" s="73">
        <f t="shared" si="202"/>
        <v>602428.18452281982</v>
      </c>
    </row>
    <row r="689" spans="1:33" x14ac:dyDescent="0.25">
      <c r="A689" s="99">
        <v>158999.92000000001</v>
      </c>
      <c r="B689" s="96">
        <v>889.23770000000002</v>
      </c>
      <c r="C689" s="96">
        <v>0.6</v>
      </c>
      <c r="D689" s="80">
        <f t="shared" si="203"/>
        <v>100</v>
      </c>
      <c r="E689" s="81">
        <f t="shared" si="195"/>
        <v>6791.2436711181272</v>
      </c>
      <c r="F689" s="81">
        <f>SUM(E$2:E689)</f>
        <v>4276971.2683234084</v>
      </c>
      <c r="G689" s="43">
        <f t="shared" si="193"/>
        <v>1</v>
      </c>
      <c r="H689" s="78">
        <v>1</v>
      </c>
      <c r="I689" s="15">
        <f t="shared" si="196"/>
        <v>0.6</v>
      </c>
      <c r="J689" s="16">
        <f>VLOOKUP(G689,Inputs!$L$3:$P$15,5,FALSE)</f>
        <v>2000</v>
      </c>
      <c r="K689" s="16">
        <f t="shared" si="197"/>
        <v>1825</v>
      </c>
      <c r="L689" s="79">
        <f>Inputs!$P$8-B689</f>
        <v>48.953300000000013</v>
      </c>
      <c r="M689" s="79">
        <f>Inputs!$Q$8+L689*0.433</f>
        <v>1846.1967789</v>
      </c>
      <c r="N689" s="82">
        <f t="shared" si="198"/>
        <v>158999.92000000001</v>
      </c>
      <c r="O689" s="83">
        <f t="shared" si="199"/>
        <v>889.23770000000002</v>
      </c>
      <c r="P689" s="84">
        <f>IF(O689="","",Inputs!$C$5-O689)</f>
        <v>-64.053200000000061</v>
      </c>
      <c r="Q689" s="83">
        <f>IF(N689="","",TS!J689)</f>
        <v>2000</v>
      </c>
      <c r="R689" s="83">
        <f>IF(N689="","",TS!K689)</f>
        <v>1825</v>
      </c>
      <c r="S689" s="83">
        <f>Inputs!$H$5+TS!P689*0.4333</f>
        <v>1847.2114648899999</v>
      </c>
      <c r="T689" s="83">
        <f>Inputs!$G$5+TS!P689*0.4333</f>
        <v>1862.2114648899999</v>
      </c>
      <c r="U689" s="85">
        <f t="shared" si="200"/>
        <v>0.93110573244499995</v>
      </c>
      <c r="V689" s="86">
        <f t="shared" si="188"/>
        <v>0</v>
      </c>
      <c r="W689" s="86">
        <f t="shared" si="189"/>
        <v>0</v>
      </c>
      <c r="X689" s="86" t="e">
        <f>((PI()*((42-2*'Gen Calcs'!$E$13)^2)/4)/144)*(A732-#REF!)*(W689+14.7)/14.7</f>
        <v>#REF!</v>
      </c>
      <c r="Y689" s="86" t="e">
        <f t="shared" si="190"/>
        <v>#REF!</v>
      </c>
      <c r="Z689" s="86" t="e">
        <f t="shared" si="191"/>
        <v>#REF!</v>
      </c>
      <c r="AA689" s="83">
        <f>MAX(B$2:B689)-B689</f>
        <v>34.663299999999936</v>
      </c>
      <c r="AB689" s="83">
        <f t="shared" si="192"/>
        <v>15.009208899999972</v>
      </c>
      <c r="AC689" s="83">
        <f t="shared" si="194"/>
        <v>120</v>
      </c>
      <c r="AD689" s="72">
        <v>120</v>
      </c>
      <c r="AE689" s="73">
        <f t="shared" si="201"/>
        <v>907.92027688745009</v>
      </c>
      <c r="AF689" s="73">
        <f>SUM(AE$2:AE689)</f>
        <v>572209.63818117685</v>
      </c>
      <c r="AG689" s="73">
        <f t="shared" si="202"/>
        <v>601520.26424593234</v>
      </c>
    </row>
    <row r="690" spans="1:33" x14ac:dyDescent="0.25">
      <c r="A690" s="100">
        <v>159099.92000000001</v>
      </c>
      <c r="B690" s="97">
        <v>895.37980000000005</v>
      </c>
      <c r="C690" s="97">
        <v>0.6</v>
      </c>
      <c r="D690" s="80">
        <f t="shared" si="203"/>
        <v>100</v>
      </c>
      <c r="E690" s="81">
        <f t="shared" si="195"/>
        <v>6791.2436711181272</v>
      </c>
      <c r="F690" s="81">
        <f>SUM(E$2:E690)</f>
        <v>4283762.5119945267</v>
      </c>
      <c r="G690" s="43">
        <f t="shared" si="193"/>
        <v>1</v>
      </c>
      <c r="H690" s="78">
        <v>1</v>
      </c>
      <c r="I690" s="15">
        <f t="shared" si="196"/>
        <v>0.6</v>
      </c>
      <c r="J690" s="16">
        <f>VLOOKUP(G690,Inputs!$L$3:$P$15,5,FALSE)</f>
        <v>2000</v>
      </c>
      <c r="K690" s="16">
        <f t="shared" si="197"/>
        <v>1825</v>
      </c>
      <c r="L690" s="79">
        <f>Inputs!$P$8-B690</f>
        <v>42.811199999999985</v>
      </c>
      <c r="M690" s="79">
        <f>Inputs!$Q$8+L690*0.433</f>
        <v>1843.5372496</v>
      </c>
      <c r="N690" s="82">
        <f t="shared" si="198"/>
        <v>159099.92000000001</v>
      </c>
      <c r="O690" s="83">
        <f t="shared" si="199"/>
        <v>895.37980000000005</v>
      </c>
      <c r="P690" s="84">
        <f>IF(O690="","",Inputs!$C$5-O690)</f>
        <v>-70.195300000000088</v>
      </c>
      <c r="Q690" s="83">
        <f>IF(N690="","",TS!J690)</f>
        <v>2000</v>
      </c>
      <c r="R690" s="83">
        <f>IF(N690="","",TS!K690)</f>
        <v>1825</v>
      </c>
      <c r="S690" s="83">
        <f>Inputs!$H$5+TS!P690*0.4333</f>
        <v>1844.5500929599998</v>
      </c>
      <c r="T690" s="83">
        <f>Inputs!$G$5+TS!P690*0.4333</f>
        <v>1859.5500929599998</v>
      </c>
      <c r="U690" s="85">
        <f t="shared" si="200"/>
        <v>0.92977504647999987</v>
      </c>
      <c r="V690" s="86">
        <f t="shared" si="188"/>
        <v>0</v>
      </c>
      <c r="W690" s="86">
        <f t="shared" si="189"/>
        <v>0</v>
      </c>
      <c r="X690" s="86" t="e">
        <f>((PI()*((42-2*'Gen Calcs'!$E$13)^2)/4)/144)*(A733-#REF!)*(W690+14.7)/14.7</f>
        <v>#REF!</v>
      </c>
      <c r="Y690" s="86" t="e">
        <f t="shared" si="190"/>
        <v>#REF!</v>
      </c>
      <c r="Z690" s="86" t="e">
        <f t="shared" si="191"/>
        <v>#REF!</v>
      </c>
      <c r="AA690" s="83">
        <f>MAX(B$2:B690)-B690</f>
        <v>28.521199999999908</v>
      </c>
      <c r="AB690" s="83">
        <f t="shared" si="192"/>
        <v>12.349679599999961</v>
      </c>
      <c r="AC690" s="83">
        <f t="shared" si="194"/>
        <v>120</v>
      </c>
      <c r="AD690" s="72">
        <v>120</v>
      </c>
      <c r="AE690" s="73">
        <f t="shared" si="201"/>
        <v>907.92027688745009</v>
      </c>
      <c r="AF690" s="73">
        <f>SUM(AE$2:AE690)</f>
        <v>573117.55845806433</v>
      </c>
      <c r="AG690" s="73">
        <f t="shared" si="202"/>
        <v>600612.34396904486</v>
      </c>
    </row>
    <row r="691" spans="1:33" x14ac:dyDescent="0.25">
      <c r="A691" s="99">
        <v>159199.92000000001</v>
      </c>
      <c r="B691" s="96">
        <v>903.01580000000001</v>
      </c>
      <c r="C691" s="96">
        <v>0.6</v>
      </c>
      <c r="D691" s="80">
        <f t="shared" si="203"/>
        <v>100</v>
      </c>
      <c r="E691" s="81">
        <f t="shared" si="195"/>
        <v>6791.2436711181272</v>
      </c>
      <c r="F691" s="81">
        <f>SUM(E$2:E691)</f>
        <v>4290553.755665645</v>
      </c>
      <c r="G691" s="43">
        <f t="shared" si="193"/>
        <v>1</v>
      </c>
      <c r="H691" s="78">
        <v>1</v>
      </c>
      <c r="I691" s="15">
        <f t="shared" si="196"/>
        <v>0.6</v>
      </c>
      <c r="J691" s="16">
        <f>VLOOKUP(G691,Inputs!$L$3:$P$15,5,FALSE)</f>
        <v>2000</v>
      </c>
      <c r="K691" s="16">
        <f t="shared" si="197"/>
        <v>1825</v>
      </c>
      <c r="L691" s="79">
        <f>Inputs!$P$8-B691</f>
        <v>35.175200000000018</v>
      </c>
      <c r="M691" s="79">
        <f>Inputs!$Q$8+L691*0.433</f>
        <v>1840.2308616</v>
      </c>
      <c r="N691" s="82">
        <f t="shared" si="198"/>
        <v>159199.92000000001</v>
      </c>
      <c r="O691" s="83">
        <f t="shared" si="199"/>
        <v>903.01580000000001</v>
      </c>
      <c r="P691" s="84">
        <f>IF(O691="","",Inputs!$C$5-O691)</f>
        <v>-77.831300000000056</v>
      </c>
      <c r="Q691" s="83">
        <f>IF(N691="","",TS!J691)</f>
        <v>2000</v>
      </c>
      <c r="R691" s="83">
        <f>IF(N691="","",TS!K691)</f>
        <v>1825</v>
      </c>
      <c r="S691" s="83">
        <f>Inputs!$H$5+TS!P691*0.4333</f>
        <v>1841.24141416</v>
      </c>
      <c r="T691" s="83">
        <f>Inputs!$G$5+TS!P691*0.4333</f>
        <v>1856.24141416</v>
      </c>
      <c r="U691" s="85">
        <f t="shared" si="200"/>
        <v>0.92812070707999994</v>
      </c>
      <c r="V691" s="86">
        <f t="shared" si="188"/>
        <v>0</v>
      </c>
      <c r="W691" s="86">
        <f t="shared" si="189"/>
        <v>0</v>
      </c>
      <c r="X691" s="86" t="e">
        <f>((PI()*((42-2*'Gen Calcs'!$E$13)^2)/4)/144)*(A734-#REF!)*(W691+14.7)/14.7</f>
        <v>#REF!</v>
      </c>
      <c r="Y691" s="86" t="e">
        <f t="shared" si="190"/>
        <v>#REF!</v>
      </c>
      <c r="Z691" s="86" t="e">
        <f t="shared" si="191"/>
        <v>#REF!</v>
      </c>
      <c r="AA691" s="83">
        <f>MAX(B$2:B691)-B691</f>
        <v>20.885199999999941</v>
      </c>
      <c r="AB691" s="83">
        <f t="shared" si="192"/>
        <v>9.043291599999975</v>
      </c>
      <c r="AC691" s="83">
        <f t="shared" si="194"/>
        <v>120</v>
      </c>
      <c r="AD691" s="72">
        <v>120</v>
      </c>
      <c r="AE691" s="73">
        <f t="shared" si="201"/>
        <v>907.92027688745009</v>
      </c>
      <c r="AF691" s="73">
        <f>SUM(AE$2:AE691)</f>
        <v>574025.47873495182</v>
      </c>
      <c r="AG691" s="73">
        <f t="shared" si="202"/>
        <v>599704.42369215738</v>
      </c>
    </row>
    <row r="692" spans="1:33" x14ac:dyDescent="0.25">
      <c r="A692" s="100">
        <v>159299.92000000001</v>
      </c>
      <c r="B692" s="97">
        <v>909.56179999999995</v>
      </c>
      <c r="C692" s="97">
        <v>0.6</v>
      </c>
      <c r="D692" s="80">
        <f t="shared" si="203"/>
        <v>100</v>
      </c>
      <c r="E692" s="81">
        <f t="shared" si="195"/>
        <v>6791.2436711181272</v>
      </c>
      <c r="F692" s="81">
        <f>SUM(E$2:E692)</f>
        <v>4297344.9993367633</v>
      </c>
      <c r="G692" s="43">
        <f t="shared" si="193"/>
        <v>1</v>
      </c>
      <c r="H692" s="78">
        <v>1</v>
      </c>
      <c r="I692" s="15">
        <f t="shared" si="196"/>
        <v>0.6</v>
      </c>
      <c r="J692" s="16">
        <f>VLOOKUP(G692,Inputs!$L$3:$P$15,5,FALSE)</f>
        <v>2000</v>
      </c>
      <c r="K692" s="16">
        <f t="shared" si="197"/>
        <v>1825</v>
      </c>
      <c r="L692" s="79">
        <f>Inputs!$P$8-B692</f>
        <v>28.629200000000083</v>
      </c>
      <c r="M692" s="79">
        <f>Inputs!$Q$8+L692*0.433</f>
        <v>1837.3964436000001</v>
      </c>
      <c r="N692" s="82">
        <f t="shared" si="198"/>
        <v>159299.92000000001</v>
      </c>
      <c r="O692" s="83">
        <f t="shared" si="199"/>
        <v>909.56179999999995</v>
      </c>
      <c r="P692" s="84">
        <f>IF(O692="","",Inputs!$C$5-O692)</f>
        <v>-84.377299999999991</v>
      </c>
      <c r="Q692" s="83">
        <f>IF(N692="","",TS!J692)</f>
        <v>2000</v>
      </c>
      <c r="R692" s="83">
        <f>IF(N692="","",TS!K692)</f>
        <v>1825</v>
      </c>
      <c r="S692" s="83">
        <f>Inputs!$H$5+TS!P692*0.4333</f>
        <v>1838.40503236</v>
      </c>
      <c r="T692" s="83">
        <f>Inputs!$G$5+TS!P692*0.4333</f>
        <v>1853.40503236</v>
      </c>
      <c r="U692" s="85">
        <f t="shared" si="200"/>
        <v>0.92670251617999999</v>
      </c>
      <c r="V692" s="86">
        <f t="shared" si="188"/>
        <v>0</v>
      </c>
      <c r="W692" s="86">
        <f t="shared" si="189"/>
        <v>0</v>
      </c>
      <c r="X692" s="86" t="e">
        <f>((PI()*((42-2*'Gen Calcs'!$E$13)^2)/4)/144)*(A735-#REF!)*(W692+14.7)/14.7</f>
        <v>#REF!</v>
      </c>
      <c r="Y692" s="86" t="e">
        <f t="shared" si="190"/>
        <v>#REF!</v>
      </c>
      <c r="Z692" s="86" t="e">
        <f t="shared" si="191"/>
        <v>#REF!</v>
      </c>
      <c r="AA692" s="83">
        <f>MAX(B$2:B692)-B692</f>
        <v>14.339200000000005</v>
      </c>
      <c r="AB692" s="83">
        <f t="shared" si="192"/>
        <v>6.2088736000000022</v>
      </c>
      <c r="AC692" s="83">
        <f t="shared" si="194"/>
        <v>120</v>
      </c>
      <c r="AD692" s="72">
        <v>120</v>
      </c>
      <c r="AE692" s="73">
        <f t="shared" si="201"/>
        <v>907.92027688745009</v>
      </c>
      <c r="AF692" s="73">
        <f>SUM(AE$2:AE692)</f>
        <v>574933.3990118393</v>
      </c>
      <c r="AG692" s="73">
        <f t="shared" si="202"/>
        <v>598796.50341526989</v>
      </c>
    </row>
    <row r="693" spans="1:33" x14ac:dyDescent="0.25">
      <c r="A693" s="99">
        <v>159399.92000000001</v>
      </c>
      <c r="B693" s="96">
        <v>914.33720000000005</v>
      </c>
      <c r="C693" s="96">
        <v>0.6</v>
      </c>
      <c r="D693" s="80">
        <f t="shared" si="203"/>
        <v>100</v>
      </c>
      <c r="E693" s="81">
        <f t="shared" si="195"/>
        <v>6791.2436711181272</v>
      </c>
      <c r="F693" s="81">
        <f>SUM(E$2:E693)</f>
        <v>4304136.2430078816</v>
      </c>
      <c r="G693" s="43">
        <f t="shared" si="193"/>
        <v>1</v>
      </c>
      <c r="H693" s="78">
        <v>1</v>
      </c>
      <c r="I693" s="15">
        <f t="shared" si="196"/>
        <v>0.6</v>
      </c>
      <c r="J693" s="16">
        <f>VLOOKUP(G693,Inputs!$L$3:$P$15,5,FALSE)</f>
        <v>2000</v>
      </c>
      <c r="K693" s="16">
        <f t="shared" si="197"/>
        <v>1825</v>
      </c>
      <c r="L693" s="79">
        <f>Inputs!$P$8-B693</f>
        <v>23.853799999999978</v>
      </c>
      <c r="M693" s="79">
        <f>Inputs!$Q$8+L693*0.433</f>
        <v>1835.3286954</v>
      </c>
      <c r="N693" s="82">
        <f t="shared" si="198"/>
        <v>159399.92000000001</v>
      </c>
      <c r="O693" s="83">
        <f t="shared" si="199"/>
        <v>914.33720000000005</v>
      </c>
      <c r="P693" s="84">
        <f>IF(O693="","",Inputs!$C$5-O693)</f>
        <v>-89.152700000000095</v>
      </c>
      <c r="Q693" s="83">
        <f>IF(N693="","",TS!J693)</f>
        <v>2000</v>
      </c>
      <c r="R693" s="83">
        <f>IF(N693="","",TS!K693)</f>
        <v>1825</v>
      </c>
      <c r="S693" s="83">
        <f>Inputs!$H$5+TS!P693*0.4333</f>
        <v>1836.3358515399998</v>
      </c>
      <c r="T693" s="83">
        <f>Inputs!$G$5+TS!P693*0.4333</f>
        <v>1851.3358515399998</v>
      </c>
      <c r="U693" s="85">
        <f t="shared" si="200"/>
        <v>0.9256679257699999</v>
      </c>
      <c r="V693" s="86">
        <f t="shared" si="188"/>
        <v>0</v>
      </c>
      <c r="W693" s="86">
        <f t="shared" si="189"/>
        <v>0</v>
      </c>
      <c r="X693" s="86" t="e">
        <f>((PI()*((42-2*'Gen Calcs'!$E$13)^2)/4)/144)*(A736-#REF!)*(W693+14.7)/14.7</f>
        <v>#REF!</v>
      </c>
      <c r="Y693" s="86" t="e">
        <f t="shared" si="190"/>
        <v>#REF!</v>
      </c>
      <c r="Z693" s="86" t="e">
        <f t="shared" si="191"/>
        <v>#REF!</v>
      </c>
      <c r="AA693" s="83">
        <f>MAX(B$2:B693)-B693</f>
        <v>9.563799999999901</v>
      </c>
      <c r="AB693" s="83">
        <f t="shared" si="192"/>
        <v>4.1411253999999573</v>
      </c>
      <c r="AC693" s="83">
        <f t="shared" si="194"/>
        <v>120</v>
      </c>
      <c r="AD693" s="72">
        <v>120</v>
      </c>
      <c r="AE693" s="73">
        <f t="shared" si="201"/>
        <v>907.92027688745009</v>
      </c>
      <c r="AF693" s="73">
        <f>SUM(AE$2:AE693)</f>
        <v>575841.31928872678</v>
      </c>
      <c r="AG693" s="73">
        <f t="shared" si="202"/>
        <v>597888.58313838241</v>
      </c>
    </row>
    <row r="694" spans="1:33" x14ac:dyDescent="0.25">
      <c r="A694" s="100">
        <v>159499.92000000001</v>
      </c>
      <c r="B694" s="97">
        <v>913.17070000000001</v>
      </c>
      <c r="C694" s="97">
        <v>0.6</v>
      </c>
      <c r="D694" s="80">
        <f t="shared" si="203"/>
        <v>100</v>
      </c>
      <c r="E694" s="81">
        <f t="shared" si="195"/>
        <v>6791.2436711181272</v>
      </c>
      <c r="F694" s="81">
        <f>SUM(E$2:E694)</f>
        <v>4310927.4866789998</v>
      </c>
      <c r="G694" s="43">
        <f t="shared" si="193"/>
        <v>1</v>
      </c>
      <c r="H694" s="78">
        <v>1</v>
      </c>
      <c r="I694" s="15">
        <f t="shared" si="196"/>
        <v>0.6</v>
      </c>
      <c r="J694" s="16">
        <f>VLOOKUP(G694,Inputs!$L$3:$P$15,5,FALSE)</f>
        <v>2000</v>
      </c>
      <c r="K694" s="16">
        <f t="shared" si="197"/>
        <v>1825</v>
      </c>
      <c r="L694" s="79">
        <f>Inputs!$P$8-B694</f>
        <v>25.02030000000002</v>
      </c>
      <c r="M694" s="79">
        <f>Inputs!$Q$8+L694*0.433</f>
        <v>1835.8337899000001</v>
      </c>
      <c r="N694" s="82">
        <f t="shared" si="198"/>
        <v>159499.92000000001</v>
      </c>
      <c r="O694" s="83">
        <f t="shared" si="199"/>
        <v>913.17070000000001</v>
      </c>
      <c r="P694" s="84">
        <f>IF(O694="","",Inputs!$C$5-O694)</f>
        <v>-87.986200000000053</v>
      </c>
      <c r="Q694" s="83">
        <f>IF(N694="","",TS!J694)</f>
        <v>2000</v>
      </c>
      <c r="R694" s="83">
        <f>IF(N694="","",TS!K694)</f>
        <v>1825</v>
      </c>
      <c r="S694" s="83">
        <f>Inputs!$H$5+TS!P694*0.4333</f>
        <v>1836.8412959899999</v>
      </c>
      <c r="T694" s="83">
        <f>Inputs!$G$5+TS!P694*0.4333</f>
        <v>1851.8412959899999</v>
      </c>
      <c r="U694" s="85">
        <f t="shared" si="200"/>
        <v>0.92592064799499996</v>
      </c>
      <c r="V694" s="86">
        <f t="shared" ref="V694:V757" si="204">O694-MAX(O694:O694)</f>
        <v>0</v>
      </c>
      <c r="W694" s="86">
        <f t="shared" ref="W694:W757" si="205">-(V694)*0.433</f>
        <v>0</v>
      </c>
      <c r="X694" s="86" t="e">
        <f>((PI()*((42-2*'Gen Calcs'!$E$13)^2)/4)/144)*(A737-#REF!)*(W694+14.7)/14.7</f>
        <v>#REF!</v>
      </c>
      <c r="Y694" s="86" t="e">
        <f t="shared" ref="Y694:Y757" si="206">X694/1000</f>
        <v>#REF!</v>
      </c>
      <c r="Z694" s="86" t="e">
        <f t="shared" ref="Z694:Z757" si="207">IF(Y694&gt;Z693,Y694,Z693)</f>
        <v>#REF!</v>
      </c>
      <c r="AA694" s="83">
        <f>MAX(B$2:B694)-B694</f>
        <v>10.730299999999943</v>
      </c>
      <c r="AB694" s="83">
        <f t="shared" ref="AB694:AB757" si="208">AA694*0.433</f>
        <v>4.6462198999999753</v>
      </c>
      <c r="AC694" s="83">
        <f t="shared" si="194"/>
        <v>120</v>
      </c>
      <c r="AD694" s="72">
        <v>120</v>
      </c>
      <c r="AE694" s="73">
        <f t="shared" si="201"/>
        <v>907.92027688745009</v>
      </c>
      <c r="AF694" s="73">
        <f>SUM(AE$2:AE694)</f>
        <v>576749.23956561426</v>
      </c>
      <c r="AG694" s="73">
        <f t="shared" si="202"/>
        <v>596980.66286149493</v>
      </c>
    </row>
    <row r="695" spans="1:33" x14ac:dyDescent="0.25">
      <c r="A695" s="99">
        <v>159523.79999999999</v>
      </c>
      <c r="B695" s="96">
        <v>913.17070000000001</v>
      </c>
      <c r="C695" s="96">
        <v>0.86399999999999999</v>
      </c>
      <c r="D695" s="80">
        <f t="shared" si="203"/>
        <v>23.879999999975553</v>
      </c>
      <c r="E695" s="81">
        <f t="shared" si="195"/>
        <v>1621.7489886613484</v>
      </c>
      <c r="F695" s="81">
        <f>SUM(E$2:E695)</f>
        <v>4312549.2356676608</v>
      </c>
      <c r="G695" s="43">
        <f t="shared" si="193"/>
        <v>2</v>
      </c>
      <c r="H695" s="78">
        <v>1</v>
      </c>
      <c r="I695" s="15">
        <f t="shared" si="196"/>
        <v>0.86399999999999999</v>
      </c>
      <c r="J695" s="16">
        <f>VLOOKUP(G695,Inputs!$L$3:$P$15,5,FALSE)</f>
        <v>2880</v>
      </c>
      <c r="K695" s="16">
        <f t="shared" si="197"/>
        <v>1825</v>
      </c>
      <c r="L695" s="79">
        <f>Inputs!$P$8-B695</f>
        <v>25.02030000000002</v>
      </c>
      <c r="M695" s="79">
        <f>Inputs!$Q$8+L695*0.433</f>
        <v>1835.8337899000001</v>
      </c>
      <c r="N695" s="82">
        <f t="shared" si="198"/>
        <v>159523.79999999999</v>
      </c>
      <c r="O695" s="83">
        <f t="shared" si="199"/>
        <v>913.17070000000001</v>
      </c>
      <c r="P695" s="84">
        <f>IF(O695="","",Inputs!$C$5-O695)</f>
        <v>-87.986200000000053</v>
      </c>
      <c r="Q695" s="83">
        <f>IF(N695="","",TS!J695)</f>
        <v>2880</v>
      </c>
      <c r="R695" s="83">
        <f>IF(N695="","",TS!K695)</f>
        <v>1825</v>
      </c>
      <c r="S695" s="83">
        <f>Inputs!$H$5+TS!P695*0.4333</f>
        <v>1836.8412959899999</v>
      </c>
      <c r="T695" s="83">
        <f>Inputs!$G$5+TS!P695*0.4333</f>
        <v>1851.8412959899999</v>
      </c>
      <c r="U695" s="85">
        <f t="shared" si="200"/>
        <v>0.64300044999652772</v>
      </c>
      <c r="V695" s="86">
        <f t="shared" si="204"/>
        <v>0</v>
      </c>
      <c r="W695" s="86">
        <f t="shared" si="205"/>
        <v>0</v>
      </c>
      <c r="X695" s="86" t="e">
        <f>((PI()*((42-2*'Gen Calcs'!$E$13)^2)/4)/144)*(A738-#REF!)*(W695+14.7)/14.7</f>
        <v>#REF!</v>
      </c>
      <c r="Y695" s="86" t="e">
        <f t="shared" si="206"/>
        <v>#REF!</v>
      </c>
      <c r="Z695" s="86" t="e">
        <f t="shared" si="207"/>
        <v>#REF!</v>
      </c>
      <c r="AA695" s="83">
        <f>MAX(B$2:B695)-B695</f>
        <v>10.730299999999943</v>
      </c>
      <c r="AB695" s="83">
        <f t="shared" si="208"/>
        <v>4.6462198999999753</v>
      </c>
      <c r="AC695" s="83">
        <f t="shared" si="194"/>
        <v>120</v>
      </c>
      <c r="AD695" s="72">
        <v>120</v>
      </c>
      <c r="AE695" s="73">
        <f t="shared" si="201"/>
        <v>211.23608420100385</v>
      </c>
      <c r="AF695" s="73">
        <f>SUM(AE$2:AE695)</f>
        <v>576960.47564981529</v>
      </c>
      <c r="AG695" s="73">
        <f t="shared" si="202"/>
        <v>596769.42677729391</v>
      </c>
    </row>
    <row r="696" spans="1:33" x14ac:dyDescent="0.25">
      <c r="A696" s="100">
        <v>159599.92000000001</v>
      </c>
      <c r="B696" s="97">
        <v>913.16340000000002</v>
      </c>
      <c r="C696" s="97">
        <v>0.6</v>
      </c>
      <c r="D696" s="80">
        <f t="shared" si="203"/>
        <v>76.120000000024447</v>
      </c>
      <c r="E696" s="81">
        <f t="shared" si="195"/>
        <v>5169.4946824567787</v>
      </c>
      <c r="F696" s="81">
        <f>SUM(E$2:E696)</f>
        <v>4317718.7303501172</v>
      </c>
      <c r="G696" s="43">
        <f t="shared" si="193"/>
        <v>1</v>
      </c>
      <c r="H696" s="78">
        <v>1</v>
      </c>
      <c r="I696" s="15">
        <f t="shared" si="196"/>
        <v>0.6</v>
      </c>
      <c r="J696" s="16">
        <f>VLOOKUP(G696,Inputs!$L$3:$P$15,5,FALSE)</f>
        <v>2000</v>
      </c>
      <c r="K696" s="16">
        <f t="shared" si="197"/>
        <v>1825</v>
      </c>
      <c r="L696" s="79">
        <f>Inputs!$P$8-B696</f>
        <v>25.027600000000007</v>
      </c>
      <c r="M696" s="79">
        <f>Inputs!$Q$8+L696*0.433</f>
        <v>1835.8369508000001</v>
      </c>
      <c r="N696" s="82">
        <f t="shared" si="198"/>
        <v>159599.92000000001</v>
      </c>
      <c r="O696" s="83">
        <f t="shared" si="199"/>
        <v>913.16340000000002</v>
      </c>
      <c r="P696" s="84">
        <f>IF(O696="","",Inputs!$C$5-O696)</f>
        <v>-87.978900000000067</v>
      </c>
      <c r="Q696" s="83">
        <f>IF(N696="","",TS!J696)</f>
        <v>2000</v>
      </c>
      <c r="R696" s="83">
        <f>IF(N696="","",TS!K696)</f>
        <v>1825</v>
      </c>
      <c r="S696" s="83">
        <f>Inputs!$H$5+TS!P696*0.4333</f>
        <v>1836.84445908</v>
      </c>
      <c r="T696" s="83">
        <f>Inputs!$G$5+TS!P696*0.4333</f>
        <v>1851.84445908</v>
      </c>
      <c r="U696" s="85">
        <f t="shared" si="200"/>
        <v>0.92592222954000003</v>
      </c>
      <c r="V696" s="86">
        <f t="shared" si="204"/>
        <v>0</v>
      </c>
      <c r="W696" s="86">
        <f t="shared" si="205"/>
        <v>0</v>
      </c>
      <c r="X696" s="86" t="e">
        <f>((PI()*((42-2*'Gen Calcs'!$E$13)^2)/4)/144)*(A739-#REF!)*(W696+14.7)/14.7</f>
        <v>#REF!</v>
      </c>
      <c r="Y696" s="86" t="e">
        <f t="shared" si="206"/>
        <v>#REF!</v>
      </c>
      <c r="Z696" s="86" t="e">
        <f t="shared" si="207"/>
        <v>#REF!</v>
      </c>
      <c r="AA696" s="83">
        <f>MAX(B$2:B696)-B696</f>
        <v>10.737599999999929</v>
      </c>
      <c r="AB696" s="83">
        <f t="shared" si="208"/>
        <v>4.6493807999999692</v>
      </c>
      <c r="AC696" s="83">
        <f t="shared" si="194"/>
        <v>120</v>
      </c>
      <c r="AD696" s="72">
        <v>120</v>
      </c>
      <c r="AE696" s="73">
        <f t="shared" si="201"/>
        <v>691.10891476694894</v>
      </c>
      <c r="AF696" s="73">
        <f>SUM(AE$2:AE696)</f>
        <v>577651.58456458221</v>
      </c>
      <c r="AG696" s="73">
        <f t="shared" si="202"/>
        <v>596078.31786252698</v>
      </c>
    </row>
    <row r="697" spans="1:33" x14ac:dyDescent="0.25">
      <c r="A697" s="99">
        <v>159643.79999999999</v>
      </c>
      <c r="B697" s="96">
        <v>913.16340000000002</v>
      </c>
      <c r="C697" s="96">
        <v>0.86399999999999999</v>
      </c>
      <c r="D697" s="80">
        <f t="shared" si="203"/>
        <v>43.879999999975553</v>
      </c>
      <c r="E697" s="81">
        <f t="shared" si="195"/>
        <v>2979.9977228849734</v>
      </c>
      <c r="F697" s="81">
        <f>SUM(E$2:E697)</f>
        <v>4320698.7280730018</v>
      </c>
      <c r="G697" s="43">
        <f t="shared" si="193"/>
        <v>2</v>
      </c>
      <c r="H697" s="78">
        <v>1</v>
      </c>
      <c r="I697" s="15">
        <f t="shared" si="196"/>
        <v>0.86399999999999999</v>
      </c>
      <c r="J697" s="16">
        <f>VLOOKUP(G697,Inputs!$L$3:$P$15,5,FALSE)</f>
        <v>2880</v>
      </c>
      <c r="K697" s="16">
        <f t="shared" si="197"/>
        <v>1825</v>
      </c>
      <c r="L697" s="79">
        <f>Inputs!$P$8-B697</f>
        <v>25.027600000000007</v>
      </c>
      <c r="M697" s="79">
        <f>Inputs!$Q$8+L697*0.433</f>
        <v>1835.8369508000001</v>
      </c>
      <c r="N697" s="82">
        <f t="shared" si="198"/>
        <v>159643.79999999999</v>
      </c>
      <c r="O697" s="83">
        <f t="shared" si="199"/>
        <v>913.16340000000002</v>
      </c>
      <c r="P697" s="84">
        <f>IF(O697="","",Inputs!$C$5-O697)</f>
        <v>-87.978900000000067</v>
      </c>
      <c r="Q697" s="83">
        <f>IF(N697="","",TS!J697)</f>
        <v>2880</v>
      </c>
      <c r="R697" s="83">
        <f>IF(N697="","",TS!K697)</f>
        <v>1825</v>
      </c>
      <c r="S697" s="83">
        <f>Inputs!$H$5+TS!P697*0.4333</f>
        <v>1836.84445908</v>
      </c>
      <c r="T697" s="83">
        <f>Inputs!$G$5+TS!P697*0.4333</f>
        <v>1851.84445908</v>
      </c>
      <c r="U697" s="85">
        <f t="shared" si="200"/>
        <v>0.64300154829166667</v>
      </c>
      <c r="V697" s="86">
        <f t="shared" si="204"/>
        <v>0</v>
      </c>
      <c r="W697" s="86">
        <f t="shared" si="205"/>
        <v>0</v>
      </c>
      <c r="X697" s="86" t="e">
        <f>((PI()*((42-2*'Gen Calcs'!$E$13)^2)/4)/144)*(A740-#REF!)*(W697+14.7)/14.7</f>
        <v>#REF!</v>
      </c>
      <c r="Y697" s="86" t="e">
        <f t="shared" si="206"/>
        <v>#REF!</v>
      </c>
      <c r="Z697" s="86" t="e">
        <f t="shared" si="207"/>
        <v>#REF!</v>
      </c>
      <c r="AA697" s="83">
        <f>MAX(B$2:B697)-B697</f>
        <v>10.737599999999929</v>
      </c>
      <c r="AB697" s="83">
        <f t="shared" si="208"/>
        <v>4.6493807999999692</v>
      </c>
      <c r="AC697" s="83">
        <f t="shared" si="194"/>
        <v>120</v>
      </c>
      <c r="AD697" s="72">
        <v>120</v>
      </c>
      <c r="AE697" s="73">
        <f t="shared" si="201"/>
        <v>388.1507275856103</v>
      </c>
      <c r="AF697" s="73">
        <f>SUM(AE$2:AE697)</f>
        <v>578039.73529216787</v>
      </c>
      <c r="AG697" s="73">
        <f t="shared" si="202"/>
        <v>595690.16713494132</v>
      </c>
    </row>
    <row r="698" spans="1:33" x14ac:dyDescent="0.25">
      <c r="A698" s="100">
        <v>159699.92000000001</v>
      </c>
      <c r="B698" s="97">
        <v>918.22199999999998</v>
      </c>
      <c r="C698" s="97">
        <v>0.6</v>
      </c>
      <c r="D698" s="80">
        <f t="shared" si="203"/>
        <v>56.120000000024447</v>
      </c>
      <c r="E698" s="81">
        <f t="shared" si="195"/>
        <v>3811.2459482331528</v>
      </c>
      <c r="F698" s="81">
        <f>SUM(E$2:E698)</f>
        <v>4324509.9740212345</v>
      </c>
      <c r="G698" s="43">
        <f t="shared" si="193"/>
        <v>1</v>
      </c>
      <c r="H698" s="78">
        <v>1</v>
      </c>
      <c r="I698" s="15">
        <f t="shared" si="196"/>
        <v>0.6</v>
      </c>
      <c r="J698" s="16">
        <f>VLOOKUP(G698,Inputs!$L$3:$P$15,5,FALSE)</f>
        <v>2000</v>
      </c>
      <c r="K698" s="16">
        <f t="shared" si="197"/>
        <v>1825</v>
      </c>
      <c r="L698" s="79">
        <f>Inputs!$P$8-B698</f>
        <v>19.969000000000051</v>
      </c>
      <c r="M698" s="79">
        <f>Inputs!$Q$8+L698*0.433</f>
        <v>1833.646577</v>
      </c>
      <c r="N698" s="82">
        <f t="shared" si="198"/>
        <v>159699.92000000001</v>
      </c>
      <c r="O698" s="83">
        <f t="shared" si="199"/>
        <v>918.22199999999998</v>
      </c>
      <c r="P698" s="84">
        <f>IF(O698="","",Inputs!$C$5-O698)</f>
        <v>-93.037500000000023</v>
      </c>
      <c r="Q698" s="83">
        <f>IF(N698="","",TS!J698)</f>
        <v>2000</v>
      </c>
      <c r="R698" s="83">
        <f>IF(N698="","",TS!K698)</f>
        <v>1825</v>
      </c>
      <c r="S698" s="83">
        <f>Inputs!$H$5+TS!P698*0.4333</f>
        <v>1834.6525677</v>
      </c>
      <c r="T698" s="83">
        <f>Inputs!$G$5+TS!P698*0.4333</f>
        <v>1849.6525677</v>
      </c>
      <c r="U698" s="85">
        <f t="shared" si="200"/>
        <v>0.92482628384999999</v>
      </c>
      <c r="V698" s="86">
        <f t="shared" si="204"/>
        <v>0</v>
      </c>
      <c r="W698" s="86">
        <f t="shared" si="205"/>
        <v>0</v>
      </c>
      <c r="X698" s="86" t="e">
        <f>((PI()*((42-2*'Gen Calcs'!$E$13)^2)/4)/144)*(A741-#REF!)*(W698+14.7)/14.7</f>
        <v>#REF!</v>
      </c>
      <c r="Y698" s="86" t="e">
        <f t="shared" si="206"/>
        <v>#REF!</v>
      </c>
      <c r="Z698" s="86" t="e">
        <f t="shared" si="207"/>
        <v>#REF!</v>
      </c>
      <c r="AA698" s="83">
        <f>MAX(B$2:B698)-B698</f>
        <v>5.6789999999999736</v>
      </c>
      <c r="AB698" s="83">
        <f t="shared" si="208"/>
        <v>2.4590069999999886</v>
      </c>
      <c r="AC698" s="83">
        <f t="shared" si="194"/>
        <v>120</v>
      </c>
      <c r="AD698" s="72">
        <v>120</v>
      </c>
      <c r="AE698" s="73">
        <f t="shared" si="201"/>
        <v>509.52485938945892</v>
      </c>
      <c r="AF698" s="73">
        <f>SUM(AE$2:AE698)</f>
        <v>578549.26015155728</v>
      </c>
      <c r="AG698" s="73">
        <f t="shared" si="202"/>
        <v>595180.64227555192</v>
      </c>
    </row>
    <row r="699" spans="1:33" x14ac:dyDescent="0.25">
      <c r="A699" s="99">
        <v>159799.92000000001</v>
      </c>
      <c r="B699" s="96">
        <v>922.67740000000003</v>
      </c>
      <c r="C699" s="96">
        <v>0.6</v>
      </c>
      <c r="D699" s="80">
        <f t="shared" si="203"/>
        <v>100</v>
      </c>
      <c r="E699" s="81">
        <f t="shared" si="195"/>
        <v>6791.2436711181272</v>
      </c>
      <c r="F699" s="81">
        <f>SUM(E$2:E699)</f>
        <v>4331301.2176923528</v>
      </c>
      <c r="G699" s="43">
        <f t="shared" si="193"/>
        <v>1</v>
      </c>
      <c r="H699" s="78">
        <v>1</v>
      </c>
      <c r="I699" s="15">
        <f t="shared" si="196"/>
        <v>0.6</v>
      </c>
      <c r="J699" s="16">
        <f>VLOOKUP(G699,Inputs!$L$3:$P$15,5,FALSE)</f>
        <v>2000</v>
      </c>
      <c r="K699" s="16">
        <f t="shared" si="197"/>
        <v>1825</v>
      </c>
      <c r="L699" s="79">
        <f>Inputs!$P$8-B699</f>
        <v>15.513599999999997</v>
      </c>
      <c r="M699" s="79">
        <f>Inputs!$Q$8+L699*0.433</f>
        <v>1831.7173888</v>
      </c>
      <c r="N699" s="82">
        <f t="shared" si="198"/>
        <v>159799.92000000001</v>
      </c>
      <c r="O699" s="83">
        <f t="shared" si="199"/>
        <v>922.67740000000003</v>
      </c>
      <c r="P699" s="84">
        <f>IF(O699="","",Inputs!$C$5-O699)</f>
        <v>-97.492900000000077</v>
      </c>
      <c r="Q699" s="83">
        <f>IF(N699="","",TS!J699)</f>
        <v>2000</v>
      </c>
      <c r="R699" s="83">
        <f>IF(N699="","",TS!K699)</f>
        <v>1825</v>
      </c>
      <c r="S699" s="83">
        <f>Inputs!$H$5+TS!P699*0.4333</f>
        <v>1832.7220428799999</v>
      </c>
      <c r="T699" s="83">
        <f>Inputs!$G$5+TS!P699*0.4333</f>
        <v>1847.7220428799999</v>
      </c>
      <c r="U699" s="85">
        <f t="shared" si="200"/>
        <v>0.92386102143999993</v>
      </c>
      <c r="V699" s="86">
        <f t="shared" si="204"/>
        <v>0</v>
      </c>
      <c r="W699" s="86">
        <f t="shared" si="205"/>
        <v>0</v>
      </c>
      <c r="X699" s="86" t="e">
        <f>((PI()*((42-2*'Gen Calcs'!$E$13)^2)/4)/144)*(A742-#REF!)*(W699+14.7)/14.7</f>
        <v>#REF!</v>
      </c>
      <c r="Y699" s="86" t="e">
        <f t="shared" si="206"/>
        <v>#REF!</v>
      </c>
      <c r="Z699" s="86" t="e">
        <f t="shared" si="207"/>
        <v>#REF!</v>
      </c>
      <c r="AA699" s="83">
        <f>MAX(B$2:B699)-B699</f>
        <v>1.2235999999999194</v>
      </c>
      <c r="AB699" s="83">
        <f t="shared" si="208"/>
        <v>0.52981879999996506</v>
      </c>
      <c r="AC699" s="83">
        <f t="shared" si="194"/>
        <v>120</v>
      </c>
      <c r="AD699" s="72">
        <v>120</v>
      </c>
      <c r="AE699" s="73">
        <f t="shared" si="201"/>
        <v>907.92027688745009</v>
      </c>
      <c r="AF699" s="73">
        <f>SUM(AE$2:AE699)</f>
        <v>579457.18042844476</v>
      </c>
      <c r="AG699" s="73">
        <f t="shared" si="202"/>
        <v>594272.72199866443</v>
      </c>
    </row>
    <row r="700" spans="1:33" x14ac:dyDescent="0.25">
      <c r="A700" s="100">
        <v>159899.92000000001</v>
      </c>
      <c r="B700" s="97">
        <v>927.84100000000001</v>
      </c>
      <c r="C700" s="97">
        <v>0.6</v>
      </c>
      <c r="D700" s="80">
        <f t="shared" si="203"/>
        <v>100</v>
      </c>
      <c r="E700" s="81">
        <f t="shared" si="195"/>
        <v>6791.2436711181272</v>
      </c>
      <c r="F700" s="81">
        <f>SUM(E$2:E700)</f>
        <v>4338092.4613634711</v>
      </c>
      <c r="G700" s="43">
        <f t="shared" si="193"/>
        <v>1</v>
      </c>
      <c r="H700" s="78">
        <v>1</v>
      </c>
      <c r="I700" s="15">
        <f t="shared" si="196"/>
        <v>0.6</v>
      </c>
      <c r="J700" s="16">
        <f>VLOOKUP(G700,Inputs!$L$3:$P$15,5,FALSE)</f>
        <v>2000</v>
      </c>
      <c r="K700" s="16">
        <f t="shared" si="197"/>
        <v>1825</v>
      </c>
      <c r="L700" s="79">
        <f>Inputs!$P$8-B700</f>
        <v>10.350000000000023</v>
      </c>
      <c r="M700" s="79">
        <f>Inputs!$Q$8+L700*0.433</f>
        <v>1829.48155</v>
      </c>
      <c r="N700" s="82">
        <f t="shared" si="198"/>
        <v>159899.92000000001</v>
      </c>
      <c r="O700" s="83">
        <f t="shared" si="199"/>
        <v>927.84100000000001</v>
      </c>
      <c r="P700" s="84">
        <f>IF(O700="","",Inputs!$C$5-O700)</f>
        <v>-102.65650000000005</v>
      </c>
      <c r="Q700" s="83">
        <f>IF(N700="","",TS!J700)</f>
        <v>2000</v>
      </c>
      <c r="R700" s="83">
        <f>IF(N700="","",TS!K700)</f>
        <v>1825</v>
      </c>
      <c r="S700" s="83">
        <f>Inputs!$H$5+TS!P700*0.4333</f>
        <v>1830.484655</v>
      </c>
      <c r="T700" s="83">
        <f>Inputs!$G$5+TS!P700*0.4333</f>
        <v>1845.484655</v>
      </c>
      <c r="U700" s="85">
        <f t="shared" si="200"/>
        <v>0.92274232749999996</v>
      </c>
      <c r="V700" s="86">
        <f t="shared" si="204"/>
        <v>0</v>
      </c>
      <c r="W700" s="86">
        <f t="shared" si="205"/>
        <v>0</v>
      </c>
      <c r="X700" s="86" t="e">
        <f>((PI()*((42-2*'Gen Calcs'!$E$13)^2)/4)/144)*(A743-#REF!)*(W700+14.7)/14.7</f>
        <v>#REF!</v>
      </c>
      <c r="Y700" s="86" t="e">
        <f t="shared" si="206"/>
        <v>#REF!</v>
      </c>
      <c r="Z700" s="86" t="e">
        <f t="shared" si="207"/>
        <v>#REF!</v>
      </c>
      <c r="AA700" s="83">
        <f>MAX(B$2:B700)-B700</f>
        <v>0</v>
      </c>
      <c r="AB700" s="83">
        <f t="shared" si="208"/>
        <v>0</v>
      </c>
      <c r="AC700" s="83">
        <f t="shared" si="194"/>
        <v>120</v>
      </c>
      <c r="AD700" s="72">
        <v>120</v>
      </c>
      <c r="AE700" s="73">
        <f t="shared" si="201"/>
        <v>907.92027688745009</v>
      </c>
      <c r="AF700" s="73">
        <f>SUM(AE$2:AE700)</f>
        <v>580365.10070533224</v>
      </c>
      <c r="AG700" s="73">
        <f t="shared" si="202"/>
        <v>593364.80172177695</v>
      </c>
    </row>
    <row r="701" spans="1:33" x14ac:dyDescent="0.25">
      <c r="A701" s="99">
        <v>159999.92000000001</v>
      </c>
      <c r="B701" s="96">
        <v>931.04129999999998</v>
      </c>
      <c r="C701" s="96">
        <v>0.6</v>
      </c>
      <c r="D701" s="80">
        <f t="shared" si="203"/>
        <v>100</v>
      </c>
      <c r="E701" s="81">
        <f t="shared" si="195"/>
        <v>6791.2436711181272</v>
      </c>
      <c r="F701" s="81">
        <f>SUM(E$2:E701)</f>
        <v>4344883.7050345894</v>
      </c>
      <c r="G701" s="43">
        <f t="shared" si="193"/>
        <v>1</v>
      </c>
      <c r="H701" s="78">
        <v>1</v>
      </c>
      <c r="I701" s="15">
        <f t="shared" si="196"/>
        <v>0.6</v>
      </c>
      <c r="J701" s="16">
        <f>VLOOKUP(G701,Inputs!$L$3:$P$15,5,FALSE)</f>
        <v>2000</v>
      </c>
      <c r="K701" s="16">
        <f t="shared" si="197"/>
        <v>1825</v>
      </c>
      <c r="L701" s="79">
        <f>Inputs!$P$8-B701</f>
        <v>7.1497000000000526</v>
      </c>
      <c r="M701" s="79">
        <f>Inputs!$Q$8+L701*0.433</f>
        <v>1828.0958201000001</v>
      </c>
      <c r="N701" s="82">
        <f t="shared" si="198"/>
        <v>159999.92000000001</v>
      </c>
      <c r="O701" s="83">
        <f t="shared" si="199"/>
        <v>931.04129999999998</v>
      </c>
      <c r="P701" s="84">
        <f>IF(O701="","",Inputs!$C$5-O701)</f>
        <v>-105.85680000000002</v>
      </c>
      <c r="Q701" s="83">
        <f>IF(N701="","",TS!J701)</f>
        <v>2000</v>
      </c>
      <c r="R701" s="83">
        <f>IF(N701="","",TS!K701)</f>
        <v>1825</v>
      </c>
      <c r="S701" s="83">
        <f>Inputs!$H$5+TS!P701*0.4333</f>
        <v>1829.0979650099998</v>
      </c>
      <c r="T701" s="83">
        <f>Inputs!$G$5+TS!P701*0.4333</f>
        <v>1844.0979650099998</v>
      </c>
      <c r="U701" s="85">
        <f t="shared" si="200"/>
        <v>0.92204898250499989</v>
      </c>
      <c r="V701" s="86">
        <f t="shared" si="204"/>
        <v>0</v>
      </c>
      <c r="W701" s="86">
        <f t="shared" si="205"/>
        <v>0</v>
      </c>
      <c r="X701" s="86" t="e">
        <f>((PI()*((42-2*'Gen Calcs'!$E$13)^2)/4)/144)*(A744-#REF!)*(W701+14.7)/14.7</f>
        <v>#REF!</v>
      </c>
      <c r="Y701" s="86" t="e">
        <f t="shared" si="206"/>
        <v>#REF!</v>
      </c>
      <c r="Z701" s="86" t="e">
        <f t="shared" si="207"/>
        <v>#REF!</v>
      </c>
      <c r="AA701" s="83">
        <f>MAX(B$2:B701)-B701</f>
        <v>0</v>
      </c>
      <c r="AB701" s="83">
        <f t="shared" si="208"/>
        <v>0</v>
      </c>
      <c r="AC701" s="83">
        <f t="shared" si="194"/>
        <v>120</v>
      </c>
      <c r="AD701" s="72">
        <v>120</v>
      </c>
      <c r="AE701" s="73">
        <f t="shared" si="201"/>
        <v>907.92027688745009</v>
      </c>
      <c r="AF701" s="73">
        <f>SUM(AE$2:AE701)</f>
        <v>581273.02098221972</v>
      </c>
      <c r="AG701" s="73">
        <f t="shared" si="202"/>
        <v>592456.88144488947</v>
      </c>
    </row>
    <row r="702" spans="1:33" x14ac:dyDescent="0.25">
      <c r="A702" s="100">
        <v>160099.92000000001</v>
      </c>
      <c r="B702" s="97">
        <v>933.22230000000002</v>
      </c>
      <c r="C702" s="97">
        <v>0.6</v>
      </c>
      <c r="D702" s="80">
        <f t="shared" si="203"/>
        <v>100</v>
      </c>
      <c r="E702" s="81">
        <f t="shared" si="195"/>
        <v>6791.2436711181272</v>
      </c>
      <c r="F702" s="81">
        <f>SUM(E$2:E702)</f>
        <v>4351674.9487057077</v>
      </c>
      <c r="G702" s="43">
        <f t="shared" si="193"/>
        <v>1</v>
      </c>
      <c r="H702" s="78">
        <v>1</v>
      </c>
      <c r="I702" s="15">
        <f t="shared" si="196"/>
        <v>0.6</v>
      </c>
      <c r="J702" s="16">
        <f>VLOOKUP(G702,Inputs!$L$3:$P$15,5,FALSE)</f>
        <v>2000</v>
      </c>
      <c r="K702" s="16">
        <f t="shared" si="197"/>
        <v>1825</v>
      </c>
      <c r="L702" s="79">
        <f>Inputs!$P$8-B702</f>
        <v>4.9687000000000126</v>
      </c>
      <c r="M702" s="79">
        <f>Inputs!$Q$8+L702*0.433</f>
        <v>1827.1514471</v>
      </c>
      <c r="N702" s="82">
        <f t="shared" si="198"/>
        <v>160099.92000000001</v>
      </c>
      <c r="O702" s="83">
        <f t="shared" si="199"/>
        <v>933.22230000000002</v>
      </c>
      <c r="P702" s="84">
        <f>IF(O702="","",Inputs!$C$5-O702)</f>
        <v>-108.03780000000006</v>
      </c>
      <c r="Q702" s="83">
        <f>IF(N702="","",TS!J702)</f>
        <v>2000</v>
      </c>
      <c r="R702" s="83">
        <f>IF(N702="","",TS!K702)</f>
        <v>1825</v>
      </c>
      <c r="S702" s="83">
        <f>Inputs!$H$5+TS!P702*0.4333</f>
        <v>1828.1529377099998</v>
      </c>
      <c r="T702" s="83">
        <f>Inputs!$G$5+TS!P702*0.4333</f>
        <v>1843.1529377099998</v>
      </c>
      <c r="U702" s="85">
        <f t="shared" si="200"/>
        <v>0.92157646885499989</v>
      </c>
      <c r="V702" s="86">
        <f t="shared" si="204"/>
        <v>0</v>
      </c>
      <c r="W702" s="86">
        <f t="shared" si="205"/>
        <v>0</v>
      </c>
      <c r="X702" s="86" t="e">
        <f>((PI()*((42-2*'Gen Calcs'!$E$13)^2)/4)/144)*(A745-#REF!)*(W702+14.7)/14.7</f>
        <v>#REF!</v>
      </c>
      <c r="Y702" s="86" t="e">
        <f t="shared" si="206"/>
        <v>#REF!</v>
      </c>
      <c r="Z702" s="86" t="e">
        <f t="shared" si="207"/>
        <v>#REF!</v>
      </c>
      <c r="AA702" s="83">
        <f>MAX(B$2:B702)-B702</f>
        <v>0</v>
      </c>
      <c r="AB702" s="83">
        <f t="shared" si="208"/>
        <v>0</v>
      </c>
      <c r="AC702" s="83">
        <f t="shared" si="194"/>
        <v>120</v>
      </c>
      <c r="AD702" s="72">
        <v>120</v>
      </c>
      <c r="AE702" s="73">
        <f t="shared" si="201"/>
        <v>907.92027688745009</v>
      </c>
      <c r="AF702" s="73">
        <f>SUM(AE$2:AE702)</f>
        <v>582180.9412591072</v>
      </c>
      <c r="AG702" s="73">
        <f t="shared" si="202"/>
        <v>591548.96116800199</v>
      </c>
    </row>
    <row r="703" spans="1:33" x14ac:dyDescent="0.25">
      <c r="A703" s="99">
        <v>160199.92000000001</v>
      </c>
      <c r="B703" s="96">
        <v>934.56119999999999</v>
      </c>
      <c r="C703" s="96">
        <v>0.6</v>
      </c>
      <c r="D703" s="80">
        <f t="shared" si="203"/>
        <v>100</v>
      </c>
      <c r="E703" s="81">
        <f t="shared" si="195"/>
        <v>6791.2436711181272</v>
      </c>
      <c r="F703" s="81">
        <f>SUM(E$2:E703)</f>
        <v>4358466.192376826</v>
      </c>
      <c r="G703" s="43">
        <f t="shared" si="193"/>
        <v>1</v>
      </c>
      <c r="H703" s="78">
        <v>1</v>
      </c>
      <c r="I703" s="15">
        <f t="shared" si="196"/>
        <v>0.6</v>
      </c>
      <c r="J703" s="16">
        <f>VLOOKUP(G703,Inputs!$L$3:$P$15,5,FALSE)</f>
        <v>2000</v>
      </c>
      <c r="K703" s="16">
        <f t="shared" si="197"/>
        <v>1825</v>
      </c>
      <c r="L703" s="79">
        <f>Inputs!$P$8-B703</f>
        <v>3.6298000000000457</v>
      </c>
      <c r="M703" s="79">
        <f>Inputs!$Q$8+L703*0.433</f>
        <v>1826.5717033999999</v>
      </c>
      <c r="N703" s="82">
        <f t="shared" si="198"/>
        <v>160199.92000000001</v>
      </c>
      <c r="O703" s="83">
        <f t="shared" si="199"/>
        <v>934.56119999999999</v>
      </c>
      <c r="P703" s="84">
        <f>IF(O703="","",Inputs!$C$5-O703)</f>
        <v>-109.37670000000003</v>
      </c>
      <c r="Q703" s="83">
        <f>IF(N703="","",TS!J703)</f>
        <v>2000</v>
      </c>
      <c r="R703" s="83">
        <f>IF(N703="","",TS!K703)</f>
        <v>1825</v>
      </c>
      <c r="S703" s="83">
        <f>Inputs!$H$5+TS!P703*0.4333</f>
        <v>1827.57279234</v>
      </c>
      <c r="T703" s="83">
        <f>Inputs!$G$5+TS!P703*0.4333</f>
        <v>1842.57279234</v>
      </c>
      <c r="U703" s="85">
        <f t="shared" si="200"/>
        <v>0.92128639616999997</v>
      </c>
      <c r="V703" s="86">
        <f t="shared" si="204"/>
        <v>0</v>
      </c>
      <c r="W703" s="86">
        <f t="shared" si="205"/>
        <v>0</v>
      </c>
      <c r="X703" s="86" t="e">
        <f>((PI()*((42-2*'Gen Calcs'!$E$13)^2)/4)/144)*(A746-#REF!)*(W703+14.7)/14.7</f>
        <v>#REF!</v>
      </c>
      <c r="Y703" s="86" t="e">
        <f t="shared" si="206"/>
        <v>#REF!</v>
      </c>
      <c r="Z703" s="86" t="e">
        <f t="shared" si="207"/>
        <v>#REF!</v>
      </c>
      <c r="AA703" s="83">
        <f>MAX(B$2:B703)-B703</f>
        <v>0</v>
      </c>
      <c r="AB703" s="83">
        <f t="shared" si="208"/>
        <v>0</v>
      </c>
      <c r="AC703" s="83">
        <f t="shared" si="194"/>
        <v>120</v>
      </c>
      <c r="AD703" s="72">
        <v>120</v>
      </c>
      <c r="AE703" s="73">
        <f t="shared" si="201"/>
        <v>907.92027688745009</v>
      </c>
      <c r="AF703" s="73">
        <f>SUM(AE$2:AE703)</f>
        <v>583088.86153599469</v>
      </c>
      <c r="AG703" s="73">
        <f t="shared" si="202"/>
        <v>590641.04089111451</v>
      </c>
    </row>
    <row r="704" spans="1:33" x14ac:dyDescent="0.25">
      <c r="A704" s="100">
        <v>160299.92000000001</v>
      </c>
      <c r="B704" s="97">
        <v>934.23230000000001</v>
      </c>
      <c r="C704" s="97">
        <v>0.6</v>
      </c>
      <c r="D704" s="80">
        <f t="shared" si="203"/>
        <v>100</v>
      </c>
      <c r="E704" s="81">
        <f t="shared" si="195"/>
        <v>6791.2436711181272</v>
      </c>
      <c r="F704" s="81">
        <f>SUM(E$2:E704)</f>
        <v>4365257.4360479442</v>
      </c>
      <c r="G704" s="43">
        <f t="shared" si="193"/>
        <v>1</v>
      </c>
      <c r="H704" s="78">
        <v>1</v>
      </c>
      <c r="I704" s="15">
        <f t="shared" si="196"/>
        <v>0.6</v>
      </c>
      <c r="J704" s="16">
        <f>VLOOKUP(G704,Inputs!$L$3:$P$15,5,FALSE)</f>
        <v>2000</v>
      </c>
      <c r="K704" s="16">
        <f t="shared" si="197"/>
        <v>1825</v>
      </c>
      <c r="L704" s="79">
        <f>Inputs!$P$8-B704</f>
        <v>3.9587000000000216</v>
      </c>
      <c r="M704" s="79">
        <f>Inputs!$Q$8+L704*0.433</f>
        <v>1826.7141171000001</v>
      </c>
      <c r="N704" s="82">
        <f t="shared" si="198"/>
        <v>160299.92000000001</v>
      </c>
      <c r="O704" s="83">
        <f t="shared" si="199"/>
        <v>934.23230000000001</v>
      </c>
      <c r="P704" s="84">
        <f>IF(O704="","",Inputs!$C$5-O704)</f>
        <v>-109.04780000000005</v>
      </c>
      <c r="Q704" s="83">
        <f>IF(N704="","",TS!J704)</f>
        <v>2000</v>
      </c>
      <c r="R704" s="83">
        <f>IF(N704="","",TS!K704)</f>
        <v>1825</v>
      </c>
      <c r="S704" s="83">
        <f>Inputs!$H$5+TS!P704*0.4333</f>
        <v>1827.7153047099998</v>
      </c>
      <c r="T704" s="83">
        <f>Inputs!$G$5+TS!P704*0.4333</f>
        <v>1842.7153047099998</v>
      </c>
      <c r="U704" s="85">
        <f t="shared" si="200"/>
        <v>0.92135765235499989</v>
      </c>
      <c r="V704" s="86">
        <f t="shared" si="204"/>
        <v>0</v>
      </c>
      <c r="W704" s="86">
        <f t="shared" si="205"/>
        <v>0</v>
      </c>
      <c r="X704" s="86" t="e">
        <f>((PI()*((42-2*'Gen Calcs'!$E$13)^2)/4)/144)*(A747-#REF!)*(W704+14.7)/14.7</f>
        <v>#REF!</v>
      </c>
      <c r="Y704" s="86" t="e">
        <f t="shared" si="206"/>
        <v>#REF!</v>
      </c>
      <c r="Z704" s="86" t="e">
        <f t="shared" si="207"/>
        <v>#REF!</v>
      </c>
      <c r="AA704" s="83">
        <f>MAX(B$2:B704)-B704</f>
        <v>0.32889999999997599</v>
      </c>
      <c r="AB704" s="83">
        <f t="shared" si="208"/>
        <v>0.1424136999999896</v>
      </c>
      <c r="AC704" s="83">
        <f t="shared" si="194"/>
        <v>120</v>
      </c>
      <c r="AD704" s="72">
        <v>120</v>
      </c>
      <c r="AE704" s="73">
        <f t="shared" si="201"/>
        <v>907.92027688745009</v>
      </c>
      <c r="AF704" s="73">
        <f>SUM(AE$2:AE704)</f>
        <v>583996.78181288217</v>
      </c>
      <c r="AG704" s="73">
        <f t="shared" si="202"/>
        <v>589733.12061422702</v>
      </c>
    </row>
    <row r="705" spans="1:33" x14ac:dyDescent="0.25">
      <c r="A705" s="99">
        <v>160399.92000000001</v>
      </c>
      <c r="B705" s="96">
        <v>933.73410000000001</v>
      </c>
      <c r="C705" s="96">
        <v>0.6</v>
      </c>
      <c r="D705" s="80">
        <f t="shared" si="203"/>
        <v>100</v>
      </c>
      <c r="E705" s="81">
        <f t="shared" si="195"/>
        <v>6791.2436711181272</v>
      </c>
      <c r="F705" s="81">
        <f>SUM(E$2:E705)</f>
        <v>4372048.6797190625</v>
      </c>
      <c r="G705" s="43">
        <f t="shared" si="193"/>
        <v>1</v>
      </c>
      <c r="H705" s="78">
        <v>1</v>
      </c>
      <c r="I705" s="15">
        <f t="shared" si="196"/>
        <v>0.6</v>
      </c>
      <c r="J705" s="16">
        <f>VLOOKUP(G705,Inputs!$L$3:$P$15,5,FALSE)</f>
        <v>2000</v>
      </c>
      <c r="K705" s="16">
        <f t="shared" si="197"/>
        <v>1825</v>
      </c>
      <c r="L705" s="79">
        <f>Inputs!$P$8-B705</f>
        <v>4.4569000000000187</v>
      </c>
      <c r="M705" s="79">
        <f>Inputs!$Q$8+L705*0.433</f>
        <v>1826.9298377</v>
      </c>
      <c r="N705" s="82">
        <f t="shared" si="198"/>
        <v>160399.92000000001</v>
      </c>
      <c r="O705" s="83">
        <f t="shared" si="199"/>
        <v>933.73410000000001</v>
      </c>
      <c r="P705" s="84">
        <f>IF(O705="","",Inputs!$C$5-O705)</f>
        <v>-108.54960000000005</v>
      </c>
      <c r="Q705" s="83">
        <f>IF(N705="","",TS!J705)</f>
        <v>2000</v>
      </c>
      <c r="R705" s="83">
        <f>IF(N705="","",TS!K705)</f>
        <v>1825</v>
      </c>
      <c r="S705" s="83">
        <f>Inputs!$H$5+TS!P705*0.4333</f>
        <v>1827.9311747699999</v>
      </c>
      <c r="T705" s="83">
        <f>Inputs!$G$5+TS!P705*0.4333</f>
        <v>1842.9311747699999</v>
      </c>
      <c r="U705" s="85">
        <f t="shared" si="200"/>
        <v>0.92146558738499995</v>
      </c>
      <c r="V705" s="86">
        <f t="shared" si="204"/>
        <v>0</v>
      </c>
      <c r="W705" s="86">
        <f t="shared" si="205"/>
        <v>0</v>
      </c>
      <c r="X705" s="86" t="e">
        <f>((PI()*((42-2*'Gen Calcs'!$E$13)^2)/4)/144)*(A748-#REF!)*(W705+14.7)/14.7</f>
        <v>#REF!</v>
      </c>
      <c r="Y705" s="86" t="e">
        <f t="shared" si="206"/>
        <v>#REF!</v>
      </c>
      <c r="Z705" s="86" t="e">
        <f t="shared" si="207"/>
        <v>#REF!</v>
      </c>
      <c r="AA705" s="83">
        <f>MAX(B$2:B705)-B705</f>
        <v>0.82709999999997308</v>
      </c>
      <c r="AB705" s="83">
        <f t="shared" si="208"/>
        <v>0.35813429999998836</v>
      </c>
      <c r="AC705" s="83">
        <f t="shared" si="194"/>
        <v>120</v>
      </c>
      <c r="AD705" s="72">
        <v>120</v>
      </c>
      <c r="AE705" s="73">
        <f t="shared" si="201"/>
        <v>907.92027688745009</v>
      </c>
      <c r="AF705" s="73">
        <f>SUM(AE$2:AE705)</f>
        <v>584904.70208976965</v>
      </c>
      <c r="AG705" s="73">
        <f t="shared" si="202"/>
        <v>588825.20033733954</v>
      </c>
    </row>
    <row r="706" spans="1:33" x14ac:dyDescent="0.25">
      <c r="A706" s="100">
        <v>160499.92000000001</v>
      </c>
      <c r="B706" s="97">
        <v>934.87980000000005</v>
      </c>
      <c r="C706" s="97">
        <v>0.6</v>
      </c>
      <c r="D706" s="80">
        <f t="shared" si="203"/>
        <v>100</v>
      </c>
      <c r="E706" s="81">
        <f t="shared" si="195"/>
        <v>6791.2436711181272</v>
      </c>
      <c r="F706" s="81">
        <f>SUM(E$2:E706)</f>
        <v>4378839.9233901808</v>
      </c>
      <c r="G706" s="43">
        <f t="shared" si="193"/>
        <v>1</v>
      </c>
      <c r="H706" s="78">
        <v>1</v>
      </c>
      <c r="I706" s="15">
        <f t="shared" si="196"/>
        <v>0.6</v>
      </c>
      <c r="J706" s="16">
        <f>VLOOKUP(G706,Inputs!$L$3:$P$15,5,FALSE)</f>
        <v>2000</v>
      </c>
      <c r="K706" s="16">
        <f t="shared" si="197"/>
        <v>1825</v>
      </c>
      <c r="L706" s="79">
        <f>Inputs!$P$8-B706</f>
        <v>3.3111999999999853</v>
      </c>
      <c r="M706" s="79">
        <f>Inputs!$Q$8+L706*0.433</f>
        <v>1826.4337496000001</v>
      </c>
      <c r="N706" s="82">
        <f t="shared" si="198"/>
        <v>160499.92000000001</v>
      </c>
      <c r="O706" s="83">
        <f t="shared" si="199"/>
        <v>934.87980000000005</v>
      </c>
      <c r="P706" s="84">
        <f>IF(O706="","",Inputs!$C$5-O706)</f>
        <v>-109.69530000000009</v>
      </c>
      <c r="Q706" s="83">
        <f>IF(N706="","",TS!J706)</f>
        <v>2000</v>
      </c>
      <c r="R706" s="83">
        <f>IF(N706="","",TS!K706)</f>
        <v>1825</v>
      </c>
      <c r="S706" s="83">
        <f>Inputs!$H$5+TS!P706*0.4333</f>
        <v>1827.43474296</v>
      </c>
      <c r="T706" s="83">
        <f>Inputs!$G$5+TS!P706*0.4333</f>
        <v>1842.43474296</v>
      </c>
      <c r="U706" s="85">
        <f t="shared" si="200"/>
        <v>0.92121737148000005</v>
      </c>
      <c r="V706" s="86">
        <f t="shared" si="204"/>
        <v>0</v>
      </c>
      <c r="W706" s="86">
        <f t="shared" si="205"/>
        <v>0</v>
      </c>
      <c r="X706" s="86" t="e">
        <f>((PI()*((42-2*'Gen Calcs'!$E$13)^2)/4)/144)*(A749-#REF!)*(W706+14.7)/14.7</f>
        <v>#REF!</v>
      </c>
      <c r="Y706" s="86" t="e">
        <f t="shared" si="206"/>
        <v>#REF!</v>
      </c>
      <c r="Z706" s="86" t="e">
        <f t="shared" si="207"/>
        <v>#REF!</v>
      </c>
      <c r="AA706" s="83">
        <f>MAX(B$2:B706)-B706</f>
        <v>0</v>
      </c>
      <c r="AB706" s="83">
        <f t="shared" si="208"/>
        <v>0</v>
      </c>
      <c r="AC706" s="83">
        <f t="shared" si="194"/>
        <v>120</v>
      </c>
      <c r="AD706" s="72">
        <v>120</v>
      </c>
      <c r="AE706" s="73">
        <f t="shared" si="201"/>
        <v>907.92027688745009</v>
      </c>
      <c r="AF706" s="73">
        <f>SUM(AE$2:AE706)</f>
        <v>585812.62236665713</v>
      </c>
      <c r="AG706" s="73">
        <f t="shared" si="202"/>
        <v>587917.28006045206</v>
      </c>
    </row>
    <row r="707" spans="1:33" x14ac:dyDescent="0.25">
      <c r="A707" s="99">
        <v>160599.92000000001</v>
      </c>
      <c r="B707" s="96">
        <v>934.0643</v>
      </c>
      <c r="C707" s="96">
        <v>0.6</v>
      </c>
      <c r="D707" s="80">
        <f t="shared" si="203"/>
        <v>100</v>
      </c>
      <c r="E707" s="81">
        <f t="shared" si="195"/>
        <v>6791.2436711181272</v>
      </c>
      <c r="F707" s="81">
        <f>SUM(E$2:E707)</f>
        <v>4385631.1670612991</v>
      </c>
      <c r="G707" s="43">
        <f t="shared" ref="G707:G770" si="209">IF(C707=0.72,12,IF(C707=1,11,IF(C707=0.825,10,IF(C707=0.6,1,IF(C707=0.864,2,IF(C707=0.888,3))))))</f>
        <v>1</v>
      </c>
      <c r="H707" s="78">
        <v>1</v>
      </c>
      <c r="I707" s="15">
        <f t="shared" si="196"/>
        <v>0.6</v>
      </c>
      <c r="J707" s="16">
        <f>VLOOKUP(G707,Inputs!$L$3:$P$15,5,FALSE)</f>
        <v>2000</v>
      </c>
      <c r="K707" s="16">
        <f t="shared" si="197"/>
        <v>1825</v>
      </c>
      <c r="L707" s="79">
        <f>Inputs!$P$8-B707</f>
        <v>4.126700000000028</v>
      </c>
      <c r="M707" s="79">
        <f>Inputs!$Q$8+L707*0.433</f>
        <v>1826.7868611000001</v>
      </c>
      <c r="N707" s="82">
        <f t="shared" si="198"/>
        <v>160599.92000000001</v>
      </c>
      <c r="O707" s="83">
        <f t="shared" si="199"/>
        <v>934.0643</v>
      </c>
      <c r="P707" s="84">
        <f>IF(O707="","",Inputs!$C$5-O707)</f>
        <v>-108.87980000000005</v>
      </c>
      <c r="Q707" s="83">
        <f>IF(N707="","",TS!J707)</f>
        <v>2000</v>
      </c>
      <c r="R707" s="83">
        <f>IF(N707="","",TS!K707)</f>
        <v>1825</v>
      </c>
      <c r="S707" s="83">
        <f>Inputs!$H$5+TS!P707*0.4333</f>
        <v>1827.7880991099998</v>
      </c>
      <c r="T707" s="83">
        <f>Inputs!$G$5+TS!P707*0.4333</f>
        <v>1842.7880991099998</v>
      </c>
      <c r="U707" s="85">
        <f t="shared" si="200"/>
        <v>0.92139404955499993</v>
      </c>
      <c r="V707" s="86">
        <f t="shared" si="204"/>
        <v>0</v>
      </c>
      <c r="W707" s="86">
        <f t="shared" si="205"/>
        <v>0</v>
      </c>
      <c r="X707" s="86" t="e">
        <f>((PI()*((42-2*'Gen Calcs'!$E$13)^2)/4)/144)*(A750-#REF!)*(W707+14.7)/14.7</f>
        <v>#REF!</v>
      </c>
      <c r="Y707" s="86" t="e">
        <f t="shared" si="206"/>
        <v>#REF!</v>
      </c>
      <c r="Z707" s="86" t="e">
        <f t="shared" si="207"/>
        <v>#REF!</v>
      </c>
      <c r="AA707" s="83">
        <f>MAX(B$2:B707)-B707</f>
        <v>0.81550000000004275</v>
      </c>
      <c r="AB707" s="83">
        <f t="shared" si="208"/>
        <v>0.35311150000001851</v>
      </c>
      <c r="AC707" s="83">
        <f t="shared" ref="AC707:AC770" si="210">((MAX(O$2:O$1348)-O707)-(MAX(O$2:O$1348)-O707))*0.433+AD707</f>
        <v>120</v>
      </c>
      <c r="AD707" s="72">
        <v>120</v>
      </c>
      <c r="AE707" s="73">
        <f t="shared" si="201"/>
        <v>907.92027688745009</v>
      </c>
      <c r="AF707" s="73">
        <f>SUM(AE$2:AE707)</f>
        <v>586720.54264354461</v>
      </c>
      <c r="AG707" s="73">
        <f t="shared" si="202"/>
        <v>587009.35978356458</v>
      </c>
    </row>
    <row r="708" spans="1:33" x14ac:dyDescent="0.25">
      <c r="A708" s="100">
        <v>160699.92000000001</v>
      </c>
      <c r="B708" s="97">
        <v>932.67039999999997</v>
      </c>
      <c r="C708" s="97">
        <v>0.6</v>
      </c>
      <c r="D708" s="80">
        <f t="shared" si="203"/>
        <v>100</v>
      </c>
      <c r="E708" s="81">
        <f t="shared" si="195"/>
        <v>6791.2436711181272</v>
      </c>
      <c r="F708" s="81">
        <f>SUM(E$2:E708)</f>
        <v>4392422.4107324174</v>
      </c>
      <c r="G708" s="43">
        <f t="shared" si="209"/>
        <v>1</v>
      </c>
      <c r="H708" s="78">
        <v>1</v>
      </c>
      <c r="I708" s="15">
        <f t="shared" si="196"/>
        <v>0.6</v>
      </c>
      <c r="J708" s="16">
        <f>VLOOKUP(G708,Inputs!$L$3:$P$15,5,FALSE)</f>
        <v>2000</v>
      </c>
      <c r="K708" s="16">
        <f t="shared" si="197"/>
        <v>1825</v>
      </c>
      <c r="L708" s="79">
        <f>Inputs!$P$8-B708</f>
        <v>5.5206000000000586</v>
      </c>
      <c r="M708" s="79">
        <f>Inputs!$Q$8+L708*0.433</f>
        <v>1827.3904198</v>
      </c>
      <c r="N708" s="82">
        <f t="shared" si="198"/>
        <v>160699.92000000001</v>
      </c>
      <c r="O708" s="83">
        <f t="shared" si="199"/>
        <v>932.67039999999997</v>
      </c>
      <c r="P708" s="84">
        <f>IF(O708="","",Inputs!$C$5-O708)</f>
        <v>-107.48590000000002</v>
      </c>
      <c r="Q708" s="83">
        <f>IF(N708="","",TS!J708)</f>
        <v>2000</v>
      </c>
      <c r="R708" s="83">
        <f>IF(N708="","",TS!K708)</f>
        <v>1825</v>
      </c>
      <c r="S708" s="83">
        <f>Inputs!$H$5+TS!P708*0.4333</f>
        <v>1828.3920759799998</v>
      </c>
      <c r="T708" s="83">
        <f>Inputs!$G$5+TS!P708*0.4333</f>
        <v>1843.3920759799998</v>
      </c>
      <c r="U708" s="85">
        <f t="shared" si="200"/>
        <v>0.92169603798999988</v>
      </c>
      <c r="V708" s="86">
        <f t="shared" si="204"/>
        <v>0</v>
      </c>
      <c r="W708" s="86">
        <f t="shared" si="205"/>
        <v>0</v>
      </c>
      <c r="X708" s="86" t="e">
        <f>((PI()*((42-2*'Gen Calcs'!$E$13)^2)/4)/144)*(A751-#REF!)*(W708+14.7)/14.7</f>
        <v>#REF!</v>
      </c>
      <c r="Y708" s="86" t="e">
        <f t="shared" si="206"/>
        <v>#REF!</v>
      </c>
      <c r="Z708" s="86" t="e">
        <f t="shared" si="207"/>
        <v>#REF!</v>
      </c>
      <c r="AA708" s="83">
        <f>MAX(B$2:B708)-B708</f>
        <v>2.2094000000000733</v>
      </c>
      <c r="AB708" s="83">
        <f t="shared" si="208"/>
        <v>0.95667020000003178</v>
      </c>
      <c r="AC708" s="83">
        <f t="shared" si="210"/>
        <v>120</v>
      </c>
      <c r="AD708" s="72">
        <v>120</v>
      </c>
      <c r="AE708" s="73">
        <f t="shared" si="201"/>
        <v>907.92027688745009</v>
      </c>
      <c r="AF708" s="73">
        <f>SUM(AE$2:AE708)</f>
        <v>587628.4629204321</v>
      </c>
      <c r="AG708" s="73">
        <f t="shared" si="202"/>
        <v>586101.4395066771</v>
      </c>
    </row>
    <row r="709" spans="1:33" x14ac:dyDescent="0.25">
      <c r="A709" s="99">
        <v>160799.92000000001</v>
      </c>
      <c r="B709" s="96">
        <v>932.04409999999996</v>
      </c>
      <c r="C709" s="96">
        <v>0.6</v>
      </c>
      <c r="D709" s="80">
        <f t="shared" si="203"/>
        <v>100</v>
      </c>
      <c r="E709" s="81">
        <f t="shared" ref="E709:E772" si="211">(PI()/4*(42/12-(2*C751/12))^2)*(D709)*7.48</f>
        <v>6791.2436711181272</v>
      </c>
      <c r="F709" s="81">
        <f>SUM(E$2:E709)</f>
        <v>4399213.6544035356</v>
      </c>
      <c r="G709" s="43">
        <f t="shared" si="209"/>
        <v>1</v>
      </c>
      <c r="H709" s="78">
        <v>1</v>
      </c>
      <c r="I709" s="15">
        <f t="shared" ref="I709:I772" si="212">C709</f>
        <v>0.6</v>
      </c>
      <c r="J709" s="16">
        <f>VLOOKUP(G709,Inputs!$L$3:$P$15,5,FALSE)</f>
        <v>2000</v>
      </c>
      <c r="K709" s="16">
        <f t="shared" ref="K709:K772" si="213">IF(H709=1,1825,IF(H709=2,1825,2220))</f>
        <v>1825</v>
      </c>
      <c r="L709" s="79">
        <f>Inputs!$P$8-B709</f>
        <v>6.1469000000000733</v>
      </c>
      <c r="M709" s="79">
        <f>Inputs!$Q$8+L709*0.433</f>
        <v>1827.6616077000001</v>
      </c>
      <c r="N709" s="82">
        <f t="shared" ref="N709:N772" si="214">A709</f>
        <v>160799.92000000001</v>
      </c>
      <c r="O709" s="83">
        <f t="shared" ref="O709:O772" si="215">B709</f>
        <v>932.04409999999996</v>
      </c>
      <c r="P709" s="84">
        <f>IF(O709="","",Inputs!$C$5-O709)</f>
        <v>-106.8596</v>
      </c>
      <c r="Q709" s="83">
        <f>IF(N709="","",TS!J709)</f>
        <v>2000</v>
      </c>
      <c r="R709" s="83">
        <f>IF(N709="","",TS!K709)</f>
        <v>1825</v>
      </c>
      <c r="S709" s="83">
        <f>Inputs!$H$5+TS!P709*0.4333</f>
        <v>1828.6634517699999</v>
      </c>
      <c r="T709" s="83">
        <f>Inputs!$G$5+TS!P709*0.4333</f>
        <v>1843.6634517699999</v>
      </c>
      <c r="U709" s="85">
        <f t="shared" ref="U709:U772" si="216">T709/(140000*C709/42)</f>
        <v>0.92183172588499995</v>
      </c>
      <c r="V709" s="86">
        <f t="shared" si="204"/>
        <v>0</v>
      </c>
      <c r="W709" s="86">
        <f t="shared" si="205"/>
        <v>0</v>
      </c>
      <c r="X709" s="86" t="e">
        <f>((PI()*((42-2*'Gen Calcs'!$E$13)^2)/4)/144)*(A752-#REF!)*(W709+14.7)/14.7</f>
        <v>#REF!</v>
      </c>
      <c r="Y709" s="86" t="e">
        <f t="shared" si="206"/>
        <v>#REF!</v>
      </c>
      <c r="Z709" s="86" t="e">
        <f t="shared" si="207"/>
        <v>#REF!</v>
      </c>
      <c r="AA709" s="83">
        <f>MAX(B$2:B709)-B709</f>
        <v>2.835700000000088</v>
      </c>
      <c r="AB709" s="83">
        <f t="shared" si="208"/>
        <v>1.2278581000000381</v>
      </c>
      <c r="AC709" s="83">
        <f t="shared" si="210"/>
        <v>120</v>
      </c>
      <c r="AD709" s="72">
        <v>120</v>
      </c>
      <c r="AE709" s="73">
        <f t="shared" ref="AE709:AE772" si="217">PI()*(((42-2*C709)/12)^2/4)*D709</f>
        <v>907.92027688745009</v>
      </c>
      <c r="AF709" s="73">
        <f>SUM(AE$2:AE709)</f>
        <v>588536.38319731958</v>
      </c>
      <c r="AG709" s="73">
        <f t="shared" ref="AG709:AG772" si="218">AF$1391-AF709</f>
        <v>585193.51922978961</v>
      </c>
    </row>
    <row r="710" spans="1:33" x14ac:dyDescent="0.25">
      <c r="A710" s="100">
        <v>160899.92000000001</v>
      </c>
      <c r="B710" s="97">
        <v>930.58630000000005</v>
      </c>
      <c r="C710" s="97">
        <v>0.6</v>
      </c>
      <c r="D710" s="80">
        <f t="shared" si="203"/>
        <v>100</v>
      </c>
      <c r="E710" s="81">
        <f t="shared" si="211"/>
        <v>6791.2436711181272</v>
      </c>
      <c r="F710" s="81">
        <f>SUM(E$2:E710)</f>
        <v>4406004.8980746539</v>
      </c>
      <c r="G710" s="43">
        <f t="shared" si="209"/>
        <v>1</v>
      </c>
      <c r="H710" s="78">
        <v>1</v>
      </c>
      <c r="I710" s="15">
        <f t="shared" si="212"/>
        <v>0.6</v>
      </c>
      <c r="J710" s="16">
        <f>VLOOKUP(G710,Inputs!$L$3:$P$15,5,FALSE)</f>
        <v>2000</v>
      </c>
      <c r="K710" s="16">
        <f t="shared" si="213"/>
        <v>1825</v>
      </c>
      <c r="L710" s="79">
        <f>Inputs!$P$8-B710</f>
        <v>7.6046999999999798</v>
      </c>
      <c r="M710" s="79">
        <f>Inputs!$Q$8+L710*0.433</f>
        <v>1828.2928351</v>
      </c>
      <c r="N710" s="82">
        <f t="shared" si="214"/>
        <v>160899.92000000001</v>
      </c>
      <c r="O710" s="83">
        <f t="shared" si="215"/>
        <v>930.58630000000005</v>
      </c>
      <c r="P710" s="84">
        <f>IF(O710="","",Inputs!$C$5-O710)</f>
        <v>-105.40180000000009</v>
      </c>
      <c r="Q710" s="83">
        <f>IF(N710="","",TS!J710)</f>
        <v>2000</v>
      </c>
      <c r="R710" s="83">
        <f>IF(N710="","",TS!K710)</f>
        <v>1825</v>
      </c>
      <c r="S710" s="83">
        <f>Inputs!$H$5+TS!P710*0.4333</f>
        <v>1829.2951165099998</v>
      </c>
      <c r="T710" s="83">
        <f>Inputs!$G$5+TS!P710*0.4333</f>
        <v>1844.2951165099998</v>
      </c>
      <c r="U710" s="85">
        <f t="shared" si="216"/>
        <v>0.92214755825499994</v>
      </c>
      <c r="V710" s="86">
        <f t="shared" si="204"/>
        <v>0</v>
      </c>
      <c r="W710" s="86">
        <f t="shared" si="205"/>
        <v>0</v>
      </c>
      <c r="X710" s="86" t="e">
        <f>((PI()*((42-2*'Gen Calcs'!$E$13)^2)/4)/144)*(A753-#REF!)*(W710+14.7)/14.7</f>
        <v>#REF!</v>
      </c>
      <c r="Y710" s="86" t="e">
        <f t="shared" si="206"/>
        <v>#REF!</v>
      </c>
      <c r="Z710" s="86" t="e">
        <f t="shared" si="207"/>
        <v>#REF!</v>
      </c>
      <c r="AA710" s="83">
        <f>MAX(B$2:B710)-B710</f>
        <v>4.2934999999999945</v>
      </c>
      <c r="AB710" s="83">
        <f t="shared" si="208"/>
        <v>1.8590854999999977</v>
      </c>
      <c r="AC710" s="83">
        <f t="shared" si="210"/>
        <v>120</v>
      </c>
      <c r="AD710" s="72">
        <v>120</v>
      </c>
      <c r="AE710" s="73">
        <f t="shared" si="217"/>
        <v>907.92027688745009</v>
      </c>
      <c r="AF710" s="73">
        <f>SUM(AE$2:AE710)</f>
        <v>589444.30347420706</v>
      </c>
      <c r="AG710" s="73">
        <f t="shared" si="218"/>
        <v>584285.59895290213</v>
      </c>
    </row>
    <row r="711" spans="1:33" x14ac:dyDescent="0.25">
      <c r="A711" s="99">
        <v>160999.92000000001</v>
      </c>
      <c r="B711" s="96">
        <v>929.75840000000005</v>
      </c>
      <c r="C711" s="96">
        <v>0.6</v>
      </c>
      <c r="D711" s="80">
        <f t="shared" si="203"/>
        <v>100</v>
      </c>
      <c r="E711" s="81">
        <f t="shared" si="211"/>
        <v>6791.2436711181272</v>
      </c>
      <c r="F711" s="81">
        <f>SUM(E$2:E711)</f>
        <v>4412796.1417457722</v>
      </c>
      <c r="G711" s="43">
        <f t="shared" si="209"/>
        <v>1</v>
      </c>
      <c r="H711" s="78">
        <v>1</v>
      </c>
      <c r="I711" s="15">
        <f t="shared" si="212"/>
        <v>0.6</v>
      </c>
      <c r="J711" s="16">
        <f>VLOOKUP(G711,Inputs!$L$3:$P$15,5,FALSE)</f>
        <v>2000</v>
      </c>
      <c r="K711" s="16">
        <f t="shared" si="213"/>
        <v>1825</v>
      </c>
      <c r="L711" s="79">
        <f>Inputs!$P$8-B711</f>
        <v>8.4325999999999794</v>
      </c>
      <c r="M711" s="79">
        <f>Inputs!$Q$8+L711*0.433</f>
        <v>1828.6513158</v>
      </c>
      <c r="N711" s="82">
        <f t="shared" si="214"/>
        <v>160999.92000000001</v>
      </c>
      <c r="O711" s="83">
        <f t="shared" si="215"/>
        <v>929.75840000000005</v>
      </c>
      <c r="P711" s="84">
        <f>IF(O711="","",Inputs!$C$5-O711)</f>
        <v>-104.57390000000009</v>
      </c>
      <c r="Q711" s="83">
        <f>IF(N711="","",TS!J711)</f>
        <v>2000</v>
      </c>
      <c r="R711" s="83">
        <f>IF(N711="","",TS!K711)</f>
        <v>1825</v>
      </c>
      <c r="S711" s="83">
        <f>Inputs!$H$5+TS!P711*0.4333</f>
        <v>1829.6538455799998</v>
      </c>
      <c r="T711" s="83">
        <f>Inputs!$G$5+TS!P711*0.4333</f>
        <v>1844.6538455799998</v>
      </c>
      <c r="U711" s="85">
        <f t="shared" si="216"/>
        <v>0.92232692278999995</v>
      </c>
      <c r="V711" s="86">
        <f t="shared" si="204"/>
        <v>0</v>
      </c>
      <c r="W711" s="86">
        <f t="shared" si="205"/>
        <v>0</v>
      </c>
      <c r="X711" s="86" t="e">
        <f>((PI()*((42-2*'Gen Calcs'!$E$13)^2)/4)/144)*(A754-#REF!)*(W711+14.7)/14.7</f>
        <v>#REF!</v>
      </c>
      <c r="Y711" s="86" t="e">
        <f t="shared" si="206"/>
        <v>#REF!</v>
      </c>
      <c r="Z711" s="86" t="e">
        <f t="shared" si="207"/>
        <v>#REF!</v>
      </c>
      <c r="AA711" s="83">
        <f>MAX(B$2:B711)-B711</f>
        <v>5.1213999999999942</v>
      </c>
      <c r="AB711" s="83">
        <f t="shared" si="208"/>
        <v>2.2175661999999976</v>
      </c>
      <c r="AC711" s="83">
        <f t="shared" si="210"/>
        <v>120</v>
      </c>
      <c r="AD711" s="72">
        <v>120</v>
      </c>
      <c r="AE711" s="73">
        <f t="shared" si="217"/>
        <v>907.92027688745009</v>
      </c>
      <c r="AF711" s="73">
        <f>SUM(AE$2:AE711)</f>
        <v>590352.22375109454</v>
      </c>
      <c r="AG711" s="73">
        <f t="shared" si="218"/>
        <v>583377.67867601465</v>
      </c>
    </row>
    <row r="712" spans="1:33" x14ac:dyDescent="0.25">
      <c r="A712" s="100">
        <v>161099.92000000001</v>
      </c>
      <c r="B712" s="97">
        <v>927.28150000000005</v>
      </c>
      <c r="C712" s="97">
        <v>0.6</v>
      </c>
      <c r="D712" s="80">
        <f t="shared" si="203"/>
        <v>100</v>
      </c>
      <c r="E712" s="81">
        <f t="shared" si="211"/>
        <v>6616.6076625842816</v>
      </c>
      <c r="F712" s="81">
        <f>SUM(E$2:E712)</f>
        <v>4419412.7494083568</v>
      </c>
      <c r="G712" s="43">
        <f t="shared" si="209"/>
        <v>1</v>
      </c>
      <c r="H712" s="78">
        <v>1</v>
      </c>
      <c r="I712" s="15">
        <f t="shared" si="212"/>
        <v>0.6</v>
      </c>
      <c r="J712" s="16">
        <f>VLOOKUP(G712,Inputs!$L$3:$P$15,5,FALSE)</f>
        <v>2000</v>
      </c>
      <c r="K712" s="16">
        <f t="shared" si="213"/>
        <v>1825</v>
      </c>
      <c r="L712" s="79">
        <f>Inputs!$P$8-B712</f>
        <v>10.90949999999998</v>
      </c>
      <c r="M712" s="79">
        <f>Inputs!$Q$8+L712*0.433</f>
        <v>1829.7238135</v>
      </c>
      <c r="N712" s="82">
        <f t="shared" si="214"/>
        <v>161099.92000000001</v>
      </c>
      <c r="O712" s="83">
        <f t="shared" si="215"/>
        <v>927.28150000000005</v>
      </c>
      <c r="P712" s="84">
        <f>IF(O712="","",Inputs!$C$5-O712)</f>
        <v>-102.09700000000009</v>
      </c>
      <c r="Q712" s="83">
        <f>IF(N712="","",TS!J712)</f>
        <v>2000</v>
      </c>
      <c r="R712" s="83">
        <f>IF(N712="","",TS!K712)</f>
        <v>1825</v>
      </c>
      <c r="S712" s="83">
        <f>Inputs!$H$5+TS!P712*0.4333</f>
        <v>1830.7270863499998</v>
      </c>
      <c r="T712" s="83">
        <f>Inputs!$G$5+TS!P712*0.4333</f>
        <v>1845.7270863499998</v>
      </c>
      <c r="U712" s="85">
        <f t="shared" si="216"/>
        <v>0.92286354317499986</v>
      </c>
      <c r="V712" s="86">
        <f t="shared" si="204"/>
        <v>0</v>
      </c>
      <c r="W712" s="86">
        <f t="shared" si="205"/>
        <v>0</v>
      </c>
      <c r="X712" s="86" t="e">
        <f>((PI()*((42-2*'Gen Calcs'!$E$13)^2)/4)/144)*(A755-#REF!)*(W712+14.7)/14.7</f>
        <v>#REF!</v>
      </c>
      <c r="Y712" s="86" t="e">
        <f t="shared" si="206"/>
        <v>#REF!</v>
      </c>
      <c r="Z712" s="86" t="e">
        <f t="shared" si="207"/>
        <v>#REF!</v>
      </c>
      <c r="AA712" s="83">
        <f>MAX(B$2:B712)-B712</f>
        <v>7.5982999999999947</v>
      </c>
      <c r="AB712" s="83">
        <f t="shared" si="208"/>
        <v>3.2900638999999976</v>
      </c>
      <c r="AC712" s="83">
        <f t="shared" si="210"/>
        <v>120</v>
      </c>
      <c r="AD712" s="72">
        <v>120</v>
      </c>
      <c r="AE712" s="73">
        <f t="shared" si="217"/>
        <v>907.92027688745009</v>
      </c>
      <c r="AF712" s="73">
        <f>SUM(AE$2:AE712)</f>
        <v>591260.14402798202</v>
      </c>
      <c r="AG712" s="73">
        <f t="shared" si="218"/>
        <v>582469.75839912717</v>
      </c>
    </row>
    <row r="713" spans="1:33" x14ac:dyDescent="0.25">
      <c r="A713" s="99">
        <v>161199.92000000001</v>
      </c>
      <c r="B713" s="96">
        <v>924.74929999999995</v>
      </c>
      <c r="C713" s="96">
        <v>0.6</v>
      </c>
      <c r="D713" s="80">
        <f t="shared" si="203"/>
        <v>100</v>
      </c>
      <c r="E713" s="81">
        <f t="shared" si="211"/>
        <v>6791.2436711181272</v>
      </c>
      <c r="F713" s="81">
        <f>SUM(E$2:E713)</f>
        <v>4426203.9930794751</v>
      </c>
      <c r="G713" s="43">
        <f t="shared" si="209"/>
        <v>1</v>
      </c>
      <c r="H713" s="78">
        <v>1</v>
      </c>
      <c r="I713" s="15">
        <f t="shared" si="212"/>
        <v>0.6</v>
      </c>
      <c r="J713" s="16">
        <f>VLOOKUP(G713,Inputs!$L$3:$P$15,5,FALSE)</f>
        <v>2000</v>
      </c>
      <c r="K713" s="16">
        <f t="shared" si="213"/>
        <v>1825</v>
      </c>
      <c r="L713" s="79">
        <f>Inputs!$P$8-B713</f>
        <v>13.441700000000083</v>
      </c>
      <c r="M713" s="79">
        <f>Inputs!$Q$8+L713*0.433</f>
        <v>1830.8202561000001</v>
      </c>
      <c r="N713" s="82">
        <f t="shared" si="214"/>
        <v>161199.92000000001</v>
      </c>
      <c r="O713" s="83">
        <f t="shared" si="215"/>
        <v>924.74929999999995</v>
      </c>
      <c r="P713" s="84">
        <f>IF(O713="","",Inputs!$C$5-O713)</f>
        <v>-99.564799999999991</v>
      </c>
      <c r="Q713" s="83">
        <f>IF(N713="","",TS!J713)</f>
        <v>2000</v>
      </c>
      <c r="R713" s="83">
        <f>IF(N713="","",TS!K713)</f>
        <v>1825</v>
      </c>
      <c r="S713" s="83">
        <f>Inputs!$H$5+TS!P713*0.4333</f>
        <v>1831.8242886099999</v>
      </c>
      <c r="T713" s="83">
        <f>Inputs!$G$5+TS!P713*0.4333</f>
        <v>1846.8242886099999</v>
      </c>
      <c r="U713" s="85">
        <f t="shared" si="216"/>
        <v>0.92341214430499996</v>
      </c>
      <c r="V713" s="86">
        <f t="shared" si="204"/>
        <v>0</v>
      </c>
      <c r="W713" s="86">
        <f t="shared" si="205"/>
        <v>0</v>
      </c>
      <c r="X713" s="86" t="e">
        <f>((PI()*((42-2*'Gen Calcs'!$E$13)^2)/4)/144)*(A756-#REF!)*(W713+14.7)/14.7</f>
        <v>#REF!</v>
      </c>
      <c r="Y713" s="86" t="e">
        <f t="shared" si="206"/>
        <v>#REF!</v>
      </c>
      <c r="Z713" s="86" t="e">
        <f t="shared" si="207"/>
        <v>#REF!</v>
      </c>
      <c r="AA713" s="83">
        <f>MAX(B$2:B713)-B713</f>
        <v>10.130500000000097</v>
      </c>
      <c r="AB713" s="83">
        <f t="shared" si="208"/>
        <v>4.3865065000000421</v>
      </c>
      <c r="AC713" s="83">
        <f t="shared" si="210"/>
        <v>120</v>
      </c>
      <c r="AD713" s="72">
        <v>120</v>
      </c>
      <c r="AE713" s="73">
        <f t="shared" si="217"/>
        <v>907.92027688745009</v>
      </c>
      <c r="AF713" s="73">
        <f>SUM(AE$2:AE713)</f>
        <v>592168.06430486951</v>
      </c>
      <c r="AG713" s="73">
        <f t="shared" si="218"/>
        <v>581561.83812223969</v>
      </c>
    </row>
    <row r="714" spans="1:33" x14ac:dyDescent="0.25">
      <c r="A714" s="100">
        <v>161299.92000000001</v>
      </c>
      <c r="B714" s="97">
        <v>921.42349999999999</v>
      </c>
      <c r="C714" s="97">
        <v>0.6</v>
      </c>
      <c r="D714" s="80">
        <f t="shared" si="203"/>
        <v>100</v>
      </c>
      <c r="E714" s="81">
        <f t="shared" si="211"/>
        <v>6791.2436711181272</v>
      </c>
      <c r="F714" s="81">
        <f>SUM(E$2:E714)</f>
        <v>4432995.2367505934</v>
      </c>
      <c r="G714" s="43">
        <f t="shared" si="209"/>
        <v>1</v>
      </c>
      <c r="H714" s="78">
        <v>1</v>
      </c>
      <c r="I714" s="15">
        <f t="shared" si="212"/>
        <v>0.6</v>
      </c>
      <c r="J714" s="16">
        <f>VLOOKUP(G714,Inputs!$L$3:$P$15,5,FALSE)</f>
        <v>2000</v>
      </c>
      <c r="K714" s="16">
        <f t="shared" si="213"/>
        <v>1825</v>
      </c>
      <c r="L714" s="79">
        <f>Inputs!$P$8-B714</f>
        <v>16.767500000000041</v>
      </c>
      <c r="M714" s="79">
        <f>Inputs!$Q$8+L714*0.433</f>
        <v>1832.2603275000001</v>
      </c>
      <c r="N714" s="82">
        <f t="shared" si="214"/>
        <v>161299.92000000001</v>
      </c>
      <c r="O714" s="83">
        <f t="shared" si="215"/>
        <v>921.42349999999999</v>
      </c>
      <c r="P714" s="84">
        <f>IF(O714="","",Inputs!$C$5-O714)</f>
        <v>-96.239000000000033</v>
      </c>
      <c r="Q714" s="83">
        <f>IF(N714="","",TS!J714)</f>
        <v>2000</v>
      </c>
      <c r="R714" s="83">
        <f>IF(N714="","",TS!K714)</f>
        <v>1825</v>
      </c>
      <c r="S714" s="83">
        <f>Inputs!$H$5+TS!P714*0.4333</f>
        <v>1833.26535775</v>
      </c>
      <c r="T714" s="83">
        <f>Inputs!$G$5+TS!P714*0.4333</f>
        <v>1848.26535775</v>
      </c>
      <c r="U714" s="85">
        <f t="shared" si="216"/>
        <v>0.92413267887500006</v>
      </c>
      <c r="V714" s="86">
        <f t="shared" si="204"/>
        <v>0</v>
      </c>
      <c r="W714" s="86">
        <f t="shared" si="205"/>
        <v>0</v>
      </c>
      <c r="X714" s="86" t="e">
        <f>((PI()*((42-2*'Gen Calcs'!$E$13)^2)/4)/144)*(A757-#REF!)*(W714+14.7)/14.7</f>
        <v>#REF!</v>
      </c>
      <c r="Y714" s="86" t="e">
        <f t="shared" si="206"/>
        <v>#REF!</v>
      </c>
      <c r="Z714" s="86" t="e">
        <f t="shared" si="207"/>
        <v>#REF!</v>
      </c>
      <c r="AA714" s="83">
        <f>MAX(B$2:B714)-B714</f>
        <v>13.456300000000056</v>
      </c>
      <c r="AB714" s="83">
        <f t="shared" si="208"/>
        <v>5.8265779000000242</v>
      </c>
      <c r="AC714" s="83">
        <f t="shared" si="210"/>
        <v>120</v>
      </c>
      <c r="AD714" s="72">
        <v>120</v>
      </c>
      <c r="AE714" s="73">
        <f t="shared" si="217"/>
        <v>907.92027688745009</v>
      </c>
      <c r="AF714" s="73">
        <f>SUM(AE$2:AE714)</f>
        <v>593075.98458175699</v>
      </c>
      <c r="AG714" s="73">
        <f t="shared" si="218"/>
        <v>580653.9178453522</v>
      </c>
    </row>
    <row r="715" spans="1:33" x14ac:dyDescent="0.25">
      <c r="A715" s="99">
        <v>161399.92000000001</v>
      </c>
      <c r="B715" s="96">
        <v>918.83280000000002</v>
      </c>
      <c r="C715" s="96">
        <v>0.6</v>
      </c>
      <c r="D715" s="80">
        <f t="shared" si="203"/>
        <v>100</v>
      </c>
      <c r="E715" s="81">
        <f t="shared" si="211"/>
        <v>6616.6076625842816</v>
      </c>
      <c r="F715" s="81">
        <f>SUM(E$2:E715)</f>
        <v>4439611.844413178</v>
      </c>
      <c r="G715" s="43">
        <f t="shared" si="209"/>
        <v>1</v>
      </c>
      <c r="H715" s="78">
        <v>1</v>
      </c>
      <c r="I715" s="15">
        <f t="shared" si="212"/>
        <v>0.6</v>
      </c>
      <c r="J715" s="16">
        <f>VLOOKUP(G715,Inputs!$L$3:$P$15,5,FALSE)</f>
        <v>2000</v>
      </c>
      <c r="K715" s="16">
        <f t="shared" si="213"/>
        <v>1825</v>
      </c>
      <c r="L715" s="79">
        <f>Inputs!$P$8-B715</f>
        <v>19.358200000000011</v>
      </c>
      <c r="M715" s="79">
        <f>Inputs!$Q$8+L715*0.433</f>
        <v>1833.3821006000001</v>
      </c>
      <c r="N715" s="82">
        <f t="shared" si="214"/>
        <v>161399.92000000001</v>
      </c>
      <c r="O715" s="83">
        <f t="shared" si="215"/>
        <v>918.83280000000002</v>
      </c>
      <c r="P715" s="84">
        <f>IF(O715="","",Inputs!$C$5-O715)</f>
        <v>-93.648300000000063</v>
      </c>
      <c r="Q715" s="83">
        <f>IF(N715="","",TS!J715)</f>
        <v>2000</v>
      </c>
      <c r="R715" s="83">
        <f>IF(N715="","",TS!K715)</f>
        <v>1825</v>
      </c>
      <c r="S715" s="83">
        <f>Inputs!$H$5+TS!P715*0.4333</f>
        <v>1834.38790806</v>
      </c>
      <c r="T715" s="83">
        <f>Inputs!$G$5+TS!P715*0.4333</f>
        <v>1849.38790806</v>
      </c>
      <c r="U715" s="85">
        <f t="shared" si="216"/>
        <v>0.92469395402999999</v>
      </c>
      <c r="V715" s="86">
        <f t="shared" si="204"/>
        <v>0</v>
      </c>
      <c r="W715" s="86">
        <f t="shared" si="205"/>
        <v>0</v>
      </c>
      <c r="X715" s="86" t="e">
        <f>((PI()*((42-2*'Gen Calcs'!$E$13)^2)/4)/144)*(A758-#REF!)*(W715+14.7)/14.7</f>
        <v>#REF!</v>
      </c>
      <c r="Y715" s="86" t="e">
        <f t="shared" si="206"/>
        <v>#REF!</v>
      </c>
      <c r="Z715" s="86" t="e">
        <f t="shared" si="207"/>
        <v>#REF!</v>
      </c>
      <c r="AA715" s="83">
        <f>MAX(B$2:B715)-B715</f>
        <v>16.047000000000025</v>
      </c>
      <c r="AB715" s="83">
        <f t="shared" si="208"/>
        <v>6.9483510000000113</v>
      </c>
      <c r="AC715" s="83">
        <f t="shared" si="210"/>
        <v>120</v>
      </c>
      <c r="AD715" s="72">
        <v>120</v>
      </c>
      <c r="AE715" s="73">
        <f t="shared" si="217"/>
        <v>907.92027688745009</v>
      </c>
      <c r="AF715" s="73">
        <f>SUM(AE$2:AE715)</f>
        <v>593983.90485864447</v>
      </c>
      <c r="AG715" s="73">
        <f t="shared" si="218"/>
        <v>579745.99756846472</v>
      </c>
    </row>
    <row r="716" spans="1:33" x14ac:dyDescent="0.25">
      <c r="A716" s="100">
        <v>161499.92000000001</v>
      </c>
      <c r="B716" s="97">
        <v>916.59130000000005</v>
      </c>
      <c r="C716" s="97">
        <v>0.6</v>
      </c>
      <c r="D716" s="80">
        <f t="shared" si="203"/>
        <v>100</v>
      </c>
      <c r="E716" s="81">
        <f t="shared" si="211"/>
        <v>6791.2436711181272</v>
      </c>
      <c r="F716" s="81">
        <f>SUM(E$2:E716)</f>
        <v>4446403.0880842963</v>
      </c>
      <c r="G716" s="43">
        <f t="shared" si="209"/>
        <v>1</v>
      </c>
      <c r="H716" s="78">
        <v>1</v>
      </c>
      <c r="I716" s="15">
        <f t="shared" si="212"/>
        <v>0.6</v>
      </c>
      <c r="J716" s="16">
        <f>VLOOKUP(G716,Inputs!$L$3:$P$15,5,FALSE)</f>
        <v>2000</v>
      </c>
      <c r="K716" s="16">
        <f t="shared" si="213"/>
        <v>1825</v>
      </c>
      <c r="L716" s="79">
        <f>Inputs!$P$8-B716</f>
        <v>21.599699999999984</v>
      </c>
      <c r="M716" s="79">
        <f>Inputs!$Q$8+L716*0.433</f>
        <v>1834.3526701000001</v>
      </c>
      <c r="N716" s="82">
        <f t="shared" si="214"/>
        <v>161499.92000000001</v>
      </c>
      <c r="O716" s="83">
        <f t="shared" si="215"/>
        <v>916.59130000000005</v>
      </c>
      <c r="P716" s="84">
        <f>IF(O716="","",Inputs!$C$5-O716)</f>
        <v>-91.406800000000089</v>
      </c>
      <c r="Q716" s="83">
        <f>IF(N716="","",TS!J716)</f>
        <v>2000</v>
      </c>
      <c r="R716" s="83">
        <f>IF(N716="","",TS!K716)</f>
        <v>1825</v>
      </c>
      <c r="S716" s="83">
        <f>Inputs!$H$5+TS!P716*0.4333</f>
        <v>1835.3591500099999</v>
      </c>
      <c r="T716" s="83">
        <f>Inputs!$G$5+TS!P716*0.4333</f>
        <v>1850.3591500099999</v>
      </c>
      <c r="U716" s="85">
        <f t="shared" si="216"/>
        <v>0.92517957500499992</v>
      </c>
      <c r="V716" s="86">
        <f t="shared" si="204"/>
        <v>0</v>
      </c>
      <c r="W716" s="86">
        <f t="shared" si="205"/>
        <v>0</v>
      </c>
      <c r="X716" s="86" t="e">
        <f>((PI()*((42-2*'Gen Calcs'!$E$13)^2)/4)/144)*(A759-#REF!)*(W716+14.7)/14.7</f>
        <v>#REF!</v>
      </c>
      <c r="Y716" s="86" t="e">
        <f t="shared" si="206"/>
        <v>#REF!</v>
      </c>
      <c r="Z716" s="86" t="e">
        <f t="shared" si="207"/>
        <v>#REF!</v>
      </c>
      <c r="AA716" s="83">
        <f>MAX(B$2:B716)-B716</f>
        <v>18.288499999999999</v>
      </c>
      <c r="AB716" s="83">
        <f t="shared" si="208"/>
        <v>7.9189204999999996</v>
      </c>
      <c r="AC716" s="83">
        <f t="shared" si="210"/>
        <v>120</v>
      </c>
      <c r="AD716" s="72">
        <v>120</v>
      </c>
      <c r="AE716" s="73">
        <f t="shared" si="217"/>
        <v>907.92027688745009</v>
      </c>
      <c r="AF716" s="73">
        <f>SUM(AE$2:AE716)</f>
        <v>594891.82513553195</v>
      </c>
      <c r="AG716" s="73">
        <f t="shared" si="218"/>
        <v>578838.07729157724</v>
      </c>
    </row>
    <row r="717" spans="1:33" x14ac:dyDescent="0.25">
      <c r="A717" s="99">
        <v>161599.92000000001</v>
      </c>
      <c r="B717" s="96">
        <v>916.43899999999996</v>
      </c>
      <c r="C717" s="96">
        <v>0.6</v>
      </c>
      <c r="D717" s="80">
        <f t="shared" si="203"/>
        <v>100</v>
      </c>
      <c r="E717" s="81">
        <f t="shared" si="211"/>
        <v>6791.2436711181272</v>
      </c>
      <c r="F717" s="81">
        <f>SUM(E$2:E717)</f>
        <v>4453194.3317554146</v>
      </c>
      <c r="G717" s="43">
        <f t="shared" si="209"/>
        <v>1</v>
      </c>
      <c r="H717" s="78">
        <v>1</v>
      </c>
      <c r="I717" s="15">
        <f t="shared" si="212"/>
        <v>0.6</v>
      </c>
      <c r="J717" s="16">
        <f>VLOOKUP(G717,Inputs!$L$3:$P$15,5,FALSE)</f>
        <v>2000</v>
      </c>
      <c r="K717" s="16">
        <f t="shared" si="213"/>
        <v>1825</v>
      </c>
      <c r="L717" s="79">
        <f>Inputs!$P$8-B717</f>
        <v>21.752000000000066</v>
      </c>
      <c r="M717" s="79">
        <f>Inputs!$Q$8+L717*0.433</f>
        <v>1834.4186159999999</v>
      </c>
      <c r="N717" s="82">
        <f t="shared" si="214"/>
        <v>161599.92000000001</v>
      </c>
      <c r="O717" s="83">
        <f t="shared" si="215"/>
        <v>916.43899999999996</v>
      </c>
      <c r="P717" s="84">
        <f>IF(O717="","",Inputs!$C$5-O717)</f>
        <v>-91.254500000000007</v>
      </c>
      <c r="Q717" s="83">
        <f>IF(N717="","",TS!J717)</f>
        <v>2000</v>
      </c>
      <c r="R717" s="83">
        <f>IF(N717="","",TS!K717)</f>
        <v>1825</v>
      </c>
      <c r="S717" s="83">
        <f>Inputs!$H$5+TS!P717*0.4333</f>
        <v>1835.4251416</v>
      </c>
      <c r="T717" s="83">
        <f>Inputs!$G$5+TS!P717*0.4333</f>
        <v>1850.4251416</v>
      </c>
      <c r="U717" s="85">
        <f t="shared" si="216"/>
        <v>0.92521257079999997</v>
      </c>
      <c r="V717" s="86">
        <f t="shared" si="204"/>
        <v>0</v>
      </c>
      <c r="W717" s="86">
        <f t="shared" si="205"/>
        <v>0</v>
      </c>
      <c r="X717" s="86" t="e">
        <f>((PI()*((42-2*'Gen Calcs'!$E$13)^2)/4)/144)*(A760-#REF!)*(W717+14.7)/14.7</f>
        <v>#REF!</v>
      </c>
      <c r="Y717" s="86" t="e">
        <f t="shared" si="206"/>
        <v>#REF!</v>
      </c>
      <c r="Z717" s="86" t="e">
        <f t="shared" si="207"/>
        <v>#REF!</v>
      </c>
      <c r="AA717" s="83">
        <f>MAX(B$2:B717)-B717</f>
        <v>18.440800000000081</v>
      </c>
      <c r="AB717" s="83">
        <f t="shared" si="208"/>
        <v>7.9848664000000351</v>
      </c>
      <c r="AC717" s="83">
        <f t="shared" si="210"/>
        <v>120</v>
      </c>
      <c r="AD717" s="72">
        <v>120</v>
      </c>
      <c r="AE717" s="73">
        <f t="shared" si="217"/>
        <v>907.92027688745009</v>
      </c>
      <c r="AF717" s="73">
        <f>SUM(AE$2:AE717)</f>
        <v>595799.74541241943</v>
      </c>
      <c r="AG717" s="73">
        <f t="shared" si="218"/>
        <v>577930.15701468976</v>
      </c>
    </row>
    <row r="718" spans="1:33" x14ac:dyDescent="0.25">
      <c r="A718" s="100">
        <v>161699.92000000001</v>
      </c>
      <c r="B718" s="97">
        <v>919.875</v>
      </c>
      <c r="C718" s="97">
        <v>0.6</v>
      </c>
      <c r="D718" s="80">
        <f t="shared" si="203"/>
        <v>100</v>
      </c>
      <c r="E718" s="81">
        <f t="shared" si="211"/>
        <v>6791.2436711181272</v>
      </c>
      <c r="F718" s="81">
        <f>SUM(E$2:E718)</f>
        <v>4459985.5754265329</v>
      </c>
      <c r="G718" s="43">
        <f t="shared" si="209"/>
        <v>1</v>
      </c>
      <c r="H718" s="78">
        <v>1</v>
      </c>
      <c r="I718" s="15">
        <f t="shared" si="212"/>
        <v>0.6</v>
      </c>
      <c r="J718" s="16">
        <f>VLOOKUP(G718,Inputs!$L$3:$P$15,5,FALSE)</f>
        <v>2000</v>
      </c>
      <c r="K718" s="16">
        <f t="shared" si="213"/>
        <v>1825</v>
      </c>
      <c r="L718" s="79">
        <f>Inputs!$P$8-B718</f>
        <v>18.316000000000031</v>
      </c>
      <c r="M718" s="79">
        <f>Inputs!$Q$8+L718*0.433</f>
        <v>1832.930828</v>
      </c>
      <c r="N718" s="82">
        <f t="shared" si="214"/>
        <v>161699.92000000001</v>
      </c>
      <c r="O718" s="83">
        <f t="shared" si="215"/>
        <v>919.875</v>
      </c>
      <c r="P718" s="84">
        <f>IF(O718="","",Inputs!$C$5-O718)</f>
        <v>-94.690500000000043</v>
      </c>
      <c r="Q718" s="83">
        <f>IF(N718="","",TS!J718)</f>
        <v>2000</v>
      </c>
      <c r="R718" s="83">
        <f>IF(N718="","",TS!K718)</f>
        <v>1825</v>
      </c>
      <c r="S718" s="83">
        <f>Inputs!$H$5+TS!P718*0.4333</f>
        <v>1833.9363228</v>
      </c>
      <c r="T718" s="83">
        <f>Inputs!$G$5+TS!P718*0.4333</f>
        <v>1848.9363228</v>
      </c>
      <c r="U718" s="85">
        <f t="shared" si="216"/>
        <v>0.92446816139999999</v>
      </c>
      <c r="V718" s="86">
        <f t="shared" si="204"/>
        <v>0</v>
      </c>
      <c r="W718" s="86">
        <f t="shared" si="205"/>
        <v>0</v>
      </c>
      <c r="X718" s="86" t="e">
        <f>((PI()*((42-2*'Gen Calcs'!$E$13)^2)/4)/144)*(A761-#REF!)*(W718+14.7)/14.7</f>
        <v>#REF!</v>
      </c>
      <c r="Y718" s="86" t="e">
        <f t="shared" si="206"/>
        <v>#REF!</v>
      </c>
      <c r="Z718" s="86" t="e">
        <f t="shared" si="207"/>
        <v>#REF!</v>
      </c>
      <c r="AA718" s="83">
        <f>MAX(B$2:B718)-B718</f>
        <v>15.004800000000046</v>
      </c>
      <c r="AB718" s="83">
        <f t="shared" si="208"/>
        <v>6.4970784000000199</v>
      </c>
      <c r="AC718" s="83">
        <f t="shared" si="210"/>
        <v>120</v>
      </c>
      <c r="AD718" s="72">
        <v>120</v>
      </c>
      <c r="AE718" s="73">
        <f t="shared" si="217"/>
        <v>907.92027688745009</v>
      </c>
      <c r="AF718" s="73">
        <f>SUM(AE$2:AE718)</f>
        <v>596707.66568930692</v>
      </c>
      <c r="AG718" s="73">
        <f t="shared" si="218"/>
        <v>577022.23673780228</v>
      </c>
    </row>
    <row r="719" spans="1:33" x14ac:dyDescent="0.25">
      <c r="A719" s="99">
        <v>161799.92000000001</v>
      </c>
      <c r="B719" s="96">
        <v>923.26990000000001</v>
      </c>
      <c r="C719" s="96">
        <v>0.6</v>
      </c>
      <c r="D719" s="80">
        <f t="shared" si="203"/>
        <v>100</v>
      </c>
      <c r="E719" s="81">
        <f t="shared" si="211"/>
        <v>6791.2436711181272</v>
      </c>
      <c r="F719" s="81">
        <f>SUM(E$2:E719)</f>
        <v>4466776.8190976512</v>
      </c>
      <c r="G719" s="43">
        <f t="shared" si="209"/>
        <v>1</v>
      </c>
      <c r="H719" s="78">
        <v>1</v>
      </c>
      <c r="I719" s="15">
        <f t="shared" si="212"/>
        <v>0.6</v>
      </c>
      <c r="J719" s="16">
        <f>VLOOKUP(G719,Inputs!$L$3:$P$15,5,FALSE)</f>
        <v>2000</v>
      </c>
      <c r="K719" s="16">
        <f t="shared" si="213"/>
        <v>1825</v>
      </c>
      <c r="L719" s="79">
        <f>Inputs!$P$8-B719</f>
        <v>14.921100000000024</v>
      </c>
      <c r="M719" s="79">
        <f>Inputs!$Q$8+L719*0.433</f>
        <v>1831.4608363</v>
      </c>
      <c r="N719" s="82">
        <f t="shared" si="214"/>
        <v>161799.92000000001</v>
      </c>
      <c r="O719" s="83">
        <f t="shared" si="215"/>
        <v>923.26990000000001</v>
      </c>
      <c r="P719" s="84">
        <f>IF(O719="","",Inputs!$C$5-O719)</f>
        <v>-98.08540000000005</v>
      </c>
      <c r="Q719" s="83">
        <f>IF(N719="","",TS!J719)</f>
        <v>2000</v>
      </c>
      <c r="R719" s="83">
        <f>IF(N719="","",TS!K719)</f>
        <v>1825</v>
      </c>
      <c r="S719" s="83">
        <f>Inputs!$H$5+TS!P719*0.4333</f>
        <v>1832.46531263</v>
      </c>
      <c r="T719" s="83">
        <f>Inputs!$G$5+TS!P719*0.4333</f>
        <v>1847.46531263</v>
      </c>
      <c r="U719" s="85">
        <f t="shared" si="216"/>
        <v>0.92373265631500001</v>
      </c>
      <c r="V719" s="86">
        <f t="shared" si="204"/>
        <v>0</v>
      </c>
      <c r="W719" s="86">
        <f t="shared" si="205"/>
        <v>0</v>
      </c>
      <c r="X719" s="86" t="e">
        <f>((PI()*((42-2*'Gen Calcs'!$E$13)^2)/4)/144)*(A762-#REF!)*(W719+14.7)/14.7</f>
        <v>#REF!</v>
      </c>
      <c r="Y719" s="86" t="e">
        <f t="shared" si="206"/>
        <v>#REF!</v>
      </c>
      <c r="Z719" s="86" t="e">
        <f t="shared" si="207"/>
        <v>#REF!</v>
      </c>
      <c r="AA719" s="83">
        <f>MAX(B$2:B719)-B719</f>
        <v>11.609900000000039</v>
      </c>
      <c r="AB719" s="83">
        <f t="shared" si="208"/>
        <v>5.0270867000000168</v>
      </c>
      <c r="AC719" s="83">
        <f t="shared" si="210"/>
        <v>120</v>
      </c>
      <c r="AD719" s="72">
        <v>120</v>
      </c>
      <c r="AE719" s="73">
        <f t="shared" si="217"/>
        <v>907.92027688745009</v>
      </c>
      <c r="AF719" s="73">
        <f>SUM(AE$2:AE719)</f>
        <v>597615.5859661944</v>
      </c>
      <c r="AG719" s="73">
        <f t="shared" si="218"/>
        <v>576114.31646091479</v>
      </c>
    </row>
    <row r="720" spans="1:33" x14ac:dyDescent="0.25">
      <c r="A720" s="100">
        <v>161899.92000000001</v>
      </c>
      <c r="B720" s="97">
        <v>927.00139999999999</v>
      </c>
      <c r="C720" s="97">
        <v>0.6</v>
      </c>
      <c r="D720" s="80">
        <f t="shared" si="203"/>
        <v>100</v>
      </c>
      <c r="E720" s="81">
        <f t="shared" si="211"/>
        <v>6791.2436711181272</v>
      </c>
      <c r="F720" s="81">
        <f>SUM(E$2:E720)</f>
        <v>4473568.0627687695</v>
      </c>
      <c r="G720" s="43">
        <f t="shared" si="209"/>
        <v>1</v>
      </c>
      <c r="H720" s="78">
        <v>1</v>
      </c>
      <c r="I720" s="15">
        <f t="shared" si="212"/>
        <v>0.6</v>
      </c>
      <c r="J720" s="16">
        <f>VLOOKUP(G720,Inputs!$L$3:$P$15,5,FALSE)</f>
        <v>2000</v>
      </c>
      <c r="K720" s="16">
        <f t="shared" si="213"/>
        <v>1825</v>
      </c>
      <c r="L720" s="79">
        <f>Inputs!$P$8-B720</f>
        <v>11.189600000000041</v>
      </c>
      <c r="M720" s="79">
        <f>Inputs!$Q$8+L720*0.433</f>
        <v>1829.8450968</v>
      </c>
      <c r="N720" s="82">
        <f t="shared" si="214"/>
        <v>161899.92000000001</v>
      </c>
      <c r="O720" s="83">
        <f t="shared" si="215"/>
        <v>927.00139999999999</v>
      </c>
      <c r="P720" s="84">
        <f>IF(O720="","",Inputs!$C$5-O720)</f>
        <v>-101.81690000000003</v>
      </c>
      <c r="Q720" s="83">
        <f>IF(N720="","",TS!J720)</f>
        <v>2000</v>
      </c>
      <c r="R720" s="83">
        <f>IF(N720="","",TS!K720)</f>
        <v>1825</v>
      </c>
      <c r="S720" s="83">
        <f>Inputs!$H$5+TS!P720*0.4333</f>
        <v>1830.8484536799999</v>
      </c>
      <c r="T720" s="83">
        <f>Inputs!$G$5+TS!P720*0.4333</f>
        <v>1845.8484536799999</v>
      </c>
      <c r="U720" s="85">
        <f t="shared" si="216"/>
        <v>0.92292422683999997</v>
      </c>
      <c r="V720" s="86">
        <f t="shared" si="204"/>
        <v>0</v>
      </c>
      <c r="W720" s="86">
        <f t="shared" si="205"/>
        <v>0</v>
      </c>
      <c r="X720" s="86" t="e">
        <f>((PI()*((42-2*'Gen Calcs'!$E$13)^2)/4)/144)*(A763-#REF!)*(W720+14.7)/14.7</f>
        <v>#REF!</v>
      </c>
      <c r="Y720" s="86" t="e">
        <f t="shared" si="206"/>
        <v>#REF!</v>
      </c>
      <c r="Z720" s="86" t="e">
        <f t="shared" si="207"/>
        <v>#REF!</v>
      </c>
      <c r="AA720" s="83">
        <f>MAX(B$2:B720)-B720</f>
        <v>7.878400000000056</v>
      </c>
      <c r="AB720" s="83">
        <f t="shared" si="208"/>
        <v>3.4113472000000242</v>
      </c>
      <c r="AC720" s="83">
        <f t="shared" si="210"/>
        <v>120</v>
      </c>
      <c r="AD720" s="72">
        <v>120</v>
      </c>
      <c r="AE720" s="73">
        <f t="shared" si="217"/>
        <v>907.92027688745009</v>
      </c>
      <c r="AF720" s="73">
        <f>SUM(AE$2:AE720)</f>
        <v>598523.50624308188</v>
      </c>
      <c r="AG720" s="73">
        <f t="shared" si="218"/>
        <v>575206.39618402731</v>
      </c>
    </row>
    <row r="721" spans="1:33" x14ac:dyDescent="0.25">
      <c r="A721" s="99">
        <v>161999.92000000001</v>
      </c>
      <c r="B721" s="96">
        <v>930.7364</v>
      </c>
      <c r="C721" s="96">
        <v>0.6</v>
      </c>
      <c r="D721" s="80">
        <f t="shared" si="203"/>
        <v>100</v>
      </c>
      <c r="E721" s="81">
        <f t="shared" si="211"/>
        <v>6791.2436711181272</v>
      </c>
      <c r="F721" s="81">
        <f>SUM(E$2:E721)</f>
        <v>4480359.3064398877</v>
      </c>
      <c r="G721" s="43">
        <f t="shared" si="209"/>
        <v>1</v>
      </c>
      <c r="H721" s="78">
        <v>1</v>
      </c>
      <c r="I721" s="15">
        <f t="shared" si="212"/>
        <v>0.6</v>
      </c>
      <c r="J721" s="16">
        <f>VLOOKUP(G721,Inputs!$L$3:$P$15,5,FALSE)</f>
        <v>2000</v>
      </c>
      <c r="K721" s="16">
        <f t="shared" si="213"/>
        <v>1825</v>
      </c>
      <c r="L721" s="79">
        <f>Inputs!$P$8-B721</f>
        <v>7.4546000000000276</v>
      </c>
      <c r="M721" s="79">
        <f>Inputs!$Q$8+L721*0.433</f>
        <v>1828.2278418000001</v>
      </c>
      <c r="N721" s="82">
        <f t="shared" si="214"/>
        <v>161999.92000000001</v>
      </c>
      <c r="O721" s="83">
        <f t="shared" si="215"/>
        <v>930.7364</v>
      </c>
      <c r="P721" s="84">
        <f>IF(O721="","",Inputs!$C$5-O721)</f>
        <v>-105.55190000000005</v>
      </c>
      <c r="Q721" s="83">
        <f>IF(N721="","",TS!J721)</f>
        <v>2000</v>
      </c>
      <c r="R721" s="83">
        <f>IF(N721="","",TS!K721)</f>
        <v>1825</v>
      </c>
      <c r="S721" s="83">
        <f>Inputs!$H$5+TS!P721*0.4333</f>
        <v>1829.23007818</v>
      </c>
      <c r="T721" s="83">
        <f>Inputs!$G$5+TS!P721*0.4333</f>
        <v>1844.23007818</v>
      </c>
      <c r="U721" s="85">
        <f t="shared" si="216"/>
        <v>0.92211503909000003</v>
      </c>
      <c r="V721" s="86">
        <f t="shared" si="204"/>
        <v>0</v>
      </c>
      <c r="W721" s="86">
        <f t="shared" si="205"/>
        <v>0</v>
      </c>
      <c r="X721" s="86" t="e">
        <f>((PI()*((42-2*'Gen Calcs'!$E$13)^2)/4)/144)*(A764-#REF!)*(W721+14.7)/14.7</f>
        <v>#REF!</v>
      </c>
      <c r="Y721" s="86" t="e">
        <f t="shared" si="206"/>
        <v>#REF!</v>
      </c>
      <c r="Z721" s="86" t="e">
        <f t="shared" si="207"/>
        <v>#REF!</v>
      </c>
      <c r="AA721" s="83">
        <f>MAX(B$2:B721)-B721</f>
        <v>4.1434000000000424</v>
      </c>
      <c r="AB721" s="83">
        <f t="shared" si="208"/>
        <v>1.7940922000000183</v>
      </c>
      <c r="AC721" s="83">
        <f t="shared" si="210"/>
        <v>120</v>
      </c>
      <c r="AD721" s="72">
        <v>120</v>
      </c>
      <c r="AE721" s="73">
        <f t="shared" si="217"/>
        <v>907.92027688745009</v>
      </c>
      <c r="AF721" s="73">
        <f>SUM(AE$2:AE721)</f>
        <v>599431.42651996936</v>
      </c>
      <c r="AG721" s="73">
        <f t="shared" si="218"/>
        <v>574298.47590713983</v>
      </c>
    </row>
    <row r="722" spans="1:33" x14ac:dyDescent="0.25">
      <c r="A722" s="100">
        <v>162099.92000000001</v>
      </c>
      <c r="B722" s="97">
        <v>932.76099999999997</v>
      </c>
      <c r="C722" s="97">
        <v>0.6</v>
      </c>
      <c r="D722" s="80">
        <f t="shared" si="203"/>
        <v>100</v>
      </c>
      <c r="E722" s="81">
        <f t="shared" si="211"/>
        <v>6791.2436711181272</v>
      </c>
      <c r="F722" s="81">
        <f>SUM(E$2:E722)</f>
        <v>4487150.550111006</v>
      </c>
      <c r="G722" s="43">
        <f t="shared" si="209"/>
        <v>1</v>
      </c>
      <c r="H722" s="78">
        <v>1</v>
      </c>
      <c r="I722" s="15">
        <f t="shared" si="212"/>
        <v>0.6</v>
      </c>
      <c r="J722" s="16">
        <f>VLOOKUP(G722,Inputs!$L$3:$P$15,5,FALSE)</f>
        <v>2000</v>
      </c>
      <c r="K722" s="16">
        <f t="shared" si="213"/>
        <v>1825</v>
      </c>
      <c r="L722" s="79">
        <f>Inputs!$P$8-B722</f>
        <v>5.4300000000000637</v>
      </c>
      <c r="M722" s="79">
        <f>Inputs!$Q$8+L722*0.433</f>
        <v>1827.3511900000001</v>
      </c>
      <c r="N722" s="82">
        <f t="shared" si="214"/>
        <v>162099.92000000001</v>
      </c>
      <c r="O722" s="83">
        <f t="shared" si="215"/>
        <v>932.76099999999997</v>
      </c>
      <c r="P722" s="84">
        <f>IF(O722="","",Inputs!$C$5-O722)</f>
        <v>-107.57650000000001</v>
      </c>
      <c r="Q722" s="83">
        <f>IF(N722="","",TS!J722)</f>
        <v>2000</v>
      </c>
      <c r="R722" s="83">
        <f>IF(N722="","",TS!K722)</f>
        <v>1825</v>
      </c>
      <c r="S722" s="83">
        <f>Inputs!$H$5+TS!P722*0.4333</f>
        <v>1828.352819</v>
      </c>
      <c r="T722" s="83">
        <f>Inputs!$G$5+TS!P722*0.4333</f>
        <v>1843.352819</v>
      </c>
      <c r="U722" s="85">
        <f t="shared" si="216"/>
        <v>0.92167640949999996</v>
      </c>
      <c r="V722" s="86">
        <f t="shared" si="204"/>
        <v>0</v>
      </c>
      <c r="W722" s="86">
        <f t="shared" si="205"/>
        <v>0</v>
      </c>
      <c r="X722" s="86" t="e">
        <f>((PI()*((42-2*'Gen Calcs'!$E$13)^2)/4)/144)*(A765-#REF!)*(W722+14.7)/14.7</f>
        <v>#REF!</v>
      </c>
      <c r="Y722" s="86" t="e">
        <f t="shared" si="206"/>
        <v>#REF!</v>
      </c>
      <c r="Z722" s="86" t="e">
        <f t="shared" si="207"/>
        <v>#REF!</v>
      </c>
      <c r="AA722" s="83">
        <f>MAX(B$2:B722)-B722</f>
        <v>2.1188000000000784</v>
      </c>
      <c r="AB722" s="83">
        <f t="shared" si="208"/>
        <v>0.91744040000003391</v>
      </c>
      <c r="AC722" s="83">
        <f t="shared" si="210"/>
        <v>120</v>
      </c>
      <c r="AD722" s="72">
        <v>120</v>
      </c>
      <c r="AE722" s="73">
        <f t="shared" si="217"/>
        <v>907.92027688745009</v>
      </c>
      <c r="AF722" s="73">
        <f>SUM(AE$2:AE722)</f>
        <v>600339.34679685684</v>
      </c>
      <c r="AG722" s="73">
        <f t="shared" si="218"/>
        <v>573390.55563025235</v>
      </c>
    </row>
    <row r="723" spans="1:33" x14ac:dyDescent="0.25">
      <c r="A723" s="99">
        <v>162199.92000000001</v>
      </c>
      <c r="B723" s="96">
        <v>934.49450000000002</v>
      </c>
      <c r="C723" s="96">
        <v>0.6</v>
      </c>
      <c r="D723" s="80">
        <f t="shared" si="203"/>
        <v>100</v>
      </c>
      <c r="E723" s="81">
        <f t="shared" si="211"/>
        <v>6791.2436711181272</v>
      </c>
      <c r="F723" s="81">
        <f>SUM(E$2:E723)</f>
        <v>4493941.7937821243</v>
      </c>
      <c r="G723" s="43">
        <f t="shared" si="209"/>
        <v>1</v>
      </c>
      <c r="H723" s="78">
        <v>1</v>
      </c>
      <c r="I723" s="15">
        <f t="shared" si="212"/>
        <v>0.6</v>
      </c>
      <c r="J723" s="16">
        <f>VLOOKUP(G723,Inputs!$L$3:$P$15,5,FALSE)</f>
        <v>2000</v>
      </c>
      <c r="K723" s="16">
        <f t="shared" si="213"/>
        <v>1825</v>
      </c>
      <c r="L723" s="79">
        <f>Inputs!$P$8-B723</f>
        <v>3.6965000000000146</v>
      </c>
      <c r="M723" s="79">
        <f>Inputs!$Q$8+L723*0.433</f>
        <v>1826.6005845</v>
      </c>
      <c r="N723" s="82">
        <f t="shared" si="214"/>
        <v>162199.92000000001</v>
      </c>
      <c r="O723" s="83">
        <f t="shared" si="215"/>
        <v>934.49450000000002</v>
      </c>
      <c r="P723" s="84">
        <f>IF(O723="","",Inputs!$C$5-O723)</f>
        <v>-109.31000000000006</v>
      </c>
      <c r="Q723" s="83">
        <f>IF(N723="","",TS!J723)</f>
        <v>2000</v>
      </c>
      <c r="R723" s="83">
        <f>IF(N723="","",TS!K723)</f>
        <v>1825</v>
      </c>
      <c r="S723" s="83">
        <f>Inputs!$H$5+TS!P723*0.4333</f>
        <v>1827.6016934499999</v>
      </c>
      <c r="T723" s="83">
        <f>Inputs!$G$5+TS!P723*0.4333</f>
        <v>1842.6016934499999</v>
      </c>
      <c r="U723" s="85">
        <f t="shared" si="216"/>
        <v>0.9213008467249999</v>
      </c>
      <c r="V723" s="86">
        <f t="shared" si="204"/>
        <v>0</v>
      </c>
      <c r="W723" s="86">
        <f t="shared" si="205"/>
        <v>0</v>
      </c>
      <c r="X723" s="86" t="e">
        <f>((PI()*((42-2*'Gen Calcs'!$E$13)^2)/4)/144)*(A766-#REF!)*(W723+14.7)/14.7</f>
        <v>#REF!</v>
      </c>
      <c r="Y723" s="86" t="e">
        <f t="shared" si="206"/>
        <v>#REF!</v>
      </c>
      <c r="Z723" s="86" t="e">
        <f t="shared" si="207"/>
        <v>#REF!</v>
      </c>
      <c r="AA723" s="83">
        <f>MAX(B$2:B723)-B723</f>
        <v>0.38530000000002929</v>
      </c>
      <c r="AB723" s="83">
        <f t="shared" si="208"/>
        <v>0.16683490000001269</v>
      </c>
      <c r="AC723" s="83">
        <f t="shared" si="210"/>
        <v>120</v>
      </c>
      <c r="AD723" s="72">
        <v>120</v>
      </c>
      <c r="AE723" s="73">
        <f t="shared" si="217"/>
        <v>907.92027688745009</v>
      </c>
      <c r="AF723" s="73">
        <f>SUM(AE$2:AE723)</f>
        <v>601247.26707374433</v>
      </c>
      <c r="AG723" s="73">
        <f t="shared" si="218"/>
        <v>572482.63535336487</v>
      </c>
    </row>
    <row r="724" spans="1:33" x14ac:dyDescent="0.25">
      <c r="A724" s="100">
        <v>162299.92000000001</v>
      </c>
      <c r="B724" s="97">
        <v>936.20569999999998</v>
      </c>
      <c r="C724" s="97">
        <v>0.6</v>
      </c>
      <c r="D724" s="80">
        <f t="shared" si="203"/>
        <v>100</v>
      </c>
      <c r="E724" s="81">
        <f t="shared" si="211"/>
        <v>6791.2436711181272</v>
      </c>
      <c r="F724" s="81">
        <f>SUM(E$2:E724)</f>
        <v>4500733.0374532426</v>
      </c>
      <c r="G724" s="43">
        <f t="shared" si="209"/>
        <v>1</v>
      </c>
      <c r="H724" s="78">
        <v>1</v>
      </c>
      <c r="I724" s="15">
        <f t="shared" si="212"/>
        <v>0.6</v>
      </c>
      <c r="J724" s="16">
        <f>VLOOKUP(G724,Inputs!$L$3:$P$15,5,FALSE)</f>
        <v>2000</v>
      </c>
      <c r="K724" s="16">
        <f t="shared" si="213"/>
        <v>1825</v>
      </c>
      <c r="L724" s="79">
        <f>Inputs!$P$8-B724</f>
        <v>1.985300000000052</v>
      </c>
      <c r="M724" s="79">
        <f>Inputs!$Q$8+L724*0.433</f>
        <v>1825.8596348999999</v>
      </c>
      <c r="N724" s="82">
        <f t="shared" si="214"/>
        <v>162299.92000000001</v>
      </c>
      <c r="O724" s="83">
        <f t="shared" si="215"/>
        <v>936.20569999999998</v>
      </c>
      <c r="P724" s="84">
        <f>IF(O724="","",Inputs!$C$5-O724)</f>
        <v>-111.02120000000002</v>
      </c>
      <c r="Q724" s="83">
        <f>IF(N724="","",TS!J724)</f>
        <v>2000</v>
      </c>
      <c r="R724" s="83">
        <f>IF(N724="","",TS!K724)</f>
        <v>1825</v>
      </c>
      <c r="S724" s="83">
        <f>Inputs!$H$5+TS!P724*0.4333</f>
        <v>1826.86023049</v>
      </c>
      <c r="T724" s="83">
        <f>Inputs!$G$5+TS!P724*0.4333</f>
        <v>1841.86023049</v>
      </c>
      <c r="U724" s="85">
        <f t="shared" si="216"/>
        <v>0.92093011524500001</v>
      </c>
      <c r="V724" s="86">
        <f t="shared" si="204"/>
        <v>0</v>
      </c>
      <c r="W724" s="86">
        <f t="shared" si="205"/>
        <v>0</v>
      </c>
      <c r="X724" s="86" t="e">
        <f>((PI()*((42-2*'Gen Calcs'!$E$13)^2)/4)/144)*(A767-#REF!)*(W724+14.7)/14.7</f>
        <v>#REF!</v>
      </c>
      <c r="Y724" s="86" t="e">
        <f t="shared" si="206"/>
        <v>#REF!</v>
      </c>
      <c r="Z724" s="86" t="e">
        <f t="shared" si="207"/>
        <v>#REF!</v>
      </c>
      <c r="AA724" s="83">
        <f>MAX(B$2:B724)-B724</f>
        <v>0</v>
      </c>
      <c r="AB724" s="83">
        <f t="shared" si="208"/>
        <v>0</v>
      </c>
      <c r="AC724" s="83">
        <f t="shared" si="210"/>
        <v>120</v>
      </c>
      <c r="AD724" s="72">
        <v>120</v>
      </c>
      <c r="AE724" s="73">
        <f t="shared" si="217"/>
        <v>907.92027688745009</v>
      </c>
      <c r="AF724" s="73">
        <f>SUM(AE$2:AE724)</f>
        <v>602155.18735063181</v>
      </c>
      <c r="AG724" s="73">
        <f t="shared" si="218"/>
        <v>571574.71507647738</v>
      </c>
    </row>
    <row r="725" spans="1:33" x14ac:dyDescent="0.25">
      <c r="A725" s="99">
        <v>162399.92000000001</v>
      </c>
      <c r="B725" s="96">
        <v>936.53380000000004</v>
      </c>
      <c r="C725" s="96">
        <v>0.6</v>
      </c>
      <c r="D725" s="80">
        <f t="shared" si="203"/>
        <v>100</v>
      </c>
      <c r="E725" s="81">
        <f t="shared" si="211"/>
        <v>6791.2436711181272</v>
      </c>
      <c r="F725" s="81">
        <f>SUM(E$2:E725)</f>
        <v>4507524.2811243609</v>
      </c>
      <c r="G725" s="43">
        <f t="shared" si="209"/>
        <v>1</v>
      </c>
      <c r="H725" s="78">
        <v>1</v>
      </c>
      <c r="I725" s="15">
        <f t="shared" si="212"/>
        <v>0.6</v>
      </c>
      <c r="J725" s="16">
        <f>VLOOKUP(G725,Inputs!$L$3:$P$15,5,FALSE)</f>
        <v>2000</v>
      </c>
      <c r="K725" s="16">
        <f t="shared" si="213"/>
        <v>1825</v>
      </c>
      <c r="L725" s="79">
        <f>Inputs!$P$8-B725</f>
        <v>1.6571999999999889</v>
      </c>
      <c r="M725" s="79">
        <f>Inputs!$Q$8+L725*0.433</f>
        <v>1825.7175675999999</v>
      </c>
      <c r="N725" s="82">
        <f t="shared" si="214"/>
        <v>162399.92000000001</v>
      </c>
      <c r="O725" s="83">
        <f t="shared" si="215"/>
        <v>936.53380000000004</v>
      </c>
      <c r="P725" s="84">
        <f>IF(O725="","",Inputs!$C$5-O725)</f>
        <v>-111.34930000000008</v>
      </c>
      <c r="Q725" s="83">
        <f>IF(N725="","",TS!J725)</f>
        <v>2000</v>
      </c>
      <c r="R725" s="83">
        <f>IF(N725="","",TS!K725)</f>
        <v>1825</v>
      </c>
      <c r="S725" s="83">
        <f>Inputs!$H$5+TS!P725*0.4333</f>
        <v>1826.7180647599998</v>
      </c>
      <c r="T725" s="83">
        <f>Inputs!$G$5+TS!P725*0.4333</f>
        <v>1841.7180647599998</v>
      </c>
      <c r="U725" s="85">
        <f t="shared" si="216"/>
        <v>0.92085903237999989</v>
      </c>
      <c r="V725" s="86">
        <f t="shared" si="204"/>
        <v>0</v>
      </c>
      <c r="W725" s="86">
        <f t="shared" si="205"/>
        <v>0</v>
      </c>
      <c r="X725" s="86" t="e">
        <f>((PI()*((42-2*'Gen Calcs'!$E$13)^2)/4)/144)*(A768-#REF!)*(W725+14.7)/14.7</f>
        <v>#REF!</v>
      </c>
      <c r="Y725" s="86" t="e">
        <f t="shared" si="206"/>
        <v>#REF!</v>
      </c>
      <c r="Z725" s="86" t="e">
        <f t="shared" si="207"/>
        <v>#REF!</v>
      </c>
      <c r="AA725" s="83">
        <f>MAX(B$2:B725)-B725</f>
        <v>0</v>
      </c>
      <c r="AB725" s="83">
        <f t="shared" si="208"/>
        <v>0</v>
      </c>
      <c r="AC725" s="83">
        <f t="shared" si="210"/>
        <v>120</v>
      </c>
      <c r="AD725" s="72">
        <v>120</v>
      </c>
      <c r="AE725" s="73">
        <f t="shared" si="217"/>
        <v>907.92027688745009</v>
      </c>
      <c r="AF725" s="73">
        <f>SUM(AE$2:AE725)</f>
        <v>603063.10762751929</v>
      </c>
      <c r="AG725" s="73">
        <f t="shared" si="218"/>
        <v>570666.7947995899</v>
      </c>
    </row>
    <row r="726" spans="1:33" x14ac:dyDescent="0.25">
      <c r="A726" s="100">
        <v>162499.92000000001</v>
      </c>
      <c r="B726" s="97">
        <v>936.81640000000004</v>
      </c>
      <c r="C726" s="97">
        <v>0.6</v>
      </c>
      <c r="D726" s="80">
        <f t="shared" si="203"/>
        <v>100</v>
      </c>
      <c r="E726" s="81">
        <f t="shared" si="211"/>
        <v>6791.2436711181272</v>
      </c>
      <c r="F726" s="81">
        <f>SUM(E$2:E726)</f>
        <v>4514315.5247954791</v>
      </c>
      <c r="G726" s="43">
        <f t="shared" si="209"/>
        <v>1</v>
      </c>
      <c r="H726" s="78">
        <v>1</v>
      </c>
      <c r="I726" s="15">
        <f t="shared" si="212"/>
        <v>0.6</v>
      </c>
      <c r="J726" s="16">
        <f>VLOOKUP(G726,Inputs!$L$3:$P$15,5,FALSE)</f>
        <v>2000</v>
      </c>
      <c r="K726" s="16">
        <f t="shared" si="213"/>
        <v>1825</v>
      </c>
      <c r="L726" s="79">
        <f>Inputs!$P$8-B726</f>
        <v>1.3745999999999867</v>
      </c>
      <c r="M726" s="79">
        <f>Inputs!$Q$8+L726*0.433</f>
        <v>1825.5952018</v>
      </c>
      <c r="N726" s="82">
        <f t="shared" si="214"/>
        <v>162499.92000000001</v>
      </c>
      <c r="O726" s="83">
        <f t="shared" si="215"/>
        <v>936.81640000000004</v>
      </c>
      <c r="P726" s="84">
        <f>IF(O726="","",Inputs!$C$5-O726)</f>
        <v>-111.63190000000009</v>
      </c>
      <c r="Q726" s="83">
        <f>IF(N726="","",TS!J726)</f>
        <v>2000</v>
      </c>
      <c r="R726" s="83">
        <f>IF(N726="","",TS!K726)</f>
        <v>1825</v>
      </c>
      <c r="S726" s="83">
        <f>Inputs!$H$5+TS!P726*0.4333</f>
        <v>1826.59561418</v>
      </c>
      <c r="T726" s="83">
        <f>Inputs!$G$5+TS!P726*0.4333</f>
        <v>1841.59561418</v>
      </c>
      <c r="U726" s="85">
        <f t="shared" si="216"/>
        <v>0.92079780709000003</v>
      </c>
      <c r="V726" s="86">
        <f t="shared" si="204"/>
        <v>0</v>
      </c>
      <c r="W726" s="86">
        <f t="shared" si="205"/>
        <v>0</v>
      </c>
      <c r="X726" s="86" t="e">
        <f>((PI()*((42-2*'Gen Calcs'!$E$13)^2)/4)/144)*(A769-#REF!)*(W726+14.7)/14.7</f>
        <v>#REF!</v>
      </c>
      <c r="Y726" s="86" t="e">
        <f t="shared" si="206"/>
        <v>#REF!</v>
      </c>
      <c r="Z726" s="86" t="e">
        <f t="shared" si="207"/>
        <v>#REF!</v>
      </c>
      <c r="AA726" s="83">
        <f>MAX(B$2:B726)-B726</f>
        <v>0</v>
      </c>
      <c r="AB726" s="83">
        <f t="shared" si="208"/>
        <v>0</v>
      </c>
      <c r="AC726" s="83">
        <f t="shared" si="210"/>
        <v>120</v>
      </c>
      <c r="AD726" s="72">
        <v>120</v>
      </c>
      <c r="AE726" s="73">
        <f t="shared" si="217"/>
        <v>907.92027688745009</v>
      </c>
      <c r="AF726" s="73">
        <f>SUM(AE$2:AE726)</f>
        <v>603971.02790440677</v>
      </c>
      <c r="AG726" s="73">
        <f t="shared" si="218"/>
        <v>569758.87452270242</v>
      </c>
    </row>
    <row r="727" spans="1:33" x14ac:dyDescent="0.25">
      <c r="A727" s="99">
        <v>162599.92000000001</v>
      </c>
      <c r="B727" s="96">
        <v>936.98699999999997</v>
      </c>
      <c r="C727" s="96">
        <v>0.6</v>
      </c>
      <c r="D727" s="80">
        <f t="shared" si="203"/>
        <v>100</v>
      </c>
      <c r="E727" s="81">
        <f t="shared" si="211"/>
        <v>6791.2436711181272</v>
      </c>
      <c r="F727" s="81">
        <f>SUM(E$2:E727)</f>
        <v>4521106.7684665974</v>
      </c>
      <c r="G727" s="43">
        <f t="shared" si="209"/>
        <v>1</v>
      </c>
      <c r="H727" s="78">
        <v>1</v>
      </c>
      <c r="I727" s="15">
        <f t="shared" si="212"/>
        <v>0.6</v>
      </c>
      <c r="J727" s="16">
        <f>VLOOKUP(G727,Inputs!$L$3:$P$15,5,FALSE)</f>
        <v>2000</v>
      </c>
      <c r="K727" s="16">
        <f t="shared" si="213"/>
        <v>1825</v>
      </c>
      <c r="L727" s="79">
        <f>Inputs!$P$8-B727</f>
        <v>1.2040000000000646</v>
      </c>
      <c r="M727" s="79">
        <f>Inputs!$Q$8+L727*0.433</f>
        <v>1825.521332</v>
      </c>
      <c r="N727" s="82">
        <f t="shared" si="214"/>
        <v>162599.92000000001</v>
      </c>
      <c r="O727" s="83">
        <f t="shared" si="215"/>
        <v>936.98699999999997</v>
      </c>
      <c r="P727" s="84">
        <f>IF(O727="","",Inputs!$C$5-O727)</f>
        <v>-111.80250000000001</v>
      </c>
      <c r="Q727" s="83">
        <f>IF(N727="","",TS!J727)</f>
        <v>2000</v>
      </c>
      <c r="R727" s="83">
        <f>IF(N727="","",TS!K727)</f>
        <v>1825</v>
      </c>
      <c r="S727" s="83">
        <f>Inputs!$H$5+TS!P727*0.4333</f>
        <v>1826.5216931999998</v>
      </c>
      <c r="T727" s="83">
        <f>Inputs!$G$5+TS!P727*0.4333</f>
        <v>1841.5216931999998</v>
      </c>
      <c r="U727" s="85">
        <f t="shared" si="216"/>
        <v>0.9207608465999999</v>
      </c>
      <c r="V727" s="86">
        <f t="shared" si="204"/>
        <v>0</v>
      </c>
      <c r="W727" s="86">
        <f t="shared" si="205"/>
        <v>0</v>
      </c>
      <c r="X727" s="86" t="e">
        <f>((PI()*((42-2*'Gen Calcs'!$E$13)^2)/4)/144)*(A770-#REF!)*(W727+14.7)/14.7</f>
        <v>#REF!</v>
      </c>
      <c r="Y727" s="86" t="e">
        <f t="shared" si="206"/>
        <v>#REF!</v>
      </c>
      <c r="Z727" s="86" t="e">
        <f t="shared" si="207"/>
        <v>#REF!</v>
      </c>
      <c r="AA727" s="83">
        <f>MAX(B$2:B727)-B727</f>
        <v>0</v>
      </c>
      <c r="AB727" s="83">
        <f t="shared" si="208"/>
        <v>0</v>
      </c>
      <c r="AC727" s="83">
        <f t="shared" si="210"/>
        <v>120</v>
      </c>
      <c r="AD727" s="72">
        <v>120</v>
      </c>
      <c r="AE727" s="73">
        <f t="shared" si="217"/>
        <v>907.92027688745009</v>
      </c>
      <c r="AF727" s="73">
        <f>SUM(AE$2:AE727)</f>
        <v>604878.94818129425</v>
      </c>
      <c r="AG727" s="73">
        <f t="shared" si="218"/>
        <v>568850.95424581494</v>
      </c>
    </row>
    <row r="728" spans="1:33" x14ac:dyDescent="0.25">
      <c r="A728" s="100">
        <v>162699.92000000001</v>
      </c>
      <c r="B728" s="97">
        <v>937.9941</v>
      </c>
      <c r="C728" s="97">
        <v>0.6</v>
      </c>
      <c r="D728" s="80">
        <f t="shared" si="203"/>
        <v>100</v>
      </c>
      <c r="E728" s="81">
        <f t="shared" si="211"/>
        <v>6791.2436711181272</v>
      </c>
      <c r="F728" s="81">
        <f>SUM(E$2:E728)</f>
        <v>4527898.0121377157</v>
      </c>
      <c r="G728" s="43">
        <f t="shared" si="209"/>
        <v>1</v>
      </c>
      <c r="H728" s="78">
        <v>1</v>
      </c>
      <c r="I728" s="15">
        <f t="shared" si="212"/>
        <v>0.6</v>
      </c>
      <c r="J728" s="16">
        <f>VLOOKUP(G728,Inputs!$L$3:$P$15,5,FALSE)</f>
        <v>2000</v>
      </c>
      <c r="K728" s="16">
        <f t="shared" si="213"/>
        <v>1825</v>
      </c>
      <c r="L728" s="79">
        <f>Inputs!$P$8-B728</f>
        <v>0.19690000000002783</v>
      </c>
      <c r="M728" s="79">
        <f>Inputs!$Q$8+L728*0.433</f>
        <v>1825.0852577000001</v>
      </c>
      <c r="N728" s="82">
        <f t="shared" si="214"/>
        <v>162699.92000000001</v>
      </c>
      <c r="O728" s="83">
        <f t="shared" si="215"/>
        <v>937.9941</v>
      </c>
      <c r="P728" s="84">
        <f>IF(O728="","",Inputs!$C$5-O728)</f>
        <v>-112.80960000000005</v>
      </c>
      <c r="Q728" s="83">
        <f>IF(N728="","",TS!J728)</f>
        <v>2000</v>
      </c>
      <c r="R728" s="83">
        <f>IF(N728="","",TS!K728)</f>
        <v>1825</v>
      </c>
      <c r="S728" s="83">
        <f>Inputs!$H$5+TS!P728*0.4333</f>
        <v>1826.08531677</v>
      </c>
      <c r="T728" s="83">
        <f>Inputs!$G$5+TS!P728*0.4333</f>
        <v>1841.08531677</v>
      </c>
      <c r="U728" s="85">
        <f t="shared" si="216"/>
        <v>0.92054265838499993</v>
      </c>
      <c r="V728" s="86">
        <f t="shared" si="204"/>
        <v>0</v>
      </c>
      <c r="W728" s="86">
        <f t="shared" si="205"/>
        <v>0</v>
      </c>
      <c r="X728" s="86" t="e">
        <f>((PI()*((42-2*'Gen Calcs'!$E$13)^2)/4)/144)*(A771-#REF!)*(W728+14.7)/14.7</f>
        <v>#REF!</v>
      </c>
      <c r="Y728" s="86" t="e">
        <f t="shared" si="206"/>
        <v>#REF!</v>
      </c>
      <c r="Z728" s="86" t="e">
        <f t="shared" si="207"/>
        <v>#REF!</v>
      </c>
      <c r="AA728" s="83">
        <f>MAX(B$2:B728)-B728</f>
        <v>0</v>
      </c>
      <c r="AB728" s="83">
        <f t="shared" si="208"/>
        <v>0</v>
      </c>
      <c r="AC728" s="83">
        <f t="shared" si="210"/>
        <v>120</v>
      </c>
      <c r="AD728" s="72">
        <v>120</v>
      </c>
      <c r="AE728" s="73">
        <f t="shared" si="217"/>
        <v>907.92027688745009</v>
      </c>
      <c r="AF728" s="73">
        <f>SUM(AE$2:AE728)</f>
        <v>605786.86845818174</v>
      </c>
      <c r="AG728" s="73">
        <f t="shared" si="218"/>
        <v>567943.03396892746</v>
      </c>
    </row>
    <row r="729" spans="1:33" x14ac:dyDescent="0.25">
      <c r="A729" s="99">
        <v>162799.92000000001</v>
      </c>
      <c r="B729" s="96">
        <v>938.19100000000003</v>
      </c>
      <c r="C729" s="96">
        <v>0.6</v>
      </c>
      <c r="D729" s="80">
        <f t="shared" si="203"/>
        <v>100</v>
      </c>
      <c r="E729" s="81">
        <f t="shared" si="211"/>
        <v>6791.2436711181272</v>
      </c>
      <c r="F729" s="81">
        <f>SUM(E$2:E729)</f>
        <v>4534689.255808834</v>
      </c>
      <c r="G729" s="43">
        <f t="shared" si="209"/>
        <v>1</v>
      </c>
      <c r="H729" s="78">
        <v>1</v>
      </c>
      <c r="I729" s="15">
        <f t="shared" si="212"/>
        <v>0.6</v>
      </c>
      <c r="J729" s="16">
        <f>VLOOKUP(G729,Inputs!$L$3:$P$15,5,FALSE)</f>
        <v>2000</v>
      </c>
      <c r="K729" s="16">
        <f t="shared" si="213"/>
        <v>1825</v>
      </c>
      <c r="L729" s="79">
        <f>Inputs!$P$8-B729</f>
        <v>0</v>
      </c>
      <c r="M729" s="79">
        <f>Inputs!$Q$8+L729*0.433</f>
        <v>1825</v>
      </c>
      <c r="N729" s="82">
        <f t="shared" si="214"/>
        <v>162799.92000000001</v>
      </c>
      <c r="O729" s="83">
        <f t="shared" si="215"/>
        <v>938.19100000000003</v>
      </c>
      <c r="P729" s="84">
        <f>IF(O729="","",Inputs!$C$5-O729)</f>
        <v>-113.00650000000007</v>
      </c>
      <c r="Q729" s="83">
        <f>IF(N729="","",TS!J729)</f>
        <v>2000</v>
      </c>
      <c r="R729" s="83">
        <f>IF(N729="","",TS!K729)</f>
        <v>1825</v>
      </c>
      <c r="S729" s="83">
        <f>Inputs!$H$5+TS!P729*0.4333</f>
        <v>1826</v>
      </c>
      <c r="T729" s="83">
        <f>Inputs!$G$5+TS!P729*0.4333</f>
        <v>1841</v>
      </c>
      <c r="U729" s="85">
        <f t="shared" si="216"/>
        <v>0.92049999999999998</v>
      </c>
      <c r="V729" s="86">
        <f t="shared" si="204"/>
        <v>0</v>
      </c>
      <c r="W729" s="86">
        <f t="shared" si="205"/>
        <v>0</v>
      </c>
      <c r="X729" s="86" t="e">
        <f>((PI()*((42-2*'Gen Calcs'!$E$13)^2)/4)/144)*(A772-#REF!)*(W729+14.7)/14.7</f>
        <v>#REF!</v>
      </c>
      <c r="Y729" s="86" t="e">
        <f t="shared" si="206"/>
        <v>#REF!</v>
      </c>
      <c r="Z729" s="86" t="e">
        <f t="shared" si="207"/>
        <v>#REF!</v>
      </c>
      <c r="AA729" s="83">
        <f>MAX(B$2:B729)-B729</f>
        <v>0</v>
      </c>
      <c r="AB729" s="83">
        <f t="shared" si="208"/>
        <v>0</v>
      </c>
      <c r="AC729" s="83">
        <f t="shared" si="210"/>
        <v>120</v>
      </c>
      <c r="AD729" s="72">
        <v>120</v>
      </c>
      <c r="AE729" s="73">
        <f t="shared" si="217"/>
        <v>907.92027688745009</v>
      </c>
      <c r="AF729" s="73">
        <f>SUM(AE$2:AE729)</f>
        <v>606694.78873506922</v>
      </c>
      <c r="AG729" s="73">
        <f t="shared" si="218"/>
        <v>567035.11369203997</v>
      </c>
    </row>
    <row r="730" spans="1:33" x14ac:dyDescent="0.25">
      <c r="A730" s="100">
        <v>162899.92000000001</v>
      </c>
      <c r="B730" s="97">
        <v>937.90660000000003</v>
      </c>
      <c r="C730" s="97">
        <v>0.6</v>
      </c>
      <c r="D730" s="80">
        <f t="shared" si="203"/>
        <v>100</v>
      </c>
      <c r="E730" s="81">
        <f t="shared" si="211"/>
        <v>6791.2436711181272</v>
      </c>
      <c r="F730" s="81">
        <f>SUM(E$2:E730)</f>
        <v>4541480.4994799523</v>
      </c>
      <c r="G730" s="43">
        <f t="shared" si="209"/>
        <v>1</v>
      </c>
      <c r="H730" s="78">
        <v>1</v>
      </c>
      <c r="I730" s="15">
        <f t="shared" si="212"/>
        <v>0.6</v>
      </c>
      <c r="J730" s="16">
        <f>VLOOKUP(G730,Inputs!$L$3:$P$15,5,FALSE)</f>
        <v>2000</v>
      </c>
      <c r="K730" s="16">
        <f t="shared" si="213"/>
        <v>1825</v>
      </c>
      <c r="L730" s="79">
        <f>Inputs!$P$8-B730</f>
        <v>0.28440000000000509</v>
      </c>
      <c r="M730" s="79">
        <f>Inputs!$Q$8+L730*0.433</f>
        <v>1825.1231452</v>
      </c>
      <c r="N730" s="82">
        <f t="shared" si="214"/>
        <v>162899.92000000001</v>
      </c>
      <c r="O730" s="83">
        <f t="shared" si="215"/>
        <v>937.90660000000003</v>
      </c>
      <c r="P730" s="84">
        <f>IF(O730="","",Inputs!$C$5-O730)</f>
        <v>-112.72210000000007</v>
      </c>
      <c r="Q730" s="83">
        <f>IF(N730="","",TS!J730)</f>
        <v>2000</v>
      </c>
      <c r="R730" s="83">
        <f>IF(N730="","",TS!K730)</f>
        <v>1825</v>
      </c>
      <c r="S730" s="83">
        <f>Inputs!$H$5+TS!P730*0.4333</f>
        <v>1826.1232305199999</v>
      </c>
      <c r="T730" s="83">
        <f>Inputs!$G$5+TS!P730*0.4333</f>
        <v>1841.1232305199999</v>
      </c>
      <c r="U730" s="85">
        <f t="shared" si="216"/>
        <v>0.92056161525999991</v>
      </c>
      <c r="V730" s="86">
        <f t="shared" si="204"/>
        <v>0</v>
      </c>
      <c r="W730" s="86">
        <f t="shared" si="205"/>
        <v>0</v>
      </c>
      <c r="X730" s="86" t="e">
        <f>((PI()*((42-2*'Gen Calcs'!$E$13)^2)/4)/144)*(A773-#REF!)*(W730+14.7)/14.7</f>
        <v>#REF!</v>
      </c>
      <c r="Y730" s="86" t="e">
        <f t="shared" si="206"/>
        <v>#REF!</v>
      </c>
      <c r="Z730" s="86" t="e">
        <f t="shared" si="207"/>
        <v>#REF!</v>
      </c>
      <c r="AA730" s="83">
        <f>MAX(B$2:B730)-B730</f>
        <v>0.28440000000000509</v>
      </c>
      <c r="AB730" s="83">
        <f t="shared" si="208"/>
        <v>0.1231452000000022</v>
      </c>
      <c r="AC730" s="83">
        <f t="shared" si="210"/>
        <v>120</v>
      </c>
      <c r="AD730" s="72">
        <v>120</v>
      </c>
      <c r="AE730" s="73">
        <f t="shared" si="217"/>
        <v>907.92027688745009</v>
      </c>
      <c r="AF730" s="73">
        <f>SUM(AE$2:AE730)</f>
        <v>607602.7090119567</v>
      </c>
      <c r="AG730" s="73">
        <f t="shared" si="218"/>
        <v>566127.19341515249</v>
      </c>
    </row>
    <row r="731" spans="1:33" x14ac:dyDescent="0.25">
      <c r="A731" s="99">
        <v>162999.92000000001</v>
      </c>
      <c r="B731" s="96">
        <v>935.78489999999999</v>
      </c>
      <c r="C731" s="96">
        <v>0.6</v>
      </c>
      <c r="D731" s="80">
        <f t="shared" si="203"/>
        <v>100</v>
      </c>
      <c r="E731" s="81">
        <f t="shared" si="211"/>
        <v>6791.2436711181272</v>
      </c>
      <c r="F731" s="81">
        <f>SUM(E$2:E731)</f>
        <v>4548271.7431510706</v>
      </c>
      <c r="G731" s="43">
        <f t="shared" si="209"/>
        <v>1</v>
      </c>
      <c r="H731" s="78">
        <v>1</v>
      </c>
      <c r="I731" s="15">
        <f t="shared" si="212"/>
        <v>0.6</v>
      </c>
      <c r="J731" s="16">
        <f>VLOOKUP(G731,Inputs!$L$3:$P$15,5,FALSE)</f>
        <v>2000</v>
      </c>
      <c r="K731" s="16">
        <f t="shared" si="213"/>
        <v>1825</v>
      </c>
      <c r="L731" s="79">
        <f>Inputs!$P$8-B731</f>
        <v>2.4061000000000377</v>
      </c>
      <c r="M731" s="79">
        <f>Inputs!$Q$8+L731*0.433</f>
        <v>1826.0418413</v>
      </c>
      <c r="N731" s="82">
        <f t="shared" si="214"/>
        <v>162999.92000000001</v>
      </c>
      <c r="O731" s="83">
        <f t="shared" si="215"/>
        <v>935.78489999999999</v>
      </c>
      <c r="P731" s="84">
        <f>IF(O731="","",Inputs!$C$5-O731)</f>
        <v>-110.60040000000004</v>
      </c>
      <c r="Q731" s="83">
        <f>IF(N731="","",TS!J731)</f>
        <v>2000</v>
      </c>
      <c r="R731" s="83">
        <f>IF(N731="","",TS!K731)</f>
        <v>1825</v>
      </c>
      <c r="S731" s="83">
        <f>Inputs!$H$5+TS!P731*0.4333</f>
        <v>1827.04256313</v>
      </c>
      <c r="T731" s="83">
        <f>Inputs!$G$5+TS!P731*0.4333</f>
        <v>1842.04256313</v>
      </c>
      <c r="U731" s="85">
        <f t="shared" si="216"/>
        <v>0.92102128156499996</v>
      </c>
      <c r="V731" s="86">
        <f t="shared" si="204"/>
        <v>0</v>
      </c>
      <c r="W731" s="86">
        <f t="shared" si="205"/>
        <v>0</v>
      </c>
      <c r="X731" s="86" t="e">
        <f>((PI()*((42-2*'Gen Calcs'!$E$13)^2)/4)/144)*(A774-#REF!)*(W731+14.7)/14.7</f>
        <v>#REF!</v>
      </c>
      <c r="Y731" s="86" t="e">
        <f t="shared" si="206"/>
        <v>#REF!</v>
      </c>
      <c r="Z731" s="86" t="e">
        <f t="shared" si="207"/>
        <v>#REF!</v>
      </c>
      <c r="AA731" s="83">
        <f>MAX(B$2:B731)-B731</f>
        <v>2.4061000000000377</v>
      </c>
      <c r="AB731" s="83">
        <f t="shared" si="208"/>
        <v>1.0418413000000164</v>
      </c>
      <c r="AC731" s="83">
        <f t="shared" si="210"/>
        <v>120</v>
      </c>
      <c r="AD731" s="72">
        <v>120</v>
      </c>
      <c r="AE731" s="73">
        <f t="shared" si="217"/>
        <v>907.92027688745009</v>
      </c>
      <c r="AF731" s="73">
        <f>SUM(AE$2:AE731)</f>
        <v>608510.62928884418</v>
      </c>
      <c r="AG731" s="73">
        <f t="shared" si="218"/>
        <v>565219.27313826501</v>
      </c>
    </row>
    <row r="732" spans="1:33" x14ac:dyDescent="0.25">
      <c r="A732" s="100">
        <v>163099.92000000001</v>
      </c>
      <c r="B732" s="97">
        <v>933.18100000000004</v>
      </c>
      <c r="C732" s="97">
        <v>0.6</v>
      </c>
      <c r="D732" s="80">
        <f t="shared" si="203"/>
        <v>100</v>
      </c>
      <c r="E732" s="81">
        <f t="shared" si="211"/>
        <v>6791.2436711181272</v>
      </c>
      <c r="F732" s="81">
        <f>SUM(E$2:E732)</f>
        <v>4555062.9868221888</v>
      </c>
      <c r="G732" s="43">
        <f t="shared" si="209"/>
        <v>1</v>
      </c>
      <c r="H732" s="78">
        <v>1</v>
      </c>
      <c r="I732" s="15">
        <f t="shared" si="212"/>
        <v>0.6</v>
      </c>
      <c r="J732" s="16">
        <f>VLOOKUP(G732,Inputs!$L$3:$P$15,5,FALSE)</f>
        <v>2000</v>
      </c>
      <c r="K732" s="16">
        <f t="shared" si="213"/>
        <v>1825</v>
      </c>
      <c r="L732" s="79">
        <f>Inputs!$P$8-B732</f>
        <v>5.0099999999999909</v>
      </c>
      <c r="M732" s="79">
        <f>Inputs!$Q$8+L732*0.433</f>
        <v>1827.1693299999999</v>
      </c>
      <c r="N732" s="82">
        <f t="shared" si="214"/>
        <v>163099.92000000001</v>
      </c>
      <c r="O732" s="83">
        <f t="shared" si="215"/>
        <v>933.18100000000004</v>
      </c>
      <c r="P732" s="84">
        <f>IF(O732="","",Inputs!$C$5-O732)</f>
        <v>-107.99650000000008</v>
      </c>
      <c r="Q732" s="83">
        <f>IF(N732="","",TS!J732)</f>
        <v>2000</v>
      </c>
      <c r="R732" s="83">
        <f>IF(N732="","",TS!K732)</f>
        <v>1825</v>
      </c>
      <c r="S732" s="83">
        <f>Inputs!$H$5+TS!P732*0.4333</f>
        <v>1828.1708329999999</v>
      </c>
      <c r="T732" s="83">
        <f>Inputs!$G$5+TS!P732*0.4333</f>
        <v>1843.1708329999999</v>
      </c>
      <c r="U732" s="85">
        <f t="shared" si="216"/>
        <v>0.92158541649999992</v>
      </c>
      <c r="V732" s="86">
        <f t="shared" si="204"/>
        <v>0</v>
      </c>
      <c r="W732" s="86">
        <f t="shared" si="205"/>
        <v>0</v>
      </c>
      <c r="X732" s="86" t="e">
        <f>((PI()*((42-2*'Gen Calcs'!$E$13)^2)/4)/144)*(A775-#REF!)*(W732+14.7)/14.7</f>
        <v>#REF!</v>
      </c>
      <c r="Y732" s="86" t="e">
        <f t="shared" si="206"/>
        <v>#REF!</v>
      </c>
      <c r="Z732" s="86" t="e">
        <f t="shared" si="207"/>
        <v>#REF!</v>
      </c>
      <c r="AA732" s="83">
        <f>MAX(B$2:B732)-B732</f>
        <v>5.0099999999999909</v>
      </c>
      <c r="AB732" s="83">
        <f t="shared" si="208"/>
        <v>2.169329999999996</v>
      </c>
      <c r="AC732" s="83">
        <f t="shared" si="210"/>
        <v>120</v>
      </c>
      <c r="AD732" s="72">
        <v>120</v>
      </c>
      <c r="AE732" s="73">
        <f t="shared" si="217"/>
        <v>907.92027688745009</v>
      </c>
      <c r="AF732" s="73">
        <f>SUM(AE$2:AE732)</f>
        <v>609418.54956573166</v>
      </c>
      <c r="AG732" s="73">
        <f t="shared" si="218"/>
        <v>564311.35286137753</v>
      </c>
    </row>
    <row r="733" spans="1:33" x14ac:dyDescent="0.25">
      <c r="A733" s="99">
        <v>163199.92000000001</v>
      </c>
      <c r="B733" s="96">
        <v>930.33389999999997</v>
      </c>
      <c r="C733" s="96">
        <v>0.6</v>
      </c>
      <c r="D733" s="80">
        <f t="shared" si="203"/>
        <v>100</v>
      </c>
      <c r="E733" s="81">
        <f t="shared" si="211"/>
        <v>6791.2436711181272</v>
      </c>
      <c r="F733" s="81">
        <f>SUM(E$2:E733)</f>
        <v>4561854.2304933071</v>
      </c>
      <c r="G733" s="43">
        <f t="shared" si="209"/>
        <v>1</v>
      </c>
      <c r="H733" s="78">
        <v>1</v>
      </c>
      <c r="I733" s="15">
        <f t="shared" si="212"/>
        <v>0.6</v>
      </c>
      <c r="J733" s="16">
        <f>VLOOKUP(G733,Inputs!$L$3:$P$15,5,FALSE)</f>
        <v>2000</v>
      </c>
      <c r="K733" s="16">
        <f t="shared" si="213"/>
        <v>1825</v>
      </c>
      <c r="L733" s="79">
        <f>Inputs!$P$8-B733</f>
        <v>7.8571000000000595</v>
      </c>
      <c r="M733" s="79">
        <f>Inputs!$Q$8+L733*0.433</f>
        <v>1828.4021243</v>
      </c>
      <c r="N733" s="82">
        <f t="shared" si="214"/>
        <v>163199.92000000001</v>
      </c>
      <c r="O733" s="83">
        <f t="shared" si="215"/>
        <v>930.33389999999997</v>
      </c>
      <c r="P733" s="84">
        <f>IF(O733="","",Inputs!$C$5-O733)</f>
        <v>-105.14940000000001</v>
      </c>
      <c r="Q733" s="83">
        <f>IF(N733="","",TS!J733)</f>
        <v>2000</v>
      </c>
      <c r="R733" s="83">
        <f>IF(N733="","",TS!K733)</f>
        <v>1825</v>
      </c>
      <c r="S733" s="83">
        <f>Inputs!$H$5+TS!P733*0.4333</f>
        <v>1829.40448143</v>
      </c>
      <c r="T733" s="83">
        <f>Inputs!$G$5+TS!P733*0.4333</f>
        <v>1844.40448143</v>
      </c>
      <c r="U733" s="85">
        <f t="shared" si="216"/>
        <v>0.92220224071500001</v>
      </c>
      <c r="V733" s="86">
        <f t="shared" si="204"/>
        <v>0</v>
      </c>
      <c r="W733" s="86">
        <f t="shared" si="205"/>
        <v>0</v>
      </c>
      <c r="X733" s="86" t="e">
        <f>((PI()*((42-2*'Gen Calcs'!$E$13)^2)/4)/144)*(A776-#REF!)*(W733+14.7)/14.7</f>
        <v>#REF!</v>
      </c>
      <c r="Y733" s="86" t="e">
        <f t="shared" si="206"/>
        <v>#REF!</v>
      </c>
      <c r="Z733" s="86" t="e">
        <f t="shared" si="207"/>
        <v>#REF!</v>
      </c>
      <c r="AA733" s="83">
        <f>MAX(B$2:B733)-B733</f>
        <v>7.8571000000000595</v>
      </c>
      <c r="AB733" s="83">
        <f t="shared" si="208"/>
        <v>3.4021243000000259</v>
      </c>
      <c r="AC733" s="83">
        <f t="shared" si="210"/>
        <v>120</v>
      </c>
      <c r="AD733" s="72">
        <v>120</v>
      </c>
      <c r="AE733" s="73">
        <f t="shared" si="217"/>
        <v>907.92027688745009</v>
      </c>
      <c r="AF733" s="73">
        <f>SUM(AE$2:AE733)</f>
        <v>610326.46984261915</v>
      </c>
      <c r="AG733" s="73">
        <f t="shared" si="218"/>
        <v>563403.43258449004</v>
      </c>
    </row>
    <row r="734" spans="1:33" x14ac:dyDescent="0.25">
      <c r="A734" s="100">
        <v>163299.92000000001</v>
      </c>
      <c r="B734" s="97">
        <v>927.60680000000002</v>
      </c>
      <c r="C734" s="97">
        <v>0.6</v>
      </c>
      <c r="D734" s="80">
        <f t="shared" si="203"/>
        <v>100</v>
      </c>
      <c r="E734" s="81">
        <f t="shared" si="211"/>
        <v>6791.2436711181272</v>
      </c>
      <c r="F734" s="81">
        <f>SUM(E$2:E734)</f>
        <v>4568645.4741644254</v>
      </c>
      <c r="G734" s="43">
        <f t="shared" si="209"/>
        <v>1</v>
      </c>
      <c r="H734" s="78">
        <v>1</v>
      </c>
      <c r="I734" s="15">
        <f t="shared" si="212"/>
        <v>0.6</v>
      </c>
      <c r="J734" s="16">
        <f>VLOOKUP(G734,Inputs!$L$3:$P$15,5,FALSE)</f>
        <v>2000</v>
      </c>
      <c r="K734" s="16">
        <f t="shared" si="213"/>
        <v>1825</v>
      </c>
      <c r="L734" s="79">
        <f>Inputs!$P$8-B734</f>
        <v>10.58420000000001</v>
      </c>
      <c r="M734" s="79">
        <f>Inputs!$Q$8+L734*0.433</f>
        <v>1829.5829586</v>
      </c>
      <c r="N734" s="82">
        <f t="shared" si="214"/>
        <v>163299.92000000001</v>
      </c>
      <c r="O734" s="83">
        <f t="shared" si="215"/>
        <v>927.60680000000002</v>
      </c>
      <c r="P734" s="84">
        <f>IF(O734="","",Inputs!$C$5-O734)</f>
        <v>-102.42230000000006</v>
      </c>
      <c r="Q734" s="83">
        <f>IF(N734="","",TS!J734)</f>
        <v>2000</v>
      </c>
      <c r="R734" s="83">
        <f>IF(N734="","",TS!K734)</f>
        <v>1825</v>
      </c>
      <c r="S734" s="83">
        <f>Inputs!$H$5+TS!P734*0.4333</f>
        <v>1830.58613386</v>
      </c>
      <c r="T734" s="83">
        <f>Inputs!$G$5+TS!P734*0.4333</f>
        <v>1845.58613386</v>
      </c>
      <c r="U734" s="85">
        <f t="shared" si="216"/>
        <v>0.92279306692999996</v>
      </c>
      <c r="V734" s="86">
        <f t="shared" si="204"/>
        <v>0</v>
      </c>
      <c r="W734" s="86">
        <f t="shared" si="205"/>
        <v>0</v>
      </c>
      <c r="X734" s="86" t="e">
        <f>((PI()*((42-2*'Gen Calcs'!$E$13)^2)/4)/144)*(A777-#REF!)*(W734+14.7)/14.7</f>
        <v>#REF!</v>
      </c>
      <c r="Y734" s="86" t="e">
        <f t="shared" si="206"/>
        <v>#REF!</v>
      </c>
      <c r="Z734" s="86" t="e">
        <f t="shared" si="207"/>
        <v>#REF!</v>
      </c>
      <c r="AA734" s="83">
        <f>MAX(B$2:B734)-B734</f>
        <v>10.58420000000001</v>
      </c>
      <c r="AB734" s="83">
        <f t="shared" si="208"/>
        <v>4.582958600000004</v>
      </c>
      <c r="AC734" s="83">
        <f t="shared" si="210"/>
        <v>120</v>
      </c>
      <c r="AD734" s="72">
        <v>120</v>
      </c>
      <c r="AE734" s="73">
        <f t="shared" si="217"/>
        <v>907.92027688745009</v>
      </c>
      <c r="AF734" s="73">
        <f>SUM(AE$2:AE734)</f>
        <v>611234.39011950663</v>
      </c>
      <c r="AG734" s="73">
        <f t="shared" si="218"/>
        <v>562495.51230760256</v>
      </c>
    </row>
    <row r="735" spans="1:33" x14ac:dyDescent="0.25">
      <c r="A735" s="99">
        <v>163399.92000000001</v>
      </c>
      <c r="B735" s="96">
        <v>925.44730000000004</v>
      </c>
      <c r="C735" s="96">
        <v>0.6</v>
      </c>
      <c r="D735" s="80">
        <f t="shared" si="203"/>
        <v>100</v>
      </c>
      <c r="E735" s="81">
        <f t="shared" si="211"/>
        <v>6791.2436711181272</v>
      </c>
      <c r="F735" s="81">
        <f>SUM(E$2:E735)</f>
        <v>4575436.7178355437</v>
      </c>
      <c r="G735" s="43">
        <f t="shared" si="209"/>
        <v>1</v>
      </c>
      <c r="H735" s="78">
        <v>1</v>
      </c>
      <c r="I735" s="15">
        <f t="shared" si="212"/>
        <v>0.6</v>
      </c>
      <c r="J735" s="16">
        <f>VLOOKUP(G735,Inputs!$L$3:$P$15,5,FALSE)</f>
        <v>2000</v>
      </c>
      <c r="K735" s="16">
        <f t="shared" si="213"/>
        <v>1825</v>
      </c>
      <c r="L735" s="79">
        <f>Inputs!$P$8-B735</f>
        <v>12.74369999999999</v>
      </c>
      <c r="M735" s="79">
        <f>Inputs!$Q$8+L735*0.433</f>
        <v>1830.5180221000001</v>
      </c>
      <c r="N735" s="82">
        <f t="shared" si="214"/>
        <v>163399.92000000001</v>
      </c>
      <c r="O735" s="83">
        <f t="shared" si="215"/>
        <v>925.44730000000004</v>
      </c>
      <c r="P735" s="84">
        <f>IF(O735="","",Inputs!$C$5-O735)</f>
        <v>-100.26280000000008</v>
      </c>
      <c r="Q735" s="83">
        <f>IF(N735="","",TS!J735)</f>
        <v>2000</v>
      </c>
      <c r="R735" s="83">
        <f>IF(N735="","",TS!K735)</f>
        <v>1825</v>
      </c>
      <c r="S735" s="83">
        <f>Inputs!$H$5+TS!P735*0.4333</f>
        <v>1831.5218452099998</v>
      </c>
      <c r="T735" s="83">
        <f>Inputs!$G$5+TS!P735*0.4333</f>
        <v>1846.5218452099998</v>
      </c>
      <c r="U735" s="85">
        <f t="shared" si="216"/>
        <v>0.92326092260499992</v>
      </c>
      <c r="V735" s="86">
        <f t="shared" si="204"/>
        <v>0</v>
      </c>
      <c r="W735" s="86">
        <f t="shared" si="205"/>
        <v>0</v>
      </c>
      <c r="X735" s="86" t="e">
        <f>((PI()*((42-2*'Gen Calcs'!$E$13)^2)/4)/144)*(A778-#REF!)*(W735+14.7)/14.7</f>
        <v>#REF!</v>
      </c>
      <c r="Y735" s="86" t="e">
        <f t="shared" si="206"/>
        <v>#REF!</v>
      </c>
      <c r="Z735" s="86" t="e">
        <f t="shared" si="207"/>
        <v>#REF!</v>
      </c>
      <c r="AA735" s="83">
        <f>MAX(B$2:B735)-B735</f>
        <v>12.74369999999999</v>
      </c>
      <c r="AB735" s="83">
        <f t="shared" si="208"/>
        <v>5.5180220999999952</v>
      </c>
      <c r="AC735" s="83">
        <f t="shared" si="210"/>
        <v>120</v>
      </c>
      <c r="AD735" s="72">
        <v>120</v>
      </c>
      <c r="AE735" s="73">
        <f t="shared" si="217"/>
        <v>907.92027688745009</v>
      </c>
      <c r="AF735" s="73">
        <f>SUM(AE$2:AE735)</f>
        <v>612142.31039639411</v>
      </c>
      <c r="AG735" s="73">
        <f t="shared" si="218"/>
        <v>561587.59203071508</v>
      </c>
    </row>
    <row r="736" spans="1:33" x14ac:dyDescent="0.25">
      <c r="A736" s="100">
        <v>163499.92000000001</v>
      </c>
      <c r="B736" s="97">
        <v>923.45230000000004</v>
      </c>
      <c r="C736" s="97">
        <v>0.6</v>
      </c>
      <c r="D736" s="80">
        <f t="shared" si="203"/>
        <v>100</v>
      </c>
      <c r="E736" s="81">
        <f t="shared" si="211"/>
        <v>6791.2436711181272</v>
      </c>
      <c r="F736" s="81">
        <f>SUM(E$2:E736)</f>
        <v>4582227.961506662</v>
      </c>
      <c r="G736" s="43">
        <f t="shared" si="209"/>
        <v>1</v>
      </c>
      <c r="H736" s="78">
        <v>1</v>
      </c>
      <c r="I736" s="15">
        <f t="shared" si="212"/>
        <v>0.6</v>
      </c>
      <c r="J736" s="16">
        <f>VLOOKUP(G736,Inputs!$L$3:$P$15,5,FALSE)</f>
        <v>2000</v>
      </c>
      <c r="K736" s="16">
        <f t="shared" si="213"/>
        <v>1825</v>
      </c>
      <c r="L736" s="79">
        <f>Inputs!$P$8-B736</f>
        <v>14.738699999999994</v>
      </c>
      <c r="M736" s="79">
        <f>Inputs!$Q$8+L736*0.433</f>
        <v>1831.3818570999999</v>
      </c>
      <c r="N736" s="82">
        <f t="shared" si="214"/>
        <v>163499.92000000001</v>
      </c>
      <c r="O736" s="83">
        <f t="shared" si="215"/>
        <v>923.45230000000004</v>
      </c>
      <c r="P736" s="84">
        <f>IF(O736="","",Inputs!$C$5-O736)</f>
        <v>-98.267800000000079</v>
      </c>
      <c r="Q736" s="83">
        <f>IF(N736="","",TS!J736)</f>
        <v>2000</v>
      </c>
      <c r="R736" s="83">
        <f>IF(N736="","",TS!K736)</f>
        <v>1825</v>
      </c>
      <c r="S736" s="83">
        <f>Inputs!$H$5+TS!P736*0.4333</f>
        <v>1832.3862787099999</v>
      </c>
      <c r="T736" s="83">
        <f>Inputs!$G$5+TS!P736*0.4333</f>
        <v>1847.3862787099999</v>
      </c>
      <c r="U736" s="85">
        <f t="shared" si="216"/>
        <v>0.92369313935499997</v>
      </c>
      <c r="V736" s="86">
        <f t="shared" si="204"/>
        <v>0</v>
      </c>
      <c r="W736" s="86">
        <f t="shared" si="205"/>
        <v>0</v>
      </c>
      <c r="X736" s="86" t="e">
        <f>((PI()*((42-2*'Gen Calcs'!$E$13)^2)/4)/144)*(A779-#REF!)*(W736+14.7)/14.7</f>
        <v>#REF!</v>
      </c>
      <c r="Y736" s="86" t="e">
        <f t="shared" si="206"/>
        <v>#REF!</v>
      </c>
      <c r="Z736" s="86" t="e">
        <f t="shared" si="207"/>
        <v>#REF!</v>
      </c>
      <c r="AA736" s="83">
        <f>MAX(B$2:B736)-B736</f>
        <v>14.738699999999994</v>
      </c>
      <c r="AB736" s="83">
        <f t="shared" si="208"/>
        <v>6.3818570999999977</v>
      </c>
      <c r="AC736" s="83">
        <f t="shared" si="210"/>
        <v>120</v>
      </c>
      <c r="AD736" s="72">
        <v>120</v>
      </c>
      <c r="AE736" s="73">
        <f t="shared" si="217"/>
        <v>907.92027688745009</v>
      </c>
      <c r="AF736" s="73">
        <f>SUM(AE$2:AE736)</f>
        <v>613050.23067328159</v>
      </c>
      <c r="AG736" s="73">
        <f t="shared" si="218"/>
        <v>560679.6717538276</v>
      </c>
    </row>
    <row r="737" spans="1:33" x14ac:dyDescent="0.25">
      <c r="A737" s="99">
        <v>163599.92000000001</v>
      </c>
      <c r="B737" s="96">
        <v>921.87139999999999</v>
      </c>
      <c r="C737" s="96">
        <v>0.6</v>
      </c>
      <c r="D737" s="80">
        <f t="shared" ref="D737:D800" si="219">A737-A736</f>
        <v>100</v>
      </c>
      <c r="E737" s="81">
        <f t="shared" si="211"/>
        <v>6791.2436711181272</v>
      </c>
      <c r="F737" s="81">
        <f>SUM(E$2:E737)</f>
        <v>4589019.2051777802</v>
      </c>
      <c r="G737" s="43">
        <f t="shared" si="209"/>
        <v>1</v>
      </c>
      <c r="H737" s="78">
        <v>1</v>
      </c>
      <c r="I737" s="15">
        <f t="shared" si="212"/>
        <v>0.6</v>
      </c>
      <c r="J737" s="16">
        <f>VLOOKUP(G737,Inputs!$L$3:$P$15,5,FALSE)</f>
        <v>2000</v>
      </c>
      <c r="K737" s="16">
        <f t="shared" si="213"/>
        <v>1825</v>
      </c>
      <c r="L737" s="79">
        <f>Inputs!$P$8-B737</f>
        <v>16.319600000000037</v>
      </c>
      <c r="M737" s="79">
        <f>Inputs!$Q$8+L737*0.433</f>
        <v>1832.0663867999999</v>
      </c>
      <c r="N737" s="82">
        <f t="shared" si="214"/>
        <v>163599.92000000001</v>
      </c>
      <c r="O737" s="83">
        <f t="shared" si="215"/>
        <v>921.87139999999999</v>
      </c>
      <c r="P737" s="84">
        <f>IF(O737="","",Inputs!$C$5-O737)</f>
        <v>-96.686900000000037</v>
      </c>
      <c r="Q737" s="83">
        <f>IF(N737="","",TS!J737)</f>
        <v>2000</v>
      </c>
      <c r="R737" s="83">
        <f>IF(N737="","",TS!K737)</f>
        <v>1825</v>
      </c>
      <c r="S737" s="83">
        <f>Inputs!$H$5+TS!P737*0.4333</f>
        <v>1833.07128268</v>
      </c>
      <c r="T737" s="83">
        <f>Inputs!$G$5+TS!P737*0.4333</f>
        <v>1848.07128268</v>
      </c>
      <c r="U737" s="85">
        <f t="shared" si="216"/>
        <v>0.92403564133999994</v>
      </c>
      <c r="V737" s="86">
        <f t="shared" si="204"/>
        <v>0</v>
      </c>
      <c r="W737" s="86">
        <f t="shared" si="205"/>
        <v>0</v>
      </c>
      <c r="X737" s="86" t="e">
        <f>((PI()*((42-2*'Gen Calcs'!$E$13)^2)/4)/144)*(A780-#REF!)*(W737+14.7)/14.7</f>
        <v>#REF!</v>
      </c>
      <c r="Y737" s="86" t="e">
        <f t="shared" si="206"/>
        <v>#REF!</v>
      </c>
      <c r="Z737" s="86" t="e">
        <f t="shared" si="207"/>
        <v>#REF!</v>
      </c>
      <c r="AA737" s="83">
        <f>MAX(B$2:B737)-B737</f>
        <v>16.319600000000037</v>
      </c>
      <c r="AB737" s="83">
        <f t="shared" si="208"/>
        <v>7.0663868000000161</v>
      </c>
      <c r="AC737" s="83">
        <f t="shared" si="210"/>
        <v>120</v>
      </c>
      <c r="AD737" s="72">
        <v>120</v>
      </c>
      <c r="AE737" s="73">
        <f t="shared" si="217"/>
        <v>907.92027688745009</v>
      </c>
      <c r="AF737" s="73">
        <f>SUM(AE$2:AE737)</f>
        <v>613958.15095016907</v>
      </c>
      <c r="AG737" s="73">
        <f t="shared" si="218"/>
        <v>559771.75147694012</v>
      </c>
    </row>
    <row r="738" spans="1:33" x14ac:dyDescent="0.25">
      <c r="A738" s="100">
        <v>163699.92000000001</v>
      </c>
      <c r="B738" s="97">
        <v>921.65769999999998</v>
      </c>
      <c r="C738" s="97">
        <v>0.6</v>
      </c>
      <c r="D738" s="80">
        <f t="shared" si="219"/>
        <v>100</v>
      </c>
      <c r="E738" s="81">
        <f t="shared" si="211"/>
        <v>6791.2436711181272</v>
      </c>
      <c r="F738" s="81">
        <f>SUM(E$2:E738)</f>
        <v>4595810.4488488985</v>
      </c>
      <c r="G738" s="43">
        <f t="shared" si="209"/>
        <v>1</v>
      </c>
      <c r="H738" s="78">
        <v>1</v>
      </c>
      <c r="I738" s="15">
        <f t="shared" si="212"/>
        <v>0.6</v>
      </c>
      <c r="J738" s="16">
        <f>VLOOKUP(G738,Inputs!$L$3:$P$15,5,FALSE)</f>
        <v>2000</v>
      </c>
      <c r="K738" s="16">
        <f t="shared" si="213"/>
        <v>1825</v>
      </c>
      <c r="L738" s="79">
        <f>Inputs!$P$8-B738</f>
        <v>16.533300000000054</v>
      </c>
      <c r="M738" s="79">
        <f>Inputs!$Q$8+L738*0.433</f>
        <v>1832.1589189000001</v>
      </c>
      <c r="N738" s="82">
        <f t="shared" si="214"/>
        <v>163699.92000000001</v>
      </c>
      <c r="O738" s="83">
        <f t="shared" si="215"/>
        <v>921.65769999999998</v>
      </c>
      <c r="P738" s="84">
        <f>IF(O738="","",Inputs!$C$5-O738)</f>
        <v>-96.47320000000002</v>
      </c>
      <c r="Q738" s="83">
        <f>IF(N738="","",TS!J738)</f>
        <v>2000</v>
      </c>
      <c r="R738" s="83">
        <f>IF(N738="","",TS!K738)</f>
        <v>1825</v>
      </c>
      <c r="S738" s="83">
        <f>Inputs!$H$5+TS!P738*0.4333</f>
        <v>1833.16387889</v>
      </c>
      <c r="T738" s="83">
        <f>Inputs!$G$5+TS!P738*0.4333</f>
        <v>1848.16387889</v>
      </c>
      <c r="U738" s="85">
        <f t="shared" si="216"/>
        <v>0.92408193944499994</v>
      </c>
      <c r="V738" s="86">
        <f t="shared" si="204"/>
        <v>0</v>
      </c>
      <c r="W738" s="86">
        <f t="shared" si="205"/>
        <v>0</v>
      </c>
      <c r="X738" s="86" t="e">
        <f>((PI()*((42-2*'Gen Calcs'!$E$13)^2)/4)/144)*(A781-#REF!)*(W738+14.7)/14.7</f>
        <v>#REF!</v>
      </c>
      <c r="Y738" s="86" t="e">
        <f t="shared" si="206"/>
        <v>#REF!</v>
      </c>
      <c r="Z738" s="86" t="e">
        <f t="shared" si="207"/>
        <v>#REF!</v>
      </c>
      <c r="AA738" s="83">
        <f>MAX(B$2:B738)-B738</f>
        <v>16.533300000000054</v>
      </c>
      <c r="AB738" s="83">
        <f t="shared" si="208"/>
        <v>7.1589189000000228</v>
      </c>
      <c r="AC738" s="83">
        <f t="shared" si="210"/>
        <v>120</v>
      </c>
      <c r="AD738" s="72">
        <v>120</v>
      </c>
      <c r="AE738" s="73">
        <f t="shared" si="217"/>
        <v>907.92027688745009</v>
      </c>
      <c r="AF738" s="73">
        <f>SUM(AE$2:AE738)</f>
        <v>614866.07122705656</v>
      </c>
      <c r="AG738" s="73">
        <f t="shared" si="218"/>
        <v>558863.83120005263</v>
      </c>
    </row>
    <row r="739" spans="1:33" x14ac:dyDescent="0.25">
      <c r="A739" s="99">
        <v>163799.92000000001</v>
      </c>
      <c r="B739" s="96">
        <v>921.16499999999996</v>
      </c>
      <c r="C739" s="96">
        <v>0.6</v>
      </c>
      <c r="D739" s="80">
        <f t="shared" si="219"/>
        <v>100</v>
      </c>
      <c r="E739" s="81">
        <f t="shared" si="211"/>
        <v>6791.2436711181272</v>
      </c>
      <c r="F739" s="81">
        <f>SUM(E$2:E739)</f>
        <v>4602601.6925200168</v>
      </c>
      <c r="G739" s="43">
        <f t="shared" si="209"/>
        <v>1</v>
      </c>
      <c r="H739" s="78">
        <v>1</v>
      </c>
      <c r="I739" s="15">
        <f t="shared" si="212"/>
        <v>0.6</v>
      </c>
      <c r="J739" s="16">
        <f>VLOOKUP(G739,Inputs!$L$3:$P$15,5,FALSE)</f>
        <v>2000</v>
      </c>
      <c r="K739" s="16">
        <f t="shared" si="213"/>
        <v>1825</v>
      </c>
      <c r="L739" s="79">
        <f>Inputs!$P$8-B739</f>
        <v>17.026000000000067</v>
      </c>
      <c r="M739" s="79">
        <f>Inputs!$Q$8+L739*0.433</f>
        <v>1832.3722580000001</v>
      </c>
      <c r="N739" s="82">
        <f t="shared" si="214"/>
        <v>163799.92000000001</v>
      </c>
      <c r="O739" s="83">
        <f t="shared" si="215"/>
        <v>921.16499999999996</v>
      </c>
      <c r="P739" s="84">
        <f>IF(O739="","",Inputs!$C$5-O739)</f>
        <v>-95.980500000000006</v>
      </c>
      <c r="Q739" s="83">
        <f>IF(N739="","",TS!J739)</f>
        <v>2000</v>
      </c>
      <c r="R739" s="83">
        <f>IF(N739="","",TS!K739)</f>
        <v>1825</v>
      </c>
      <c r="S739" s="83">
        <f>Inputs!$H$5+TS!P739*0.4333</f>
        <v>1833.3773658</v>
      </c>
      <c r="T739" s="83">
        <f>Inputs!$G$5+TS!P739*0.4333</f>
        <v>1848.3773658</v>
      </c>
      <c r="U739" s="85">
        <f t="shared" si="216"/>
        <v>0.9241886829</v>
      </c>
      <c r="V739" s="86">
        <f t="shared" si="204"/>
        <v>0</v>
      </c>
      <c r="W739" s="86">
        <f t="shared" si="205"/>
        <v>0</v>
      </c>
      <c r="X739" s="86" t="e">
        <f>((PI()*((42-2*'Gen Calcs'!$E$13)^2)/4)/144)*(A782-#REF!)*(W739+14.7)/14.7</f>
        <v>#REF!</v>
      </c>
      <c r="Y739" s="86" t="e">
        <f t="shared" si="206"/>
        <v>#REF!</v>
      </c>
      <c r="Z739" s="86" t="e">
        <f t="shared" si="207"/>
        <v>#REF!</v>
      </c>
      <c r="AA739" s="83">
        <f>MAX(B$2:B739)-B739</f>
        <v>17.026000000000067</v>
      </c>
      <c r="AB739" s="83">
        <f t="shared" si="208"/>
        <v>7.3722580000000288</v>
      </c>
      <c r="AC739" s="83">
        <f t="shared" si="210"/>
        <v>120</v>
      </c>
      <c r="AD739" s="72">
        <v>120</v>
      </c>
      <c r="AE739" s="73">
        <f t="shared" si="217"/>
        <v>907.92027688745009</v>
      </c>
      <c r="AF739" s="73">
        <f>SUM(AE$2:AE739)</f>
        <v>615773.99150394404</v>
      </c>
      <c r="AG739" s="73">
        <f t="shared" si="218"/>
        <v>557955.91092316515</v>
      </c>
    </row>
    <row r="740" spans="1:33" x14ac:dyDescent="0.25">
      <c r="A740" s="100">
        <v>163899.92000000001</v>
      </c>
      <c r="B740" s="97">
        <v>921.29960000000005</v>
      </c>
      <c r="C740" s="97">
        <v>0.6</v>
      </c>
      <c r="D740" s="80">
        <f t="shared" si="219"/>
        <v>100</v>
      </c>
      <c r="E740" s="81">
        <f t="shared" si="211"/>
        <v>6791.2436711181272</v>
      </c>
      <c r="F740" s="81">
        <f>SUM(E$2:E740)</f>
        <v>4609392.9361911351</v>
      </c>
      <c r="G740" s="43">
        <f t="shared" si="209"/>
        <v>1</v>
      </c>
      <c r="H740" s="78">
        <v>1</v>
      </c>
      <c r="I740" s="15">
        <f t="shared" si="212"/>
        <v>0.6</v>
      </c>
      <c r="J740" s="16">
        <f>VLOOKUP(G740,Inputs!$L$3:$P$15,5,FALSE)</f>
        <v>2000</v>
      </c>
      <c r="K740" s="16">
        <f t="shared" si="213"/>
        <v>1825</v>
      </c>
      <c r="L740" s="79">
        <f>Inputs!$P$8-B740</f>
        <v>16.891399999999976</v>
      </c>
      <c r="M740" s="79">
        <f>Inputs!$Q$8+L740*0.433</f>
        <v>1832.3139762000001</v>
      </c>
      <c r="N740" s="82">
        <f t="shared" si="214"/>
        <v>163899.92000000001</v>
      </c>
      <c r="O740" s="83">
        <f t="shared" si="215"/>
        <v>921.29960000000005</v>
      </c>
      <c r="P740" s="84">
        <f>IF(O740="","",Inputs!$C$5-O740)</f>
        <v>-96.115100000000098</v>
      </c>
      <c r="Q740" s="83">
        <f>IF(N740="","",TS!J740)</f>
        <v>2000</v>
      </c>
      <c r="R740" s="83">
        <f>IF(N740="","",TS!K740)</f>
        <v>1825</v>
      </c>
      <c r="S740" s="83">
        <f>Inputs!$H$5+TS!P740*0.4333</f>
        <v>1833.31904362</v>
      </c>
      <c r="T740" s="83">
        <f>Inputs!$G$5+TS!P740*0.4333</f>
        <v>1848.31904362</v>
      </c>
      <c r="U740" s="85">
        <f t="shared" si="216"/>
        <v>0.92415952181000005</v>
      </c>
      <c r="V740" s="86">
        <f t="shared" si="204"/>
        <v>0</v>
      </c>
      <c r="W740" s="86">
        <f t="shared" si="205"/>
        <v>0</v>
      </c>
      <c r="X740" s="86" t="e">
        <f>((PI()*((42-2*'Gen Calcs'!$E$13)^2)/4)/144)*(A783-#REF!)*(W740+14.7)/14.7</f>
        <v>#REF!</v>
      </c>
      <c r="Y740" s="86" t="e">
        <f t="shared" si="206"/>
        <v>#REF!</v>
      </c>
      <c r="Z740" s="86" t="e">
        <f t="shared" si="207"/>
        <v>#REF!</v>
      </c>
      <c r="AA740" s="83">
        <f>MAX(B$2:B740)-B740</f>
        <v>16.891399999999976</v>
      </c>
      <c r="AB740" s="83">
        <f t="shared" si="208"/>
        <v>7.3139761999999893</v>
      </c>
      <c r="AC740" s="83">
        <f t="shared" si="210"/>
        <v>120</v>
      </c>
      <c r="AD740" s="72">
        <v>120</v>
      </c>
      <c r="AE740" s="73">
        <f t="shared" si="217"/>
        <v>907.92027688745009</v>
      </c>
      <c r="AF740" s="73">
        <f>SUM(AE$2:AE740)</f>
        <v>616681.91178083152</v>
      </c>
      <c r="AG740" s="73">
        <f t="shared" si="218"/>
        <v>557047.99064627767</v>
      </c>
    </row>
    <row r="741" spans="1:33" x14ac:dyDescent="0.25">
      <c r="A741" s="99">
        <v>163999.92000000001</v>
      </c>
      <c r="B741" s="96">
        <v>921.53139999999996</v>
      </c>
      <c r="C741" s="96">
        <v>0.6</v>
      </c>
      <c r="D741" s="80">
        <f t="shared" si="219"/>
        <v>100</v>
      </c>
      <c r="E741" s="81">
        <f t="shared" si="211"/>
        <v>6791.2436711181272</v>
      </c>
      <c r="F741" s="81">
        <f>SUM(E$2:E741)</f>
        <v>4616184.1798622534</v>
      </c>
      <c r="G741" s="43">
        <f t="shared" si="209"/>
        <v>1</v>
      </c>
      <c r="H741" s="78">
        <v>1</v>
      </c>
      <c r="I741" s="15">
        <f t="shared" si="212"/>
        <v>0.6</v>
      </c>
      <c r="J741" s="16">
        <f>VLOOKUP(G741,Inputs!$L$3:$P$15,5,FALSE)</f>
        <v>2000</v>
      </c>
      <c r="K741" s="16">
        <f t="shared" si="213"/>
        <v>1825</v>
      </c>
      <c r="L741" s="79">
        <f>Inputs!$P$8-B741</f>
        <v>16.659600000000069</v>
      </c>
      <c r="M741" s="79">
        <f>Inputs!$Q$8+L741*0.433</f>
        <v>1832.2136068</v>
      </c>
      <c r="N741" s="82">
        <f t="shared" si="214"/>
        <v>163999.92000000001</v>
      </c>
      <c r="O741" s="83">
        <f t="shared" si="215"/>
        <v>921.53139999999996</v>
      </c>
      <c r="P741" s="84">
        <f>IF(O741="","",Inputs!$C$5-O741)</f>
        <v>-96.346900000000005</v>
      </c>
      <c r="Q741" s="83">
        <f>IF(N741="","",TS!J741)</f>
        <v>2000</v>
      </c>
      <c r="R741" s="83">
        <f>IF(N741="","",TS!K741)</f>
        <v>1825</v>
      </c>
      <c r="S741" s="83">
        <f>Inputs!$H$5+TS!P741*0.4333</f>
        <v>1833.21860468</v>
      </c>
      <c r="T741" s="83">
        <f>Inputs!$G$5+TS!P741*0.4333</f>
        <v>1848.21860468</v>
      </c>
      <c r="U741" s="85">
        <f t="shared" si="216"/>
        <v>0.92410930233999999</v>
      </c>
      <c r="V741" s="86">
        <f t="shared" si="204"/>
        <v>0</v>
      </c>
      <c r="W741" s="86">
        <f t="shared" si="205"/>
        <v>0</v>
      </c>
      <c r="X741" s="86" t="e">
        <f>((PI()*((42-2*'Gen Calcs'!$E$13)^2)/4)/144)*(A784-#REF!)*(W741+14.7)/14.7</f>
        <v>#REF!</v>
      </c>
      <c r="Y741" s="86" t="e">
        <f t="shared" si="206"/>
        <v>#REF!</v>
      </c>
      <c r="Z741" s="86" t="e">
        <f t="shared" si="207"/>
        <v>#REF!</v>
      </c>
      <c r="AA741" s="83">
        <f>MAX(B$2:B741)-B741</f>
        <v>16.659600000000069</v>
      </c>
      <c r="AB741" s="83">
        <f t="shared" si="208"/>
        <v>7.2136068000000293</v>
      </c>
      <c r="AC741" s="83">
        <f t="shared" si="210"/>
        <v>120</v>
      </c>
      <c r="AD741" s="72">
        <v>120</v>
      </c>
      <c r="AE741" s="73">
        <f t="shared" si="217"/>
        <v>907.92027688745009</v>
      </c>
      <c r="AF741" s="73">
        <f>SUM(AE$2:AE741)</f>
        <v>617589.832057719</v>
      </c>
      <c r="AG741" s="73">
        <f t="shared" si="218"/>
        <v>556140.07036939019</v>
      </c>
    </row>
    <row r="742" spans="1:33" x14ac:dyDescent="0.25">
      <c r="A742" s="100">
        <v>164099.92000000001</v>
      </c>
      <c r="B742" s="97">
        <v>921.39790000000005</v>
      </c>
      <c r="C742" s="97">
        <v>0.6</v>
      </c>
      <c r="D742" s="80">
        <f t="shared" si="219"/>
        <v>100</v>
      </c>
      <c r="E742" s="81">
        <f t="shared" si="211"/>
        <v>6791.2436711181272</v>
      </c>
      <c r="F742" s="81">
        <f>SUM(E$2:E742)</f>
        <v>4622975.4235333716</v>
      </c>
      <c r="G742" s="43">
        <f t="shared" si="209"/>
        <v>1</v>
      </c>
      <c r="H742" s="78">
        <v>1</v>
      </c>
      <c r="I742" s="15">
        <f t="shared" si="212"/>
        <v>0.6</v>
      </c>
      <c r="J742" s="16">
        <f>VLOOKUP(G742,Inputs!$L$3:$P$15,5,FALSE)</f>
        <v>2000</v>
      </c>
      <c r="K742" s="16">
        <f t="shared" si="213"/>
        <v>1825</v>
      </c>
      <c r="L742" s="79">
        <f>Inputs!$P$8-B742</f>
        <v>16.793099999999981</v>
      </c>
      <c r="M742" s="79">
        <f>Inputs!$Q$8+L742*0.433</f>
        <v>1832.2714123000001</v>
      </c>
      <c r="N742" s="82">
        <f t="shared" si="214"/>
        <v>164099.92000000001</v>
      </c>
      <c r="O742" s="83">
        <f t="shared" si="215"/>
        <v>921.39790000000005</v>
      </c>
      <c r="P742" s="84">
        <f>IF(O742="","",Inputs!$C$5-O742)</f>
        <v>-96.213400000000092</v>
      </c>
      <c r="Q742" s="83">
        <f>IF(N742="","",TS!J742)</f>
        <v>2000</v>
      </c>
      <c r="R742" s="83">
        <f>IF(N742="","",TS!K742)</f>
        <v>1825</v>
      </c>
      <c r="S742" s="83">
        <f>Inputs!$H$5+TS!P742*0.4333</f>
        <v>1833.2764502299999</v>
      </c>
      <c r="T742" s="83">
        <f>Inputs!$G$5+TS!P742*0.4333</f>
        <v>1848.2764502299999</v>
      </c>
      <c r="U742" s="85">
        <f t="shared" si="216"/>
        <v>0.92413822511499999</v>
      </c>
      <c r="V742" s="86">
        <f t="shared" si="204"/>
        <v>0</v>
      </c>
      <c r="W742" s="86">
        <f t="shared" si="205"/>
        <v>0</v>
      </c>
      <c r="X742" s="86" t="e">
        <f>((PI()*((42-2*'Gen Calcs'!$E$13)^2)/4)/144)*(A785-#REF!)*(W742+14.7)/14.7</f>
        <v>#REF!</v>
      </c>
      <c r="Y742" s="86" t="e">
        <f t="shared" si="206"/>
        <v>#REF!</v>
      </c>
      <c r="Z742" s="86" t="e">
        <f t="shared" si="207"/>
        <v>#REF!</v>
      </c>
      <c r="AA742" s="83">
        <f>MAX(B$2:B742)-B742</f>
        <v>16.793099999999981</v>
      </c>
      <c r="AB742" s="83">
        <f t="shared" si="208"/>
        <v>7.2714122999999917</v>
      </c>
      <c r="AC742" s="83">
        <f t="shared" si="210"/>
        <v>120</v>
      </c>
      <c r="AD742" s="72">
        <v>120</v>
      </c>
      <c r="AE742" s="73">
        <f t="shared" si="217"/>
        <v>907.92027688745009</v>
      </c>
      <c r="AF742" s="73">
        <f>SUM(AE$2:AE742)</f>
        <v>618497.75233460648</v>
      </c>
      <c r="AG742" s="73">
        <f t="shared" si="218"/>
        <v>555232.15009250271</v>
      </c>
    </row>
    <row r="743" spans="1:33" x14ac:dyDescent="0.25">
      <c r="A743" s="99">
        <v>164199.92000000001</v>
      </c>
      <c r="B743" s="96">
        <v>923.14549999999997</v>
      </c>
      <c r="C743" s="96">
        <v>0.6</v>
      </c>
      <c r="D743" s="80">
        <f t="shared" si="219"/>
        <v>100</v>
      </c>
      <c r="E743" s="81">
        <f t="shared" si="211"/>
        <v>6791.2436711181272</v>
      </c>
      <c r="F743" s="81">
        <f>SUM(E$2:E743)</f>
        <v>4629766.6672044899</v>
      </c>
      <c r="G743" s="43">
        <f t="shared" si="209"/>
        <v>1</v>
      </c>
      <c r="H743" s="78">
        <v>1</v>
      </c>
      <c r="I743" s="15">
        <f t="shared" si="212"/>
        <v>0.6</v>
      </c>
      <c r="J743" s="16">
        <f>VLOOKUP(G743,Inputs!$L$3:$P$15,5,FALSE)</f>
        <v>2000</v>
      </c>
      <c r="K743" s="16">
        <f t="shared" si="213"/>
        <v>1825</v>
      </c>
      <c r="L743" s="79">
        <f>Inputs!$P$8-B743</f>
        <v>15.045500000000061</v>
      </c>
      <c r="M743" s="79">
        <f>Inputs!$Q$8+L743*0.433</f>
        <v>1831.5147015</v>
      </c>
      <c r="N743" s="82">
        <f t="shared" si="214"/>
        <v>164199.92000000001</v>
      </c>
      <c r="O743" s="83">
        <f t="shared" si="215"/>
        <v>923.14549999999997</v>
      </c>
      <c r="P743" s="84">
        <f>IF(O743="","",Inputs!$C$5-O743)</f>
        <v>-97.961000000000013</v>
      </c>
      <c r="Q743" s="83">
        <f>IF(N743="","",TS!J743)</f>
        <v>2000</v>
      </c>
      <c r="R743" s="83">
        <f>IF(N743="","",TS!K743)</f>
        <v>1825</v>
      </c>
      <c r="S743" s="83">
        <f>Inputs!$H$5+TS!P743*0.4333</f>
        <v>1832.51921515</v>
      </c>
      <c r="T743" s="83">
        <f>Inputs!$G$5+TS!P743*0.4333</f>
        <v>1847.51921515</v>
      </c>
      <c r="U743" s="85">
        <f t="shared" si="216"/>
        <v>0.92375960757499997</v>
      </c>
      <c r="V743" s="86">
        <f t="shared" si="204"/>
        <v>0</v>
      </c>
      <c r="W743" s="86">
        <f t="shared" si="205"/>
        <v>0</v>
      </c>
      <c r="X743" s="86" t="e">
        <f>((PI()*((42-2*'Gen Calcs'!$E$13)^2)/4)/144)*(A786-#REF!)*(W743+14.7)/14.7</f>
        <v>#REF!</v>
      </c>
      <c r="Y743" s="86" t="e">
        <f t="shared" si="206"/>
        <v>#REF!</v>
      </c>
      <c r="Z743" s="86" t="e">
        <f t="shared" si="207"/>
        <v>#REF!</v>
      </c>
      <c r="AA743" s="83">
        <f>MAX(B$2:B743)-B743</f>
        <v>15.045500000000061</v>
      </c>
      <c r="AB743" s="83">
        <f t="shared" si="208"/>
        <v>6.5147015000000259</v>
      </c>
      <c r="AC743" s="83">
        <f t="shared" si="210"/>
        <v>120</v>
      </c>
      <c r="AD743" s="72">
        <v>120</v>
      </c>
      <c r="AE743" s="73">
        <f t="shared" si="217"/>
        <v>907.92027688745009</v>
      </c>
      <c r="AF743" s="73">
        <f>SUM(AE$2:AE743)</f>
        <v>619405.67261149397</v>
      </c>
      <c r="AG743" s="73">
        <f t="shared" si="218"/>
        <v>554324.22981561522</v>
      </c>
    </row>
    <row r="744" spans="1:33" x14ac:dyDescent="0.25">
      <c r="A744" s="100">
        <v>164299.92000000001</v>
      </c>
      <c r="B744" s="97">
        <v>925.21550000000002</v>
      </c>
      <c r="C744" s="97">
        <v>0.6</v>
      </c>
      <c r="D744" s="80">
        <f t="shared" si="219"/>
        <v>100</v>
      </c>
      <c r="E744" s="81">
        <f t="shared" si="211"/>
        <v>6791.2436711181272</v>
      </c>
      <c r="F744" s="81">
        <f>SUM(E$2:E744)</f>
        <v>4636557.9108756082</v>
      </c>
      <c r="G744" s="43">
        <f t="shared" si="209"/>
        <v>1</v>
      </c>
      <c r="H744" s="78">
        <v>1</v>
      </c>
      <c r="I744" s="15">
        <f t="shared" si="212"/>
        <v>0.6</v>
      </c>
      <c r="J744" s="16">
        <f>VLOOKUP(G744,Inputs!$L$3:$P$15,5,FALSE)</f>
        <v>2000</v>
      </c>
      <c r="K744" s="16">
        <f t="shared" si="213"/>
        <v>1825</v>
      </c>
      <c r="L744" s="79">
        <f>Inputs!$P$8-B744</f>
        <v>12.975500000000011</v>
      </c>
      <c r="M744" s="79">
        <f>Inputs!$Q$8+L744*0.433</f>
        <v>1830.6183914999999</v>
      </c>
      <c r="N744" s="82">
        <f t="shared" si="214"/>
        <v>164299.92000000001</v>
      </c>
      <c r="O744" s="83">
        <f t="shared" si="215"/>
        <v>925.21550000000002</v>
      </c>
      <c r="P744" s="84">
        <f>IF(O744="","",Inputs!$C$5-O744)</f>
        <v>-100.03100000000006</v>
      </c>
      <c r="Q744" s="83">
        <f>IF(N744="","",TS!J744)</f>
        <v>2000</v>
      </c>
      <c r="R744" s="83">
        <f>IF(N744="","",TS!K744)</f>
        <v>1825</v>
      </c>
      <c r="S744" s="83">
        <f>Inputs!$H$5+TS!P744*0.4333</f>
        <v>1831.6222841499998</v>
      </c>
      <c r="T744" s="83">
        <f>Inputs!$G$5+TS!P744*0.4333</f>
        <v>1846.6222841499998</v>
      </c>
      <c r="U744" s="85">
        <f t="shared" si="216"/>
        <v>0.92331114207499987</v>
      </c>
      <c r="V744" s="86">
        <f t="shared" si="204"/>
        <v>0</v>
      </c>
      <c r="W744" s="86">
        <f t="shared" si="205"/>
        <v>0</v>
      </c>
      <c r="X744" s="86" t="e">
        <f>((PI()*((42-2*'Gen Calcs'!$E$13)^2)/4)/144)*(A787-#REF!)*(W744+14.7)/14.7</f>
        <v>#REF!</v>
      </c>
      <c r="Y744" s="86" t="e">
        <f t="shared" si="206"/>
        <v>#REF!</v>
      </c>
      <c r="Z744" s="86" t="e">
        <f t="shared" si="207"/>
        <v>#REF!</v>
      </c>
      <c r="AA744" s="83">
        <f>MAX(B$2:B744)-B744</f>
        <v>12.975500000000011</v>
      </c>
      <c r="AB744" s="83">
        <f t="shared" si="208"/>
        <v>5.6183915000000049</v>
      </c>
      <c r="AC744" s="83">
        <f t="shared" si="210"/>
        <v>120</v>
      </c>
      <c r="AD744" s="72">
        <v>120</v>
      </c>
      <c r="AE744" s="73">
        <f t="shared" si="217"/>
        <v>907.92027688745009</v>
      </c>
      <c r="AF744" s="73">
        <f>SUM(AE$2:AE744)</f>
        <v>620313.59288838145</v>
      </c>
      <c r="AG744" s="73">
        <f t="shared" si="218"/>
        <v>553416.30953872774</v>
      </c>
    </row>
    <row r="745" spans="1:33" x14ac:dyDescent="0.25">
      <c r="A745" s="99">
        <v>164399.92000000001</v>
      </c>
      <c r="B745" s="96">
        <v>928.20479999999998</v>
      </c>
      <c r="C745" s="96">
        <v>0.6</v>
      </c>
      <c r="D745" s="80">
        <f t="shared" si="219"/>
        <v>100</v>
      </c>
      <c r="E745" s="81">
        <f t="shared" si="211"/>
        <v>6791.2436711181272</v>
      </c>
      <c r="F745" s="81">
        <f>SUM(E$2:E745)</f>
        <v>4643349.1545467265</v>
      </c>
      <c r="G745" s="43">
        <f t="shared" si="209"/>
        <v>1</v>
      </c>
      <c r="H745" s="78">
        <v>1</v>
      </c>
      <c r="I745" s="15">
        <f t="shared" si="212"/>
        <v>0.6</v>
      </c>
      <c r="J745" s="16">
        <f>VLOOKUP(G745,Inputs!$L$3:$P$15,5,FALSE)</f>
        <v>2000</v>
      </c>
      <c r="K745" s="16">
        <f t="shared" si="213"/>
        <v>1825</v>
      </c>
      <c r="L745" s="79">
        <f>Inputs!$P$8-B745</f>
        <v>9.9862000000000535</v>
      </c>
      <c r="M745" s="79">
        <f>Inputs!$Q$8+L745*0.433</f>
        <v>1829.3240246</v>
      </c>
      <c r="N745" s="82">
        <f t="shared" si="214"/>
        <v>164399.92000000001</v>
      </c>
      <c r="O745" s="83">
        <f t="shared" si="215"/>
        <v>928.20479999999998</v>
      </c>
      <c r="P745" s="84">
        <f>IF(O745="","",Inputs!$C$5-O745)</f>
        <v>-103.02030000000002</v>
      </c>
      <c r="Q745" s="83">
        <f>IF(N745="","",TS!J745)</f>
        <v>2000</v>
      </c>
      <c r="R745" s="83">
        <f>IF(N745="","",TS!K745)</f>
        <v>1825</v>
      </c>
      <c r="S745" s="83">
        <f>Inputs!$H$5+TS!P745*0.4333</f>
        <v>1830.3270204599999</v>
      </c>
      <c r="T745" s="83">
        <f>Inputs!$G$5+TS!P745*0.4333</f>
        <v>1845.3270204599999</v>
      </c>
      <c r="U745" s="85">
        <f t="shared" si="216"/>
        <v>0.92266351022999993</v>
      </c>
      <c r="V745" s="86">
        <f t="shared" si="204"/>
        <v>0</v>
      </c>
      <c r="W745" s="86">
        <f t="shared" si="205"/>
        <v>0</v>
      </c>
      <c r="X745" s="86" t="e">
        <f>((PI()*((42-2*'Gen Calcs'!$E$13)^2)/4)/144)*(A788-#REF!)*(W745+14.7)/14.7</f>
        <v>#REF!</v>
      </c>
      <c r="Y745" s="86" t="e">
        <f t="shared" si="206"/>
        <v>#REF!</v>
      </c>
      <c r="Z745" s="86" t="e">
        <f t="shared" si="207"/>
        <v>#REF!</v>
      </c>
      <c r="AA745" s="83">
        <f>MAX(B$2:B745)-B745</f>
        <v>9.9862000000000535</v>
      </c>
      <c r="AB745" s="83">
        <f t="shared" si="208"/>
        <v>4.3240246000000235</v>
      </c>
      <c r="AC745" s="83">
        <f t="shared" si="210"/>
        <v>120</v>
      </c>
      <c r="AD745" s="72">
        <v>120</v>
      </c>
      <c r="AE745" s="73">
        <f t="shared" si="217"/>
        <v>907.92027688745009</v>
      </c>
      <c r="AF745" s="73">
        <f>SUM(AE$2:AE745)</f>
        <v>621221.51316526893</v>
      </c>
      <c r="AG745" s="73">
        <f t="shared" si="218"/>
        <v>552508.38926184026</v>
      </c>
    </row>
    <row r="746" spans="1:33" x14ac:dyDescent="0.25">
      <c r="A746" s="100">
        <v>164499.92000000001</v>
      </c>
      <c r="B746" s="97">
        <v>931.48720000000003</v>
      </c>
      <c r="C746" s="97">
        <v>0.6</v>
      </c>
      <c r="D746" s="80">
        <f t="shared" si="219"/>
        <v>100</v>
      </c>
      <c r="E746" s="81">
        <f t="shared" si="211"/>
        <v>6616.6076625842816</v>
      </c>
      <c r="F746" s="81">
        <f>SUM(E$2:E746)</f>
        <v>4649965.7622093111</v>
      </c>
      <c r="G746" s="43">
        <f t="shared" si="209"/>
        <v>1</v>
      </c>
      <c r="H746" s="78">
        <v>1</v>
      </c>
      <c r="I746" s="15">
        <f t="shared" si="212"/>
        <v>0.6</v>
      </c>
      <c r="J746" s="16">
        <f>VLOOKUP(G746,Inputs!$L$3:$P$15,5,FALSE)</f>
        <v>2000</v>
      </c>
      <c r="K746" s="16">
        <f t="shared" si="213"/>
        <v>1825</v>
      </c>
      <c r="L746" s="79">
        <f>Inputs!$P$8-B746</f>
        <v>6.7038000000000011</v>
      </c>
      <c r="M746" s="79">
        <f>Inputs!$Q$8+L746*0.433</f>
        <v>1827.9027454</v>
      </c>
      <c r="N746" s="82">
        <f t="shared" si="214"/>
        <v>164499.92000000001</v>
      </c>
      <c r="O746" s="83">
        <f t="shared" si="215"/>
        <v>931.48720000000003</v>
      </c>
      <c r="P746" s="84">
        <f>IF(O746="","",Inputs!$C$5-O746)</f>
        <v>-106.30270000000007</v>
      </c>
      <c r="Q746" s="83">
        <f>IF(N746="","",TS!J746)</f>
        <v>2000</v>
      </c>
      <c r="R746" s="83">
        <f>IF(N746="","",TS!K746)</f>
        <v>1825</v>
      </c>
      <c r="S746" s="83">
        <f>Inputs!$H$5+TS!P746*0.4333</f>
        <v>1828.9047565399999</v>
      </c>
      <c r="T746" s="83">
        <f>Inputs!$G$5+TS!P746*0.4333</f>
        <v>1843.9047565399999</v>
      </c>
      <c r="U746" s="85">
        <f t="shared" si="216"/>
        <v>0.92195237826999998</v>
      </c>
      <c r="V746" s="86">
        <f t="shared" si="204"/>
        <v>0</v>
      </c>
      <c r="W746" s="86">
        <f t="shared" si="205"/>
        <v>0</v>
      </c>
      <c r="X746" s="86" t="e">
        <f>((PI()*((42-2*'Gen Calcs'!$E$13)^2)/4)/144)*(A789-#REF!)*(W746+14.7)/14.7</f>
        <v>#REF!</v>
      </c>
      <c r="Y746" s="86" t="e">
        <f t="shared" si="206"/>
        <v>#REF!</v>
      </c>
      <c r="Z746" s="86" t="e">
        <f t="shared" si="207"/>
        <v>#REF!</v>
      </c>
      <c r="AA746" s="83">
        <f>MAX(B$2:B746)-B746</f>
        <v>6.7038000000000011</v>
      </c>
      <c r="AB746" s="83">
        <f t="shared" si="208"/>
        <v>2.9027454000000006</v>
      </c>
      <c r="AC746" s="83">
        <f t="shared" si="210"/>
        <v>120</v>
      </c>
      <c r="AD746" s="72">
        <v>120</v>
      </c>
      <c r="AE746" s="73">
        <f t="shared" si="217"/>
        <v>907.92027688745009</v>
      </c>
      <c r="AF746" s="73">
        <f>SUM(AE$2:AE746)</f>
        <v>622129.43344215641</v>
      </c>
      <c r="AG746" s="73">
        <f t="shared" si="218"/>
        <v>551600.46898495278</v>
      </c>
    </row>
    <row r="747" spans="1:33" x14ac:dyDescent="0.25">
      <c r="A747" s="99">
        <v>164599.92000000001</v>
      </c>
      <c r="B747" s="96">
        <v>933.15210000000002</v>
      </c>
      <c r="C747" s="96">
        <v>0.6</v>
      </c>
      <c r="D747" s="80">
        <f t="shared" si="219"/>
        <v>100</v>
      </c>
      <c r="E747" s="81">
        <f t="shared" si="211"/>
        <v>6791.2436711181272</v>
      </c>
      <c r="F747" s="81">
        <f>SUM(E$2:E747)</f>
        <v>4656757.0058804294</v>
      </c>
      <c r="G747" s="43">
        <f t="shared" si="209"/>
        <v>1</v>
      </c>
      <c r="H747" s="78">
        <v>1</v>
      </c>
      <c r="I747" s="15">
        <f t="shared" si="212"/>
        <v>0.6</v>
      </c>
      <c r="J747" s="16">
        <f>VLOOKUP(G747,Inputs!$L$3:$P$15,5,FALSE)</f>
        <v>2000</v>
      </c>
      <c r="K747" s="16">
        <f t="shared" si="213"/>
        <v>1825</v>
      </c>
      <c r="L747" s="79">
        <f>Inputs!$P$8-B747</f>
        <v>5.0389000000000124</v>
      </c>
      <c r="M747" s="79">
        <f>Inputs!$Q$8+L747*0.433</f>
        <v>1827.1818436999999</v>
      </c>
      <c r="N747" s="82">
        <f t="shared" si="214"/>
        <v>164599.92000000001</v>
      </c>
      <c r="O747" s="83">
        <f t="shared" si="215"/>
        <v>933.15210000000002</v>
      </c>
      <c r="P747" s="84">
        <f>IF(O747="","",Inputs!$C$5-O747)</f>
        <v>-107.96760000000006</v>
      </c>
      <c r="Q747" s="83">
        <f>IF(N747="","",TS!J747)</f>
        <v>2000</v>
      </c>
      <c r="R747" s="83">
        <f>IF(N747="","",TS!K747)</f>
        <v>1825</v>
      </c>
      <c r="S747" s="83">
        <f>Inputs!$H$5+TS!P747*0.4333</f>
        <v>1828.1833553699998</v>
      </c>
      <c r="T747" s="83">
        <f>Inputs!$G$5+TS!P747*0.4333</f>
        <v>1843.1833553699998</v>
      </c>
      <c r="U747" s="85">
        <f t="shared" si="216"/>
        <v>0.92159167768499994</v>
      </c>
      <c r="V747" s="86">
        <f t="shared" si="204"/>
        <v>0</v>
      </c>
      <c r="W747" s="86">
        <f t="shared" si="205"/>
        <v>0</v>
      </c>
      <c r="X747" s="86" t="e">
        <f>((PI()*((42-2*'Gen Calcs'!$E$13)^2)/4)/144)*(A790-#REF!)*(W747+14.7)/14.7</f>
        <v>#REF!</v>
      </c>
      <c r="Y747" s="86" t="e">
        <f t="shared" si="206"/>
        <v>#REF!</v>
      </c>
      <c r="Z747" s="86" t="e">
        <f t="shared" si="207"/>
        <v>#REF!</v>
      </c>
      <c r="AA747" s="83">
        <f>MAX(B$2:B747)-B747</f>
        <v>5.0389000000000124</v>
      </c>
      <c r="AB747" s="83">
        <f t="shared" si="208"/>
        <v>2.1818437000000053</v>
      </c>
      <c r="AC747" s="83">
        <f t="shared" si="210"/>
        <v>120</v>
      </c>
      <c r="AD747" s="72">
        <v>120</v>
      </c>
      <c r="AE747" s="73">
        <f t="shared" si="217"/>
        <v>907.92027688745009</v>
      </c>
      <c r="AF747" s="73">
        <f>SUM(AE$2:AE747)</f>
        <v>623037.35371904389</v>
      </c>
      <c r="AG747" s="73">
        <f t="shared" si="218"/>
        <v>550692.5487080653</v>
      </c>
    </row>
    <row r="748" spans="1:33" x14ac:dyDescent="0.25">
      <c r="A748" s="100">
        <v>164699.92000000001</v>
      </c>
      <c r="B748" s="97">
        <v>933.86950000000002</v>
      </c>
      <c r="C748" s="97">
        <v>0.6</v>
      </c>
      <c r="D748" s="80">
        <f t="shared" si="219"/>
        <v>100</v>
      </c>
      <c r="E748" s="81">
        <f t="shared" si="211"/>
        <v>6791.2436711181272</v>
      </c>
      <c r="F748" s="81">
        <f>SUM(E$2:E748)</f>
        <v>4663548.2495515477</v>
      </c>
      <c r="G748" s="43">
        <f t="shared" si="209"/>
        <v>1</v>
      </c>
      <c r="H748" s="78">
        <v>1</v>
      </c>
      <c r="I748" s="15">
        <f t="shared" si="212"/>
        <v>0.6</v>
      </c>
      <c r="J748" s="16">
        <f>VLOOKUP(G748,Inputs!$L$3:$P$15,5,FALSE)</f>
        <v>2000</v>
      </c>
      <c r="K748" s="16">
        <f t="shared" si="213"/>
        <v>1825</v>
      </c>
      <c r="L748" s="79">
        <f>Inputs!$P$8-B748</f>
        <v>4.3215000000000146</v>
      </c>
      <c r="M748" s="79">
        <f>Inputs!$Q$8+L748*0.433</f>
        <v>1826.8712095000001</v>
      </c>
      <c r="N748" s="82">
        <f t="shared" si="214"/>
        <v>164699.92000000001</v>
      </c>
      <c r="O748" s="83">
        <f t="shared" si="215"/>
        <v>933.86950000000002</v>
      </c>
      <c r="P748" s="84">
        <f>IF(O748="","",Inputs!$C$5-O748)</f>
        <v>-108.68500000000006</v>
      </c>
      <c r="Q748" s="83">
        <f>IF(N748="","",TS!J748)</f>
        <v>2000</v>
      </c>
      <c r="R748" s="83">
        <f>IF(N748="","",TS!K748)</f>
        <v>1825</v>
      </c>
      <c r="S748" s="83">
        <f>Inputs!$H$5+TS!P748*0.4333</f>
        <v>1827.87250595</v>
      </c>
      <c r="T748" s="83">
        <f>Inputs!$G$5+TS!P748*0.4333</f>
        <v>1842.87250595</v>
      </c>
      <c r="U748" s="85">
        <f t="shared" si="216"/>
        <v>0.92143625297499998</v>
      </c>
      <c r="V748" s="86">
        <f t="shared" si="204"/>
        <v>0</v>
      </c>
      <c r="W748" s="86">
        <f t="shared" si="205"/>
        <v>0</v>
      </c>
      <c r="X748" s="86" t="e">
        <f>((PI()*((42-2*'Gen Calcs'!$E$13)^2)/4)/144)*(A791-#REF!)*(W748+14.7)/14.7</f>
        <v>#REF!</v>
      </c>
      <c r="Y748" s="86" t="e">
        <f t="shared" si="206"/>
        <v>#REF!</v>
      </c>
      <c r="Z748" s="86" t="e">
        <f t="shared" si="207"/>
        <v>#REF!</v>
      </c>
      <c r="AA748" s="83">
        <f>MAX(B$2:B748)-B748</f>
        <v>4.3215000000000146</v>
      </c>
      <c r="AB748" s="83">
        <f t="shared" si="208"/>
        <v>1.8712095000000062</v>
      </c>
      <c r="AC748" s="83">
        <f t="shared" si="210"/>
        <v>120</v>
      </c>
      <c r="AD748" s="72">
        <v>120</v>
      </c>
      <c r="AE748" s="73">
        <f t="shared" si="217"/>
        <v>907.92027688745009</v>
      </c>
      <c r="AF748" s="73">
        <f>SUM(AE$2:AE748)</f>
        <v>623945.27399593138</v>
      </c>
      <c r="AG748" s="73">
        <f t="shared" si="218"/>
        <v>549784.62843117781</v>
      </c>
    </row>
    <row r="749" spans="1:33" x14ac:dyDescent="0.25">
      <c r="A749" s="99">
        <v>164799.92000000001</v>
      </c>
      <c r="B749" s="96">
        <v>933.29960000000005</v>
      </c>
      <c r="C749" s="96">
        <v>0.6</v>
      </c>
      <c r="D749" s="80">
        <f t="shared" si="219"/>
        <v>100</v>
      </c>
      <c r="E749" s="81">
        <f t="shared" si="211"/>
        <v>6791.2436711181272</v>
      </c>
      <c r="F749" s="81">
        <f>SUM(E$2:E749)</f>
        <v>4670339.493222666</v>
      </c>
      <c r="G749" s="43">
        <f t="shared" si="209"/>
        <v>1</v>
      </c>
      <c r="H749" s="78">
        <v>1</v>
      </c>
      <c r="I749" s="15">
        <f t="shared" si="212"/>
        <v>0.6</v>
      </c>
      <c r="J749" s="16">
        <f>VLOOKUP(G749,Inputs!$L$3:$P$15,5,FALSE)</f>
        <v>2000</v>
      </c>
      <c r="K749" s="16">
        <f t="shared" si="213"/>
        <v>1825</v>
      </c>
      <c r="L749" s="79">
        <f>Inputs!$P$8-B749</f>
        <v>4.891399999999976</v>
      </c>
      <c r="M749" s="79">
        <f>Inputs!$Q$8+L749*0.433</f>
        <v>1827.1179761999999</v>
      </c>
      <c r="N749" s="82">
        <f t="shared" si="214"/>
        <v>164799.92000000001</v>
      </c>
      <c r="O749" s="83">
        <f t="shared" si="215"/>
        <v>933.29960000000005</v>
      </c>
      <c r="P749" s="84">
        <f>IF(O749="","",Inputs!$C$5-O749)</f>
        <v>-108.1151000000001</v>
      </c>
      <c r="Q749" s="83">
        <f>IF(N749="","",TS!J749)</f>
        <v>2000</v>
      </c>
      <c r="R749" s="83">
        <f>IF(N749="","",TS!K749)</f>
        <v>1825</v>
      </c>
      <c r="S749" s="83">
        <f>Inputs!$H$5+TS!P749*0.4333</f>
        <v>1828.1194436199999</v>
      </c>
      <c r="T749" s="83">
        <f>Inputs!$G$5+TS!P749*0.4333</f>
        <v>1843.1194436199999</v>
      </c>
      <c r="U749" s="85">
        <f t="shared" si="216"/>
        <v>0.9215597218099999</v>
      </c>
      <c r="V749" s="86">
        <f t="shared" si="204"/>
        <v>0</v>
      </c>
      <c r="W749" s="86">
        <f t="shared" si="205"/>
        <v>0</v>
      </c>
      <c r="X749" s="86" t="e">
        <f>((PI()*((42-2*'Gen Calcs'!$E$13)^2)/4)/144)*(A792-#REF!)*(W749+14.7)/14.7</f>
        <v>#REF!</v>
      </c>
      <c r="Y749" s="86" t="e">
        <f t="shared" si="206"/>
        <v>#REF!</v>
      </c>
      <c r="Z749" s="86" t="e">
        <f t="shared" si="207"/>
        <v>#REF!</v>
      </c>
      <c r="AA749" s="83">
        <f>MAX(B$2:B749)-B749</f>
        <v>4.891399999999976</v>
      </c>
      <c r="AB749" s="83">
        <f t="shared" si="208"/>
        <v>2.1179761999999895</v>
      </c>
      <c r="AC749" s="83">
        <f t="shared" si="210"/>
        <v>120</v>
      </c>
      <c r="AD749" s="72">
        <v>120</v>
      </c>
      <c r="AE749" s="73">
        <f t="shared" si="217"/>
        <v>907.92027688745009</v>
      </c>
      <c r="AF749" s="73">
        <f>SUM(AE$2:AE749)</f>
        <v>624853.19427281886</v>
      </c>
      <c r="AG749" s="73">
        <f t="shared" si="218"/>
        <v>548876.70815429033</v>
      </c>
    </row>
    <row r="750" spans="1:33" x14ac:dyDescent="0.25">
      <c r="A750" s="100">
        <v>164899.92000000001</v>
      </c>
      <c r="B750" s="97">
        <v>932.83219999999994</v>
      </c>
      <c r="C750" s="97">
        <v>0.6</v>
      </c>
      <c r="D750" s="80">
        <f t="shared" si="219"/>
        <v>100</v>
      </c>
      <c r="E750" s="81">
        <f t="shared" si="211"/>
        <v>6791.2436711181272</v>
      </c>
      <c r="F750" s="81">
        <f>SUM(E$2:E750)</f>
        <v>4677130.7368937843</v>
      </c>
      <c r="G750" s="43">
        <f t="shared" si="209"/>
        <v>1</v>
      </c>
      <c r="H750" s="78">
        <v>1</v>
      </c>
      <c r="I750" s="15">
        <f t="shared" si="212"/>
        <v>0.6</v>
      </c>
      <c r="J750" s="16">
        <f>VLOOKUP(G750,Inputs!$L$3:$P$15,5,FALSE)</f>
        <v>2000</v>
      </c>
      <c r="K750" s="16">
        <f t="shared" si="213"/>
        <v>1825</v>
      </c>
      <c r="L750" s="79">
        <f>Inputs!$P$8-B750</f>
        <v>5.3588000000000875</v>
      </c>
      <c r="M750" s="79">
        <f>Inputs!$Q$8+L750*0.433</f>
        <v>1827.3203604</v>
      </c>
      <c r="N750" s="82">
        <f t="shared" si="214"/>
        <v>164899.92000000001</v>
      </c>
      <c r="O750" s="83">
        <f t="shared" si="215"/>
        <v>932.83219999999994</v>
      </c>
      <c r="P750" s="84">
        <f>IF(O750="","",Inputs!$C$5-O750)</f>
        <v>-107.64769999999999</v>
      </c>
      <c r="Q750" s="83">
        <f>IF(N750="","",TS!J750)</f>
        <v>2000</v>
      </c>
      <c r="R750" s="83">
        <f>IF(N750="","",TS!K750)</f>
        <v>1825</v>
      </c>
      <c r="S750" s="83">
        <f>Inputs!$H$5+TS!P750*0.4333</f>
        <v>1828.32196804</v>
      </c>
      <c r="T750" s="83">
        <f>Inputs!$G$5+TS!P750*0.4333</f>
        <v>1843.32196804</v>
      </c>
      <c r="U750" s="85">
        <f t="shared" si="216"/>
        <v>0.92166098401999996</v>
      </c>
      <c r="V750" s="86">
        <f t="shared" si="204"/>
        <v>0</v>
      </c>
      <c r="W750" s="86">
        <f t="shared" si="205"/>
        <v>0</v>
      </c>
      <c r="X750" s="86" t="e">
        <f>((PI()*((42-2*'Gen Calcs'!$E$13)^2)/4)/144)*(A793-#REF!)*(W750+14.7)/14.7</f>
        <v>#REF!</v>
      </c>
      <c r="Y750" s="86" t="e">
        <f t="shared" si="206"/>
        <v>#REF!</v>
      </c>
      <c r="Z750" s="86" t="e">
        <f t="shared" si="207"/>
        <v>#REF!</v>
      </c>
      <c r="AA750" s="83">
        <f>MAX(B$2:B750)-B750</f>
        <v>5.3588000000000875</v>
      </c>
      <c r="AB750" s="83">
        <f t="shared" si="208"/>
        <v>2.320360400000038</v>
      </c>
      <c r="AC750" s="83">
        <f t="shared" si="210"/>
        <v>120</v>
      </c>
      <c r="AD750" s="72">
        <v>120</v>
      </c>
      <c r="AE750" s="73">
        <f t="shared" si="217"/>
        <v>907.92027688745009</v>
      </c>
      <c r="AF750" s="73">
        <f>SUM(AE$2:AE750)</f>
        <v>625761.11454970634</v>
      </c>
      <c r="AG750" s="73">
        <f t="shared" si="218"/>
        <v>547968.78787740285</v>
      </c>
    </row>
    <row r="751" spans="1:33" x14ac:dyDescent="0.25">
      <c r="A751" s="99">
        <v>164999.92000000001</v>
      </c>
      <c r="B751" s="96">
        <v>932.01869999999997</v>
      </c>
      <c r="C751" s="96">
        <v>0.6</v>
      </c>
      <c r="D751" s="80">
        <f t="shared" si="219"/>
        <v>100</v>
      </c>
      <c r="E751" s="81">
        <f t="shared" si="211"/>
        <v>6616.6076625842816</v>
      </c>
      <c r="F751" s="81">
        <f>SUM(E$2:E751)</f>
        <v>4683747.3445563689</v>
      </c>
      <c r="G751" s="43">
        <f t="shared" si="209"/>
        <v>1</v>
      </c>
      <c r="H751" s="78">
        <v>1</v>
      </c>
      <c r="I751" s="15">
        <f t="shared" si="212"/>
        <v>0.6</v>
      </c>
      <c r="J751" s="16">
        <f>VLOOKUP(G751,Inputs!$L$3:$P$15,5,FALSE)</f>
        <v>2000</v>
      </c>
      <c r="K751" s="16">
        <f t="shared" si="213"/>
        <v>1825</v>
      </c>
      <c r="L751" s="79">
        <f>Inputs!$P$8-B751</f>
        <v>6.1723000000000638</v>
      </c>
      <c r="M751" s="79">
        <f>Inputs!$Q$8+L751*0.433</f>
        <v>1827.6726059</v>
      </c>
      <c r="N751" s="82">
        <f t="shared" si="214"/>
        <v>164999.92000000001</v>
      </c>
      <c r="O751" s="83">
        <f t="shared" si="215"/>
        <v>932.01869999999997</v>
      </c>
      <c r="P751" s="84">
        <f>IF(O751="","",Inputs!$C$5-O751)</f>
        <v>-106.83420000000001</v>
      </c>
      <c r="Q751" s="83">
        <f>IF(N751="","",TS!J751)</f>
        <v>2000</v>
      </c>
      <c r="R751" s="83">
        <f>IF(N751="","",TS!K751)</f>
        <v>1825</v>
      </c>
      <c r="S751" s="83">
        <f>Inputs!$H$5+TS!P751*0.4333</f>
        <v>1828.67445759</v>
      </c>
      <c r="T751" s="83">
        <f>Inputs!$G$5+TS!P751*0.4333</f>
        <v>1843.67445759</v>
      </c>
      <c r="U751" s="85">
        <f t="shared" si="216"/>
        <v>0.92183722879499996</v>
      </c>
      <c r="V751" s="86">
        <f t="shared" si="204"/>
        <v>0</v>
      </c>
      <c r="W751" s="86">
        <f t="shared" si="205"/>
        <v>0</v>
      </c>
      <c r="X751" s="86" t="e">
        <f>((PI()*((42-2*'Gen Calcs'!$E$13)^2)/4)/144)*(A794-#REF!)*(W751+14.7)/14.7</f>
        <v>#REF!</v>
      </c>
      <c r="Y751" s="86" t="e">
        <f t="shared" si="206"/>
        <v>#REF!</v>
      </c>
      <c r="Z751" s="86" t="e">
        <f t="shared" si="207"/>
        <v>#REF!</v>
      </c>
      <c r="AA751" s="83">
        <f>MAX(B$2:B751)-B751</f>
        <v>6.1723000000000638</v>
      </c>
      <c r="AB751" s="83">
        <f t="shared" si="208"/>
        <v>2.6726059000000277</v>
      </c>
      <c r="AC751" s="83">
        <f t="shared" si="210"/>
        <v>120</v>
      </c>
      <c r="AD751" s="72">
        <v>120</v>
      </c>
      <c r="AE751" s="73">
        <f t="shared" si="217"/>
        <v>907.92027688745009</v>
      </c>
      <c r="AF751" s="73">
        <f>SUM(AE$2:AE751)</f>
        <v>626669.03482659382</v>
      </c>
      <c r="AG751" s="73">
        <f t="shared" si="218"/>
        <v>547060.86760051537</v>
      </c>
    </row>
    <row r="752" spans="1:33" x14ac:dyDescent="0.25">
      <c r="A752" s="100">
        <v>165099.92000000001</v>
      </c>
      <c r="B752" s="97">
        <v>931.31370000000004</v>
      </c>
      <c r="C752" s="97">
        <v>0.6</v>
      </c>
      <c r="D752" s="80">
        <f t="shared" si="219"/>
        <v>100</v>
      </c>
      <c r="E752" s="81">
        <f t="shared" si="211"/>
        <v>6791.2436711181272</v>
      </c>
      <c r="F752" s="81">
        <f>SUM(E$2:E752)</f>
        <v>4690538.5882274872</v>
      </c>
      <c r="G752" s="43">
        <f t="shared" si="209"/>
        <v>1</v>
      </c>
      <c r="H752" s="78">
        <v>1</v>
      </c>
      <c r="I752" s="15">
        <f t="shared" si="212"/>
        <v>0.6</v>
      </c>
      <c r="J752" s="16">
        <f>VLOOKUP(G752,Inputs!$L$3:$P$15,5,FALSE)</f>
        <v>2000</v>
      </c>
      <c r="K752" s="16">
        <f t="shared" si="213"/>
        <v>1825</v>
      </c>
      <c r="L752" s="79">
        <f>Inputs!$P$8-B752</f>
        <v>6.8772999999999911</v>
      </c>
      <c r="M752" s="79">
        <f>Inputs!$Q$8+L752*0.433</f>
        <v>1827.9778709</v>
      </c>
      <c r="N752" s="82">
        <f t="shared" si="214"/>
        <v>165099.92000000001</v>
      </c>
      <c r="O752" s="83">
        <f t="shared" si="215"/>
        <v>931.31370000000004</v>
      </c>
      <c r="P752" s="84">
        <f>IF(O752="","",Inputs!$C$5-O752)</f>
        <v>-106.12920000000008</v>
      </c>
      <c r="Q752" s="83">
        <f>IF(N752="","",TS!J752)</f>
        <v>2000</v>
      </c>
      <c r="R752" s="83">
        <f>IF(N752="","",TS!K752)</f>
        <v>1825</v>
      </c>
      <c r="S752" s="83">
        <f>Inputs!$H$5+TS!P752*0.4333</f>
        <v>1828.9799340899999</v>
      </c>
      <c r="T752" s="83">
        <f>Inputs!$G$5+TS!P752*0.4333</f>
        <v>1843.9799340899999</v>
      </c>
      <c r="U752" s="85">
        <f t="shared" si="216"/>
        <v>0.92198996704499991</v>
      </c>
      <c r="V752" s="86">
        <f t="shared" si="204"/>
        <v>0</v>
      </c>
      <c r="W752" s="86">
        <f t="shared" si="205"/>
        <v>0</v>
      </c>
      <c r="X752" s="86" t="e">
        <f>((PI()*((42-2*'Gen Calcs'!$E$13)^2)/4)/144)*(A795-#REF!)*(W752+14.7)/14.7</f>
        <v>#REF!</v>
      </c>
      <c r="Y752" s="86" t="e">
        <f t="shared" si="206"/>
        <v>#REF!</v>
      </c>
      <c r="Z752" s="86" t="e">
        <f t="shared" si="207"/>
        <v>#REF!</v>
      </c>
      <c r="AA752" s="83">
        <f>MAX(B$2:B752)-B752</f>
        <v>6.8772999999999911</v>
      </c>
      <c r="AB752" s="83">
        <f t="shared" si="208"/>
        <v>2.9778708999999961</v>
      </c>
      <c r="AC752" s="83">
        <f t="shared" si="210"/>
        <v>120</v>
      </c>
      <c r="AD752" s="72">
        <v>120</v>
      </c>
      <c r="AE752" s="73">
        <f t="shared" si="217"/>
        <v>907.92027688745009</v>
      </c>
      <c r="AF752" s="73">
        <f>SUM(AE$2:AE752)</f>
        <v>627576.9551034813</v>
      </c>
      <c r="AG752" s="73">
        <f t="shared" si="218"/>
        <v>546152.94732362789</v>
      </c>
    </row>
    <row r="753" spans="1:33" x14ac:dyDescent="0.25">
      <c r="A753" s="99">
        <v>165199.92000000001</v>
      </c>
      <c r="B753" s="96">
        <v>930.74519999999995</v>
      </c>
      <c r="C753" s="96">
        <v>0.6</v>
      </c>
      <c r="D753" s="80">
        <f t="shared" si="219"/>
        <v>100</v>
      </c>
      <c r="E753" s="81">
        <f t="shared" si="211"/>
        <v>6791.2436711181272</v>
      </c>
      <c r="F753" s="81">
        <f>SUM(E$2:E753)</f>
        <v>4697329.8318986055</v>
      </c>
      <c r="G753" s="43">
        <f t="shared" si="209"/>
        <v>1</v>
      </c>
      <c r="H753" s="78">
        <v>1</v>
      </c>
      <c r="I753" s="15">
        <f t="shared" si="212"/>
        <v>0.6</v>
      </c>
      <c r="J753" s="16">
        <f>VLOOKUP(G753,Inputs!$L$3:$P$15,5,FALSE)</f>
        <v>2000</v>
      </c>
      <c r="K753" s="16">
        <f t="shared" si="213"/>
        <v>1825</v>
      </c>
      <c r="L753" s="79">
        <f>Inputs!$P$8-B753</f>
        <v>7.4458000000000766</v>
      </c>
      <c r="M753" s="79">
        <f>Inputs!$Q$8+L753*0.433</f>
        <v>1828.2240314000001</v>
      </c>
      <c r="N753" s="82">
        <f t="shared" si="214"/>
        <v>165199.92000000001</v>
      </c>
      <c r="O753" s="83">
        <f t="shared" si="215"/>
        <v>930.74519999999995</v>
      </c>
      <c r="P753" s="84">
        <f>IF(O753="","",Inputs!$C$5-O753)</f>
        <v>-105.5607</v>
      </c>
      <c r="Q753" s="83">
        <f>IF(N753="","",TS!J753)</f>
        <v>2000</v>
      </c>
      <c r="R753" s="83">
        <f>IF(N753="","",TS!K753)</f>
        <v>1825</v>
      </c>
      <c r="S753" s="83">
        <f>Inputs!$H$5+TS!P753*0.4333</f>
        <v>1829.2262651399999</v>
      </c>
      <c r="T753" s="83">
        <f>Inputs!$G$5+TS!P753*0.4333</f>
        <v>1844.2262651399999</v>
      </c>
      <c r="U753" s="85">
        <f t="shared" si="216"/>
        <v>0.92211313256999994</v>
      </c>
      <c r="V753" s="86">
        <f t="shared" si="204"/>
        <v>0</v>
      </c>
      <c r="W753" s="86">
        <f t="shared" si="205"/>
        <v>0</v>
      </c>
      <c r="X753" s="86" t="e">
        <f>((PI()*((42-2*'Gen Calcs'!$E$13)^2)/4)/144)*(A796-#REF!)*(W753+14.7)/14.7</f>
        <v>#REF!</v>
      </c>
      <c r="Y753" s="86" t="e">
        <f t="shared" si="206"/>
        <v>#REF!</v>
      </c>
      <c r="Z753" s="86" t="e">
        <f t="shared" si="207"/>
        <v>#REF!</v>
      </c>
      <c r="AA753" s="83">
        <f>MAX(B$2:B753)-B753</f>
        <v>7.4458000000000766</v>
      </c>
      <c r="AB753" s="83">
        <f t="shared" si="208"/>
        <v>3.2240314000000332</v>
      </c>
      <c r="AC753" s="83">
        <f t="shared" si="210"/>
        <v>120</v>
      </c>
      <c r="AD753" s="72">
        <v>120</v>
      </c>
      <c r="AE753" s="73">
        <f t="shared" si="217"/>
        <v>907.92027688745009</v>
      </c>
      <c r="AF753" s="73">
        <f>SUM(AE$2:AE753)</f>
        <v>628484.87538036879</v>
      </c>
      <c r="AG753" s="73">
        <f t="shared" si="218"/>
        <v>545245.0270467404</v>
      </c>
    </row>
    <row r="754" spans="1:33" x14ac:dyDescent="0.25">
      <c r="A754" s="100">
        <v>165257.4</v>
      </c>
      <c r="B754" s="97">
        <v>930.74519999999995</v>
      </c>
      <c r="C754" s="97">
        <v>0.86399999999999999</v>
      </c>
      <c r="D754" s="80">
        <f t="shared" si="219"/>
        <v>57.479999999981374</v>
      </c>
      <c r="E754" s="81">
        <f t="shared" si="211"/>
        <v>3903.6068621574345</v>
      </c>
      <c r="F754" s="81">
        <f>SUM(E$2:E754)</f>
        <v>4701233.438760763</v>
      </c>
      <c r="G754" s="43">
        <f t="shared" si="209"/>
        <v>2</v>
      </c>
      <c r="H754" s="78">
        <v>1</v>
      </c>
      <c r="I754" s="15">
        <f t="shared" si="212"/>
        <v>0.86399999999999999</v>
      </c>
      <c r="J754" s="16">
        <f>VLOOKUP(G754,Inputs!$L$3:$P$15,5,FALSE)</f>
        <v>2880</v>
      </c>
      <c r="K754" s="16">
        <f t="shared" si="213"/>
        <v>1825</v>
      </c>
      <c r="L754" s="79">
        <f>Inputs!$P$8-B754</f>
        <v>7.4458000000000766</v>
      </c>
      <c r="M754" s="79">
        <f>Inputs!$Q$8+L754*0.433</f>
        <v>1828.2240314000001</v>
      </c>
      <c r="N754" s="82">
        <f t="shared" si="214"/>
        <v>165257.4</v>
      </c>
      <c r="O754" s="83">
        <f t="shared" si="215"/>
        <v>930.74519999999995</v>
      </c>
      <c r="P754" s="84">
        <f>IF(O754="","",Inputs!$C$5-O754)</f>
        <v>-105.5607</v>
      </c>
      <c r="Q754" s="83">
        <f>IF(N754="","",TS!J754)</f>
        <v>2880</v>
      </c>
      <c r="R754" s="83">
        <f>IF(N754="","",TS!K754)</f>
        <v>1825</v>
      </c>
      <c r="S754" s="83">
        <f>Inputs!$H$5+TS!P754*0.4333</f>
        <v>1829.2262651399999</v>
      </c>
      <c r="T754" s="83">
        <f>Inputs!$G$5+TS!P754*0.4333</f>
        <v>1844.2262651399999</v>
      </c>
      <c r="U754" s="85">
        <f t="shared" si="216"/>
        <v>0.64035634206249992</v>
      </c>
      <c r="V754" s="86">
        <f t="shared" si="204"/>
        <v>0</v>
      </c>
      <c r="W754" s="86">
        <f t="shared" si="205"/>
        <v>0</v>
      </c>
      <c r="X754" s="86" t="e">
        <f>((PI()*((42-2*'Gen Calcs'!$E$13)^2)/4)/144)*(A797-#REF!)*(W754+14.7)/14.7</f>
        <v>#REF!</v>
      </c>
      <c r="Y754" s="86" t="e">
        <f t="shared" si="206"/>
        <v>#REF!</v>
      </c>
      <c r="Z754" s="86" t="e">
        <f t="shared" si="207"/>
        <v>#REF!</v>
      </c>
      <c r="AA754" s="83">
        <f>MAX(B$2:B754)-B754</f>
        <v>7.4458000000000766</v>
      </c>
      <c r="AB754" s="83">
        <f t="shared" si="208"/>
        <v>3.2240314000000332</v>
      </c>
      <c r="AC754" s="83">
        <f t="shared" si="210"/>
        <v>120</v>
      </c>
      <c r="AD754" s="72">
        <v>120</v>
      </c>
      <c r="AE754" s="73">
        <f t="shared" si="217"/>
        <v>508.45268508719414</v>
      </c>
      <c r="AF754" s="73">
        <f>SUM(AE$2:AE754)</f>
        <v>628993.32806545601</v>
      </c>
      <c r="AG754" s="73">
        <f t="shared" si="218"/>
        <v>544736.57436165318</v>
      </c>
    </row>
    <row r="755" spans="1:33" x14ac:dyDescent="0.25">
      <c r="A755" s="99">
        <v>165299.92000000001</v>
      </c>
      <c r="B755" s="96">
        <v>931.96220000000005</v>
      </c>
      <c r="C755" s="96">
        <v>0.6</v>
      </c>
      <c r="D755" s="80">
        <f t="shared" si="219"/>
        <v>42.520000000018626</v>
      </c>
      <c r="E755" s="81">
        <f t="shared" si="211"/>
        <v>2887.6368089606926</v>
      </c>
      <c r="F755" s="81">
        <f>SUM(E$2:E755)</f>
        <v>4704121.0755697237</v>
      </c>
      <c r="G755" s="43">
        <f t="shared" si="209"/>
        <v>1</v>
      </c>
      <c r="H755" s="78">
        <v>1</v>
      </c>
      <c r="I755" s="15">
        <f t="shared" si="212"/>
        <v>0.6</v>
      </c>
      <c r="J755" s="16">
        <f>VLOOKUP(G755,Inputs!$L$3:$P$15,5,FALSE)</f>
        <v>2000</v>
      </c>
      <c r="K755" s="16">
        <f t="shared" si="213"/>
        <v>1825</v>
      </c>
      <c r="L755" s="79">
        <f>Inputs!$P$8-B755</f>
        <v>6.2287999999999784</v>
      </c>
      <c r="M755" s="79">
        <f>Inputs!$Q$8+L755*0.433</f>
        <v>1827.6970704</v>
      </c>
      <c r="N755" s="82">
        <f t="shared" si="214"/>
        <v>165299.92000000001</v>
      </c>
      <c r="O755" s="83">
        <f t="shared" si="215"/>
        <v>931.96220000000005</v>
      </c>
      <c r="P755" s="84">
        <f>IF(O755="","",Inputs!$C$5-O755)</f>
        <v>-106.7777000000001</v>
      </c>
      <c r="Q755" s="83">
        <f>IF(N755="","",TS!J755)</f>
        <v>2000</v>
      </c>
      <c r="R755" s="83">
        <f>IF(N755="","",TS!K755)</f>
        <v>1825</v>
      </c>
      <c r="S755" s="83">
        <f>Inputs!$H$5+TS!P755*0.4333</f>
        <v>1828.6989390399999</v>
      </c>
      <c r="T755" s="83">
        <f>Inputs!$G$5+TS!P755*0.4333</f>
        <v>1843.6989390399999</v>
      </c>
      <c r="U755" s="85">
        <f t="shared" si="216"/>
        <v>0.92184946951999991</v>
      </c>
      <c r="V755" s="86">
        <f t="shared" si="204"/>
        <v>0</v>
      </c>
      <c r="W755" s="86">
        <f t="shared" si="205"/>
        <v>0</v>
      </c>
      <c r="X755" s="86" t="e">
        <f>((PI()*((42-2*'Gen Calcs'!$E$13)^2)/4)/144)*(A798-#REF!)*(W755+14.7)/14.7</f>
        <v>#REF!</v>
      </c>
      <c r="Y755" s="86" t="e">
        <f t="shared" si="206"/>
        <v>#REF!</v>
      </c>
      <c r="Z755" s="86" t="e">
        <f t="shared" si="207"/>
        <v>#REF!</v>
      </c>
      <c r="AA755" s="83">
        <f>MAX(B$2:B755)-B755</f>
        <v>6.2287999999999784</v>
      </c>
      <c r="AB755" s="83">
        <f t="shared" si="208"/>
        <v>2.6970703999999905</v>
      </c>
      <c r="AC755" s="83">
        <f t="shared" si="210"/>
        <v>120</v>
      </c>
      <c r="AD755" s="72">
        <v>120</v>
      </c>
      <c r="AE755" s="73">
        <f t="shared" si="217"/>
        <v>386.04770173271288</v>
      </c>
      <c r="AF755" s="73">
        <f>SUM(AE$2:AE755)</f>
        <v>629379.37576718873</v>
      </c>
      <c r="AG755" s="73">
        <f t="shared" si="218"/>
        <v>544350.52665992046</v>
      </c>
    </row>
    <row r="756" spans="1:33" x14ac:dyDescent="0.25">
      <c r="A756" s="100">
        <v>165399.92000000001</v>
      </c>
      <c r="B756" s="97">
        <v>933.40430000000003</v>
      </c>
      <c r="C756" s="97">
        <v>0.6</v>
      </c>
      <c r="D756" s="80">
        <f t="shared" si="219"/>
        <v>100</v>
      </c>
      <c r="E756" s="81">
        <f t="shared" si="211"/>
        <v>6791.2436711181272</v>
      </c>
      <c r="F756" s="81">
        <f>SUM(E$2:E756)</f>
        <v>4710912.319240842</v>
      </c>
      <c r="G756" s="43">
        <f t="shared" si="209"/>
        <v>1</v>
      </c>
      <c r="H756" s="78">
        <v>1</v>
      </c>
      <c r="I756" s="15">
        <f t="shared" si="212"/>
        <v>0.6</v>
      </c>
      <c r="J756" s="16">
        <f>VLOOKUP(G756,Inputs!$L$3:$P$15,5,FALSE)</f>
        <v>2000</v>
      </c>
      <c r="K756" s="16">
        <f t="shared" si="213"/>
        <v>1825</v>
      </c>
      <c r="L756" s="79">
        <f>Inputs!$P$8-B756</f>
        <v>4.7866999999999962</v>
      </c>
      <c r="M756" s="79">
        <f>Inputs!$Q$8+L756*0.433</f>
        <v>1827.0726411000001</v>
      </c>
      <c r="N756" s="82">
        <f t="shared" si="214"/>
        <v>165399.92000000001</v>
      </c>
      <c r="O756" s="83">
        <f t="shared" si="215"/>
        <v>933.40430000000003</v>
      </c>
      <c r="P756" s="84">
        <f>IF(O756="","",Inputs!$C$5-O756)</f>
        <v>-108.21980000000008</v>
      </c>
      <c r="Q756" s="83">
        <f>IF(N756="","",TS!J756)</f>
        <v>2000</v>
      </c>
      <c r="R756" s="83">
        <f>IF(N756="","",TS!K756)</f>
        <v>1825</v>
      </c>
      <c r="S756" s="83">
        <f>Inputs!$H$5+TS!P756*0.4333</f>
        <v>1828.07407711</v>
      </c>
      <c r="T756" s="83">
        <f>Inputs!$G$5+TS!P756*0.4333</f>
        <v>1843.07407711</v>
      </c>
      <c r="U756" s="85">
        <f t="shared" si="216"/>
        <v>0.92153703855500002</v>
      </c>
      <c r="V756" s="86">
        <f t="shared" si="204"/>
        <v>0</v>
      </c>
      <c r="W756" s="86">
        <f t="shared" si="205"/>
        <v>0</v>
      </c>
      <c r="X756" s="86" t="e">
        <f>((PI()*((42-2*'Gen Calcs'!$E$13)^2)/4)/144)*(A799-#REF!)*(W756+14.7)/14.7</f>
        <v>#REF!</v>
      </c>
      <c r="Y756" s="86" t="e">
        <f t="shared" si="206"/>
        <v>#REF!</v>
      </c>
      <c r="Z756" s="86" t="e">
        <f t="shared" si="207"/>
        <v>#REF!</v>
      </c>
      <c r="AA756" s="83">
        <f>MAX(B$2:B756)-B756</f>
        <v>4.7866999999999962</v>
      </c>
      <c r="AB756" s="83">
        <f t="shared" si="208"/>
        <v>2.0726410999999985</v>
      </c>
      <c r="AC756" s="83">
        <f t="shared" si="210"/>
        <v>120</v>
      </c>
      <c r="AD756" s="72">
        <v>120</v>
      </c>
      <c r="AE756" s="73">
        <f t="shared" si="217"/>
        <v>907.92027688745009</v>
      </c>
      <c r="AF756" s="73">
        <f>SUM(AE$2:AE756)</f>
        <v>630287.29604407621</v>
      </c>
      <c r="AG756" s="73">
        <f t="shared" si="218"/>
        <v>543442.60638303298</v>
      </c>
    </row>
    <row r="757" spans="1:33" x14ac:dyDescent="0.25">
      <c r="A757" s="99">
        <v>165457.4</v>
      </c>
      <c r="B757" s="96">
        <v>933.40430000000003</v>
      </c>
      <c r="C757" s="96">
        <v>0.86399999999999999</v>
      </c>
      <c r="D757" s="80">
        <f t="shared" si="219"/>
        <v>57.479999999981374</v>
      </c>
      <c r="E757" s="81">
        <f t="shared" si="211"/>
        <v>3903.6068621574345</v>
      </c>
      <c r="F757" s="81">
        <f>SUM(E$2:E757)</f>
        <v>4714815.9261029996</v>
      </c>
      <c r="G757" s="43">
        <f t="shared" si="209"/>
        <v>2</v>
      </c>
      <c r="H757" s="78">
        <v>1</v>
      </c>
      <c r="I757" s="15">
        <f t="shared" si="212"/>
        <v>0.86399999999999999</v>
      </c>
      <c r="J757" s="16">
        <f>VLOOKUP(G757,Inputs!$L$3:$P$15,5,FALSE)</f>
        <v>2880</v>
      </c>
      <c r="K757" s="16">
        <f t="shared" si="213"/>
        <v>1825</v>
      </c>
      <c r="L757" s="79">
        <f>Inputs!$P$8-B757</f>
        <v>4.7866999999999962</v>
      </c>
      <c r="M757" s="79">
        <f>Inputs!$Q$8+L757*0.433</f>
        <v>1827.0726411000001</v>
      </c>
      <c r="N757" s="82">
        <f t="shared" si="214"/>
        <v>165457.4</v>
      </c>
      <c r="O757" s="83">
        <f t="shared" si="215"/>
        <v>933.40430000000003</v>
      </c>
      <c r="P757" s="84">
        <f>IF(O757="","",Inputs!$C$5-O757)</f>
        <v>-108.21980000000008</v>
      </c>
      <c r="Q757" s="83">
        <f>IF(N757="","",TS!J757)</f>
        <v>2880</v>
      </c>
      <c r="R757" s="83">
        <f>IF(N757="","",TS!K757)</f>
        <v>1825</v>
      </c>
      <c r="S757" s="83">
        <f>Inputs!$H$5+TS!P757*0.4333</f>
        <v>1828.07407711</v>
      </c>
      <c r="T757" s="83">
        <f>Inputs!$G$5+TS!P757*0.4333</f>
        <v>1843.07407711</v>
      </c>
      <c r="U757" s="85">
        <f t="shared" si="216"/>
        <v>0.63995627677430555</v>
      </c>
      <c r="V757" s="86">
        <f t="shared" si="204"/>
        <v>0</v>
      </c>
      <c r="W757" s="86">
        <f t="shared" si="205"/>
        <v>0</v>
      </c>
      <c r="X757" s="86" t="e">
        <f>((PI()*((42-2*'Gen Calcs'!$E$13)^2)/4)/144)*(A800-#REF!)*(W757+14.7)/14.7</f>
        <v>#REF!</v>
      </c>
      <c r="Y757" s="86" t="e">
        <f t="shared" si="206"/>
        <v>#REF!</v>
      </c>
      <c r="Z757" s="86" t="e">
        <f t="shared" si="207"/>
        <v>#REF!</v>
      </c>
      <c r="AA757" s="83">
        <f>MAX(B$2:B757)-B757</f>
        <v>4.7866999999999962</v>
      </c>
      <c r="AB757" s="83">
        <f t="shared" si="208"/>
        <v>2.0726410999999985</v>
      </c>
      <c r="AC757" s="83">
        <f t="shared" si="210"/>
        <v>120</v>
      </c>
      <c r="AD757" s="72">
        <v>120</v>
      </c>
      <c r="AE757" s="73">
        <f t="shared" si="217"/>
        <v>508.45268508719414</v>
      </c>
      <c r="AF757" s="73">
        <f>SUM(AE$2:AE757)</f>
        <v>630795.74872916343</v>
      </c>
      <c r="AG757" s="73">
        <f t="shared" si="218"/>
        <v>542934.15369794576</v>
      </c>
    </row>
    <row r="758" spans="1:33" x14ac:dyDescent="0.25">
      <c r="A758" s="100">
        <v>165499.92000000001</v>
      </c>
      <c r="B758" s="97">
        <v>933.26739999999995</v>
      </c>
      <c r="C758" s="97">
        <v>0.6</v>
      </c>
      <c r="D758" s="80">
        <f t="shared" si="219"/>
        <v>42.520000000018626</v>
      </c>
      <c r="E758" s="81">
        <f t="shared" si="211"/>
        <v>2887.6368089606926</v>
      </c>
      <c r="F758" s="81">
        <f>SUM(E$2:E758)</f>
        <v>4717703.5629119603</v>
      </c>
      <c r="G758" s="43">
        <f t="shared" si="209"/>
        <v>1</v>
      </c>
      <c r="H758" s="78">
        <v>1</v>
      </c>
      <c r="I758" s="15">
        <f t="shared" si="212"/>
        <v>0.6</v>
      </c>
      <c r="J758" s="16">
        <f>VLOOKUP(G758,Inputs!$L$3:$P$15,5,FALSE)</f>
        <v>2000</v>
      </c>
      <c r="K758" s="16">
        <f t="shared" si="213"/>
        <v>1825</v>
      </c>
      <c r="L758" s="79">
        <f>Inputs!$P$8-B758</f>
        <v>4.9236000000000786</v>
      </c>
      <c r="M758" s="79">
        <f>Inputs!$Q$8+L758*0.433</f>
        <v>1827.1319188</v>
      </c>
      <c r="N758" s="82">
        <f t="shared" si="214"/>
        <v>165499.92000000001</v>
      </c>
      <c r="O758" s="83">
        <f t="shared" si="215"/>
        <v>933.26739999999995</v>
      </c>
      <c r="P758" s="84">
        <f>IF(O758="","",Inputs!$C$5-O758)</f>
        <v>-108.0829</v>
      </c>
      <c r="Q758" s="83">
        <f>IF(N758="","",TS!J758)</f>
        <v>2000</v>
      </c>
      <c r="R758" s="83">
        <f>IF(N758="","",TS!K758)</f>
        <v>1825</v>
      </c>
      <c r="S758" s="83">
        <f>Inputs!$H$5+TS!P758*0.4333</f>
        <v>1828.1333958799999</v>
      </c>
      <c r="T758" s="83">
        <f>Inputs!$G$5+TS!P758*0.4333</f>
        <v>1843.1333958799999</v>
      </c>
      <c r="U758" s="85">
        <f t="shared" si="216"/>
        <v>0.9215666979399999</v>
      </c>
      <c r="V758" s="86">
        <f t="shared" ref="V758:V821" si="220">O758-MAX(O758:O758)</f>
        <v>0</v>
      </c>
      <c r="W758" s="86">
        <f t="shared" ref="W758:W821" si="221">-(V758)*0.433</f>
        <v>0</v>
      </c>
      <c r="X758" s="86" t="e">
        <f>((PI()*((42-2*'Gen Calcs'!$E$13)^2)/4)/144)*(A801-#REF!)*(W758+14.7)/14.7</f>
        <v>#REF!</v>
      </c>
      <c r="Y758" s="86" t="e">
        <f t="shared" ref="Y758:Y821" si="222">X758/1000</f>
        <v>#REF!</v>
      </c>
      <c r="Z758" s="86" t="e">
        <f t="shared" ref="Z758:Z821" si="223">IF(Y758&gt;Z757,Y758,Z757)</f>
        <v>#REF!</v>
      </c>
      <c r="AA758" s="83">
        <f>MAX(B$2:B758)-B758</f>
        <v>4.9236000000000786</v>
      </c>
      <c r="AB758" s="83">
        <f t="shared" ref="AB758:AB821" si="224">AA758*0.433</f>
        <v>2.131918800000034</v>
      </c>
      <c r="AC758" s="83">
        <f t="shared" si="210"/>
        <v>120</v>
      </c>
      <c r="AD758" s="72">
        <v>120</v>
      </c>
      <c r="AE758" s="73">
        <f t="shared" si="217"/>
        <v>386.04770173271288</v>
      </c>
      <c r="AF758" s="73">
        <f>SUM(AE$2:AE758)</f>
        <v>631181.79643089615</v>
      </c>
      <c r="AG758" s="73">
        <f t="shared" si="218"/>
        <v>542548.10599621304</v>
      </c>
    </row>
    <row r="759" spans="1:33" x14ac:dyDescent="0.25">
      <c r="A759" s="99">
        <v>165599.92000000001</v>
      </c>
      <c r="B759" s="96">
        <v>933.79880000000003</v>
      </c>
      <c r="C759" s="96">
        <v>0.6</v>
      </c>
      <c r="D759" s="80">
        <f t="shared" si="219"/>
        <v>100</v>
      </c>
      <c r="E759" s="81">
        <f t="shared" si="211"/>
        <v>6791.2436711181272</v>
      </c>
      <c r="F759" s="81">
        <f>SUM(E$2:E759)</f>
        <v>4724494.8065830786</v>
      </c>
      <c r="G759" s="43">
        <f t="shared" si="209"/>
        <v>1</v>
      </c>
      <c r="H759" s="78">
        <v>1</v>
      </c>
      <c r="I759" s="15">
        <f t="shared" si="212"/>
        <v>0.6</v>
      </c>
      <c r="J759" s="16">
        <f>VLOOKUP(G759,Inputs!$L$3:$P$15,5,FALSE)</f>
        <v>2000</v>
      </c>
      <c r="K759" s="16">
        <f t="shared" si="213"/>
        <v>1825</v>
      </c>
      <c r="L759" s="79">
        <f>Inputs!$P$8-B759</f>
        <v>4.3922000000000025</v>
      </c>
      <c r="M759" s="79">
        <f>Inputs!$Q$8+L759*0.433</f>
        <v>1826.9018226000001</v>
      </c>
      <c r="N759" s="82">
        <f t="shared" si="214"/>
        <v>165599.92000000001</v>
      </c>
      <c r="O759" s="83">
        <f t="shared" si="215"/>
        <v>933.79880000000003</v>
      </c>
      <c r="P759" s="84">
        <f>IF(O759="","",Inputs!$C$5-O759)</f>
        <v>-108.61430000000007</v>
      </c>
      <c r="Q759" s="83">
        <f>IF(N759="","",TS!J759)</f>
        <v>2000</v>
      </c>
      <c r="R759" s="83">
        <f>IF(N759="","",TS!K759)</f>
        <v>1825</v>
      </c>
      <c r="S759" s="83">
        <f>Inputs!$H$5+TS!P759*0.4333</f>
        <v>1827.9031402599999</v>
      </c>
      <c r="T759" s="83">
        <f>Inputs!$G$5+TS!P759*0.4333</f>
        <v>1842.9031402599999</v>
      </c>
      <c r="U759" s="85">
        <f t="shared" si="216"/>
        <v>0.9214515701299999</v>
      </c>
      <c r="V759" s="86">
        <f t="shared" si="220"/>
        <v>0</v>
      </c>
      <c r="W759" s="86">
        <f t="shared" si="221"/>
        <v>0</v>
      </c>
      <c r="X759" s="86" t="e">
        <f>((PI()*((42-2*'Gen Calcs'!$E$13)^2)/4)/144)*(A802-#REF!)*(W759+14.7)/14.7</f>
        <v>#REF!</v>
      </c>
      <c r="Y759" s="86" t="e">
        <f t="shared" si="222"/>
        <v>#REF!</v>
      </c>
      <c r="Z759" s="86" t="e">
        <f t="shared" si="223"/>
        <v>#REF!</v>
      </c>
      <c r="AA759" s="83">
        <f>MAX(B$2:B759)-B759</f>
        <v>4.3922000000000025</v>
      </c>
      <c r="AB759" s="83">
        <f t="shared" si="224"/>
        <v>1.9018226000000011</v>
      </c>
      <c r="AC759" s="83">
        <f t="shared" si="210"/>
        <v>120</v>
      </c>
      <c r="AD759" s="72">
        <v>120</v>
      </c>
      <c r="AE759" s="73">
        <f t="shared" si="217"/>
        <v>907.92027688745009</v>
      </c>
      <c r="AF759" s="73">
        <f>SUM(AE$2:AE759)</f>
        <v>632089.71670778363</v>
      </c>
      <c r="AG759" s="73">
        <f t="shared" si="218"/>
        <v>541640.18571932556</v>
      </c>
    </row>
    <row r="760" spans="1:33" x14ac:dyDescent="0.25">
      <c r="A760" s="100">
        <v>165699.92000000001</v>
      </c>
      <c r="B760" s="97">
        <v>934.04219999999998</v>
      </c>
      <c r="C760" s="97">
        <v>0.6</v>
      </c>
      <c r="D760" s="80">
        <f t="shared" si="219"/>
        <v>100</v>
      </c>
      <c r="E760" s="81">
        <f t="shared" si="211"/>
        <v>6791.2436711181272</v>
      </c>
      <c r="F760" s="81">
        <f>SUM(E$2:E760)</f>
        <v>4731286.0502541969</v>
      </c>
      <c r="G760" s="43">
        <f t="shared" si="209"/>
        <v>1</v>
      </c>
      <c r="H760" s="78">
        <v>1</v>
      </c>
      <c r="I760" s="15">
        <f t="shared" si="212"/>
        <v>0.6</v>
      </c>
      <c r="J760" s="16">
        <f>VLOOKUP(G760,Inputs!$L$3:$P$15,5,FALSE)</f>
        <v>2000</v>
      </c>
      <c r="K760" s="16">
        <f t="shared" si="213"/>
        <v>1825</v>
      </c>
      <c r="L760" s="79">
        <f>Inputs!$P$8-B760</f>
        <v>4.1488000000000511</v>
      </c>
      <c r="M760" s="79">
        <f>Inputs!$Q$8+L760*0.433</f>
        <v>1826.7964304</v>
      </c>
      <c r="N760" s="82">
        <f t="shared" si="214"/>
        <v>165699.92000000001</v>
      </c>
      <c r="O760" s="83">
        <f t="shared" si="215"/>
        <v>934.04219999999998</v>
      </c>
      <c r="P760" s="84">
        <f>IF(O760="","",Inputs!$C$5-O760)</f>
        <v>-108.85770000000002</v>
      </c>
      <c r="Q760" s="83">
        <f>IF(N760="","",TS!J760)</f>
        <v>2000</v>
      </c>
      <c r="R760" s="83">
        <f>IF(N760="","",TS!K760)</f>
        <v>1825</v>
      </c>
      <c r="S760" s="83">
        <f>Inputs!$H$5+TS!P760*0.4333</f>
        <v>1827.7976750399998</v>
      </c>
      <c r="T760" s="83">
        <f>Inputs!$G$5+TS!P760*0.4333</f>
        <v>1842.7976750399998</v>
      </c>
      <c r="U760" s="85">
        <f t="shared" si="216"/>
        <v>0.92139883751999996</v>
      </c>
      <c r="V760" s="86">
        <f t="shared" si="220"/>
        <v>0</v>
      </c>
      <c r="W760" s="86">
        <f t="shared" si="221"/>
        <v>0</v>
      </c>
      <c r="X760" s="86" t="e">
        <f>((PI()*((42-2*'Gen Calcs'!$E$13)^2)/4)/144)*(A803-#REF!)*(W760+14.7)/14.7</f>
        <v>#REF!</v>
      </c>
      <c r="Y760" s="86" t="e">
        <f t="shared" si="222"/>
        <v>#REF!</v>
      </c>
      <c r="Z760" s="86" t="e">
        <f t="shared" si="223"/>
        <v>#REF!</v>
      </c>
      <c r="AA760" s="83">
        <f>MAX(B$2:B760)-B760</f>
        <v>4.1488000000000511</v>
      </c>
      <c r="AB760" s="83">
        <f t="shared" si="224"/>
        <v>1.7964304000000222</v>
      </c>
      <c r="AC760" s="83">
        <f t="shared" si="210"/>
        <v>120</v>
      </c>
      <c r="AD760" s="72">
        <v>120</v>
      </c>
      <c r="AE760" s="73">
        <f t="shared" si="217"/>
        <v>907.92027688745009</v>
      </c>
      <c r="AF760" s="73">
        <f>SUM(AE$2:AE760)</f>
        <v>632997.63698467112</v>
      </c>
      <c r="AG760" s="73">
        <f t="shared" si="218"/>
        <v>540732.26544243807</v>
      </c>
    </row>
    <row r="761" spans="1:33" x14ac:dyDescent="0.25">
      <c r="A761" s="99">
        <v>165799.92000000001</v>
      </c>
      <c r="B761" s="96">
        <v>933.83389999999997</v>
      </c>
      <c r="C761" s="96">
        <v>0.6</v>
      </c>
      <c r="D761" s="80">
        <f t="shared" si="219"/>
        <v>100</v>
      </c>
      <c r="E761" s="81">
        <f t="shared" si="211"/>
        <v>6791.2436711181272</v>
      </c>
      <c r="F761" s="81">
        <f>SUM(E$2:E761)</f>
        <v>4738077.2939253151</v>
      </c>
      <c r="G761" s="43">
        <f t="shared" si="209"/>
        <v>1</v>
      </c>
      <c r="H761" s="78">
        <v>1</v>
      </c>
      <c r="I761" s="15">
        <f t="shared" si="212"/>
        <v>0.6</v>
      </c>
      <c r="J761" s="16">
        <f>VLOOKUP(G761,Inputs!$L$3:$P$15,5,FALSE)</f>
        <v>2000</v>
      </c>
      <c r="K761" s="16">
        <f t="shared" si="213"/>
        <v>1825</v>
      </c>
      <c r="L761" s="79">
        <f>Inputs!$P$8-B761</f>
        <v>4.3571000000000595</v>
      </c>
      <c r="M761" s="79">
        <f>Inputs!$Q$8+L761*0.433</f>
        <v>1826.8866243</v>
      </c>
      <c r="N761" s="82">
        <f t="shared" si="214"/>
        <v>165799.92000000001</v>
      </c>
      <c r="O761" s="83">
        <f t="shared" si="215"/>
        <v>933.83389999999997</v>
      </c>
      <c r="P761" s="84">
        <f>IF(O761="","",Inputs!$C$5-O761)</f>
        <v>-108.64940000000001</v>
      </c>
      <c r="Q761" s="83">
        <f>IF(N761="","",TS!J761)</f>
        <v>2000</v>
      </c>
      <c r="R761" s="83">
        <f>IF(N761="","",TS!K761)</f>
        <v>1825</v>
      </c>
      <c r="S761" s="83">
        <f>Inputs!$H$5+TS!P761*0.4333</f>
        <v>1827.88793143</v>
      </c>
      <c r="T761" s="83">
        <f>Inputs!$G$5+TS!P761*0.4333</f>
        <v>1842.88793143</v>
      </c>
      <c r="U761" s="85">
        <f t="shared" si="216"/>
        <v>0.92144396571499998</v>
      </c>
      <c r="V761" s="86">
        <f t="shared" si="220"/>
        <v>0</v>
      </c>
      <c r="W761" s="86">
        <f t="shared" si="221"/>
        <v>0</v>
      </c>
      <c r="X761" s="86" t="e">
        <f>((PI()*((42-2*'Gen Calcs'!$E$13)^2)/4)/144)*(A804-#REF!)*(W761+14.7)/14.7</f>
        <v>#REF!</v>
      </c>
      <c r="Y761" s="86" t="e">
        <f t="shared" si="222"/>
        <v>#REF!</v>
      </c>
      <c r="Z761" s="86" t="e">
        <f t="shared" si="223"/>
        <v>#REF!</v>
      </c>
      <c r="AA761" s="83">
        <f>MAX(B$2:B761)-B761</f>
        <v>4.3571000000000595</v>
      </c>
      <c r="AB761" s="83">
        <f t="shared" si="224"/>
        <v>1.8866243000000258</v>
      </c>
      <c r="AC761" s="83">
        <f t="shared" si="210"/>
        <v>120</v>
      </c>
      <c r="AD761" s="72">
        <v>120</v>
      </c>
      <c r="AE761" s="73">
        <f t="shared" si="217"/>
        <v>907.92027688745009</v>
      </c>
      <c r="AF761" s="73">
        <f>SUM(AE$2:AE761)</f>
        <v>633905.5572615586</v>
      </c>
      <c r="AG761" s="73">
        <f t="shared" si="218"/>
        <v>539824.34516555059</v>
      </c>
    </row>
    <row r="762" spans="1:33" x14ac:dyDescent="0.25">
      <c r="A762" s="100">
        <v>165899.92000000001</v>
      </c>
      <c r="B762" s="97">
        <v>933.4348</v>
      </c>
      <c r="C762" s="97">
        <v>0.6</v>
      </c>
      <c r="D762" s="80">
        <f t="shared" si="219"/>
        <v>100</v>
      </c>
      <c r="E762" s="81">
        <f t="shared" si="211"/>
        <v>6791.2436711181272</v>
      </c>
      <c r="F762" s="81">
        <f>SUM(E$2:E762)</f>
        <v>4744868.5375964334</v>
      </c>
      <c r="G762" s="43">
        <f t="shared" si="209"/>
        <v>1</v>
      </c>
      <c r="H762" s="78">
        <v>1</v>
      </c>
      <c r="I762" s="15">
        <f t="shared" si="212"/>
        <v>0.6</v>
      </c>
      <c r="J762" s="16">
        <f>VLOOKUP(G762,Inputs!$L$3:$P$15,5,FALSE)</f>
        <v>2000</v>
      </c>
      <c r="K762" s="16">
        <f t="shared" si="213"/>
        <v>1825</v>
      </c>
      <c r="L762" s="79">
        <f>Inputs!$P$8-B762</f>
        <v>4.7562000000000353</v>
      </c>
      <c r="M762" s="79">
        <f>Inputs!$Q$8+L762*0.433</f>
        <v>1827.0594346</v>
      </c>
      <c r="N762" s="82">
        <f t="shared" si="214"/>
        <v>165899.92000000001</v>
      </c>
      <c r="O762" s="83">
        <f t="shared" si="215"/>
        <v>933.4348</v>
      </c>
      <c r="P762" s="84">
        <f>IF(O762="","",Inputs!$C$5-O762)</f>
        <v>-108.25030000000004</v>
      </c>
      <c r="Q762" s="83">
        <f>IF(N762="","",TS!J762)</f>
        <v>2000</v>
      </c>
      <c r="R762" s="83">
        <f>IF(N762="","",TS!K762)</f>
        <v>1825</v>
      </c>
      <c r="S762" s="83">
        <f>Inputs!$H$5+TS!P762*0.4333</f>
        <v>1828.0608614599998</v>
      </c>
      <c r="T762" s="83">
        <f>Inputs!$G$5+TS!P762*0.4333</f>
        <v>1843.0608614599998</v>
      </c>
      <c r="U762" s="85">
        <f t="shared" si="216"/>
        <v>0.92153043072999996</v>
      </c>
      <c r="V762" s="86">
        <f t="shared" si="220"/>
        <v>0</v>
      </c>
      <c r="W762" s="86">
        <f t="shared" si="221"/>
        <v>0</v>
      </c>
      <c r="X762" s="86" t="e">
        <f>((PI()*((42-2*'Gen Calcs'!$E$13)^2)/4)/144)*(A805-#REF!)*(W762+14.7)/14.7</f>
        <v>#REF!</v>
      </c>
      <c r="Y762" s="86" t="e">
        <f t="shared" si="222"/>
        <v>#REF!</v>
      </c>
      <c r="Z762" s="86" t="e">
        <f t="shared" si="223"/>
        <v>#REF!</v>
      </c>
      <c r="AA762" s="83">
        <f>MAX(B$2:B762)-B762</f>
        <v>4.7562000000000353</v>
      </c>
      <c r="AB762" s="83">
        <f t="shared" si="224"/>
        <v>2.0594346000000154</v>
      </c>
      <c r="AC762" s="83">
        <f t="shared" si="210"/>
        <v>120</v>
      </c>
      <c r="AD762" s="72">
        <v>120</v>
      </c>
      <c r="AE762" s="73">
        <f t="shared" si="217"/>
        <v>907.92027688745009</v>
      </c>
      <c r="AF762" s="73">
        <f>SUM(AE$2:AE762)</f>
        <v>634813.47753844608</v>
      </c>
      <c r="AG762" s="73">
        <f t="shared" si="218"/>
        <v>538916.42488866311</v>
      </c>
    </row>
    <row r="763" spans="1:33" x14ac:dyDescent="0.25">
      <c r="A763" s="99">
        <v>165999.92000000001</v>
      </c>
      <c r="B763" s="96">
        <v>932.73339999999996</v>
      </c>
      <c r="C763" s="96">
        <v>0.6</v>
      </c>
      <c r="D763" s="80">
        <f t="shared" si="219"/>
        <v>100</v>
      </c>
      <c r="E763" s="81">
        <f t="shared" si="211"/>
        <v>6791.2436711181272</v>
      </c>
      <c r="F763" s="81">
        <f>SUM(E$2:E763)</f>
        <v>4751659.7812675517</v>
      </c>
      <c r="G763" s="43">
        <f t="shared" si="209"/>
        <v>1</v>
      </c>
      <c r="H763" s="78">
        <v>1</v>
      </c>
      <c r="I763" s="15">
        <f t="shared" si="212"/>
        <v>0.6</v>
      </c>
      <c r="J763" s="16">
        <f>VLOOKUP(G763,Inputs!$L$3:$P$15,5,FALSE)</f>
        <v>2000</v>
      </c>
      <c r="K763" s="16">
        <f t="shared" si="213"/>
        <v>1825</v>
      </c>
      <c r="L763" s="79">
        <f>Inputs!$P$8-B763</f>
        <v>5.4576000000000704</v>
      </c>
      <c r="M763" s="79">
        <f>Inputs!$Q$8+L763*0.433</f>
        <v>1827.3631408000001</v>
      </c>
      <c r="N763" s="82">
        <f t="shared" si="214"/>
        <v>165999.92000000001</v>
      </c>
      <c r="O763" s="83">
        <f t="shared" si="215"/>
        <v>932.73339999999996</v>
      </c>
      <c r="P763" s="84">
        <f>IF(O763="","",Inputs!$C$5-O763)</f>
        <v>-107.5489</v>
      </c>
      <c r="Q763" s="83">
        <f>IF(N763="","",TS!J763)</f>
        <v>2000</v>
      </c>
      <c r="R763" s="83">
        <f>IF(N763="","",TS!K763)</f>
        <v>1825</v>
      </c>
      <c r="S763" s="83">
        <f>Inputs!$H$5+TS!P763*0.4333</f>
        <v>1828.36477808</v>
      </c>
      <c r="T763" s="83">
        <f>Inputs!$G$5+TS!P763*0.4333</f>
        <v>1843.36477808</v>
      </c>
      <c r="U763" s="85">
        <f t="shared" si="216"/>
        <v>0.92168238903999999</v>
      </c>
      <c r="V763" s="86">
        <f t="shared" si="220"/>
        <v>0</v>
      </c>
      <c r="W763" s="86">
        <f t="shared" si="221"/>
        <v>0</v>
      </c>
      <c r="X763" s="86" t="e">
        <f>((PI()*((42-2*'Gen Calcs'!$E$13)^2)/4)/144)*(A806-#REF!)*(W763+14.7)/14.7</f>
        <v>#REF!</v>
      </c>
      <c r="Y763" s="86" t="e">
        <f t="shared" si="222"/>
        <v>#REF!</v>
      </c>
      <c r="Z763" s="86" t="e">
        <f t="shared" si="223"/>
        <v>#REF!</v>
      </c>
      <c r="AA763" s="83">
        <f>MAX(B$2:B763)-B763</f>
        <v>5.4576000000000704</v>
      </c>
      <c r="AB763" s="83">
        <f t="shared" si="224"/>
        <v>2.3631408000000302</v>
      </c>
      <c r="AC763" s="83">
        <f t="shared" si="210"/>
        <v>120</v>
      </c>
      <c r="AD763" s="72">
        <v>120</v>
      </c>
      <c r="AE763" s="73">
        <f t="shared" si="217"/>
        <v>907.92027688745009</v>
      </c>
      <c r="AF763" s="73">
        <f>SUM(AE$2:AE763)</f>
        <v>635721.39781533356</v>
      </c>
      <c r="AG763" s="73">
        <f t="shared" si="218"/>
        <v>538008.50461177563</v>
      </c>
    </row>
    <row r="764" spans="1:33" x14ac:dyDescent="0.25">
      <c r="A764" s="100">
        <v>166099.92000000001</v>
      </c>
      <c r="B764" s="97">
        <v>932.39769999999999</v>
      </c>
      <c r="C764" s="97">
        <v>0.6</v>
      </c>
      <c r="D764" s="80">
        <f t="shared" si="219"/>
        <v>100</v>
      </c>
      <c r="E764" s="81">
        <f t="shared" si="211"/>
        <v>6791.2436711181272</v>
      </c>
      <c r="F764" s="81">
        <f>SUM(E$2:E764)</f>
        <v>4758451.02493867</v>
      </c>
      <c r="G764" s="43">
        <f t="shared" si="209"/>
        <v>1</v>
      </c>
      <c r="H764" s="78">
        <v>1</v>
      </c>
      <c r="I764" s="15">
        <f t="shared" si="212"/>
        <v>0.6</v>
      </c>
      <c r="J764" s="16">
        <f>VLOOKUP(G764,Inputs!$L$3:$P$15,5,FALSE)</f>
        <v>2000</v>
      </c>
      <c r="K764" s="16">
        <f t="shared" si="213"/>
        <v>1825</v>
      </c>
      <c r="L764" s="79">
        <f>Inputs!$P$8-B764</f>
        <v>5.7933000000000447</v>
      </c>
      <c r="M764" s="79">
        <f>Inputs!$Q$8+L764*0.433</f>
        <v>1827.5084988999999</v>
      </c>
      <c r="N764" s="82">
        <f t="shared" si="214"/>
        <v>166099.92000000001</v>
      </c>
      <c r="O764" s="83">
        <f t="shared" si="215"/>
        <v>932.39769999999999</v>
      </c>
      <c r="P764" s="84">
        <f>IF(O764="","",Inputs!$C$5-O764)</f>
        <v>-107.21320000000003</v>
      </c>
      <c r="Q764" s="83">
        <f>IF(N764="","",TS!J764)</f>
        <v>2000</v>
      </c>
      <c r="R764" s="83">
        <f>IF(N764="","",TS!K764)</f>
        <v>1825</v>
      </c>
      <c r="S764" s="83">
        <f>Inputs!$H$5+TS!P764*0.4333</f>
        <v>1828.51023689</v>
      </c>
      <c r="T764" s="83">
        <f>Inputs!$G$5+TS!P764*0.4333</f>
        <v>1843.51023689</v>
      </c>
      <c r="U764" s="85">
        <f t="shared" si="216"/>
        <v>0.92175511844500002</v>
      </c>
      <c r="V764" s="86">
        <f t="shared" si="220"/>
        <v>0</v>
      </c>
      <c r="W764" s="86">
        <f t="shared" si="221"/>
        <v>0</v>
      </c>
      <c r="X764" s="86" t="e">
        <f>((PI()*((42-2*'Gen Calcs'!$E$13)^2)/4)/144)*(A807-#REF!)*(W764+14.7)/14.7</f>
        <v>#REF!</v>
      </c>
      <c r="Y764" s="86" t="e">
        <f t="shared" si="222"/>
        <v>#REF!</v>
      </c>
      <c r="Z764" s="86" t="e">
        <f t="shared" si="223"/>
        <v>#REF!</v>
      </c>
      <c r="AA764" s="83">
        <f>MAX(B$2:B764)-B764</f>
        <v>5.7933000000000447</v>
      </c>
      <c r="AB764" s="83">
        <f t="shared" si="224"/>
        <v>2.5084989000000193</v>
      </c>
      <c r="AC764" s="83">
        <f t="shared" si="210"/>
        <v>120</v>
      </c>
      <c r="AD764" s="72">
        <v>120</v>
      </c>
      <c r="AE764" s="73">
        <f t="shared" si="217"/>
        <v>907.92027688745009</v>
      </c>
      <c r="AF764" s="73">
        <f>SUM(AE$2:AE764)</f>
        <v>636629.31809222104</v>
      </c>
      <c r="AG764" s="73">
        <f t="shared" si="218"/>
        <v>537100.58433488815</v>
      </c>
    </row>
    <row r="765" spans="1:33" x14ac:dyDescent="0.25">
      <c r="A765" s="99">
        <v>166199.92000000001</v>
      </c>
      <c r="B765" s="96">
        <v>932.2817</v>
      </c>
      <c r="C765" s="96">
        <v>0.6</v>
      </c>
      <c r="D765" s="80">
        <f t="shared" si="219"/>
        <v>100</v>
      </c>
      <c r="E765" s="81">
        <f t="shared" si="211"/>
        <v>6791.2436711181272</v>
      </c>
      <c r="F765" s="81">
        <f>SUM(E$2:E765)</f>
        <v>4765242.2686097883</v>
      </c>
      <c r="G765" s="43">
        <f t="shared" si="209"/>
        <v>1</v>
      </c>
      <c r="H765" s="78">
        <v>1</v>
      </c>
      <c r="I765" s="15">
        <f t="shared" si="212"/>
        <v>0.6</v>
      </c>
      <c r="J765" s="16">
        <f>VLOOKUP(G765,Inputs!$L$3:$P$15,5,FALSE)</f>
        <v>2000</v>
      </c>
      <c r="K765" s="16">
        <f t="shared" si="213"/>
        <v>1825</v>
      </c>
      <c r="L765" s="79">
        <f>Inputs!$P$8-B765</f>
        <v>5.9093000000000302</v>
      </c>
      <c r="M765" s="79">
        <f>Inputs!$Q$8+L765*0.433</f>
        <v>1827.5587269</v>
      </c>
      <c r="N765" s="82">
        <f t="shared" si="214"/>
        <v>166199.92000000001</v>
      </c>
      <c r="O765" s="83">
        <f t="shared" si="215"/>
        <v>932.2817</v>
      </c>
      <c r="P765" s="84">
        <f>IF(O765="","",Inputs!$C$5-O765)</f>
        <v>-107.09720000000004</v>
      </c>
      <c r="Q765" s="83">
        <f>IF(N765="","",TS!J765)</f>
        <v>2000</v>
      </c>
      <c r="R765" s="83">
        <f>IF(N765="","",TS!K765)</f>
        <v>1825</v>
      </c>
      <c r="S765" s="83">
        <f>Inputs!$H$5+TS!P765*0.4333</f>
        <v>1828.5604996899999</v>
      </c>
      <c r="T765" s="83">
        <f>Inputs!$G$5+TS!P765*0.4333</f>
        <v>1843.5604996899999</v>
      </c>
      <c r="U765" s="85">
        <f t="shared" si="216"/>
        <v>0.92178024984499995</v>
      </c>
      <c r="V765" s="86">
        <f t="shared" si="220"/>
        <v>0</v>
      </c>
      <c r="W765" s="86">
        <f t="shared" si="221"/>
        <v>0</v>
      </c>
      <c r="X765" s="86" t="e">
        <f>((PI()*((42-2*'Gen Calcs'!$E$13)^2)/4)/144)*(A808-#REF!)*(W765+14.7)/14.7</f>
        <v>#REF!</v>
      </c>
      <c r="Y765" s="86" t="e">
        <f t="shared" si="222"/>
        <v>#REF!</v>
      </c>
      <c r="Z765" s="86" t="e">
        <f t="shared" si="223"/>
        <v>#REF!</v>
      </c>
      <c r="AA765" s="83">
        <f>MAX(B$2:B765)-B765</f>
        <v>5.9093000000000302</v>
      </c>
      <c r="AB765" s="83">
        <f t="shared" si="224"/>
        <v>2.5587269000000132</v>
      </c>
      <c r="AC765" s="83">
        <f t="shared" si="210"/>
        <v>120</v>
      </c>
      <c r="AD765" s="72">
        <v>120</v>
      </c>
      <c r="AE765" s="73">
        <f t="shared" si="217"/>
        <v>907.92027688745009</v>
      </c>
      <c r="AF765" s="73">
        <f>SUM(AE$2:AE765)</f>
        <v>637537.23836910853</v>
      </c>
      <c r="AG765" s="73">
        <f t="shared" si="218"/>
        <v>536192.66405800066</v>
      </c>
    </row>
    <row r="766" spans="1:33" x14ac:dyDescent="0.25">
      <c r="A766" s="100">
        <v>166299.92000000001</v>
      </c>
      <c r="B766" s="97">
        <v>932.51310000000001</v>
      </c>
      <c r="C766" s="97">
        <v>0.6</v>
      </c>
      <c r="D766" s="80">
        <f t="shared" si="219"/>
        <v>100</v>
      </c>
      <c r="E766" s="81">
        <f t="shared" si="211"/>
        <v>6791.2436711181272</v>
      </c>
      <c r="F766" s="81">
        <f>SUM(E$2:E766)</f>
        <v>4772033.5122809066</v>
      </c>
      <c r="G766" s="43">
        <f t="shared" si="209"/>
        <v>1</v>
      </c>
      <c r="H766" s="78">
        <v>1</v>
      </c>
      <c r="I766" s="15">
        <f t="shared" si="212"/>
        <v>0.6</v>
      </c>
      <c r="J766" s="16">
        <f>VLOOKUP(G766,Inputs!$L$3:$P$15,5,FALSE)</f>
        <v>2000</v>
      </c>
      <c r="K766" s="16">
        <f t="shared" si="213"/>
        <v>1825</v>
      </c>
      <c r="L766" s="79">
        <f>Inputs!$P$8-B766</f>
        <v>5.6779000000000224</v>
      </c>
      <c r="M766" s="79">
        <f>Inputs!$Q$8+L766*0.433</f>
        <v>1827.4585307</v>
      </c>
      <c r="N766" s="82">
        <f t="shared" si="214"/>
        <v>166299.92000000001</v>
      </c>
      <c r="O766" s="83">
        <f t="shared" si="215"/>
        <v>932.51310000000001</v>
      </c>
      <c r="P766" s="84">
        <f>IF(O766="","",Inputs!$C$5-O766)</f>
        <v>-107.32860000000005</v>
      </c>
      <c r="Q766" s="83">
        <f>IF(N766="","",TS!J766)</f>
        <v>2000</v>
      </c>
      <c r="R766" s="83">
        <f>IF(N766="","",TS!K766)</f>
        <v>1825</v>
      </c>
      <c r="S766" s="83">
        <f>Inputs!$H$5+TS!P766*0.4333</f>
        <v>1828.4602340699998</v>
      </c>
      <c r="T766" s="83">
        <f>Inputs!$G$5+TS!P766*0.4333</f>
        <v>1843.4602340699998</v>
      </c>
      <c r="U766" s="85">
        <f t="shared" si="216"/>
        <v>0.92173011703499996</v>
      </c>
      <c r="V766" s="86">
        <f t="shared" si="220"/>
        <v>0</v>
      </c>
      <c r="W766" s="86">
        <f t="shared" si="221"/>
        <v>0</v>
      </c>
      <c r="X766" s="86" t="e">
        <f>((PI()*((42-2*'Gen Calcs'!$E$13)^2)/4)/144)*(A809-#REF!)*(W766+14.7)/14.7</f>
        <v>#REF!</v>
      </c>
      <c r="Y766" s="86" t="e">
        <f t="shared" si="222"/>
        <v>#REF!</v>
      </c>
      <c r="Z766" s="86" t="e">
        <f t="shared" si="223"/>
        <v>#REF!</v>
      </c>
      <c r="AA766" s="83">
        <f>MAX(B$2:B766)-B766</f>
        <v>5.6779000000000224</v>
      </c>
      <c r="AB766" s="83">
        <f t="shared" si="224"/>
        <v>2.4585307000000096</v>
      </c>
      <c r="AC766" s="83">
        <f t="shared" si="210"/>
        <v>120</v>
      </c>
      <c r="AD766" s="72">
        <v>120</v>
      </c>
      <c r="AE766" s="73">
        <f t="shared" si="217"/>
        <v>907.92027688745009</v>
      </c>
      <c r="AF766" s="73">
        <f>SUM(AE$2:AE766)</f>
        <v>638445.15864599601</v>
      </c>
      <c r="AG766" s="73">
        <f t="shared" si="218"/>
        <v>535284.74378111318</v>
      </c>
    </row>
    <row r="767" spans="1:33" x14ac:dyDescent="0.25">
      <c r="A767" s="99">
        <v>166399.92000000001</v>
      </c>
      <c r="B767" s="96">
        <v>932.70090000000005</v>
      </c>
      <c r="C767" s="96">
        <v>0.6</v>
      </c>
      <c r="D767" s="80">
        <f t="shared" si="219"/>
        <v>100</v>
      </c>
      <c r="E767" s="81">
        <f t="shared" si="211"/>
        <v>6791.2436711181272</v>
      </c>
      <c r="F767" s="81">
        <f>SUM(E$2:E767)</f>
        <v>4778824.7559520248</v>
      </c>
      <c r="G767" s="43">
        <f t="shared" si="209"/>
        <v>1</v>
      </c>
      <c r="H767" s="78">
        <v>1</v>
      </c>
      <c r="I767" s="15">
        <f t="shared" si="212"/>
        <v>0.6</v>
      </c>
      <c r="J767" s="16">
        <f>VLOOKUP(G767,Inputs!$L$3:$P$15,5,FALSE)</f>
        <v>2000</v>
      </c>
      <c r="K767" s="16">
        <f t="shared" si="213"/>
        <v>1825</v>
      </c>
      <c r="L767" s="79">
        <f>Inputs!$P$8-B767</f>
        <v>5.490099999999984</v>
      </c>
      <c r="M767" s="79">
        <f>Inputs!$Q$8+L767*0.433</f>
        <v>1827.3772133</v>
      </c>
      <c r="N767" s="82">
        <f t="shared" si="214"/>
        <v>166399.92000000001</v>
      </c>
      <c r="O767" s="83">
        <f t="shared" si="215"/>
        <v>932.70090000000005</v>
      </c>
      <c r="P767" s="84">
        <f>IF(O767="","",Inputs!$C$5-O767)</f>
        <v>-107.51640000000009</v>
      </c>
      <c r="Q767" s="83">
        <f>IF(N767="","",TS!J767)</f>
        <v>2000</v>
      </c>
      <c r="R767" s="83">
        <f>IF(N767="","",TS!K767)</f>
        <v>1825</v>
      </c>
      <c r="S767" s="83">
        <f>Inputs!$H$5+TS!P767*0.4333</f>
        <v>1828.37886033</v>
      </c>
      <c r="T767" s="83">
        <f>Inputs!$G$5+TS!P767*0.4333</f>
        <v>1843.37886033</v>
      </c>
      <c r="U767" s="85">
        <f t="shared" si="216"/>
        <v>0.92168943016499993</v>
      </c>
      <c r="V767" s="86">
        <f t="shared" si="220"/>
        <v>0</v>
      </c>
      <c r="W767" s="86">
        <f t="shared" si="221"/>
        <v>0</v>
      </c>
      <c r="X767" s="86" t="e">
        <f>((PI()*((42-2*'Gen Calcs'!$E$13)^2)/4)/144)*(A810-#REF!)*(W767+14.7)/14.7</f>
        <v>#REF!</v>
      </c>
      <c r="Y767" s="86" t="e">
        <f t="shared" si="222"/>
        <v>#REF!</v>
      </c>
      <c r="Z767" s="86" t="e">
        <f t="shared" si="223"/>
        <v>#REF!</v>
      </c>
      <c r="AA767" s="83">
        <f>MAX(B$2:B767)-B767</f>
        <v>5.490099999999984</v>
      </c>
      <c r="AB767" s="83">
        <f t="shared" si="224"/>
        <v>2.3772132999999931</v>
      </c>
      <c r="AC767" s="83">
        <f t="shared" si="210"/>
        <v>120</v>
      </c>
      <c r="AD767" s="72">
        <v>120</v>
      </c>
      <c r="AE767" s="73">
        <f t="shared" si="217"/>
        <v>907.92027688745009</v>
      </c>
      <c r="AF767" s="73">
        <f>SUM(AE$2:AE767)</f>
        <v>639353.07892288349</v>
      </c>
      <c r="AG767" s="73">
        <f t="shared" si="218"/>
        <v>534376.8235042257</v>
      </c>
    </row>
    <row r="768" spans="1:33" x14ac:dyDescent="0.25">
      <c r="A768" s="100">
        <v>166499.92000000001</v>
      </c>
      <c r="B768" s="97">
        <v>932.81640000000004</v>
      </c>
      <c r="C768" s="97">
        <v>0.6</v>
      </c>
      <c r="D768" s="80">
        <f t="shared" si="219"/>
        <v>100</v>
      </c>
      <c r="E768" s="81">
        <f t="shared" si="211"/>
        <v>6791.2436711181272</v>
      </c>
      <c r="F768" s="81">
        <f>SUM(E$2:E768)</f>
        <v>4785615.9996231431</v>
      </c>
      <c r="G768" s="43">
        <f t="shared" si="209"/>
        <v>1</v>
      </c>
      <c r="H768" s="78">
        <v>1</v>
      </c>
      <c r="I768" s="15">
        <f t="shared" si="212"/>
        <v>0.6</v>
      </c>
      <c r="J768" s="16">
        <f>VLOOKUP(G768,Inputs!$L$3:$P$15,5,FALSE)</f>
        <v>2000</v>
      </c>
      <c r="K768" s="16">
        <f t="shared" si="213"/>
        <v>1825</v>
      </c>
      <c r="L768" s="79">
        <f>Inputs!$P$8-B768</f>
        <v>5.3745999999999867</v>
      </c>
      <c r="M768" s="79">
        <f>Inputs!$Q$8+L768*0.433</f>
        <v>1827.3272018</v>
      </c>
      <c r="N768" s="82">
        <f t="shared" si="214"/>
        <v>166499.92000000001</v>
      </c>
      <c r="O768" s="83">
        <f t="shared" si="215"/>
        <v>932.81640000000004</v>
      </c>
      <c r="P768" s="84">
        <f>IF(O768="","",Inputs!$C$5-O768)</f>
        <v>-107.63190000000009</v>
      </c>
      <c r="Q768" s="83">
        <f>IF(N768="","",TS!J768)</f>
        <v>2000</v>
      </c>
      <c r="R768" s="83">
        <f>IF(N768="","",TS!K768)</f>
        <v>1825</v>
      </c>
      <c r="S768" s="83">
        <f>Inputs!$H$5+TS!P768*0.4333</f>
        <v>1828.3288141799999</v>
      </c>
      <c r="T768" s="83">
        <f>Inputs!$G$5+TS!P768*0.4333</f>
        <v>1843.3288141799999</v>
      </c>
      <c r="U768" s="85">
        <f t="shared" si="216"/>
        <v>0.92166440708999997</v>
      </c>
      <c r="V768" s="86">
        <f t="shared" si="220"/>
        <v>0</v>
      </c>
      <c r="W768" s="86">
        <f t="shared" si="221"/>
        <v>0</v>
      </c>
      <c r="X768" s="86" t="e">
        <f>((PI()*((42-2*'Gen Calcs'!$E$13)^2)/4)/144)*(A811-#REF!)*(W768+14.7)/14.7</f>
        <v>#REF!</v>
      </c>
      <c r="Y768" s="86" t="e">
        <f t="shared" si="222"/>
        <v>#REF!</v>
      </c>
      <c r="Z768" s="86" t="e">
        <f t="shared" si="223"/>
        <v>#REF!</v>
      </c>
      <c r="AA768" s="83">
        <f>MAX(B$2:B768)-B768</f>
        <v>5.3745999999999867</v>
      </c>
      <c r="AB768" s="83">
        <f t="shared" si="224"/>
        <v>2.3272017999999943</v>
      </c>
      <c r="AC768" s="83">
        <f t="shared" si="210"/>
        <v>120</v>
      </c>
      <c r="AD768" s="72">
        <v>120</v>
      </c>
      <c r="AE768" s="73">
        <f t="shared" si="217"/>
        <v>907.92027688745009</v>
      </c>
      <c r="AF768" s="73">
        <f>SUM(AE$2:AE768)</f>
        <v>640260.99919977097</v>
      </c>
      <c r="AG768" s="73">
        <f t="shared" si="218"/>
        <v>533468.90322733822</v>
      </c>
    </row>
    <row r="769" spans="1:33" x14ac:dyDescent="0.25">
      <c r="A769" s="99">
        <v>166599.92000000001</v>
      </c>
      <c r="B769" s="96">
        <v>933.17970000000003</v>
      </c>
      <c r="C769" s="96">
        <v>0.6</v>
      </c>
      <c r="D769" s="80">
        <f t="shared" si="219"/>
        <v>100</v>
      </c>
      <c r="E769" s="81">
        <f t="shared" si="211"/>
        <v>6791.2436711181272</v>
      </c>
      <c r="F769" s="81">
        <f>SUM(E$2:E769)</f>
        <v>4792407.2432942614</v>
      </c>
      <c r="G769" s="43">
        <f t="shared" si="209"/>
        <v>1</v>
      </c>
      <c r="H769" s="78">
        <v>1</v>
      </c>
      <c r="I769" s="15">
        <f t="shared" si="212"/>
        <v>0.6</v>
      </c>
      <c r="J769" s="16">
        <f>VLOOKUP(G769,Inputs!$L$3:$P$15,5,FALSE)</f>
        <v>2000</v>
      </c>
      <c r="K769" s="16">
        <f t="shared" si="213"/>
        <v>1825</v>
      </c>
      <c r="L769" s="79">
        <f>Inputs!$P$8-B769</f>
        <v>5.0113000000000056</v>
      </c>
      <c r="M769" s="79">
        <f>Inputs!$Q$8+L769*0.433</f>
        <v>1827.1698928999999</v>
      </c>
      <c r="N769" s="82">
        <f t="shared" si="214"/>
        <v>166599.92000000001</v>
      </c>
      <c r="O769" s="83">
        <f t="shared" si="215"/>
        <v>933.17970000000003</v>
      </c>
      <c r="P769" s="84">
        <f>IF(O769="","",Inputs!$C$5-O769)</f>
        <v>-107.99520000000007</v>
      </c>
      <c r="Q769" s="83">
        <f>IF(N769="","",TS!J769)</f>
        <v>2000</v>
      </c>
      <c r="R769" s="83">
        <f>IF(N769="","",TS!K769)</f>
        <v>1825</v>
      </c>
      <c r="S769" s="83">
        <f>Inputs!$H$5+TS!P769*0.4333</f>
        <v>1828.1713962899998</v>
      </c>
      <c r="T769" s="83">
        <f>Inputs!$G$5+TS!P769*0.4333</f>
        <v>1843.1713962899998</v>
      </c>
      <c r="U769" s="85">
        <f t="shared" si="216"/>
        <v>0.92158569814499991</v>
      </c>
      <c r="V769" s="86">
        <f t="shared" si="220"/>
        <v>0</v>
      </c>
      <c r="W769" s="86">
        <f t="shared" si="221"/>
        <v>0</v>
      </c>
      <c r="X769" s="86" t="e">
        <f>((PI()*((42-2*'Gen Calcs'!$E$13)^2)/4)/144)*(A812-#REF!)*(W769+14.7)/14.7</f>
        <v>#REF!</v>
      </c>
      <c r="Y769" s="86" t="e">
        <f t="shared" si="222"/>
        <v>#REF!</v>
      </c>
      <c r="Z769" s="86" t="e">
        <f t="shared" si="223"/>
        <v>#REF!</v>
      </c>
      <c r="AA769" s="83">
        <f>MAX(B$2:B769)-B769</f>
        <v>5.0113000000000056</v>
      </c>
      <c r="AB769" s="83">
        <f t="shared" si="224"/>
        <v>2.1698929000000025</v>
      </c>
      <c r="AC769" s="83">
        <f t="shared" si="210"/>
        <v>120</v>
      </c>
      <c r="AD769" s="72">
        <v>120</v>
      </c>
      <c r="AE769" s="73">
        <f t="shared" si="217"/>
        <v>907.92027688745009</v>
      </c>
      <c r="AF769" s="73">
        <f>SUM(AE$2:AE769)</f>
        <v>641168.91947665846</v>
      </c>
      <c r="AG769" s="73">
        <f t="shared" si="218"/>
        <v>532560.98295045074</v>
      </c>
    </row>
    <row r="770" spans="1:33" x14ac:dyDescent="0.25">
      <c r="A770" s="100">
        <v>166699.92000000001</v>
      </c>
      <c r="B770" s="97">
        <v>933.93939999999998</v>
      </c>
      <c r="C770" s="97">
        <v>0.6</v>
      </c>
      <c r="D770" s="80">
        <f t="shared" si="219"/>
        <v>100</v>
      </c>
      <c r="E770" s="81">
        <f t="shared" si="211"/>
        <v>6791.2436711181272</v>
      </c>
      <c r="F770" s="81">
        <f>SUM(E$2:E770)</f>
        <v>4799198.4869653797</v>
      </c>
      <c r="G770" s="43">
        <f t="shared" si="209"/>
        <v>1</v>
      </c>
      <c r="H770" s="78">
        <v>1</v>
      </c>
      <c r="I770" s="15">
        <f t="shared" si="212"/>
        <v>0.6</v>
      </c>
      <c r="J770" s="16">
        <f>VLOOKUP(G770,Inputs!$L$3:$P$15,5,FALSE)</f>
        <v>2000</v>
      </c>
      <c r="K770" s="16">
        <f t="shared" si="213"/>
        <v>1825</v>
      </c>
      <c r="L770" s="79">
        <f>Inputs!$P$8-B770</f>
        <v>4.2516000000000531</v>
      </c>
      <c r="M770" s="79">
        <f>Inputs!$Q$8+L770*0.433</f>
        <v>1826.8409428</v>
      </c>
      <c r="N770" s="82">
        <f t="shared" si="214"/>
        <v>166699.92000000001</v>
      </c>
      <c r="O770" s="83">
        <f t="shared" si="215"/>
        <v>933.93939999999998</v>
      </c>
      <c r="P770" s="84">
        <f>IF(O770="","",Inputs!$C$5-O770)</f>
        <v>-108.75490000000002</v>
      </c>
      <c r="Q770" s="83">
        <f>IF(N770="","",TS!J770)</f>
        <v>2000</v>
      </c>
      <c r="R770" s="83">
        <f>IF(N770="","",TS!K770)</f>
        <v>1825</v>
      </c>
      <c r="S770" s="83">
        <f>Inputs!$H$5+TS!P770*0.4333</f>
        <v>1827.84221828</v>
      </c>
      <c r="T770" s="83">
        <f>Inputs!$G$5+TS!P770*0.4333</f>
        <v>1842.84221828</v>
      </c>
      <c r="U770" s="85">
        <f t="shared" si="216"/>
        <v>0.92142110913999997</v>
      </c>
      <c r="V770" s="86">
        <f t="shared" si="220"/>
        <v>0</v>
      </c>
      <c r="W770" s="86">
        <f t="shared" si="221"/>
        <v>0</v>
      </c>
      <c r="X770" s="86" t="e">
        <f>((PI()*((42-2*'Gen Calcs'!$E$13)^2)/4)/144)*(A813-#REF!)*(W770+14.7)/14.7</f>
        <v>#REF!</v>
      </c>
      <c r="Y770" s="86" t="e">
        <f t="shared" si="222"/>
        <v>#REF!</v>
      </c>
      <c r="Z770" s="86" t="e">
        <f t="shared" si="223"/>
        <v>#REF!</v>
      </c>
      <c r="AA770" s="83">
        <f>MAX(B$2:B770)-B770</f>
        <v>4.2516000000000531</v>
      </c>
      <c r="AB770" s="83">
        <f t="shared" si="224"/>
        <v>1.840942800000023</v>
      </c>
      <c r="AC770" s="83">
        <f t="shared" si="210"/>
        <v>120</v>
      </c>
      <c r="AD770" s="72">
        <v>120</v>
      </c>
      <c r="AE770" s="73">
        <f t="shared" si="217"/>
        <v>907.92027688745009</v>
      </c>
      <c r="AF770" s="73">
        <f>SUM(AE$2:AE770)</f>
        <v>642076.83975354594</v>
      </c>
      <c r="AG770" s="73">
        <f t="shared" si="218"/>
        <v>531653.06267356325</v>
      </c>
    </row>
    <row r="771" spans="1:33" x14ac:dyDescent="0.25">
      <c r="A771" s="99">
        <v>166799.92000000001</v>
      </c>
      <c r="B771" s="96">
        <v>934.68859999999995</v>
      </c>
      <c r="C771" s="96">
        <v>0.6</v>
      </c>
      <c r="D771" s="80">
        <f t="shared" si="219"/>
        <v>100</v>
      </c>
      <c r="E771" s="81">
        <f t="shared" si="211"/>
        <v>6791.2436711181272</v>
      </c>
      <c r="F771" s="81">
        <f>SUM(E$2:E771)</f>
        <v>4805989.730636498</v>
      </c>
      <c r="G771" s="43">
        <f t="shared" ref="G771:G834" si="225">IF(C771=0.72,12,IF(C771=1,11,IF(C771=0.825,10,IF(C771=0.6,1,IF(C771=0.864,2,IF(C771=0.888,3))))))</f>
        <v>1</v>
      </c>
      <c r="H771" s="78">
        <v>1</v>
      </c>
      <c r="I771" s="15">
        <f t="shared" si="212"/>
        <v>0.6</v>
      </c>
      <c r="J771" s="16">
        <f>VLOOKUP(G771,Inputs!$L$3:$P$15,5,FALSE)</f>
        <v>2000</v>
      </c>
      <c r="K771" s="16">
        <f t="shared" si="213"/>
        <v>1825</v>
      </c>
      <c r="L771" s="79">
        <f>Inputs!$P$8-B771</f>
        <v>3.5024000000000797</v>
      </c>
      <c r="M771" s="79">
        <f>Inputs!$Q$8+L771*0.433</f>
        <v>1826.5165392000001</v>
      </c>
      <c r="N771" s="82">
        <f t="shared" si="214"/>
        <v>166799.92000000001</v>
      </c>
      <c r="O771" s="83">
        <f t="shared" si="215"/>
        <v>934.68859999999995</v>
      </c>
      <c r="P771" s="84">
        <f>IF(O771="","",Inputs!$C$5-O771)</f>
        <v>-109.50409999999999</v>
      </c>
      <c r="Q771" s="83">
        <f>IF(N771="","",TS!J771)</f>
        <v>2000</v>
      </c>
      <c r="R771" s="83">
        <f>IF(N771="","",TS!K771)</f>
        <v>1825</v>
      </c>
      <c r="S771" s="83">
        <f>Inputs!$H$5+TS!P771*0.4333</f>
        <v>1827.5175899199999</v>
      </c>
      <c r="T771" s="83">
        <f>Inputs!$G$5+TS!P771*0.4333</f>
        <v>1842.5175899199999</v>
      </c>
      <c r="U771" s="85">
        <f t="shared" si="216"/>
        <v>0.92125879495999996</v>
      </c>
      <c r="V771" s="86">
        <f t="shared" si="220"/>
        <v>0</v>
      </c>
      <c r="W771" s="86">
        <f t="shared" si="221"/>
        <v>0</v>
      </c>
      <c r="X771" s="86" t="e">
        <f>((PI()*((42-2*'Gen Calcs'!$E$13)^2)/4)/144)*(A814-#REF!)*(W771+14.7)/14.7</f>
        <v>#REF!</v>
      </c>
      <c r="Y771" s="86" t="e">
        <f t="shared" si="222"/>
        <v>#REF!</v>
      </c>
      <c r="Z771" s="86" t="e">
        <f t="shared" si="223"/>
        <v>#REF!</v>
      </c>
      <c r="AA771" s="83">
        <f>MAX(B$2:B771)-B771</f>
        <v>3.5024000000000797</v>
      </c>
      <c r="AB771" s="83">
        <f t="shared" si="224"/>
        <v>1.5165392000000344</v>
      </c>
      <c r="AC771" s="83">
        <f t="shared" ref="AC771:AC834" si="226">((MAX(O$2:O$1348)-O771)-(MAX(O$2:O$1348)-O771))*0.433+AD771</f>
        <v>120</v>
      </c>
      <c r="AD771" s="72">
        <v>120</v>
      </c>
      <c r="AE771" s="73">
        <f t="shared" si="217"/>
        <v>907.92027688745009</v>
      </c>
      <c r="AF771" s="73">
        <f>SUM(AE$2:AE771)</f>
        <v>642984.76003043342</v>
      </c>
      <c r="AG771" s="73">
        <f t="shared" si="218"/>
        <v>530745.14239667577</v>
      </c>
    </row>
    <row r="772" spans="1:33" x14ac:dyDescent="0.25">
      <c r="A772" s="100">
        <v>166899.92000000001</v>
      </c>
      <c r="B772" s="97">
        <v>935.42150000000004</v>
      </c>
      <c r="C772" s="97">
        <v>0.6</v>
      </c>
      <c r="D772" s="80">
        <f t="shared" si="219"/>
        <v>100</v>
      </c>
      <c r="E772" s="81">
        <f t="shared" si="211"/>
        <v>6791.2436711181272</v>
      </c>
      <c r="F772" s="81">
        <f>SUM(E$2:E772)</f>
        <v>4812780.9743076162</v>
      </c>
      <c r="G772" s="43">
        <f t="shared" si="225"/>
        <v>1</v>
      </c>
      <c r="H772" s="78">
        <v>1</v>
      </c>
      <c r="I772" s="15">
        <f t="shared" si="212"/>
        <v>0.6</v>
      </c>
      <c r="J772" s="16">
        <f>VLOOKUP(G772,Inputs!$L$3:$P$15,5,FALSE)</f>
        <v>2000</v>
      </c>
      <c r="K772" s="16">
        <f t="shared" si="213"/>
        <v>1825</v>
      </c>
      <c r="L772" s="79">
        <f>Inputs!$P$8-B772</f>
        <v>2.7694999999999936</v>
      </c>
      <c r="M772" s="79">
        <f>Inputs!$Q$8+L772*0.433</f>
        <v>1826.1991935000001</v>
      </c>
      <c r="N772" s="82">
        <f t="shared" si="214"/>
        <v>166899.92000000001</v>
      </c>
      <c r="O772" s="83">
        <f t="shared" si="215"/>
        <v>935.42150000000004</v>
      </c>
      <c r="P772" s="84">
        <f>IF(O772="","",Inputs!$C$5-O772)</f>
        <v>-110.23700000000008</v>
      </c>
      <c r="Q772" s="83">
        <f>IF(N772="","",TS!J772)</f>
        <v>2000</v>
      </c>
      <c r="R772" s="83">
        <f>IF(N772="","",TS!K772)</f>
        <v>1825</v>
      </c>
      <c r="S772" s="83">
        <f>Inputs!$H$5+TS!P772*0.4333</f>
        <v>1827.2000243499999</v>
      </c>
      <c r="T772" s="83">
        <f>Inputs!$G$5+TS!P772*0.4333</f>
        <v>1842.2000243499999</v>
      </c>
      <c r="U772" s="85">
        <f t="shared" si="216"/>
        <v>0.92110001217499993</v>
      </c>
      <c r="V772" s="86">
        <f t="shared" si="220"/>
        <v>0</v>
      </c>
      <c r="W772" s="86">
        <f t="shared" si="221"/>
        <v>0</v>
      </c>
      <c r="X772" s="86" t="e">
        <f>((PI()*((42-2*'Gen Calcs'!$E$13)^2)/4)/144)*(A815-#REF!)*(W772+14.7)/14.7</f>
        <v>#REF!</v>
      </c>
      <c r="Y772" s="86" t="e">
        <f t="shared" si="222"/>
        <v>#REF!</v>
      </c>
      <c r="Z772" s="86" t="e">
        <f t="shared" si="223"/>
        <v>#REF!</v>
      </c>
      <c r="AA772" s="83">
        <f>MAX(B$2:B772)-B772</f>
        <v>2.7694999999999936</v>
      </c>
      <c r="AB772" s="83">
        <f t="shared" si="224"/>
        <v>1.1991934999999971</v>
      </c>
      <c r="AC772" s="83">
        <f t="shared" si="226"/>
        <v>120</v>
      </c>
      <c r="AD772" s="72">
        <v>120</v>
      </c>
      <c r="AE772" s="73">
        <f t="shared" si="217"/>
        <v>907.92027688745009</v>
      </c>
      <c r="AF772" s="73">
        <f>SUM(AE$2:AE772)</f>
        <v>643892.6803073209</v>
      </c>
      <c r="AG772" s="73">
        <f t="shared" si="218"/>
        <v>529837.22211978829</v>
      </c>
    </row>
    <row r="773" spans="1:33" x14ac:dyDescent="0.25">
      <c r="A773" s="99">
        <v>166999.92000000001</v>
      </c>
      <c r="B773" s="96">
        <v>934.30319999999995</v>
      </c>
      <c r="C773" s="96">
        <v>0.6</v>
      </c>
      <c r="D773" s="80">
        <f t="shared" si="219"/>
        <v>100</v>
      </c>
      <c r="E773" s="81">
        <f t="shared" ref="E773:E836" si="227">(PI()/4*(42/12-(2*C815/12))^2)*(D773)*7.48</f>
        <v>6791.2436711181272</v>
      </c>
      <c r="F773" s="81">
        <f>SUM(E$2:E773)</f>
        <v>4819572.2179787345</v>
      </c>
      <c r="G773" s="43">
        <f t="shared" si="225"/>
        <v>1</v>
      </c>
      <c r="H773" s="78">
        <v>1</v>
      </c>
      <c r="I773" s="15">
        <f t="shared" ref="I773:I836" si="228">C773</f>
        <v>0.6</v>
      </c>
      <c r="J773" s="16">
        <f>VLOOKUP(G773,Inputs!$L$3:$P$15,5,FALSE)</f>
        <v>2000</v>
      </c>
      <c r="K773" s="16">
        <f t="shared" ref="K773:K836" si="229">IF(H773=1,1825,IF(H773=2,1825,2220))</f>
        <v>1825</v>
      </c>
      <c r="L773" s="79">
        <f>Inputs!$P$8-B773</f>
        <v>3.8878000000000839</v>
      </c>
      <c r="M773" s="79">
        <f>Inputs!$Q$8+L773*0.433</f>
        <v>1826.6834174000001</v>
      </c>
      <c r="N773" s="82">
        <f t="shared" ref="N773:N836" si="230">A773</f>
        <v>166999.92000000001</v>
      </c>
      <c r="O773" s="83">
        <f t="shared" ref="O773:O836" si="231">B773</f>
        <v>934.30319999999995</v>
      </c>
      <c r="P773" s="84">
        <f>IF(O773="","",Inputs!$C$5-O773)</f>
        <v>-109.11869999999999</v>
      </c>
      <c r="Q773" s="83">
        <f>IF(N773="","",TS!J773)</f>
        <v>2000</v>
      </c>
      <c r="R773" s="83">
        <f>IF(N773="","",TS!K773)</f>
        <v>1825</v>
      </c>
      <c r="S773" s="83">
        <f>Inputs!$H$5+TS!P773*0.4333</f>
        <v>1827.6845837399999</v>
      </c>
      <c r="T773" s="83">
        <f>Inputs!$G$5+TS!P773*0.4333</f>
        <v>1842.6845837399999</v>
      </c>
      <c r="U773" s="85">
        <f t="shared" ref="U773:U836" si="232">T773/(140000*C773/42)</f>
        <v>0.92134229186999994</v>
      </c>
      <c r="V773" s="86">
        <f t="shared" si="220"/>
        <v>0</v>
      </c>
      <c r="W773" s="86">
        <f t="shared" si="221"/>
        <v>0</v>
      </c>
      <c r="X773" s="86" t="e">
        <f>((PI()*((42-2*'Gen Calcs'!$E$13)^2)/4)/144)*(A816-#REF!)*(W773+14.7)/14.7</f>
        <v>#REF!</v>
      </c>
      <c r="Y773" s="86" t="e">
        <f t="shared" si="222"/>
        <v>#REF!</v>
      </c>
      <c r="Z773" s="86" t="e">
        <f t="shared" si="223"/>
        <v>#REF!</v>
      </c>
      <c r="AA773" s="83">
        <f>MAX(B$2:B773)-B773</f>
        <v>3.8878000000000839</v>
      </c>
      <c r="AB773" s="83">
        <f t="shared" si="224"/>
        <v>1.6834174000000364</v>
      </c>
      <c r="AC773" s="83">
        <f t="shared" si="226"/>
        <v>120</v>
      </c>
      <c r="AD773" s="72">
        <v>120</v>
      </c>
      <c r="AE773" s="73">
        <f t="shared" ref="AE773:AE836" si="233">PI()*(((42-2*C773)/12)^2/4)*D773</f>
        <v>907.92027688745009</v>
      </c>
      <c r="AF773" s="73">
        <f>SUM(AE$2:AE773)</f>
        <v>644800.60058420838</v>
      </c>
      <c r="AG773" s="73">
        <f t="shared" ref="AG773:AG836" si="234">AF$1391-AF773</f>
        <v>528929.30184290081</v>
      </c>
    </row>
    <row r="774" spans="1:33" x14ac:dyDescent="0.25">
      <c r="A774" s="100">
        <v>167099.92000000001</v>
      </c>
      <c r="B774" s="97">
        <v>932.51980000000003</v>
      </c>
      <c r="C774" s="97">
        <v>0.6</v>
      </c>
      <c r="D774" s="80">
        <f t="shared" si="219"/>
        <v>100</v>
      </c>
      <c r="E774" s="81">
        <f t="shared" si="227"/>
        <v>6791.2436711181272</v>
      </c>
      <c r="F774" s="81">
        <f>SUM(E$2:E774)</f>
        <v>4826363.4616498528</v>
      </c>
      <c r="G774" s="43">
        <f t="shared" si="225"/>
        <v>1</v>
      </c>
      <c r="H774" s="78">
        <v>1</v>
      </c>
      <c r="I774" s="15">
        <f t="shared" si="228"/>
        <v>0.6</v>
      </c>
      <c r="J774" s="16">
        <f>VLOOKUP(G774,Inputs!$L$3:$P$15,5,FALSE)</f>
        <v>2000</v>
      </c>
      <c r="K774" s="16">
        <f t="shared" si="229"/>
        <v>1825</v>
      </c>
      <c r="L774" s="79">
        <f>Inputs!$P$8-B774</f>
        <v>5.6711999999999989</v>
      </c>
      <c r="M774" s="79">
        <f>Inputs!$Q$8+L774*0.433</f>
        <v>1827.4556296000001</v>
      </c>
      <c r="N774" s="82">
        <f t="shared" si="230"/>
        <v>167099.92000000001</v>
      </c>
      <c r="O774" s="83">
        <f t="shared" si="231"/>
        <v>932.51980000000003</v>
      </c>
      <c r="P774" s="84">
        <f>IF(O774="","",Inputs!$C$5-O774)</f>
        <v>-107.33530000000007</v>
      </c>
      <c r="Q774" s="83">
        <f>IF(N774="","",TS!J774)</f>
        <v>2000</v>
      </c>
      <c r="R774" s="83">
        <f>IF(N774="","",TS!K774)</f>
        <v>1825</v>
      </c>
      <c r="S774" s="83">
        <f>Inputs!$H$5+TS!P774*0.4333</f>
        <v>1828.4573309599998</v>
      </c>
      <c r="T774" s="83">
        <f>Inputs!$G$5+TS!P774*0.4333</f>
        <v>1843.4573309599998</v>
      </c>
      <c r="U774" s="85">
        <f t="shared" si="232"/>
        <v>0.92172866547999988</v>
      </c>
      <c r="V774" s="86">
        <f t="shared" si="220"/>
        <v>0</v>
      </c>
      <c r="W774" s="86">
        <f t="shared" si="221"/>
        <v>0</v>
      </c>
      <c r="X774" s="86" t="e">
        <f>((PI()*((42-2*'Gen Calcs'!$E$13)^2)/4)/144)*(A817-#REF!)*(W774+14.7)/14.7</f>
        <v>#REF!</v>
      </c>
      <c r="Y774" s="86" t="e">
        <f t="shared" si="222"/>
        <v>#REF!</v>
      </c>
      <c r="Z774" s="86" t="e">
        <f t="shared" si="223"/>
        <v>#REF!</v>
      </c>
      <c r="AA774" s="83">
        <f>MAX(B$2:B774)-B774</f>
        <v>5.6711999999999989</v>
      </c>
      <c r="AB774" s="83">
        <f t="shared" si="224"/>
        <v>2.4556295999999995</v>
      </c>
      <c r="AC774" s="83">
        <f t="shared" si="226"/>
        <v>120</v>
      </c>
      <c r="AD774" s="72">
        <v>120</v>
      </c>
      <c r="AE774" s="73">
        <f t="shared" si="233"/>
        <v>907.92027688745009</v>
      </c>
      <c r="AF774" s="73">
        <f>SUM(AE$2:AE774)</f>
        <v>645708.52086109587</v>
      </c>
      <c r="AG774" s="73">
        <f t="shared" si="234"/>
        <v>528021.38156601333</v>
      </c>
    </row>
    <row r="775" spans="1:33" x14ac:dyDescent="0.25">
      <c r="A775" s="99">
        <v>167199.92000000001</v>
      </c>
      <c r="B775" s="96">
        <v>930.5385</v>
      </c>
      <c r="C775" s="96">
        <v>0.6</v>
      </c>
      <c r="D775" s="80">
        <f t="shared" si="219"/>
        <v>100</v>
      </c>
      <c r="E775" s="81">
        <f t="shared" si="227"/>
        <v>6791.2436711181272</v>
      </c>
      <c r="F775" s="81">
        <f>SUM(E$2:E775)</f>
        <v>4833154.7053209711</v>
      </c>
      <c r="G775" s="43">
        <f t="shared" si="225"/>
        <v>1</v>
      </c>
      <c r="H775" s="78">
        <v>1</v>
      </c>
      <c r="I775" s="15">
        <f t="shared" si="228"/>
        <v>0.6</v>
      </c>
      <c r="J775" s="16">
        <f>VLOOKUP(G775,Inputs!$L$3:$P$15,5,FALSE)</f>
        <v>2000</v>
      </c>
      <c r="K775" s="16">
        <f t="shared" si="229"/>
        <v>1825</v>
      </c>
      <c r="L775" s="79">
        <f>Inputs!$P$8-B775</f>
        <v>7.6525000000000318</v>
      </c>
      <c r="M775" s="79">
        <f>Inputs!$Q$8+L775*0.433</f>
        <v>1828.3135325000001</v>
      </c>
      <c r="N775" s="82">
        <f t="shared" si="230"/>
        <v>167199.92000000001</v>
      </c>
      <c r="O775" s="83">
        <f t="shared" si="231"/>
        <v>930.5385</v>
      </c>
      <c r="P775" s="84">
        <f>IF(O775="","",Inputs!$C$5-O775)</f>
        <v>-105.35400000000004</v>
      </c>
      <c r="Q775" s="83">
        <f>IF(N775="","",TS!J775)</f>
        <v>2000</v>
      </c>
      <c r="R775" s="83">
        <f>IF(N775="","",TS!K775)</f>
        <v>1825</v>
      </c>
      <c r="S775" s="83">
        <f>Inputs!$H$5+TS!P775*0.4333</f>
        <v>1829.3158282499999</v>
      </c>
      <c r="T775" s="83">
        <f>Inputs!$G$5+TS!P775*0.4333</f>
        <v>1844.3158282499999</v>
      </c>
      <c r="U775" s="85">
        <f t="shared" si="232"/>
        <v>0.92215791412499992</v>
      </c>
      <c r="V775" s="86">
        <f t="shared" si="220"/>
        <v>0</v>
      </c>
      <c r="W775" s="86">
        <f t="shared" si="221"/>
        <v>0</v>
      </c>
      <c r="X775" s="86" t="e">
        <f>((PI()*((42-2*'Gen Calcs'!$E$13)^2)/4)/144)*(A818-#REF!)*(W775+14.7)/14.7</f>
        <v>#REF!</v>
      </c>
      <c r="Y775" s="86" t="e">
        <f t="shared" si="222"/>
        <v>#REF!</v>
      </c>
      <c r="Z775" s="86" t="e">
        <f t="shared" si="223"/>
        <v>#REF!</v>
      </c>
      <c r="AA775" s="83">
        <f>MAX(B$2:B775)-B775</f>
        <v>7.6525000000000318</v>
      </c>
      <c r="AB775" s="83">
        <f t="shared" si="224"/>
        <v>3.3135325000000138</v>
      </c>
      <c r="AC775" s="83">
        <f t="shared" si="226"/>
        <v>120</v>
      </c>
      <c r="AD775" s="72">
        <v>120</v>
      </c>
      <c r="AE775" s="73">
        <f t="shared" si="233"/>
        <v>907.92027688745009</v>
      </c>
      <c r="AF775" s="73">
        <f>SUM(AE$2:AE775)</f>
        <v>646616.44113798335</v>
      </c>
      <c r="AG775" s="73">
        <f t="shared" si="234"/>
        <v>527113.46128912584</v>
      </c>
    </row>
    <row r="776" spans="1:33" x14ac:dyDescent="0.25">
      <c r="A776" s="100">
        <v>167299.92000000001</v>
      </c>
      <c r="B776" s="97">
        <v>928.24099999999999</v>
      </c>
      <c r="C776" s="97">
        <v>0.6</v>
      </c>
      <c r="D776" s="80">
        <f t="shared" si="219"/>
        <v>100</v>
      </c>
      <c r="E776" s="81">
        <f t="shared" si="227"/>
        <v>6791.2436711181272</v>
      </c>
      <c r="F776" s="81">
        <f>SUM(E$2:E776)</f>
        <v>4839945.9489920894</v>
      </c>
      <c r="G776" s="43">
        <f t="shared" si="225"/>
        <v>1</v>
      </c>
      <c r="H776" s="78">
        <v>1</v>
      </c>
      <c r="I776" s="15">
        <f t="shared" si="228"/>
        <v>0.6</v>
      </c>
      <c r="J776" s="16">
        <f>VLOOKUP(G776,Inputs!$L$3:$P$15,5,FALSE)</f>
        <v>2000</v>
      </c>
      <c r="K776" s="16">
        <f t="shared" si="229"/>
        <v>1825</v>
      </c>
      <c r="L776" s="79">
        <f>Inputs!$P$8-B776</f>
        <v>9.9500000000000455</v>
      </c>
      <c r="M776" s="79">
        <f>Inputs!$Q$8+L776*0.433</f>
        <v>1829.30835</v>
      </c>
      <c r="N776" s="82">
        <f t="shared" si="230"/>
        <v>167299.92000000001</v>
      </c>
      <c r="O776" s="83">
        <f t="shared" si="231"/>
        <v>928.24099999999999</v>
      </c>
      <c r="P776" s="84">
        <f>IF(O776="","",Inputs!$C$5-O776)</f>
        <v>-103.05650000000003</v>
      </c>
      <c r="Q776" s="83">
        <f>IF(N776="","",TS!J776)</f>
        <v>2000</v>
      </c>
      <c r="R776" s="83">
        <f>IF(N776="","",TS!K776)</f>
        <v>1825</v>
      </c>
      <c r="S776" s="83">
        <f>Inputs!$H$5+TS!P776*0.4333</f>
        <v>1830.3113349999999</v>
      </c>
      <c r="T776" s="83">
        <f>Inputs!$G$5+TS!P776*0.4333</f>
        <v>1845.3113349999999</v>
      </c>
      <c r="U776" s="85">
        <f t="shared" si="232"/>
        <v>0.92265566749999994</v>
      </c>
      <c r="V776" s="86">
        <f t="shared" si="220"/>
        <v>0</v>
      </c>
      <c r="W776" s="86">
        <f t="shared" si="221"/>
        <v>0</v>
      </c>
      <c r="X776" s="86" t="e">
        <f>((PI()*((42-2*'Gen Calcs'!$E$13)^2)/4)/144)*(A819-#REF!)*(W776+14.7)/14.7</f>
        <v>#REF!</v>
      </c>
      <c r="Y776" s="86" t="e">
        <f t="shared" si="222"/>
        <v>#REF!</v>
      </c>
      <c r="Z776" s="86" t="e">
        <f t="shared" si="223"/>
        <v>#REF!</v>
      </c>
      <c r="AA776" s="83">
        <f>MAX(B$2:B776)-B776</f>
        <v>9.9500000000000455</v>
      </c>
      <c r="AB776" s="83">
        <f t="shared" si="224"/>
        <v>4.3083500000000194</v>
      </c>
      <c r="AC776" s="83">
        <f t="shared" si="226"/>
        <v>120</v>
      </c>
      <c r="AD776" s="72">
        <v>120</v>
      </c>
      <c r="AE776" s="73">
        <f t="shared" si="233"/>
        <v>907.92027688745009</v>
      </c>
      <c r="AF776" s="73">
        <f>SUM(AE$2:AE776)</f>
        <v>647524.36141487083</v>
      </c>
      <c r="AG776" s="73">
        <f t="shared" si="234"/>
        <v>526205.54101223836</v>
      </c>
    </row>
    <row r="777" spans="1:33" x14ac:dyDescent="0.25">
      <c r="A777" s="99">
        <v>167399.92000000001</v>
      </c>
      <c r="B777" s="96">
        <v>925.89020000000005</v>
      </c>
      <c r="C777" s="96">
        <v>0.6</v>
      </c>
      <c r="D777" s="80">
        <f t="shared" si="219"/>
        <v>100</v>
      </c>
      <c r="E777" s="81">
        <f t="shared" si="227"/>
        <v>6791.2436711181272</v>
      </c>
      <c r="F777" s="81">
        <f>SUM(E$2:E777)</f>
        <v>4846737.1926632077</v>
      </c>
      <c r="G777" s="43">
        <f t="shared" si="225"/>
        <v>1</v>
      </c>
      <c r="H777" s="78">
        <v>1</v>
      </c>
      <c r="I777" s="15">
        <f t="shared" si="228"/>
        <v>0.6</v>
      </c>
      <c r="J777" s="16">
        <f>VLOOKUP(G777,Inputs!$L$3:$P$15,5,FALSE)</f>
        <v>2000</v>
      </c>
      <c r="K777" s="16">
        <f t="shared" si="229"/>
        <v>1825</v>
      </c>
      <c r="L777" s="79">
        <f>Inputs!$P$8-B777</f>
        <v>12.300799999999981</v>
      </c>
      <c r="M777" s="79">
        <f>Inputs!$Q$8+L777*0.433</f>
        <v>1830.3262463999999</v>
      </c>
      <c r="N777" s="82">
        <f t="shared" si="230"/>
        <v>167399.92000000001</v>
      </c>
      <c r="O777" s="83">
        <f t="shared" si="231"/>
        <v>925.89020000000005</v>
      </c>
      <c r="P777" s="84">
        <f>IF(O777="","",Inputs!$C$5-O777)</f>
        <v>-100.70570000000009</v>
      </c>
      <c r="Q777" s="83">
        <f>IF(N777="","",TS!J777)</f>
        <v>2000</v>
      </c>
      <c r="R777" s="83">
        <f>IF(N777="","",TS!K777)</f>
        <v>1825</v>
      </c>
      <c r="S777" s="83">
        <f>Inputs!$H$5+TS!P777*0.4333</f>
        <v>1831.3299366399999</v>
      </c>
      <c r="T777" s="83">
        <f>Inputs!$G$5+TS!P777*0.4333</f>
        <v>1846.3299366399999</v>
      </c>
      <c r="U777" s="85">
        <f t="shared" si="232"/>
        <v>0.92316496831999995</v>
      </c>
      <c r="V777" s="86">
        <f t="shared" si="220"/>
        <v>0</v>
      </c>
      <c r="W777" s="86">
        <f t="shared" si="221"/>
        <v>0</v>
      </c>
      <c r="X777" s="86" t="e">
        <f>((PI()*((42-2*'Gen Calcs'!$E$13)^2)/4)/144)*(A820-#REF!)*(W777+14.7)/14.7</f>
        <v>#REF!</v>
      </c>
      <c r="Y777" s="86" t="e">
        <f t="shared" si="222"/>
        <v>#REF!</v>
      </c>
      <c r="Z777" s="86" t="e">
        <f t="shared" si="223"/>
        <v>#REF!</v>
      </c>
      <c r="AA777" s="83">
        <f>MAX(B$2:B777)-B777</f>
        <v>12.300799999999981</v>
      </c>
      <c r="AB777" s="83">
        <f t="shared" si="224"/>
        <v>5.3262463999999916</v>
      </c>
      <c r="AC777" s="83">
        <f t="shared" si="226"/>
        <v>120</v>
      </c>
      <c r="AD777" s="72">
        <v>120</v>
      </c>
      <c r="AE777" s="73">
        <f t="shared" si="233"/>
        <v>907.92027688745009</v>
      </c>
      <c r="AF777" s="73">
        <f>SUM(AE$2:AE777)</f>
        <v>648432.28169175831</v>
      </c>
      <c r="AG777" s="73">
        <f t="shared" si="234"/>
        <v>525297.62073535088</v>
      </c>
    </row>
    <row r="778" spans="1:33" x14ac:dyDescent="0.25">
      <c r="A778" s="100">
        <v>167499.92000000001</v>
      </c>
      <c r="B778" s="97">
        <v>923.70920000000001</v>
      </c>
      <c r="C778" s="97">
        <v>0.6</v>
      </c>
      <c r="D778" s="80">
        <f t="shared" si="219"/>
        <v>100</v>
      </c>
      <c r="E778" s="81">
        <f t="shared" si="227"/>
        <v>6791.2436711181272</v>
      </c>
      <c r="F778" s="81">
        <f>SUM(E$2:E778)</f>
        <v>4853528.4363343259</v>
      </c>
      <c r="G778" s="43">
        <f t="shared" si="225"/>
        <v>1</v>
      </c>
      <c r="H778" s="78">
        <v>1</v>
      </c>
      <c r="I778" s="15">
        <f t="shared" si="228"/>
        <v>0.6</v>
      </c>
      <c r="J778" s="16">
        <f>VLOOKUP(G778,Inputs!$L$3:$P$15,5,FALSE)</f>
        <v>2000</v>
      </c>
      <c r="K778" s="16">
        <f t="shared" si="229"/>
        <v>1825</v>
      </c>
      <c r="L778" s="79">
        <f>Inputs!$P$8-B778</f>
        <v>14.481800000000021</v>
      </c>
      <c r="M778" s="79">
        <f>Inputs!$Q$8+L778*0.433</f>
        <v>1831.2706194</v>
      </c>
      <c r="N778" s="82">
        <f t="shared" si="230"/>
        <v>167499.92000000001</v>
      </c>
      <c r="O778" s="83">
        <f t="shared" si="231"/>
        <v>923.70920000000001</v>
      </c>
      <c r="P778" s="84">
        <f>IF(O778="","",Inputs!$C$5-O778)</f>
        <v>-98.524700000000053</v>
      </c>
      <c r="Q778" s="83">
        <f>IF(N778="","",TS!J778)</f>
        <v>2000</v>
      </c>
      <c r="R778" s="83">
        <f>IF(N778="","",TS!K778)</f>
        <v>1825</v>
      </c>
      <c r="S778" s="83">
        <f>Inputs!$H$5+TS!P778*0.4333</f>
        <v>1832.2749639399999</v>
      </c>
      <c r="T778" s="83">
        <f>Inputs!$G$5+TS!P778*0.4333</f>
        <v>1847.2749639399999</v>
      </c>
      <c r="U778" s="85">
        <f t="shared" si="232"/>
        <v>0.92363748196999995</v>
      </c>
      <c r="V778" s="86">
        <f t="shared" si="220"/>
        <v>0</v>
      </c>
      <c r="W778" s="86">
        <f t="shared" si="221"/>
        <v>0</v>
      </c>
      <c r="X778" s="86" t="e">
        <f>((PI()*((42-2*'Gen Calcs'!$E$13)^2)/4)/144)*(A821-#REF!)*(W778+14.7)/14.7</f>
        <v>#REF!</v>
      </c>
      <c r="Y778" s="86" t="e">
        <f t="shared" si="222"/>
        <v>#REF!</v>
      </c>
      <c r="Z778" s="86" t="e">
        <f t="shared" si="223"/>
        <v>#REF!</v>
      </c>
      <c r="AA778" s="83">
        <f>MAX(B$2:B778)-B778</f>
        <v>14.481800000000021</v>
      </c>
      <c r="AB778" s="83">
        <f t="shared" si="224"/>
        <v>6.2706194000000091</v>
      </c>
      <c r="AC778" s="83">
        <f t="shared" si="226"/>
        <v>120</v>
      </c>
      <c r="AD778" s="72">
        <v>120</v>
      </c>
      <c r="AE778" s="73">
        <f t="shared" si="233"/>
        <v>907.92027688745009</v>
      </c>
      <c r="AF778" s="73">
        <f>SUM(AE$2:AE778)</f>
        <v>649340.20196864579</v>
      </c>
      <c r="AG778" s="73">
        <f t="shared" si="234"/>
        <v>524389.7004584634</v>
      </c>
    </row>
    <row r="779" spans="1:33" x14ac:dyDescent="0.25">
      <c r="A779" s="99">
        <v>167599.92000000001</v>
      </c>
      <c r="B779" s="96">
        <v>921.78269999999998</v>
      </c>
      <c r="C779" s="96">
        <v>0.6</v>
      </c>
      <c r="D779" s="80">
        <f t="shared" si="219"/>
        <v>100</v>
      </c>
      <c r="E779" s="81">
        <f t="shared" si="227"/>
        <v>6791.2436711181272</v>
      </c>
      <c r="F779" s="81">
        <f>SUM(E$2:E779)</f>
        <v>4860319.6800054442</v>
      </c>
      <c r="G779" s="43">
        <f t="shared" si="225"/>
        <v>1</v>
      </c>
      <c r="H779" s="78">
        <v>1</v>
      </c>
      <c r="I779" s="15">
        <f t="shared" si="228"/>
        <v>0.6</v>
      </c>
      <c r="J779" s="16">
        <f>VLOOKUP(G779,Inputs!$L$3:$P$15,5,FALSE)</f>
        <v>2000</v>
      </c>
      <c r="K779" s="16">
        <f t="shared" si="229"/>
        <v>1825</v>
      </c>
      <c r="L779" s="79">
        <f>Inputs!$P$8-B779</f>
        <v>16.408300000000054</v>
      </c>
      <c r="M779" s="79">
        <f>Inputs!$Q$8+L779*0.433</f>
        <v>1832.1047939</v>
      </c>
      <c r="N779" s="82">
        <f t="shared" si="230"/>
        <v>167599.92000000001</v>
      </c>
      <c r="O779" s="83">
        <f t="shared" si="231"/>
        <v>921.78269999999998</v>
      </c>
      <c r="P779" s="84">
        <f>IF(O779="","",Inputs!$C$5-O779)</f>
        <v>-96.59820000000002</v>
      </c>
      <c r="Q779" s="83">
        <f>IF(N779="","",TS!J779)</f>
        <v>2000</v>
      </c>
      <c r="R779" s="83">
        <f>IF(N779="","",TS!K779)</f>
        <v>1825</v>
      </c>
      <c r="S779" s="83">
        <f>Inputs!$H$5+TS!P779*0.4333</f>
        <v>1833.1097163899999</v>
      </c>
      <c r="T779" s="83">
        <f>Inputs!$G$5+TS!P779*0.4333</f>
        <v>1848.1097163899999</v>
      </c>
      <c r="U779" s="85">
        <f t="shared" si="232"/>
        <v>0.924054858195</v>
      </c>
      <c r="V779" s="86">
        <f t="shared" si="220"/>
        <v>0</v>
      </c>
      <c r="W779" s="86">
        <f t="shared" si="221"/>
        <v>0</v>
      </c>
      <c r="X779" s="86" t="e">
        <f>((PI()*((42-2*'Gen Calcs'!$E$13)^2)/4)/144)*(A822-#REF!)*(W779+14.7)/14.7</f>
        <v>#REF!</v>
      </c>
      <c r="Y779" s="86" t="e">
        <f t="shared" si="222"/>
        <v>#REF!</v>
      </c>
      <c r="Z779" s="86" t="e">
        <f t="shared" si="223"/>
        <v>#REF!</v>
      </c>
      <c r="AA779" s="83">
        <f>MAX(B$2:B779)-B779</f>
        <v>16.408300000000054</v>
      </c>
      <c r="AB779" s="83">
        <f t="shared" si="224"/>
        <v>7.1047939000000229</v>
      </c>
      <c r="AC779" s="83">
        <f t="shared" si="226"/>
        <v>120</v>
      </c>
      <c r="AD779" s="72">
        <v>120</v>
      </c>
      <c r="AE779" s="73">
        <f t="shared" si="233"/>
        <v>907.92027688745009</v>
      </c>
      <c r="AF779" s="73">
        <f>SUM(AE$2:AE779)</f>
        <v>650248.12224553328</v>
      </c>
      <c r="AG779" s="73">
        <f t="shared" si="234"/>
        <v>523481.78018157592</v>
      </c>
    </row>
    <row r="780" spans="1:33" x14ac:dyDescent="0.25">
      <c r="A780" s="100">
        <v>167699.92000000001</v>
      </c>
      <c r="B780" s="97">
        <v>919.48429999999996</v>
      </c>
      <c r="C780" s="97">
        <v>0.6</v>
      </c>
      <c r="D780" s="80">
        <f t="shared" si="219"/>
        <v>100</v>
      </c>
      <c r="E780" s="81">
        <f t="shared" si="227"/>
        <v>6791.2436711181272</v>
      </c>
      <c r="F780" s="81">
        <f>SUM(E$2:E780)</f>
        <v>4867110.9236765625</v>
      </c>
      <c r="G780" s="43">
        <f t="shared" si="225"/>
        <v>1</v>
      </c>
      <c r="H780" s="78">
        <v>1</v>
      </c>
      <c r="I780" s="15">
        <f t="shared" si="228"/>
        <v>0.6</v>
      </c>
      <c r="J780" s="16">
        <f>VLOOKUP(G780,Inputs!$L$3:$P$15,5,FALSE)</f>
        <v>2000</v>
      </c>
      <c r="K780" s="16">
        <f t="shared" si="229"/>
        <v>1825</v>
      </c>
      <c r="L780" s="79">
        <f>Inputs!$P$8-B780</f>
        <v>18.706700000000069</v>
      </c>
      <c r="M780" s="79">
        <f>Inputs!$Q$8+L780*0.433</f>
        <v>1833.1000011000001</v>
      </c>
      <c r="N780" s="82">
        <f t="shared" si="230"/>
        <v>167699.92000000001</v>
      </c>
      <c r="O780" s="83">
        <f t="shared" si="231"/>
        <v>919.48429999999996</v>
      </c>
      <c r="P780" s="84">
        <f>IF(O780="","",Inputs!$C$5-O780)</f>
        <v>-94.299800000000005</v>
      </c>
      <c r="Q780" s="83">
        <f>IF(N780="","",TS!J780)</f>
        <v>2000</v>
      </c>
      <c r="R780" s="83">
        <f>IF(N780="","",TS!K780)</f>
        <v>1825</v>
      </c>
      <c r="S780" s="83">
        <f>Inputs!$H$5+TS!P780*0.4333</f>
        <v>1834.1056131099999</v>
      </c>
      <c r="T780" s="83">
        <f>Inputs!$G$5+TS!P780*0.4333</f>
        <v>1849.1056131099999</v>
      </c>
      <c r="U780" s="85">
        <f t="shared" si="232"/>
        <v>0.92455280655499994</v>
      </c>
      <c r="V780" s="86">
        <f t="shared" si="220"/>
        <v>0</v>
      </c>
      <c r="W780" s="86">
        <f t="shared" si="221"/>
        <v>0</v>
      </c>
      <c r="X780" s="86" t="e">
        <f>((PI()*((42-2*'Gen Calcs'!$E$13)^2)/4)/144)*(A823-#REF!)*(W780+14.7)/14.7</f>
        <v>#REF!</v>
      </c>
      <c r="Y780" s="86" t="e">
        <f t="shared" si="222"/>
        <v>#REF!</v>
      </c>
      <c r="Z780" s="86" t="e">
        <f t="shared" si="223"/>
        <v>#REF!</v>
      </c>
      <c r="AA780" s="83">
        <f>MAX(B$2:B780)-B780</f>
        <v>18.706700000000069</v>
      </c>
      <c r="AB780" s="83">
        <f t="shared" si="224"/>
        <v>8.1000011000000303</v>
      </c>
      <c r="AC780" s="83">
        <f t="shared" si="226"/>
        <v>120</v>
      </c>
      <c r="AD780" s="72">
        <v>120</v>
      </c>
      <c r="AE780" s="73">
        <f t="shared" si="233"/>
        <v>907.92027688745009</v>
      </c>
      <c r="AF780" s="73">
        <f>SUM(AE$2:AE780)</f>
        <v>651156.04252242076</v>
      </c>
      <c r="AG780" s="73">
        <f t="shared" si="234"/>
        <v>522573.85990468843</v>
      </c>
    </row>
    <row r="781" spans="1:33" x14ac:dyDescent="0.25">
      <c r="A781" s="99">
        <v>167799.92</v>
      </c>
      <c r="B781" s="96">
        <v>917.14300000000003</v>
      </c>
      <c r="C781" s="96">
        <v>0.6</v>
      </c>
      <c r="D781" s="80">
        <f t="shared" si="219"/>
        <v>100</v>
      </c>
      <c r="E781" s="81">
        <f t="shared" si="227"/>
        <v>6791.2436711181272</v>
      </c>
      <c r="F781" s="81">
        <f>SUM(E$2:E781)</f>
        <v>4873902.1673476808</v>
      </c>
      <c r="G781" s="43">
        <f t="shared" si="225"/>
        <v>1</v>
      </c>
      <c r="H781" s="78">
        <v>1</v>
      </c>
      <c r="I781" s="15">
        <f t="shared" si="228"/>
        <v>0.6</v>
      </c>
      <c r="J781" s="16">
        <f>VLOOKUP(G781,Inputs!$L$3:$P$15,5,FALSE)</f>
        <v>2000</v>
      </c>
      <c r="K781" s="16">
        <f t="shared" si="229"/>
        <v>1825</v>
      </c>
      <c r="L781" s="79">
        <f>Inputs!$P$8-B781</f>
        <v>21.048000000000002</v>
      </c>
      <c r="M781" s="79">
        <f>Inputs!$Q$8+L781*0.433</f>
        <v>1834.1137839999999</v>
      </c>
      <c r="N781" s="82">
        <f t="shared" si="230"/>
        <v>167799.92</v>
      </c>
      <c r="O781" s="83">
        <f t="shared" si="231"/>
        <v>917.14300000000003</v>
      </c>
      <c r="P781" s="84">
        <f>IF(O781="","",Inputs!$C$5-O781)</f>
        <v>-91.958500000000072</v>
      </c>
      <c r="Q781" s="83">
        <f>IF(N781="","",TS!J781)</f>
        <v>2000</v>
      </c>
      <c r="R781" s="83">
        <f>IF(N781="","",TS!K781)</f>
        <v>1825</v>
      </c>
      <c r="S781" s="83">
        <f>Inputs!$H$5+TS!P781*0.4333</f>
        <v>1835.1200984</v>
      </c>
      <c r="T781" s="83">
        <f>Inputs!$G$5+TS!P781*0.4333</f>
        <v>1850.1200984</v>
      </c>
      <c r="U781" s="85">
        <f t="shared" si="232"/>
        <v>0.92506004919999996</v>
      </c>
      <c r="V781" s="86">
        <f t="shared" si="220"/>
        <v>0</v>
      </c>
      <c r="W781" s="86">
        <f t="shared" si="221"/>
        <v>0</v>
      </c>
      <c r="X781" s="86" t="e">
        <f>((PI()*((42-2*'Gen Calcs'!$E$13)^2)/4)/144)*(A824-#REF!)*(W781+14.7)/14.7</f>
        <v>#REF!</v>
      </c>
      <c r="Y781" s="86" t="e">
        <f t="shared" si="222"/>
        <v>#REF!</v>
      </c>
      <c r="Z781" s="86" t="e">
        <f t="shared" si="223"/>
        <v>#REF!</v>
      </c>
      <c r="AA781" s="83">
        <f>MAX(B$2:B781)-B781</f>
        <v>21.048000000000002</v>
      </c>
      <c r="AB781" s="83">
        <f t="shared" si="224"/>
        <v>9.1137840000000008</v>
      </c>
      <c r="AC781" s="83">
        <f t="shared" si="226"/>
        <v>120</v>
      </c>
      <c r="AD781" s="72">
        <v>120</v>
      </c>
      <c r="AE781" s="73">
        <f t="shared" si="233"/>
        <v>907.92027688745009</v>
      </c>
      <c r="AF781" s="73">
        <f>SUM(AE$2:AE781)</f>
        <v>652063.96279930824</v>
      </c>
      <c r="AG781" s="73">
        <f t="shared" si="234"/>
        <v>521665.93962780095</v>
      </c>
    </row>
    <row r="782" spans="1:33" x14ac:dyDescent="0.25">
      <c r="A782" s="100">
        <v>167899.92</v>
      </c>
      <c r="B782" s="97">
        <v>914.65499999999997</v>
      </c>
      <c r="C782" s="97">
        <v>0.6</v>
      </c>
      <c r="D782" s="80">
        <f t="shared" si="219"/>
        <v>100</v>
      </c>
      <c r="E782" s="81">
        <f t="shared" si="227"/>
        <v>6791.2436711181272</v>
      </c>
      <c r="F782" s="81">
        <f>SUM(E$2:E782)</f>
        <v>4880693.4110187991</v>
      </c>
      <c r="G782" s="43">
        <f t="shared" si="225"/>
        <v>1</v>
      </c>
      <c r="H782" s="78">
        <v>1</v>
      </c>
      <c r="I782" s="15">
        <f t="shared" si="228"/>
        <v>0.6</v>
      </c>
      <c r="J782" s="16">
        <f>VLOOKUP(G782,Inputs!$L$3:$P$15,5,FALSE)</f>
        <v>2000</v>
      </c>
      <c r="K782" s="16">
        <f t="shared" si="229"/>
        <v>1825</v>
      </c>
      <c r="L782" s="79">
        <f>Inputs!$P$8-B782</f>
        <v>23.536000000000058</v>
      </c>
      <c r="M782" s="79">
        <f>Inputs!$Q$8+L782*0.433</f>
        <v>1835.191088</v>
      </c>
      <c r="N782" s="82">
        <f t="shared" si="230"/>
        <v>167899.92</v>
      </c>
      <c r="O782" s="83">
        <f t="shared" si="231"/>
        <v>914.65499999999997</v>
      </c>
      <c r="P782" s="84">
        <f>IF(O782="","",Inputs!$C$5-O782)</f>
        <v>-89.470500000000015</v>
      </c>
      <c r="Q782" s="83">
        <f>IF(N782="","",TS!J782)</f>
        <v>2000</v>
      </c>
      <c r="R782" s="83">
        <f>IF(N782="","",TS!K782)</f>
        <v>1825</v>
      </c>
      <c r="S782" s="83">
        <f>Inputs!$H$5+TS!P782*0.4333</f>
        <v>1836.1981487999999</v>
      </c>
      <c r="T782" s="83">
        <f>Inputs!$G$5+TS!P782*0.4333</f>
        <v>1851.1981487999999</v>
      </c>
      <c r="U782" s="85">
        <f t="shared" si="232"/>
        <v>0.9255990744</v>
      </c>
      <c r="V782" s="86">
        <f t="shared" si="220"/>
        <v>0</v>
      </c>
      <c r="W782" s="86">
        <f t="shared" si="221"/>
        <v>0</v>
      </c>
      <c r="X782" s="86" t="e">
        <f>((PI()*((42-2*'Gen Calcs'!$E$13)^2)/4)/144)*(A825-#REF!)*(W782+14.7)/14.7</f>
        <v>#REF!</v>
      </c>
      <c r="Y782" s="86" t="e">
        <f t="shared" si="222"/>
        <v>#REF!</v>
      </c>
      <c r="Z782" s="86" t="e">
        <f t="shared" si="223"/>
        <v>#REF!</v>
      </c>
      <c r="AA782" s="83">
        <f>MAX(B$2:B782)-B782</f>
        <v>23.536000000000058</v>
      </c>
      <c r="AB782" s="83">
        <f t="shared" si="224"/>
        <v>10.191088000000025</v>
      </c>
      <c r="AC782" s="83">
        <f t="shared" si="226"/>
        <v>120</v>
      </c>
      <c r="AD782" s="72">
        <v>120</v>
      </c>
      <c r="AE782" s="73">
        <f t="shared" si="233"/>
        <v>907.92027688745009</v>
      </c>
      <c r="AF782" s="73">
        <f>SUM(AE$2:AE782)</f>
        <v>652971.88307619572</v>
      </c>
      <c r="AG782" s="73">
        <f t="shared" si="234"/>
        <v>520758.01935091347</v>
      </c>
    </row>
    <row r="783" spans="1:33" x14ac:dyDescent="0.25">
      <c r="A783" s="99">
        <v>167947</v>
      </c>
      <c r="B783" s="96">
        <v>914.65499999999997</v>
      </c>
      <c r="C783" s="96">
        <v>0.6</v>
      </c>
      <c r="D783" s="80">
        <f t="shared" si="219"/>
        <v>47.079999999987194</v>
      </c>
      <c r="E783" s="81">
        <f t="shared" si="227"/>
        <v>3197.3175203615442</v>
      </c>
      <c r="F783" s="81">
        <f>SUM(E$2:E783)</f>
        <v>4883890.7285391605</v>
      </c>
      <c r="G783" s="43">
        <f t="shared" si="225"/>
        <v>1</v>
      </c>
      <c r="H783" s="78">
        <v>1</v>
      </c>
      <c r="I783" s="15">
        <f t="shared" si="228"/>
        <v>0.6</v>
      </c>
      <c r="J783" s="16">
        <f>VLOOKUP(G783,Inputs!$L$3:$P$15,5,FALSE)</f>
        <v>2000</v>
      </c>
      <c r="K783" s="16">
        <f t="shared" si="229"/>
        <v>1825</v>
      </c>
      <c r="L783" s="79">
        <f>Inputs!$P$8-B783</f>
        <v>23.536000000000058</v>
      </c>
      <c r="M783" s="79">
        <f>Inputs!$Q$8+L783*0.433</f>
        <v>1835.191088</v>
      </c>
      <c r="N783" s="82">
        <f t="shared" si="230"/>
        <v>167947</v>
      </c>
      <c r="O783" s="83">
        <f t="shared" si="231"/>
        <v>914.65499999999997</v>
      </c>
      <c r="P783" s="84">
        <f>IF(O783="","",Inputs!$C$5-O783)</f>
        <v>-89.470500000000015</v>
      </c>
      <c r="Q783" s="83">
        <f>IF(N783="","",TS!J783)</f>
        <v>2000</v>
      </c>
      <c r="R783" s="83">
        <f>IF(N783="","",TS!K783)</f>
        <v>1825</v>
      </c>
      <c r="S783" s="83">
        <f>Inputs!$H$5+TS!P783*0.4333</f>
        <v>1836.1981487999999</v>
      </c>
      <c r="T783" s="83">
        <f>Inputs!$G$5+TS!P783*0.4333</f>
        <v>1851.1981487999999</v>
      </c>
      <c r="U783" s="85">
        <f t="shared" si="232"/>
        <v>0.9255990744</v>
      </c>
      <c r="V783" s="86">
        <f t="shared" si="220"/>
        <v>0</v>
      </c>
      <c r="W783" s="86">
        <f t="shared" si="221"/>
        <v>0</v>
      </c>
      <c r="X783" s="86" t="e">
        <f>((PI()*((42-2*'Gen Calcs'!$E$13)^2)/4)/144)*(A826-#REF!)*(W783+14.7)/14.7</f>
        <v>#REF!</v>
      </c>
      <c r="Y783" s="86" t="e">
        <f t="shared" si="222"/>
        <v>#REF!</v>
      </c>
      <c r="Z783" s="86" t="e">
        <f t="shared" si="223"/>
        <v>#REF!</v>
      </c>
      <c r="AA783" s="83">
        <f>MAX(B$2:B783)-B783</f>
        <v>23.536000000000058</v>
      </c>
      <c r="AB783" s="83">
        <f t="shared" si="224"/>
        <v>10.191088000000025</v>
      </c>
      <c r="AC783" s="83">
        <f t="shared" si="226"/>
        <v>120</v>
      </c>
      <c r="AD783" s="72">
        <v>120</v>
      </c>
      <c r="AE783" s="73">
        <f t="shared" si="233"/>
        <v>427.4488663584952</v>
      </c>
      <c r="AF783" s="73">
        <f>SUM(AE$2:AE783)</f>
        <v>653399.33194255421</v>
      </c>
      <c r="AG783" s="73">
        <f t="shared" si="234"/>
        <v>520330.57048455498</v>
      </c>
    </row>
    <row r="784" spans="1:33" x14ac:dyDescent="0.25">
      <c r="A784" s="100">
        <v>167999.92</v>
      </c>
      <c r="B784" s="97">
        <v>911.93709999999999</v>
      </c>
      <c r="C784" s="97">
        <v>0.6</v>
      </c>
      <c r="D784" s="80">
        <f t="shared" si="219"/>
        <v>52.920000000012806</v>
      </c>
      <c r="E784" s="81">
        <f t="shared" si="227"/>
        <v>3593.9261507565825</v>
      </c>
      <c r="F784" s="81">
        <f>SUM(E$2:E784)</f>
        <v>4887484.6546899173</v>
      </c>
      <c r="G784" s="43">
        <f t="shared" si="225"/>
        <v>1</v>
      </c>
      <c r="H784" s="78">
        <v>1</v>
      </c>
      <c r="I784" s="15">
        <f t="shared" si="228"/>
        <v>0.6</v>
      </c>
      <c r="J784" s="16">
        <f>VLOOKUP(G784,Inputs!$L$3:$P$15,5,FALSE)</f>
        <v>2000</v>
      </c>
      <c r="K784" s="16">
        <f t="shared" si="229"/>
        <v>1825</v>
      </c>
      <c r="L784" s="79">
        <f>Inputs!$P$8-B784</f>
        <v>26.253900000000044</v>
      </c>
      <c r="M784" s="79">
        <f>Inputs!$Q$8+L784*0.433</f>
        <v>1836.3679387</v>
      </c>
      <c r="N784" s="82">
        <f t="shared" si="230"/>
        <v>167999.92</v>
      </c>
      <c r="O784" s="83">
        <f t="shared" si="231"/>
        <v>911.93709999999999</v>
      </c>
      <c r="P784" s="84">
        <f>IF(O784="","",Inputs!$C$5-O784)</f>
        <v>-86.752600000000029</v>
      </c>
      <c r="Q784" s="83">
        <f>IF(N784="","",TS!J784)</f>
        <v>2000</v>
      </c>
      <c r="R784" s="83">
        <f>IF(N784="","",TS!K784)</f>
        <v>1825</v>
      </c>
      <c r="S784" s="83">
        <f>Inputs!$H$5+TS!P784*0.4333</f>
        <v>1837.3758148699999</v>
      </c>
      <c r="T784" s="83">
        <f>Inputs!$G$5+TS!P784*0.4333</f>
        <v>1852.3758148699999</v>
      </c>
      <c r="U784" s="85">
        <f t="shared" si="232"/>
        <v>0.9261879074349999</v>
      </c>
      <c r="V784" s="86">
        <f t="shared" si="220"/>
        <v>0</v>
      </c>
      <c r="W784" s="86">
        <f t="shared" si="221"/>
        <v>0</v>
      </c>
      <c r="X784" s="86" t="e">
        <f>((PI()*((42-2*'Gen Calcs'!$E$13)^2)/4)/144)*(A827-#REF!)*(W784+14.7)/14.7</f>
        <v>#REF!</v>
      </c>
      <c r="Y784" s="86" t="e">
        <f t="shared" si="222"/>
        <v>#REF!</v>
      </c>
      <c r="Z784" s="86" t="e">
        <f t="shared" si="223"/>
        <v>#REF!</v>
      </c>
      <c r="AA784" s="83">
        <f>MAX(B$2:B784)-B784</f>
        <v>26.253900000000044</v>
      </c>
      <c r="AB784" s="83">
        <f t="shared" si="224"/>
        <v>11.367938700000019</v>
      </c>
      <c r="AC784" s="83">
        <f t="shared" si="226"/>
        <v>120</v>
      </c>
      <c r="AD784" s="72">
        <v>120</v>
      </c>
      <c r="AE784" s="73">
        <f t="shared" si="233"/>
        <v>480.47141052895483</v>
      </c>
      <c r="AF784" s="73">
        <f>SUM(AE$2:AE784)</f>
        <v>653879.8033530832</v>
      </c>
      <c r="AG784" s="73">
        <f t="shared" si="234"/>
        <v>519850.09907402599</v>
      </c>
    </row>
    <row r="785" spans="1:33" x14ac:dyDescent="0.25">
      <c r="A785" s="99">
        <v>168022</v>
      </c>
      <c r="B785" s="96">
        <v>911.93709999999999</v>
      </c>
      <c r="C785" s="96">
        <v>0.6</v>
      </c>
      <c r="D785" s="80">
        <f t="shared" si="219"/>
        <v>22.079999999987194</v>
      </c>
      <c r="E785" s="81">
        <f t="shared" si="227"/>
        <v>1499.5066025820126</v>
      </c>
      <c r="F785" s="81">
        <f>SUM(E$2:E785)</f>
        <v>4888984.1612924989</v>
      </c>
      <c r="G785" s="43">
        <f t="shared" si="225"/>
        <v>1</v>
      </c>
      <c r="H785" s="78">
        <v>1</v>
      </c>
      <c r="I785" s="15">
        <f t="shared" si="228"/>
        <v>0.6</v>
      </c>
      <c r="J785" s="16">
        <f>VLOOKUP(G785,Inputs!$L$3:$P$15,5,FALSE)</f>
        <v>2000</v>
      </c>
      <c r="K785" s="16">
        <f t="shared" si="229"/>
        <v>1825</v>
      </c>
      <c r="L785" s="79">
        <f>Inputs!$P$8-B785</f>
        <v>26.253900000000044</v>
      </c>
      <c r="M785" s="79">
        <f>Inputs!$Q$8+L785*0.433</f>
        <v>1836.3679387</v>
      </c>
      <c r="N785" s="82">
        <f t="shared" si="230"/>
        <v>168022</v>
      </c>
      <c r="O785" s="83">
        <f t="shared" si="231"/>
        <v>911.93709999999999</v>
      </c>
      <c r="P785" s="84">
        <f>IF(O785="","",Inputs!$C$5-O785)</f>
        <v>-86.752600000000029</v>
      </c>
      <c r="Q785" s="83">
        <f>IF(N785="","",TS!J785)</f>
        <v>2000</v>
      </c>
      <c r="R785" s="83">
        <f>IF(N785="","",TS!K785)</f>
        <v>1825</v>
      </c>
      <c r="S785" s="83">
        <f>Inputs!$H$5+TS!P785*0.4333</f>
        <v>1837.3758148699999</v>
      </c>
      <c r="T785" s="83">
        <f>Inputs!$G$5+TS!P785*0.4333</f>
        <v>1852.3758148699999</v>
      </c>
      <c r="U785" s="85">
        <f t="shared" si="232"/>
        <v>0.9261879074349999</v>
      </c>
      <c r="V785" s="86">
        <f t="shared" si="220"/>
        <v>0</v>
      </c>
      <c r="W785" s="86">
        <f t="shared" si="221"/>
        <v>0</v>
      </c>
      <c r="X785" s="86" t="e">
        <f>((PI()*((42-2*'Gen Calcs'!$E$13)^2)/4)/144)*(A828-#REF!)*(W785+14.7)/14.7</f>
        <v>#REF!</v>
      </c>
      <c r="Y785" s="86" t="e">
        <f t="shared" si="222"/>
        <v>#REF!</v>
      </c>
      <c r="Z785" s="86" t="e">
        <f t="shared" si="223"/>
        <v>#REF!</v>
      </c>
      <c r="AA785" s="83">
        <f>MAX(B$2:B785)-B785</f>
        <v>26.253900000000044</v>
      </c>
      <c r="AB785" s="83">
        <f t="shared" si="224"/>
        <v>11.367938700000019</v>
      </c>
      <c r="AC785" s="83">
        <f t="shared" si="226"/>
        <v>120</v>
      </c>
      <c r="AD785" s="72">
        <v>120</v>
      </c>
      <c r="AE785" s="73">
        <f t="shared" si="233"/>
        <v>200.4687971366327</v>
      </c>
      <c r="AF785" s="73">
        <f>SUM(AE$2:AE785)</f>
        <v>654080.27215021988</v>
      </c>
      <c r="AG785" s="73">
        <f t="shared" si="234"/>
        <v>519649.63027688931</v>
      </c>
    </row>
    <row r="786" spans="1:33" x14ac:dyDescent="0.25">
      <c r="A786" s="100">
        <v>168099.92</v>
      </c>
      <c r="B786" s="97">
        <v>909.74080000000004</v>
      </c>
      <c r="C786" s="97">
        <v>0.6</v>
      </c>
      <c r="D786" s="80">
        <f t="shared" si="219"/>
        <v>77.920000000012806</v>
      </c>
      <c r="E786" s="81">
        <f t="shared" si="227"/>
        <v>5291.7370685361147</v>
      </c>
      <c r="F786" s="81">
        <f>SUM(E$2:E786)</f>
        <v>4894275.8983610347</v>
      </c>
      <c r="G786" s="43">
        <f t="shared" si="225"/>
        <v>1</v>
      </c>
      <c r="H786" s="78">
        <v>1</v>
      </c>
      <c r="I786" s="15">
        <f t="shared" si="228"/>
        <v>0.6</v>
      </c>
      <c r="J786" s="16">
        <f>VLOOKUP(G786,Inputs!$L$3:$P$15,5,FALSE)</f>
        <v>2000</v>
      </c>
      <c r="K786" s="16">
        <f t="shared" si="229"/>
        <v>1825</v>
      </c>
      <c r="L786" s="79">
        <f>Inputs!$P$8-B786</f>
        <v>28.450199999999995</v>
      </c>
      <c r="M786" s="79">
        <f>Inputs!$Q$8+L786*0.433</f>
        <v>1837.3189365999999</v>
      </c>
      <c r="N786" s="82">
        <f t="shared" si="230"/>
        <v>168099.92</v>
      </c>
      <c r="O786" s="83">
        <f t="shared" si="231"/>
        <v>909.74080000000004</v>
      </c>
      <c r="P786" s="84">
        <f>IF(O786="","",Inputs!$C$5-O786)</f>
        <v>-84.556300000000078</v>
      </c>
      <c r="Q786" s="83">
        <f>IF(N786="","",TS!J786)</f>
        <v>2000</v>
      </c>
      <c r="R786" s="83">
        <f>IF(N786="","",TS!K786)</f>
        <v>1825</v>
      </c>
      <c r="S786" s="83">
        <f>Inputs!$H$5+TS!P786*0.4333</f>
        <v>1838.3274716599999</v>
      </c>
      <c r="T786" s="83">
        <f>Inputs!$G$5+TS!P786*0.4333</f>
        <v>1853.3274716599999</v>
      </c>
      <c r="U786" s="85">
        <f t="shared" si="232"/>
        <v>0.92666373582999995</v>
      </c>
      <c r="V786" s="86">
        <f t="shared" si="220"/>
        <v>0</v>
      </c>
      <c r="W786" s="86">
        <f t="shared" si="221"/>
        <v>0</v>
      </c>
      <c r="X786" s="86" t="e">
        <f>((PI()*((42-2*'Gen Calcs'!$E$13)^2)/4)/144)*(A829-#REF!)*(W786+14.7)/14.7</f>
        <v>#REF!</v>
      </c>
      <c r="Y786" s="86" t="e">
        <f t="shared" si="222"/>
        <v>#REF!</v>
      </c>
      <c r="Z786" s="86" t="e">
        <f t="shared" si="223"/>
        <v>#REF!</v>
      </c>
      <c r="AA786" s="83">
        <f>MAX(B$2:B786)-B786</f>
        <v>28.450199999999995</v>
      </c>
      <c r="AB786" s="83">
        <f t="shared" si="224"/>
        <v>12.318936599999997</v>
      </c>
      <c r="AC786" s="83">
        <f t="shared" si="226"/>
        <v>120</v>
      </c>
      <c r="AD786" s="72">
        <v>120</v>
      </c>
      <c r="AE786" s="73">
        <f t="shared" si="233"/>
        <v>707.45147975081738</v>
      </c>
      <c r="AF786" s="73">
        <f>SUM(AE$2:AE786)</f>
        <v>654787.72362997069</v>
      </c>
      <c r="AG786" s="73">
        <f t="shared" si="234"/>
        <v>518942.17879713851</v>
      </c>
    </row>
    <row r="787" spans="1:33" x14ac:dyDescent="0.25">
      <c r="A787" s="99">
        <v>168199.92</v>
      </c>
      <c r="B787" s="96">
        <v>908.14359999999999</v>
      </c>
      <c r="C787" s="96">
        <v>0.6</v>
      </c>
      <c r="D787" s="80">
        <f t="shared" si="219"/>
        <v>100</v>
      </c>
      <c r="E787" s="81">
        <f t="shared" si="227"/>
        <v>6791.2436711181272</v>
      </c>
      <c r="F787" s="81">
        <f>SUM(E$2:E787)</f>
        <v>4901067.142032153</v>
      </c>
      <c r="G787" s="43">
        <f t="shared" si="225"/>
        <v>1</v>
      </c>
      <c r="H787" s="78">
        <v>1</v>
      </c>
      <c r="I787" s="15">
        <f t="shared" si="228"/>
        <v>0.6</v>
      </c>
      <c r="J787" s="16">
        <f>VLOOKUP(G787,Inputs!$L$3:$P$15,5,FALSE)</f>
        <v>2000</v>
      </c>
      <c r="K787" s="16">
        <f t="shared" si="229"/>
        <v>1825</v>
      </c>
      <c r="L787" s="79">
        <f>Inputs!$P$8-B787</f>
        <v>30.047400000000039</v>
      </c>
      <c r="M787" s="79">
        <f>Inputs!$Q$8+L787*0.433</f>
        <v>1838.0105242</v>
      </c>
      <c r="N787" s="82">
        <f t="shared" si="230"/>
        <v>168199.92</v>
      </c>
      <c r="O787" s="83">
        <f t="shared" si="231"/>
        <v>908.14359999999999</v>
      </c>
      <c r="P787" s="84">
        <f>IF(O787="","",Inputs!$C$5-O787)</f>
        <v>-82.959100000000035</v>
      </c>
      <c r="Q787" s="83">
        <f>IF(N787="","",TS!J787)</f>
        <v>2000</v>
      </c>
      <c r="R787" s="83">
        <f>IF(N787="","",TS!K787)</f>
        <v>1825</v>
      </c>
      <c r="S787" s="83">
        <f>Inputs!$H$5+TS!P787*0.4333</f>
        <v>1839.0195384199999</v>
      </c>
      <c r="T787" s="83">
        <f>Inputs!$G$5+TS!P787*0.4333</f>
        <v>1854.0195384199999</v>
      </c>
      <c r="U787" s="85">
        <f t="shared" si="232"/>
        <v>0.92700976920999989</v>
      </c>
      <c r="V787" s="86">
        <f t="shared" si="220"/>
        <v>0</v>
      </c>
      <c r="W787" s="86">
        <f t="shared" si="221"/>
        <v>0</v>
      </c>
      <c r="X787" s="86" t="e">
        <f>((PI()*((42-2*'Gen Calcs'!$E$13)^2)/4)/144)*(A830-#REF!)*(W787+14.7)/14.7</f>
        <v>#REF!</v>
      </c>
      <c r="Y787" s="86" t="e">
        <f t="shared" si="222"/>
        <v>#REF!</v>
      </c>
      <c r="Z787" s="86" t="e">
        <f t="shared" si="223"/>
        <v>#REF!</v>
      </c>
      <c r="AA787" s="83">
        <f>MAX(B$2:B787)-B787</f>
        <v>30.047400000000039</v>
      </c>
      <c r="AB787" s="83">
        <f t="shared" si="224"/>
        <v>13.010524200000017</v>
      </c>
      <c r="AC787" s="83">
        <f t="shared" si="226"/>
        <v>120</v>
      </c>
      <c r="AD787" s="72">
        <v>120</v>
      </c>
      <c r="AE787" s="73">
        <f t="shared" si="233"/>
        <v>907.92027688745009</v>
      </c>
      <c r="AF787" s="73">
        <f>SUM(AE$2:AE787)</f>
        <v>655695.64390685817</v>
      </c>
      <c r="AG787" s="73">
        <f t="shared" si="234"/>
        <v>518034.25852025102</v>
      </c>
    </row>
    <row r="788" spans="1:33" x14ac:dyDescent="0.25">
      <c r="A788" s="100">
        <v>168244.4</v>
      </c>
      <c r="B788" s="97">
        <v>908.14359999999999</v>
      </c>
      <c r="C788" s="97">
        <v>0.86399999999999999</v>
      </c>
      <c r="D788" s="80">
        <f t="shared" si="219"/>
        <v>44.479999999981374</v>
      </c>
      <c r="E788" s="81">
        <f t="shared" si="227"/>
        <v>3020.7451849120775</v>
      </c>
      <c r="F788" s="81">
        <f>SUM(E$2:E788)</f>
        <v>4904087.8872170653</v>
      </c>
      <c r="G788" s="43">
        <f t="shared" si="225"/>
        <v>2</v>
      </c>
      <c r="H788" s="78">
        <v>1</v>
      </c>
      <c r="I788" s="15">
        <f t="shared" si="228"/>
        <v>0.86399999999999999</v>
      </c>
      <c r="J788" s="16">
        <f>VLOOKUP(G788,Inputs!$L$3:$P$15,5,FALSE)</f>
        <v>2880</v>
      </c>
      <c r="K788" s="16">
        <f t="shared" si="229"/>
        <v>1825</v>
      </c>
      <c r="L788" s="79">
        <f>Inputs!$P$8-B788</f>
        <v>30.047400000000039</v>
      </c>
      <c r="M788" s="79">
        <f>Inputs!$Q$8+L788*0.433</f>
        <v>1838.0105242</v>
      </c>
      <c r="N788" s="82">
        <f t="shared" si="230"/>
        <v>168244.4</v>
      </c>
      <c r="O788" s="83">
        <f t="shared" si="231"/>
        <v>908.14359999999999</v>
      </c>
      <c r="P788" s="84">
        <f>IF(O788="","",Inputs!$C$5-O788)</f>
        <v>-82.959100000000035</v>
      </c>
      <c r="Q788" s="83">
        <f>IF(N788="","",TS!J788)</f>
        <v>2880</v>
      </c>
      <c r="R788" s="83">
        <f>IF(N788="","",TS!K788)</f>
        <v>1825</v>
      </c>
      <c r="S788" s="83">
        <f>Inputs!$H$5+TS!P788*0.4333</f>
        <v>1839.0195384199999</v>
      </c>
      <c r="T788" s="83">
        <f>Inputs!$G$5+TS!P788*0.4333</f>
        <v>1854.0195384199999</v>
      </c>
      <c r="U788" s="85">
        <f t="shared" si="232"/>
        <v>0.64375678417361104</v>
      </c>
      <c r="V788" s="86">
        <f t="shared" si="220"/>
        <v>0</v>
      </c>
      <c r="W788" s="86">
        <f t="shared" si="221"/>
        <v>0</v>
      </c>
      <c r="X788" s="86" t="e">
        <f>((PI()*((42-2*'Gen Calcs'!$E$13)^2)/4)/144)*(A831-#REF!)*(W788+14.7)/14.7</f>
        <v>#REF!</v>
      </c>
      <c r="Y788" s="86" t="e">
        <f t="shared" si="222"/>
        <v>#REF!</v>
      </c>
      <c r="Z788" s="86" t="e">
        <f t="shared" si="223"/>
        <v>#REF!</v>
      </c>
      <c r="AA788" s="83">
        <f>MAX(B$2:B788)-B788</f>
        <v>30.047400000000039</v>
      </c>
      <c r="AB788" s="83">
        <f t="shared" si="224"/>
        <v>13.010524200000017</v>
      </c>
      <c r="AC788" s="83">
        <f t="shared" si="226"/>
        <v>120</v>
      </c>
      <c r="AD788" s="72">
        <v>120</v>
      </c>
      <c r="AE788" s="73">
        <f t="shared" si="233"/>
        <v>393.45816688719998</v>
      </c>
      <c r="AF788" s="73">
        <f>SUM(AE$2:AE788)</f>
        <v>656089.10207374534</v>
      </c>
      <c r="AG788" s="73">
        <f t="shared" si="234"/>
        <v>517640.80035336385</v>
      </c>
    </row>
    <row r="789" spans="1:33" x14ac:dyDescent="0.25">
      <c r="A789" s="99">
        <v>168299.92</v>
      </c>
      <c r="B789" s="96">
        <v>907.57860000000005</v>
      </c>
      <c r="C789" s="96">
        <v>0.6</v>
      </c>
      <c r="D789" s="80">
        <f t="shared" si="219"/>
        <v>55.520000000018626</v>
      </c>
      <c r="E789" s="81">
        <f t="shared" si="227"/>
        <v>3770.4984862060487</v>
      </c>
      <c r="F789" s="81">
        <f>SUM(E$2:E789)</f>
        <v>4907858.3857032713</v>
      </c>
      <c r="G789" s="43">
        <f t="shared" si="225"/>
        <v>1</v>
      </c>
      <c r="H789" s="78">
        <v>1</v>
      </c>
      <c r="I789" s="15">
        <f t="shared" si="228"/>
        <v>0.6</v>
      </c>
      <c r="J789" s="16">
        <f>VLOOKUP(G789,Inputs!$L$3:$P$15,5,FALSE)</f>
        <v>2000</v>
      </c>
      <c r="K789" s="16">
        <f t="shared" si="229"/>
        <v>1825</v>
      </c>
      <c r="L789" s="79">
        <f>Inputs!$P$8-B789</f>
        <v>30.61239999999998</v>
      </c>
      <c r="M789" s="79">
        <f>Inputs!$Q$8+L789*0.433</f>
        <v>1838.2551692</v>
      </c>
      <c r="N789" s="82">
        <f t="shared" si="230"/>
        <v>168299.92</v>
      </c>
      <c r="O789" s="83">
        <f t="shared" si="231"/>
        <v>907.57860000000005</v>
      </c>
      <c r="P789" s="84">
        <f>IF(O789="","",Inputs!$C$5-O789)</f>
        <v>-82.394100000000094</v>
      </c>
      <c r="Q789" s="83">
        <f>IF(N789="","",TS!J789)</f>
        <v>2000</v>
      </c>
      <c r="R789" s="83">
        <f>IF(N789="","",TS!K789)</f>
        <v>1825</v>
      </c>
      <c r="S789" s="83">
        <f>Inputs!$H$5+TS!P789*0.4333</f>
        <v>1839.26435292</v>
      </c>
      <c r="T789" s="83">
        <f>Inputs!$G$5+TS!P789*0.4333</f>
        <v>1854.26435292</v>
      </c>
      <c r="U789" s="85">
        <f t="shared" si="232"/>
        <v>0.92713217646000001</v>
      </c>
      <c r="V789" s="86">
        <f t="shared" si="220"/>
        <v>0</v>
      </c>
      <c r="W789" s="86">
        <f t="shared" si="221"/>
        <v>0</v>
      </c>
      <c r="X789" s="86" t="e">
        <f>((PI()*((42-2*'Gen Calcs'!$E$13)^2)/4)/144)*(A832-#REF!)*(W789+14.7)/14.7</f>
        <v>#REF!</v>
      </c>
      <c r="Y789" s="86" t="e">
        <f t="shared" si="222"/>
        <v>#REF!</v>
      </c>
      <c r="Z789" s="86" t="e">
        <f t="shared" si="223"/>
        <v>#REF!</v>
      </c>
      <c r="AA789" s="83">
        <f>MAX(B$2:B789)-B789</f>
        <v>30.61239999999998</v>
      </c>
      <c r="AB789" s="83">
        <f t="shared" si="224"/>
        <v>13.25516919999999</v>
      </c>
      <c r="AC789" s="83">
        <f t="shared" si="226"/>
        <v>120</v>
      </c>
      <c r="AD789" s="72">
        <v>120</v>
      </c>
      <c r="AE789" s="73">
        <f t="shared" si="233"/>
        <v>504.07733772808137</v>
      </c>
      <c r="AF789" s="73">
        <f>SUM(AE$2:AE789)</f>
        <v>656593.17941147345</v>
      </c>
      <c r="AG789" s="73">
        <f t="shared" si="234"/>
        <v>517136.72301563574</v>
      </c>
    </row>
    <row r="790" spans="1:33" x14ac:dyDescent="0.25">
      <c r="A790" s="100">
        <v>168399.92</v>
      </c>
      <c r="B790" s="97">
        <v>907.90049999999997</v>
      </c>
      <c r="C790" s="97">
        <v>0.6</v>
      </c>
      <c r="D790" s="80">
        <f t="shared" si="219"/>
        <v>100</v>
      </c>
      <c r="E790" s="81">
        <f t="shared" si="227"/>
        <v>6791.2436711181272</v>
      </c>
      <c r="F790" s="81">
        <f>SUM(E$2:E790)</f>
        <v>4914649.6293743895</v>
      </c>
      <c r="G790" s="43">
        <f t="shared" si="225"/>
        <v>1</v>
      </c>
      <c r="H790" s="78">
        <v>1</v>
      </c>
      <c r="I790" s="15">
        <f t="shared" si="228"/>
        <v>0.6</v>
      </c>
      <c r="J790" s="16">
        <f>VLOOKUP(G790,Inputs!$L$3:$P$15,5,FALSE)</f>
        <v>2000</v>
      </c>
      <c r="K790" s="16">
        <f t="shared" si="229"/>
        <v>1825</v>
      </c>
      <c r="L790" s="79">
        <f>Inputs!$P$8-B790</f>
        <v>30.290500000000065</v>
      </c>
      <c r="M790" s="79">
        <f>Inputs!$Q$8+L790*0.433</f>
        <v>1838.1157865</v>
      </c>
      <c r="N790" s="82">
        <f t="shared" si="230"/>
        <v>168399.92</v>
      </c>
      <c r="O790" s="83">
        <f t="shared" si="231"/>
        <v>907.90049999999997</v>
      </c>
      <c r="P790" s="84">
        <f>IF(O790="","",Inputs!$C$5-O790)</f>
        <v>-82.716000000000008</v>
      </c>
      <c r="Q790" s="83">
        <f>IF(N790="","",TS!J790)</f>
        <v>2000</v>
      </c>
      <c r="R790" s="83">
        <f>IF(N790="","",TS!K790)</f>
        <v>1825</v>
      </c>
      <c r="S790" s="83">
        <f>Inputs!$H$5+TS!P790*0.4333</f>
        <v>1839.1248736499999</v>
      </c>
      <c r="T790" s="83">
        <f>Inputs!$G$5+TS!P790*0.4333</f>
        <v>1854.1248736499999</v>
      </c>
      <c r="U790" s="85">
        <f t="shared" si="232"/>
        <v>0.927062436825</v>
      </c>
      <c r="V790" s="86">
        <f t="shared" si="220"/>
        <v>0</v>
      </c>
      <c r="W790" s="86">
        <f t="shared" si="221"/>
        <v>0</v>
      </c>
      <c r="X790" s="86" t="e">
        <f>((PI()*((42-2*'Gen Calcs'!$E$13)^2)/4)/144)*(A833-#REF!)*(W790+14.7)/14.7</f>
        <v>#REF!</v>
      </c>
      <c r="Y790" s="86" t="e">
        <f t="shared" si="222"/>
        <v>#REF!</v>
      </c>
      <c r="Z790" s="86" t="e">
        <f t="shared" si="223"/>
        <v>#REF!</v>
      </c>
      <c r="AA790" s="83">
        <f>MAX(B$2:B790)-B790</f>
        <v>30.290500000000065</v>
      </c>
      <c r="AB790" s="83">
        <f t="shared" si="224"/>
        <v>13.115786500000029</v>
      </c>
      <c r="AC790" s="83">
        <f t="shared" si="226"/>
        <v>120</v>
      </c>
      <c r="AD790" s="72">
        <v>120</v>
      </c>
      <c r="AE790" s="73">
        <f t="shared" si="233"/>
        <v>907.92027688745009</v>
      </c>
      <c r="AF790" s="73">
        <f>SUM(AE$2:AE790)</f>
        <v>657501.09968836093</v>
      </c>
      <c r="AG790" s="73">
        <f t="shared" si="234"/>
        <v>516228.80273874826</v>
      </c>
    </row>
    <row r="791" spans="1:33" x14ac:dyDescent="0.25">
      <c r="A791" s="99">
        <v>168499.92</v>
      </c>
      <c r="B791" s="96">
        <v>908.19860000000006</v>
      </c>
      <c r="C791" s="96">
        <v>0.6</v>
      </c>
      <c r="D791" s="80">
        <f t="shared" si="219"/>
        <v>100</v>
      </c>
      <c r="E791" s="81">
        <f t="shared" si="227"/>
        <v>6791.2436711181272</v>
      </c>
      <c r="F791" s="81">
        <f>SUM(E$2:E791)</f>
        <v>4921440.8730455078</v>
      </c>
      <c r="G791" s="43">
        <f t="shared" si="225"/>
        <v>1</v>
      </c>
      <c r="H791" s="78">
        <v>1</v>
      </c>
      <c r="I791" s="15">
        <f t="shared" si="228"/>
        <v>0.6</v>
      </c>
      <c r="J791" s="16">
        <f>VLOOKUP(G791,Inputs!$L$3:$P$15,5,FALSE)</f>
        <v>2000</v>
      </c>
      <c r="K791" s="16">
        <f t="shared" si="229"/>
        <v>1825</v>
      </c>
      <c r="L791" s="79">
        <f>Inputs!$P$8-B791</f>
        <v>29.992399999999975</v>
      </c>
      <c r="M791" s="79">
        <f>Inputs!$Q$8+L791*0.433</f>
        <v>1837.9867092</v>
      </c>
      <c r="N791" s="82">
        <f t="shared" si="230"/>
        <v>168499.92</v>
      </c>
      <c r="O791" s="83">
        <f t="shared" si="231"/>
        <v>908.19860000000006</v>
      </c>
      <c r="P791" s="84">
        <f>IF(O791="","",Inputs!$C$5-O791)</f>
        <v>-83.014100000000099</v>
      </c>
      <c r="Q791" s="83">
        <f>IF(N791="","",TS!J791)</f>
        <v>2000</v>
      </c>
      <c r="R791" s="83">
        <f>IF(N791="","",TS!K791)</f>
        <v>1825</v>
      </c>
      <c r="S791" s="83">
        <f>Inputs!$H$5+TS!P791*0.4333</f>
        <v>1838.99570692</v>
      </c>
      <c r="T791" s="83">
        <f>Inputs!$G$5+TS!P791*0.4333</f>
        <v>1853.99570692</v>
      </c>
      <c r="U791" s="85">
        <f t="shared" si="232"/>
        <v>0.92699785345999997</v>
      </c>
      <c r="V791" s="86">
        <f t="shared" si="220"/>
        <v>0</v>
      </c>
      <c r="W791" s="86">
        <f t="shared" si="221"/>
        <v>0</v>
      </c>
      <c r="X791" s="86" t="e">
        <f>((PI()*((42-2*'Gen Calcs'!$E$13)^2)/4)/144)*(A834-#REF!)*(W791+14.7)/14.7</f>
        <v>#REF!</v>
      </c>
      <c r="Y791" s="86" t="e">
        <f t="shared" si="222"/>
        <v>#REF!</v>
      </c>
      <c r="Z791" s="86" t="e">
        <f t="shared" si="223"/>
        <v>#REF!</v>
      </c>
      <c r="AA791" s="83">
        <f>MAX(B$2:B791)-B791</f>
        <v>29.992399999999975</v>
      </c>
      <c r="AB791" s="83">
        <f t="shared" si="224"/>
        <v>12.986709199999989</v>
      </c>
      <c r="AC791" s="83">
        <f t="shared" si="226"/>
        <v>120</v>
      </c>
      <c r="AD791" s="72">
        <v>120</v>
      </c>
      <c r="AE791" s="73">
        <f t="shared" si="233"/>
        <v>907.92027688745009</v>
      </c>
      <c r="AF791" s="73">
        <f>SUM(AE$2:AE791)</f>
        <v>658409.01996524842</v>
      </c>
      <c r="AG791" s="73">
        <f t="shared" si="234"/>
        <v>515320.88246186078</v>
      </c>
    </row>
    <row r="792" spans="1:33" x14ac:dyDescent="0.25">
      <c r="A792" s="100">
        <v>168599.92</v>
      </c>
      <c r="B792" s="97">
        <v>911.55079999999998</v>
      </c>
      <c r="C792" s="97">
        <v>0.6</v>
      </c>
      <c r="D792" s="80">
        <f t="shared" si="219"/>
        <v>100</v>
      </c>
      <c r="E792" s="81">
        <f t="shared" si="227"/>
        <v>6791.2436711181272</v>
      </c>
      <c r="F792" s="81">
        <f>SUM(E$2:E792)</f>
        <v>4928232.1167166261</v>
      </c>
      <c r="G792" s="43">
        <f t="shared" si="225"/>
        <v>1</v>
      </c>
      <c r="H792" s="78">
        <v>1</v>
      </c>
      <c r="I792" s="15">
        <f t="shared" si="228"/>
        <v>0.6</v>
      </c>
      <c r="J792" s="16">
        <f>VLOOKUP(G792,Inputs!$L$3:$P$15,5,FALSE)</f>
        <v>2000</v>
      </c>
      <c r="K792" s="16">
        <f t="shared" si="229"/>
        <v>1825</v>
      </c>
      <c r="L792" s="79">
        <f>Inputs!$P$8-B792</f>
        <v>26.64020000000005</v>
      </c>
      <c r="M792" s="79">
        <f>Inputs!$Q$8+L792*0.433</f>
        <v>1836.5352066</v>
      </c>
      <c r="N792" s="82">
        <f t="shared" si="230"/>
        <v>168599.92</v>
      </c>
      <c r="O792" s="83">
        <f t="shared" si="231"/>
        <v>911.55079999999998</v>
      </c>
      <c r="P792" s="84">
        <f>IF(O792="","",Inputs!$C$5-O792)</f>
        <v>-86.366300000000024</v>
      </c>
      <c r="Q792" s="83">
        <f>IF(N792="","",TS!J792)</f>
        <v>2000</v>
      </c>
      <c r="R792" s="83">
        <f>IF(N792="","",TS!K792)</f>
        <v>1825</v>
      </c>
      <c r="S792" s="83">
        <f>Inputs!$H$5+TS!P792*0.4333</f>
        <v>1837.5431986599999</v>
      </c>
      <c r="T792" s="83">
        <f>Inputs!$G$5+TS!P792*0.4333</f>
        <v>1852.5431986599999</v>
      </c>
      <c r="U792" s="85">
        <f t="shared" si="232"/>
        <v>0.92627159932999992</v>
      </c>
      <c r="V792" s="86">
        <f t="shared" si="220"/>
        <v>0</v>
      </c>
      <c r="W792" s="86">
        <f t="shared" si="221"/>
        <v>0</v>
      </c>
      <c r="X792" s="86" t="e">
        <f>((PI()*((42-2*'Gen Calcs'!$E$13)^2)/4)/144)*(A835-#REF!)*(W792+14.7)/14.7</f>
        <v>#REF!</v>
      </c>
      <c r="Y792" s="86" t="e">
        <f t="shared" si="222"/>
        <v>#REF!</v>
      </c>
      <c r="Z792" s="86" t="e">
        <f t="shared" si="223"/>
        <v>#REF!</v>
      </c>
      <c r="AA792" s="83">
        <f>MAX(B$2:B792)-B792</f>
        <v>26.64020000000005</v>
      </c>
      <c r="AB792" s="83">
        <f t="shared" si="224"/>
        <v>11.535206600000022</v>
      </c>
      <c r="AC792" s="83">
        <f t="shared" si="226"/>
        <v>120</v>
      </c>
      <c r="AD792" s="72">
        <v>120</v>
      </c>
      <c r="AE792" s="73">
        <f t="shared" si="233"/>
        <v>907.92027688745009</v>
      </c>
      <c r="AF792" s="73">
        <f>SUM(AE$2:AE792)</f>
        <v>659316.9402421359</v>
      </c>
      <c r="AG792" s="73">
        <f t="shared" si="234"/>
        <v>514412.96218497329</v>
      </c>
    </row>
    <row r="793" spans="1:33" x14ac:dyDescent="0.25">
      <c r="A793" s="99">
        <v>168624.4</v>
      </c>
      <c r="B793" s="96">
        <v>911.55079999999998</v>
      </c>
      <c r="C793" s="96">
        <v>0.86399999999999999</v>
      </c>
      <c r="D793" s="80">
        <f t="shared" si="219"/>
        <v>24.479999999981374</v>
      </c>
      <c r="E793" s="81">
        <f t="shared" si="227"/>
        <v>1662.4964506884526</v>
      </c>
      <c r="F793" s="81">
        <f>SUM(E$2:E793)</f>
        <v>4929894.6131673148</v>
      </c>
      <c r="G793" s="43">
        <f t="shared" si="225"/>
        <v>2</v>
      </c>
      <c r="H793" s="78">
        <v>1</v>
      </c>
      <c r="I793" s="15">
        <f t="shared" si="228"/>
        <v>0.86399999999999999</v>
      </c>
      <c r="J793" s="16">
        <f>VLOOKUP(G793,Inputs!$L$3:$P$15,5,FALSE)</f>
        <v>2880</v>
      </c>
      <c r="K793" s="16">
        <f t="shared" si="229"/>
        <v>1825</v>
      </c>
      <c r="L793" s="79">
        <f>Inputs!$P$8-B793</f>
        <v>26.64020000000005</v>
      </c>
      <c r="M793" s="79">
        <f>Inputs!$Q$8+L793*0.433</f>
        <v>1836.5352066</v>
      </c>
      <c r="N793" s="82">
        <f t="shared" si="230"/>
        <v>168624.4</v>
      </c>
      <c r="O793" s="83">
        <f t="shared" si="231"/>
        <v>911.55079999999998</v>
      </c>
      <c r="P793" s="84">
        <f>IF(O793="","",Inputs!$C$5-O793)</f>
        <v>-86.366300000000024</v>
      </c>
      <c r="Q793" s="83">
        <f>IF(N793="","",TS!J793)</f>
        <v>2880</v>
      </c>
      <c r="R793" s="83">
        <f>IF(N793="","",TS!K793)</f>
        <v>1825</v>
      </c>
      <c r="S793" s="83">
        <f>Inputs!$H$5+TS!P793*0.4333</f>
        <v>1837.5431986599999</v>
      </c>
      <c r="T793" s="83">
        <f>Inputs!$G$5+TS!P793*0.4333</f>
        <v>1852.5431986599999</v>
      </c>
      <c r="U793" s="85">
        <f t="shared" si="232"/>
        <v>0.64324416620138891</v>
      </c>
      <c r="V793" s="86">
        <f t="shared" si="220"/>
        <v>0</v>
      </c>
      <c r="W793" s="86">
        <f t="shared" si="221"/>
        <v>0</v>
      </c>
      <c r="X793" s="86" t="e">
        <f>((PI()*((42-2*'Gen Calcs'!$E$13)^2)/4)/144)*(A836-#REF!)*(W793+14.7)/14.7</f>
        <v>#REF!</v>
      </c>
      <c r="Y793" s="86" t="e">
        <f t="shared" si="222"/>
        <v>#REF!</v>
      </c>
      <c r="Z793" s="86" t="e">
        <f t="shared" si="223"/>
        <v>#REF!</v>
      </c>
      <c r="AA793" s="83">
        <f>MAX(B$2:B793)-B793</f>
        <v>26.64020000000005</v>
      </c>
      <c r="AB793" s="83">
        <f t="shared" si="224"/>
        <v>11.535206600000022</v>
      </c>
      <c r="AC793" s="83">
        <f t="shared" si="226"/>
        <v>120</v>
      </c>
      <c r="AD793" s="72">
        <v>120</v>
      </c>
      <c r="AE793" s="73">
        <f t="shared" si="233"/>
        <v>216.54352350259353</v>
      </c>
      <c r="AF793" s="73">
        <f>SUM(AE$2:AE793)</f>
        <v>659533.48376563843</v>
      </c>
      <c r="AG793" s="73">
        <f t="shared" si="234"/>
        <v>514196.41866147076</v>
      </c>
    </row>
    <row r="794" spans="1:33" x14ac:dyDescent="0.25">
      <c r="A794" s="100">
        <v>168699.92</v>
      </c>
      <c r="B794" s="97">
        <v>913.3922</v>
      </c>
      <c r="C794" s="97">
        <v>0.6</v>
      </c>
      <c r="D794" s="80">
        <f t="shared" si="219"/>
        <v>75.520000000018626</v>
      </c>
      <c r="E794" s="81">
        <f t="shared" si="227"/>
        <v>5128.7472204296746</v>
      </c>
      <c r="F794" s="81">
        <f>SUM(E$2:E794)</f>
        <v>4935023.3603877444</v>
      </c>
      <c r="G794" s="43">
        <f t="shared" si="225"/>
        <v>1</v>
      </c>
      <c r="H794" s="78">
        <v>1</v>
      </c>
      <c r="I794" s="15">
        <f t="shared" si="228"/>
        <v>0.6</v>
      </c>
      <c r="J794" s="16">
        <f>VLOOKUP(G794,Inputs!$L$3:$P$15,5,FALSE)</f>
        <v>2000</v>
      </c>
      <c r="K794" s="16">
        <f t="shared" si="229"/>
        <v>1825</v>
      </c>
      <c r="L794" s="79">
        <f>Inputs!$P$8-B794</f>
        <v>24.798800000000028</v>
      </c>
      <c r="M794" s="79">
        <f>Inputs!$Q$8+L794*0.433</f>
        <v>1835.7378804</v>
      </c>
      <c r="N794" s="82">
        <f t="shared" si="230"/>
        <v>168699.92</v>
      </c>
      <c r="O794" s="83">
        <f t="shared" si="231"/>
        <v>913.3922</v>
      </c>
      <c r="P794" s="84">
        <f>IF(O794="","",Inputs!$C$5-O794)</f>
        <v>-88.207700000000045</v>
      </c>
      <c r="Q794" s="83">
        <f>IF(N794="","",TS!J794)</f>
        <v>2000</v>
      </c>
      <c r="R794" s="83">
        <f>IF(N794="","",TS!K794)</f>
        <v>1825</v>
      </c>
      <c r="S794" s="83">
        <f>Inputs!$H$5+TS!P794*0.4333</f>
        <v>1836.74532004</v>
      </c>
      <c r="T794" s="83">
        <f>Inputs!$G$5+TS!P794*0.4333</f>
        <v>1851.74532004</v>
      </c>
      <c r="U794" s="85">
        <f t="shared" si="232"/>
        <v>0.92587266002000002</v>
      </c>
      <c r="V794" s="86">
        <f t="shared" si="220"/>
        <v>0</v>
      </c>
      <c r="W794" s="86">
        <f t="shared" si="221"/>
        <v>0</v>
      </c>
      <c r="X794" s="86" t="e">
        <f>((PI()*((42-2*'Gen Calcs'!$E$13)^2)/4)/144)*(A837-#REF!)*(W794+14.7)/14.7</f>
        <v>#REF!</v>
      </c>
      <c r="Y794" s="86" t="e">
        <f t="shared" si="222"/>
        <v>#REF!</v>
      </c>
      <c r="Z794" s="86" t="e">
        <f t="shared" si="223"/>
        <v>#REF!</v>
      </c>
      <c r="AA794" s="83">
        <f>MAX(B$2:B794)-B794</f>
        <v>24.798800000000028</v>
      </c>
      <c r="AB794" s="83">
        <f t="shared" si="224"/>
        <v>10.737880400000012</v>
      </c>
      <c r="AC794" s="83">
        <f t="shared" si="226"/>
        <v>120</v>
      </c>
      <c r="AD794" s="72">
        <v>120</v>
      </c>
      <c r="AE794" s="73">
        <f t="shared" si="233"/>
        <v>685.66139310557139</v>
      </c>
      <c r="AF794" s="73">
        <f>SUM(AE$2:AE794)</f>
        <v>660219.14515874395</v>
      </c>
      <c r="AG794" s="73">
        <f t="shared" si="234"/>
        <v>513510.75726836524</v>
      </c>
    </row>
    <row r="795" spans="1:33" x14ac:dyDescent="0.25">
      <c r="A795" s="99">
        <v>168799.92</v>
      </c>
      <c r="B795" s="96">
        <v>915.34169999999995</v>
      </c>
      <c r="C795" s="96">
        <v>0.6</v>
      </c>
      <c r="D795" s="80">
        <f t="shared" si="219"/>
        <v>100</v>
      </c>
      <c r="E795" s="81">
        <f t="shared" si="227"/>
        <v>6791.2436711181272</v>
      </c>
      <c r="F795" s="81">
        <f>SUM(E$2:E795)</f>
        <v>4941814.6040588627</v>
      </c>
      <c r="G795" s="43">
        <f t="shared" si="225"/>
        <v>1</v>
      </c>
      <c r="H795" s="78">
        <v>1</v>
      </c>
      <c r="I795" s="15">
        <f t="shared" si="228"/>
        <v>0.6</v>
      </c>
      <c r="J795" s="16">
        <f>VLOOKUP(G795,Inputs!$L$3:$P$15,5,FALSE)</f>
        <v>2000</v>
      </c>
      <c r="K795" s="16">
        <f t="shared" si="229"/>
        <v>1825</v>
      </c>
      <c r="L795" s="79">
        <f>Inputs!$P$8-B795</f>
        <v>22.849300000000085</v>
      </c>
      <c r="M795" s="79">
        <f>Inputs!$Q$8+L795*0.433</f>
        <v>1834.8937469</v>
      </c>
      <c r="N795" s="82">
        <f t="shared" si="230"/>
        <v>168799.92</v>
      </c>
      <c r="O795" s="83">
        <f t="shared" si="231"/>
        <v>915.34169999999995</v>
      </c>
      <c r="P795" s="84">
        <f>IF(O795="","",Inputs!$C$5-O795)</f>
        <v>-90.157199999999989</v>
      </c>
      <c r="Q795" s="83">
        <f>IF(N795="","",TS!J795)</f>
        <v>2000</v>
      </c>
      <c r="R795" s="83">
        <f>IF(N795="","",TS!K795)</f>
        <v>1825</v>
      </c>
      <c r="S795" s="83">
        <f>Inputs!$H$5+TS!P795*0.4333</f>
        <v>1835.90060169</v>
      </c>
      <c r="T795" s="83">
        <f>Inputs!$G$5+TS!P795*0.4333</f>
        <v>1850.90060169</v>
      </c>
      <c r="U795" s="85">
        <f t="shared" si="232"/>
        <v>0.92545030084500002</v>
      </c>
      <c r="V795" s="86">
        <f t="shared" si="220"/>
        <v>0</v>
      </c>
      <c r="W795" s="86">
        <f t="shared" si="221"/>
        <v>0</v>
      </c>
      <c r="X795" s="86" t="e">
        <f>((PI()*((42-2*'Gen Calcs'!$E$13)^2)/4)/144)*(A838-#REF!)*(W795+14.7)/14.7</f>
        <v>#REF!</v>
      </c>
      <c r="Y795" s="86" t="e">
        <f t="shared" si="222"/>
        <v>#REF!</v>
      </c>
      <c r="Z795" s="86" t="e">
        <f t="shared" si="223"/>
        <v>#REF!</v>
      </c>
      <c r="AA795" s="83">
        <f>MAX(B$2:B795)-B795</f>
        <v>22.849300000000085</v>
      </c>
      <c r="AB795" s="83">
        <f t="shared" si="224"/>
        <v>9.8937469000000373</v>
      </c>
      <c r="AC795" s="83">
        <f t="shared" si="226"/>
        <v>120</v>
      </c>
      <c r="AD795" s="72">
        <v>120</v>
      </c>
      <c r="AE795" s="73">
        <f t="shared" si="233"/>
        <v>907.92027688745009</v>
      </c>
      <c r="AF795" s="73">
        <f>SUM(AE$2:AE795)</f>
        <v>661127.06543563143</v>
      </c>
      <c r="AG795" s="73">
        <f t="shared" si="234"/>
        <v>512602.83699147776</v>
      </c>
    </row>
    <row r="796" spans="1:33" x14ac:dyDescent="0.25">
      <c r="A796" s="100">
        <v>168899.92</v>
      </c>
      <c r="B796" s="97">
        <v>916.93790000000001</v>
      </c>
      <c r="C796" s="97">
        <v>0.6</v>
      </c>
      <c r="D796" s="80">
        <f t="shared" si="219"/>
        <v>100</v>
      </c>
      <c r="E796" s="81">
        <f t="shared" si="227"/>
        <v>6791.2436711181272</v>
      </c>
      <c r="F796" s="81">
        <f>SUM(E$2:E796)</f>
        <v>4948605.8477299809</v>
      </c>
      <c r="G796" s="43">
        <f t="shared" si="225"/>
        <v>1</v>
      </c>
      <c r="H796" s="78">
        <v>1</v>
      </c>
      <c r="I796" s="15">
        <f t="shared" si="228"/>
        <v>0.6</v>
      </c>
      <c r="J796" s="16">
        <f>VLOOKUP(G796,Inputs!$L$3:$P$15,5,FALSE)</f>
        <v>2000</v>
      </c>
      <c r="K796" s="16">
        <f t="shared" si="229"/>
        <v>1825</v>
      </c>
      <c r="L796" s="79">
        <f>Inputs!$P$8-B796</f>
        <v>21.253100000000018</v>
      </c>
      <c r="M796" s="79">
        <f>Inputs!$Q$8+L796*0.433</f>
        <v>1834.2025923000001</v>
      </c>
      <c r="N796" s="82">
        <f t="shared" si="230"/>
        <v>168899.92</v>
      </c>
      <c r="O796" s="83">
        <f t="shared" si="231"/>
        <v>916.93790000000001</v>
      </c>
      <c r="P796" s="84">
        <f>IF(O796="","",Inputs!$C$5-O796)</f>
        <v>-91.753400000000056</v>
      </c>
      <c r="Q796" s="83">
        <f>IF(N796="","",TS!J796)</f>
        <v>2000</v>
      </c>
      <c r="R796" s="83">
        <f>IF(N796="","",TS!K796)</f>
        <v>1825</v>
      </c>
      <c r="S796" s="83">
        <f>Inputs!$H$5+TS!P796*0.4333</f>
        <v>1835.20896823</v>
      </c>
      <c r="T796" s="83">
        <f>Inputs!$G$5+TS!P796*0.4333</f>
        <v>1850.20896823</v>
      </c>
      <c r="U796" s="85">
        <f t="shared" si="232"/>
        <v>0.92510448411500001</v>
      </c>
      <c r="V796" s="86">
        <f t="shared" si="220"/>
        <v>0</v>
      </c>
      <c r="W796" s="86">
        <f t="shared" si="221"/>
        <v>0</v>
      </c>
      <c r="X796" s="86" t="e">
        <f>((PI()*((42-2*'Gen Calcs'!$E$13)^2)/4)/144)*(A839-#REF!)*(W796+14.7)/14.7</f>
        <v>#REF!</v>
      </c>
      <c r="Y796" s="86" t="e">
        <f t="shared" si="222"/>
        <v>#REF!</v>
      </c>
      <c r="Z796" s="86" t="e">
        <f t="shared" si="223"/>
        <v>#REF!</v>
      </c>
      <c r="AA796" s="83">
        <f>MAX(B$2:B796)-B796</f>
        <v>21.253100000000018</v>
      </c>
      <c r="AB796" s="83">
        <f t="shared" si="224"/>
        <v>9.2025923000000081</v>
      </c>
      <c r="AC796" s="83">
        <f t="shared" si="226"/>
        <v>120</v>
      </c>
      <c r="AD796" s="72">
        <v>120</v>
      </c>
      <c r="AE796" s="73">
        <f t="shared" si="233"/>
        <v>907.92027688745009</v>
      </c>
      <c r="AF796" s="73">
        <f>SUM(AE$2:AE796)</f>
        <v>662034.98571251892</v>
      </c>
      <c r="AG796" s="73">
        <f t="shared" si="234"/>
        <v>511694.91671459028</v>
      </c>
    </row>
    <row r="797" spans="1:33" x14ac:dyDescent="0.25">
      <c r="A797" s="99">
        <v>168999.92</v>
      </c>
      <c r="B797" s="96">
        <v>918.84680000000003</v>
      </c>
      <c r="C797" s="96">
        <v>0.6</v>
      </c>
      <c r="D797" s="80">
        <f t="shared" si="219"/>
        <v>100</v>
      </c>
      <c r="E797" s="81">
        <f t="shared" si="227"/>
        <v>6791.2436711181272</v>
      </c>
      <c r="F797" s="81">
        <f>SUM(E$2:E797)</f>
        <v>4955397.0914010992</v>
      </c>
      <c r="G797" s="43">
        <f t="shared" si="225"/>
        <v>1</v>
      </c>
      <c r="H797" s="78">
        <v>1</v>
      </c>
      <c r="I797" s="15">
        <f t="shared" si="228"/>
        <v>0.6</v>
      </c>
      <c r="J797" s="16">
        <f>VLOOKUP(G797,Inputs!$L$3:$P$15,5,FALSE)</f>
        <v>2000</v>
      </c>
      <c r="K797" s="16">
        <f t="shared" si="229"/>
        <v>1825</v>
      </c>
      <c r="L797" s="79">
        <f>Inputs!$P$8-B797</f>
        <v>19.344200000000001</v>
      </c>
      <c r="M797" s="79">
        <f>Inputs!$Q$8+L797*0.433</f>
        <v>1833.3760385999999</v>
      </c>
      <c r="N797" s="82">
        <f t="shared" si="230"/>
        <v>168999.92</v>
      </c>
      <c r="O797" s="83">
        <f t="shared" si="231"/>
        <v>918.84680000000003</v>
      </c>
      <c r="P797" s="84">
        <f>IF(O797="","",Inputs!$C$5-O797)</f>
        <v>-93.662300000000073</v>
      </c>
      <c r="Q797" s="83">
        <f>IF(N797="","",TS!J797)</f>
        <v>2000</v>
      </c>
      <c r="R797" s="83">
        <f>IF(N797="","",TS!K797)</f>
        <v>1825</v>
      </c>
      <c r="S797" s="83">
        <f>Inputs!$H$5+TS!P797*0.4333</f>
        <v>1834.3818418599999</v>
      </c>
      <c r="T797" s="83">
        <f>Inputs!$G$5+TS!P797*0.4333</f>
        <v>1849.3818418599999</v>
      </c>
      <c r="U797" s="85">
        <f t="shared" si="232"/>
        <v>0.92469092092999994</v>
      </c>
      <c r="V797" s="86">
        <f t="shared" si="220"/>
        <v>0</v>
      </c>
      <c r="W797" s="86">
        <f t="shared" si="221"/>
        <v>0</v>
      </c>
      <c r="X797" s="86" t="e">
        <f>((PI()*((42-2*'Gen Calcs'!$E$13)^2)/4)/144)*(A840-#REF!)*(W797+14.7)/14.7</f>
        <v>#REF!</v>
      </c>
      <c r="Y797" s="86" t="e">
        <f t="shared" si="222"/>
        <v>#REF!</v>
      </c>
      <c r="Z797" s="86" t="e">
        <f t="shared" si="223"/>
        <v>#REF!</v>
      </c>
      <c r="AA797" s="83">
        <f>MAX(B$2:B797)-B797</f>
        <v>19.344200000000001</v>
      </c>
      <c r="AB797" s="83">
        <f t="shared" si="224"/>
        <v>8.3760386000000011</v>
      </c>
      <c r="AC797" s="83">
        <f t="shared" si="226"/>
        <v>120</v>
      </c>
      <c r="AD797" s="72">
        <v>120</v>
      </c>
      <c r="AE797" s="73">
        <f t="shared" si="233"/>
        <v>907.92027688745009</v>
      </c>
      <c r="AF797" s="73">
        <f>SUM(AE$2:AE797)</f>
        <v>662942.9059894064</v>
      </c>
      <c r="AG797" s="73">
        <f t="shared" si="234"/>
        <v>510786.99643770279</v>
      </c>
    </row>
    <row r="798" spans="1:33" x14ac:dyDescent="0.25">
      <c r="A798" s="100">
        <v>169099.92</v>
      </c>
      <c r="B798" s="97">
        <v>920.04880000000003</v>
      </c>
      <c r="C798" s="97">
        <v>0.6</v>
      </c>
      <c r="D798" s="80">
        <f t="shared" si="219"/>
        <v>100</v>
      </c>
      <c r="E798" s="81">
        <f t="shared" si="227"/>
        <v>6791.2436711181272</v>
      </c>
      <c r="F798" s="81">
        <f>SUM(E$2:E798)</f>
        <v>4962188.3350722175</v>
      </c>
      <c r="G798" s="43">
        <f t="shared" si="225"/>
        <v>1</v>
      </c>
      <c r="H798" s="78">
        <v>1</v>
      </c>
      <c r="I798" s="15">
        <f t="shared" si="228"/>
        <v>0.6</v>
      </c>
      <c r="J798" s="16">
        <f>VLOOKUP(G798,Inputs!$L$3:$P$15,5,FALSE)</f>
        <v>2000</v>
      </c>
      <c r="K798" s="16">
        <f t="shared" si="229"/>
        <v>1825</v>
      </c>
      <c r="L798" s="79">
        <f>Inputs!$P$8-B798</f>
        <v>18.142200000000003</v>
      </c>
      <c r="M798" s="79">
        <f>Inputs!$Q$8+L798*0.433</f>
        <v>1832.8555726</v>
      </c>
      <c r="N798" s="82">
        <f t="shared" si="230"/>
        <v>169099.92</v>
      </c>
      <c r="O798" s="83">
        <f t="shared" si="231"/>
        <v>920.04880000000003</v>
      </c>
      <c r="P798" s="84">
        <f>IF(O798="","",Inputs!$C$5-O798)</f>
        <v>-94.864300000000071</v>
      </c>
      <c r="Q798" s="83">
        <f>IF(N798="","",TS!J798)</f>
        <v>2000</v>
      </c>
      <c r="R798" s="83">
        <f>IF(N798="","",TS!K798)</f>
        <v>1825</v>
      </c>
      <c r="S798" s="83">
        <f>Inputs!$H$5+TS!P798*0.4333</f>
        <v>1833.8610152599999</v>
      </c>
      <c r="T798" s="83">
        <f>Inputs!$G$5+TS!P798*0.4333</f>
        <v>1848.8610152599999</v>
      </c>
      <c r="U798" s="85">
        <f t="shared" si="232"/>
        <v>0.92443050763000001</v>
      </c>
      <c r="V798" s="86">
        <f t="shared" si="220"/>
        <v>0</v>
      </c>
      <c r="W798" s="86">
        <f t="shared" si="221"/>
        <v>0</v>
      </c>
      <c r="X798" s="86" t="e">
        <f>((PI()*((42-2*'Gen Calcs'!$E$13)^2)/4)/144)*(A841-#REF!)*(W798+14.7)/14.7</f>
        <v>#REF!</v>
      </c>
      <c r="Y798" s="86" t="e">
        <f t="shared" si="222"/>
        <v>#REF!</v>
      </c>
      <c r="Z798" s="86" t="e">
        <f t="shared" si="223"/>
        <v>#REF!</v>
      </c>
      <c r="AA798" s="83">
        <f>MAX(B$2:B798)-B798</f>
        <v>18.142200000000003</v>
      </c>
      <c r="AB798" s="83">
        <f t="shared" si="224"/>
        <v>7.8555726000000012</v>
      </c>
      <c r="AC798" s="83">
        <f t="shared" si="226"/>
        <v>120</v>
      </c>
      <c r="AD798" s="72">
        <v>120</v>
      </c>
      <c r="AE798" s="73">
        <f t="shared" si="233"/>
        <v>907.92027688745009</v>
      </c>
      <c r="AF798" s="73">
        <f>SUM(AE$2:AE798)</f>
        <v>663850.82626629388</v>
      </c>
      <c r="AG798" s="73">
        <f t="shared" si="234"/>
        <v>509879.07616081531</v>
      </c>
    </row>
    <row r="799" spans="1:33" x14ac:dyDescent="0.25">
      <c r="A799" s="99">
        <v>169199.92</v>
      </c>
      <c r="B799" s="96">
        <v>920.9692</v>
      </c>
      <c r="C799" s="96">
        <v>0.6</v>
      </c>
      <c r="D799" s="80">
        <f t="shared" si="219"/>
        <v>100</v>
      </c>
      <c r="E799" s="81">
        <f t="shared" si="227"/>
        <v>6791.2436711181272</v>
      </c>
      <c r="F799" s="81">
        <f>SUM(E$2:E799)</f>
        <v>4968979.5787433358</v>
      </c>
      <c r="G799" s="43">
        <f t="shared" si="225"/>
        <v>1</v>
      </c>
      <c r="H799" s="78">
        <v>1</v>
      </c>
      <c r="I799" s="15">
        <f t="shared" si="228"/>
        <v>0.6</v>
      </c>
      <c r="J799" s="16">
        <f>VLOOKUP(G799,Inputs!$L$3:$P$15,5,FALSE)</f>
        <v>2000</v>
      </c>
      <c r="K799" s="16">
        <f t="shared" si="229"/>
        <v>1825</v>
      </c>
      <c r="L799" s="79">
        <f>Inputs!$P$8-B799</f>
        <v>17.22180000000003</v>
      </c>
      <c r="M799" s="79">
        <f>Inputs!$Q$8+L799*0.433</f>
        <v>1832.4570394</v>
      </c>
      <c r="N799" s="82">
        <f t="shared" si="230"/>
        <v>169199.92</v>
      </c>
      <c r="O799" s="83">
        <f t="shared" si="231"/>
        <v>920.9692</v>
      </c>
      <c r="P799" s="84">
        <f>IF(O799="","",Inputs!$C$5-O799)</f>
        <v>-95.784700000000043</v>
      </c>
      <c r="Q799" s="83">
        <f>IF(N799="","",TS!J799)</f>
        <v>2000</v>
      </c>
      <c r="R799" s="83">
        <f>IF(N799="","",TS!K799)</f>
        <v>1825</v>
      </c>
      <c r="S799" s="83">
        <f>Inputs!$H$5+TS!P799*0.4333</f>
        <v>1833.4622059399999</v>
      </c>
      <c r="T799" s="83">
        <f>Inputs!$G$5+TS!P799*0.4333</f>
        <v>1848.4622059399999</v>
      </c>
      <c r="U799" s="85">
        <f t="shared" si="232"/>
        <v>0.92423110296999988</v>
      </c>
      <c r="V799" s="86">
        <f t="shared" si="220"/>
        <v>0</v>
      </c>
      <c r="W799" s="86">
        <f t="shared" si="221"/>
        <v>0</v>
      </c>
      <c r="X799" s="86" t="e">
        <f>((PI()*((42-2*'Gen Calcs'!$E$13)^2)/4)/144)*(A842-#REF!)*(W799+14.7)/14.7</f>
        <v>#REF!</v>
      </c>
      <c r="Y799" s="86" t="e">
        <f t="shared" si="222"/>
        <v>#REF!</v>
      </c>
      <c r="Z799" s="86" t="e">
        <f t="shared" si="223"/>
        <v>#REF!</v>
      </c>
      <c r="AA799" s="83">
        <f>MAX(B$2:B799)-B799</f>
        <v>17.22180000000003</v>
      </c>
      <c r="AB799" s="83">
        <f t="shared" si="224"/>
        <v>7.4570394000000126</v>
      </c>
      <c r="AC799" s="83">
        <f t="shared" si="226"/>
        <v>120</v>
      </c>
      <c r="AD799" s="72">
        <v>120</v>
      </c>
      <c r="AE799" s="73">
        <f t="shared" si="233"/>
        <v>907.92027688745009</v>
      </c>
      <c r="AF799" s="73">
        <f>SUM(AE$2:AE799)</f>
        <v>664758.74654318136</v>
      </c>
      <c r="AG799" s="73">
        <f t="shared" si="234"/>
        <v>508971.15588392783</v>
      </c>
    </row>
    <row r="800" spans="1:33" x14ac:dyDescent="0.25">
      <c r="A800" s="100">
        <v>169299.92</v>
      </c>
      <c r="B800" s="97">
        <v>921.48530000000005</v>
      </c>
      <c r="C800" s="97">
        <v>0.6</v>
      </c>
      <c r="D800" s="80">
        <f t="shared" si="219"/>
        <v>100</v>
      </c>
      <c r="E800" s="81">
        <f t="shared" si="227"/>
        <v>6791.2436711181272</v>
      </c>
      <c r="F800" s="81">
        <f>SUM(E$2:E800)</f>
        <v>4975770.8224144541</v>
      </c>
      <c r="G800" s="43">
        <f t="shared" si="225"/>
        <v>1</v>
      </c>
      <c r="H800" s="78">
        <v>1</v>
      </c>
      <c r="I800" s="15">
        <f t="shared" si="228"/>
        <v>0.6</v>
      </c>
      <c r="J800" s="16">
        <f>VLOOKUP(G800,Inputs!$L$3:$P$15,5,FALSE)</f>
        <v>2000</v>
      </c>
      <c r="K800" s="16">
        <f t="shared" si="229"/>
        <v>1825</v>
      </c>
      <c r="L800" s="79">
        <f>Inputs!$P$8-B800</f>
        <v>16.705699999999979</v>
      </c>
      <c r="M800" s="79">
        <f>Inputs!$Q$8+L800*0.433</f>
        <v>1832.2335681</v>
      </c>
      <c r="N800" s="82">
        <f t="shared" si="230"/>
        <v>169299.92</v>
      </c>
      <c r="O800" s="83">
        <f t="shared" si="231"/>
        <v>921.48530000000005</v>
      </c>
      <c r="P800" s="84">
        <f>IF(O800="","",Inputs!$C$5-O800)</f>
        <v>-96.300800000000095</v>
      </c>
      <c r="Q800" s="83">
        <f>IF(N800="","",TS!J800)</f>
        <v>2000</v>
      </c>
      <c r="R800" s="83">
        <f>IF(N800="","",TS!K800)</f>
        <v>1825</v>
      </c>
      <c r="S800" s="83">
        <f>Inputs!$H$5+TS!P800*0.4333</f>
        <v>1833.2385798099999</v>
      </c>
      <c r="T800" s="83">
        <f>Inputs!$G$5+TS!P800*0.4333</f>
        <v>1848.2385798099999</v>
      </c>
      <c r="U800" s="85">
        <f t="shared" si="232"/>
        <v>0.92411928990499992</v>
      </c>
      <c r="V800" s="86">
        <f t="shared" si="220"/>
        <v>0</v>
      </c>
      <c r="W800" s="86">
        <f t="shared" si="221"/>
        <v>0</v>
      </c>
      <c r="X800" s="86" t="e">
        <f>((PI()*((42-2*'Gen Calcs'!$E$13)^2)/4)/144)*(A843-#REF!)*(W800+14.7)/14.7</f>
        <v>#REF!</v>
      </c>
      <c r="Y800" s="86" t="e">
        <f t="shared" si="222"/>
        <v>#REF!</v>
      </c>
      <c r="Z800" s="86" t="e">
        <f t="shared" si="223"/>
        <v>#REF!</v>
      </c>
      <c r="AA800" s="83">
        <f>MAX(B$2:B800)-B800</f>
        <v>16.705699999999979</v>
      </c>
      <c r="AB800" s="83">
        <f t="shared" si="224"/>
        <v>7.2335680999999905</v>
      </c>
      <c r="AC800" s="83">
        <f t="shared" si="226"/>
        <v>120</v>
      </c>
      <c r="AD800" s="72">
        <v>120</v>
      </c>
      <c r="AE800" s="73">
        <f t="shared" si="233"/>
        <v>907.92027688745009</v>
      </c>
      <c r="AF800" s="73">
        <f>SUM(AE$2:AE800)</f>
        <v>665666.66682006884</v>
      </c>
      <c r="AG800" s="73">
        <f t="shared" si="234"/>
        <v>508063.23560704035</v>
      </c>
    </row>
    <row r="801" spans="1:33" x14ac:dyDescent="0.25">
      <c r="A801" s="99">
        <v>169399.92</v>
      </c>
      <c r="B801" s="96">
        <v>921.77940000000001</v>
      </c>
      <c r="C801" s="96">
        <v>0.6</v>
      </c>
      <c r="D801" s="80">
        <f t="shared" ref="D801:D864" si="235">A801-A800</f>
        <v>100</v>
      </c>
      <c r="E801" s="81">
        <f t="shared" si="227"/>
        <v>6791.2436711181272</v>
      </c>
      <c r="F801" s="81">
        <f>SUM(E$2:E801)</f>
        <v>4982562.0660855724</v>
      </c>
      <c r="G801" s="43">
        <f t="shared" si="225"/>
        <v>1</v>
      </c>
      <c r="H801" s="78">
        <v>1</v>
      </c>
      <c r="I801" s="15">
        <f t="shared" si="228"/>
        <v>0.6</v>
      </c>
      <c r="J801" s="16">
        <f>VLOOKUP(G801,Inputs!$L$3:$P$15,5,FALSE)</f>
        <v>2000</v>
      </c>
      <c r="K801" s="16">
        <f t="shared" si="229"/>
        <v>1825</v>
      </c>
      <c r="L801" s="79">
        <f>Inputs!$P$8-B801</f>
        <v>16.411600000000021</v>
      </c>
      <c r="M801" s="79">
        <f>Inputs!$Q$8+L801*0.433</f>
        <v>1832.1062228000001</v>
      </c>
      <c r="N801" s="82">
        <f t="shared" si="230"/>
        <v>169399.92</v>
      </c>
      <c r="O801" s="83">
        <f t="shared" si="231"/>
        <v>921.77940000000001</v>
      </c>
      <c r="P801" s="84">
        <f>IF(O801="","",Inputs!$C$5-O801)</f>
        <v>-96.594900000000052</v>
      </c>
      <c r="Q801" s="83">
        <f>IF(N801="","",TS!J801)</f>
        <v>2000</v>
      </c>
      <c r="R801" s="83">
        <f>IF(N801="","",TS!K801)</f>
        <v>1825</v>
      </c>
      <c r="S801" s="83">
        <f>Inputs!$H$5+TS!P801*0.4333</f>
        <v>1833.11114628</v>
      </c>
      <c r="T801" s="83">
        <f>Inputs!$G$5+TS!P801*0.4333</f>
        <v>1848.11114628</v>
      </c>
      <c r="U801" s="85">
        <f t="shared" si="232"/>
        <v>0.92405557313999998</v>
      </c>
      <c r="V801" s="86">
        <f t="shared" si="220"/>
        <v>0</v>
      </c>
      <c r="W801" s="86">
        <f t="shared" si="221"/>
        <v>0</v>
      </c>
      <c r="X801" s="86" t="e">
        <f>((PI()*((42-2*'Gen Calcs'!$E$13)^2)/4)/144)*(A844-#REF!)*(W801+14.7)/14.7</f>
        <v>#REF!</v>
      </c>
      <c r="Y801" s="86" t="e">
        <f t="shared" si="222"/>
        <v>#REF!</v>
      </c>
      <c r="Z801" s="86" t="e">
        <f t="shared" si="223"/>
        <v>#REF!</v>
      </c>
      <c r="AA801" s="83">
        <f>MAX(B$2:B801)-B801</f>
        <v>16.411600000000021</v>
      </c>
      <c r="AB801" s="83">
        <f t="shared" si="224"/>
        <v>7.1062228000000092</v>
      </c>
      <c r="AC801" s="83">
        <f t="shared" si="226"/>
        <v>120</v>
      </c>
      <c r="AD801" s="72">
        <v>120</v>
      </c>
      <c r="AE801" s="73">
        <f t="shared" si="233"/>
        <v>907.92027688745009</v>
      </c>
      <c r="AF801" s="73">
        <f>SUM(AE$2:AE801)</f>
        <v>666574.58709695633</v>
      </c>
      <c r="AG801" s="73">
        <f t="shared" si="234"/>
        <v>507155.31533015287</v>
      </c>
    </row>
    <row r="802" spans="1:33" x14ac:dyDescent="0.25">
      <c r="A802" s="100">
        <v>169499.92</v>
      </c>
      <c r="B802" s="97">
        <v>921.80930000000001</v>
      </c>
      <c r="C802" s="97">
        <v>0.6</v>
      </c>
      <c r="D802" s="80">
        <f t="shared" si="235"/>
        <v>100</v>
      </c>
      <c r="E802" s="81">
        <f t="shared" si="227"/>
        <v>6791.2436711181272</v>
      </c>
      <c r="F802" s="81">
        <f>SUM(E$2:E802)</f>
        <v>4989353.3097566906</v>
      </c>
      <c r="G802" s="43">
        <f t="shared" si="225"/>
        <v>1</v>
      </c>
      <c r="H802" s="78">
        <v>1</v>
      </c>
      <c r="I802" s="15">
        <f t="shared" si="228"/>
        <v>0.6</v>
      </c>
      <c r="J802" s="16">
        <f>VLOOKUP(G802,Inputs!$L$3:$P$15,5,FALSE)</f>
        <v>2000</v>
      </c>
      <c r="K802" s="16">
        <f t="shared" si="229"/>
        <v>1825</v>
      </c>
      <c r="L802" s="79">
        <f>Inputs!$P$8-B802</f>
        <v>16.381700000000023</v>
      </c>
      <c r="M802" s="79">
        <f>Inputs!$Q$8+L802*0.433</f>
        <v>1832.0932760999999</v>
      </c>
      <c r="N802" s="82">
        <f t="shared" si="230"/>
        <v>169499.92</v>
      </c>
      <c r="O802" s="83">
        <f t="shared" si="231"/>
        <v>921.80930000000001</v>
      </c>
      <c r="P802" s="84">
        <f>IF(O802="","",Inputs!$C$5-O802)</f>
        <v>-96.62480000000005</v>
      </c>
      <c r="Q802" s="83">
        <f>IF(N802="","",TS!J802)</f>
        <v>2000</v>
      </c>
      <c r="R802" s="83">
        <f>IF(N802="","",TS!K802)</f>
        <v>1825</v>
      </c>
      <c r="S802" s="83">
        <f>Inputs!$H$5+TS!P802*0.4333</f>
        <v>1833.0981906099998</v>
      </c>
      <c r="T802" s="83">
        <f>Inputs!$G$5+TS!P802*0.4333</f>
        <v>1848.0981906099998</v>
      </c>
      <c r="U802" s="85">
        <f t="shared" si="232"/>
        <v>0.9240490953049999</v>
      </c>
      <c r="V802" s="86">
        <f t="shared" si="220"/>
        <v>0</v>
      </c>
      <c r="W802" s="86">
        <f t="shared" si="221"/>
        <v>0</v>
      </c>
      <c r="X802" s="86" t="e">
        <f>((PI()*((42-2*'Gen Calcs'!$E$13)^2)/4)/144)*(A845-#REF!)*(W802+14.7)/14.7</f>
        <v>#REF!</v>
      </c>
      <c r="Y802" s="86" t="e">
        <f t="shared" si="222"/>
        <v>#REF!</v>
      </c>
      <c r="Z802" s="86" t="e">
        <f t="shared" si="223"/>
        <v>#REF!</v>
      </c>
      <c r="AA802" s="83">
        <f>MAX(B$2:B802)-B802</f>
        <v>16.381700000000023</v>
      </c>
      <c r="AB802" s="83">
        <f t="shared" si="224"/>
        <v>7.0932761000000104</v>
      </c>
      <c r="AC802" s="83">
        <f t="shared" si="226"/>
        <v>120</v>
      </c>
      <c r="AD802" s="72">
        <v>120</v>
      </c>
      <c r="AE802" s="73">
        <f t="shared" si="233"/>
        <v>907.92027688745009</v>
      </c>
      <c r="AF802" s="73">
        <f>SUM(AE$2:AE802)</f>
        <v>667482.50737384381</v>
      </c>
      <c r="AG802" s="73">
        <f t="shared" si="234"/>
        <v>506247.39505326538</v>
      </c>
    </row>
    <row r="803" spans="1:33" x14ac:dyDescent="0.25">
      <c r="A803" s="99">
        <v>169599.92</v>
      </c>
      <c r="B803" s="96">
        <v>921.10969999999998</v>
      </c>
      <c r="C803" s="96">
        <v>0.6</v>
      </c>
      <c r="D803" s="80">
        <f t="shared" si="235"/>
        <v>100</v>
      </c>
      <c r="E803" s="81">
        <f t="shared" si="227"/>
        <v>6791.2436711181272</v>
      </c>
      <c r="F803" s="81">
        <f>SUM(E$2:E803)</f>
        <v>4996144.5534278089</v>
      </c>
      <c r="G803" s="43">
        <f t="shared" si="225"/>
        <v>1</v>
      </c>
      <c r="H803" s="78">
        <v>1</v>
      </c>
      <c r="I803" s="15">
        <f t="shared" si="228"/>
        <v>0.6</v>
      </c>
      <c r="J803" s="16">
        <f>VLOOKUP(G803,Inputs!$L$3:$P$15,5,FALSE)</f>
        <v>2000</v>
      </c>
      <c r="K803" s="16">
        <f t="shared" si="229"/>
        <v>1825</v>
      </c>
      <c r="L803" s="79">
        <f>Inputs!$P$8-B803</f>
        <v>17.081300000000056</v>
      </c>
      <c r="M803" s="79">
        <f>Inputs!$Q$8+L803*0.433</f>
        <v>1832.3962028999999</v>
      </c>
      <c r="N803" s="82">
        <f t="shared" si="230"/>
        <v>169599.92</v>
      </c>
      <c r="O803" s="83">
        <f t="shared" si="231"/>
        <v>921.10969999999998</v>
      </c>
      <c r="P803" s="84">
        <f>IF(O803="","",Inputs!$C$5-O803)</f>
        <v>-95.925200000000018</v>
      </c>
      <c r="Q803" s="83">
        <f>IF(N803="","",TS!J803)</f>
        <v>2000</v>
      </c>
      <c r="R803" s="83">
        <f>IF(N803="","",TS!K803)</f>
        <v>1825</v>
      </c>
      <c r="S803" s="83">
        <f>Inputs!$H$5+TS!P803*0.4333</f>
        <v>1833.4013272899999</v>
      </c>
      <c r="T803" s="83">
        <f>Inputs!$G$5+TS!P803*0.4333</f>
        <v>1848.4013272899999</v>
      </c>
      <c r="U803" s="85">
        <f t="shared" si="232"/>
        <v>0.92420066364499998</v>
      </c>
      <c r="V803" s="86">
        <f t="shared" si="220"/>
        <v>0</v>
      </c>
      <c r="W803" s="86">
        <f t="shared" si="221"/>
        <v>0</v>
      </c>
      <c r="X803" s="86" t="e">
        <f>((PI()*((42-2*'Gen Calcs'!$E$13)^2)/4)/144)*(A846-#REF!)*(W803+14.7)/14.7</f>
        <v>#REF!</v>
      </c>
      <c r="Y803" s="86" t="e">
        <f t="shared" si="222"/>
        <v>#REF!</v>
      </c>
      <c r="Z803" s="86" t="e">
        <f t="shared" si="223"/>
        <v>#REF!</v>
      </c>
      <c r="AA803" s="83">
        <f>MAX(B$2:B803)-B803</f>
        <v>17.081300000000056</v>
      </c>
      <c r="AB803" s="83">
        <f t="shared" si="224"/>
        <v>7.3962029000000244</v>
      </c>
      <c r="AC803" s="83">
        <f t="shared" si="226"/>
        <v>120</v>
      </c>
      <c r="AD803" s="72">
        <v>120</v>
      </c>
      <c r="AE803" s="73">
        <f t="shared" si="233"/>
        <v>907.92027688745009</v>
      </c>
      <c r="AF803" s="73">
        <f>SUM(AE$2:AE803)</f>
        <v>668390.42765073129</v>
      </c>
      <c r="AG803" s="73">
        <f t="shared" si="234"/>
        <v>505339.4747763779</v>
      </c>
    </row>
    <row r="804" spans="1:33" x14ac:dyDescent="0.25">
      <c r="A804" s="100">
        <v>169699.92</v>
      </c>
      <c r="B804" s="97">
        <v>918.66160000000002</v>
      </c>
      <c r="C804" s="97">
        <v>0.6</v>
      </c>
      <c r="D804" s="80">
        <f t="shared" si="235"/>
        <v>100</v>
      </c>
      <c r="E804" s="81">
        <f t="shared" si="227"/>
        <v>6791.2436711181272</v>
      </c>
      <c r="F804" s="81">
        <f>SUM(E$2:E804)</f>
        <v>5002935.7970989272</v>
      </c>
      <c r="G804" s="43">
        <f t="shared" si="225"/>
        <v>1</v>
      </c>
      <c r="H804" s="78">
        <v>1</v>
      </c>
      <c r="I804" s="15">
        <f t="shared" si="228"/>
        <v>0.6</v>
      </c>
      <c r="J804" s="16">
        <f>VLOOKUP(G804,Inputs!$L$3:$P$15,5,FALSE)</f>
        <v>2000</v>
      </c>
      <c r="K804" s="16">
        <f t="shared" si="229"/>
        <v>1825</v>
      </c>
      <c r="L804" s="79">
        <f>Inputs!$P$8-B804</f>
        <v>19.52940000000001</v>
      </c>
      <c r="M804" s="79">
        <f>Inputs!$Q$8+L804*0.433</f>
        <v>1833.4562301999999</v>
      </c>
      <c r="N804" s="82">
        <f t="shared" si="230"/>
        <v>169699.92</v>
      </c>
      <c r="O804" s="83">
        <f t="shared" si="231"/>
        <v>918.66160000000002</v>
      </c>
      <c r="P804" s="84">
        <f>IF(O804="","",Inputs!$C$5-O804)</f>
        <v>-93.477100000000064</v>
      </c>
      <c r="Q804" s="83">
        <f>IF(N804="","",TS!J804)</f>
        <v>2000</v>
      </c>
      <c r="R804" s="83">
        <f>IF(N804="","",TS!K804)</f>
        <v>1825</v>
      </c>
      <c r="S804" s="83">
        <f>Inputs!$H$5+TS!P804*0.4333</f>
        <v>1834.4620890199999</v>
      </c>
      <c r="T804" s="83">
        <f>Inputs!$G$5+TS!P804*0.4333</f>
        <v>1849.4620890199999</v>
      </c>
      <c r="U804" s="85">
        <f t="shared" si="232"/>
        <v>0.92473104450999999</v>
      </c>
      <c r="V804" s="86">
        <f t="shared" si="220"/>
        <v>0</v>
      </c>
      <c r="W804" s="86">
        <f t="shared" si="221"/>
        <v>0</v>
      </c>
      <c r="X804" s="86" t="e">
        <f>((PI()*((42-2*'Gen Calcs'!$E$13)^2)/4)/144)*(A847-#REF!)*(W804+14.7)/14.7</f>
        <v>#REF!</v>
      </c>
      <c r="Y804" s="86" t="e">
        <f t="shared" si="222"/>
        <v>#REF!</v>
      </c>
      <c r="Z804" s="86" t="e">
        <f t="shared" si="223"/>
        <v>#REF!</v>
      </c>
      <c r="AA804" s="83">
        <f>MAX(B$2:B804)-B804</f>
        <v>19.52940000000001</v>
      </c>
      <c r="AB804" s="83">
        <f t="shared" si="224"/>
        <v>8.4562302000000038</v>
      </c>
      <c r="AC804" s="83">
        <f t="shared" si="226"/>
        <v>120</v>
      </c>
      <c r="AD804" s="72">
        <v>120</v>
      </c>
      <c r="AE804" s="73">
        <f t="shared" si="233"/>
        <v>907.92027688745009</v>
      </c>
      <c r="AF804" s="73">
        <f>SUM(AE$2:AE804)</f>
        <v>669298.34792761877</v>
      </c>
      <c r="AG804" s="73">
        <f t="shared" si="234"/>
        <v>504431.55449949042</v>
      </c>
    </row>
    <row r="805" spans="1:33" x14ac:dyDescent="0.25">
      <c r="A805" s="99">
        <v>169799.92</v>
      </c>
      <c r="B805" s="96">
        <v>915.51800000000003</v>
      </c>
      <c r="C805" s="96">
        <v>0.6</v>
      </c>
      <c r="D805" s="80">
        <f t="shared" si="235"/>
        <v>100</v>
      </c>
      <c r="E805" s="81">
        <f t="shared" si="227"/>
        <v>6791.2436711181272</v>
      </c>
      <c r="F805" s="81">
        <f>SUM(E$2:E805)</f>
        <v>5009727.0407700455</v>
      </c>
      <c r="G805" s="43">
        <f t="shared" si="225"/>
        <v>1</v>
      </c>
      <c r="H805" s="78">
        <v>1</v>
      </c>
      <c r="I805" s="15">
        <f t="shared" si="228"/>
        <v>0.6</v>
      </c>
      <c r="J805" s="16">
        <f>VLOOKUP(G805,Inputs!$L$3:$P$15,5,FALSE)</f>
        <v>2000</v>
      </c>
      <c r="K805" s="16">
        <f t="shared" si="229"/>
        <v>1825</v>
      </c>
      <c r="L805" s="79">
        <f>Inputs!$P$8-B805</f>
        <v>22.673000000000002</v>
      </c>
      <c r="M805" s="79">
        <f>Inputs!$Q$8+L805*0.433</f>
        <v>1834.817409</v>
      </c>
      <c r="N805" s="82">
        <f t="shared" si="230"/>
        <v>169799.92</v>
      </c>
      <c r="O805" s="83">
        <f t="shared" si="231"/>
        <v>915.51800000000003</v>
      </c>
      <c r="P805" s="84">
        <f>IF(O805="","",Inputs!$C$5-O805)</f>
        <v>-90.333500000000072</v>
      </c>
      <c r="Q805" s="83">
        <f>IF(N805="","",TS!J805)</f>
        <v>2000</v>
      </c>
      <c r="R805" s="83">
        <f>IF(N805="","",TS!K805)</f>
        <v>1825</v>
      </c>
      <c r="S805" s="83">
        <f>Inputs!$H$5+TS!P805*0.4333</f>
        <v>1835.8242108999998</v>
      </c>
      <c r="T805" s="83">
        <f>Inputs!$G$5+TS!P805*0.4333</f>
        <v>1850.8242108999998</v>
      </c>
      <c r="U805" s="85">
        <f t="shared" si="232"/>
        <v>0.92541210544999986</v>
      </c>
      <c r="V805" s="86">
        <f t="shared" si="220"/>
        <v>0</v>
      </c>
      <c r="W805" s="86">
        <f t="shared" si="221"/>
        <v>0</v>
      </c>
      <c r="X805" s="86" t="e">
        <f>((PI()*((42-2*'Gen Calcs'!$E$13)^2)/4)/144)*(A848-#REF!)*(W805+14.7)/14.7</f>
        <v>#REF!</v>
      </c>
      <c r="Y805" s="86" t="e">
        <f t="shared" si="222"/>
        <v>#REF!</v>
      </c>
      <c r="Z805" s="86" t="e">
        <f t="shared" si="223"/>
        <v>#REF!</v>
      </c>
      <c r="AA805" s="83">
        <f>MAX(B$2:B805)-B805</f>
        <v>22.673000000000002</v>
      </c>
      <c r="AB805" s="83">
        <f t="shared" si="224"/>
        <v>9.8174090000000014</v>
      </c>
      <c r="AC805" s="83">
        <f t="shared" si="226"/>
        <v>120</v>
      </c>
      <c r="AD805" s="72">
        <v>120</v>
      </c>
      <c r="AE805" s="73">
        <f t="shared" si="233"/>
        <v>907.92027688745009</v>
      </c>
      <c r="AF805" s="73">
        <f>SUM(AE$2:AE805)</f>
        <v>670206.26820450625</v>
      </c>
      <c r="AG805" s="73">
        <f t="shared" si="234"/>
        <v>503523.63422260294</v>
      </c>
    </row>
    <row r="806" spans="1:33" x14ac:dyDescent="0.25">
      <c r="A806" s="100">
        <v>169899.92</v>
      </c>
      <c r="B806" s="97">
        <v>911.89329999999995</v>
      </c>
      <c r="C806" s="97">
        <v>0.6</v>
      </c>
      <c r="D806" s="80">
        <f t="shared" si="235"/>
        <v>100</v>
      </c>
      <c r="E806" s="81">
        <f t="shared" si="227"/>
        <v>6791.2436711181272</v>
      </c>
      <c r="F806" s="81">
        <f>SUM(E$2:E806)</f>
        <v>5016518.2844411638</v>
      </c>
      <c r="G806" s="43">
        <f t="shared" si="225"/>
        <v>1</v>
      </c>
      <c r="H806" s="78">
        <v>1</v>
      </c>
      <c r="I806" s="15">
        <f t="shared" si="228"/>
        <v>0.6</v>
      </c>
      <c r="J806" s="16">
        <f>VLOOKUP(G806,Inputs!$L$3:$P$15,5,FALSE)</f>
        <v>2000</v>
      </c>
      <c r="K806" s="16">
        <f t="shared" si="229"/>
        <v>1825</v>
      </c>
      <c r="L806" s="79">
        <f>Inputs!$P$8-B806</f>
        <v>26.297700000000077</v>
      </c>
      <c r="M806" s="79">
        <f>Inputs!$Q$8+L806*0.433</f>
        <v>1836.3869041</v>
      </c>
      <c r="N806" s="82">
        <f t="shared" si="230"/>
        <v>169899.92</v>
      </c>
      <c r="O806" s="83">
        <f t="shared" si="231"/>
        <v>911.89329999999995</v>
      </c>
      <c r="P806" s="84">
        <f>IF(O806="","",Inputs!$C$5-O806)</f>
        <v>-86.708799999999997</v>
      </c>
      <c r="Q806" s="83">
        <f>IF(N806="","",TS!J806)</f>
        <v>2000</v>
      </c>
      <c r="R806" s="83">
        <f>IF(N806="","",TS!K806)</f>
        <v>1825</v>
      </c>
      <c r="S806" s="83">
        <f>Inputs!$H$5+TS!P806*0.4333</f>
        <v>1837.3947934099999</v>
      </c>
      <c r="T806" s="83">
        <f>Inputs!$G$5+TS!P806*0.4333</f>
        <v>1852.3947934099999</v>
      </c>
      <c r="U806" s="85">
        <f t="shared" si="232"/>
        <v>0.92619739670500001</v>
      </c>
      <c r="V806" s="86">
        <f t="shared" si="220"/>
        <v>0</v>
      </c>
      <c r="W806" s="86">
        <f t="shared" si="221"/>
        <v>0</v>
      </c>
      <c r="X806" s="86" t="e">
        <f>((PI()*((42-2*'Gen Calcs'!$E$13)^2)/4)/144)*(A849-#REF!)*(W806+14.7)/14.7</f>
        <v>#REF!</v>
      </c>
      <c r="Y806" s="86" t="e">
        <f t="shared" si="222"/>
        <v>#REF!</v>
      </c>
      <c r="Z806" s="86" t="e">
        <f t="shared" si="223"/>
        <v>#REF!</v>
      </c>
      <c r="AA806" s="83">
        <f>MAX(B$2:B806)-B806</f>
        <v>26.297700000000077</v>
      </c>
      <c r="AB806" s="83">
        <f t="shared" si="224"/>
        <v>11.386904100000033</v>
      </c>
      <c r="AC806" s="83">
        <f t="shared" si="226"/>
        <v>120</v>
      </c>
      <c r="AD806" s="72">
        <v>120</v>
      </c>
      <c r="AE806" s="73">
        <f t="shared" si="233"/>
        <v>907.92027688745009</v>
      </c>
      <c r="AF806" s="73">
        <f>SUM(AE$2:AE806)</f>
        <v>671114.18848139374</v>
      </c>
      <c r="AG806" s="73">
        <f t="shared" si="234"/>
        <v>502615.71394571546</v>
      </c>
    </row>
    <row r="807" spans="1:33" x14ac:dyDescent="0.25">
      <c r="A807" s="99">
        <v>169999.92</v>
      </c>
      <c r="B807" s="96">
        <v>907.73800000000006</v>
      </c>
      <c r="C807" s="96">
        <v>0.6</v>
      </c>
      <c r="D807" s="80">
        <f t="shared" si="235"/>
        <v>100</v>
      </c>
      <c r="E807" s="81">
        <f t="shared" si="227"/>
        <v>6791.2436711181272</v>
      </c>
      <c r="F807" s="81">
        <f>SUM(E$2:E807)</f>
        <v>5023309.528112282</v>
      </c>
      <c r="G807" s="43">
        <f t="shared" si="225"/>
        <v>1</v>
      </c>
      <c r="H807" s="78">
        <v>1</v>
      </c>
      <c r="I807" s="15">
        <f t="shared" si="228"/>
        <v>0.6</v>
      </c>
      <c r="J807" s="16">
        <f>VLOOKUP(G807,Inputs!$L$3:$P$15,5,FALSE)</f>
        <v>2000</v>
      </c>
      <c r="K807" s="16">
        <f t="shared" si="229"/>
        <v>1825</v>
      </c>
      <c r="L807" s="79">
        <f>Inputs!$P$8-B807</f>
        <v>30.452999999999975</v>
      </c>
      <c r="M807" s="79">
        <f>Inputs!$Q$8+L807*0.433</f>
        <v>1838.1861489999999</v>
      </c>
      <c r="N807" s="82">
        <f t="shared" si="230"/>
        <v>169999.92</v>
      </c>
      <c r="O807" s="83">
        <f t="shared" si="231"/>
        <v>907.73800000000006</v>
      </c>
      <c r="P807" s="84">
        <f>IF(O807="","",Inputs!$C$5-O807)</f>
        <v>-82.553500000000099</v>
      </c>
      <c r="Q807" s="83">
        <f>IF(N807="","",TS!J807)</f>
        <v>2000</v>
      </c>
      <c r="R807" s="83">
        <f>IF(N807="","",TS!K807)</f>
        <v>1825</v>
      </c>
      <c r="S807" s="83">
        <f>Inputs!$H$5+TS!P807*0.4333</f>
        <v>1839.1952848999999</v>
      </c>
      <c r="T807" s="83">
        <f>Inputs!$G$5+TS!P807*0.4333</f>
        <v>1854.1952848999999</v>
      </c>
      <c r="U807" s="85">
        <f t="shared" si="232"/>
        <v>0.92709764244999993</v>
      </c>
      <c r="V807" s="86">
        <f t="shared" si="220"/>
        <v>0</v>
      </c>
      <c r="W807" s="86">
        <f t="shared" si="221"/>
        <v>0</v>
      </c>
      <c r="X807" s="86" t="e">
        <f>((PI()*((42-2*'Gen Calcs'!$E$13)^2)/4)/144)*(A850-#REF!)*(W807+14.7)/14.7</f>
        <v>#REF!</v>
      </c>
      <c r="Y807" s="86" t="e">
        <f t="shared" si="222"/>
        <v>#REF!</v>
      </c>
      <c r="Z807" s="86" t="e">
        <f t="shared" si="223"/>
        <v>#REF!</v>
      </c>
      <c r="AA807" s="83">
        <f>MAX(B$2:B807)-B807</f>
        <v>30.452999999999975</v>
      </c>
      <c r="AB807" s="83">
        <f t="shared" si="224"/>
        <v>13.18614899999999</v>
      </c>
      <c r="AC807" s="83">
        <f t="shared" si="226"/>
        <v>120</v>
      </c>
      <c r="AD807" s="72">
        <v>120</v>
      </c>
      <c r="AE807" s="73">
        <f t="shared" si="233"/>
        <v>907.92027688745009</v>
      </c>
      <c r="AF807" s="73">
        <f>SUM(AE$2:AE807)</f>
        <v>672022.10875828122</v>
      </c>
      <c r="AG807" s="73">
        <f t="shared" si="234"/>
        <v>501707.79366882797</v>
      </c>
    </row>
    <row r="808" spans="1:33" x14ac:dyDescent="0.25">
      <c r="A808" s="100">
        <v>170099.92</v>
      </c>
      <c r="B808" s="97">
        <v>904.63670000000002</v>
      </c>
      <c r="C808" s="97">
        <v>0.6</v>
      </c>
      <c r="D808" s="80">
        <f t="shared" si="235"/>
        <v>100</v>
      </c>
      <c r="E808" s="81">
        <f t="shared" si="227"/>
        <v>6616.6076625842816</v>
      </c>
      <c r="F808" s="81">
        <f>SUM(E$2:E808)</f>
        <v>5029926.1357748667</v>
      </c>
      <c r="G808" s="43">
        <f t="shared" si="225"/>
        <v>1</v>
      </c>
      <c r="H808" s="78">
        <v>1</v>
      </c>
      <c r="I808" s="15">
        <f t="shared" si="228"/>
        <v>0.6</v>
      </c>
      <c r="J808" s="16">
        <f>VLOOKUP(G808,Inputs!$L$3:$P$15,5,FALSE)</f>
        <v>2000</v>
      </c>
      <c r="K808" s="16">
        <f t="shared" si="229"/>
        <v>1825</v>
      </c>
      <c r="L808" s="79">
        <f>Inputs!$P$8-B808</f>
        <v>33.554300000000012</v>
      </c>
      <c r="M808" s="79">
        <f>Inputs!$Q$8+L808*0.433</f>
        <v>1839.5290119000001</v>
      </c>
      <c r="N808" s="82">
        <f t="shared" si="230"/>
        <v>170099.92</v>
      </c>
      <c r="O808" s="83">
        <f t="shared" si="231"/>
        <v>904.63670000000002</v>
      </c>
      <c r="P808" s="84">
        <f>IF(O808="","",Inputs!$C$5-O808)</f>
        <v>-79.452200000000062</v>
      </c>
      <c r="Q808" s="83">
        <f>IF(N808="","",TS!J808)</f>
        <v>2000</v>
      </c>
      <c r="R808" s="83">
        <f>IF(N808="","",TS!K808)</f>
        <v>1825</v>
      </c>
      <c r="S808" s="83">
        <f>Inputs!$H$5+TS!P808*0.4333</f>
        <v>1840.5390781899998</v>
      </c>
      <c r="T808" s="83">
        <f>Inputs!$G$5+TS!P808*0.4333</f>
        <v>1855.5390781899998</v>
      </c>
      <c r="U808" s="85">
        <f t="shared" si="232"/>
        <v>0.92776953909499993</v>
      </c>
      <c r="V808" s="86">
        <f t="shared" si="220"/>
        <v>0</v>
      </c>
      <c r="W808" s="86">
        <f t="shared" si="221"/>
        <v>0</v>
      </c>
      <c r="X808" s="86" t="e">
        <f>((PI()*((42-2*'Gen Calcs'!$E$13)^2)/4)/144)*(A851-#REF!)*(W808+14.7)/14.7</f>
        <v>#REF!</v>
      </c>
      <c r="Y808" s="86" t="e">
        <f t="shared" si="222"/>
        <v>#REF!</v>
      </c>
      <c r="Z808" s="86" t="e">
        <f t="shared" si="223"/>
        <v>#REF!</v>
      </c>
      <c r="AA808" s="83">
        <f>MAX(B$2:B808)-B808</f>
        <v>33.554300000000012</v>
      </c>
      <c r="AB808" s="83">
        <f t="shared" si="224"/>
        <v>14.529011900000006</v>
      </c>
      <c r="AC808" s="83">
        <f t="shared" si="226"/>
        <v>120</v>
      </c>
      <c r="AD808" s="72">
        <v>120</v>
      </c>
      <c r="AE808" s="73">
        <f t="shared" si="233"/>
        <v>907.92027688745009</v>
      </c>
      <c r="AF808" s="73">
        <f>SUM(AE$2:AE808)</f>
        <v>672930.0290351687</v>
      </c>
      <c r="AG808" s="73">
        <f t="shared" si="234"/>
        <v>500799.87339194049</v>
      </c>
    </row>
    <row r="809" spans="1:33" x14ac:dyDescent="0.25">
      <c r="A809" s="99">
        <v>170199.92</v>
      </c>
      <c r="B809" s="96">
        <v>901.48710000000005</v>
      </c>
      <c r="C809" s="96">
        <v>0.6</v>
      </c>
      <c r="D809" s="80">
        <f t="shared" si="235"/>
        <v>100</v>
      </c>
      <c r="E809" s="81">
        <f t="shared" si="227"/>
        <v>6791.2436711181272</v>
      </c>
      <c r="F809" s="81">
        <f>SUM(E$2:E809)</f>
        <v>5036717.379445985</v>
      </c>
      <c r="G809" s="43">
        <f t="shared" si="225"/>
        <v>1</v>
      </c>
      <c r="H809" s="78">
        <v>1</v>
      </c>
      <c r="I809" s="15">
        <f t="shared" si="228"/>
        <v>0.6</v>
      </c>
      <c r="J809" s="16">
        <f>VLOOKUP(G809,Inputs!$L$3:$P$15,5,FALSE)</f>
        <v>2000</v>
      </c>
      <c r="K809" s="16">
        <f t="shared" si="229"/>
        <v>1825</v>
      </c>
      <c r="L809" s="79">
        <f>Inputs!$P$8-B809</f>
        <v>36.703899999999976</v>
      </c>
      <c r="M809" s="79">
        <f>Inputs!$Q$8+L809*0.433</f>
        <v>1840.8927887</v>
      </c>
      <c r="N809" s="82">
        <f t="shared" si="230"/>
        <v>170199.92</v>
      </c>
      <c r="O809" s="83">
        <f t="shared" si="231"/>
        <v>901.48710000000005</v>
      </c>
      <c r="P809" s="84">
        <f>IF(O809="","",Inputs!$C$5-O809)</f>
        <v>-76.302600000000098</v>
      </c>
      <c r="Q809" s="83">
        <f>IF(N809="","",TS!J809)</f>
        <v>2000</v>
      </c>
      <c r="R809" s="83">
        <f>IF(N809="","",TS!K809)</f>
        <v>1825</v>
      </c>
      <c r="S809" s="83">
        <f>Inputs!$H$5+TS!P809*0.4333</f>
        <v>1841.9037998699998</v>
      </c>
      <c r="T809" s="83">
        <f>Inputs!$G$5+TS!P809*0.4333</f>
        <v>1856.9037998699998</v>
      </c>
      <c r="U809" s="85">
        <f t="shared" si="232"/>
        <v>0.92845189993499988</v>
      </c>
      <c r="V809" s="86">
        <f t="shared" si="220"/>
        <v>0</v>
      </c>
      <c r="W809" s="86">
        <f t="shared" si="221"/>
        <v>0</v>
      </c>
      <c r="X809" s="86" t="e">
        <f>((PI()*((42-2*'Gen Calcs'!$E$13)^2)/4)/144)*(A852-#REF!)*(W809+14.7)/14.7</f>
        <v>#REF!</v>
      </c>
      <c r="Y809" s="86" t="e">
        <f t="shared" si="222"/>
        <v>#REF!</v>
      </c>
      <c r="Z809" s="86" t="e">
        <f t="shared" si="223"/>
        <v>#REF!</v>
      </c>
      <c r="AA809" s="83">
        <f>MAX(B$2:B809)-B809</f>
        <v>36.703899999999976</v>
      </c>
      <c r="AB809" s="83">
        <f t="shared" si="224"/>
        <v>15.89278869999999</v>
      </c>
      <c r="AC809" s="83">
        <f t="shared" si="226"/>
        <v>120</v>
      </c>
      <c r="AD809" s="72">
        <v>120</v>
      </c>
      <c r="AE809" s="73">
        <f t="shared" si="233"/>
        <v>907.92027688745009</v>
      </c>
      <c r="AF809" s="73">
        <f>SUM(AE$2:AE809)</f>
        <v>673837.94931205618</v>
      </c>
      <c r="AG809" s="73">
        <f t="shared" si="234"/>
        <v>499891.95311505301</v>
      </c>
    </row>
    <row r="810" spans="1:33" x14ac:dyDescent="0.25">
      <c r="A810" s="100">
        <v>170299.92</v>
      </c>
      <c r="B810" s="97">
        <v>898.94880000000001</v>
      </c>
      <c r="C810" s="97">
        <v>0.6</v>
      </c>
      <c r="D810" s="80">
        <f t="shared" si="235"/>
        <v>100</v>
      </c>
      <c r="E810" s="81">
        <f t="shared" si="227"/>
        <v>6616.6076625842816</v>
      </c>
      <c r="F810" s="81">
        <f>SUM(E$2:E810)</f>
        <v>5043333.9871085696</v>
      </c>
      <c r="G810" s="43">
        <f t="shared" si="225"/>
        <v>1</v>
      </c>
      <c r="H810" s="78">
        <v>1</v>
      </c>
      <c r="I810" s="15">
        <f t="shared" si="228"/>
        <v>0.6</v>
      </c>
      <c r="J810" s="16">
        <f>VLOOKUP(G810,Inputs!$L$3:$P$15,5,FALSE)</f>
        <v>2000</v>
      </c>
      <c r="K810" s="16">
        <f t="shared" si="229"/>
        <v>1825</v>
      </c>
      <c r="L810" s="79">
        <f>Inputs!$P$8-B810</f>
        <v>39.242200000000025</v>
      </c>
      <c r="M810" s="79">
        <f>Inputs!$Q$8+L810*0.433</f>
        <v>1841.9918726000001</v>
      </c>
      <c r="N810" s="82">
        <f t="shared" si="230"/>
        <v>170299.92</v>
      </c>
      <c r="O810" s="83">
        <f t="shared" si="231"/>
        <v>898.94880000000001</v>
      </c>
      <c r="P810" s="84">
        <f>IF(O810="","",Inputs!$C$5-O810)</f>
        <v>-73.764300000000048</v>
      </c>
      <c r="Q810" s="83">
        <f>IF(N810="","",TS!J810)</f>
        <v>2000</v>
      </c>
      <c r="R810" s="83">
        <f>IF(N810="","",TS!K810)</f>
        <v>1825</v>
      </c>
      <c r="S810" s="83">
        <f>Inputs!$H$5+TS!P810*0.4333</f>
        <v>1843.00364526</v>
      </c>
      <c r="T810" s="83">
        <f>Inputs!$G$5+TS!P810*0.4333</f>
        <v>1858.00364526</v>
      </c>
      <c r="U810" s="85">
        <f t="shared" si="232"/>
        <v>0.92900182262999997</v>
      </c>
      <c r="V810" s="86">
        <f t="shared" si="220"/>
        <v>0</v>
      </c>
      <c r="W810" s="86">
        <f t="shared" si="221"/>
        <v>0</v>
      </c>
      <c r="X810" s="86" t="e">
        <f>((PI()*((42-2*'Gen Calcs'!$E$13)^2)/4)/144)*(A853-#REF!)*(W810+14.7)/14.7</f>
        <v>#REF!</v>
      </c>
      <c r="Y810" s="86" t="e">
        <f t="shared" si="222"/>
        <v>#REF!</v>
      </c>
      <c r="Z810" s="86" t="e">
        <f t="shared" si="223"/>
        <v>#REF!</v>
      </c>
      <c r="AA810" s="83">
        <f>MAX(B$2:B810)-B810</f>
        <v>39.242200000000025</v>
      </c>
      <c r="AB810" s="83">
        <f t="shared" si="224"/>
        <v>16.991872600000011</v>
      </c>
      <c r="AC810" s="83">
        <f t="shared" si="226"/>
        <v>120</v>
      </c>
      <c r="AD810" s="72">
        <v>120</v>
      </c>
      <c r="AE810" s="73">
        <f t="shared" si="233"/>
        <v>907.92027688745009</v>
      </c>
      <c r="AF810" s="73">
        <f>SUM(AE$2:AE810)</f>
        <v>674745.86958894366</v>
      </c>
      <c r="AG810" s="73">
        <f t="shared" si="234"/>
        <v>498984.03283816553</v>
      </c>
    </row>
    <row r="811" spans="1:33" x14ac:dyDescent="0.25">
      <c r="A811" s="99">
        <v>170399.92</v>
      </c>
      <c r="B811" s="96">
        <v>897.44330000000002</v>
      </c>
      <c r="C811" s="96">
        <v>0.6</v>
      </c>
      <c r="D811" s="80">
        <f t="shared" si="235"/>
        <v>100</v>
      </c>
      <c r="E811" s="81">
        <f t="shared" si="227"/>
        <v>6791.2436711181272</v>
      </c>
      <c r="F811" s="81">
        <f>SUM(E$2:E811)</f>
        <v>5050125.2307796879</v>
      </c>
      <c r="G811" s="43">
        <f t="shared" si="225"/>
        <v>1</v>
      </c>
      <c r="H811" s="78">
        <v>1</v>
      </c>
      <c r="I811" s="15">
        <f t="shared" si="228"/>
        <v>0.6</v>
      </c>
      <c r="J811" s="16">
        <f>VLOOKUP(G811,Inputs!$L$3:$P$15,5,FALSE)</f>
        <v>2000</v>
      </c>
      <c r="K811" s="16">
        <f t="shared" si="229"/>
        <v>1825</v>
      </c>
      <c r="L811" s="79">
        <f>Inputs!$P$8-B811</f>
        <v>40.747700000000009</v>
      </c>
      <c r="M811" s="79">
        <f>Inputs!$Q$8+L811*0.433</f>
        <v>1842.6437541</v>
      </c>
      <c r="N811" s="82">
        <f t="shared" si="230"/>
        <v>170399.92</v>
      </c>
      <c r="O811" s="83">
        <f t="shared" si="231"/>
        <v>897.44330000000002</v>
      </c>
      <c r="P811" s="84">
        <f>IF(O811="","",Inputs!$C$5-O811)</f>
        <v>-72.258800000000065</v>
      </c>
      <c r="Q811" s="83">
        <f>IF(N811="","",TS!J811)</f>
        <v>2000</v>
      </c>
      <c r="R811" s="83">
        <f>IF(N811="","",TS!K811)</f>
        <v>1825</v>
      </c>
      <c r="S811" s="83">
        <f>Inputs!$H$5+TS!P811*0.4333</f>
        <v>1843.65597841</v>
      </c>
      <c r="T811" s="83">
        <f>Inputs!$G$5+TS!P811*0.4333</f>
        <v>1858.65597841</v>
      </c>
      <c r="U811" s="85">
        <f t="shared" si="232"/>
        <v>0.92932798920500004</v>
      </c>
      <c r="V811" s="86">
        <f t="shared" si="220"/>
        <v>0</v>
      </c>
      <c r="W811" s="86">
        <f t="shared" si="221"/>
        <v>0</v>
      </c>
      <c r="X811" s="86" t="e">
        <f>((PI()*((42-2*'Gen Calcs'!$E$13)^2)/4)/144)*(A854-#REF!)*(W811+14.7)/14.7</f>
        <v>#REF!</v>
      </c>
      <c r="Y811" s="86" t="e">
        <f t="shared" si="222"/>
        <v>#REF!</v>
      </c>
      <c r="Z811" s="86" t="e">
        <f t="shared" si="223"/>
        <v>#REF!</v>
      </c>
      <c r="AA811" s="83">
        <f>MAX(B$2:B811)-B811</f>
        <v>40.747700000000009</v>
      </c>
      <c r="AB811" s="83">
        <f t="shared" si="224"/>
        <v>17.643754100000002</v>
      </c>
      <c r="AC811" s="83">
        <f t="shared" si="226"/>
        <v>120</v>
      </c>
      <c r="AD811" s="72">
        <v>120</v>
      </c>
      <c r="AE811" s="73">
        <f t="shared" si="233"/>
        <v>907.92027688745009</v>
      </c>
      <c r="AF811" s="73">
        <f>SUM(AE$2:AE811)</f>
        <v>675653.78986583115</v>
      </c>
      <c r="AG811" s="73">
        <f t="shared" si="234"/>
        <v>498076.11256127805</v>
      </c>
    </row>
    <row r="812" spans="1:33" x14ac:dyDescent="0.25">
      <c r="A812" s="100">
        <v>170499.92</v>
      </c>
      <c r="B812" s="97">
        <v>896.33759999999995</v>
      </c>
      <c r="C812" s="97">
        <v>0.6</v>
      </c>
      <c r="D812" s="80">
        <f t="shared" si="235"/>
        <v>100</v>
      </c>
      <c r="E812" s="81">
        <f t="shared" si="227"/>
        <v>6791.2436711181272</v>
      </c>
      <c r="F812" s="81">
        <f>SUM(E$2:E812)</f>
        <v>5056916.4744508062</v>
      </c>
      <c r="G812" s="43">
        <f t="shared" si="225"/>
        <v>1</v>
      </c>
      <c r="H812" s="78">
        <v>1</v>
      </c>
      <c r="I812" s="15">
        <f t="shared" si="228"/>
        <v>0.6</v>
      </c>
      <c r="J812" s="16">
        <f>VLOOKUP(G812,Inputs!$L$3:$P$15,5,FALSE)</f>
        <v>2000</v>
      </c>
      <c r="K812" s="16">
        <f t="shared" si="229"/>
        <v>1825</v>
      </c>
      <c r="L812" s="79">
        <f>Inputs!$P$8-B812</f>
        <v>41.853400000000079</v>
      </c>
      <c r="M812" s="79">
        <f>Inputs!$Q$8+L812*0.433</f>
        <v>1843.1225222</v>
      </c>
      <c r="N812" s="82">
        <f t="shared" si="230"/>
        <v>170499.92</v>
      </c>
      <c r="O812" s="83">
        <f t="shared" si="231"/>
        <v>896.33759999999995</v>
      </c>
      <c r="P812" s="84">
        <f>IF(O812="","",Inputs!$C$5-O812)</f>
        <v>-71.153099999999995</v>
      </c>
      <c r="Q812" s="83">
        <f>IF(N812="","",TS!J812)</f>
        <v>2000</v>
      </c>
      <c r="R812" s="83">
        <f>IF(N812="","",TS!K812)</f>
        <v>1825</v>
      </c>
      <c r="S812" s="83">
        <f>Inputs!$H$5+TS!P812*0.4333</f>
        <v>1844.13507822</v>
      </c>
      <c r="T812" s="83">
        <f>Inputs!$G$5+TS!P812*0.4333</f>
        <v>1859.13507822</v>
      </c>
      <c r="U812" s="85">
        <f t="shared" si="232"/>
        <v>0.92956753911000001</v>
      </c>
      <c r="V812" s="86">
        <f t="shared" si="220"/>
        <v>0</v>
      </c>
      <c r="W812" s="86">
        <f t="shared" si="221"/>
        <v>0</v>
      </c>
      <c r="X812" s="86" t="e">
        <f>((PI()*((42-2*'Gen Calcs'!$E$13)^2)/4)/144)*(A855-#REF!)*(W812+14.7)/14.7</f>
        <v>#REF!</v>
      </c>
      <c r="Y812" s="86" t="e">
        <f t="shared" si="222"/>
        <v>#REF!</v>
      </c>
      <c r="Z812" s="86" t="e">
        <f t="shared" si="223"/>
        <v>#REF!</v>
      </c>
      <c r="AA812" s="83">
        <f>MAX(B$2:B812)-B812</f>
        <v>41.853400000000079</v>
      </c>
      <c r="AB812" s="83">
        <f t="shared" si="224"/>
        <v>18.122522200000034</v>
      </c>
      <c r="AC812" s="83">
        <f t="shared" si="226"/>
        <v>120</v>
      </c>
      <c r="AD812" s="72">
        <v>120</v>
      </c>
      <c r="AE812" s="73">
        <f t="shared" si="233"/>
        <v>907.92027688745009</v>
      </c>
      <c r="AF812" s="73">
        <f>SUM(AE$2:AE812)</f>
        <v>676561.71014271863</v>
      </c>
      <c r="AG812" s="73">
        <f t="shared" si="234"/>
        <v>497168.19228439056</v>
      </c>
    </row>
    <row r="813" spans="1:33" x14ac:dyDescent="0.25">
      <c r="A813" s="99">
        <v>170599.92</v>
      </c>
      <c r="B813" s="96">
        <v>896.80089999999996</v>
      </c>
      <c r="C813" s="96">
        <v>0.6</v>
      </c>
      <c r="D813" s="80">
        <f t="shared" si="235"/>
        <v>100</v>
      </c>
      <c r="E813" s="81">
        <f t="shared" si="227"/>
        <v>6791.2436711181272</v>
      </c>
      <c r="F813" s="81">
        <f>SUM(E$2:E813)</f>
        <v>5063707.7181219244</v>
      </c>
      <c r="G813" s="43">
        <f t="shared" si="225"/>
        <v>1</v>
      </c>
      <c r="H813" s="78">
        <v>1</v>
      </c>
      <c r="I813" s="15">
        <f t="shared" si="228"/>
        <v>0.6</v>
      </c>
      <c r="J813" s="16">
        <f>VLOOKUP(G813,Inputs!$L$3:$P$15,5,FALSE)</f>
        <v>2000</v>
      </c>
      <c r="K813" s="16">
        <f t="shared" si="229"/>
        <v>1825</v>
      </c>
      <c r="L813" s="79">
        <f>Inputs!$P$8-B813</f>
        <v>41.390100000000075</v>
      </c>
      <c r="M813" s="79">
        <f>Inputs!$Q$8+L813*0.433</f>
        <v>1842.9219133000001</v>
      </c>
      <c r="N813" s="82">
        <f t="shared" si="230"/>
        <v>170599.92</v>
      </c>
      <c r="O813" s="83">
        <f t="shared" si="231"/>
        <v>896.80089999999996</v>
      </c>
      <c r="P813" s="84">
        <f>IF(O813="","",Inputs!$C$5-O813)</f>
        <v>-71.616399999999999</v>
      </c>
      <c r="Q813" s="83">
        <f>IF(N813="","",TS!J813)</f>
        <v>2000</v>
      </c>
      <c r="R813" s="83">
        <f>IF(N813="","",TS!K813)</f>
        <v>1825</v>
      </c>
      <c r="S813" s="83">
        <f>Inputs!$H$5+TS!P813*0.4333</f>
        <v>1843.93433033</v>
      </c>
      <c r="T813" s="83">
        <f>Inputs!$G$5+TS!P813*0.4333</f>
        <v>1858.93433033</v>
      </c>
      <c r="U813" s="85">
        <f t="shared" si="232"/>
        <v>0.92946716516499994</v>
      </c>
      <c r="V813" s="86">
        <f t="shared" si="220"/>
        <v>0</v>
      </c>
      <c r="W813" s="86">
        <f t="shared" si="221"/>
        <v>0</v>
      </c>
      <c r="X813" s="86" t="e">
        <f>((PI()*((42-2*'Gen Calcs'!$E$13)^2)/4)/144)*(A856-#REF!)*(W813+14.7)/14.7</f>
        <v>#REF!</v>
      </c>
      <c r="Y813" s="86" t="e">
        <f t="shared" si="222"/>
        <v>#REF!</v>
      </c>
      <c r="Z813" s="86" t="e">
        <f t="shared" si="223"/>
        <v>#REF!</v>
      </c>
      <c r="AA813" s="83">
        <f>MAX(B$2:B813)-B813</f>
        <v>41.390100000000075</v>
      </c>
      <c r="AB813" s="83">
        <f t="shared" si="224"/>
        <v>17.921913300000032</v>
      </c>
      <c r="AC813" s="83">
        <f t="shared" si="226"/>
        <v>120</v>
      </c>
      <c r="AD813" s="72">
        <v>120</v>
      </c>
      <c r="AE813" s="73">
        <f t="shared" si="233"/>
        <v>907.92027688745009</v>
      </c>
      <c r="AF813" s="73">
        <f>SUM(AE$2:AE813)</f>
        <v>677469.63041960611</v>
      </c>
      <c r="AG813" s="73">
        <f t="shared" si="234"/>
        <v>496260.27200750308</v>
      </c>
    </row>
    <row r="814" spans="1:33" x14ac:dyDescent="0.25">
      <c r="A814" s="100">
        <v>170699.92</v>
      </c>
      <c r="B814" s="97">
        <v>898.1807</v>
      </c>
      <c r="C814" s="97">
        <v>0.6</v>
      </c>
      <c r="D814" s="80">
        <f t="shared" si="235"/>
        <v>100</v>
      </c>
      <c r="E814" s="81">
        <f t="shared" si="227"/>
        <v>6791.2436711181272</v>
      </c>
      <c r="F814" s="81">
        <f>SUM(E$2:E814)</f>
        <v>5070498.9617930427</v>
      </c>
      <c r="G814" s="43">
        <f t="shared" si="225"/>
        <v>1</v>
      </c>
      <c r="H814" s="78">
        <v>1</v>
      </c>
      <c r="I814" s="15">
        <f t="shared" si="228"/>
        <v>0.6</v>
      </c>
      <c r="J814" s="16">
        <f>VLOOKUP(G814,Inputs!$L$3:$P$15,5,FALSE)</f>
        <v>2000</v>
      </c>
      <c r="K814" s="16">
        <f t="shared" si="229"/>
        <v>1825</v>
      </c>
      <c r="L814" s="79">
        <f>Inputs!$P$8-B814</f>
        <v>40.010300000000029</v>
      </c>
      <c r="M814" s="79">
        <f>Inputs!$Q$8+L814*0.433</f>
        <v>1842.3244599</v>
      </c>
      <c r="N814" s="82">
        <f t="shared" si="230"/>
        <v>170699.92</v>
      </c>
      <c r="O814" s="83">
        <f t="shared" si="231"/>
        <v>898.1807</v>
      </c>
      <c r="P814" s="84">
        <f>IF(O814="","",Inputs!$C$5-O814)</f>
        <v>-72.996200000000044</v>
      </c>
      <c r="Q814" s="83">
        <f>IF(N814="","",TS!J814)</f>
        <v>2000</v>
      </c>
      <c r="R814" s="83">
        <f>IF(N814="","",TS!K814)</f>
        <v>1825</v>
      </c>
      <c r="S814" s="83">
        <f>Inputs!$H$5+TS!P814*0.4333</f>
        <v>1843.33646299</v>
      </c>
      <c r="T814" s="83">
        <f>Inputs!$G$5+TS!P814*0.4333</f>
        <v>1858.33646299</v>
      </c>
      <c r="U814" s="85">
        <f t="shared" si="232"/>
        <v>0.92916823149499994</v>
      </c>
      <c r="V814" s="86">
        <f t="shared" si="220"/>
        <v>0</v>
      </c>
      <c r="W814" s="86">
        <f t="shared" si="221"/>
        <v>0</v>
      </c>
      <c r="X814" s="86" t="e">
        <f>((PI()*((42-2*'Gen Calcs'!$E$13)^2)/4)/144)*(A857-#REF!)*(W814+14.7)/14.7</f>
        <v>#REF!</v>
      </c>
      <c r="Y814" s="86" t="e">
        <f t="shared" si="222"/>
        <v>#REF!</v>
      </c>
      <c r="Z814" s="86" t="e">
        <f t="shared" si="223"/>
        <v>#REF!</v>
      </c>
      <c r="AA814" s="83">
        <f>MAX(B$2:B814)-B814</f>
        <v>40.010300000000029</v>
      </c>
      <c r="AB814" s="83">
        <f t="shared" si="224"/>
        <v>17.324459900000011</v>
      </c>
      <c r="AC814" s="83">
        <f t="shared" si="226"/>
        <v>120</v>
      </c>
      <c r="AD814" s="72">
        <v>120</v>
      </c>
      <c r="AE814" s="73">
        <f t="shared" si="233"/>
        <v>907.92027688745009</v>
      </c>
      <c r="AF814" s="73">
        <f>SUM(AE$2:AE814)</f>
        <v>678377.55069649359</v>
      </c>
      <c r="AG814" s="73">
        <f t="shared" si="234"/>
        <v>495352.3517306156</v>
      </c>
    </row>
    <row r="815" spans="1:33" x14ac:dyDescent="0.25">
      <c r="A815" s="99">
        <v>170799.92</v>
      </c>
      <c r="B815" s="96">
        <v>895.64620000000002</v>
      </c>
      <c r="C815" s="96">
        <v>0.6</v>
      </c>
      <c r="D815" s="80">
        <f t="shared" si="235"/>
        <v>100</v>
      </c>
      <c r="E815" s="81">
        <f t="shared" si="227"/>
        <v>6791.2436711181272</v>
      </c>
      <c r="F815" s="81">
        <f>SUM(E$2:E815)</f>
        <v>5077290.205464161</v>
      </c>
      <c r="G815" s="43">
        <f t="shared" si="225"/>
        <v>1</v>
      </c>
      <c r="H815" s="78">
        <v>1</v>
      </c>
      <c r="I815" s="15">
        <f t="shared" si="228"/>
        <v>0.6</v>
      </c>
      <c r="J815" s="16">
        <f>VLOOKUP(G815,Inputs!$L$3:$P$15,5,FALSE)</f>
        <v>2000</v>
      </c>
      <c r="K815" s="16">
        <f t="shared" si="229"/>
        <v>1825</v>
      </c>
      <c r="L815" s="79">
        <f>Inputs!$P$8-B815</f>
        <v>42.544800000000009</v>
      </c>
      <c r="M815" s="79">
        <f>Inputs!$Q$8+L815*0.433</f>
        <v>1843.4218983999999</v>
      </c>
      <c r="N815" s="82">
        <f t="shared" si="230"/>
        <v>170799.92</v>
      </c>
      <c r="O815" s="83">
        <f t="shared" si="231"/>
        <v>895.64620000000002</v>
      </c>
      <c r="P815" s="84">
        <f>IF(O815="","",Inputs!$C$5-O815)</f>
        <v>-70.461700000000064</v>
      </c>
      <c r="Q815" s="83">
        <f>IF(N815="","",TS!J815)</f>
        <v>2000</v>
      </c>
      <c r="R815" s="83">
        <f>IF(N815="","",TS!K815)</f>
        <v>1825</v>
      </c>
      <c r="S815" s="83">
        <f>Inputs!$H$5+TS!P815*0.4333</f>
        <v>1844.43466184</v>
      </c>
      <c r="T815" s="83">
        <f>Inputs!$G$5+TS!P815*0.4333</f>
        <v>1859.43466184</v>
      </c>
      <c r="U815" s="85">
        <f t="shared" si="232"/>
        <v>0.92971733091999997</v>
      </c>
      <c r="V815" s="86">
        <f t="shared" si="220"/>
        <v>0</v>
      </c>
      <c r="W815" s="86">
        <f t="shared" si="221"/>
        <v>0</v>
      </c>
      <c r="X815" s="86" t="e">
        <f>((PI()*((42-2*'Gen Calcs'!$E$13)^2)/4)/144)*(A858-#REF!)*(W815+14.7)/14.7</f>
        <v>#REF!</v>
      </c>
      <c r="Y815" s="86" t="e">
        <f t="shared" si="222"/>
        <v>#REF!</v>
      </c>
      <c r="Z815" s="86" t="e">
        <f t="shared" si="223"/>
        <v>#REF!</v>
      </c>
      <c r="AA815" s="83">
        <f>MAX(B$2:B815)-B815</f>
        <v>42.544800000000009</v>
      </c>
      <c r="AB815" s="83">
        <f t="shared" si="224"/>
        <v>18.421898400000003</v>
      </c>
      <c r="AC815" s="83">
        <f t="shared" si="226"/>
        <v>120</v>
      </c>
      <c r="AD815" s="72">
        <v>120</v>
      </c>
      <c r="AE815" s="73">
        <f t="shared" si="233"/>
        <v>907.92027688745009</v>
      </c>
      <c r="AF815" s="73">
        <f>SUM(AE$2:AE815)</f>
        <v>679285.47097338107</v>
      </c>
      <c r="AG815" s="73">
        <f t="shared" si="234"/>
        <v>494444.43145372812</v>
      </c>
    </row>
    <row r="816" spans="1:33" x14ac:dyDescent="0.25">
      <c r="A816" s="100">
        <v>170899.92</v>
      </c>
      <c r="B816" s="97">
        <v>891.72709999999995</v>
      </c>
      <c r="C816" s="97">
        <v>0.6</v>
      </c>
      <c r="D816" s="80">
        <f t="shared" si="235"/>
        <v>100</v>
      </c>
      <c r="E816" s="81">
        <f t="shared" si="227"/>
        <v>6791.2436711181272</v>
      </c>
      <c r="F816" s="81">
        <f>SUM(E$2:E816)</f>
        <v>5084081.4491352793</v>
      </c>
      <c r="G816" s="43">
        <f t="shared" si="225"/>
        <v>1</v>
      </c>
      <c r="H816" s="78">
        <v>1</v>
      </c>
      <c r="I816" s="15">
        <f t="shared" si="228"/>
        <v>0.6</v>
      </c>
      <c r="J816" s="16">
        <f>VLOOKUP(G816,Inputs!$L$3:$P$15,5,FALSE)</f>
        <v>2000</v>
      </c>
      <c r="K816" s="16">
        <f t="shared" si="229"/>
        <v>1825</v>
      </c>
      <c r="L816" s="79">
        <f>Inputs!$P$8-B816</f>
        <v>46.463900000000081</v>
      </c>
      <c r="M816" s="79">
        <f>Inputs!$Q$8+L816*0.433</f>
        <v>1845.1188687000001</v>
      </c>
      <c r="N816" s="82">
        <f t="shared" si="230"/>
        <v>170899.92</v>
      </c>
      <c r="O816" s="83">
        <f t="shared" si="231"/>
        <v>891.72709999999995</v>
      </c>
      <c r="P816" s="84">
        <f>IF(O816="","",Inputs!$C$5-O816)</f>
        <v>-66.542599999999993</v>
      </c>
      <c r="Q816" s="83">
        <f>IF(N816="","",TS!J816)</f>
        <v>2000</v>
      </c>
      <c r="R816" s="83">
        <f>IF(N816="","",TS!K816)</f>
        <v>1825</v>
      </c>
      <c r="S816" s="83">
        <f>Inputs!$H$5+TS!P816*0.4333</f>
        <v>1846.1328078699999</v>
      </c>
      <c r="T816" s="83">
        <f>Inputs!$G$5+TS!P816*0.4333</f>
        <v>1861.1328078699999</v>
      </c>
      <c r="U816" s="85">
        <f t="shared" si="232"/>
        <v>0.9305664039349999</v>
      </c>
      <c r="V816" s="86">
        <f t="shared" si="220"/>
        <v>0</v>
      </c>
      <c r="W816" s="86">
        <f t="shared" si="221"/>
        <v>0</v>
      </c>
      <c r="X816" s="86" t="e">
        <f>((PI()*((42-2*'Gen Calcs'!$E$13)^2)/4)/144)*(A859-#REF!)*(W816+14.7)/14.7</f>
        <v>#REF!</v>
      </c>
      <c r="Y816" s="86" t="e">
        <f t="shared" si="222"/>
        <v>#REF!</v>
      </c>
      <c r="Z816" s="86" t="e">
        <f t="shared" si="223"/>
        <v>#REF!</v>
      </c>
      <c r="AA816" s="83">
        <f>MAX(B$2:B816)-B816</f>
        <v>46.463900000000081</v>
      </c>
      <c r="AB816" s="83">
        <f t="shared" si="224"/>
        <v>20.118868700000036</v>
      </c>
      <c r="AC816" s="83">
        <f t="shared" si="226"/>
        <v>120</v>
      </c>
      <c r="AD816" s="72">
        <v>120</v>
      </c>
      <c r="AE816" s="73">
        <f t="shared" si="233"/>
        <v>907.92027688745009</v>
      </c>
      <c r="AF816" s="73">
        <f>SUM(AE$2:AE816)</f>
        <v>680193.39125026856</v>
      </c>
      <c r="AG816" s="73">
        <f t="shared" si="234"/>
        <v>493536.51117684064</v>
      </c>
    </row>
    <row r="817" spans="1:33" x14ac:dyDescent="0.25">
      <c r="A817" s="99">
        <v>170999.92</v>
      </c>
      <c r="B817" s="96">
        <v>887.46609999999998</v>
      </c>
      <c r="C817" s="96">
        <v>0.6</v>
      </c>
      <c r="D817" s="80">
        <f t="shared" si="235"/>
        <v>100</v>
      </c>
      <c r="E817" s="81">
        <f t="shared" si="227"/>
        <v>6791.2436711181272</v>
      </c>
      <c r="F817" s="81">
        <f>SUM(E$2:E817)</f>
        <v>5090872.6928063976</v>
      </c>
      <c r="G817" s="43">
        <f t="shared" si="225"/>
        <v>1</v>
      </c>
      <c r="H817" s="78">
        <v>1</v>
      </c>
      <c r="I817" s="15">
        <f t="shared" si="228"/>
        <v>0.6</v>
      </c>
      <c r="J817" s="16">
        <f>VLOOKUP(G817,Inputs!$L$3:$P$15,5,FALSE)</f>
        <v>2000</v>
      </c>
      <c r="K817" s="16">
        <f t="shared" si="229"/>
        <v>1825</v>
      </c>
      <c r="L817" s="79">
        <f>Inputs!$P$8-B817</f>
        <v>50.724900000000048</v>
      </c>
      <c r="M817" s="79">
        <f>Inputs!$Q$8+L817*0.433</f>
        <v>1846.9638817</v>
      </c>
      <c r="N817" s="82">
        <f t="shared" si="230"/>
        <v>170999.92</v>
      </c>
      <c r="O817" s="83">
        <f t="shared" si="231"/>
        <v>887.46609999999998</v>
      </c>
      <c r="P817" s="84">
        <f>IF(O817="","",Inputs!$C$5-O817)</f>
        <v>-62.281600000000026</v>
      </c>
      <c r="Q817" s="83">
        <f>IF(N817="","",TS!J817)</f>
        <v>2000</v>
      </c>
      <c r="R817" s="83">
        <f>IF(N817="","",TS!K817)</f>
        <v>1825</v>
      </c>
      <c r="S817" s="83">
        <f>Inputs!$H$5+TS!P817*0.4333</f>
        <v>1847.9790991699999</v>
      </c>
      <c r="T817" s="83">
        <f>Inputs!$G$5+TS!P817*0.4333</f>
        <v>1862.9790991699999</v>
      </c>
      <c r="U817" s="85">
        <f t="shared" si="232"/>
        <v>0.93148954958499997</v>
      </c>
      <c r="V817" s="86">
        <f t="shared" si="220"/>
        <v>0</v>
      </c>
      <c r="W817" s="86">
        <f t="shared" si="221"/>
        <v>0</v>
      </c>
      <c r="X817" s="86" t="e">
        <f>((PI()*((42-2*'Gen Calcs'!$E$13)^2)/4)/144)*(A860-#REF!)*(W817+14.7)/14.7</f>
        <v>#REF!</v>
      </c>
      <c r="Y817" s="86" t="e">
        <f t="shared" si="222"/>
        <v>#REF!</v>
      </c>
      <c r="Z817" s="86" t="e">
        <f t="shared" si="223"/>
        <v>#REF!</v>
      </c>
      <c r="AA817" s="83">
        <f>MAX(B$2:B817)-B817</f>
        <v>50.724900000000048</v>
      </c>
      <c r="AB817" s="83">
        <f t="shared" si="224"/>
        <v>21.963881700000019</v>
      </c>
      <c r="AC817" s="83">
        <f t="shared" si="226"/>
        <v>120</v>
      </c>
      <c r="AD817" s="72">
        <v>120</v>
      </c>
      <c r="AE817" s="73">
        <f t="shared" si="233"/>
        <v>907.92027688745009</v>
      </c>
      <c r="AF817" s="73">
        <f>SUM(AE$2:AE817)</f>
        <v>681101.31152715604</v>
      </c>
      <c r="AG817" s="73">
        <f t="shared" si="234"/>
        <v>492628.59089995315</v>
      </c>
    </row>
    <row r="818" spans="1:33" x14ac:dyDescent="0.25">
      <c r="A818" s="100">
        <v>171099.92</v>
      </c>
      <c r="B818" s="97">
        <v>882.06510000000003</v>
      </c>
      <c r="C818" s="97">
        <v>0.6</v>
      </c>
      <c r="D818" s="80">
        <f t="shared" si="235"/>
        <v>100</v>
      </c>
      <c r="E818" s="81">
        <f t="shared" si="227"/>
        <v>6791.2436711181272</v>
      </c>
      <c r="F818" s="81">
        <f>SUM(E$2:E818)</f>
        <v>5097663.9364775158</v>
      </c>
      <c r="G818" s="43">
        <f t="shared" si="225"/>
        <v>1</v>
      </c>
      <c r="H818" s="78">
        <v>1</v>
      </c>
      <c r="I818" s="15">
        <f t="shared" si="228"/>
        <v>0.6</v>
      </c>
      <c r="J818" s="16">
        <f>VLOOKUP(G818,Inputs!$L$3:$P$15,5,FALSE)</f>
        <v>2000</v>
      </c>
      <c r="K818" s="16">
        <f t="shared" si="229"/>
        <v>1825</v>
      </c>
      <c r="L818" s="79">
        <f>Inputs!$P$8-B818</f>
        <v>56.125900000000001</v>
      </c>
      <c r="M818" s="79">
        <f>Inputs!$Q$8+L818*0.433</f>
        <v>1849.3025147000001</v>
      </c>
      <c r="N818" s="82">
        <f t="shared" si="230"/>
        <v>171099.92</v>
      </c>
      <c r="O818" s="83">
        <f t="shared" si="231"/>
        <v>882.06510000000003</v>
      </c>
      <c r="P818" s="84">
        <f>IF(O818="","",Inputs!$C$5-O818)</f>
        <v>-56.880600000000072</v>
      </c>
      <c r="Q818" s="83">
        <f>IF(N818="","",TS!J818)</f>
        <v>2000</v>
      </c>
      <c r="R818" s="83">
        <f>IF(N818="","",TS!K818)</f>
        <v>1825</v>
      </c>
      <c r="S818" s="83">
        <f>Inputs!$H$5+TS!P818*0.4333</f>
        <v>1850.31935247</v>
      </c>
      <c r="T818" s="83">
        <f>Inputs!$G$5+TS!P818*0.4333</f>
        <v>1865.31935247</v>
      </c>
      <c r="U818" s="85">
        <f t="shared" si="232"/>
        <v>0.93265967623500001</v>
      </c>
      <c r="V818" s="86">
        <f t="shared" si="220"/>
        <v>0</v>
      </c>
      <c r="W818" s="86">
        <f t="shared" si="221"/>
        <v>0</v>
      </c>
      <c r="X818" s="86" t="e">
        <f>((PI()*((42-2*'Gen Calcs'!$E$13)^2)/4)/144)*(A861-#REF!)*(W818+14.7)/14.7</f>
        <v>#REF!</v>
      </c>
      <c r="Y818" s="86" t="e">
        <f t="shared" si="222"/>
        <v>#REF!</v>
      </c>
      <c r="Z818" s="86" t="e">
        <f t="shared" si="223"/>
        <v>#REF!</v>
      </c>
      <c r="AA818" s="83">
        <f>MAX(B$2:B818)-B818</f>
        <v>56.125900000000001</v>
      </c>
      <c r="AB818" s="83">
        <f t="shared" si="224"/>
        <v>24.3025147</v>
      </c>
      <c r="AC818" s="83">
        <f t="shared" si="226"/>
        <v>120</v>
      </c>
      <c r="AD818" s="72">
        <v>120</v>
      </c>
      <c r="AE818" s="73">
        <f t="shared" si="233"/>
        <v>907.92027688745009</v>
      </c>
      <c r="AF818" s="73">
        <f>SUM(AE$2:AE818)</f>
        <v>682009.23180404352</v>
      </c>
      <c r="AG818" s="73">
        <f t="shared" si="234"/>
        <v>491720.67062306567</v>
      </c>
    </row>
    <row r="819" spans="1:33" x14ac:dyDescent="0.25">
      <c r="A819" s="99">
        <v>171199.92</v>
      </c>
      <c r="B819" s="96">
        <v>875.80460000000005</v>
      </c>
      <c r="C819" s="96">
        <v>0.6</v>
      </c>
      <c r="D819" s="80">
        <f t="shared" si="235"/>
        <v>100</v>
      </c>
      <c r="E819" s="81">
        <f t="shared" si="227"/>
        <v>6791.2436711181272</v>
      </c>
      <c r="F819" s="81">
        <f>SUM(E$2:E819)</f>
        <v>5104455.1801486341</v>
      </c>
      <c r="G819" s="43">
        <f t="shared" si="225"/>
        <v>1</v>
      </c>
      <c r="H819" s="78">
        <v>1</v>
      </c>
      <c r="I819" s="15">
        <f t="shared" si="228"/>
        <v>0.6</v>
      </c>
      <c r="J819" s="16">
        <f>VLOOKUP(G819,Inputs!$L$3:$P$15,5,FALSE)</f>
        <v>2000</v>
      </c>
      <c r="K819" s="16">
        <f t="shared" si="229"/>
        <v>1825</v>
      </c>
      <c r="L819" s="79">
        <f>Inputs!$P$8-B819</f>
        <v>62.386399999999981</v>
      </c>
      <c r="M819" s="79">
        <f>Inputs!$Q$8+L819*0.433</f>
        <v>1852.0133112000001</v>
      </c>
      <c r="N819" s="82">
        <f t="shared" si="230"/>
        <v>171199.92</v>
      </c>
      <c r="O819" s="83">
        <f t="shared" si="231"/>
        <v>875.80460000000005</v>
      </c>
      <c r="P819" s="84">
        <f>IF(O819="","",Inputs!$C$5-O819)</f>
        <v>-50.620100000000093</v>
      </c>
      <c r="Q819" s="83">
        <f>IF(N819="","",TS!J819)</f>
        <v>2000</v>
      </c>
      <c r="R819" s="83">
        <f>IF(N819="","",TS!K819)</f>
        <v>1825</v>
      </c>
      <c r="S819" s="83">
        <f>Inputs!$H$5+TS!P819*0.4333</f>
        <v>1853.0320271199998</v>
      </c>
      <c r="T819" s="83">
        <f>Inputs!$G$5+TS!P819*0.4333</f>
        <v>1868.0320271199998</v>
      </c>
      <c r="U819" s="85">
        <f t="shared" si="232"/>
        <v>0.93401601355999997</v>
      </c>
      <c r="V819" s="86">
        <f t="shared" si="220"/>
        <v>0</v>
      </c>
      <c r="W819" s="86">
        <f t="shared" si="221"/>
        <v>0</v>
      </c>
      <c r="X819" s="86" t="e">
        <f>((PI()*((42-2*'Gen Calcs'!$E$13)^2)/4)/144)*(A862-#REF!)*(W819+14.7)/14.7</f>
        <v>#REF!</v>
      </c>
      <c r="Y819" s="86" t="e">
        <f t="shared" si="222"/>
        <v>#REF!</v>
      </c>
      <c r="Z819" s="86" t="e">
        <f t="shared" si="223"/>
        <v>#REF!</v>
      </c>
      <c r="AA819" s="83">
        <f>MAX(B$2:B819)-B819</f>
        <v>62.386399999999981</v>
      </c>
      <c r="AB819" s="83">
        <f t="shared" si="224"/>
        <v>27.01331119999999</v>
      </c>
      <c r="AC819" s="83">
        <f t="shared" si="226"/>
        <v>120</v>
      </c>
      <c r="AD819" s="72">
        <v>120</v>
      </c>
      <c r="AE819" s="73">
        <f t="shared" si="233"/>
        <v>907.92027688745009</v>
      </c>
      <c r="AF819" s="73">
        <f>SUM(AE$2:AE819)</f>
        <v>682917.152080931</v>
      </c>
      <c r="AG819" s="73">
        <f t="shared" si="234"/>
        <v>490812.75034617819</v>
      </c>
    </row>
    <row r="820" spans="1:33" x14ac:dyDescent="0.25">
      <c r="A820" s="100">
        <v>171299.92</v>
      </c>
      <c r="B820" s="97">
        <v>877.77350000000001</v>
      </c>
      <c r="C820" s="97">
        <v>0.6</v>
      </c>
      <c r="D820" s="80">
        <f t="shared" si="235"/>
        <v>100</v>
      </c>
      <c r="E820" s="81">
        <f t="shared" si="227"/>
        <v>6791.2436711181272</v>
      </c>
      <c r="F820" s="81">
        <f>SUM(E$2:E820)</f>
        <v>5111246.4238197524</v>
      </c>
      <c r="G820" s="43">
        <f t="shared" si="225"/>
        <v>1</v>
      </c>
      <c r="H820" s="78">
        <v>1</v>
      </c>
      <c r="I820" s="15">
        <f t="shared" si="228"/>
        <v>0.6</v>
      </c>
      <c r="J820" s="16">
        <f>VLOOKUP(G820,Inputs!$L$3:$P$15,5,FALSE)</f>
        <v>2000</v>
      </c>
      <c r="K820" s="16">
        <f t="shared" si="229"/>
        <v>1825</v>
      </c>
      <c r="L820" s="79">
        <f>Inputs!$P$8-B820</f>
        <v>60.417500000000018</v>
      </c>
      <c r="M820" s="79">
        <f>Inputs!$Q$8+L820*0.433</f>
        <v>1851.1607775</v>
      </c>
      <c r="N820" s="82">
        <f t="shared" si="230"/>
        <v>171299.92</v>
      </c>
      <c r="O820" s="83">
        <f t="shared" si="231"/>
        <v>877.77350000000001</v>
      </c>
      <c r="P820" s="84">
        <f>IF(O820="","",Inputs!$C$5-O820)</f>
        <v>-52.589000000000055</v>
      </c>
      <c r="Q820" s="83">
        <f>IF(N820="","",TS!J820)</f>
        <v>2000</v>
      </c>
      <c r="R820" s="83">
        <f>IF(N820="","",TS!K820)</f>
        <v>1825</v>
      </c>
      <c r="S820" s="83">
        <f>Inputs!$H$5+TS!P820*0.4333</f>
        <v>1852.1789027499999</v>
      </c>
      <c r="T820" s="83">
        <f>Inputs!$G$5+TS!P820*0.4333</f>
        <v>1867.1789027499999</v>
      </c>
      <c r="U820" s="85">
        <f t="shared" si="232"/>
        <v>0.93358945137499993</v>
      </c>
      <c r="V820" s="86">
        <f t="shared" si="220"/>
        <v>0</v>
      </c>
      <c r="W820" s="86">
        <f t="shared" si="221"/>
        <v>0</v>
      </c>
      <c r="X820" s="86" t="e">
        <f>((PI()*((42-2*'Gen Calcs'!$E$13)^2)/4)/144)*(A863-#REF!)*(W820+14.7)/14.7</f>
        <v>#REF!</v>
      </c>
      <c r="Y820" s="86" t="e">
        <f t="shared" si="222"/>
        <v>#REF!</v>
      </c>
      <c r="Z820" s="86" t="e">
        <f t="shared" si="223"/>
        <v>#REF!</v>
      </c>
      <c r="AA820" s="83">
        <f>MAX(B$2:B820)-B820</f>
        <v>60.417500000000018</v>
      </c>
      <c r="AB820" s="83">
        <f t="shared" si="224"/>
        <v>26.160777500000009</v>
      </c>
      <c r="AC820" s="83">
        <f t="shared" si="226"/>
        <v>120</v>
      </c>
      <c r="AD820" s="72">
        <v>120</v>
      </c>
      <c r="AE820" s="73">
        <f t="shared" si="233"/>
        <v>907.92027688745009</v>
      </c>
      <c r="AF820" s="73">
        <f>SUM(AE$2:AE820)</f>
        <v>683825.07235781848</v>
      </c>
      <c r="AG820" s="73">
        <f t="shared" si="234"/>
        <v>489904.83006929071</v>
      </c>
    </row>
    <row r="821" spans="1:33" x14ac:dyDescent="0.25">
      <c r="A821" s="99">
        <v>171399.92</v>
      </c>
      <c r="B821" s="96">
        <v>884.09829999999999</v>
      </c>
      <c r="C821" s="96">
        <v>0.6</v>
      </c>
      <c r="D821" s="80">
        <f t="shared" si="235"/>
        <v>100</v>
      </c>
      <c r="E821" s="81">
        <f t="shared" si="227"/>
        <v>6791.2436711181272</v>
      </c>
      <c r="F821" s="81">
        <f>SUM(E$2:E821)</f>
        <v>5118037.6674908707</v>
      </c>
      <c r="G821" s="43">
        <f t="shared" si="225"/>
        <v>1</v>
      </c>
      <c r="H821" s="78">
        <v>1</v>
      </c>
      <c r="I821" s="15">
        <f t="shared" si="228"/>
        <v>0.6</v>
      </c>
      <c r="J821" s="16">
        <f>VLOOKUP(G821,Inputs!$L$3:$P$15,5,FALSE)</f>
        <v>2000</v>
      </c>
      <c r="K821" s="16">
        <f t="shared" si="229"/>
        <v>1825</v>
      </c>
      <c r="L821" s="79">
        <f>Inputs!$P$8-B821</f>
        <v>54.092700000000036</v>
      </c>
      <c r="M821" s="79">
        <f>Inputs!$Q$8+L821*0.433</f>
        <v>1848.4221391000001</v>
      </c>
      <c r="N821" s="82">
        <f t="shared" si="230"/>
        <v>171399.92</v>
      </c>
      <c r="O821" s="83">
        <f t="shared" si="231"/>
        <v>884.09829999999999</v>
      </c>
      <c r="P821" s="84">
        <f>IF(O821="","",Inputs!$C$5-O821)</f>
        <v>-58.913800000000037</v>
      </c>
      <c r="Q821" s="83">
        <f>IF(N821="","",TS!J821)</f>
        <v>2000</v>
      </c>
      <c r="R821" s="83">
        <f>IF(N821="","",TS!K821)</f>
        <v>1825</v>
      </c>
      <c r="S821" s="83">
        <f>Inputs!$H$5+TS!P821*0.4333</f>
        <v>1849.43836691</v>
      </c>
      <c r="T821" s="83">
        <f>Inputs!$G$5+TS!P821*0.4333</f>
        <v>1864.43836691</v>
      </c>
      <c r="U821" s="85">
        <f t="shared" si="232"/>
        <v>0.93221918345499999</v>
      </c>
      <c r="V821" s="86">
        <f t="shared" si="220"/>
        <v>0</v>
      </c>
      <c r="W821" s="86">
        <f t="shared" si="221"/>
        <v>0</v>
      </c>
      <c r="X821" s="86" t="e">
        <f>((PI()*((42-2*'Gen Calcs'!$E$13)^2)/4)/144)*(A864-#REF!)*(W821+14.7)/14.7</f>
        <v>#REF!</v>
      </c>
      <c r="Y821" s="86" t="e">
        <f t="shared" si="222"/>
        <v>#REF!</v>
      </c>
      <c r="Z821" s="86" t="e">
        <f t="shared" si="223"/>
        <v>#REF!</v>
      </c>
      <c r="AA821" s="83">
        <f>MAX(B$2:B821)-B821</f>
        <v>54.092700000000036</v>
      </c>
      <c r="AB821" s="83">
        <f t="shared" si="224"/>
        <v>23.422139100000017</v>
      </c>
      <c r="AC821" s="83">
        <f t="shared" si="226"/>
        <v>120</v>
      </c>
      <c r="AD821" s="72">
        <v>120</v>
      </c>
      <c r="AE821" s="73">
        <f t="shared" si="233"/>
        <v>907.92027688745009</v>
      </c>
      <c r="AF821" s="73">
        <f>SUM(AE$2:AE821)</f>
        <v>684732.99263470597</v>
      </c>
      <c r="AG821" s="73">
        <f t="shared" si="234"/>
        <v>488996.90979240322</v>
      </c>
    </row>
    <row r="822" spans="1:33" x14ac:dyDescent="0.25">
      <c r="A822" s="100">
        <v>171499.92</v>
      </c>
      <c r="B822" s="97">
        <v>884.71720000000005</v>
      </c>
      <c r="C822" s="97">
        <v>0.6</v>
      </c>
      <c r="D822" s="80">
        <f t="shared" si="235"/>
        <v>100</v>
      </c>
      <c r="E822" s="81">
        <f t="shared" si="227"/>
        <v>6791.2436711181272</v>
      </c>
      <c r="F822" s="81">
        <f>SUM(E$2:E822)</f>
        <v>5124828.911161989</v>
      </c>
      <c r="G822" s="43">
        <f t="shared" si="225"/>
        <v>1</v>
      </c>
      <c r="H822" s="78">
        <v>1</v>
      </c>
      <c r="I822" s="15">
        <f t="shared" si="228"/>
        <v>0.6</v>
      </c>
      <c r="J822" s="16">
        <f>VLOOKUP(G822,Inputs!$L$3:$P$15,5,FALSE)</f>
        <v>2000</v>
      </c>
      <c r="K822" s="16">
        <f t="shared" si="229"/>
        <v>1825</v>
      </c>
      <c r="L822" s="79">
        <f>Inputs!$P$8-B822</f>
        <v>53.473799999999983</v>
      </c>
      <c r="M822" s="79">
        <f>Inputs!$Q$8+L822*0.433</f>
        <v>1848.1541554</v>
      </c>
      <c r="N822" s="82">
        <f t="shared" si="230"/>
        <v>171499.92</v>
      </c>
      <c r="O822" s="83">
        <f t="shared" si="231"/>
        <v>884.71720000000005</v>
      </c>
      <c r="P822" s="84">
        <f>IF(O822="","",Inputs!$C$5-O822)</f>
        <v>-59.532700000000091</v>
      </c>
      <c r="Q822" s="83">
        <f>IF(N822="","",TS!J822)</f>
        <v>2000</v>
      </c>
      <c r="R822" s="83">
        <f>IF(N822="","",TS!K822)</f>
        <v>1825</v>
      </c>
      <c r="S822" s="83">
        <f>Inputs!$H$5+TS!P822*0.4333</f>
        <v>1849.1701975399999</v>
      </c>
      <c r="T822" s="83">
        <f>Inputs!$G$5+TS!P822*0.4333</f>
        <v>1864.1701975399999</v>
      </c>
      <c r="U822" s="85">
        <f t="shared" si="232"/>
        <v>0.9320850987699999</v>
      </c>
      <c r="V822" s="86">
        <f t="shared" ref="V822:V885" si="236">O822-MAX(O822:O822)</f>
        <v>0</v>
      </c>
      <c r="W822" s="86">
        <f t="shared" ref="W822:W885" si="237">-(V822)*0.433</f>
        <v>0</v>
      </c>
      <c r="X822" s="86" t="e">
        <f>((PI()*((42-2*'Gen Calcs'!$E$13)^2)/4)/144)*(A865-#REF!)*(W822+14.7)/14.7</f>
        <v>#REF!</v>
      </c>
      <c r="Y822" s="86" t="e">
        <f t="shared" ref="Y822:Y885" si="238">X822/1000</f>
        <v>#REF!</v>
      </c>
      <c r="Z822" s="86" t="e">
        <f t="shared" ref="Z822:Z885" si="239">IF(Y822&gt;Z821,Y822,Z821)</f>
        <v>#REF!</v>
      </c>
      <c r="AA822" s="83">
        <f>MAX(B$2:B822)-B822</f>
        <v>53.473799999999983</v>
      </c>
      <c r="AB822" s="83">
        <f t="shared" ref="AB822:AB885" si="240">AA822*0.433</f>
        <v>23.154155399999993</v>
      </c>
      <c r="AC822" s="83">
        <f t="shared" si="226"/>
        <v>120</v>
      </c>
      <c r="AD822" s="72">
        <v>120</v>
      </c>
      <c r="AE822" s="73">
        <f t="shared" si="233"/>
        <v>907.92027688745009</v>
      </c>
      <c r="AF822" s="73">
        <f>SUM(AE$2:AE822)</f>
        <v>685640.91291159345</v>
      </c>
      <c r="AG822" s="73">
        <f t="shared" si="234"/>
        <v>488088.98951551574</v>
      </c>
    </row>
    <row r="823" spans="1:33" x14ac:dyDescent="0.25">
      <c r="A823" s="99">
        <v>171599.92</v>
      </c>
      <c r="B823" s="96">
        <v>882.48770000000002</v>
      </c>
      <c r="C823" s="96">
        <v>0.6</v>
      </c>
      <c r="D823" s="80">
        <f t="shared" si="235"/>
        <v>100</v>
      </c>
      <c r="E823" s="81">
        <f t="shared" si="227"/>
        <v>6791.2436711181272</v>
      </c>
      <c r="F823" s="81">
        <f>SUM(E$2:E823)</f>
        <v>5131620.1548331073</v>
      </c>
      <c r="G823" s="43">
        <f t="shared" si="225"/>
        <v>1</v>
      </c>
      <c r="H823" s="78">
        <v>1</v>
      </c>
      <c r="I823" s="15">
        <f t="shared" si="228"/>
        <v>0.6</v>
      </c>
      <c r="J823" s="16">
        <f>VLOOKUP(G823,Inputs!$L$3:$P$15,5,FALSE)</f>
        <v>2000</v>
      </c>
      <c r="K823" s="16">
        <f t="shared" si="229"/>
        <v>1825</v>
      </c>
      <c r="L823" s="79">
        <f>Inputs!$P$8-B823</f>
        <v>55.703300000000013</v>
      </c>
      <c r="M823" s="79">
        <f>Inputs!$Q$8+L823*0.433</f>
        <v>1849.1195289</v>
      </c>
      <c r="N823" s="82">
        <f t="shared" si="230"/>
        <v>171599.92</v>
      </c>
      <c r="O823" s="83">
        <f t="shared" si="231"/>
        <v>882.48770000000002</v>
      </c>
      <c r="P823" s="84">
        <f>IF(O823="","",Inputs!$C$5-O823)</f>
        <v>-57.303200000000061</v>
      </c>
      <c r="Q823" s="83">
        <f>IF(N823="","",TS!J823)</f>
        <v>2000</v>
      </c>
      <c r="R823" s="83">
        <f>IF(N823="","",TS!K823)</f>
        <v>1825</v>
      </c>
      <c r="S823" s="83">
        <f>Inputs!$H$5+TS!P823*0.4333</f>
        <v>1850.1362398899998</v>
      </c>
      <c r="T823" s="83">
        <f>Inputs!$G$5+TS!P823*0.4333</f>
        <v>1865.1362398899998</v>
      </c>
      <c r="U823" s="85">
        <f t="shared" si="232"/>
        <v>0.93256811994499988</v>
      </c>
      <c r="V823" s="86">
        <f t="shared" si="236"/>
        <v>0</v>
      </c>
      <c r="W823" s="86">
        <f t="shared" si="237"/>
        <v>0</v>
      </c>
      <c r="X823" s="86" t="e">
        <f>((PI()*((42-2*'Gen Calcs'!$E$13)^2)/4)/144)*(A866-#REF!)*(W823+14.7)/14.7</f>
        <v>#REF!</v>
      </c>
      <c r="Y823" s="86" t="e">
        <f t="shared" si="238"/>
        <v>#REF!</v>
      </c>
      <c r="Z823" s="86" t="e">
        <f t="shared" si="239"/>
        <v>#REF!</v>
      </c>
      <c r="AA823" s="83">
        <f>MAX(B$2:B823)-B823</f>
        <v>55.703300000000013</v>
      </c>
      <c r="AB823" s="83">
        <f t="shared" si="240"/>
        <v>24.119528900000006</v>
      </c>
      <c r="AC823" s="83">
        <f t="shared" si="226"/>
        <v>120</v>
      </c>
      <c r="AD823" s="72">
        <v>120</v>
      </c>
      <c r="AE823" s="73">
        <f t="shared" si="233"/>
        <v>907.92027688745009</v>
      </c>
      <c r="AF823" s="73">
        <f>SUM(AE$2:AE823)</f>
        <v>686548.83318848093</v>
      </c>
      <c r="AG823" s="73">
        <f t="shared" si="234"/>
        <v>487181.06923862826</v>
      </c>
    </row>
    <row r="824" spans="1:33" x14ac:dyDescent="0.25">
      <c r="A824" s="100">
        <v>171699.92</v>
      </c>
      <c r="B824" s="97">
        <v>877.66120000000001</v>
      </c>
      <c r="C824" s="97">
        <v>0.6</v>
      </c>
      <c r="D824" s="80">
        <f t="shared" si="235"/>
        <v>100</v>
      </c>
      <c r="E824" s="81">
        <f t="shared" si="227"/>
        <v>6791.2436711181272</v>
      </c>
      <c r="F824" s="81">
        <f>SUM(E$2:E824)</f>
        <v>5138411.3985042255</v>
      </c>
      <c r="G824" s="43">
        <f t="shared" si="225"/>
        <v>1</v>
      </c>
      <c r="H824" s="78">
        <v>1</v>
      </c>
      <c r="I824" s="15">
        <f t="shared" si="228"/>
        <v>0.6</v>
      </c>
      <c r="J824" s="16">
        <f>VLOOKUP(G824,Inputs!$L$3:$P$15,5,FALSE)</f>
        <v>2000</v>
      </c>
      <c r="K824" s="16">
        <f t="shared" si="229"/>
        <v>1825</v>
      </c>
      <c r="L824" s="79">
        <f>Inputs!$P$8-B824</f>
        <v>60.529800000000023</v>
      </c>
      <c r="M824" s="79">
        <f>Inputs!$Q$8+L824*0.433</f>
        <v>1851.2094033999999</v>
      </c>
      <c r="N824" s="82">
        <f t="shared" si="230"/>
        <v>171699.92</v>
      </c>
      <c r="O824" s="83">
        <f t="shared" si="231"/>
        <v>877.66120000000001</v>
      </c>
      <c r="P824" s="84">
        <f>IF(O824="","",Inputs!$C$5-O824)</f>
        <v>-52.476700000000051</v>
      </c>
      <c r="Q824" s="83">
        <f>IF(N824="","",TS!J824)</f>
        <v>2000</v>
      </c>
      <c r="R824" s="83">
        <f>IF(N824="","",TS!K824)</f>
        <v>1825</v>
      </c>
      <c r="S824" s="83">
        <f>Inputs!$H$5+TS!P824*0.4333</f>
        <v>1852.2275623399998</v>
      </c>
      <c r="T824" s="83">
        <f>Inputs!$G$5+TS!P824*0.4333</f>
        <v>1867.2275623399998</v>
      </c>
      <c r="U824" s="85">
        <f t="shared" si="232"/>
        <v>0.93361378116999993</v>
      </c>
      <c r="V824" s="86">
        <f t="shared" si="236"/>
        <v>0</v>
      </c>
      <c r="W824" s="86">
        <f t="shared" si="237"/>
        <v>0</v>
      </c>
      <c r="X824" s="86" t="e">
        <f>((PI()*((42-2*'Gen Calcs'!$E$13)^2)/4)/144)*(A867-#REF!)*(W824+14.7)/14.7</f>
        <v>#REF!</v>
      </c>
      <c r="Y824" s="86" t="e">
        <f t="shared" si="238"/>
        <v>#REF!</v>
      </c>
      <c r="Z824" s="86" t="e">
        <f t="shared" si="239"/>
        <v>#REF!</v>
      </c>
      <c r="AA824" s="83">
        <f>MAX(B$2:B824)-B824</f>
        <v>60.529800000000023</v>
      </c>
      <c r="AB824" s="83">
        <f t="shared" si="240"/>
        <v>26.20940340000001</v>
      </c>
      <c r="AC824" s="83">
        <f t="shared" si="226"/>
        <v>120</v>
      </c>
      <c r="AD824" s="72">
        <v>120</v>
      </c>
      <c r="AE824" s="73">
        <f t="shared" si="233"/>
        <v>907.92027688745009</v>
      </c>
      <c r="AF824" s="73">
        <f>SUM(AE$2:AE824)</f>
        <v>687456.75346536841</v>
      </c>
      <c r="AG824" s="73">
        <f t="shared" si="234"/>
        <v>486273.14896174078</v>
      </c>
    </row>
    <row r="825" spans="1:33" x14ac:dyDescent="0.25">
      <c r="A825" s="99">
        <v>171799.92</v>
      </c>
      <c r="B825" s="96">
        <v>871.27459999999996</v>
      </c>
      <c r="C825" s="96">
        <v>0.6</v>
      </c>
      <c r="D825" s="80">
        <f t="shared" si="235"/>
        <v>100</v>
      </c>
      <c r="E825" s="81">
        <f t="shared" si="227"/>
        <v>6791.2436711181272</v>
      </c>
      <c r="F825" s="81">
        <f>SUM(E$2:E825)</f>
        <v>5145202.6421753438</v>
      </c>
      <c r="G825" s="43">
        <f t="shared" si="225"/>
        <v>1</v>
      </c>
      <c r="H825" s="78">
        <v>1</v>
      </c>
      <c r="I825" s="15">
        <f t="shared" si="228"/>
        <v>0.6</v>
      </c>
      <c r="J825" s="16">
        <f>VLOOKUP(G825,Inputs!$L$3:$P$15,5,FALSE)</f>
        <v>2000</v>
      </c>
      <c r="K825" s="16">
        <f t="shared" si="229"/>
        <v>1825</v>
      </c>
      <c r="L825" s="79">
        <f>Inputs!$P$8-B825</f>
        <v>66.916400000000067</v>
      </c>
      <c r="M825" s="79">
        <f>Inputs!$Q$8+L825*0.433</f>
        <v>1853.9748012</v>
      </c>
      <c r="N825" s="82">
        <f t="shared" si="230"/>
        <v>171799.92</v>
      </c>
      <c r="O825" s="83">
        <f t="shared" si="231"/>
        <v>871.27459999999996</v>
      </c>
      <c r="P825" s="84">
        <f>IF(O825="","",Inputs!$C$5-O825)</f>
        <v>-46.090100000000007</v>
      </c>
      <c r="Q825" s="83">
        <f>IF(N825="","",TS!J825)</f>
        <v>2000</v>
      </c>
      <c r="R825" s="83">
        <f>IF(N825="","",TS!K825)</f>
        <v>1825</v>
      </c>
      <c r="S825" s="83">
        <f>Inputs!$H$5+TS!P825*0.4333</f>
        <v>1854.9948761199998</v>
      </c>
      <c r="T825" s="83">
        <f>Inputs!$G$5+TS!P825*0.4333</f>
        <v>1869.9948761199998</v>
      </c>
      <c r="U825" s="85">
        <f t="shared" si="232"/>
        <v>0.93499743805999991</v>
      </c>
      <c r="V825" s="86">
        <f t="shared" si="236"/>
        <v>0</v>
      </c>
      <c r="W825" s="86">
        <f t="shared" si="237"/>
        <v>0</v>
      </c>
      <c r="X825" s="86" t="e">
        <f>((PI()*((42-2*'Gen Calcs'!$E$13)^2)/4)/144)*(A868-#REF!)*(W825+14.7)/14.7</f>
        <v>#REF!</v>
      </c>
      <c r="Y825" s="86" t="e">
        <f t="shared" si="238"/>
        <v>#REF!</v>
      </c>
      <c r="Z825" s="86" t="e">
        <f t="shared" si="239"/>
        <v>#REF!</v>
      </c>
      <c r="AA825" s="83">
        <f>MAX(B$2:B825)-B825</f>
        <v>66.916400000000067</v>
      </c>
      <c r="AB825" s="83">
        <f t="shared" si="240"/>
        <v>28.97480120000003</v>
      </c>
      <c r="AC825" s="83">
        <f t="shared" si="226"/>
        <v>120</v>
      </c>
      <c r="AD825" s="72">
        <v>120</v>
      </c>
      <c r="AE825" s="73">
        <f t="shared" si="233"/>
        <v>907.92027688745009</v>
      </c>
      <c r="AF825" s="73">
        <f>SUM(AE$2:AE825)</f>
        <v>688364.67374225589</v>
      </c>
      <c r="AG825" s="73">
        <f t="shared" si="234"/>
        <v>485365.2286848533</v>
      </c>
    </row>
    <row r="826" spans="1:33" x14ac:dyDescent="0.25">
      <c r="A826" s="100">
        <v>171899.92</v>
      </c>
      <c r="B826" s="97">
        <v>864.7473</v>
      </c>
      <c r="C826" s="97">
        <v>0.6</v>
      </c>
      <c r="D826" s="80">
        <f t="shared" si="235"/>
        <v>100</v>
      </c>
      <c r="E826" s="81">
        <f t="shared" si="227"/>
        <v>6791.2436711181272</v>
      </c>
      <c r="F826" s="81">
        <f>SUM(E$2:E826)</f>
        <v>5151993.8858464621</v>
      </c>
      <c r="G826" s="43">
        <f t="shared" si="225"/>
        <v>1</v>
      </c>
      <c r="H826" s="78">
        <v>1</v>
      </c>
      <c r="I826" s="15">
        <f t="shared" si="228"/>
        <v>0.6</v>
      </c>
      <c r="J826" s="16">
        <f>VLOOKUP(G826,Inputs!$L$3:$P$15,5,FALSE)</f>
        <v>2000</v>
      </c>
      <c r="K826" s="16">
        <f t="shared" si="229"/>
        <v>1825</v>
      </c>
      <c r="L826" s="79">
        <f>Inputs!$P$8-B826</f>
        <v>73.443700000000035</v>
      </c>
      <c r="M826" s="79">
        <f>Inputs!$Q$8+L826*0.433</f>
        <v>1856.8011220999999</v>
      </c>
      <c r="N826" s="82">
        <f t="shared" si="230"/>
        <v>171899.92</v>
      </c>
      <c r="O826" s="83">
        <f t="shared" si="231"/>
        <v>864.7473</v>
      </c>
      <c r="P826" s="84">
        <f>IF(O826="","",Inputs!$C$5-O826)</f>
        <v>-39.562800000000038</v>
      </c>
      <c r="Q826" s="83">
        <f>IF(N826="","",TS!J826)</f>
        <v>2000</v>
      </c>
      <c r="R826" s="83">
        <f>IF(N826="","",TS!K826)</f>
        <v>1825</v>
      </c>
      <c r="S826" s="83">
        <f>Inputs!$H$5+TS!P826*0.4333</f>
        <v>1857.8231552099999</v>
      </c>
      <c r="T826" s="83">
        <f>Inputs!$G$5+TS!P826*0.4333</f>
        <v>1872.8231552099999</v>
      </c>
      <c r="U826" s="85">
        <f t="shared" si="232"/>
        <v>0.93641157760499993</v>
      </c>
      <c r="V826" s="86">
        <f t="shared" si="236"/>
        <v>0</v>
      </c>
      <c r="W826" s="86">
        <f t="shared" si="237"/>
        <v>0</v>
      </c>
      <c r="X826" s="86" t="e">
        <f>((PI()*((42-2*'Gen Calcs'!$E$13)^2)/4)/144)*(A869-#REF!)*(W826+14.7)/14.7</f>
        <v>#REF!</v>
      </c>
      <c r="Y826" s="86" t="e">
        <f t="shared" si="238"/>
        <v>#REF!</v>
      </c>
      <c r="Z826" s="86" t="e">
        <f t="shared" si="239"/>
        <v>#REF!</v>
      </c>
      <c r="AA826" s="83">
        <f>MAX(B$2:B826)-B826</f>
        <v>73.443700000000035</v>
      </c>
      <c r="AB826" s="83">
        <f t="shared" si="240"/>
        <v>31.801122100000015</v>
      </c>
      <c r="AC826" s="83">
        <f t="shared" si="226"/>
        <v>120</v>
      </c>
      <c r="AD826" s="72">
        <v>120</v>
      </c>
      <c r="AE826" s="73">
        <f t="shared" si="233"/>
        <v>907.92027688745009</v>
      </c>
      <c r="AF826" s="73">
        <f>SUM(AE$2:AE826)</f>
        <v>689272.59401914338</v>
      </c>
      <c r="AG826" s="73">
        <f t="shared" si="234"/>
        <v>484457.30840796581</v>
      </c>
    </row>
    <row r="827" spans="1:33" x14ac:dyDescent="0.25">
      <c r="A827" s="99">
        <v>171999.92</v>
      </c>
      <c r="B827" s="96">
        <v>860.63049999999998</v>
      </c>
      <c r="C827" s="96">
        <v>0.6</v>
      </c>
      <c r="D827" s="80">
        <f t="shared" si="235"/>
        <v>100</v>
      </c>
      <c r="E827" s="81">
        <f t="shared" si="227"/>
        <v>6791.2436711181272</v>
      </c>
      <c r="F827" s="81">
        <f>SUM(E$2:E827)</f>
        <v>5158785.1295175804</v>
      </c>
      <c r="G827" s="43">
        <f t="shared" si="225"/>
        <v>1</v>
      </c>
      <c r="H827" s="78">
        <v>1</v>
      </c>
      <c r="I827" s="15">
        <f t="shared" si="228"/>
        <v>0.6</v>
      </c>
      <c r="J827" s="16">
        <f>VLOOKUP(G827,Inputs!$L$3:$P$15,5,FALSE)</f>
        <v>2000</v>
      </c>
      <c r="K827" s="16">
        <f t="shared" si="229"/>
        <v>1825</v>
      </c>
      <c r="L827" s="79">
        <f>Inputs!$P$8-B827</f>
        <v>77.560500000000047</v>
      </c>
      <c r="M827" s="79">
        <f>Inputs!$Q$8+L827*0.433</f>
        <v>1858.5836965000001</v>
      </c>
      <c r="N827" s="82">
        <f t="shared" si="230"/>
        <v>171999.92</v>
      </c>
      <c r="O827" s="83">
        <f t="shared" si="231"/>
        <v>860.63049999999998</v>
      </c>
      <c r="P827" s="84">
        <f>IF(O827="","",Inputs!$C$5-O827)</f>
        <v>-35.446000000000026</v>
      </c>
      <c r="Q827" s="83">
        <f>IF(N827="","",TS!J827)</f>
        <v>2000</v>
      </c>
      <c r="R827" s="83">
        <f>IF(N827="","",TS!K827)</f>
        <v>1825</v>
      </c>
      <c r="S827" s="83">
        <f>Inputs!$H$5+TS!P827*0.4333</f>
        <v>1859.60696465</v>
      </c>
      <c r="T827" s="83">
        <f>Inputs!$G$5+TS!P827*0.4333</f>
        <v>1874.60696465</v>
      </c>
      <c r="U827" s="85">
        <f t="shared" si="232"/>
        <v>0.93730348232500005</v>
      </c>
      <c r="V827" s="86">
        <f t="shared" si="236"/>
        <v>0</v>
      </c>
      <c r="W827" s="86">
        <f t="shared" si="237"/>
        <v>0</v>
      </c>
      <c r="X827" s="86" t="e">
        <f>((PI()*((42-2*'Gen Calcs'!$E$13)^2)/4)/144)*(A870-#REF!)*(W827+14.7)/14.7</f>
        <v>#REF!</v>
      </c>
      <c r="Y827" s="86" t="e">
        <f t="shared" si="238"/>
        <v>#REF!</v>
      </c>
      <c r="Z827" s="86" t="e">
        <f t="shared" si="239"/>
        <v>#REF!</v>
      </c>
      <c r="AA827" s="83">
        <f>MAX(B$2:B827)-B827</f>
        <v>77.560500000000047</v>
      </c>
      <c r="AB827" s="83">
        <f t="shared" si="240"/>
        <v>33.583696500000023</v>
      </c>
      <c r="AC827" s="83">
        <f t="shared" si="226"/>
        <v>120</v>
      </c>
      <c r="AD827" s="72">
        <v>120</v>
      </c>
      <c r="AE827" s="73">
        <f t="shared" si="233"/>
        <v>907.92027688745009</v>
      </c>
      <c r="AF827" s="73">
        <f>SUM(AE$2:AE827)</f>
        <v>690180.51429603086</v>
      </c>
      <c r="AG827" s="73">
        <f t="shared" si="234"/>
        <v>483549.38813107833</v>
      </c>
    </row>
    <row r="828" spans="1:33" x14ac:dyDescent="0.25">
      <c r="A828" s="100">
        <v>172099.92</v>
      </c>
      <c r="B828" s="97">
        <v>855.18409999999994</v>
      </c>
      <c r="C828" s="97">
        <v>0.6</v>
      </c>
      <c r="D828" s="80">
        <f t="shared" si="235"/>
        <v>100</v>
      </c>
      <c r="E828" s="81">
        <f t="shared" si="227"/>
        <v>6791.2436711181272</v>
      </c>
      <c r="F828" s="81">
        <f>SUM(E$2:E828)</f>
        <v>5165576.3731886987</v>
      </c>
      <c r="G828" s="43">
        <f t="shared" si="225"/>
        <v>1</v>
      </c>
      <c r="H828" s="78">
        <v>1</v>
      </c>
      <c r="I828" s="15">
        <f t="shared" si="228"/>
        <v>0.6</v>
      </c>
      <c r="J828" s="16">
        <f>VLOOKUP(G828,Inputs!$L$3:$P$15,5,FALSE)</f>
        <v>2000</v>
      </c>
      <c r="K828" s="16">
        <f t="shared" si="229"/>
        <v>1825</v>
      </c>
      <c r="L828" s="79">
        <f>Inputs!$P$8-B828</f>
        <v>83.006900000000087</v>
      </c>
      <c r="M828" s="79">
        <f>Inputs!$Q$8+L828*0.433</f>
        <v>1860.9419877</v>
      </c>
      <c r="N828" s="82">
        <f t="shared" si="230"/>
        <v>172099.92</v>
      </c>
      <c r="O828" s="83">
        <f t="shared" si="231"/>
        <v>855.18409999999994</v>
      </c>
      <c r="P828" s="84">
        <f>IF(O828="","",Inputs!$C$5-O828)</f>
        <v>-29.999599999999987</v>
      </c>
      <c r="Q828" s="83">
        <f>IF(N828="","",TS!J828)</f>
        <v>2000</v>
      </c>
      <c r="R828" s="83">
        <f>IF(N828="","",TS!K828)</f>
        <v>1825</v>
      </c>
      <c r="S828" s="83">
        <f>Inputs!$H$5+TS!P828*0.4333</f>
        <v>1861.9668897699999</v>
      </c>
      <c r="T828" s="83">
        <f>Inputs!$G$5+TS!P828*0.4333</f>
        <v>1876.9668897699999</v>
      </c>
      <c r="U828" s="85">
        <f t="shared" si="232"/>
        <v>0.93848344488499991</v>
      </c>
      <c r="V828" s="86">
        <f t="shared" si="236"/>
        <v>0</v>
      </c>
      <c r="W828" s="86">
        <f t="shared" si="237"/>
        <v>0</v>
      </c>
      <c r="X828" s="86" t="e">
        <f>((PI()*((42-2*'Gen Calcs'!$E$13)^2)/4)/144)*(A871-#REF!)*(W828+14.7)/14.7</f>
        <v>#REF!</v>
      </c>
      <c r="Y828" s="86" t="e">
        <f t="shared" si="238"/>
        <v>#REF!</v>
      </c>
      <c r="Z828" s="86" t="e">
        <f t="shared" si="239"/>
        <v>#REF!</v>
      </c>
      <c r="AA828" s="83">
        <f>MAX(B$2:B828)-B828</f>
        <v>83.006900000000087</v>
      </c>
      <c r="AB828" s="83">
        <f t="shared" si="240"/>
        <v>35.941987700000034</v>
      </c>
      <c r="AC828" s="83">
        <f t="shared" si="226"/>
        <v>120</v>
      </c>
      <c r="AD828" s="72">
        <v>120</v>
      </c>
      <c r="AE828" s="73">
        <f t="shared" si="233"/>
        <v>907.92027688745009</v>
      </c>
      <c r="AF828" s="73">
        <f>SUM(AE$2:AE828)</f>
        <v>691088.43457291834</v>
      </c>
      <c r="AG828" s="73">
        <f t="shared" si="234"/>
        <v>482641.46785419085</v>
      </c>
    </row>
    <row r="829" spans="1:33" x14ac:dyDescent="0.25">
      <c r="A829" s="99">
        <v>172199.92</v>
      </c>
      <c r="B829" s="96">
        <v>852.9837</v>
      </c>
      <c r="C829" s="96">
        <v>0.6</v>
      </c>
      <c r="D829" s="80">
        <f t="shared" si="235"/>
        <v>100</v>
      </c>
      <c r="E829" s="81">
        <f t="shared" si="227"/>
        <v>6791.2436711181272</v>
      </c>
      <c r="F829" s="81">
        <f>SUM(E$2:E829)</f>
        <v>5172367.6168598169</v>
      </c>
      <c r="G829" s="43">
        <f t="shared" si="225"/>
        <v>1</v>
      </c>
      <c r="H829" s="78">
        <v>1</v>
      </c>
      <c r="I829" s="15">
        <f t="shared" si="228"/>
        <v>0.6</v>
      </c>
      <c r="J829" s="16">
        <f>VLOOKUP(G829,Inputs!$L$3:$P$15,5,FALSE)</f>
        <v>2000</v>
      </c>
      <c r="K829" s="16">
        <f t="shared" si="229"/>
        <v>1825</v>
      </c>
      <c r="L829" s="79">
        <f>Inputs!$P$8-B829</f>
        <v>85.207300000000032</v>
      </c>
      <c r="M829" s="79">
        <f>Inputs!$Q$8+L829*0.433</f>
        <v>1861.8947608999999</v>
      </c>
      <c r="N829" s="82">
        <f t="shared" si="230"/>
        <v>172199.92</v>
      </c>
      <c r="O829" s="83">
        <f t="shared" si="231"/>
        <v>852.9837</v>
      </c>
      <c r="P829" s="84">
        <f>IF(O829="","",Inputs!$C$5-O829)</f>
        <v>-27.799200000000042</v>
      </c>
      <c r="Q829" s="83">
        <f>IF(N829="","",TS!J829)</f>
        <v>2000</v>
      </c>
      <c r="R829" s="83">
        <f>IF(N829="","",TS!K829)</f>
        <v>1825</v>
      </c>
      <c r="S829" s="83">
        <f>Inputs!$H$5+TS!P829*0.4333</f>
        <v>1862.92032309</v>
      </c>
      <c r="T829" s="83">
        <f>Inputs!$G$5+TS!P829*0.4333</f>
        <v>1877.92032309</v>
      </c>
      <c r="U829" s="85">
        <f t="shared" si="232"/>
        <v>0.93896016154500006</v>
      </c>
      <c r="V829" s="86">
        <f t="shared" si="236"/>
        <v>0</v>
      </c>
      <c r="W829" s="86">
        <f t="shared" si="237"/>
        <v>0</v>
      </c>
      <c r="X829" s="86" t="e">
        <f>((PI()*((42-2*'Gen Calcs'!$E$13)^2)/4)/144)*(A872-#REF!)*(W829+14.7)/14.7</f>
        <v>#REF!</v>
      </c>
      <c r="Y829" s="86" t="e">
        <f t="shared" si="238"/>
        <v>#REF!</v>
      </c>
      <c r="Z829" s="86" t="e">
        <f t="shared" si="239"/>
        <v>#REF!</v>
      </c>
      <c r="AA829" s="83">
        <f>MAX(B$2:B829)-B829</f>
        <v>85.207300000000032</v>
      </c>
      <c r="AB829" s="83">
        <f t="shared" si="240"/>
        <v>36.894760900000016</v>
      </c>
      <c r="AC829" s="83">
        <f t="shared" si="226"/>
        <v>120</v>
      </c>
      <c r="AD829" s="72">
        <v>120</v>
      </c>
      <c r="AE829" s="73">
        <f t="shared" si="233"/>
        <v>907.92027688745009</v>
      </c>
      <c r="AF829" s="73">
        <f>SUM(AE$2:AE829)</f>
        <v>691996.35484980582</v>
      </c>
      <c r="AG829" s="73">
        <f t="shared" si="234"/>
        <v>481733.54757730337</v>
      </c>
    </row>
    <row r="830" spans="1:33" x14ac:dyDescent="0.25">
      <c r="A830" s="100">
        <v>172299.92</v>
      </c>
      <c r="B830" s="97">
        <v>851.71249999999998</v>
      </c>
      <c r="C830" s="97">
        <v>0.6</v>
      </c>
      <c r="D830" s="80">
        <f t="shared" si="235"/>
        <v>100</v>
      </c>
      <c r="E830" s="81">
        <f t="shared" si="227"/>
        <v>6791.2436711181272</v>
      </c>
      <c r="F830" s="81">
        <f>SUM(E$2:E830)</f>
        <v>5179158.8605309352</v>
      </c>
      <c r="G830" s="43">
        <f t="shared" si="225"/>
        <v>1</v>
      </c>
      <c r="H830" s="78">
        <v>1</v>
      </c>
      <c r="I830" s="15">
        <f t="shared" si="228"/>
        <v>0.6</v>
      </c>
      <c r="J830" s="16">
        <f>VLOOKUP(G830,Inputs!$L$3:$P$15,5,FALSE)</f>
        <v>2000</v>
      </c>
      <c r="K830" s="16">
        <f t="shared" si="229"/>
        <v>1825</v>
      </c>
      <c r="L830" s="79">
        <f>Inputs!$P$8-B830</f>
        <v>86.478500000000054</v>
      </c>
      <c r="M830" s="79">
        <f>Inputs!$Q$8+L830*0.433</f>
        <v>1862.4451905000001</v>
      </c>
      <c r="N830" s="82">
        <f t="shared" si="230"/>
        <v>172299.92</v>
      </c>
      <c r="O830" s="83">
        <f t="shared" si="231"/>
        <v>851.71249999999998</v>
      </c>
      <c r="P830" s="84">
        <f>IF(O830="","",Inputs!$C$5-O830)</f>
        <v>-26.52800000000002</v>
      </c>
      <c r="Q830" s="83">
        <f>IF(N830="","",TS!J830)</f>
        <v>2000</v>
      </c>
      <c r="R830" s="83">
        <f>IF(N830="","",TS!K830)</f>
        <v>1825</v>
      </c>
      <c r="S830" s="83">
        <f>Inputs!$H$5+TS!P830*0.4333</f>
        <v>1863.47113405</v>
      </c>
      <c r="T830" s="83">
        <f>Inputs!$G$5+TS!P830*0.4333</f>
        <v>1878.47113405</v>
      </c>
      <c r="U830" s="85">
        <f t="shared" si="232"/>
        <v>0.939235567025</v>
      </c>
      <c r="V830" s="86">
        <f t="shared" si="236"/>
        <v>0</v>
      </c>
      <c r="W830" s="86">
        <f t="shared" si="237"/>
        <v>0</v>
      </c>
      <c r="X830" s="86" t="e">
        <f>((PI()*((42-2*'Gen Calcs'!$E$13)^2)/4)/144)*(A873-#REF!)*(W830+14.7)/14.7</f>
        <v>#REF!</v>
      </c>
      <c r="Y830" s="86" t="e">
        <f t="shared" si="238"/>
        <v>#REF!</v>
      </c>
      <c r="Z830" s="86" t="e">
        <f t="shared" si="239"/>
        <v>#REF!</v>
      </c>
      <c r="AA830" s="83">
        <f>MAX(B$2:B830)-B830</f>
        <v>86.478500000000054</v>
      </c>
      <c r="AB830" s="83">
        <f t="shared" si="240"/>
        <v>37.445190500000024</v>
      </c>
      <c r="AC830" s="83">
        <f t="shared" si="226"/>
        <v>120</v>
      </c>
      <c r="AD830" s="72">
        <v>120</v>
      </c>
      <c r="AE830" s="73">
        <f t="shared" si="233"/>
        <v>907.92027688745009</v>
      </c>
      <c r="AF830" s="73">
        <f>SUM(AE$2:AE830)</f>
        <v>692904.2751266933</v>
      </c>
      <c r="AG830" s="73">
        <f t="shared" si="234"/>
        <v>480825.62730041589</v>
      </c>
    </row>
    <row r="831" spans="1:33" x14ac:dyDescent="0.25">
      <c r="A831" s="99">
        <v>172399.92</v>
      </c>
      <c r="B831" s="96">
        <v>846.91240000000005</v>
      </c>
      <c r="C831" s="96">
        <v>0.6</v>
      </c>
      <c r="D831" s="80">
        <f t="shared" si="235"/>
        <v>100</v>
      </c>
      <c r="E831" s="81">
        <f t="shared" si="227"/>
        <v>6791.2436711181272</v>
      </c>
      <c r="F831" s="81">
        <f>SUM(E$2:E831)</f>
        <v>5185950.1042020535</v>
      </c>
      <c r="G831" s="43">
        <f t="shared" si="225"/>
        <v>1</v>
      </c>
      <c r="H831" s="78">
        <v>1</v>
      </c>
      <c r="I831" s="15">
        <f t="shared" si="228"/>
        <v>0.6</v>
      </c>
      <c r="J831" s="16">
        <f>VLOOKUP(G831,Inputs!$L$3:$P$15,5,FALSE)</f>
        <v>2000</v>
      </c>
      <c r="K831" s="16">
        <f t="shared" si="229"/>
        <v>1825</v>
      </c>
      <c r="L831" s="79">
        <f>Inputs!$P$8-B831</f>
        <v>91.278599999999983</v>
      </c>
      <c r="M831" s="79">
        <f>Inputs!$Q$8+L831*0.433</f>
        <v>1864.5236338</v>
      </c>
      <c r="N831" s="82">
        <f t="shared" si="230"/>
        <v>172399.92</v>
      </c>
      <c r="O831" s="83">
        <f t="shared" si="231"/>
        <v>846.91240000000005</v>
      </c>
      <c r="P831" s="84">
        <f>IF(O831="","",Inputs!$C$5-O831)</f>
        <v>-21.727900000000091</v>
      </c>
      <c r="Q831" s="83">
        <f>IF(N831="","",TS!J831)</f>
        <v>2000</v>
      </c>
      <c r="R831" s="83">
        <f>IF(N831="","",TS!K831)</f>
        <v>1825</v>
      </c>
      <c r="S831" s="83">
        <f>Inputs!$H$5+TS!P831*0.4333</f>
        <v>1865.5510173799998</v>
      </c>
      <c r="T831" s="83">
        <f>Inputs!$G$5+TS!P831*0.4333</f>
        <v>1880.5510173799998</v>
      </c>
      <c r="U831" s="85">
        <f t="shared" si="232"/>
        <v>0.94027550868999987</v>
      </c>
      <c r="V831" s="86">
        <f t="shared" si="236"/>
        <v>0</v>
      </c>
      <c r="W831" s="86">
        <f t="shared" si="237"/>
        <v>0</v>
      </c>
      <c r="X831" s="86" t="e">
        <f>((PI()*((42-2*'Gen Calcs'!$E$13)^2)/4)/144)*(A874-#REF!)*(W831+14.7)/14.7</f>
        <v>#REF!</v>
      </c>
      <c r="Y831" s="86" t="e">
        <f t="shared" si="238"/>
        <v>#REF!</v>
      </c>
      <c r="Z831" s="86" t="e">
        <f t="shared" si="239"/>
        <v>#REF!</v>
      </c>
      <c r="AA831" s="83">
        <f>MAX(B$2:B831)-B831</f>
        <v>91.278599999999983</v>
      </c>
      <c r="AB831" s="83">
        <f t="shared" si="240"/>
        <v>39.523633799999992</v>
      </c>
      <c r="AC831" s="83">
        <f t="shared" si="226"/>
        <v>120</v>
      </c>
      <c r="AD831" s="72">
        <v>120</v>
      </c>
      <c r="AE831" s="73">
        <f t="shared" si="233"/>
        <v>907.92027688745009</v>
      </c>
      <c r="AF831" s="73">
        <f>SUM(AE$2:AE831)</f>
        <v>693812.19540358079</v>
      </c>
      <c r="AG831" s="73">
        <f t="shared" si="234"/>
        <v>479917.7070235284</v>
      </c>
    </row>
    <row r="832" spans="1:33" x14ac:dyDescent="0.25">
      <c r="A832" s="100">
        <v>172499.92</v>
      </c>
      <c r="B832" s="97">
        <v>844.51279999999997</v>
      </c>
      <c r="C832" s="97">
        <v>0.6</v>
      </c>
      <c r="D832" s="80">
        <f t="shared" si="235"/>
        <v>100</v>
      </c>
      <c r="E832" s="81">
        <f t="shared" si="227"/>
        <v>6791.2436711181272</v>
      </c>
      <c r="F832" s="81">
        <f>SUM(E$2:E832)</f>
        <v>5192741.3478731718</v>
      </c>
      <c r="G832" s="43">
        <f t="shared" si="225"/>
        <v>1</v>
      </c>
      <c r="H832" s="78">
        <v>1</v>
      </c>
      <c r="I832" s="15">
        <f t="shared" si="228"/>
        <v>0.6</v>
      </c>
      <c r="J832" s="16">
        <f>VLOOKUP(G832,Inputs!$L$3:$P$15,5,FALSE)</f>
        <v>2000</v>
      </c>
      <c r="K832" s="16">
        <f t="shared" si="229"/>
        <v>1825</v>
      </c>
      <c r="L832" s="79">
        <f>Inputs!$P$8-B832</f>
        <v>93.678200000000061</v>
      </c>
      <c r="M832" s="79">
        <f>Inputs!$Q$8+L832*0.433</f>
        <v>1865.5626606000001</v>
      </c>
      <c r="N832" s="82">
        <f t="shared" si="230"/>
        <v>172499.92</v>
      </c>
      <c r="O832" s="83">
        <f t="shared" si="231"/>
        <v>844.51279999999997</v>
      </c>
      <c r="P832" s="84">
        <f>IF(O832="","",Inputs!$C$5-O832)</f>
        <v>-19.328300000000013</v>
      </c>
      <c r="Q832" s="83">
        <f>IF(N832="","",TS!J832)</f>
        <v>2000</v>
      </c>
      <c r="R832" s="83">
        <f>IF(N832="","",TS!K832)</f>
        <v>1825</v>
      </c>
      <c r="S832" s="83">
        <f>Inputs!$H$5+TS!P832*0.4333</f>
        <v>1866.5907640599999</v>
      </c>
      <c r="T832" s="83">
        <f>Inputs!$G$5+TS!P832*0.4333</f>
        <v>1881.5907640599999</v>
      </c>
      <c r="U832" s="85">
        <f t="shared" si="232"/>
        <v>0.9407953820299999</v>
      </c>
      <c r="V832" s="86">
        <f t="shared" si="236"/>
        <v>0</v>
      </c>
      <c r="W832" s="86">
        <f t="shared" si="237"/>
        <v>0</v>
      </c>
      <c r="X832" s="86" t="e">
        <f>((PI()*((42-2*'Gen Calcs'!$E$13)^2)/4)/144)*(A875-#REF!)*(W832+14.7)/14.7</f>
        <v>#REF!</v>
      </c>
      <c r="Y832" s="86" t="e">
        <f t="shared" si="238"/>
        <v>#REF!</v>
      </c>
      <c r="Z832" s="86" t="e">
        <f t="shared" si="239"/>
        <v>#REF!</v>
      </c>
      <c r="AA832" s="83">
        <f>MAX(B$2:B832)-B832</f>
        <v>93.678200000000061</v>
      </c>
      <c r="AB832" s="83">
        <f t="shared" si="240"/>
        <v>40.562660600000029</v>
      </c>
      <c r="AC832" s="83">
        <f t="shared" si="226"/>
        <v>120</v>
      </c>
      <c r="AD832" s="72">
        <v>120</v>
      </c>
      <c r="AE832" s="73">
        <f t="shared" si="233"/>
        <v>907.92027688745009</v>
      </c>
      <c r="AF832" s="73">
        <f>SUM(AE$2:AE832)</f>
        <v>694720.11568046827</v>
      </c>
      <c r="AG832" s="73">
        <f t="shared" si="234"/>
        <v>479009.78674664092</v>
      </c>
    </row>
    <row r="833" spans="1:33" x14ac:dyDescent="0.25">
      <c r="A833" s="99">
        <v>172599.92</v>
      </c>
      <c r="B833" s="96">
        <v>845.39599999999996</v>
      </c>
      <c r="C833" s="96">
        <v>0.6</v>
      </c>
      <c r="D833" s="80">
        <f t="shared" si="235"/>
        <v>100</v>
      </c>
      <c r="E833" s="81">
        <f t="shared" si="227"/>
        <v>6791.2436711181272</v>
      </c>
      <c r="F833" s="81">
        <f>SUM(E$2:E833)</f>
        <v>5199532.5915442901</v>
      </c>
      <c r="G833" s="43">
        <f t="shared" si="225"/>
        <v>1</v>
      </c>
      <c r="H833" s="78">
        <v>1</v>
      </c>
      <c r="I833" s="15">
        <f t="shared" si="228"/>
        <v>0.6</v>
      </c>
      <c r="J833" s="16">
        <f>VLOOKUP(G833,Inputs!$L$3:$P$15,5,FALSE)</f>
        <v>2000</v>
      </c>
      <c r="K833" s="16">
        <f t="shared" si="229"/>
        <v>1825</v>
      </c>
      <c r="L833" s="79">
        <f>Inputs!$P$8-B833</f>
        <v>92.795000000000073</v>
      </c>
      <c r="M833" s="79">
        <f>Inputs!$Q$8+L833*0.433</f>
        <v>1865.180235</v>
      </c>
      <c r="N833" s="82">
        <f t="shared" si="230"/>
        <v>172599.92</v>
      </c>
      <c r="O833" s="83">
        <f t="shared" si="231"/>
        <v>845.39599999999996</v>
      </c>
      <c r="P833" s="84">
        <f>IF(O833="","",Inputs!$C$5-O833)</f>
        <v>-20.211500000000001</v>
      </c>
      <c r="Q833" s="83">
        <f>IF(N833="","",TS!J833)</f>
        <v>2000</v>
      </c>
      <c r="R833" s="83">
        <f>IF(N833="","",TS!K833)</f>
        <v>1825</v>
      </c>
      <c r="S833" s="83">
        <f>Inputs!$H$5+TS!P833*0.4333</f>
        <v>1866.2080735</v>
      </c>
      <c r="T833" s="83">
        <f>Inputs!$G$5+TS!P833*0.4333</f>
        <v>1881.2080735</v>
      </c>
      <c r="U833" s="85">
        <f t="shared" si="232"/>
        <v>0.94060403674999993</v>
      </c>
      <c r="V833" s="86">
        <f t="shared" si="236"/>
        <v>0</v>
      </c>
      <c r="W833" s="86">
        <f t="shared" si="237"/>
        <v>0</v>
      </c>
      <c r="X833" s="86" t="e">
        <f>((PI()*((42-2*'Gen Calcs'!$E$13)^2)/4)/144)*(A876-#REF!)*(W833+14.7)/14.7</f>
        <v>#REF!</v>
      </c>
      <c r="Y833" s="86" t="e">
        <f t="shared" si="238"/>
        <v>#REF!</v>
      </c>
      <c r="Z833" s="86" t="e">
        <f t="shared" si="239"/>
        <v>#REF!</v>
      </c>
      <c r="AA833" s="83">
        <f>MAX(B$2:B833)-B833</f>
        <v>92.795000000000073</v>
      </c>
      <c r="AB833" s="83">
        <f t="shared" si="240"/>
        <v>40.180235000000032</v>
      </c>
      <c r="AC833" s="83">
        <f t="shared" si="226"/>
        <v>120</v>
      </c>
      <c r="AD833" s="72">
        <v>120</v>
      </c>
      <c r="AE833" s="73">
        <f t="shared" si="233"/>
        <v>907.92027688745009</v>
      </c>
      <c r="AF833" s="73">
        <f>SUM(AE$2:AE833)</f>
        <v>695628.03595735575</v>
      </c>
      <c r="AG833" s="73">
        <f t="shared" si="234"/>
        <v>478101.86646975344</v>
      </c>
    </row>
    <row r="834" spans="1:33" x14ac:dyDescent="0.25">
      <c r="A834" s="100">
        <v>172699.92</v>
      </c>
      <c r="B834" s="97">
        <v>846.40880000000004</v>
      </c>
      <c r="C834" s="97">
        <v>0.6</v>
      </c>
      <c r="D834" s="80">
        <f t="shared" si="235"/>
        <v>100</v>
      </c>
      <c r="E834" s="81">
        <f t="shared" si="227"/>
        <v>6791.2436711181272</v>
      </c>
      <c r="F834" s="81">
        <f>SUM(E$2:E834)</f>
        <v>5206323.8352154084</v>
      </c>
      <c r="G834" s="43">
        <f t="shared" si="225"/>
        <v>1</v>
      </c>
      <c r="H834" s="78">
        <v>1</v>
      </c>
      <c r="I834" s="15">
        <f t="shared" si="228"/>
        <v>0.6</v>
      </c>
      <c r="J834" s="16">
        <f>VLOOKUP(G834,Inputs!$L$3:$P$15,5,FALSE)</f>
        <v>2000</v>
      </c>
      <c r="K834" s="16">
        <f t="shared" si="229"/>
        <v>1825</v>
      </c>
      <c r="L834" s="79">
        <f>Inputs!$P$8-B834</f>
        <v>91.782199999999989</v>
      </c>
      <c r="M834" s="79">
        <f>Inputs!$Q$8+L834*0.433</f>
        <v>1864.7416926000001</v>
      </c>
      <c r="N834" s="82">
        <f t="shared" si="230"/>
        <v>172699.92</v>
      </c>
      <c r="O834" s="83">
        <f t="shared" si="231"/>
        <v>846.40880000000004</v>
      </c>
      <c r="P834" s="84">
        <f>IF(O834="","",Inputs!$C$5-O834)</f>
        <v>-21.224300000000085</v>
      </c>
      <c r="Q834" s="83">
        <f>IF(N834="","",TS!J834)</f>
        <v>2000</v>
      </c>
      <c r="R834" s="83">
        <f>IF(N834="","",TS!K834)</f>
        <v>1825</v>
      </c>
      <c r="S834" s="83">
        <f>Inputs!$H$5+TS!P834*0.4333</f>
        <v>1865.76922726</v>
      </c>
      <c r="T834" s="83">
        <f>Inputs!$G$5+TS!P834*0.4333</f>
        <v>1880.76922726</v>
      </c>
      <c r="U834" s="85">
        <f t="shared" si="232"/>
        <v>0.94038461363000003</v>
      </c>
      <c r="V834" s="86">
        <f t="shared" si="236"/>
        <v>0</v>
      </c>
      <c r="W834" s="86">
        <f t="shared" si="237"/>
        <v>0</v>
      </c>
      <c r="X834" s="86" t="e">
        <f>((PI()*((42-2*'Gen Calcs'!$E$13)^2)/4)/144)*(A877-#REF!)*(W834+14.7)/14.7</f>
        <v>#REF!</v>
      </c>
      <c r="Y834" s="86" t="e">
        <f t="shared" si="238"/>
        <v>#REF!</v>
      </c>
      <c r="Z834" s="86" t="e">
        <f t="shared" si="239"/>
        <v>#REF!</v>
      </c>
      <c r="AA834" s="83">
        <f>MAX(B$2:B834)-B834</f>
        <v>91.782199999999989</v>
      </c>
      <c r="AB834" s="83">
        <f t="shared" si="240"/>
        <v>39.741692599999993</v>
      </c>
      <c r="AC834" s="83">
        <f t="shared" si="226"/>
        <v>120</v>
      </c>
      <c r="AD834" s="72">
        <v>120</v>
      </c>
      <c r="AE834" s="73">
        <f t="shared" si="233"/>
        <v>907.92027688745009</v>
      </c>
      <c r="AF834" s="73">
        <f>SUM(AE$2:AE834)</f>
        <v>696535.95623424323</v>
      </c>
      <c r="AG834" s="73">
        <f t="shared" si="234"/>
        <v>477193.94619286596</v>
      </c>
    </row>
    <row r="835" spans="1:33" x14ac:dyDescent="0.25">
      <c r="A835" s="99">
        <v>172799.92</v>
      </c>
      <c r="B835" s="96">
        <v>844.89139999999998</v>
      </c>
      <c r="C835" s="96">
        <v>0.6</v>
      </c>
      <c r="D835" s="80">
        <f t="shared" si="235"/>
        <v>100</v>
      </c>
      <c r="E835" s="81">
        <f t="shared" si="227"/>
        <v>6616.6076625842816</v>
      </c>
      <c r="F835" s="81">
        <f>SUM(E$2:E835)</f>
        <v>5212940.442877993</v>
      </c>
      <c r="G835" s="43">
        <f t="shared" ref="G835:G898" si="241">IF(C835=0.72,12,IF(C835=1,11,IF(C835=0.825,10,IF(C835=0.6,1,IF(C835=0.864,2,IF(C835=0.888,3))))))</f>
        <v>1</v>
      </c>
      <c r="H835" s="78">
        <v>1</v>
      </c>
      <c r="I835" s="15">
        <f t="shared" si="228"/>
        <v>0.6</v>
      </c>
      <c r="J835" s="16">
        <f>VLOOKUP(G835,Inputs!$L$3:$P$15,5,FALSE)</f>
        <v>2000</v>
      </c>
      <c r="K835" s="16">
        <f t="shared" si="229"/>
        <v>1825</v>
      </c>
      <c r="L835" s="79">
        <f>Inputs!$P$8-B835</f>
        <v>93.299600000000055</v>
      </c>
      <c r="M835" s="79">
        <f>Inputs!$Q$8+L835*0.433</f>
        <v>1865.3987268000001</v>
      </c>
      <c r="N835" s="82">
        <f t="shared" si="230"/>
        <v>172799.92</v>
      </c>
      <c r="O835" s="83">
        <f t="shared" si="231"/>
        <v>844.89139999999998</v>
      </c>
      <c r="P835" s="84">
        <f>IF(O835="","",Inputs!$C$5-O835)</f>
        <v>-19.706900000000019</v>
      </c>
      <c r="Q835" s="83">
        <f>IF(N835="","",TS!J835)</f>
        <v>2000</v>
      </c>
      <c r="R835" s="83">
        <f>IF(N835="","",TS!K835)</f>
        <v>1825</v>
      </c>
      <c r="S835" s="83">
        <f>Inputs!$H$5+TS!P835*0.4333</f>
        <v>1866.42671668</v>
      </c>
      <c r="T835" s="83">
        <f>Inputs!$G$5+TS!P835*0.4333</f>
        <v>1881.42671668</v>
      </c>
      <c r="U835" s="85">
        <f t="shared" si="232"/>
        <v>0.94071335834000003</v>
      </c>
      <c r="V835" s="86">
        <f t="shared" si="236"/>
        <v>0</v>
      </c>
      <c r="W835" s="86">
        <f t="shared" si="237"/>
        <v>0</v>
      </c>
      <c r="X835" s="86" t="e">
        <f>((PI()*((42-2*'Gen Calcs'!$E$13)^2)/4)/144)*(A878-#REF!)*(W835+14.7)/14.7</f>
        <v>#REF!</v>
      </c>
      <c r="Y835" s="86" t="e">
        <f t="shared" si="238"/>
        <v>#REF!</v>
      </c>
      <c r="Z835" s="86" t="e">
        <f t="shared" si="239"/>
        <v>#REF!</v>
      </c>
      <c r="AA835" s="83">
        <f>MAX(B$2:B835)-B835</f>
        <v>93.299600000000055</v>
      </c>
      <c r="AB835" s="83">
        <f t="shared" si="240"/>
        <v>40.39872680000002</v>
      </c>
      <c r="AC835" s="83">
        <f t="shared" ref="AC835:AC898" si="242">((MAX(O$2:O$1348)-O835)-(MAX(O$2:O$1348)-O835))*0.433+AD835</f>
        <v>120</v>
      </c>
      <c r="AD835" s="72">
        <v>120</v>
      </c>
      <c r="AE835" s="73">
        <f t="shared" si="233"/>
        <v>907.92027688745009</v>
      </c>
      <c r="AF835" s="73">
        <f>SUM(AE$2:AE835)</f>
        <v>697443.87651113071</v>
      </c>
      <c r="AG835" s="73">
        <f t="shared" si="234"/>
        <v>476286.02591597848</v>
      </c>
    </row>
    <row r="836" spans="1:33" x14ac:dyDescent="0.25">
      <c r="A836" s="100">
        <v>172899.92</v>
      </c>
      <c r="B836" s="97">
        <v>845.36710000000005</v>
      </c>
      <c r="C836" s="97">
        <v>0.6</v>
      </c>
      <c r="D836" s="80">
        <f t="shared" si="235"/>
        <v>100</v>
      </c>
      <c r="E836" s="81">
        <f t="shared" si="227"/>
        <v>6616.6076625842816</v>
      </c>
      <c r="F836" s="81">
        <f>SUM(E$2:E836)</f>
        <v>5219557.0505405776</v>
      </c>
      <c r="G836" s="43">
        <f t="shared" si="241"/>
        <v>1</v>
      </c>
      <c r="H836" s="78">
        <v>1</v>
      </c>
      <c r="I836" s="15">
        <f t="shared" si="228"/>
        <v>0.6</v>
      </c>
      <c r="J836" s="16">
        <f>VLOOKUP(G836,Inputs!$L$3:$P$15,5,FALSE)</f>
        <v>2000</v>
      </c>
      <c r="K836" s="16">
        <f t="shared" si="229"/>
        <v>1825</v>
      </c>
      <c r="L836" s="79">
        <f>Inputs!$P$8-B836</f>
        <v>92.823899999999981</v>
      </c>
      <c r="M836" s="79">
        <f>Inputs!$Q$8+L836*0.433</f>
        <v>1865.1927487</v>
      </c>
      <c r="N836" s="82">
        <f t="shared" si="230"/>
        <v>172899.92</v>
      </c>
      <c r="O836" s="83">
        <f t="shared" si="231"/>
        <v>845.36710000000005</v>
      </c>
      <c r="P836" s="84">
        <f>IF(O836="","",Inputs!$C$5-O836)</f>
        <v>-20.182600000000093</v>
      </c>
      <c r="Q836" s="83">
        <f>IF(N836="","",TS!J836)</f>
        <v>2000</v>
      </c>
      <c r="R836" s="83">
        <f>IF(N836="","",TS!K836)</f>
        <v>1825</v>
      </c>
      <c r="S836" s="83">
        <f>Inputs!$H$5+TS!P836*0.4333</f>
        <v>1866.2205958699999</v>
      </c>
      <c r="T836" s="83">
        <f>Inputs!$G$5+TS!P836*0.4333</f>
        <v>1881.2205958699999</v>
      </c>
      <c r="U836" s="85">
        <f t="shared" si="232"/>
        <v>0.94061029793499995</v>
      </c>
      <c r="V836" s="86">
        <f t="shared" si="236"/>
        <v>0</v>
      </c>
      <c r="W836" s="86">
        <f t="shared" si="237"/>
        <v>0</v>
      </c>
      <c r="X836" s="86" t="e">
        <f>((PI()*((42-2*'Gen Calcs'!$E$13)^2)/4)/144)*(A879-#REF!)*(W836+14.7)/14.7</f>
        <v>#REF!</v>
      </c>
      <c r="Y836" s="86" t="e">
        <f t="shared" si="238"/>
        <v>#REF!</v>
      </c>
      <c r="Z836" s="86" t="e">
        <f t="shared" si="239"/>
        <v>#REF!</v>
      </c>
      <c r="AA836" s="83">
        <f>MAX(B$2:B836)-B836</f>
        <v>92.823899999999981</v>
      </c>
      <c r="AB836" s="83">
        <f t="shared" si="240"/>
        <v>40.192748699999989</v>
      </c>
      <c r="AC836" s="83">
        <f t="shared" si="242"/>
        <v>120</v>
      </c>
      <c r="AD836" s="72">
        <v>120</v>
      </c>
      <c r="AE836" s="73">
        <f t="shared" si="233"/>
        <v>907.92027688745009</v>
      </c>
      <c r="AF836" s="73">
        <f>SUM(AE$2:AE836)</f>
        <v>698351.7967880182</v>
      </c>
      <c r="AG836" s="73">
        <f t="shared" si="234"/>
        <v>475378.10563909099</v>
      </c>
    </row>
    <row r="837" spans="1:33" x14ac:dyDescent="0.25">
      <c r="A837" s="99">
        <v>172999.92</v>
      </c>
      <c r="B837" s="96">
        <v>850.55840000000001</v>
      </c>
      <c r="C837" s="96">
        <v>0.6</v>
      </c>
      <c r="D837" s="80">
        <f t="shared" si="235"/>
        <v>100</v>
      </c>
      <c r="E837" s="81">
        <f t="shared" ref="E837:E900" si="243">(PI()/4*(42/12-(2*C879/12))^2)*(D837)*7.48</f>
        <v>6791.2436711181272</v>
      </c>
      <c r="F837" s="81">
        <f>SUM(E$2:E837)</f>
        <v>5226348.2942116959</v>
      </c>
      <c r="G837" s="43">
        <f t="shared" si="241"/>
        <v>1</v>
      </c>
      <c r="H837" s="78">
        <v>1</v>
      </c>
      <c r="I837" s="15">
        <f t="shared" ref="I837:I900" si="244">C837</f>
        <v>0.6</v>
      </c>
      <c r="J837" s="16">
        <f>VLOOKUP(G837,Inputs!$L$3:$P$15,5,FALSE)</f>
        <v>2000</v>
      </c>
      <c r="K837" s="16">
        <f t="shared" ref="K837:K900" si="245">IF(H837=1,1825,IF(H837=2,1825,2220))</f>
        <v>1825</v>
      </c>
      <c r="L837" s="79">
        <f>Inputs!$P$8-B837</f>
        <v>87.632600000000025</v>
      </c>
      <c r="M837" s="79">
        <f>Inputs!$Q$8+L837*0.433</f>
        <v>1862.9449158</v>
      </c>
      <c r="N837" s="82">
        <f t="shared" ref="N837:N900" si="246">A837</f>
        <v>172999.92</v>
      </c>
      <c r="O837" s="83">
        <f t="shared" ref="O837:O900" si="247">B837</f>
        <v>850.55840000000001</v>
      </c>
      <c r="P837" s="84">
        <f>IF(O837="","",Inputs!$C$5-O837)</f>
        <v>-25.373900000000049</v>
      </c>
      <c r="Q837" s="83">
        <f>IF(N837="","",TS!J837)</f>
        <v>2000</v>
      </c>
      <c r="R837" s="83">
        <f>IF(N837="","",TS!K837)</f>
        <v>1825</v>
      </c>
      <c r="S837" s="83">
        <f>Inputs!$H$5+TS!P837*0.4333</f>
        <v>1863.9712055799998</v>
      </c>
      <c r="T837" s="83">
        <f>Inputs!$G$5+TS!P837*0.4333</f>
        <v>1878.9712055799998</v>
      </c>
      <c r="U837" s="85">
        <f t="shared" ref="U837:U900" si="248">T837/(140000*C837/42)</f>
        <v>0.93948560278999993</v>
      </c>
      <c r="V837" s="86">
        <f t="shared" si="236"/>
        <v>0</v>
      </c>
      <c r="W837" s="86">
        <f t="shared" si="237"/>
        <v>0</v>
      </c>
      <c r="X837" s="86" t="e">
        <f>((PI()*((42-2*'Gen Calcs'!$E$13)^2)/4)/144)*(A880-#REF!)*(W837+14.7)/14.7</f>
        <v>#REF!</v>
      </c>
      <c r="Y837" s="86" t="e">
        <f t="shared" si="238"/>
        <v>#REF!</v>
      </c>
      <c r="Z837" s="86" t="e">
        <f t="shared" si="239"/>
        <v>#REF!</v>
      </c>
      <c r="AA837" s="83">
        <f>MAX(B$2:B837)-B837</f>
        <v>87.632600000000025</v>
      </c>
      <c r="AB837" s="83">
        <f t="shared" si="240"/>
        <v>37.944915800000011</v>
      </c>
      <c r="AC837" s="83">
        <f t="shared" si="242"/>
        <v>120</v>
      </c>
      <c r="AD837" s="72">
        <v>120</v>
      </c>
      <c r="AE837" s="73">
        <f t="shared" ref="AE837:AE900" si="249">PI()*(((42-2*C837)/12)^2/4)*D837</f>
        <v>907.92027688745009</v>
      </c>
      <c r="AF837" s="73">
        <f>SUM(AE$2:AE837)</f>
        <v>699259.71706490568</v>
      </c>
      <c r="AG837" s="73">
        <f t="shared" ref="AG837:AG900" si="250">AF$1391-AF837</f>
        <v>474470.18536220351</v>
      </c>
    </row>
    <row r="838" spans="1:33" x14ac:dyDescent="0.25">
      <c r="A838" s="100">
        <v>173099.92</v>
      </c>
      <c r="B838" s="97">
        <v>864.89049999999997</v>
      </c>
      <c r="C838" s="97">
        <v>0.6</v>
      </c>
      <c r="D838" s="80">
        <f t="shared" si="235"/>
        <v>100</v>
      </c>
      <c r="E838" s="81">
        <f t="shared" si="243"/>
        <v>6791.2436711181272</v>
      </c>
      <c r="F838" s="81">
        <f>SUM(E$2:E838)</f>
        <v>5233139.5378828142</v>
      </c>
      <c r="G838" s="43">
        <f t="shared" si="241"/>
        <v>1</v>
      </c>
      <c r="H838" s="78">
        <v>1</v>
      </c>
      <c r="I838" s="15">
        <f t="shared" si="244"/>
        <v>0.6</v>
      </c>
      <c r="J838" s="16">
        <f>VLOOKUP(G838,Inputs!$L$3:$P$15,5,FALSE)</f>
        <v>2000</v>
      </c>
      <c r="K838" s="16">
        <f t="shared" si="245"/>
        <v>1825</v>
      </c>
      <c r="L838" s="79">
        <f>Inputs!$P$8-B838</f>
        <v>73.300500000000056</v>
      </c>
      <c r="M838" s="79">
        <f>Inputs!$Q$8+L838*0.433</f>
        <v>1856.7391164999999</v>
      </c>
      <c r="N838" s="82">
        <f t="shared" si="246"/>
        <v>173099.92</v>
      </c>
      <c r="O838" s="83">
        <f t="shared" si="247"/>
        <v>864.89049999999997</v>
      </c>
      <c r="P838" s="84">
        <f>IF(O838="","",Inputs!$C$5-O838)</f>
        <v>-39.706000000000017</v>
      </c>
      <c r="Q838" s="83">
        <f>IF(N838="","",TS!J838)</f>
        <v>2000</v>
      </c>
      <c r="R838" s="83">
        <f>IF(N838="","",TS!K838)</f>
        <v>1825</v>
      </c>
      <c r="S838" s="83">
        <f>Inputs!$H$5+TS!P838*0.4333</f>
        <v>1857.7611066499999</v>
      </c>
      <c r="T838" s="83">
        <f>Inputs!$G$5+TS!P838*0.4333</f>
        <v>1872.7611066499999</v>
      </c>
      <c r="U838" s="85">
        <f t="shared" si="248"/>
        <v>0.93638055332499992</v>
      </c>
      <c r="V838" s="86">
        <f t="shared" si="236"/>
        <v>0</v>
      </c>
      <c r="W838" s="86">
        <f t="shared" si="237"/>
        <v>0</v>
      </c>
      <c r="X838" s="86" t="e">
        <f>((PI()*((42-2*'Gen Calcs'!$E$13)^2)/4)/144)*(A881-#REF!)*(W838+14.7)/14.7</f>
        <v>#REF!</v>
      </c>
      <c r="Y838" s="86" t="e">
        <f t="shared" si="238"/>
        <v>#REF!</v>
      </c>
      <c r="Z838" s="86" t="e">
        <f t="shared" si="239"/>
        <v>#REF!</v>
      </c>
      <c r="AA838" s="83">
        <f>MAX(B$2:B838)-B838</f>
        <v>73.300500000000056</v>
      </c>
      <c r="AB838" s="83">
        <f t="shared" si="240"/>
        <v>31.739116500000023</v>
      </c>
      <c r="AC838" s="83">
        <f t="shared" si="242"/>
        <v>120</v>
      </c>
      <c r="AD838" s="72">
        <v>120</v>
      </c>
      <c r="AE838" s="73">
        <f t="shared" si="249"/>
        <v>907.92027688745009</v>
      </c>
      <c r="AF838" s="73">
        <f>SUM(AE$2:AE838)</f>
        <v>700167.63734179316</v>
      </c>
      <c r="AG838" s="73">
        <f t="shared" si="250"/>
        <v>473562.26508531603</v>
      </c>
    </row>
    <row r="839" spans="1:33" x14ac:dyDescent="0.25">
      <c r="A839" s="99">
        <v>173199.92</v>
      </c>
      <c r="B839" s="96">
        <v>870.66070000000002</v>
      </c>
      <c r="C839" s="96">
        <v>0.6</v>
      </c>
      <c r="D839" s="80">
        <f t="shared" si="235"/>
        <v>100</v>
      </c>
      <c r="E839" s="81">
        <f t="shared" si="243"/>
        <v>6791.2436711181272</v>
      </c>
      <c r="F839" s="81">
        <f>SUM(E$2:E839)</f>
        <v>5239930.7815539325</v>
      </c>
      <c r="G839" s="43">
        <f t="shared" si="241"/>
        <v>1</v>
      </c>
      <c r="H839" s="78">
        <v>1</v>
      </c>
      <c r="I839" s="15">
        <f t="shared" si="244"/>
        <v>0.6</v>
      </c>
      <c r="J839" s="16">
        <f>VLOOKUP(G839,Inputs!$L$3:$P$15,5,FALSE)</f>
        <v>2000</v>
      </c>
      <c r="K839" s="16">
        <f t="shared" si="245"/>
        <v>1825</v>
      </c>
      <c r="L839" s="79">
        <f>Inputs!$P$8-B839</f>
        <v>67.530300000000011</v>
      </c>
      <c r="M839" s="79">
        <f>Inputs!$Q$8+L839*0.433</f>
        <v>1854.2406199</v>
      </c>
      <c r="N839" s="82">
        <f t="shared" si="246"/>
        <v>173199.92</v>
      </c>
      <c r="O839" s="83">
        <f t="shared" si="247"/>
        <v>870.66070000000002</v>
      </c>
      <c r="P839" s="84">
        <f>IF(O839="","",Inputs!$C$5-O839)</f>
        <v>-45.476200000000063</v>
      </c>
      <c r="Q839" s="83">
        <f>IF(N839="","",TS!J839)</f>
        <v>2000</v>
      </c>
      <c r="R839" s="83">
        <f>IF(N839="","",TS!K839)</f>
        <v>1825</v>
      </c>
      <c r="S839" s="83">
        <f>Inputs!$H$5+TS!P839*0.4333</f>
        <v>1855.2608789899998</v>
      </c>
      <c r="T839" s="83">
        <f>Inputs!$G$5+TS!P839*0.4333</f>
        <v>1870.2608789899998</v>
      </c>
      <c r="U839" s="85">
        <f t="shared" si="248"/>
        <v>0.93513043949499985</v>
      </c>
      <c r="V839" s="86">
        <f t="shared" si="236"/>
        <v>0</v>
      </c>
      <c r="W839" s="86">
        <f t="shared" si="237"/>
        <v>0</v>
      </c>
      <c r="X839" s="86" t="e">
        <f>((PI()*((42-2*'Gen Calcs'!$E$13)^2)/4)/144)*(A882-#REF!)*(W839+14.7)/14.7</f>
        <v>#REF!</v>
      </c>
      <c r="Y839" s="86" t="e">
        <f t="shared" si="238"/>
        <v>#REF!</v>
      </c>
      <c r="Z839" s="86" t="e">
        <f t="shared" si="239"/>
        <v>#REF!</v>
      </c>
      <c r="AA839" s="83">
        <f>MAX(B$2:B839)-B839</f>
        <v>67.530300000000011</v>
      </c>
      <c r="AB839" s="83">
        <f t="shared" si="240"/>
        <v>29.240619900000006</v>
      </c>
      <c r="AC839" s="83">
        <f t="shared" si="242"/>
        <v>120</v>
      </c>
      <c r="AD839" s="72">
        <v>120</v>
      </c>
      <c r="AE839" s="73">
        <f t="shared" si="249"/>
        <v>907.92027688745009</v>
      </c>
      <c r="AF839" s="73">
        <f>SUM(AE$2:AE839)</f>
        <v>701075.55761868064</v>
      </c>
      <c r="AG839" s="73">
        <f t="shared" si="250"/>
        <v>472654.34480842855</v>
      </c>
    </row>
    <row r="840" spans="1:33" x14ac:dyDescent="0.25">
      <c r="A840" s="100">
        <v>173299.92</v>
      </c>
      <c r="B840" s="97">
        <v>873.58510000000001</v>
      </c>
      <c r="C840" s="97">
        <v>0.6</v>
      </c>
      <c r="D840" s="80">
        <f t="shared" si="235"/>
        <v>100</v>
      </c>
      <c r="E840" s="81">
        <f t="shared" si="243"/>
        <v>6791.2436711181272</v>
      </c>
      <c r="F840" s="81">
        <f>SUM(E$2:E840)</f>
        <v>5246722.0252250507</v>
      </c>
      <c r="G840" s="43">
        <f t="shared" si="241"/>
        <v>1</v>
      </c>
      <c r="H840" s="78">
        <v>1</v>
      </c>
      <c r="I840" s="15">
        <f t="shared" si="244"/>
        <v>0.6</v>
      </c>
      <c r="J840" s="16">
        <f>VLOOKUP(G840,Inputs!$L$3:$P$15,5,FALSE)</f>
        <v>2000</v>
      </c>
      <c r="K840" s="16">
        <f t="shared" si="245"/>
        <v>1825</v>
      </c>
      <c r="L840" s="79">
        <f>Inputs!$P$8-B840</f>
        <v>64.60590000000002</v>
      </c>
      <c r="M840" s="79">
        <f>Inputs!$Q$8+L840*0.433</f>
        <v>1852.9743547</v>
      </c>
      <c r="N840" s="82">
        <f t="shared" si="246"/>
        <v>173299.92</v>
      </c>
      <c r="O840" s="83">
        <f t="shared" si="247"/>
        <v>873.58510000000001</v>
      </c>
      <c r="P840" s="84">
        <f>IF(O840="","",Inputs!$C$5-O840)</f>
        <v>-48.400600000000054</v>
      </c>
      <c r="Q840" s="83">
        <f>IF(N840="","",TS!J840)</f>
        <v>2000</v>
      </c>
      <c r="R840" s="83">
        <f>IF(N840="","",TS!K840)</f>
        <v>1825</v>
      </c>
      <c r="S840" s="83">
        <f>Inputs!$H$5+TS!P840*0.4333</f>
        <v>1853.9937364699999</v>
      </c>
      <c r="T840" s="83">
        <f>Inputs!$G$5+TS!P840*0.4333</f>
        <v>1868.9937364699999</v>
      </c>
      <c r="U840" s="85">
        <f t="shared" si="248"/>
        <v>0.934496868235</v>
      </c>
      <c r="V840" s="86">
        <f t="shared" si="236"/>
        <v>0</v>
      </c>
      <c r="W840" s="86">
        <f t="shared" si="237"/>
        <v>0</v>
      </c>
      <c r="X840" s="86" t="e">
        <f>((PI()*((42-2*'Gen Calcs'!$E$13)^2)/4)/144)*(A883-#REF!)*(W840+14.7)/14.7</f>
        <v>#REF!</v>
      </c>
      <c r="Y840" s="86" t="e">
        <f t="shared" si="238"/>
        <v>#REF!</v>
      </c>
      <c r="Z840" s="86" t="e">
        <f t="shared" si="239"/>
        <v>#REF!</v>
      </c>
      <c r="AA840" s="83">
        <f>MAX(B$2:B840)-B840</f>
        <v>64.60590000000002</v>
      </c>
      <c r="AB840" s="83">
        <f t="shared" si="240"/>
        <v>27.97435470000001</v>
      </c>
      <c r="AC840" s="83">
        <f t="shared" si="242"/>
        <v>120</v>
      </c>
      <c r="AD840" s="72">
        <v>120</v>
      </c>
      <c r="AE840" s="73">
        <f t="shared" si="249"/>
        <v>907.92027688745009</v>
      </c>
      <c r="AF840" s="73">
        <f>SUM(AE$2:AE840)</f>
        <v>701983.47789556812</v>
      </c>
      <c r="AG840" s="73">
        <f t="shared" si="250"/>
        <v>471746.42453154107</v>
      </c>
    </row>
    <row r="841" spans="1:33" x14ac:dyDescent="0.25">
      <c r="A841" s="99">
        <v>173399.92</v>
      </c>
      <c r="B841" s="96">
        <v>870.21259999999995</v>
      </c>
      <c r="C841" s="96">
        <v>0.6</v>
      </c>
      <c r="D841" s="80">
        <f t="shared" si="235"/>
        <v>100</v>
      </c>
      <c r="E841" s="81">
        <f t="shared" si="243"/>
        <v>6791.2436711181272</v>
      </c>
      <c r="F841" s="81">
        <f>SUM(E$2:E841)</f>
        <v>5253513.268896169</v>
      </c>
      <c r="G841" s="43">
        <f t="shared" si="241"/>
        <v>1</v>
      </c>
      <c r="H841" s="78">
        <v>1</v>
      </c>
      <c r="I841" s="15">
        <f t="shared" si="244"/>
        <v>0.6</v>
      </c>
      <c r="J841" s="16">
        <f>VLOOKUP(G841,Inputs!$L$3:$P$15,5,FALSE)</f>
        <v>2000</v>
      </c>
      <c r="K841" s="16">
        <f t="shared" si="245"/>
        <v>1825</v>
      </c>
      <c r="L841" s="79">
        <f>Inputs!$P$8-B841</f>
        <v>67.978400000000079</v>
      </c>
      <c r="M841" s="79">
        <f>Inputs!$Q$8+L841*0.433</f>
        <v>1854.4346472</v>
      </c>
      <c r="N841" s="82">
        <f t="shared" si="246"/>
        <v>173399.92</v>
      </c>
      <c r="O841" s="83">
        <f t="shared" si="247"/>
        <v>870.21259999999995</v>
      </c>
      <c r="P841" s="84">
        <f>IF(O841="","",Inputs!$C$5-O841)</f>
        <v>-45.028099999999995</v>
      </c>
      <c r="Q841" s="83">
        <f>IF(N841="","",TS!J841)</f>
        <v>2000</v>
      </c>
      <c r="R841" s="83">
        <f>IF(N841="","",TS!K841)</f>
        <v>1825</v>
      </c>
      <c r="S841" s="83">
        <f>Inputs!$H$5+TS!P841*0.4333</f>
        <v>1855.4550407199999</v>
      </c>
      <c r="T841" s="83">
        <f>Inputs!$G$5+TS!P841*0.4333</f>
        <v>1870.4550407199999</v>
      </c>
      <c r="U841" s="85">
        <f t="shared" si="248"/>
        <v>0.93522752036000001</v>
      </c>
      <c r="V841" s="86">
        <f t="shared" si="236"/>
        <v>0</v>
      </c>
      <c r="W841" s="86">
        <f t="shared" si="237"/>
        <v>0</v>
      </c>
      <c r="X841" s="86" t="e">
        <f>((PI()*((42-2*'Gen Calcs'!$E$13)^2)/4)/144)*(A884-#REF!)*(W841+14.7)/14.7</f>
        <v>#REF!</v>
      </c>
      <c r="Y841" s="86" t="e">
        <f t="shared" si="238"/>
        <v>#REF!</v>
      </c>
      <c r="Z841" s="86" t="e">
        <f t="shared" si="239"/>
        <v>#REF!</v>
      </c>
      <c r="AA841" s="83">
        <f>MAX(B$2:B841)-B841</f>
        <v>67.978400000000079</v>
      </c>
      <c r="AB841" s="83">
        <f t="shared" si="240"/>
        <v>29.434647200000033</v>
      </c>
      <c r="AC841" s="83">
        <f t="shared" si="242"/>
        <v>120</v>
      </c>
      <c r="AD841" s="72">
        <v>120</v>
      </c>
      <c r="AE841" s="73">
        <f t="shared" si="249"/>
        <v>907.92027688745009</v>
      </c>
      <c r="AF841" s="73">
        <f>SUM(AE$2:AE841)</f>
        <v>702891.39817245561</v>
      </c>
      <c r="AG841" s="73">
        <f t="shared" si="250"/>
        <v>470838.50425465358</v>
      </c>
    </row>
    <row r="842" spans="1:33" x14ac:dyDescent="0.25">
      <c r="A842" s="100">
        <v>173499.92</v>
      </c>
      <c r="B842" s="97">
        <v>863.06179999999995</v>
      </c>
      <c r="C842" s="97">
        <v>0.6</v>
      </c>
      <c r="D842" s="80">
        <f t="shared" si="235"/>
        <v>100</v>
      </c>
      <c r="E842" s="81">
        <f t="shared" si="243"/>
        <v>6791.2436711181272</v>
      </c>
      <c r="F842" s="81">
        <f>SUM(E$2:E842)</f>
        <v>5260304.5125672873</v>
      </c>
      <c r="G842" s="43">
        <f t="shared" si="241"/>
        <v>1</v>
      </c>
      <c r="H842" s="78">
        <v>1</v>
      </c>
      <c r="I842" s="15">
        <f t="shared" si="244"/>
        <v>0.6</v>
      </c>
      <c r="J842" s="16">
        <f>VLOOKUP(G842,Inputs!$L$3:$P$15,5,FALSE)</f>
        <v>2000</v>
      </c>
      <c r="K842" s="16">
        <f t="shared" si="245"/>
        <v>1825</v>
      </c>
      <c r="L842" s="79">
        <f>Inputs!$P$8-B842</f>
        <v>75.129200000000083</v>
      </c>
      <c r="M842" s="79">
        <f>Inputs!$Q$8+L842*0.433</f>
        <v>1857.5309436</v>
      </c>
      <c r="N842" s="82">
        <f t="shared" si="246"/>
        <v>173499.92</v>
      </c>
      <c r="O842" s="83">
        <f t="shared" si="247"/>
        <v>863.06179999999995</v>
      </c>
      <c r="P842" s="84">
        <f>IF(O842="","",Inputs!$C$5-O842)</f>
        <v>-37.877299999999991</v>
      </c>
      <c r="Q842" s="83">
        <f>IF(N842="","",TS!J842)</f>
        <v>2000</v>
      </c>
      <c r="R842" s="83">
        <f>IF(N842="","",TS!K842)</f>
        <v>1825</v>
      </c>
      <c r="S842" s="83">
        <f>Inputs!$H$5+TS!P842*0.4333</f>
        <v>1858.5534823599999</v>
      </c>
      <c r="T842" s="83">
        <f>Inputs!$G$5+TS!P842*0.4333</f>
        <v>1873.5534823599999</v>
      </c>
      <c r="U842" s="85">
        <f t="shared" si="248"/>
        <v>0.93677674117999998</v>
      </c>
      <c r="V842" s="86">
        <f t="shared" si="236"/>
        <v>0</v>
      </c>
      <c r="W842" s="86">
        <f t="shared" si="237"/>
        <v>0</v>
      </c>
      <c r="X842" s="86" t="e">
        <f>((PI()*((42-2*'Gen Calcs'!$E$13)^2)/4)/144)*(A885-#REF!)*(W842+14.7)/14.7</f>
        <v>#REF!</v>
      </c>
      <c r="Y842" s="86" t="e">
        <f t="shared" si="238"/>
        <v>#REF!</v>
      </c>
      <c r="Z842" s="86" t="e">
        <f t="shared" si="239"/>
        <v>#REF!</v>
      </c>
      <c r="AA842" s="83">
        <f>MAX(B$2:B842)-B842</f>
        <v>75.129200000000083</v>
      </c>
      <c r="AB842" s="83">
        <f t="shared" si="240"/>
        <v>32.530943600000036</v>
      </c>
      <c r="AC842" s="83">
        <f t="shared" si="242"/>
        <v>120</v>
      </c>
      <c r="AD842" s="72">
        <v>120</v>
      </c>
      <c r="AE842" s="73">
        <f t="shared" si="249"/>
        <v>907.92027688745009</v>
      </c>
      <c r="AF842" s="73">
        <f>SUM(AE$2:AE842)</f>
        <v>703799.31844934309</v>
      </c>
      <c r="AG842" s="73">
        <f t="shared" si="250"/>
        <v>469930.5839777661</v>
      </c>
    </row>
    <row r="843" spans="1:33" x14ac:dyDescent="0.25">
      <c r="A843" s="99">
        <v>173599.92</v>
      </c>
      <c r="B843" s="96">
        <v>855.78959999999995</v>
      </c>
      <c r="C843" s="96">
        <v>0.6</v>
      </c>
      <c r="D843" s="80">
        <f t="shared" si="235"/>
        <v>100</v>
      </c>
      <c r="E843" s="81">
        <f t="shared" si="243"/>
        <v>6791.2436711181272</v>
      </c>
      <c r="F843" s="81">
        <f>SUM(E$2:E843)</f>
        <v>5267095.7562384056</v>
      </c>
      <c r="G843" s="43">
        <f t="shared" si="241"/>
        <v>1</v>
      </c>
      <c r="H843" s="78">
        <v>1</v>
      </c>
      <c r="I843" s="15">
        <f t="shared" si="244"/>
        <v>0.6</v>
      </c>
      <c r="J843" s="16">
        <f>VLOOKUP(G843,Inputs!$L$3:$P$15,5,FALSE)</f>
        <v>2000</v>
      </c>
      <c r="K843" s="16">
        <f t="shared" si="245"/>
        <v>1825</v>
      </c>
      <c r="L843" s="79">
        <f>Inputs!$P$8-B843</f>
        <v>82.401400000000081</v>
      </c>
      <c r="M843" s="79">
        <f>Inputs!$Q$8+L843*0.433</f>
        <v>1860.6798062</v>
      </c>
      <c r="N843" s="82">
        <f t="shared" si="246"/>
        <v>173599.92</v>
      </c>
      <c r="O843" s="83">
        <f t="shared" si="247"/>
        <v>855.78959999999995</v>
      </c>
      <c r="P843" s="84">
        <f>IF(O843="","",Inputs!$C$5-O843)</f>
        <v>-30.605099999999993</v>
      </c>
      <c r="Q843" s="83">
        <f>IF(N843="","",TS!J843)</f>
        <v>2000</v>
      </c>
      <c r="R843" s="83">
        <f>IF(N843="","",TS!K843)</f>
        <v>1825</v>
      </c>
      <c r="S843" s="83">
        <f>Inputs!$H$5+TS!P843*0.4333</f>
        <v>1861.70452662</v>
      </c>
      <c r="T843" s="83">
        <f>Inputs!$G$5+TS!P843*0.4333</f>
        <v>1876.70452662</v>
      </c>
      <c r="U843" s="85">
        <f t="shared" si="248"/>
        <v>0.93835226330999999</v>
      </c>
      <c r="V843" s="86">
        <f t="shared" si="236"/>
        <v>0</v>
      </c>
      <c r="W843" s="86">
        <f t="shared" si="237"/>
        <v>0</v>
      </c>
      <c r="X843" s="86" t="e">
        <f>((PI()*((42-2*'Gen Calcs'!$E$13)^2)/4)/144)*(A886-#REF!)*(W843+14.7)/14.7</f>
        <v>#REF!</v>
      </c>
      <c r="Y843" s="86" t="e">
        <f t="shared" si="238"/>
        <v>#REF!</v>
      </c>
      <c r="Z843" s="86" t="e">
        <f t="shared" si="239"/>
        <v>#REF!</v>
      </c>
      <c r="AA843" s="83">
        <f>MAX(B$2:B843)-B843</f>
        <v>82.401400000000081</v>
      </c>
      <c r="AB843" s="83">
        <f t="shared" si="240"/>
        <v>35.679806200000037</v>
      </c>
      <c r="AC843" s="83">
        <f t="shared" si="242"/>
        <v>120</v>
      </c>
      <c r="AD843" s="72">
        <v>120</v>
      </c>
      <c r="AE843" s="73">
        <f t="shared" si="249"/>
        <v>907.92027688745009</v>
      </c>
      <c r="AF843" s="73">
        <f>SUM(AE$2:AE843)</f>
        <v>704707.23872623057</v>
      </c>
      <c r="AG843" s="73">
        <f t="shared" si="250"/>
        <v>469022.66370087862</v>
      </c>
    </row>
    <row r="844" spans="1:33" x14ac:dyDescent="0.25">
      <c r="A844" s="100">
        <v>173699.92</v>
      </c>
      <c r="B844" s="97">
        <v>851.15660000000003</v>
      </c>
      <c r="C844" s="97">
        <v>0.6</v>
      </c>
      <c r="D844" s="80">
        <f t="shared" si="235"/>
        <v>100</v>
      </c>
      <c r="E844" s="81">
        <f t="shared" si="243"/>
        <v>6791.2436711181272</v>
      </c>
      <c r="F844" s="81">
        <f>SUM(E$2:E844)</f>
        <v>5273886.9999095239</v>
      </c>
      <c r="G844" s="43">
        <f t="shared" si="241"/>
        <v>1</v>
      </c>
      <c r="H844" s="78">
        <v>1</v>
      </c>
      <c r="I844" s="15">
        <f t="shared" si="244"/>
        <v>0.6</v>
      </c>
      <c r="J844" s="16">
        <f>VLOOKUP(G844,Inputs!$L$3:$P$15,5,FALSE)</f>
        <v>2000</v>
      </c>
      <c r="K844" s="16">
        <f t="shared" si="245"/>
        <v>1825</v>
      </c>
      <c r="L844" s="79">
        <f>Inputs!$P$8-B844</f>
        <v>87.034400000000005</v>
      </c>
      <c r="M844" s="79">
        <f>Inputs!$Q$8+L844*0.433</f>
        <v>1862.6858952</v>
      </c>
      <c r="N844" s="82">
        <f t="shared" si="246"/>
        <v>173699.92</v>
      </c>
      <c r="O844" s="83">
        <f t="shared" si="247"/>
        <v>851.15660000000003</v>
      </c>
      <c r="P844" s="84">
        <f>IF(O844="","",Inputs!$C$5-O844)</f>
        <v>-25.972100000000069</v>
      </c>
      <c r="Q844" s="83">
        <f>IF(N844="","",TS!J844)</f>
        <v>2000</v>
      </c>
      <c r="R844" s="83">
        <f>IF(N844="","",TS!K844)</f>
        <v>1825</v>
      </c>
      <c r="S844" s="83">
        <f>Inputs!$H$5+TS!P844*0.4333</f>
        <v>1863.7120055199998</v>
      </c>
      <c r="T844" s="83">
        <f>Inputs!$G$5+TS!P844*0.4333</f>
        <v>1878.7120055199998</v>
      </c>
      <c r="U844" s="85">
        <f t="shared" si="248"/>
        <v>0.93935600275999986</v>
      </c>
      <c r="V844" s="86">
        <f t="shared" si="236"/>
        <v>0</v>
      </c>
      <c r="W844" s="86">
        <f t="shared" si="237"/>
        <v>0</v>
      </c>
      <c r="X844" s="86" t="e">
        <f>((PI()*((42-2*'Gen Calcs'!$E$13)^2)/4)/144)*(A887-#REF!)*(W844+14.7)/14.7</f>
        <v>#REF!</v>
      </c>
      <c r="Y844" s="86" t="e">
        <f t="shared" si="238"/>
        <v>#REF!</v>
      </c>
      <c r="Z844" s="86" t="e">
        <f t="shared" si="239"/>
        <v>#REF!</v>
      </c>
      <c r="AA844" s="83">
        <f>MAX(B$2:B844)-B844</f>
        <v>87.034400000000005</v>
      </c>
      <c r="AB844" s="83">
        <f t="shared" si="240"/>
        <v>37.685895200000004</v>
      </c>
      <c r="AC844" s="83">
        <f t="shared" si="242"/>
        <v>120</v>
      </c>
      <c r="AD844" s="72">
        <v>120</v>
      </c>
      <c r="AE844" s="73">
        <f t="shared" si="249"/>
        <v>907.92027688745009</v>
      </c>
      <c r="AF844" s="73">
        <f>SUM(AE$2:AE844)</f>
        <v>705615.15900311805</v>
      </c>
      <c r="AG844" s="73">
        <f t="shared" si="250"/>
        <v>468114.74342399114</v>
      </c>
    </row>
    <row r="845" spans="1:33" x14ac:dyDescent="0.25">
      <c r="A845" s="99">
        <v>173799.92</v>
      </c>
      <c r="B845" s="96">
        <v>851.06259999999997</v>
      </c>
      <c r="C845" s="96">
        <v>0.6</v>
      </c>
      <c r="D845" s="80">
        <f t="shared" si="235"/>
        <v>100</v>
      </c>
      <c r="E845" s="81">
        <f t="shared" si="243"/>
        <v>6791.2436711181272</v>
      </c>
      <c r="F845" s="81">
        <f>SUM(E$2:E845)</f>
        <v>5280678.2435806422</v>
      </c>
      <c r="G845" s="43">
        <f t="shared" si="241"/>
        <v>1</v>
      </c>
      <c r="H845" s="78">
        <v>1</v>
      </c>
      <c r="I845" s="15">
        <f t="shared" si="244"/>
        <v>0.6</v>
      </c>
      <c r="J845" s="16">
        <f>VLOOKUP(G845,Inputs!$L$3:$P$15,5,FALSE)</f>
        <v>2000</v>
      </c>
      <c r="K845" s="16">
        <f t="shared" si="245"/>
        <v>1825</v>
      </c>
      <c r="L845" s="79">
        <f>Inputs!$P$8-B845</f>
        <v>87.128400000000056</v>
      </c>
      <c r="M845" s="79">
        <f>Inputs!$Q$8+L845*0.433</f>
        <v>1862.7265972</v>
      </c>
      <c r="N845" s="82">
        <f t="shared" si="246"/>
        <v>173799.92</v>
      </c>
      <c r="O845" s="83">
        <f t="shared" si="247"/>
        <v>851.06259999999997</v>
      </c>
      <c r="P845" s="84">
        <f>IF(O845="","",Inputs!$C$5-O845)</f>
        <v>-25.878100000000018</v>
      </c>
      <c r="Q845" s="83">
        <f>IF(N845="","",TS!J845)</f>
        <v>2000</v>
      </c>
      <c r="R845" s="83">
        <f>IF(N845="","",TS!K845)</f>
        <v>1825</v>
      </c>
      <c r="S845" s="83">
        <f>Inputs!$H$5+TS!P845*0.4333</f>
        <v>1863.7527357199999</v>
      </c>
      <c r="T845" s="83">
        <f>Inputs!$G$5+TS!P845*0.4333</f>
        <v>1878.7527357199999</v>
      </c>
      <c r="U845" s="85">
        <f t="shared" si="248"/>
        <v>0.93937636786000001</v>
      </c>
      <c r="V845" s="86">
        <f t="shared" si="236"/>
        <v>0</v>
      </c>
      <c r="W845" s="86">
        <f t="shared" si="237"/>
        <v>0</v>
      </c>
      <c r="X845" s="86" t="e">
        <f>((PI()*((42-2*'Gen Calcs'!$E$13)^2)/4)/144)*(A888-#REF!)*(W845+14.7)/14.7</f>
        <v>#REF!</v>
      </c>
      <c r="Y845" s="86" t="e">
        <f t="shared" si="238"/>
        <v>#REF!</v>
      </c>
      <c r="Z845" s="86" t="e">
        <f t="shared" si="239"/>
        <v>#REF!</v>
      </c>
      <c r="AA845" s="83">
        <f>MAX(B$2:B845)-B845</f>
        <v>87.128400000000056</v>
      </c>
      <c r="AB845" s="83">
        <f t="shared" si="240"/>
        <v>37.726597200000022</v>
      </c>
      <c r="AC845" s="83">
        <f t="shared" si="242"/>
        <v>120</v>
      </c>
      <c r="AD845" s="72">
        <v>120</v>
      </c>
      <c r="AE845" s="73">
        <f t="shared" si="249"/>
        <v>907.92027688745009</v>
      </c>
      <c r="AF845" s="73">
        <f>SUM(AE$2:AE845)</f>
        <v>706523.07928000554</v>
      </c>
      <c r="AG845" s="73">
        <f t="shared" si="250"/>
        <v>467206.82314710366</v>
      </c>
    </row>
    <row r="846" spans="1:33" x14ac:dyDescent="0.25">
      <c r="A846" s="100">
        <v>173899.92</v>
      </c>
      <c r="B846" s="97">
        <v>857.34559999999999</v>
      </c>
      <c r="C846" s="97">
        <v>0.6</v>
      </c>
      <c r="D846" s="80">
        <f t="shared" si="235"/>
        <v>100</v>
      </c>
      <c r="E846" s="81">
        <f t="shared" si="243"/>
        <v>6791.2436711181272</v>
      </c>
      <c r="F846" s="81">
        <f>SUM(E$2:E846)</f>
        <v>5287469.4872517604</v>
      </c>
      <c r="G846" s="43">
        <f t="shared" si="241"/>
        <v>1</v>
      </c>
      <c r="H846" s="78">
        <v>1</v>
      </c>
      <c r="I846" s="15">
        <f t="shared" si="244"/>
        <v>0.6</v>
      </c>
      <c r="J846" s="16">
        <f>VLOOKUP(G846,Inputs!$L$3:$P$15,5,FALSE)</f>
        <v>2000</v>
      </c>
      <c r="K846" s="16">
        <f t="shared" si="245"/>
        <v>1825</v>
      </c>
      <c r="L846" s="79">
        <f>Inputs!$P$8-B846</f>
        <v>80.845400000000041</v>
      </c>
      <c r="M846" s="79">
        <f>Inputs!$Q$8+L846*0.433</f>
        <v>1860.0060582000001</v>
      </c>
      <c r="N846" s="82">
        <f t="shared" si="246"/>
        <v>173899.92</v>
      </c>
      <c r="O846" s="83">
        <f t="shared" si="247"/>
        <v>857.34559999999999</v>
      </c>
      <c r="P846" s="84">
        <f>IF(O846="","",Inputs!$C$5-O846)</f>
        <v>-32.161100000000033</v>
      </c>
      <c r="Q846" s="83">
        <f>IF(N846="","",TS!J846)</f>
        <v>2000</v>
      </c>
      <c r="R846" s="83">
        <f>IF(N846="","",TS!K846)</f>
        <v>1825</v>
      </c>
      <c r="S846" s="83">
        <f>Inputs!$H$5+TS!P846*0.4333</f>
        <v>1861.03031182</v>
      </c>
      <c r="T846" s="83">
        <f>Inputs!$G$5+TS!P846*0.4333</f>
        <v>1876.03031182</v>
      </c>
      <c r="U846" s="85">
        <f t="shared" si="248"/>
        <v>0.93801515590999995</v>
      </c>
      <c r="V846" s="86">
        <f t="shared" si="236"/>
        <v>0</v>
      </c>
      <c r="W846" s="86">
        <f t="shared" si="237"/>
        <v>0</v>
      </c>
      <c r="X846" s="86" t="e">
        <f>((PI()*((42-2*'Gen Calcs'!$E$13)^2)/4)/144)*(A889-#REF!)*(W846+14.7)/14.7</f>
        <v>#REF!</v>
      </c>
      <c r="Y846" s="86" t="e">
        <f t="shared" si="238"/>
        <v>#REF!</v>
      </c>
      <c r="Z846" s="86" t="e">
        <f t="shared" si="239"/>
        <v>#REF!</v>
      </c>
      <c r="AA846" s="83">
        <f>MAX(B$2:B846)-B846</f>
        <v>80.845400000000041</v>
      </c>
      <c r="AB846" s="83">
        <f t="shared" si="240"/>
        <v>35.00605820000002</v>
      </c>
      <c r="AC846" s="83">
        <f t="shared" si="242"/>
        <v>120</v>
      </c>
      <c r="AD846" s="72">
        <v>120</v>
      </c>
      <c r="AE846" s="73">
        <f t="shared" si="249"/>
        <v>907.92027688745009</v>
      </c>
      <c r="AF846" s="73">
        <f>SUM(AE$2:AE846)</f>
        <v>707430.99955689302</v>
      </c>
      <c r="AG846" s="73">
        <f t="shared" si="250"/>
        <v>466298.90287021617</v>
      </c>
    </row>
    <row r="847" spans="1:33" x14ac:dyDescent="0.25">
      <c r="A847" s="99">
        <v>173999.92</v>
      </c>
      <c r="B847" s="96">
        <v>867.65719999999999</v>
      </c>
      <c r="C847" s="96">
        <v>0.6</v>
      </c>
      <c r="D847" s="80">
        <f t="shared" si="235"/>
        <v>100</v>
      </c>
      <c r="E847" s="81">
        <f t="shared" si="243"/>
        <v>6791.2436711181272</v>
      </c>
      <c r="F847" s="81">
        <f>SUM(E$2:E847)</f>
        <v>5294260.7309228787</v>
      </c>
      <c r="G847" s="43">
        <f t="shared" si="241"/>
        <v>1</v>
      </c>
      <c r="H847" s="78">
        <v>1</v>
      </c>
      <c r="I847" s="15">
        <f t="shared" si="244"/>
        <v>0.6</v>
      </c>
      <c r="J847" s="16">
        <f>VLOOKUP(G847,Inputs!$L$3:$P$15,5,FALSE)</f>
        <v>2000</v>
      </c>
      <c r="K847" s="16">
        <f t="shared" si="245"/>
        <v>1825</v>
      </c>
      <c r="L847" s="79">
        <f>Inputs!$P$8-B847</f>
        <v>70.533800000000042</v>
      </c>
      <c r="M847" s="79">
        <f>Inputs!$Q$8+L847*0.433</f>
        <v>1855.5411354</v>
      </c>
      <c r="N847" s="82">
        <f t="shared" si="246"/>
        <v>173999.92</v>
      </c>
      <c r="O847" s="83">
        <f t="shared" si="247"/>
        <v>867.65719999999999</v>
      </c>
      <c r="P847" s="84">
        <f>IF(O847="","",Inputs!$C$5-O847)</f>
        <v>-42.472700000000032</v>
      </c>
      <c r="Q847" s="83">
        <f>IF(N847="","",TS!J847)</f>
        <v>2000</v>
      </c>
      <c r="R847" s="83">
        <f>IF(N847="","",TS!K847)</f>
        <v>1825</v>
      </c>
      <c r="S847" s="83">
        <f>Inputs!$H$5+TS!P847*0.4333</f>
        <v>1856.5622955399999</v>
      </c>
      <c r="T847" s="83">
        <f>Inputs!$G$5+TS!P847*0.4333</f>
        <v>1871.5622955399999</v>
      </c>
      <c r="U847" s="85">
        <f t="shared" si="248"/>
        <v>0.93578114776999999</v>
      </c>
      <c r="V847" s="86">
        <f t="shared" si="236"/>
        <v>0</v>
      </c>
      <c r="W847" s="86">
        <f t="shared" si="237"/>
        <v>0</v>
      </c>
      <c r="X847" s="86" t="e">
        <f>((PI()*((42-2*'Gen Calcs'!$E$13)^2)/4)/144)*(A890-#REF!)*(W847+14.7)/14.7</f>
        <v>#REF!</v>
      </c>
      <c r="Y847" s="86" t="e">
        <f t="shared" si="238"/>
        <v>#REF!</v>
      </c>
      <c r="Z847" s="86" t="e">
        <f t="shared" si="239"/>
        <v>#REF!</v>
      </c>
      <c r="AA847" s="83">
        <f>MAX(B$2:B847)-B847</f>
        <v>70.533800000000042</v>
      </c>
      <c r="AB847" s="83">
        <f t="shared" si="240"/>
        <v>30.541135400000019</v>
      </c>
      <c r="AC847" s="83">
        <f t="shared" si="242"/>
        <v>120</v>
      </c>
      <c r="AD847" s="72">
        <v>120</v>
      </c>
      <c r="AE847" s="73">
        <f t="shared" si="249"/>
        <v>907.92027688745009</v>
      </c>
      <c r="AF847" s="73">
        <f>SUM(AE$2:AE847)</f>
        <v>708338.9198337805</v>
      </c>
      <c r="AG847" s="73">
        <f t="shared" si="250"/>
        <v>465390.98259332869</v>
      </c>
    </row>
    <row r="848" spans="1:33" x14ac:dyDescent="0.25">
      <c r="A848" s="100">
        <v>174099.92</v>
      </c>
      <c r="B848" s="97">
        <v>874.16120000000001</v>
      </c>
      <c r="C848" s="97">
        <v>0.6</v>
      </c>
      <c r="D848" s="80">
        <f t="shared" si="235"/>
        <v>100</v>
      </c>
      <c r="E848" s="81">
        <f t="shared" si="243"/>
        <v>6791.2436711181272</v>
      </c>
      <c r="F848" s="81">
        <f>SUM(E$2:E848)</f>
        <v>5301051.974593997</v>
      </c>
      <c r="G848" s="43">
        <f t="shared" si="241"/>
        <v>1</v>
      </c>
      <c r="H848" s="78">
        <v>1</v>
      </c>
      <c r="I848" s="15">
        <f t="shared" si="244"/>
        <v>0.6</v>
      </c>
      <c r="J848" s="16">
        <f>VLOOKUP(G848,Inputs!$L$3:$P$15,5,FALSE)</f>
        <v>2000</v>
      </c>
      <c r="K848" s="16">
        <f t="shared" si="245"/>
        <v>1825</v>
      </c>
      <c r="L848" s="79">
        <f>Inputs!$P$8-B848</f>
        <v>64.029800000000023</v>
      </c>
      <c r="M848" s="79">
        <f>Inputs!$Q$8+L848*0.433</f>
        <v>1852.7249033999999</v>
      </c>
      <c r="N848" s="82">
        <f t="shared" si="246"/>
        <v>174099.92</v>
      </c>
      <c r="O848" s="83">
        <f t="shared" si="247"/>
        <v>874.16120000000001</v>
      </c>
      <c r="P848" s="84">
        <f>IF(O848="","",Inputs!$C$5-O848)</f>
        <v>-48.976700000000051</v>
      </c>
      <c r="Q848" s="83">
        <f>IF(N848="","",TS!J848)</f>
        <v>2000</v>
      </c>
      <c r="R848" s="83">
        <f>IF(N848="","",TS!K848)</f>
        <v>1825</v>
      </c>
      <c r="S848" s="83">
        <f>Inputs!$H$5+TS!P848*0.4333</f>
        <v>1853.7441123399999</v>
      </c>
      <c r="T848" s="83">
        <f>Inputs!$G$5+TS!P848*0.4333</f>
        <v>1868.7441123399999</v>
      </c>
      <c r="U848" s="85">
        <f t="shared" si="248"/>
        <v>0.93437205616999996</v>
      </c>
      <c r="V848" s="86">
        <f t="shared" si="236"/>
        <v>0</v>
      </c>
      <c r="W848" s="86">
        <f t="shared" si="237"/>
        <v>0</v>
      </c>
      <c r="X848" s="86" t="e">
        <f>((PI()*((42-2*'Gen Calcs'!$E$13)^2)/4)/144)*(A891-#REF!)*(W848+14.7)/14.7</f>
        <v>#REF!</v>
      </c>
      <c r="Y848" s="86" t="e">
        <f t="shared" si="238"/>
        <v>#REF!</v>
      </c>
      <c r="Z848" s="86" t="e">
        <f t="shared" si="239"/>
        <v>#REF!</v>
      </c>
      <c r="AA848" s="83">
        <f>MAX(B$2:B848)-B848</f>
        <v>64.029800000000023</v>
      </c>
      <c r="AB848" s="83">
        <f t="shared" si="240"/>
        <v>27.724903400000009</v>
      </c>
      <c r="AC848" s="83">
        <f t="shared" si="242"/>
        <v>120</v>
      </c>
      <c r="AD848" s="72">
        <v>120</v>
      </c>
      <c r="AE848" s="73">
        <f t="shared" si="249"/>
        <v>907.92027688745009</v>
      </c>
      <c r="AF848" s="73">
        <f>SUM(AE$2:AE848)</f>
        <v>709246.84011066798</v>
      </c>
      <c r="AG848" s="73">
        <f t="shared" si="250"/>
        <v>464483.06231644121</v>
      </c>
    </row>
    <row r="849" spans="1:33" x14ac:dyDescent="0.25">
      <c r="A849" s="99">
        <v>174199.92</v>
      </c>
      <c r="B849" s="96">
        <v>872.47069999999997</v>
      </c>
      <c r="C849" s="96">
        <v>0.6</v>
      </c>
      <c r="D849" s="80">
        <f t="shared" si="235"/>
        <v>100</v>
      </c>
      <c r="E849" s="81">
        <f t="shared" si="243"/>
        <v>6791.2436711181272</v>
      </c>
      <c r="F849" s="81">
        <f>SUM(E$2:E849)</f>
        <v>5307843.2182651153</v>
      </c>
      <c r="G849" s="43">
        <f t="shared" si="241"/>
        <v>1</v>
      </c>
      <c r="H849" s="78">
        <v>1</v>
      </c>
      <c r="I849" s="15">
        <f t="shared" si="244"/>
        <v>0.6</v>
      </c>
      <c r="J849" s="16">
        <f>VLOOKUP(G849,Inputs!$L$3:$P$15,5,FALSE)</f>
        <v>2000</v>
      </c>
      <c r="K849" s="16">
        <f t="shared" si="245"/>
        <v>1825</v>
      </c>
      <c r="L849" s="79">
        <f>Inputs!$P$8-B849</f>
        <v>65.720300000000066</v>
      </c>
      <c r="M849" s="79">
        <f>Inputs!$Q$8+L849*0.433</f>
        <v>1853.4568899000001</v>
      </c>
      <c r="N849" s="82">
        <f t="shared" si="246"/>
        <v>174199.92</v>
      </c>
      <c r="O849" s="83">
        <f t="shared" si="247"/>
        <v>872.47069999999997</v>
      </c>
      <c r="P849" s="84">
        <f>IF(O849="","",Inputs!$C$5-O849)</f>
        <v>-47.286200000000008</v>
      </c>
      <c r="Q849" s="83">
        <f>IF(N849="","",TS!J849)</f>
        <v>2000</v>
      </c>
      <c r="R849" s="83">
        <f>IF(N849="","",TS!K849)</f>
        <v>1825</v>
      </c>
      <c r="S849" s="83">
        <f>Inputs!$H$5+TS!P849*0.4333</f>
        <v>1854.4766059900001</v>
      </c>
      <c r="T849" s="83">
        <f>Inputs!$G$5+TS!P849*0.4333</f>
        <v>1869.4766059900001</v>
      </c>
      <c r="U849" s="85">
        <f t="shared" si="248"/>
        <v>0.93473830299500005</v>
      </c>
      <c r="V849" s="86">
        <f t="shared" si="236"/>
        <v>0</v>
      </c>
      <c r="W849" s="86">
        <f t="shared" si="237"/>
        <v>0</v>
      </c>
      <c r="X849" s="86" t="e">
        <f>((PI()*((42-2*'Gen Calcs'!$E$13)^2)/4)/144)*(A892-#REF!)*(W849+14.7)/14.7</f>
        <v>#REF!</v>
      </c>
      <c r="Y849" s="86" t="e">
        <f t="shared" si="238"/>
        <v>#REF!</v>
      </c>
      <c r="Z849" s="86" t="e">
        <f t="shared" si="239"/>
        <v>#REF!</v>
      </c>
      <c r="AA849" s="83">
        <f>MAX(B$2:B849)-B849</f>
        <v>65.720300000000066</v>
      </c>
      <c r="AB849" s="83">
        <f t="shared" si="240"/>
        <v>28.456889900000029</v>
      </c>
      <c r="AC849" s="83">
        <f t="shared" si="242"/>
        <v>120</v>
      </c>
      <c r="AD849" s="72">
        <v>120</v>
      </c>
      <c r="AE849" s="73">
        <f t="shared" si="249"/>
        <v>907.92027688745009</v>
      </c>
      <c r="AF849" s="73">
        <f>SUM(AE$2:AE849)</f>
        <v>710154.76038755546</v>
      </c>
      <c r="AG849" s="73">
        <f t="shared" si="250"/>
        <v>463575.14203955373</v>
      </c>
    </row>
    <row r="850" spans="1:33" x14ac:dyDescent="0.25">
      <c r="A850" s="100">
        <v>174233.5</v>
      </c>
      <c r="B850" s="97">
        <v>872.47069999999997</v>
      </c>
      <c r="C850" s="97">
        <v>0.86399999999999999</v>
      </c>
      <c r="D850" s="80">
        <f t="shared" si="235"/>
        <v>33.579999999987194</v>
      </c>
      <c r="E850" s="81">
        <f t="shared" si="243"/>
        <v>2280.4996247605973</v>
      </c>
      <c r="F850" s="81">
        <f>SUM(E$2:E850)</f>
        <v>5310123.7178898761</v>
      </c>
      <c r="G850" s="43">
        <f t="shared" si="241"/>
        <v>2</v>
      </c>
      <c r="H850" s="78">
        <v>1</v>
      </c>
      <c r="I850" s="15">
        <f t="shared" si="244"/>
        <v>0.86399999999999999</v>
      </c>
      <c r="J850" s="16">
        <f>VLOOKUP(G850,Inputs!$L$3:$P$15,5,FALSE)</f>
        <v>2880</v>
      </c>
      <c r="K850" s="16">
        <f t="shared" si="245"/>
        <v>1825</v>
      </c>
      <c r="L850" s="79">
        <f>Inputs!$P$8-B850</f>
        <v>65.720300000000066</v>
      </c>
      <c r="M850" s="79">
        <f>Inputs!$Q$8+L850*0.433</f>
        <v>1853.4568899000001</v>
      </c>
      <c r="N850" s="82">
        <f t="shared" si="246"/>
        <v>174233.5</v>
      </c>
      <c r="O850" s="83">
        <f t="shared" si="247"/>
        <v>872.47069999999997</v>
      </c>
      <c r="P850" s="84">
        <f>IF(O850="","",Inputs!$C$5-O850)</f>
        <v>-47.286200000000008</v>
      </c>
      <c r="Q850" s="83">
        <f>IF(N850="","",TS!J850)</f>
        <v>2880</v>
      </c>
      <c r="R850" s="83">
        <f>IF(N850="","",TS!K850)</f>
        <v>1825</v>
      </c>
      <c r="S850" s="83">
        <f>Inputs!$H$5+TS!P850*0.4333</f>
        <v>1854.4766059900001</v>
      </c>
      <c r="T850" s="83">
        <f>Inputs!$G$5+TS!P850*0.4333</f>
        <v>1869.4766059900001</v>
      </c>
      <c r="U850" s="85">
        <f t="shared" si="248"/>
        <v>0.64912382152430559</v>
      </c>
      <c r="V850" s="86">
        <f t="shared" si="236"/>
        <v>0</v>
      </c>
      <c r="W850" s="86">
        <f t="shared" si="237"/>
        <v>0</v>
      </c>
      <c r="X850" s="86" t="e">
        <f>((PI()*((42-2*'Gen Calcs'!$E$13)^2)/4)/144)*(A893-#REF!)*(W850+14.7)/14.7</f>
        <v>#REF!</v>
      </c>
      <c r="Y850" s="86" t="e">
        <f t="shared" si="238"/>
        <v>#REF!</v>
      </c>
      <c r="Z850" s="86" t="e">
        <f t="shared" si="239"/>
        <v>#REF!</v>
      </c>
      <c r="AA850" s="83">
        <f>MAX(B$2:B850)-B850</f>
        <v>65.720300000000066</v>
      </c>
      <c r="AB850" s="83">
        <f t="shared" si="240"/>
        <v>28.456889900000029</v>
      </c>
      <c r="AC850" s="83">
        <f t="shared" si="242"/>
        <v>120</v>
      </c>
      <c r="AD850" s="72">
        <v>120</v>
      </c>
      <c r="AE850" s="73">
        <f t="shared" si="249"/>
        <v>297.03968624264093</v>
      </c>
      <c r="AF850" s="73">
        <f>SUM(AE$2:AE850)</f>
        <v>710451.80007379805</v>
      </c>
      <c r="AG850" s="73">
        <f t="shared" si="250"/>
        <v>463278.10235331114</v>
      </c>
    </row>
    <row r="851" spans="1:33" x14ac:dyDescent="0.25">
      <c r="A851" s="99">
        <v>174299.92</v>
      </c>
      <c r="B851" s="96">
        <v>870.89739999999995</v>
      </c>
      <c r="C851" s="96">
        <v>0.6</v>
      </c>
      <c r="D851" s="80">
        <f t="shared" si="235"/>
        <v>66.420000000012806</v>
      </c>
      <c r="E851" s="81">
        <f t="shared" si="243"/>
        <v>4510.7440463575294</v>
      </c>
      <c r="F851" s="81">
        <f>SUM(E$2:E851)</f>
        <v>5314634.4619362336</v>
      </c>
      <c r="G851" s="43">
        <f t="shared" si="241"/>
        <v>1</v>
      </c>
      <c r="H851" s="78">
        <v>1</v>
      </c>
      <c r="I851" s="15">
        <f t="shared" si="244"/>
        <v>0.6</v>
      </c>
      <c r="J851" s="16">
        <f>VLOOKUP(G851,Inputs!$L$3:$P$15,5,FALSE)</f>
        <v>2000</v>
      </c>
      <c r="K851" s="16">
        <f t="shared" si="245"/>
        <v>1825</v>
      </c>
      <c r="L851" s="79">
        <f>Inputs!$P$8-B851</f>
        <v>67.293600000000083</v>
      </c>
      <c r="M851" s="79">
        <f>Inputs!$Q$8+L851*0.433</f>
        <v>1854.1381288</v>
      </c>
      <c r="N851" s="82">
        <f t="shared" si="246"/>
        <v>174299.92</v>
      </c>
      <c r="O851" s="83">
        <f t="shared" si="247"/>
        <v>870.89739999999995</v>
      </c>
      <c r="P851" s="84">
        <f>IF(O851="","",Inputs!$C$5-O851)</f>
        <v>-45.712899999999991</v>
      </c>
      <c r="Q851" s="83">
        <f>IF(N851="","",TS!J851)</f>
        <v>2000</v>
      </c>
      <c r="R851" s="83">
        <f>IF(N851="","",TS!K851)</f>
        <v>1825</v>
      </c>
      <c r="S851" s="83">
        <f>Inputs!$H$5+TS!P851*0.4333</f>
        <v>1855.15831688</v>
      </c>
      <c r="T851" s="83">
        <f>Inputs!$G$5+TS!P851*0.4333</f>
        <v>1870.15831688</v>
      </c>
      <c r="U851" s="85">
        <f t="shared" si="248"/>
        <v>0.93507915844</v>
      </c>
      <c r="V851" s="86">
        <f t="shared" si="236"/>
        <v>0</v>
      </c>
      <c r="W851" s="86">
        <f t="shared" si="237"/>
        <v>0</v>
      </c>
      <c r="X851" s="86" t="e">
        <f>((PI()*((42-2*'Gen Calcs'!$E$13)^2)/4)/144)*(A894-#REF!)*(W851+14.7)/14.7</f>
        <v>#REF!</v>
      </c>
      <c r="Y851" s="86" t="e">
        <f t="shared" si="238"/>
        <v>#REF!</v>
      </c>
      <c r="Z851" s="86" t="e">
        <f t="shared" si="239"/>
        <v>#REF!</v>
      </c>
      <c r="AA851" s="83">
        <f>MAX(B$2:B851)-B851</f>
        <v>67.293600000000083</v>
      </c>
      <c r="AB851" s="83">
        <f t="shared" si="240"/>
        <v>29.138128800000036</v>
      </c>
      <c r="AC851" s="83">
        <f t="shared" si="242"/>
        <v>120</v>
      </c>
      <c r="AD851" s="72">
        <v>120</v>
      </c>
      <c r="AE851" s="73">
        <f t="shared" si="249"/>
        <v>603.04064790876055</v>
      </c>
      <c r="AF851" s="73">
        <f>SUM(AE$2:AE851)</f>
        <v>711054.84072170686</v>
      </c>
      <c r="AG851" s="73">
        <f t="shared" si="250"/>
        <v>462675.06170540233</v>
      </c>
    </row>
    <row r="852" spans="1:33" x14ac:dyDescent="0.25">
      <c r="A852" s="100">
        <v>174313.5</v>
      </c>
      <c r="B852" s="97">
        <v>870.89739999999995</v>
      </c>
      <c r="C852" s="97">
        <v>0.86399999999999999</v>
      </c>
      <c r="D852" s="80">
        <f t="shared" si="235"/>
        <v>13.579999999987194</v>
      </c>
      <c r="E852" s="81">
        <f t="shared" si="243"/>
        <v>922.25089053697195</v>
      </c>
      <c r="F852" s="81">
        <f>SUM(E$2:E852)</f>
        <v>5315556.7128267707</v>
      </c>
      <c r="G852" s="43">
        <f t="shared" si="241"/>
        <v>2</v>
      </c>
      <c r="H852" s="78">
        <v>1</v>
      </c>
      <c r="I852" s="15">
        <f t="shared" si="244"/>
        <v>0.86399999999999999</v>
      </c>
      <c r="J852" s="16">
        <f>VLOOKUP(G852,Inputs!$L$3:$P$15,5,FALSE)</f>
        <v>2880</v>
      </c>
      <c r="K852" s="16">
        <f t="shared" si="245"/>
        <v>1825</v>
      </c>
      <c r="L852" s="79">
        <f>Inputs!$P$8-B852</f>
        <v>67.293600000000083</v>
      </c>
      <c r="M852" s="79">
        <f>Inputs!$Q$8+L852*0.433</f>
        <v>1854.1381288</v>
      </c>
      <c r="N852" s="82">
        <f t="shared" si="246"/>
        <v>174313.5</v>
      </c>
      <c r="O852" s="83">
        <f t="shared" si="247"/>
        <v>870.89739999999995</v>
      </c>
      <c r="P852" s="84">
        <f>IF(O852="","",Inputs!$C$5-O852)</f>
        <v>-45.712899999999991</v>
      </c>
      <c r="Q852" s="83">
        <f>IF(N852="","",TS!J852)</f>
        <v>2880</v>
      </c>
      <c r="R852" s="83">
        <f>IF(N852="","",TS!K852)</f>
        <v>1825</v>
      </c>
      <c r="S852" s="83">
        <f>Inputs!$H$5+TS!P852*0.4333</f>
        <v>1855.15831688</v>
      </c>
      <c r="T852" s="83">
        <f>Inputs!$G$5+TS!P852*0.4333</f>
        <v>1870.15831688</v>
      </c>
      <c r="U852" s="85">
        <f t="shared" si="248"/>
        <v>0.64936052669444444</v>
      </c>
      <c r="V852" s="86">
        <f t="shared" si="236"/>
        <v>0</v>
      </c>
      <c r="W852" s="86">
        <f t="shared" si="237"/>
        <v>0</v>
      </c>
      <c r="X852" s="86" t="e">
        <f>((PI()*((42-2*'Gen Calcs'!$E$13)^2)/4)/144)*(A895-#REF!)*(W852+14.7)/14.7</f>
        <v>#REF!</v>
      </c>
      <c r="Y852" s="86" t="e">
        <f t="shared" si="238"/>
        <v>#REF!</v>
      </c>
      <c r="Z852" s="86" t="e">
        <f t="shared" si="239"/>
        <v>#REF!</v>
      </c>
      <c r="AA852" s="83">
        <f>MAX(B$2:B852)-B852</f>
        <v>67.293600000000083</v>
      </c>
      <c r="AB852" s="83">
        <f t="shared" si="240"/>
        <v>29.138128800000036</v>
      </c>
      <c r="AC852" s="83">
        <f t="shared" si="242"/>
        <v>120</v>
      </c>
      <c r="AD852" s="72">
        <v>120</v>
      </c>
      <c r="AE852" s="73">
        <f t="shared" si="249"/>
        <v>120.1250428580345</v>
      </c>
      <c r="AF852" s="73">
        <f>SUM(AE$2:AE852)</f>
        <v>711174.96576456493</v>
      </c>
      <c r="AG852" s="73">
        <f t="shared" si="250"/>
        <v>462554.93666254426</v>
      </c>
    </row>
    <row r="853" spans="1:33" x14ac:dyDescent="0.25">
      <c r="A853" s="99">
        <v>174399.92</v>
      </c>
      <c r="B853" s="96">
        <v>865.38009999999997</v>
      </c>
      <c r="C853" s="96">
        <v>0.6</v>
      </c>
      <c r="D853" s="80">
        <f t="shared" si="235"/>
        <v>86.420000000012806</v>
      </c>
      <c r="E853" s="81">
        <f t="shared" si="243"/>
        <v>5868.9927805811549</v>
      </c>
      <c r="F853" s="81">
        <f>SUM(E$2:E853)</f>
        <v>5321425.7056073518</v>
      </c>
      <c r="G853" s="43">
        <f t="shared" si="241"/>
        <v>1</v>
      </c>
      <c r="H853" s="78">
        <v>1</v>
      </c>
      <c r="I853" s="15">
        <f t="shared" si="244"/>
        <v>0.6</v>
      </c>
      <c r="J853" s="16">
        <f>VLOOKUP(G853,Inputs!$L$3:$P$15,5,FALSE)</f>
        <v>2000</v>
      </c>
      <c r="K853" s="16">
        <f t="shared" si="245"/>
        <v>1825</v>
      </c>
      <c r="L853" s="79">
        <f>Inputs!$P$8-B853</f>
        <v>72.810900000000061</v>
      </c>
      <c r="M853" s="79">
        <f>Inputs!$Q$8+L853*0.433</f>
        <v>1856.5271197</v>
      </c>
      <c r="N853" s="82">
        <f t="shared" si="246"/>
        <v>174399.92</v>
      </c>
      <c r="O853" s="83">
        <f t="shared" si="247"/>
        <v>865.38009999999997</v>
      </c>
      <c r="P853" s="84">
        <f>IF(O853="","",Inputs!$C$5-O853)</f>
        <v>-40.195600000000013</v>
      </c>
      <c r="Q853" s="83">
        <f>IF(N853="","",TS!J853)</f>
        <v>2000</v>
      </c>
      <c r="R853" s="83">
        <f>IF(N853="","",TS!K853)</f>
        <v>1825</v>
      </c>
      <c r="S853" s="83">
        <f>Inputs!$H$5+TS!P853*0.4333</f>
        <v>1857.54896297</v>
      </c>
      <c r="T853" s="83">
        <f>Inputs!$G$5+TS!P853*0.4333</f>
        <v>1872.54896297</v>
      </c>
      <c r="U853" s="85">
        <f t="shared" si="248"/>
        <v>0.93627448148500003</v>
      </c>
      <c r="V853" s="86">
        <f t="shared" si="236"/>
        <v>0</v>
      </c>
      <c r="W853" s="86">
        <f t="shared" si="237"/>
        <v>0</v>
      </c>
      <c r="X853" s="86" t="e">
        <f>((PI()*((42-2*'Gen Calcs'!$E$13)^2)/4)/144)*(A896-#REF!)*(W853+14.7)/14.7</f>
        <v>#REF!</v>
      </c>
      <c r="Y853" s="86" t="e">
        <f t="shared" si="238"/>
        <v>#REF!</v>
      </c>
      <c r="Z853" s="86" t="e">
        <f t="shared" si="239"/>
        <v>#REF!</v>
      </c>
      <c r="AA853" s="83">
        <f>MAX(B$2:B853)-B853</f>
        <v>72.810900000000061</v>
      </c>
      <c r="AB853" s="83">
        <f t="shared" si="240"/>
        <v>31.527119700000025</v>
      </c>
      <c r="AC853" s="83">
        <f t="shared" si="242"/>
        <v>120</v>
      </c>
      <c r="AD853" s="72">
        <v>120</v>
      </c>
      <c r="AE853" s="73">
        <f t="shared" si="249"/>
        <v>784.62470328625056</v>
      </c>
      <c r="AF853" s="73">
        <f>SUM(AE$2:AE853)</f>
        <v>711959.59046785114</v>
      </c>
      <c r="AG853" s="73">
        <f t="shared" si="250"/>
        <v>461770.31195925805</v>
      </c>
    </row>
    <row r="854" spans="1:33" x14ac:dyDescent="0.25">
      <c r="A854" s="100">
        <v>174499.92</v>
      </c>
      <c r="B854" s="97">
        <v>859.09360000000004</v>
      </c>
      <c r="C854" s="97">
        <v>0.6</v>
      </c>
      <c r="D854" s="80">
        <f t="shared" si="235"/>
        <v>100</v>
      </c>
      <c r="E854" s="81">
        <f t="shared" si="243"/>
        <v>6791.2436711181272</v>
      </c>
      <c r="F854" s="81">
        <f>SUM(E$2:E854)</f>
        <v>5328216.9492784701</v>
      </c>
      <c r="G854" s="43">
        <f t="shared" si="241"/>
        <v>1</v>
      </c>
      <c r="H854" s="78">
        <v>1</v>
      </c>
      <c r="I854" s="15">
        <f t="shared" si="244"/>
        <v>0.6</v>
      </c>
      <c r="J854" s="16">
        <f>VLOOKUP(G854,Inputs!$L$3:$P$15,5,FALSE)</f>
        <v>2000</v>
      </c>
      <c r="K854" s="16">
        <f t="shared" si="245"/>
        <v>1825</v>
      </c>
      <c r="L854" s="79">
        <f>Inputs!$P$8-B854</f>
        <v>79.097399999999993</v>
      </c>
      <c r="M854" s="79">
        <f>Inputs!$Q$8+L854*0.433</f>
        <v>1859.2491742</v>
      </c>
      <c r="N854" s="82">
        <f t="shared" si="246"/>
        <v>174499.92</v>
      </c>
      <c r="O854" s="83">
        <f t="shared" si="247"/>
        <v>859.09360000000004</v>
      </c>
      <c r="P854" s="84">
        <f>IF(O854="","",Inputs!$C$5-O854)</f>
        <v>-33.90910000000008</v>
      </c>
      <c r="Q854" s="83">
        <f>IF(N854="","",TS!J854)</f>
        <v>2000</v>
      </c>
      <c r="R854" s="83">
        <f>IF(N854="","",TS!K854)</f>
        <v>1825</v>
      </c>
      <c r="S854" s="83">
        <f>Inputs!$H$5+TS!P854*0.4333</f>
        <v>1860.2729034199999</v>
      </c>
      <c r="T854" s="83">
        <f>Inputs!$G$5+TS!P854*0.4333</f>
        <v>1875.2729034199999</v>
      </c>
      <c r="U854" s="85">
        <f t="shared" si="248"/>
        <v>0.93763645170999999</v>
      </c>
      <c r="V854" s="86">
        <f t="shared" si="236"/>
        <v>0</v>
      </c>
      <c r="W854" s="86">
        <f t="shared" si="237"/>
        <v>0</v>
      </c>
      <c r="X854" s="86" t="e">
        <f>((PI()*((42-2*'Gen Calcs'!$E$13)^2)/4)/144)*(A897-#REF!)*(W854+14.7)/14.7</f>
        <v>#REF!</v>
      </c>
      <c r="Y854" s="86" t="e">
        <f t="shared" si="238"/>
        <v>#REF!</v>
      </c>
      <c r="Z854" s="86" t="e">
        <f t="shared" si="239"/>
        <v>#REF!</v>
      </c>
      <c r="AA854" s="83">
        <f>MAX(B$2:B854)-B854</f>
        <v>79.097399999999993</v>
      </c>
      <c r="AB854" s="83">
        <f t="shared" si="240"/>
        <v>34.249174199999999</v>
      </c>
      <c r="AC854" s="83">
        <f t="shared" si="242"/>
        <v>120</v>
      </c>
      <c r="AD854" s="72">
        <v>120</v>
      </c>
      <c r="AE854" s="73">
        <f t="shared" si="249"/>
        <v>907.92027688745009</v>
      </c>
      <c r="AF854" s="73">
        <f>SUM(AE$2:AE854)</f>
        <v>712867.51074473863</v>
      </c>
      <c r="AG854" s="73">
        <f t="shared" si="250"/>
        <v>460862.39168237057</v>
      </c>
    </row>
    <row r="855" spans="1:33" x14ac:dyDescent="0.25">
      <c r="A855" s="99">
        <v>174599.92</v>
      </c>
      <c r="B855" s="96">
        <v>850.41959999999995</v>
      </c>
      <c r="C855" s="96">
        <v>0.6</v>
      </c>
      <c r="D855" s="80">
        <f t="shared" si="235"/>
        <v>100</v>
      </c>
      <c r="E855" s="81">
        <f t="shared" si="243"/>
        <v>6791.2436711181272</v>
      </c>
      <c r="F855" s="81">
        <f>SUM(E$2:E855)</f>
        <v>5335008.1929495884</v>
      </c>
      <c r="G855" s="43">
        <f t="shared" si="241"/>
        <v>1</v>
      </c>
      <c r="H855" s="78">
        <v>1</v>
      </c>
      <c r="I855" s="15">
        <f t="shared" si="244"/>
        <v>0.6</v>
      </c>
      <c r="J855" s="16">
        <f>VLOOKUP(G855,Inputs!$L$3:$P$15,5,FALSE)</f>
        <v>2000</v>
      </c>
      <c r="K855" s="16">
        <f t="shared" si="245"/>
        <v>1825</v>
      </c>
      <c r="L855" s="79">
        <f>Inputs!$P$8-B855</f>
        <v>87.771400000000085</v>
      </c>
      <c r="M855" s="79">
        <f>Inputs!$Q$8+L855*0.433</f>
        <v>1863.0050162</v>
      </c>
      <c r="N855" s="82">
        <f t="shared" si="246"/>
        <v>174599.92</v>
      </c>
      <c r="O855" s="83">
        <f t="shared" si="247"/>
        <v>850.41959999999995</v>
      </c>
      <c r="P855" s="84">
        <f>IF(O855="","",Inputs!$C$5-O855)</f>
        <v>-25.235099999999989</v>
      </c>
      <c r="Q855" s="83">
        <f>IF(N855="","",TS!J855)</f>
        <v>2000</v>
      </c>
      <c r="R855" s="83">
        <f>IF(N855="","",TS!K855)</f>
        <v>1825</v>
      </c>
      <c r="S855" s="83">
        <f>Inputs!$H$5+TS!P855*0.4333</f>
        <v>1864.0313476199999</v>
      </c>
      <c r="T855" s="83">
        <f>Inputs!$G$5+TS!P855*0.4333</f>
        <v>1879.0313476199999</v>
      </c>
      <c r="U855" s="85">
        <f t="shared" si="248"/>
        <v>0.93951567381000001</v>
      </c>
      <c r="V855" s="86">
        <f t="shared" si="236"/>
        <v>0</v>
      </c>
      <c r="W855" s="86">
        <f t="shared" si="237"/>
        <v>0</v>
      </c>
      <c r="X855" s="86" t="e">
        <f>((PI()*((42-2*'Gen Calcs'!$E$13)^2)/4)/144)*(A898-#REF!)*(W855+14.7)/14.7</f>
        <v>#REF!</v>
      </c>
      <c r="Y855" s="86" t="e">
        <f t="shared" si="238"/>
        <v>#REF!</v>
      </c>
      <c r="Z855" s="86" t="e">
        <f t="shared" si="239"/>
        <v>#REF!</v>
      </c>
      <c r="AA855" s="83">
        <f>MAX(B$2:B855)-B855</f>
        <v>87.771400000000085</v>
      </c>
      <c r="AB855" s="83">
        <f t="shared" si="240"/>
        <v>38.005016200000036</v>
      </c>
      <c r="AC855" s="83">
        <f t="shared" si="242"/>
        <v>120</v>
      </c>
      <c r="AD855" s="72">
        <v>120</v>
      </c>
      <c r="AE855" s="73">
        <f t="shared" si="249"/>
        <v>907.92027688745009</v>
      </c>
      <c r="AF855" s="73">
        <f>SUM(AE$2:AE855)</f>
        <v>713775.43102162611</v>
      </c>
      <c r="AG855" s="73">
        <f t="shared" si="250"/>
        <v>459954.47140548308</v>
      </c>
    </row>
    <row r="856" spans="1:33" x14ac:dyDescent="0.25">
      <c r="A856" s="100">
        <v>174699.92</v>
      </c>
      <c r="B856" s="97">
        <v>847.34450000000004</v>
      </c>
      <c r="C856" s="97">
        <v>0.6</v>
      </c>
      <c r="D856" s="80">
        <f t="shared" si="235"/>
        <v>100</v>
      </c>
      <c r="E856" s="81">
        <f t="shared" si="243"/>
        <v>6791.2436711181272</v>
      </c>
      <c r="F856" s="81">
        <f>SUM(E$2:E856)</f>
        <v>5341799.4366207067</v>
      </c>
      <c r="G856" s="43">
        <f t="shared" si="241"/>
        <v>1</v>
      </c>
      <c r="H856" s="78">
        <v>1</v>
      </c>
      <c r="I856" s="15">
        <f t="shared" si="244"/>
        <v>0.6</v>
      </c>
      <c r="J856" s="16">
        <f>VLOOKUP(G856,Inputs!$L$3:$P$15,5,FALSE)</f>
        <v>2000</v>
      </c>
      <c r="K856" s="16">
        <f t="shared" si="245"/>
        <v>1825</v>
      </c>
      <c r="L856" s="79">
        <f>Inputs!$P$8-B856</f>
        <v>90.846499999999992</v>
      </c>
      <c r="M856" s="79">
        <f>Inputs!$Q$8+L856*0.433</f>
        <v>1864.3365345</v>
      </c>
      <c r="N856" s="82">
        <f t="shared" si="246"/>
        <v>174699.92</v>
      </c>
      <c r="O856" s="83">
        <f t="shared" si="247"/>
        <v>847.34450000000004</v>
      </c>
      <c r="P856" s="84">
        <f>IF(O856="","",Inputs!$C$5-O856)</f>
        <v>-22.160000000000082</v>
      </c>
      <c r="Q856" s="83">
        <f>IF(N856="","",TS!J856)</f>
        <v>2000</v>
      </c>
      <c r="R856" s="83">
        <f>IF(N856="","",TS!K856)</f>
        <v>1825</v>
      </c>
      <c r="S856" s="83">
        <f>Inputs!$H$5+TS!P856*0.4333</f>
        <v>1865.3637884499999</v>
      </c>
      <c r="T856" s="83">
        <f>Inputs!$G$5+TS!P856*0.4333</f>
        <v>1880.3637884499999</v>
      </c>
      <c r="U856" s="85">
        <f t="shared" si="248"/>
        <v>0.94018189422499998</v>
      </c>
      <c r="V856" s="86">
        <f t="shared" si="236"/>
        <v>0</v>
      </c>
      <c r="W856" s="86">
        <f t="shared" si="237"/>
        <v>0</v>
      </c>
      <c r="X856" s="86" t="e">
        <f>((PI()*((42-2*'Gen Calcs'!$E$13)^2)/4)/144)*(A899-#REF!)*(W856+14.7)/14.7</f>
        <v>#REF!</v>
      </c>
      <c r="Y856" s="86" t="e">
        <f t="shared" si="238"/>
        <v>#REF!</v>
      </c>
      <c r="Z856" s="86" t="e">
        <f t="shared" si="239"/>
        <v>#REF!</v>
      </c>
      <c r="AA856" s="83">
        <f>MAX(B$2:B856)-B856</f>
        <v>90.846499999999992</v>
      </c>
      <c r="AB856" s="83">
        <f t="shared" si="240"/>
        <v>39.336534499999999</v>
      </c>
      <c r="AC856" s="83">
        <f t="shared" si="242"/>
        <v>120</v>
      </c>
      <c r="AD856" s="72">
        <v>120</v>
      </c>
      <c r="AE856" s="73">
        <f t="shared" si="249"/>
        <v>907.92027688745009</v>
      </c>
      <c r="AF856" s="73">
        <f>SUM(AE$2:AE856)</f>
        <v>714683.35129851359</v>
      </c>
      <c r="AG856" s="73">
        <f t="shared" si="250"/>
        <v>459046.5511285956</v>
      </c>
    </row>
    <row r="857" spans="1:33" x14ac:dyDescent="0.25">
      <c r="A857" s="99">
        <v>174799.92</v>
      </c>
      <c r="B857" s="96">
        <v>843.50340000000006</v>
      </c>
      <c r="C857" s="96">
        <v>0.6</v>
      </c>
      <c r="D857" s="80">
        <f t="shared" si="235"/>
        <v>100</v>
      </c>
      <c r="E857" s="81">
        <f t="shared" si="243"/>
        <v>6791.2436711181272</v>
      </c>
      <c r="F857" s="81">
        <f>SUM(E$2:E857)</f>
        <v>5348590.680291825</v>
      </c>
      <c r="G857" s="43">
        <f t="shared" si="241"/>
        <v>1</v>
      </c>
      <c r="H857" s="78">
        <v>1</v>
      </c>
      <c r="I857" s="15">
        <f t="shared" si="244"/>
        <v>0.6</v>
      </c>
      <c r="J857" s="16">
        <f>VLOOKUP(G857,Inputs!$L$3:$P$15,5,FALSE)</f>
        <v>2000</v>
      </c>
      <c r="K857" s="16">
        <f t="shared" si="245"/>
        <v>1825</v>
      </c>
      <c r="L857" s="79">
        <f>Inputs!$P$8-B857</f>
        <v>94.687599999999975</v>
      </c>
      <c r="M857" s="79">
        <f>Inputs!$Q$8+L857*0.433</f>
        <v>1865.9997308</v>
      </c>
      <c r="N857" s="82">
        <f t="shared" si="246"/>
        <v>174799.92</v>
      </c>
      <c r="O857" s="83">
        <f t="shared" si="247"/>
        <v>843.50340000000006</v>
      </c>
      <c r="P857" s="84">
        <f>IF(O857="","",Inputs!$C$5-O857)</f>
        <v>-18.318900000000099</v>
      </c>
      <c r="Q857" s="83">
        <f>IF(N857="","",TS!J857)</f>
        <v>2000</v>
      </c>
      <c r="R857" s="83">
        <f>IF(N857="","",TS!K857)</f>
        <v>1825</v>
      </c>
      <c r="S857" s="83">
        <f>Inputs!$H$5+TS!P857*0.4333</f>
        <v>1867.0281370799999</v>
      </c>
      <c r="T857" s="83">
        <f>Inputs!$G$5+TS!P857*0.4333</f>
        <v>1882.0281370799999</v>
      </c>
      <c r="U857" s="85">
        <f t="shared" si="248"/>
        <v>0.94101406853999991</v>
      </c>
      <c r="V857" s="86">
        <f t="shared" si="236"/>
        <v>0</v>
      </c>
      <c r="W857" s="86">
        <f t="shared" si="237"/>
        <v>0</v>
      </c>
      <c r="X857" s="86" t="e">
        <f>((PI()*((42-2*'Gen Calcs'!$E$13)^2)/4)/144)*(A900-#REF!)*(W857+14.7)/14.7</f>
        <v>#REF!</v>
      </c>
      <c r="Y857" s="86" t="e">
        <f t="shared" si="238"/>
        <v>#REF!</v>
      </c>
      <c r="Z857" s="86" t="e">
        <f t="shared" si="239"/>
        <v>#REF!</v>
      </c>
      <c r="AA857" s="83">
        <f>MAX(B$2:B857)-B857</f>
        <v>94.687599999999975</v>
      </c>
      <c r="AB857" s="83">
        <f t="shared" si="240"/>
        <v>40.999730799999988</v>
      </c>
      <c r="AC857" s="83">
        <f t="shared" si="242"/>
        <v>120</v>
      </c>
      <c r="AD857" s="72">
        <v>120</v>
      </c>
      <c r="AE857" s="73">
        <f t="shared" si="249"/>
        <v>907.92027688745009</v>
      </c>
      <c r="AF857" s="73">
        <f>SUM(AE$2:AE857)</f>
        <v>715591.27157540107</v>
      </c>
      <c r="AG857" s="73">
        <f t="shared" si="250"/>
        <v>458138.63085170812</v>
      </c>
    </row>
    <row r="858" spans="1:33" x14ac:dyDescent="0.25">
      <c r="A858" s="100">
        <v>174899.92</v>
      </c>
      <c r="B858" s="97">
        <v>858.51369999999997</v>
      </c>
      <c r="C858" s="97">
        <v>0.6</v>
      </c>
      <c r="D858" s="80">
        <f t="shared" si="235"/>
        <v>100</v>
      </c>
      <c r="E858" s="81">
        <f t="shared" si="243"/>
        <v>6616.6076625842816</v>
      </c>
      <c r="F858" s="81">
        <f>SUM(E$2:E858)</f>
        <v>5355207.2879544096</v>
      </c>
      <c r="G858" s="43">
        <f t="shared" si="241"/>
        <v>1</v>
      </c>
      <c r="H858" s="78">
        <v>1</v>
      </c>
      <c r="I858" s="15">
        <f t="shared" si="244"/>
        <v>0.6</v>
      </c>
      <c r="J858" s="16">
        <f>VLOOKUP(G858,Inputs!$L$3:$P$15,5,FALSE)</f>
        <v>2000</v>
      </c>
      <c r="K858" s="16">
        <f t="shared" si="245"/>
        <v>1825</v>
      </c>
      <c r="L858" s="79">
        <f>Inputs!$P$8-B858</f>
        <v>79.677300000000059</v>
      </c>
      <c r="M858" s="79">
        <f>Inputs!$Q$8+L858*0.433</f>
        <v>1859.5002709</v>
      </c>
      <c r="N858" s="82">
        <f t="shared" si="246"/>
        <v>174899.92</v>
      </c>
      <c r="O858" s="83">
        <f t="shared" si="247"/>
        <v>858.51369999999997</v>
      </c>
      <c r="P858" s="84">
        <f>IF(O858="","",Inputs!$C$5-O858)</f>
        <v>-33.329200000000014</v>
      </c>
      <c r="Q858" s="83">
        <f>IF(N858="","",TS!J858)</f>
        <v>2000</v>
      </c>
      <c r="R858" s="83">
        <f>IF(N858="","",TS!K858)</f>
        <v>1825</v>
      </c>
      <c r="S858" s="83">
        <f>Inputs!$H$5+TS!P858*0.4333</f>
        <v>1860.5241740899999</v>
      </c>
      <c r="T858" s="83">
        <f>Inputs!$G$5+TS!P858*0.4333</f>
        <v>1875.5241740899999</v>
      </c>
      <c r="U858" s="85">
        <f t="shared" si="248"/>
        <v>0.93776208704499997</v>
      </c>
      <c r="V858" s="86">
        <f t="shared" si="236"/>
        <v>0</v>
      </c>
      <c r="W858" s="86">
        <f t="shared" si="237"/>
        <v>0</v>
      </c>
      <c r="X858" s="86" t="e">
        <f>((PI()*((42-2*'Gen Calcs'!$E$13)^2)/4)/144)*(A901-#REF!)*(W858+14.7)/14.7</f>
        <v>#REF!</v>
      </c>
      <c r="Y858" s="86" t="e">
        <f t="shared" si="238"/>
        <v>#REF!</v>
      </c>
      <c r="Z858" s="86" t="e">
        <f t="shared" si="239"/>
        <v>#REF!</v>
      </c>
      <c r="AA858" s="83">
        <f>MAX(B$2:B858)-B858</f>
        <v>79.677300000000059</v>
      </c>
      <c r="AB858" s="83">
        <f t="shared" si="240"/>
        <v>34.500270900000025</v>
      </c>
      <c r="AC858" s="83">
        <f t="shared" si="242"/>
        <v>120</v>
      </c>
      <c r="AD858" s="72">
        <v>120</v>
      </c>
      <c r="AE858" s="73">
        <f t="shared" si="249"/>
        <v>907.92027688745009</v>
      </c>
      <c r="AF858" s="73">
        <f>SUM(AE$2:AE858)</f>
        <v>716499.19185228855</v>
      </c>
      <c r="AG858" s="73">
        <f t="shared" si="250"/>
        <v>457230.71057482064</v>
      </c>
    </row>
    <row r="859" spans="1:33" x14ac:dyDescent="0.25">
      <c r="A859" s="99">
        <v>174999.92</v>
      </c>
      <c r="B859" s="96">
        <v>865.57349999999997</v>
      </c>
      <c r="C859" s="96">
        <v>0.6</v>
      </c>
      <c r="D859" s="80">
        <f t="shared" si="235"/>
        <v>100</v>
      </c>
      <c r="E859" s="81">
        <f t="shared" si="243"/>
        <v>6791.2436711181272</v>
      </c>
      <c r="F859" s="81">
        <f>SUM(E$2:E859)</f>
        <v>5361998.5316255279</v>
      </c>
      <c r="G859" s="43">
        <f t="shared" si="241"/>
        <v>1</v>
      </c>
      <c r="H859" s="78">
        <v>1</v>
      </c>
      <c r="I859" s="15">
        <f t="shared" si="244"/>
        <v>0.6</v>
      </c>
      <c r="J859" s="16">
        <f>VLOOKUP(G859,Inputs!$L$3:$P$15,5,FALSE)</f>
        <v>2000</v>
      </c>
      <c r="K859" s="16">
        <f t="shared" si="245"/>
        <v>1825</v>
      </c>
      <c r="L859" s="79">
        <f>Inputs!$P$8-B859</f>
        <v>72.617500000000064</v>
      </c>
      <c r="M859" s="79">
        <f>Inputs!$Q$8+L859*0.433</f>
        <v>1856.4433775</v>
      </c>
      <c r="N859" s="82">
        <f t="shared" si="246"/>
        <v>174999.92</v>
      </c>
      <c r="O859" s="83">
        <f t="shared" si="247"/>
        <v>865.57349999999997</v>
      </c>
      <c r="P859" s="84">
        <f>IF(O859="","",Inputs!$C$5-O859)</f>
        <v>-40.38900000000001</v>
      </c>
      <c r="Q859" s="83">
        <f>IF(N859="","",TS!J859)</f>
        <v>2000</v>
      </c>
      <c r="R859" s="83">
        <f>IF(N859="","",TS!K859)</f>
        <v>1825</v>
      </c>
      <c r="S859" s="83">
        <f>Inputs!$H$5+TS!P859*0.4333</f>
        <v>1857.46516275</v>
      </c>
      <c r="T859" s="83">
        <f>Inputs!$G$5+TS!P859*0.4333</f>
        <v>1872.46516275</v>
      </c>
      <c r="U859" s="85">
        <f t="shared" si="248"/>
        <v>0.93623258137499998</v>
      </c>
      <c r="V859" s="86">
        <f t="shared" si="236"/>
        <v>0</v>
      </c>
      <c r="W859" s="86">
        <f t="shared" si="237"/>
        <v>0</v>
      </c>
      <c r="X859" s="86" t="e">
        <f>((PI()*((42-2*'Gen Calcs'!$E$13)^2)/4)/144)*(A902-#REF!)*(W859+14.7)/14.7</f>
        <v>#REF!</v>
      </c>
      <c r="Y859" s="86" t="e">
        <f t="shared" si="238"/>
        <v>#REF!</v>
      </c>
      <c r="Z859" s="86" t="e">
        <f t="shared" si="239"/>
        <v>#REF!</v>
      </c>
      <c r="AA859" s="83">
        <f>MAX(B$2:B859)-B859</f>
        <v>72.617500000000064</v>
      </c>
      <c r="AB859" s="83">
        <f t="shared" si="240"/>
        <v>31.443377500000029</v>
      </c>
      <c r="AC859" s="83">
        <f t="shared" si="242"/>
        <v>120</v>
      </c>
      <c r="AD859" s="72">
        <v>120</v>
      </c>
      <c r="AE859" s="73">
        <f t="shared" si="249"/>
        <v>907.92027688745009</v>
      </c>
      <c r="AF859" s="73">
        <f>SUM(AE$2:AE859)</f>
        <v>717407.11212917604</v>
      </c>
      <c r="AG859" s="73">
        <f t="shared" si="250"/>
        <v>456322.79029793316</v>
      </c>
    </row>
    <row r="860" spans="1:33" x14ac:dyDescent="0.25">
      <c r="A860" s="100">
        <v>175099.92</v>
      </c>
      <c r="B860" s="97">
        <v>870.23099999999999</v>
      </c>
      <c r="C860" s="97">
        <v>0.6</v>
      </c>
      <c r="D860" s="80">
        <f t="shared" si="235"/>
        <v>100</v>
      </c>
      <c r="E860" s="81">
        <f t="shared" si="243"/>
        <v>6791.2436711181272</v>
      </c>
      <c r="F860" s="81">
        <f>SUM(E$2:E860)</f>
        <v>5368789.7752966462</v>
      </c>
      <c r="G860" s="43">
        <f t="shared" si="241"/>
        <v>1</v>
      </c>
      <c r="H860" s="78">
        <v>1</v>
      </c>
      <c r="I860" s="15">
        <f t="shared" si="244"/>
        <v>0.6</v>
      </c>
      <c r="J860" s="16">
        <f>VLOOKUP(G860,Inputs!$L$3:$P$15,5,FALSE)</f>
        <v>2000</v>
      </c>
      <c r="K860" s="16">
        <f t="shared" si="245"/>
        <v>1825</v>
      </c>
      <c r="L860" s="79">
        <f>Inputs!$P$8-B860</f>
        <v>67.960000000000036</v>
      </c>
      <c r="M860" s="79">
        <f>Inputs!$Q$8+L860*0.433</f>
        <v>1854.42668</v>
      </c>
      <c r="N860" s="82">
        <f t="shared" si="246"/>
        <v>175099.92</v>
      </c>
      <c r="O860" s="83">
        <f t="shared" si="247"/>
        <v>870.23099999999999</v>
      </c>
      <c r="P860" s="84">
        <f>IF(O860="","",Inputs!$C$5-O860)</f>
        <v>-45.046500000000037</v>
      </c>
      <c r="Q860" s="83">
        <f>IF(N860="","",TS!J860)</f>
        <v>2000</v>
      </c>
      <c r="R860" s="83">
        <f>IF(N860="","",TS!K860)</f>
        <v>1825</v>
      </c>
      <c r="S860" s="83">
        <f>Inputs!$H$5+TS!P860*0.4333</f>
        <v>1855.4470679999999</v>
      </c>
      <c r="T860" s="83">
        <f>Inputs!$G$5+TS!P860*0.4333</f>
        <v>1870.4470679999999</v>
      </c>
      <c r="U860" s="85">
        <f t="shared" si="248"/>
        <v>0.93522353400000002</v>
      </c>
      <c r="V860" s="86">
        <f t="shared" si="236"/>
        <v>0</v>
      </c>
      <c r="W860" s="86">
        <f t="shared" si="237"/>
        <v>0</v>
      </c>
      <c r="X860" s="86" t="e">
        <f>((PI()*((42-2*'Gen Calcs'!$E$13)^2)/4)/144)*(A903-#REF!)*(W860+14.7)/14.7</f>
        <v>#REF!</v>
      </c>
      <c r="Y860" s="86" t="e">
        <f t="shared" si="238"/>
        <v>#REF!</v>
      </c>
      <c r="Z860" s="86" t="e">
        <f t="shared" si="239"/>
        <v>#REF!</v>
      </c>
      <c r="AA860" s="83">
        <f>MAX(B$2:B860)-B860</f>
        <v>67.960000000000036</v>
      </c>
      <c r="AB860" s="83">
        <f t="shared" si="240"/>
        <v>29.426680000000015</v>
      </c>
      <c r="AC860" s="83">
        <f t="shared" si="242"/>
        <v>120</v>
      </c>
      <c r="AD860" s="72">
        <v>120</v>
      </c>
      <c r="AE860" s="73">
        <f t="shared" si="249"/>
        <v>907.92027688745009</v>
      </c>
      <c r="AF860" s="73">
        <f>SUM(AE$2:AE860)</f>
        <v>718315.03240606352</v>
      </c>
      <c r="AG860" s="73">
        <f t="shared" si="250"/>
        <v>455414.87002104567</v>
      </c>
    </row>
    <row r="861" spans="1:33" x14ac:dyDescent="0.25">
      <c r="A861" s="99">
        <v>175199.92</v>
      </c>
      <c r="B861" s="96">
        <v>873.09900000000005</v>
      </c>
      <c r="C861" s="96">
        <v>0.6</v>
      </c>
      <c r="D861" s="80">
        <f t="shared" si="235"/>
        <v>100</v>
      </c>
      <c r="E861" s="81">
        <f t="shared" si="243"/>
        <v>6791.2436711181272</v>
      </c>
      <c r="F861" s="81">
        <f>SUM(E$2:E861)</f>
        <v>5375581.0189677645</v>
      </c>
      <c r="G861" s="43">
        <f t="shared" si="241"/>
        <v>1</v>
      </c>
      <c r="H861" s="78">
        <v>1</v>
      </c>
      <c r="I861" s="15">
        <f t="shared" si="244"/>
        <v>0.6</v>
      </c>
      <c r="J861" s="16">
        <f>VLOOKUP(G861,Inputs!$L$3:$P$15,5,FALSE)</f>
        <v>2000</v>
      </c>
      <c r="K861" s="16">
        <f t="shared" si="245"/>
        <v>1825</v>
      </c>
      <c r="L861" s="79">
        <f>Inputs!$P$8-B861</f>
        <v>65.091999999999985</v>
      </c>
      <c r="M861" s="79">
        <f>Inputs!$Q$8+L861*0.433</f>
        <v>1853.1848359999999</v>
      </c>
      <c r="N861" s="82">
        <f t="shared" si="246"/>
        <v>175199.92</v>
      </c>
      <c r="O861" s="83">
        <f t="shared" si="247"/>
        <v>873.09900000000005</v>
      </c>
      <c r="P861" s="84">
        <f>IF(O861="","",Inputs!$C$5-O861)</f>
        <v>-47.914500000000089</v>
      </c>
      <c r="Q861" s="83">
        <f>IF(N861="","",TS!J861)</f>
        <v>2000</v>
      </c>
      <c r="R861" s="83">
        <f>IF(N861="","",TS!K861)</f>
        <v>1825</v>
      </c>
      <c r="S861" s="83">
        <f>Inputs!$H$5+TS!P861*0.4333</f>
        <v>1854.2043635999999</v>
      </c>
      <c r="T861" s="83">
        <f>Inputs!$G$5+TS!P861*0.4333</f>
        <v>1869.2043635999999</v>
      </c>
      <c r="U861" s="85">
        <f t="shared" si="248"/>
        <v>0.93460218179999988</v>
      </c>
      <c r="V861" s="86">
        <f t="shared" si="236"/>
        <v>0</v>
      </c>
      <c r="W861" s="86">
        <f t="shared" si="237"/>
        <v>0</v>
      </c>
      <c r="X861" s="86" t="e">
        <f>((PI()*((42-2*'Gen Calcs'!$E$13)^2)/4)/144)*(A904-#REF!)*(W861+14.7)/14.7</f>
        <v>#REF!</v>
      </c>
      <c r="Y861" s="86" t="e">
        <f t="shared" si="238"/>
        <v>#REF!</v>
      </c>
      <c r="Z861" s="86" t="e">
        <f t="shared" si="239"/>
        <v>#REF!</v>
      </c>
      <c r="AA861" s="83">
        <f>MAX(B$2:B861)-B861</f>
        <v>65.091999999999985</v>
      </c>
      <c r="AB861" s="83">
        <f t="shared" si="240"/>
        <v>28.184835999999994</v>
      </c>
      <c r="AC861" s="83">
        <f t="shared" si="242"/>
        <v>120</v>
      </c>
      <c r="AD861" s="72">
        <v>120</v>
      </c>
      <c r="AE861" s="73">
        <f t="shared" si="249"/>
        <v>907.92027688745009</v>
      </c>
      <c r="AF861" s="73">
        <f>SUM(AE$2:AE861)</f>
        <v>719222.952682951</v>
      </c>
      <c r="AG861" s="73">
        <f t="shared" si="250"/>
        <v>454506.94974415819</v>
      </c>
    </row>
    <row r="862" spans="1:33" x14ac:dyDescent="0.25">
      <c r="A862" s="100">
        <v>175299.92</v>
      </c>
      <c r="B862" s="97">
        <v>875.57180000000005</v>
      </c>
      <c r="C862" s="97">
        <v>0.6</v>
      </c>
      <c r="D862" s="80">
        <f t="shared" si="235"/>
        <v>100</v>
      </c>
      <c r="E862" s="81">
        <f t="shared" si="243"/>
        <v>6616.6076625842816</v>
      </c>
      <c r="F862" s="81">
        <f>SUM(E$2:E862)</f>
        <v>5382197.6266303491</v>
      </c>
      <c r="G862" s="43">
        <f t="shared" si="241"/>
        <v>1</v>
      </c>
      <c r="H862" s="78">
        <v>1</v>
      </c>
      <c r="I862" s="15">
        <f t="shared" si="244"/>
        <v>0.6</v>
      </c>
      <c r="J862" s="16">
        <f>VLOOKUP(G862,Inputs!$L$3:$P$15,5,FALSE)</f>
        <v>2000</v>
      </c>
      <c r="K862" s="16">
        <f t="shared" si="245"/>
        <v>1825</v>
      </c>
      <c r="L862" s="79">
        <f>Inputs!$P$8-B862</f>
        <v>62.619199999999978</v>
      </c>
      <c r="M862" s="79">
        <f>Inputs!$Q$8+L862*0.433</f>
        <v>1852.1141135999999</v>
      </c>
      <c r="N862" s="82">
        <f t="shared" si="246"/>
        <v>175299.92</v>
      </c>
      <c r="O862" s="83">
        <f t="shared" si="247"/>
        <v>875.57180000000005</v>
      </c>
      <c r="P862" s="84">
        <f>IF(O862="","",Inputs!$C$5-O862)</f>
        <v>-50.387300000000096</v>
      </c>
      <c r="Q862" s="83">
        <f>IF(N862="","",TS!J862)</f>
        <v>2000</v>
      </c>
      <c r="R862" s="83">
        <f>IF(N862="","",TS!K862)</f>
        <v>1825</v>
      </c>
      <c r="S862" s="83">
        <f>Inputs!$H$5+TS!P862*0.4333</f>
        <v>1853.13289936</v>
      </c>
      <c r="T862" s="83">
        <f>Inputs!$G$5+TS!P862*0.4333</f>
        <v>1868.13289936</v>
      </c>
      <c r="U862" s="85">
        <f t="shared" si="248"/>
        <v>0.93406644967999997</v>
      </c>
      <c r="V862" s="86">
        <f t="shared" si="236"/>
        <v>0</v>
      </c>
      <c r="W862" s="86">
        <f t="shared" si="237"/>
        <v>0</v>
      </c>
      <c r="X862" s="86" t="e">
        <f>((PI()*((42-2*'Gen Calcs'!$E$13)^2)/4)/144)*(A905-#REF!)*(W862+14.7)/14.7</f>
        <v>#REF!</v>
      </c>
      <c r="Y862" s="86" t="e">
        <f t="shared" si="238"/>
        <v>#REF!</v>
      </c>
      <c r="Z862" s="86" t="e">
        <f t="shared" si="239"/>
        <v>#REF!</v>
      </c>
      <c r="AA862" s="83">
        <f>MAX(B$2:B862)-B862</f>
        <v>62.619199999999978</v>
      </c>
      <c r="AB862" s="83">
        <f t="shared" si="240"/>
        <v>27.114113599999989</v>
      </c>
      <c r="AC862" s="83">
        <f t="shared" si="242"/>
        <v>120</v>
      </c>
      <c r="AD862" s="72">
        <v>120</v>
      </c>
      <c r="AE862" s="73">
        <f t="shared" si="249"/>
        <v>907.92027688745009</v>
      </c>
      <c r="AF862" s="73">
        <f>SUM(AE$2:AE862)</f>
        <v>720130.87295983848</v>
      </c>
      <c r="AG862" s="73">
        <f t="shared" si="250"/>
        <v>453599.02946727071</v>
      </c>
    </row>
    <row r="863" spans="1:33" x14ac:dyDescent="0.25">
      <c r="A863" s="99">
        <v>175399.92</v>
      </c>
      <c r="B863" s="96">
        <v>876.1866</v>
      </c>
      <c r="C863" s="96">
        <v>0.6</v>
      </c>
      <c r="D863" s="80">
        <f t="shared" si="235"/>
        <v>100</v>
      </c>
      <c r="E863" s="81">
        <f t="shared" si="243"/>
        <v>6791.2436711181272</v>
      </c>
      <c r="F863" s="81">
        <f>SUM(E$2:E863)</f>
        <v>5388988.8703014674</v>
      </c>
      <c r="G863" s="43">
        <f t="shared" si="241"/>
        <v>1</v>
      </c>
      <c r="H863" s="78">
        <v>1</v>
      </c>
      <c r="I863" s="15">
        <f t="shared" si="244"/>
        <v>0.6</v>
      </c>
      <c r="J863" s="16">
        <f>VLOOKUP(G863,Inputs!$L$3:$P$15,5,FALSE)</f>
        <v>2000</v>
      </c>
      <c r="K863" s="16">
        <f t="shared" si="245"/>
        <v>1825</v>
      </c>
      <c r="L863" s="79">
        <f>Inputs!$P$8-B863</f>
        <v>62.004400000000032</v>
      </c>
      <c r="M863" s="79">
        <f>Inputs!$Q$8+L863*0.433</f>
        <v>1851.8479052</v>
      </c>
      <c r="N863" s="82">
        <f t="shared" si="246"/>
        <v>175399.92</v>
      </c>
      <c r="O863" s="83">
        <f t="shared" si="247"/>
        <v>876.1866</v>
      </c>
      <c r="P863" s="84">
        <f>IF(O863="","",Inputs!$C$5-O863)</f>
        <v>-51.002100000000041</v>
      </c>
      <c r="Q863" s="83">
        <f>IF(N863="","",TS!J863)</f>
        <v>2000</v>
      </c>
      <c r="R863" s="83">
        <f>IF(N863="","",TS!K863)</f>
        <v>1825</v>
      </c>
      <c r="S863" s="83">
        <f>Inputs!$H$5+TS!P863*0.4333</f>
        <v>1852.86650652</v>
      </c>
      <c r="T863" s="83">
        <f>Inputs!$G$5+TS!P863*0.4333</f>
        <v>1867.86650652</v>
      </c>
      <c r="U863" s="85">
        <f t="shared" si="248"/>
        <v>0.93393325325999998</v>
      </c>
      <c r="V863" s="86">
        <f t="shared" si="236"/>
        <v>0</v>
      </c>
      <c r="W863" s="86">
        <f t="shared" si="237"/>
        <v>0</v>
      </c>
      <c r="X863" s="86" t="e">
        <f>((PI()*((42-2*'Gen Calcs'!$E$13)^2)/4)/144)*(A906-#REF!)*(W863+14.7)/14.7</f>
        <v>#REF!</v>
      </c>
      <c r="Y863" s="86" t="e">
        <f t="shared" si="238"/>
        <v>#REF!</v>
      </c>
      <c r="Z863" s="86" t="e">
        <f t="shared" si="239"/>
        <v>#REF!</v>
      </c>
      <c r="AA863" s="83">
        <f>MAX(B$2:B863)-B863</f>
        <v>62.004400000000032</v>
      </c>
      <c r="AB863" s="83">
        <f t="shared" si="240"/>
        <v>26.847905200000014</v>
      </c>
      <c r="AC863" s="83">
        <f t="shared" si="242"/>
        <v>120</v>
      </c>
      <c r="AD863" s="72">
        <v>120</v>
      </c>
      <c r="AE863" s="73">
        <f t="shared" si="249"/>
        <v>907.92027688745009</v>
      </c>
      <c r="AF863" s="73">
        <f>SUM(AE$2:AE863)</f>
        <v>721038.79323672596</v>
      </c>
      <c r="AG863" s="73">
        <f t="shared" si="250"/>
        <v>452691.10919038323</v>
      </c>
    </row>
    <row r="864" spans="1:33" x14ac:dyDescent="0.25">
      <c r="A864" s="100">
        <v>175499.92</v>
      </c>
      <c r="B864" s="97">
        <v>874.14840000000004</v>
      </c>
      <c r="C864" s="97">
        <v>0.6</v>
      </c>
      <c r="D864" s="80">
        <f t="shared" si="235"/>
        <v>100</v>
      </c>
      <c r="E864" s="81">
        <f t="shared" si="243"/>
        <v>6791.2436711181272</v>
      </c>
      <c r="F864" s="81">
        <f>SUM(E$2:E864)</f>
        <v>5395780.1139725856</v>
      </c>
      <c r="G864" s="43">
        <f t="shared" si="241"/>
        <v>1</v>
      </c>
      <c r="H864" s="78">
        <v>1</v>
      </c>
      <c r="I864" s="15">
        <f t="shared" si="244"/>
        <v>0.6</v>
      </c>
      <c r="J864" s="16">
        <f>VLOOKUP(G864,Inputs!$L$3:$P$15,5,FALSE)</f>
        <v>2000</v>
      </c>
      <c r="K864" s="16">
        <f t="shared" si="245"/>
        <v>1825</v>
      </c>
      <c r="L864" s="79">
        <f>Inputs!$P$8-B864</f>
        <v>64.042599999999993</v>
      </c>
      <c r="M864" s="79">
        <f>Inputs!$Q$8+L864*0.433</f>
        <v>1852.7304458000001</v>
      </c>
      <c r="N864" s="82">
        <f t="shared" si="246"/>
        <v>175499.92</v>
      </c>
      <c r="O864" s="83">
        <f t="shared" si="247"/>
        <v>874.14840000000004</v>
      </c>
      <c r="P864" s="84">
        <f>IF(O864="","",Inputs!$C$5-O864)</f>
        <v>-48.963900000000081</v>
      </c>
      <c r="Q864" s="83">
        <f>IF(N864="","",TS!J864)</f>
        <v>2000</v>
      </c>
      <c r="R864" s="83">
        <f>IF(N864="","",TS!K864)</f>
        <v>1825</v>
      </c>
      <c r="S864" s="83">
        <f>Inputs!$H$5+TS!P864*0.4333</f>
        <v>1853.74965858</v>
      </c>
      <c r="T864" s="83">
        <f>Inputs!$G$5+TS!P864*0.4333</f>
        <v>1868.74965858</v>
      </c>
      <c r="U864" s="85">
        <f t="shared" si="248"/>
        <v>0.93437482928999993</v>
      </c>
      <c r="V864" s="86">
        <f t="shared" si="236"/>
        <v>0</v>
      </c>
      <c r="W864" s="86">
        <f t="shared" si="237"/>
        <v>0</v>
      </c>
      <c r="X864" s="86" t="e">
        <f>((PI()*((42-2*'Gen Calcs'!$E$13)^2)/4)/144)*(A907-#REF!)*(W864+14.7)/14.7</f>
        <v>#REF!</v>
      </c>
      <c r="Y864" s="86" t="e">
        <f t="shared" si="238"/>
        <v>#REF!</v>
      </c>
      <c r="Z864" s="86" t="e">
        <f t="shared" si="239"/>
        <v>#REF!</v>
      </c>
      <c r="AA864" s="83">
        <f>MAX(B$2:B864)-B864</f>
        <v>64.042599999999993</v>
      </c>
      <c r="AB864" s="83">
        <f t="shared" si="240"/>
        <v>27.730445799999998</v>
      </c>
      <c r="AC864" s="83">
        <f t="shared" si="242"/>
        <v>120</v>
      </c>
      <c r="AD864" s="72">
        <v>120</v>
      </c>
      <c r="AE864" s="73">
        <f t="shared" si="249"/>
        <v>907.92027688745009</v>
      </c>
      <c r="AF864" s="73">
        <f>SUM(AE$2:AE864)</f>
        <v>721946.71351361345</v>
      </c>
      <c r="AG864" s="73">
        <f t="shared" si="250"/>
        <v>451783.18891349575</v>
      </c>
    </row>
    <row r="865" spans="1:33" x14ac:dyDescent="0.25">
      <c r="A865" s="99">
        <v>175599.92</v>
      </c>
      <c r="B865" s="96">
        <v>870.97609999999997</v>
      </c>
      <c r="C865" s="96">
        <v>0.6</v>
      </c>
      <c r="D865" s="80">
        <f t="shared" ref="D865:D928" si="251">A865-A864</f>
        <v>100</v>
      </c>
      <c r="E865" s="81">
        <f t="shared" si="243"/>
        <v>6791.2436711181272</v>
      </c>
      <c r="F865" s="81">
        <f>SUM(E$2:E865)</f>
        <v>5402571.3576437039</v>
      </c>
      <c r="G865" s="43">
        <f t="shared" si="241"/>
        <v>1</v>
      </c>
      <c r="H865" s="78">
        <v>1</v>
      </c>
      <c r="I865" s="15">
        <f t="shared" si="244"/>
        <v>0.6</v>
      </c>
      <c r="J865" s="16">
        <f>VLOOKUP(G865,Inputs!$L$3:$P$15,5,FALSE)</f>
        <v>2000</v>
      </c>
      <c r="K865" s="16">
        <f t="shared" si="245"/>
        <v>1825</v>
      </c>
      <c r="L865" s="79">
        <f>Inputs!$P$8-B865</f>
        <v>67.214900000000057</v>
      </c>
      <c r="M865" s="79">
        <f>Inputs!$Q$8+L865*0.433</f>
        <v>1854.1040517000001</v>
      </c>
      <c r="N865" s="82">
        <f t="shared" si="246"/>
        <v>175599.92</v>
      </c>
      <c r="O865" s="83">
        <f t="shared" si="247"/>
        <v>870.97609999999997</v>
      </c>
      <c r="P865" s="84">
        <f>IF(O865="","",Inputs!$C$5-O865)</f>
        <v>-45.791600000000017</v>
      </c>
      <c r="Q865" s="83">
        <f>IF(N865="","",TS!J865)</f>
        <v>2000</v>
      </c>
      <c r="R865" s="83">
        <f>IF(N865="","",TS!K865)</f>
        <v>1825</v>
      </c>
      <c r="S865" s="83">
        <f>Inputs!$H$5+TS!P865*0.4333</f>
        <v>1855.12421617</v>
      </c>
      <c r="T865" s="83">
        <f>Inputs!$G$5+TS!P865*0.4333</f>
        <v>1870.12421617</v>
      </c>
      <c r="U865" s="85">
        <f t="shared" si="248"/>
        <v>0.93506210808500001</v>
      </c>
      <c r="V865" s="86">
        <f t="shared" si="236"/>
        <v>0</v>
      </c>
      <c r="W865" s="86">
        <f t="shared" si="237"/>
        <v>0</v>
      </c>
      <c r="X865" s="86" t="e">
        <f>((PI()*((42-2*'Gen Calcs'!$E$13)^2)/4)/144)*(A908-#REF!)*(W865+14.7)/14.7</f>
        <v>#REF!</v>
      </c>
      <c r="Y865" s="86" t="e">
        <f t="shared" si="238"/>
        <v>#REF!</v>
      </c>
      <c r="Z865" s="86" t="e">
        <f t="shared" si="239"/>
        <v>#REF!</v>
      </c>
      <c r="AA865" s="83">
        <f>MAX(B$2:B865)-B865</f>
        <v>67.214900000000057</v>
      </c>
      <c r="AB865" s="83">
        <f t="shared" si="240"/>
        <v>29.104051700000024</v>
      </c>
      <c r="AC865" s="83">
        <f t="shared" si="242"/>
        <v>120</v>
      </c>
      <c r="AD865" s="72">
        <v>120</v>
      </c>
      <c r="AE865" s="73">
        <f t="shared" si="249"/>
        <v>907.92027688745009</v>
      </c>
      <c r="AF865" s="73">
        <f>SUM(AE$2:AE865)</f>
        <v>722854.63379050093</v>
      </c>
      <c r="AG865" s="73">
        <f t="shared" si="250"/>
        <v>450875.26863660826</v>
      </c>
    </row>
    <row r="866" spans="1:33" x14ac:dyDescent="0.25">
      <c r="A866" s="100">
        <v>175699.92</v>
      </c>
      <c r="B866" s="97">
        <v>868.37260000000003</v>
      </c>
      <c r="C866" s="97">
        <v>0.6</v>
      </c>
      <c r="D866" s="80">
        <f t="shared" si="251"/>
        <v>100</v>
      </c>
      <c r="E866" s="81">
        <f t="shared" si="243"/>
        <v>6791.2436711181272</v>
      </c>
      <c r="F866" s="81">
        <f>SUM(E$2:E866)</f>
        <v>5409362.6013148222</v>
      </c>
      <c r="G866" s="43">
        <f t="shared" si="241"/>
        <v>1</v>
      </c>
      <c r="H866" s="78">
        <v>1</v>
      </c>
      <c r="I866" s="15">
        <f t="shared" si="244"/>
        <v>0.6</v>
      </c>
      <c r="J866" s="16">
        <f>VLOOKUP(G866,Inputs!$L$3:$P$15,5,FALSE)</f>
        <v>2000</v>
      </c>
      <c r="K866" s="16">
        <f t="shared" si="245"/>
        <v>1825</v>
      </c>
      <c r="L866" s="79">
        <f>Inputs!$P$8-B866</f>
        <v>69.818399999999997</v>
      </c>
      <c r="M866" s="79">
        <f>Inputs!$Q$8+L866*0.433</f>
        <v>1855.2313672</v>
      </c>
      <c r="N866" s="82">
        <f t="shared" si="246"/>
        <v>175699.92</v>
      </c>
      <c r="O866" s="83">
        <f t="shared" si="247"/>
        <v>868.37260000000003</v>
      </c>
      <c r="P866" s="84">
        <f>IF(O866="","",Inputs!$C$5-O866)</f>
        <v>-43.188100000000077</v>
      </c>
      <c r="Q866" s="83">
        <f>IF(N866="","",TS!J866)</f>
        <v>2000</v>
      </c>
      <c r="R866" s="83">
        <f>IF(N866="","",TS!K866)</f>
        <v>1825</v>
      </c>
      <c r="S866" s="83">
        <f>Inputs!$H$5+TS!P866*0.4333</f>
        <v>1856.25231272</v>
      </c>
      <c r="T866" s="83">
        <f>Inputs!$G$5+TS!P866*0.4333</f>
        <v>1871.25231272</v>
      </c>
      <c r="U866" s="85">
        <f t="shared" si="248"/>
        <v>0.93562615636000002</v>
      </c>
      <c r="V866" s="86">
        <f t="shared" si="236"/>
        <v>0</v>
      </c>
      <c r="W866" s="86">
        <f t="shared" si="237"/>
        <v>0</v>
      </c>
      <c r="X866" s="86" t="e">
        <f>((PI()*((42-2*'Gen Calcs'!$E$13)^2)/4)/144)*(A909-#REF!)*(W866+14.7)/14.7</f>
        <v>#REF!</v>
      </c>
      <c r="Y866" s="86" t="e">
        <f t="shared" si="238"/>
        <v>#REF!</v>
      </c>
      <c r="Z866" s="86" t="e">
        <f t="shared" si="239"/>
        <v>#REF!</v>
      </c>
      <c r="AA866" s="83">
        <f>MAX(B$2:B866)-B866</f>
        <v>69.818399999999997</v>
      </c>
      <c r="AB866" s="83">
        <f t="shared" si="240"/>
        <v>30.231367199999998</v>
      </c>
      <c r="AC866" s="83">
        <f t="shared" si="242"/>
        <v>120</v>
      </c>
      <c r="AD866" s="72">
        <v>120</v>
      </c>
      <c r="AE866" s="73">
        <f t="shared" si="249"/>
        <v>907.92027688745009</v>
      </c>
      <c r="AF866" s="73">
        <f>SUM(AE$2:AE866)</f>
        <v>723762.55406738841</v>
      </c>
      <c r="AG866" s="73">
        <f t="shared" si="250"/>
        <v>449967.34835972078</v>
      </c>
    </row>
    <row r="867" spans="1:33" x14ac:dyDescent="0.25">
      <c r="A867" s="99">
        <v>175799.92</v>
      </c>
      <c r="B867" s="96">
        <v>863.49540000000002</v>
      </c>
      <c r="C867" s="96">
        <v>0.6</v>
      </c>
      <c r="D867" s="80">
        <f t="shared" si="251"/>
        <v>100</v>
      </c>
      <c r="E867" s="81">
        <f t="shared" si="243"/>
        <v>6791.2436711181272</v>
      </c>
      <c r="F867" s="81">
        <f>SUM(E$2:E867)</f>
        <v>5416153.8449859405</v>
      </c>
      <c r="G867" s="43">
        <f t="shared" si="241"/>
        <v>1</v>
      </c>
      <c r="H867" s="78">
        <v>1</v>
      </c>
      <c r="I867" s="15">
        <f t="shared" si="244"/>
        <v>0.6</v>
      </c>
      <c r="J867" s="16">
        <f>VLOOKUP(G867,Inputs!$L$3:$P$15,5,FALSE)</f>
        <v>2000</v>
      </c>
      <c r="K867" s="16">
        <f t="shared" si="245"/>
        <v>1825</v>
      </c>
      <c r="L867" s="79">
        <f>Inputs!$P$8-B867</f>
        <v>74.695600000000013</v>
      </c>
      <c r="M867" s="79">
        <f>Inputs!$Q$8+L867*0.433</f>
        <v>1857.3431948</v>
      </c>
      <c r="N867" s="82">
        <f t="shared" si="246"/>
        <v>175799.92</v>
      </c>
      <c r="O867" s="83">
        <f t="shared" si="247"/>
        <v>863.49540000000002</v>
      </c>
      <c r="P867" s="84">
        <f>IF(O867="","",Inputs!$C$5-O867)</f>
        <v>-38.310900000000061</v>
      </c>
      <c r="Q867" s="83">
        <f>IF(N867="","",TS!J867)</f>
        <v>2000</v>
      </c>
      <c r="R867" s="83">
        <f>IF(N867="","",TS!K867)</f>
        <v>1825</v>
      </c>
      <c r="S867" s="83">
        <f>Inputs!$H$5+TS!P867*0.4333</f>
        <v>1858.3656034799999</v>
      </c>
      <c r="T867" s="83">
        <f>Inputs!$G$5+TS!P867*0.4333</f>
        <v>1873.3656034799999</v>
      </c>
      <c r="U867" s="85">
        <f t="shared" si="248"/>
        <v>0.93668280173999996</v>
      </c>
      <c r="V867" s="86">
        <f t="shared" si="236"/>
        <v>0</v>
      </c>
      <c r="W867" s="86">
        <f t="shared" si="237"/>
        <v>0</v>
      </c>
      <c r="X867" s="86" t="e">
        <f>((PI()*((42-2*'Gen Calcs'!$E$13)^2)/4)/144)*(A910-#REF!)*(W867+14.7)/14.7</f>
        <v>#REF!</v>
      </c>
      <c r="Y867" s="86" t="e">
        <f t="shared" si="238"/>
        <v>#REF!</v>
      </c>
      <c r="Z867" s="86" t="e">
        <f t="shared" si="239"/>
        <v>#REF!</v>
      </c>
      <c r="AA867" s="83">
        <f>MAX(B$2:B867)-B867</f>
        <v>74.695600000000013</v>
      </c>
      <c r="AB867" s="83">
        <f t="shared" si="240"/>
        <v>32.343194800000006</v>
      </c>
      <c r="AC867" s="83">
        <f t="shared" si="242"/>
        <v>120</v>
      </c>
      <c r="AD867" s="72">
        <v>120</v>
      </c>
      <c r="AE867" s="73">
        <f t="shared" si="249"/>
        <v>907.92027688745009</v>
      </c>
      <c r="AF867" s="73">
        <f>SUM(AE$2:AE867)</f>
        <v>724670.47434427589</v>
      </c>
      <c r="AG867" s="73">
        <f t="shared" si="250"/>
        <v>449059.4280828333</v>
      </c>
    </row>
    <row r="868" spans="1:33" x14ac:dyDescent="0.25">
      <c r="A868" s="100">
        <v>175899.92</v>
      </c>
      <c r="B868" s="97">
        <v>856.5838</v>
      </c>
      <c r="C868" s="97">
        <v>0.6</v>
      </c>
      <c r="D868" s="80">
        <f t="shared" si="251"/>
        <v>100</v>
      </c>
      <c r="E868" s="81">
        <f t="shared" si="243"/>
        <v>6791.2436711181272</v>
      </c>
      <c r="F868" s="81">
        <f>SUM(E$2:E868)</f>
        <v>5422945.0886570588</v>
      </c>
      <c r="G868" s="43">
        <f t="shared" si="241"/>
        <v>1</v>
      </c>
      <c r="H868" s="78">
        <v>1</v>
      </c>
      <c r="I868" s="15">
        <f t="shared" si="244"/>
        <v>0.6</v>
      </c>
      <c r="J868" s="16">
        <f>VLOOKUP(G868,Inputs!$L$3:$P$15,5,FALSE)</f>
        <v>2000</v>
      </c>
      <c r="K868" s="16">
        <f t="shared" si="245"/>
        <v>1825</v>
      </c>
      <c r="L868" s="79">
        <f>Inputs!$P$8-B868</f>
        <v>81.607200000000034</v>
      </c>
      <c r="M868" s="79">
        <f>Inputs!$Q$8+L868*0.433</f>
        <v>1860.3359175999999</v>
      </c>
      <c r="N868" s="82">
        <f t="shared" si="246"/>
        <v>175899.92</v>
      </c>
      <c r="O868" s="83">
        <f t="shared" si="247"/>
        <v>856.5838</v>
      </c>
      <c r="P868" s="84">
        <f>IF(O868="","",Inputs!$C$5-O868)</f>
        <v>-31.399300000000039</v>
      </c>
      <c r="Q868" s="83">
        <f>IF(N868="","",TS!J868)</f>
        <v>2000</v>
      </c>
      <c r="R868" s="83">
        <f>IF(N868="","",TS!K868)</f>
        <v>1825</v>
      </c>
      <c r="S868" s="83">
        <f>Inputs!$H$5+TS!P868*0.4333</f>
        <v>1861.3603997599998</v>
      </c>
      <c r="T868" s="83">
        <f>Inputs!$G$5+TS!P868*0.4333</f>
        <v>1876.3603997599998</v>
      </c>
      <c r="U868" s="85">
        <f t="shared" si="248"/>
        <v>0.9381801998799999</v>
      </c>
      <c r="V868" s="86">
        <f t="shared" si="236"/>
        <v>0</v>
      </c>
      <c r="W868" s="86">
        <f t="shared" si="237"/>
        <v>0</v>
      </c>
      <c r="X868" s="86" t="e">
        <f>((PI()*((42-2*'Gen Calcs'!$E$13)^2)/4)/144)*(A911-#REF!)*(W868+14.7)/14.7</f>
        <v>#REF!</v>
      </c>
      <c r="Y868" s="86" t="e">
        <f t="shared" si="238"/>
        <v>#REF!</v>
      </c>
      <c r="Z868" s="86" t="e">
        <f t="shared" si="239"/>
        <v>#REF!</v>
      </c>
      <c r="AA868" s="83">
        <f>MAX(B$2:B868)-B868</f>
        <v>81.607200000000034</v>
      </c>
      <c r="AB868" s="83">
        <f t="shared" si="240"/>
        <v>35.335917600000016</v>
      </c>
      <c r="AC868" s="83">
        <f t="shared" si="242"/>
        <v>120</v>
      </c>
      <c r="AD868" s="72">
        <v>120</v>
      </c>
      <c r="AE868" s="73">
        <f t="shared" si="249"/>
        <v>907.92027688745009</v>
      </c>
      <c r="AF868" s="73">
        <f>SUM(AE$2:AE868)</f>
        <v>725578.39462116337</v>
      </c>
      <c r="AG868" s="73">
        <f t="shared" si="250"/>
        <v>448151.50780594582</v>
      </c>
    </row>
    <row r="869" spans="1:33" x14ac:dyDescent="0.25">
      <c r="A869" s="99">
        <v>175999.92</v>
      </c>
      <c r="B869" s="96">
        <v>850.0924</v>
      </c>
      <c r="C869" s="96">
        <v>0.6</v>
      </c>
      <c r="D869" s="80">
        <f t="shared" si="251"/>
        <v>100</v>
      </c>
      <c r="E869" s="81">
        <f t="shared" si="243"/>
        <v>6791.2436711181272</v>
      </c>
      <c r="F869" s="81">
        <f>SUM(E$2:E869)</f>
        <v>5429736.3323281771</v>
      </c>
      <c r="G869" s="43">
        <f t="shared" si="241"/>
        <v>1</v>
      </c>
      <c r="H869" s="78">
        <v>1</v>
      </c>
      <c r="I869" s="15">
        <f t="shared" si="244"/>
        <v>0.6</v>
      </c>
      <c r="J869" s="16">
        <f>VLOOKUP(G869,Inputs!$L$3:$P$15,5,FALSE)</f>
        <v>2000</v>
      </c>
      <c r="K869" s="16">
        <f t="shared" si="245"/>
        <v>1825</v>
      </c>
      <c r="L869" s="79">
        <f>Inputs!$P$8-B869</f>
        <v>88.098600000000033</v>
      </c>
      <c r="M869" s="79">
        <f>Inputs!$Q$8+L869*0.433</f>
        <v>1863.1466938000001</v>
      </c>
      <c r="N869" s="82">
        <f t="shared" si="246"/>
        <v>175999.92</v>
      </c>
      <c r="O869" s="83">
        <f t="shared" si="247"/>
        <v>850.0924</v>
      </c>
      <c r="P869" s="84">
        <f>IF(O869="","",Inputs!$C$5-O869)</f>
        <v>-24.907900000000041</v>
      </c>
      <c r="Q869" s="83">
        <f>IF(N869="","",TS!J869)</f>
        <v>2000</v>
      </c>
      <c r="R869" s="83">
        <f>IF(N869="","",TS!K869)</f>
        <v>1825</v>
      </c>
      <c r="S869" s="83">
        <f>Inputs!$H$5+TS!P869*0.4333</f>
        <v>1864.1731233799999</v>
      </c>
      <c r="T869" s="83">
        <f>Inputs!$G$5+TS!P869*0.4333</f>
        <v>1879.1731233799999</v>
      </c>
      <c r="U869" s="85">
        <f t="shared" si="248"/>
        <v>0.93958656168999999</v>
      </c>
      <c r="V869" s="86">
        <f t="shared" si="236"/>
        <v>0</v>
      </c>
      <c r="W869" s="86">
        <f t="shared" si="237"/>
        <v>0</v>
      </c>
      <c r="X869" s="86" t="e">
        <f>((PI()*((42-2*'Gen Calcs'!$E$13)^2)/4)/144)*(A912-#REF!)*(W869+14.7)/14.7</f>
        <v>#REF!</v>
      </c>
      <c r="Y869" s="86" t="e">
        <f t="shared" si="238"/>
        <v>#REF!</v>
      </c>
      <c r="Z869" s="86" t="e">
        <f t="shared" si="239"/>
        <v>#REF!</v>
      </c>
      <c r="AA869" s="83">
        <f>MAX(B$2:B869)-B869</f>
        <v>88.098600000000033</v>
      </c>
      <c r="AB869" s="83">
        <f t="shared" si="240"/>
        <v>38.146693800000016</v>
      </c>
      <c r="AC869" s="83">
        <f t="shared" si="242"/>
        <v>120</v>
      </c>
      <c r="AD869" s="72">
        <v>120</v>
      </c>
      <c r="AE869" s="73">
        <f t="shared" si="249"/>
        <v>907.92027688745009</v>
      </c>
      <c r="AF869" s="73">
        <f>SUM(AE$2:AE869)</f>
        <v>726486.31489805086</v>
      </c>
      <c r="AG869" s="73">
        <f t="shared" si="250"/>
        <v>447243.58752905834</v>
      </c>
    </row>
    <row r="870" spans="1:33" x14ac:dyDescent="0.25">
      <c r="A870" s="100">
        <v>176099.92</v>
      </c>
      <c r="B870" s="97">
        <v>841.00239999999997</v>
      </c>
      <c r="C870" s="97">
        <v>0.6</v>
      </c>
      <c r="D870" s="80">
        <f t="shared" si="251"/>
        <v>100</v>
      </c>
      <c r="E870" s="81">
        <f t="shared" si="243"/>
        <v>6791.2436711181272</v>
      </c>
      <c r="F870" s="81">
        <f>SUM(E$2:E870)</f>
        <v>5436527.5759992953</v>
      </c>
      <c r="G870" s="43">
        <f t="shared" si="241"/>
        <v>1</v>
      </c>
      <c r="H870" s="78">
        <v>1</v>
      </c>
      <c r="I870" s="15">
        <f t="shared" si="244"/>
        <v>0.6</v>
      </c>
      <c r="J870" s="16">
        <f>VLOOKUP(G870,Inputs!$L$3:$P$15,5,FALSE)</f>
        <v>2000</v>
      </c>
      <c r="K870" s="16">
        <f t="shared" si="245"/>
        <v>1825</v>
      </c>
      <c r="L870" s="79">
        <f>Inputs!$P$8-B870</f>
        <v>97.188600000000065</v>
      </c>
      <c r="M870" s="79">
        <f>Inputs!$Q$8+L870*0.433</f>
        <v>1867.0826638000001</v>
      </c>
      <c r="N870" s="82">
        <f t="shared" si="246"/>
        <v>176099.92</v>
      </c>
      <c r="O870" s="83">
        <f t="shared" si="247"/>
        <v>841.00239999999997</v>
      </c>
      <c r="P870" s="84">
        <f>IF(O870="","",Inputs!$C$5-O870)</f>
        <v>-15.817900000000009</v>
      </c>
      <c r="Q870" s="83">
        <f>IF(N870="","",TS!J870)</f>
        <v>2000</v>
      </c>
      <c r="R870" s="83">
        <f>IF(N870="","",TS!K870)</f>
        <v>1825</v>
      </c>
      <c r="S870" s="83">
        <f>Inputs!$H$5+TS!P870*0.4333</f>
        <v>1868.1118203799999</v>
      </c>
      <c r="T870" s="83">
        <f>Inputs!$G$5+TS!P870*0.4333</f>
        <v>1883.1118203799999</v>
      </c>
      <c r="U870" s="85">
        <f t="shared" si="248"/>
        <v>0.94155591018999996</v>
      </c>
      <c r="V870" s="86">
        <f t="shared" si="236"/>
        <v>0</v>
      </c>
      <c r="W870" s="86">
        <f t="shared" si="237"/>
        <v>0</v>
      </c>
      <c r="X870" s="86" t="e">
        <f>((PI()*((42-2*'Gen Calcs'!$E$13)^2)/4)/144)*(A913-#REF!)*(W870+14.7)/14.7</f>
        <v>#REF!</v>
      </c>
      <c r="Y870" s="86" t="e">
        <f t="shared" si="238"/>
        <v>#REF!</v>
      </c>
      <c r="Z870" s="86" t="e">
        <f t="shared" si="239"/>
        <v>#REF!</v>
      </c>
      <c r="AA870" s="83">
        <f>MAX(B$2:B870)-B870</f>
        <v>97.188600000000065</v>
      </c>
      <c r="AB870" s="83">
        <f t="shared" si="240"/>
        <v>42.082663800000027</v>
      </c>
      <c r="AC870" s="83">
        <f t="shared" si="242"/>
        <v>120</v>
      </c>
      <c r="AD870" s="72">
        <v>120</v>
      </c>
      <c r="AE870" s="73">
        <f t="shared" si="249"/>
        <v>907.92027688745009</v>
      </c>
      <c r="AF870" s="73">
        <f>SUM(AE$2:AE870)</f>
        <v>727394.23517493834</v>
      </c>
      <c r="AG870" s="73">
        <f t="shared" si="250"/>
        <v>446335.66725217085</v>
      </c>
    </row>
    <row r="871" spans="1:33" x14ac:dyDescent="0.25">
      <c r="A871" s="99">
        <v>176199.92</v>
      </c>
      <c r="B871" s="96">
        <v>842.78070000000002</v>
      </c>
      <c r="C871" s="96">
        <v>0.6</v>
      </c>
      <c r="D871" s="80">
        <f t="shared" si="251"/>
        <v>100</v>
      </c>
      <c r="E871" s="81">
        <f t="shared" si="243"/>
        <v>6791.2436711181272</v>
      </c>
      <c r="F871" s="81">
        <f>SUM(E$2:E871)</f>
        <v>5443318.8196704136</v>
      </c>
      <c r="G871" s="43">
        <f t="shared" si="241"/>
        <v>1</v>
      </c>
      <c r="H871" s="78">
        <v>1</v>
      </c>
      <c r="I871" s="15">
        <f t="shared" si="244"/>
        <v>0.6</v>
      </c>
      <c r="J871" s="16">
        <f>VLOOKUP(G871,Inputs!$L$3:$P$15,5,FALSE)</f>
        <v>2000</v>
      </c>
      <c r="K871" s="16">
        <f t="shared" si="245"/>
        <v>1825</v>
      </c>
      <c r="L871" s="79">
        <f>Inputs!$P$8-B871</f>
        <v>95.410300000000007</v>
      </c>
      <c r="M871" s="79">
        <f>Inputs!$Q$8+L871*0.433</f>
        <v>1866.3126599</v>
      </c>
      <c r="N871" s="82">
        <f t="shared" si="246"/>
        <v>176199.92</v>
      </c>
      <c r="O871" s="83">
        <f t="shared" si="247"/>
        <v>842.78070000000002</v>
      </c>
      <c r="P871" s="84">
        <f>IF(O871="","",Inputs!$C$5-O871)</f>
        <v>-17.596200000000067</v>
      </c>
      <c r="Q871" s="83">
        <f>IF(N871="","",TS!J871)</f>
        <v>2000</v>
      </c>
      <c r="R871" s="83">
        <f>IF(N871="","",TS!K871)</f>
        <v>1825</v>
      </c>
      <c r="S871" s="83">
        <f>Inputs!$H$5+TS!P871*0.4333</f>
        <v>1867.3412829899999</v>
      </c>
      <c r="T871" s="83">
        <f>Inputs!$G$5+TS!P871*0.4333</f>
        <v>1882.3412829899999</v>
      </c>
      <c r="U871" s="85">
        <f t="shared" si="248"/>
        <v>0.94117064149499996</v>
      </c>
      <c r="V871" s="86">
        <f t="shared" si="236"/>
        <v>0</v>
      </c>
      <c r="W871" s="86">
        <f t="shared" si="237"/>
        <v>0</v>
      </c>
      <c r="X871" s="86" t="e">
        <f>((PI()*((42-2*'Gen Calcs'!$E$13)^2)/4)/144)*(A914-#REF!)*(W871+14.7)/14.7</f>
        <v>#REF!</v>
      </c>
      <c r="Y871" s="86" t="e">
        <f t="shared" si="238"/>
        <v>#REF!</v>
      </c>
      <c r="Z871" s="86" t="e">
        <f t="shared" si="239"/>
        <v>#REF!</v>
      </c>
      <c r="AA871" s="83">
        <f>MAX(B$2:B871)-B871</f>
        <v>95.410300000000007</v>
      </c>
      <c r="AB871" s="83">
        <f t="shared" si="240"/>
        <v>41.3126599</v>
      </c>
      <c r="AC871" s="83">
        <f t="shared" si="242"/>
        <v>120</v>
      </c>
      <c r="AD871" s="72">
        <v>120</v>
      </c>
      <c r="AE871" s="73">
        <f t="shared" si="249"/>
        <v>907.92027688745009</v>
      </c>
      <c r="AF871" s="73">
        <f>SUM(AE$2:AE871)</f>
        <v>728302.15545182582</v>
      </c>
      <c r="AG871" s="73">
        <f t="shared" si="250"/>
        <v>445427.74697528337</v>
      </c>
    </row>
    <row r="872" spans="1:33" x14ac:dyDescent="0.25">
      <c r="A872" s="100">
        <v>176299.92</v>
      </c>
      <c r="B872" s="97">
        <v>845.67619999999999</v>
      </c>
      <c r="C872" s="97">
        <v>0.6</v>
      </c>
      <c r="D872" s="80">
        <f t="shared" si="251"/>
        <v>100</v>
      </c>
      <c r="E872" s="81">
        <f t="shared" si="243"/>
        <v>6791.2436711181272</v>
      </c>
      <c r="F872" s="81">
        <f>SUM(E$2:E872)</f>
        <v>5450110.0633415319</v>
      </c>
      <c r="G872" s="43">
        <f t="shared" si="241"/>
        <v>1</v>
      </c>
      <c r="H872" s="78">
        <v>1</v>
      </c>
      <c r="I872" s="15">
        <f t="shared" si="244"/>
        <v>0.6</v>
      </c>
      <c r="J872" s="16">
        <f>VLOOKUP(G872,Inputs!$L$3:$P$15,5,FALSE)</f>
        <v>2000</v>
      </c>
      <c r="K872" s="16">
        <f t="shared" si="245"/>
        <v>1825</v>
      </c>
      <c r="L872" s="79">
        <f>Inputs!$P$8-B872</f>
        <v>92.514800000000037</v>
      </c>
      <c r="M872" s="79">
        <f>Inputs!$Q$8+L872*0.433</f>
        <v>1865.0589084000001</v>
      </c>
      <c r="N872" s="82">
        <f t="shared" si="246"/>
        <v>176299.92</v>
      </c>
      <c r="O872" s="83">
        <f t="shared" si="247"/>
        <v>845.67619999999999</v>
      </c>
      <c r="P872" s="84">
        <f>IF(O872="","",Inputs!$C$5-O872)</f>
        <v>-20.491700000000037</v>
      </c>
      <c r="Q872" s="83">
        <f>IF(N872="","",TS!J872)</f>
        <v>2000</v>
      </c>
      <c r="R872" s="83">
        <f>IF(N872="","",TS!K872)</f>
        <v>1825</v>
      </c>
      <c r="S872" s="83">
        <f>Inputs!$H$5+TS!P872*0.4333</f>
        <v>1866.0866628399999</v>
      </c>
      <c r="T872" s="83">
        <f>Inputs!$G$5+TS!P872*0.4333</f>
        <v>1881.0866628399999</v>
      </c>
      <c r="U872" s="85">
        <f t="shared" si="248"/>
        <v>0.94054333141999991</v>
      </c>
      <c r="V872" s="86">
        <f t="shared" si="236"/>
        <v>0</v>
      </c>
      <c r="W872" s="86">
        <f t="shared" si="237"/>
        <v>0</v>
      </c>
      <c r="X872" s="86" t="e">
        <f>((PI()*((42-2*'Gen Calcs'!$E$13)^2)/4)/144)*(A915-#REF!)*(W872+14.7)/14.7</f>
        <v>#REF!</v>
      </c>
      <c r="Y872" s="86" t="e">
        <f t="shared" si="238"/>
        <v>#REF!</v>
      </c>
      <c r="Z872" s="86" t="e">
        <f t="shared" si="239"/>
        <v>#REF!</v>
      </c>
      <c r="AA872" s="83">
        <f>MAX(B$2:B872)-B872</f>
        <v>92.514800000000037</v>
      </c>
      <c r="AB872" s="83">
        <f t="shared" si="240"/>
        <v>40.058908400000014</v>
      </c>
      <c r="AC872" s="83">
        <f t="shared" si="242"/>
        <v>120</v>
      </c>
      <c r="AD872" s="72">
        <v>120</v>
      </c>
      <c r="AE872" s="73">
        <f t="shared" si="249"/>
        <v>907.92027688745009</v>
      </c>
      <c r="AF872" s="73">
        <f>SUM(AE$2:AE872)</f>
        <v>729210.0757287133</v>
      </c>
      <c r="AG872" s="73">
        <f t="shared" si="250"/>
        <v>444519.82669839589</v>
      </c>
    </row>
    <row r="873" spans="1:33" x14ac:dyDescent="0.25">
      <c r="A873" s="99">
        <v>176399.92</v>
      </c>
      <c r="B873" s="96">
        <v>849.89890000000003</v>
      </c>
      <c r="C873" s="96">
        <v>0.6</v>
      </c>
      <c r="D873" s="80">
        <f t="shared" si="251"/>
        <v>100</v>
      </c>
      <c r="E873" s="81">
        <f t="shared" si="243"/>
        <v>6791.2436711181272</v>
      </c>
      <c r="F873" s="81">
        <f>SUM(E$2:E873)</f>
        <v>5456901.3070126502</v>
      </c>
      <c r="G873" s="43">
        <f t="shared" si="241"/>
        <v>1</v>
      </c>
      <c r="H873" s="78">
        <v>1</v>
      </c>
      <c r="I873" s="15">
        <f t="shared" si="244"/>
        <v>0.6</v>
      </c>
      <c r="J873" s="16">
        <f>VLOOKUP(G873,Inputs!$L$3:$P$15,5,FALSE)</f>
        <v>2000</v>
      </c>
      <c r="K873" s="16">
        <f t="shared" si="245"/>
        <v>1825</v>
      </c>
      <c r="L873" s="79">
        <f>Inputs!$P$8-B873</f>
        <v>88.292100000000005</v>
      </c>
      <c r="M873" s="79">
        <f>Inputs!$Q$8+L873*0.433</f>
        <v>1863.2304793000001</v>
      </c>
      <c r="N873" s="82">
        <f t="shared" si="246"/>
        <v>176399.92</v>
      </c>
      <c r="O873" s="83">
        <f t="shared" si="247"/>
        <v>849.89890000000003</v>
      </c>
      <c r="P873" s="84">
        <f>IF(O873="","",Inputs!$C$5-O873)</f>
        <v>-24.714400000000069</v>
      </c>
      <c r="Q873" s="83">
        <f>IF(N873="","",TS!J873)</f>
        <v>2000</v>
      </c>
      <c r="R873" s="83">
        <f>IF(N873="","",TS!K873)</f>
        <v>1825</v>
      </c>
      <c r="S873" s="83">
        <f>Inputs!$H$5+TS!P873*0.4333</f>
        <v>1864.2569669299999</v>
      </c>
      <c r="T873" s="83">
        <f>Inputs!$G$5+TS!P873*0.4333</f>
        <v>1879.2569669299999</v>
      </c>
      <c r="U873" s="85">
        <f t="shared" si="248"/>
        <v>0.93962848346499994</v>
      </c>
      <c r="V873" s="86">
        <f t="shared" si="236"/>
        <v>0</v>
      </c>
      <c r="W873" s="86">
        <f t="shared" si="237"/>
        <v>0</v>
      </c>
      <c r="X873" s="86" t="e">
        <f>((PI()*((42-2*'Gen Calcs'!$E$13)^2)/4)/144)*(A916-#REF!)*(W873+14.7)/14.7</f>
        <v>#REF!</v>
      </c>
      <c r="Y873" s="86" t="e">
        <f t="shared" si="238"/>
        <v>#REF!</v>
      </c>
      <c r="Z873" s="86" t="e">
        <f t="shared" si="239"/>
        <v>#REF!</v>
      </c>
      <c r="AA873" s="83">
        <f>MAX(B$2:B873)-B873</f>
        <v>88.292100000000005</v>
      </c>
      <c r="AB873" s="83">
        <f t="shared" si="240"/>
        <v>38.230479299999999</v>
      </c>
      <c r="AC873" s="83">
        <f t="shared" si="242"/>
        <v>120</v>
      </c>
      <c r="AD873" s="72">
        <v>120</v>
      </c>
      <c r="AE873" s="73">
        <f t="shared" si="249"/>
        <v>907.92027688745009</v>
      </c>
      <c r="AF873" s="73">
        <f>SUM(AE$2:AE873)</f>
        <v>730117.99600560078</v>
      </c>
      <c r="AG873" s="73">
        <f t="shared" si="250"/>
        <v>443611.90642150841</v>
      </c>
    </row>
    <row r="874" spans="1:33" x14ac:dyDescent="0.25">
      <c r="A874" s="100">
        <v>176499.92</v>
      </c>
      <c r="B874" s="97">
        <v>855.3125</v>
      </c>
      <c r="C874" s="97">
        <v>0.6</v>
      </c>
      <c r="D874" s="80">
        <f t="shared" si="251"/>
        <v>100</v>
      </c>
      <c r="E874" s="81">
        <f t="shared" si="243"/>
        <v>6791.2436711181272</v>
      </c>
      <c r="F874" s="81">
        <f>SUM(E$2:E874)</f>
        <v>5463692.5506837685</v>
      </c>
      <c r="G874" s="43">
        <f t="shared" si="241"/>
        <v>1</v>
      </c>
      <c r="H874" s="78">
        <v>1</v>
      </c>
      <c r="I874" s="15">
        <f t="shared" si="244"/>
        <v>0.6</v>
      </c>
      <c r="J874" s="16">
        <f>VLOOKUP(G874,Inputs!$L$3:$P$15,5,FALSE)</f>
        <v>2000</v>
      </c>
      <c r="K874" s="16">
        <f t="shared" si="245"/>
        <v>1825</v>
      </c>
      <c r="L874" s="79">
        <f>Inputs!$P$8-B874</f>
        <v>82.878500000000031</v>
      </c>
      <c r="M874" s="79">
        <f>Inputs!$Q$8+L874*0.433</f>
        <v>1860.8863905000001</v>
      </c>
      <c r="N874" s="82">
        <f t="shared" si="246"/>
        <v>176499.92</v>
      </c>
      <c r="O874" s="83">
        <f t="shared" si="247"/>
        <v>855.3125</v>
      </c>
      <c r="P874" s="84">
        <f>IF(O874="","",Inputs!$C$5-O874)</f>
        <v>-30.128000000000043</v>
      </c>
      <c r="Q874" s="83">
        <f>IF(N874="","",TS!J874)</f>
        <v>2000</v>
      </c>
      <c r="R874" s="83">
        <f>IF(N874="","",TS!K874)</f>
        <v>1825</v>
      </c>
      <c r="S874" s="83">
        <f>Inputs!$H$5+TS!P874*0.4333</f>
        <v>1861.91125405</v>
      </c>
      <c r="T874" s="83">
        <f>Inputs!$G$5+TS!P874*0.4333</f>
        <v>1876.91125405</v>
      </c>
      <c r="U874" s="85">
        <f t="shared" si="248"/>
        <v>0.93845562702499996</v>
      </c>
      <c r="V874" s="86">
        <f t="shared" si="236"/>
        <v>0</v>
      </c>
      <c r="W874" s="86">
        <f t="shared" si="237"/>
        <v>0</v>
      </c>
      <c r="X874" s="86" t="e">
        <f>((PI()*((42-2*'Gen Calcs'!$E$13)^2)/4)/144)*(A917-#REF!)*(W874+14.7)/14.7</f>
        <v>#REF!</v>
      </c>
      <c r="Y874" s="86" t="e">
        <f t="shared" si="238"/>
        <v>#REF!</v>
      </c>
      <c r="Z874" s="86" t="e">
        <f t="shared" si="239"/>
        <v>#REF!</v>
      </c>
      <c r="AA874" s="83">
        <f>MAX(B$2:B874)-B874</f>
        <v>82.878500000000031</v>
      </c>
      <c r="AB874" s="83">
        <f t="shared" si="240"/>
        <v>35.886390500000012</v>
      </c>
      <c r="AC874" s="83">
        <f t="shared" si="242"/>
        <v>120</v>
      </c>
      <c r="AD874" s="72">
        <v>120</v>
      </c>
      <c r="AE874" s="73">
        <f t="shared" si="249"/>
        <v>907.92027688745009</v>
      </c>
      <c r="AF874" s="73">
        <f>SUM(AE$2:AE874)</f>
        <v>731025.91628248827</v>
      </c>
      <c r="AG874" s="73">
        <f t="shared" si="250"/>
        <v>442703.98614462093</v>
      </c>
    </row>
    <row r="875" spans="1:33" x14ac:dyDescent="0.25">
      <c r="A875" s="99">
        <v>176599.92</v>
      </c>
      <c r="B875" s="96">
        <v>860.1748</v>
      </c>
      <c r="C875" s="96">
        <v>0.6</v>
      </c>
      <c r="D875" s="80">
        <f t="shared" si="251"/>
        <v>100</v>
      </c>
      <c r="E875" s="81">
        <f t="shared" si="243"/>
        <v>6791.2436711181272</v>
      </c>
      <c r="F875" s="81">
        <f>SUM(E$2:E875)</f>
        <v>5470483.7943548867</v>
      </c>
      <c r="G875" s="43">
        <f t="shared" si="241"/>
        <v>1</v>
      </c>
      <c r="H875" s="78">
        <v>1</v>
      </c>
      <c r="I875" s="15">
        <f t="shared" si="244"/>
        <v>0.6</v>
      </c>
      <c r="J875" s="16">
        <f>VLOOKUP(G875,Inputs!$L$3:$P$15,5,FALSE)</f>
        <v>2000</v>
      </c>
      <c r="K875" s="16">
        <f t="shared" si="245"/>
        <v>1825</v>
      </c>
      <c r="L875" s="79">
        <f>Inputs!$P$8-B875</f>
        <v>78.016200000000026</v>
      </c>
      <c r="M875" s="79">
        <f>Inputs!$Q$8+L875*0.433</f>
        <v>1858.7810145999999</v>
      </c>
      <c r="N875" s="82">
        <f t="shared" si="246"/>
        <v>176599.92</v>
      </c>
      <c r="O875" s="83">
        <f t="shared" si="247"/>
        <v>860.1748</v>
      </c>
      <c r="P875" s="84">
        <f>IF(O875="","",Inputs!$C$5-O875)</f>
        <v>-34.990300000000047</v>
      </c>
      <c r="Q875" s="83">
        <f>IF(N875="","",TS!J875)</f>
        <v>2000</v>
      </c>
      <c r="R875" s="83">
        <f>IF(N875="","",TS!K875)</f>
        <v>1825</v>
      </c>
      <c r="S875" s="83">
        <f>Inputs!$H$5+TS!P875*0.4333</f>
        <v>1859.80441946</v>
      </c>
      <c r="T875" s="83">
        <f>Inputs!$G$5+TS!P875*0.4333</f>
        <v>1874.80441946</v>
      </c>
      <c r="U875" s="85">
        <f t="shared" si="248"/>
        <v>0.93740220972999999</v>
      </c>
      <c r="V875" s="86">
        <f t="shared" si="236"/>
        <v>0</v>
      </c>
      <c r="W875" s="86">
        <f t="shared" si="237"/>
        <v>0</v>
      </c>
      <c r="X875" s="86" t="e">
        <f>((PI()*((42-2*'Gen Calcs'!$E$13)^2)/4)/144)*(A918-#REF!)*(W875+14.7)/14.7</f>
        <v>#REF!</v>
      </c>
      <c r="Y875" s="86" t="e">
        <f t="shared" si="238"/>
        <v>#REF!</v>
      </c>
      <c r="Z875" s="86" t="e">
        <f t="shared" si="239"/>
        <v>#REF!</v>
      </c>
      <c r="AA875" s="83">
        <f>MAX(B$2:B875)-B875</f>
        <v>78.016200000000026</v>
      </c>
      <c r="AB875" s="83">
        <f t="shared" si="240"/>
        <v>33.781014600000013</v>
      </c>
      <c r="AC875" s="83">
        <f t="shared" si="242"/>
        <v>120</v>
      </c>
      <c r="AD875" s="72">
        <v>120</v>
      </c>
      <c r="AE875" s="73">
        <f t="shared" si="249"/>
        <v>907.92027688745009</v>
      </c>
      <c r="AF875" s="73">
        <f>SUM(AE$2:AE875)</f>
        <v>731933.83655937575</v>
      </c>
      <c r="AG875" s="73">
        <f t="shared" si="250"/>
        <v>441796.06586773344</v>
      </c>
    </row>
    <row r="876" spans="1:33" x14ac:dyDescent="0.25">
      <c r="A876" s="100">
        <v>176699.92</v>
      </c>
      <c r="B876" s="97">
        <v>864.62959999999998</v>
      </c>
      <c r="C876" s="97">
        <v>0.6</v>
      </c>
      <c r="D876" s="80">
        <f t="shared" si="251"/>
        <v>100</v>
      </c>
      <c r="E876" s="81">
        <f t="shared" si="243"/>
        <v>6791.2436711181272</v>
      </c>
      <c r="F876" s="81">
        <f>SUM(E$2:E876)</f>
        <v>5477275.038026005</v>
      </c>
      <c r="G876" s="43">
        <f t="shared" si="241"/>
        <v>1</v>
      </c>
      <c r="H876" s="78">
        <v>1</v>
      </c>
      <c r="I876" s="15">
        <f t="shared" si="244"/>
        <v>0.6</v>
      </c>
      <c r="J876" s="16">
        <f>VLOOKUP(G876,Inputs!$L$3:$P$15,5,FALSE)</f>
        <v>2000</v>
      </c>
      <c r="K876" s="16">
        <f t="shared" si="245"/>
        <v>1825</v>
      </c>
      <c r="L876" s="79">
        <f>Inputs!$P$8-B876</f>
        <v>73.561400000000049</v>
      </c>
      <c r="M876" s="79">
        <f>Inputs!$Q$8+L876*0.433</f>
        <v>1856.8520862</v>
      </c>
      <c r="N876" s="82">
        <f t="shared" si="246"/>
        <v>176699.92</v>
      </c>
      <c r="O876" s="83">
        <f t="shared" si="247"/>
        <v>864.62959999999998</v>
      </c>
      <c r="P876" s="84">
        <f>IF(O876="","",Inputs!$C$5-O876)</f>
        <v>-39.445100000000025</v>
      </c>
      <c r="Q876" s="83">
        <f>IF(N876="","",TS!J876)</f>
        <v>2000</v>
      </c>
      <c r="R876" s="83">
        <f>IF(N876="","",TS!K876)</f>
        <v>1825</v>
      </c>
      <c r="S876" s="83">
        <f>Inputs!$H$5+TS!P876*0.4333</f>
        <v>1857.8741546199999</v>
      </c>
      <c r="T876" s="83">
        <f>Inputs!$G$5+TS!P876*0.4333</f>
        <v>1872.8741546199999</v>
      </c>
      <c r="U876" s="85">
        <f t="shared" si="248"/>
        <v>0.93643707730999992</v>
      </c>
      <c r="V876" s="86">
        <f t="shared" si="236"/>
        <v>0</v>
      </c>
      <c r="W876" s="86">
        <f t="shared" si="237"/>
        <v>0</v>
      </c>
      <c r="X876" s="86" t="e">
        <f>((PI()*((42-2*'Gen Calcs'!$E$13)^2)/4)/144)*(A919-#REF!)*(W876+14.7)/14.7</f>
        <v>#REF!</v>
      </c>
      <c r="Y876" s="86" t="e">
        <f t="shared" si="238"/>
        <v>#REF!</v>
      </c>
      <c r="Z876" s="86" t="e">
        <f t="shared" si="239"/>
        <v>#REF!</v>
      </c>
      <c r="AA876" s="83">
        <f>MAX(B$2:B876)-B876</f>
        <v>73.561400000000049</v>
      </c>
      <c r="AB876" s="83">
        <f t="shared" si="240"/>
        <v>31.85208620000002</v>
      </c>
      <c r="AC876" s="83">
        <f t="shared" si="242"/>
        <v>120</v>
      </c>
      <c r="AD876" s="72">
        <v>120</v>
      </c>
      <c r="AE876" s="73">
        <f t="shared" si="249"/>
        <v>907.92027688745009</v>
      </c>
      <c r="AF876" s="73">
        <f>SUM(AE$2:AE876)</f>
        <v>732841.75683626323</v>
      </c>
      <c r="AG876" s="73">
        <f t="shared" si="250"/>
        <v>440888.14559084596</v>
      </c>
    </row>
    <row r="877" spans="1:33" x14ac:dyDescent="0.25">
      <c r="A877" s="99">
        <v>176714</v>
      </c>
      <c r="B877" s="96">
        <v>864.62959999999998</v>
      </c>
      <c r="C877" s="96">
        <v>0.86399999999999999</v>
      </c>
      <c r="D877" s="80">
        <f t="shared" si="251"/>
        <v>14.079999999987194</v>
      </c>
      <c r="E877" s="81">
        <f t="shared" si="243"/>
        <v>956.20710889256259</v>
      </c>
      <c r="F877" s="81">
        <f>SUM(E$2:E877)</f>
        <v>5478231.2451348975</v>
      </c>
      <c r="G877" s="43">
        <f t="shared" si="241"/>
        <v>2</v>
      </c>
      <c r="H877" s="78">
        <v>1</v>
      </c>
      <c r="I877" s="15">
        <f t="shared" si="244"/>
        <v>0.86399999999999999</v>
      </c>
      <c r="J877" s="16">
        <f>VLOOKUP(G877,Inputs!$L$3:$P$15,5,FALSE)</f>
        <v>2880</v>
      </c>
      <c r="K877" s="16">
        <f t="shared" si="245"/>
        <v>1825</v>
      </c>
      <c r="L877" s="79">
        <f>Inputs!$P$8-B877</f>
        <v>73.561400000000049</v>
      </c>
      <c r="M877" s="79">
        <f>Inputs!$Q$8+L877*0.433</f>
        <v>1856.8520862</v>
      </c>
      <c r="N877" s="82">
        <f t="shared" si="246"/>
        <v>176714</v>
      </c>
      <c r="O877" s="83">
        <f t="shared" si="247"/>
        <v>864.62959999999998</v>
      </c>
      <c r="P877" s="84">
        <f>IF(O877="","",Inputs!$C$5-O877)</f>
        <v>-39.445100000000025</v>
      </c>
      <c r="Q877" s="83">
        <f>IF(N877="","",TS!J877)</f>
        <v>2880</v>
      </c>
      <c r="R877" s="83">
        <f>IF(N877="","",TS!K877)</f>
        <v>1825</v>
      </c>
      <c r="S877" s="83">
        <f>Inputs!$H$5+TS!P877*0.4333</f>
        <v>1857.8741546199999</v>
      </c>
      <c r="T877" s="83">
        <f>Inputs!$G$5+TS!P877*0.4333</f>
        <v>1872.8741546199999</v>
      </c>
      <c r="U877" s="85">
        <f t="shared" si="248"/>
        <v>0.65030352590972218</v>
      </c>
      <c r="V877" s="86">
        <f t="shared" si="236"/>
        <v>0</v>
      </c>
      <c r="W877" s="86">
        <f t="shared" si="237"/>
        <v>0</v>
      </c>
      <c r="X877" s="86" t="e">
        <f>((PI()*((42-2*'Gen Calcs'!$E$13)^2)/4)/144)*(A920-#REF!)*(W877+14.7)/14.7</f>
        <v>#REF!</v>
      </c>
      <c r="Y877" s="86" t="e">
        <f t="shared" si="238"/>
        <v>#REF!</v>
      </c>
      <c r="Z877" s="86" t="e">
        <f t="shared" si="239"/>
        <v>#REF!</v>
      </c>
      <c r="AA877" s="83">
        <f>MAX(B$2:B877)-B877</f>
        <v>73.561400000000049</v>
      </c>
      <c r="AB877" s="83">
        <f t="shared" si="240"/>
        <v>31.85208620000002</v>
      </c>
      <c r="AC877" s="83">
        <f t="shared" si="242"/>
        <v>120</v>
      </c>
      <c r="AD877" s="72">
        <v>120</v>
      </c>
      <c r="AE877" s="73">
        <f t="shared" si="249"/>
        <v>124.54790894264966</v>
      </c>
      <c r="AF877" s="73">
        <f>SUM(AE$2:AE877)</f>
        <v>732966.30474520591</v>
      </c>
      <c r="AG877" s="73">
        <f t="shared" si="250"/>
        <v>440763.59768190328</v>
      </c>
    </row>
    <row r="878" spans="1:33" x14ac:dyDescent="0.25">
      <c r="A878" s="100">
        <v>176794</v>
      </c>
      <c r="B878" s="97">
        <v>864.62959999999998</v>
      </c>
      <c r="C878" s="97">
        <v>0.86399999999999999</v>
      </c>
      <c r="D878" s="80">
        <f t="shared" si="251"/>
        <v>80</v>
      </c>
      <c r="E878" s="81">
        <f t="shared" si="243"/>
        <v>5432.9949368945017</v>
      </c>
      <c r="F878" s="81">
        <f>SUM(E$2:E878)</f>
        <v>5483664.2400717922</v>
      </c>
      <c r="G878" s="43">
        <f t="shared" si="241"/>
        <v>2</v>
      </c>
      <c r="H878" s="78">
        <v>1</v>
      </c>
      <c r="I878" s="15">
        <f t="shared" si="244"/>
        <v>0.86399999999999999</v>
      </c>
      <c r="J878" s="16">
        <f>VLOOKUP(G878,Inputs!$L$3:$P$15,5,FALSE)</f>
        <v>2880</v>
      </c>
      <c r="K878" s="16">
        <f t="shared" si="245"/>
        <v>1825</v>
      </c>
      <c r="L878" s="79">
        <f>Inputs!$P$8-B878</f>
        <v>73.561400000000049</v>
      </c>
      <c r="M878" s="79">
        <f>Inputs!$Q$8+L878*0.433</f>
        <v>1856.8520862</v>
      </c>
      <c r="N878" s="82">
        <f t="shared" si="246"/>
        <v>176794</v>
      </c>
      <c r="O878" s="83">
        <f t="shared" si="247"/>
        <v>864.62959999999998</v>
      </c>
      <c r="P878" s="84">
        <f>IF(O878="","",Inputs!$C$5-O878)</f>
        <v>-39.445100000000025</v>
      </c>
      <c r="Q878" s="83">
        <f>IF(N878="","",TS!J878)</f>
        <v>2880</v>
      </c>
      <c r="R878" s="83">
        <f>IF(N878="","",TS!K878)</f>
        <v>1825</v>
      </c>
      <c r="S878" s="83">
        <f>Inputs!$H$5+TS!P878*0.4333</f>
        <v>1857.8741546199999</v>
      </c>
      <c r="T878" s="83">
        <f>Inputs!$G$5+TS!P878*0.4333</f>
        <v>1872.8741546199999</v>
      </c>
      <c r="U878" s="85">
        <f t="shared" si="248"/>
        <v>0.65030352590972218</v>
      </c>
      <c r="V878" s="86">
        <f t="shared" si="236"/>
        <v>0</v>
      </c>
      <c r="W878" s="86">
        <f t="shared" si="237"/>
        <v>0</v>
      </c>
      <c r="X878" s="86" t="e">
        <f>((PI()*((42-2*'Gen Calcs'!$E$13)^2)/4)/144)*(A921-#REF!)*(W878+14.7)/14.7</f>
        <v>#REF!</v>
      </c>
      <c r="Y878" s="86" t="e">
        <f t="shared" si="238"/>
        <v>#REF!</v>
      </c>
      <c r="Z878" s="86" t="e">
        <f t="shared" si="239"/>
        <v>#REF!</v>
      </c>
      <c r="AA878" s="83">
        <f>MAX(B$2:B878)-B878</f>
        <v>73.561400000000049</v>
      </c>
      <c r="AB878" s="83">
        <f t="shared" si="240"/>
        <v>31.85208620000002</v>
      </c>
      <c r="AC878" s="83">
        <f t="shared" si="242"/>
        <v>120</v>
      </c>
      <c r="AD878" s="72">
        <v>120</v>
      </c>
      <c r="AE878" s="73">
        <f t="shared" si="249"/>
        <v>707.6585735384258</v>
      </c>
      <c r="AF878" s="73">
        <f>SUM(AE$2:AE878)</f>
        <v>733673.96331874433</v>
      </c>
      <c r="AG878" s="73">
        <f t="shared" si="250"/>
        <v>440055.93910836487</v>
      </c>
    </row>
    <row r="879" spans="1:33" x14ac:dyDescent="0.25">
      <c r="A879" s="99">
        <v>176799.92</v>
      </c>
      <c r="B879" s="96">
        <v>867.93579999999997</v>
      </c>
      <c r="C879" s="96">
        <v>0.6</v>
      </c>
      <c r="D879" s="80">
        <f t="shared" si="251"/>
        <v>5.9200000000128057</v>
      </c>
      <c r="E879" s="81">
        <f t="shared" si="243"/>
        <v>402.04162533106273</v>
      </c>
      <c r="F879" s="81">
        <f>SUM(E$2:E879)</f>
        <v>5484066.2816971233</v>
      </c>
      <c r="G879" s="43">
        <f t="shared" si="241"/>
        <v>1</v>
      </c>
      <c r="H879" s="78">
        <v>1</v>
      </c>
      <c r="I879" s="15">
        <f t="shared" si="244"/>
        <v>0.6</v>
      </c>
      <c r="J879" s="16">
        <f>VLOOKUP(G879,Inputs!$L$3:$P$15,5,FALSE)</f>
        <v>2000</v>
      </c>
      <c r="K879" s="16">
        <f t="shared" si="245"/>
        <v>1825</v>
      </c>
      <c r="L879" s="79">
        <f>Inputs!$P$8-B879</f>
        <v>70.255200000000059</v>
      </c>
      <c r="M879" s="79">
        <f>Inputs!$Q$8+L879*0.433</f>
        <v>1855.4205016000001</v>
      </c>
      <c r="N879" s="82">
        <f t="shared" si="246"/>
        <v>176799.92</v>
      </c>
      <c r="O879" s="83">
        <f t="shared" si="247"/>
        <v>867.93579999999997</v>
      </c>
      <c r="P879" s="84">
        <f>IF(O879="","",Inputs!$C$5-O879)</f>
        <v>-42.751300000000015</v>
      </c>
      <c r="Q879" s="83">
        <f>IF(N879="","",TS!J879)</f>
        <v>2000</v>
      </c>
      <c r="R879" s="83">
        <f>IF(N879="","",TS!K879)</f>
        <v>1825</v>
      </c>
      <c r="S879" s="83">
        <f>Inputs!$H$5+TS!P879*0.4333</f>
        <v>1856.4415781599998</v>
      </c>
      <c r="T879" s="83">
        <f>Inputs!$G$5+TS!P879*0.4333</f>
        <v>1871.4415781599998</v>
      </c>
      <c r="U879" s="85">
        <f t="shared" si="248"/>
        <v>0.93572078907999989</v>
      </c>
      <c r="V879" s="86">
        <f t="shared" si="236"/>
        <v>0</v>
      </c>
      <c r="W879" s="86">
        <f t="shared" si="237"/>
        <v>0</v>
      </c>
      <c r="X879" s="86" t="e">
        <f>((PI()*((42-2*'Gen Calcs'!$E$13)^2)/4)/144)*(A922-#REF!)*(W879+14.7)/14.7</f>
        <v>#REF!</v>
      </c>
      <c r="Y879" s="86" t="e">
        <f t="shared" si="238"/>
        <v>#REF!</v>
      </c>
      <c r="Z879" s="86" t="e">
        <f t="shared" si="239"/>
        <v>#REF!</v>
      </c>
      <c r="AA879" s="83">
        <f>MAX(B$2:B879)-B879</f>
        <v>70.255200000000059</v>
      </c>
      <c r="AB879" s="83">
        <f t="shared" si="240"/>
        <v>30.420501600000026</v>
      </c>
      <c r="AC879" s="83">
        <f t="shared" si="242"/>
        <v>120</v>
      </c>
      <c r="AD879" s="72">
        <v>120</v>
      </c>
      <c r="AE879" s="73">
        <f t="shared" si="249"/>
        <v>53.748880391853305</v>
      </c>
      <c r="AF879" s="73">
        <f>SUM(AE$2:AE879)</f>
        <v>733727.71219913615</v>
      </c>
      <c r="AG879" s="73">
        <f t="shared" si="250"/>
        <v>440002.19022797304</v>
      </c>
    </row>
    <row r="880" spans="1:33" x14ac:dyDescent="0.25">
      <c r="A880" s="100">
        <v>176899.92</v>
      </c>
      <c r="B880" s="97">
        <v>871.54340000000002</v>
      </c>
      <c r="C880" s="97">
        <v>0.6</v>
      </c>
      <c r="D880" s="80">
        <f t="shared" si="251"/>
        <v>100</v>
      </c>
      <c r="E880" s="81">
        <f t="shared" si="243"/>
        <v>6791.2436711181272</v>
      </c>
      <c r="F880" s="81">
        <f>SUM(E$2:E880)</f>
        <v>5490857.5253682416</v>
      </c>
      <c r="G880" s="43">
        <f t="shared" si="241"/>
        <v>1</v>
      </c>
      <c r="H880" s="78">
        <v>1</v>
      </c>
      <c r="I880" s="15">
        <f t="shared" si="244"/>
        <v>0.6</v>
      </c>
      <c r="J880" s="16">
        <f>VLOOKUP(G880,Inputs!$L$3:$P$15,5,FALSE)</f>
        <v>2000</v>
      </c>
      <c r="K880" s="16">
        <f t="shared" si="245"/>
        <v>1825</v>
      </c>
      <c r="L880" s="79">
        <f>Inputs!$P$8-B880</f>
        <v>66.647600000000011</v>
      </c>
      <c r="M880" s="79">
        <f>Inputs!$Q$8+L880*0.433</f>
        <v>1853.8584108</v>
      </c>
      <c r="N880" s="82">
        <f t="shared" si="246"/>
        <v>176899.92</v>
      </c>
      <c r="O880" s="83">
        <f t="shared" si="247"/>
        <v>871.54340000000002</v>
      </c>
      <c r="P880" s="84">
        <f>IF(O880="","",Inputs!$C$5-O880)</f>
        <v>-46.358900000000062</v>
      </c>
      <c r="Q880" s="83">
        <f>IF(N880="","",TS!J880)</f>
        <v>2000</v>
      </c>
      <c r="R880" s="83">
        <f>IF(N880="","",TS!K880)</f>
        <v>1825</v>
      </c>
      <c r="S880" s="83">
        <f>Inputs!$H$5+TS!P880*0.4333</f>
        <v>1854.87840508</v>
      </c>
      <c r="T880" s="83">
        <f>Inputs!$G$5+TS!P880*0.4333</f>
        <v>1869.87840508</v>
      </c>
      <c r="U880" s="85">
        <f t="shared" si="248"/>
        <v>0.93493920253999996</v>
      </c>
      <c r="V880" s="86">
        <f t="shared" si="236"/>
        <v>0</v>
      </c>
      <c r="W880" s="86">
        <f t="shared" si="237"/>
        <v>0</v>
      </c>
      <c r="X880" s="86" t="e">
        <f>((PI()*((42-2*'Gen Calcs'!$E$13)^2)/4)/144)*(A923-#REF!)*(W880+14.7)/14.7</f>
        <v>#REF!</v>
      </c>
      <c r="Y880" s="86" t="e">
        <f t="shared" si="238"/>
        <v>#REF!</v>
      </c>
      <c r="Z880" s="86" t="e">
        <f t="shared" si="239"/>
        <v>#REF!</v>
      </c>
      <c r="AA880" s="83">
        <f>MAX(B$2:B880)-B880</f>
        <v>66.647600000000011</v>
      </c>
      <c r="AB880" s="83">
        <f t="shared" si="240"/>
        <v>28.858410800000005</v>
      </c>
      <c r="AC880" s="83">
        <f t="shared" si="242"/>
        <v>120</v>
      </c>
      <c r="AD880" s="72">
        <v>120</v>
      </c>
      <c r="AE880" s="73">
        <f t="shared" si="249"/>
        <v>907.92027688745009</v>
      </c>
      <c r="AF880" s="73">
        <f>SUM(AE$2:AE880)</f>
        <v>734635.63247602363</v>
      </c>
      <c r="AG880" s="73">
        <f t="shared" si="250"/>
        <v>439094.26995108556</v>
      </c>
    </row>
    <row r="881" spans="1:33" x14ac:dyDescent="0.25">
      <c r="A881" s="99">
        <v>176999.92</v>
      </c>
      <c r="B881" s="96">
        <v>874.62900000000002</v>
      </c>
      <c r="C881" s="96">
        <v>0.6</v>
      </c>
      <c r="D881" s="80">
        <f t="shared" si="251"/>
        <v>100</v>
      </c>
      <c r="E881" s="81">
        <f t="shared" si="243"/>
        <v>6791.2436711181272</v>
      </c>
      <c r="F881" s="81">
        <f>SUM(E$2:E881)</f>
        <v>5497648.7690393599</v>
      </c>
      <c r="G881" s="43">
        <f t="shared" si="241"/>
        <v>1</v>
      </c>
      <c r="H881" s="78">
        <v>1</v>
      </c>
      <c r="I881" s="15">
        <f t="shared" si="244"/>
        <v>0.6</v>
      </c>
      <c r="J881" s="16">
        <f>VLOOKUP(G881,Inputs!$L$3:$P$15,5,FALSE)</f>
        <v>2000</v>
      </c>
      <c r="K881" s="16">
        <f t="shared" si="245"/>
        <v>1825</v>
      </c>
      <c r="L881" s="79">
        <f>Inputs!$P$8-B881</f>
        <v>63.562000000000012</v>
      </c>
      <c r="M881" s="79">
        <f>Inputs!$Q$8+L881*0.433</f>
        <v>1852.522346</v>
      </c>
      <c r="N881" s="82">
        <f t="shared" si="246"/>
        <v>176999.92</v>
      </c>
      <c r="O881" s="83">
        <f t="shared" si="247"/>
        <v>874.62900000000002</v>
      </c>
      <c r="P881" s="84">
        <f>IF(O881="","",Inputs!$C$5-O881)</f>
        <v>-49.444500000000062</v>
      </c>
      <c r="Q881" s="83">
        <f>IF(N881="","",TS!J881)</f>
        <v>2000</v>
      </c>
      <c r="R881" s="83">
        <f>IF(N881="","",TS!K881)</f>
        <v>1825</v>
      </c>
      <c r="S881" s="83">
        <f>Inputs!$H$5+TS!P881*0.4333</f>
        <v>1853.5414145999998</v>
      </c>
      <c r="T881" s="83">
        <f>Inputs!$G$5+TS!P881*0.4333</f>
        <v>1868.5414145999998</v>
      </c>
      <c r="U881" s="85">
        <f t="shared" si="248"/>
        <v>0.93427070729999995</v>
      </c>
      <c r="V881" s="86">
        <f t="shared" si="236"/>
        <v>0</v>
      </c>
      <c r="W881" s="86">
        <f t="shared" si="237"/>
        <v>0</v>
      </c>
      <c r="X881" s="86" t="e">
        <f>((PI()*((42-2*'Gen Calcs'!$E$13)^2)/4)/144)*(A924-#REF!)*(W881+14.7)/14.7</f>
        <v>#REF!</v>
      </c>
      <c r="Y881" s="86" t="e">
        <f t="shared" si="238"/>
        <v>#REF!</v>
      </c>
      <c r="Z881" s="86" t="e">
        <f t="shared" si="239"/>
        <v>#REF!</v>
      </c>
      <c r="AA881" s="83">
        <f>MAX(B$2:B881)-B881</f>
        <v>63.562000000000012</v>
      </c>
      <c r="AB881" s="83">
        <f t="shared" si="240"/>
        <v>27.522346000000006</v>
      </c>
      <c r="AC881" s="83">
        <f t="shared" si="242"/>
        <v>120</v>
      </c>
      <c r="AD881" s="72">
        <v>120</v>
      </c>
      <c r="AE881" s="73">
        <f t="shared" si="249"/>
        <v>907.92027688745009</v>
      </c>
      <c r="AF881" s="73">
        <f>SUM(AE$2:AE881)</f>
        <v>735543.55275291111</v>
      </c>
      <c r="AG881" s="73">
        <f t="shared" si="250"/>
        <v>438186.34967419808</v>
      </c>
    </row>
    <row r="882" spans="1:33" x14ac:dyDescent="0.25">
      <c r="A882" s="100">
        <v>177099.92</v>
      </c>
      <c r="B882" s="97">
        <v>876.47820000000002</v>
      </c>
      <c r="C882" s="97">
        <v>0.6</v>
      </c>
      <c r="D882" s="80">
        <f t="shared" si="251"/>
        <v>100</v>
      </c>
      <c r="E882" s="81">
        <f t="shared" si="243"/>
        <v>6791.2436711181272</v>
      </c>
      <c r="F882" s="81">
        <f>SUM(E$2:E882)</f>
        <v>5504440.0127104782</v>
      </c>
      <c r="G882" s="43">
        <f t="shared" si="241"/>
        <v>1</v>
      </c>
      <c r="H882" s="78">
        <v>1</v>
      </c>
      <c r="I882" s="15">
        <f t="shared" si="244"/>
        <v>0.6</v>
      </c>
      <c r="J882" s="16">
        <f>VLOOKUP(G882,Inputs!$L$3:$P$15,5,FALSE)</f>
        <v>2000</v>
      </c>
      <c r="K882" s="16">
        <f t="shared" si="245"/>
        <v>1825</v>
      </c>
      <c r="L882" s="79">
        <f>Inputs!$P$8-B882</f>
        <v>61.712800000000016</v>
      </c>
      <c r="M882" s="79">
        <f>Inputs!$Q$8+L882*0.433</f>
        <v>1851.7216424000001</v>
      </c>
      <c r="N882" s="82">
        <f t="shared" si="246"/>
        <v>177099.92</v>
      </c>
      <c r="O882" s="83">
        <f t="shared" si="247"/>
        <v>876.47820000000002</v>
      </c>
      <c r="P882" s="84">
        <f>IF(O882="","",Inputs!$C$5-O882)</f>
        <v>-51.293700000000058</v>
      </c>
      <c r="Q882" s="83">
        <f>IF(N882="","",TS!J882)</f>
        <v>2000</v>
      </c>
      <c r="R882" s="83">
        <f>IF(N882="","",TS!K882)</f>
        <v>1825</v>
      </c>
      <c r="S882" s="83">
        <f>Inputs!$H$5+TS!P882*0.4333</f>
        <v>1852.74015624</v>
      </c>
      <c r="T882" s="83">
        <f>Inputs!$G$5+TS!P882*0.4333</f>
        <v>1867.74015624</v>
      </c>
      <c r="U882" s="85">
        <f t="shared" si="248"/>
        <v>0.93387007812</v>
      </c>
      <c r="V882" s="86">
        <f t="shared" si="236"/>
        <v>0</v>
      </c>
      <c r="W882" s="86">
        <f t="shared" si="237"/>
        <v>0</v>
      </c>
      <c r="X882" s="86" t="e">
        <f>((PI()*((42-2*'Gen Calcs'!$E$13)^2)/4)/144)*(A925-#REF!)*(W882+14.7)/14.7</f>
        <v>#REF!</v>
      </c>
      <c r="Y882" s="86" t="e">
        <f t="shared" si="238"/>
        <v>#REF!</v>
      </c>
      <c r="Z882" s="86" t="e">
        <f t="shared" si="239"/>
        <v>#REF!</v>
      </c>
      <c r="AA882" s="83">
        <f>MAX(B$2:B882)-B882</f>
        <v>61.712800000000016</v>
      </c>
      <c r="AB882" s="83">
        <f t="shared" si="240"/>
        <v>26.721642400000007</v>
      </c>
      <c r="AC882" s="83">
        <f t="shared" si="242"/>
        <v>120</v>
      </c>
      <c r="AD882" s="72">
        <v>120</v>
      </c>
      <c r="AE882" s="73">
        <f t="shared" si="249"/>
        <v>907.92027688745009</v>
      </c>
      <c r="AF882" s="73">
        <f>SUM(AE$2:AE882)</f>
        <v>736451.4730297986</v>
      </c>
      <c r="AG882" s="73">
        <f t="shared" si="250"/>
        <v>437278.4293973106</v>
      </c>
    </row>
    <row r="883" spans="1:33" x14ac:dyDescent="0.25">
      <c r="A883" s="99">
        <v>177199.92</v>
      </c>
      <c r="B883" s="96">
        <v>876.73230000000001</v>
      </c>
      <c r="C883" s="96">
        <v>0.6</v>
      </c>
      <c r="D883" s="80">
        <f t="shared" si="251"/>
        <v>100</v>
      </c>
      <c r="E883" s="81">
        <f t="shared" si="243"/>
        <v>6791.2436711181272</v>
      </c>
      <c r="F883" s="81">
        <f>SUM(E$2:E883)</f>
        <v>5511231.2563815964</v>
      </c>
      <c r="G883" s="43">
        <f t="shared" si="241"/>
        <v>1</v>
      </c>
      <c r="H883" s="78">
        <v>1</v>
      </c>
      <c r="I883" s="15">
        <f t="shared" si="244"/>
        <v>0.6</v>
      </c>
      <c r="J883" s="16">
        <f>VLOOKUP(G883,Inputs!$L$3:$P$15,5,FALSE)</f>
        <v>2000</v>
      </c>
      <c r="K883" s="16">
        <f t="shared" si="245"/>
        <v>1825</v>
      </c>
      <c r="L883" s="79">
        <f>Inputs!$P$8-B883</f>
        <v>61.458700000000022</v>
      </c>
      <c r="M883" s="79">
        <f>Inputs!$Q$8+L883*0.433</f>
        <v>1851.6116171000001</v>
      </c>
      <c r="N883" s="82">
        <f t="shared" si="246"/>
        <v>177199.92</v>
      </c>
      <c r="O883" s="83">
        <f t="shared" si="247"/>
        <v>876.73230000000001</v>
      </c>
      <c r="P883" s="84">
        <f>IF(O883="","",Inputs!$C$5-O883)</f>
        <v>-51.547800000000052</v>
      </c>
      <c r="Q883" s="83">
        <f>IF(N883="","",TS!J883)</f>
        <v>2000</v>
      </c>
      <c r="R883" s="83">
        <f>IF(N883="","",TS!K883)</f>
        <v>1825</v>
      </c>
      <c r="S883" s="83">
        <f>Inputs!$H$5+TS!P883*0.4333</f>
        <v>1852.63005471</v>
      </c>
      <c r="T883" s="83">
        <f>Inputs!$G$5+TS!P883*0.4333</f>
        <v>1867.63005471</v>
      </c>
      <c r="U883" s="85">
        <f t="shared" si="248"/>
        <v>0.93381502735499999</v>
      </c>
      <c r="V883" s="86">
        <f t="shared" si="236"/>
        <v>0</v>
      </c>
      <c r="W883" s="86">
        <f t="shared" si="237"/>
        <v>0</v>
      </c>
      <c r="X883" s="86" t="e">
        <f>((PI()*((42-2*'Gen Calcs'!$E$13)^2)/4)/144)*(A926-#REF!)*(W883+14.7)/14.7</f>
        <v>#REF!</v>
      </c>
      <c r="Y883" s="86" t="e">
        <f t="shared" si="238"/>
        <v>#REF!</v>
      </c>
      <c r="Z883" s="86" t="e">
        <f t="shared" si="239"/>
        <v>#REF!</v>
      </c>
      <c r="AA883" s="83">
        <f>MAX(B$2:B883)-B883</f>
        <v>61.458700000000022</v>
      </c>
      <c r="AB883" s="83">
        <f t="shared" si="240"/>
        <v>26.611617100000011</v>
      </c>
      <c r="AC883" s="83">
        <f t="shared" si="242"/>
        <v>120</v>
      </c>
      <c r="AD883" s="72">
        <v>120</v>
      </c>
      <c r="AE883" s="73">
        <f t="shared" si="249"/>
        <v>907.92027688745009</v>
      </c>
      <c r="AF883" s="73">
        <f>SUM(AE$2:AE883)</f>
        <v>737359.39330668608</v>
      </c>
      <c r="AG883" s="73">
        <f t="shared" si="250"/>
        <v>436370.50912042311</v>
      </c>
    </row>
    <row r="884" spans="1:33" x14ac:dyDescent="0.25">
      <c r="A884" s="100">
        <v>177299.92</v>
      </c>
      <c r="B884" s="97">
        <v>877.28510000000006</v>
      </c>
      <c r="C884" s="97">
        <v>0.6</v>
      </c>
      <c r="D884" s="80">
        <f t="shared" si="251"/>
        <v>100</v>
      </c>
      <c r="E884" s="81">
        <f t="shared" si="243"/>
        <v>6791.2436711181272</v>
      </c>
      <c r="F884" s="81">
        <f>SUM(E$2:E884)</f>
        <v>5518022.5000527147</v>
      </c>
      <c r="G884" s="43">
        <f t="shared" si="241"/>
        <v>1</v>
      </c>
      <c r="H884" s="78">
        <v>1</v>
      </c>
      <c r="I884" s="15">
        <f t="shared" si="244"/>
        <v>0.6</v>
      </c>
      <c r="J884" s="16">
        <f>VLOOKUP(G884,Inputs!$L$3:$P$15,5,FALSE)</f>
        <v>2000</v>
      </c>
      <c r="K884" s="16">
        <f t="shared" si="245"/>
        <v>1825</v>
      </c>
      <c r="L884" s="79">
        <f>Inputs!$P$8-B884</f>
        <v>60.905899999999974</v>
      </c>
      <c r="M884" s="79">
        <f>Inputs!$Q$8+L884*0.433</f>
        <v>1851.3722547</v>
      </c>
      <c r="N884" s="82">
        <f t="shared" si="246"/>
        <v>177299.92</v>
      </c>
      <c r="O884" s="83">
        <f t="shared" si="247"/>
        <v>877.28510000000006</v>
      </c>
      <c r="P884" s="84">
        <f>IF(O884="","",Inputs!$C$5-O884)</f>
        <v>-52.100600000000099</v>
      </c>
      <c r="Q884" s="83">
        <f>IF(N884="","",TS!J884)</f>
        <v>2000</v>
      </c>
      <c r="R884" s="83">
        <f>IF(N884="","",TS!K884)</f>
        <v>1825</v>
      </c>
      <c r="S884" s="83">
        <f>Inputs!$H$5+TS!P884*0.4333</f>
        <v>1852.3905264699999</v>
      </c>
      <c r="T884" s="83">
        <f>Inputs!$G$5+TS!P884*0.4333</f>
        <v>1867.3905264699999</v>
      </c>
      <c r="U884" s="85">
        <f t="shared" si="248"/>
        <v>0.93369526323499996</v>
      </c>
      <c r="V884" s="86">
        <f t="shared" si="236"/>
        <v>0</v>
      </c>
      <c r="W884" s="86">
        <f t="shared" si="237"/>
        <v>0</v>
      </c>
      <c r="X884" s="86" t="e">
        <f>((PI()*((42-2*'Gen Calcs'!$E$13)^2)/4)/144)*(A927-#REF!)*(W884+14.7)/14.7</f>
        <v>#REF!</v>
      </c>
      <c r="Y884" s="86" t="e">
        <f t="shared" si="238"/>
        <v>#REF!</v>
      </c>
      <c r="Z884" s="86" t="e">
        <f t="shared" si="239"/>
        <v>#REF!</v>
      </c>
      <c r="AA884" s="83">
        <f>MAX(B$2:B884)-B884</f>
        <v>60.905899999999974</v>
      </c>
      <c r="AB884" s="83">
        <f t="shared" si="240"/>
        <v>26.372254699999989</v>
      </c>
      <c r="AC884" s="83">
        <f t="shared" si="242"/>
        <v>120</v>
      </c>
      <c r="AD884" s="72">
        <v>120</v>
      </c>
      <c r="AE884" s="73">
        <f t="shared" si="249"/>
        <v>907.92027688745009</v>
      </c>
      <c r="AF884" s="73">
        <f>SUM(AE$2:AE884)</f>
        <v>738267.31358357356</v>
      </c>
      <c r="AG884" s="73">
        <f t="shared" si="250"/>
        <v>435462.58884353563</v>
      </c>
    </row>
    <row r="885" spans="1:33" x14ac:dyDescent="0.25">
      <c r="A885" s="99">
        <v>177399.92</v>
      </c>
      <c r="B885" s="96">
        <v>876.38789999999995</v>
      </c>
      <c r="C885" s="96">
        <v>0.6</v>
      </c>
      <c r="D885" s="80">
        <f t="shared" si="251"/>
        <v>100</v>
      </c>
      <c r="E885" s="81">
        <f t="shared" si="243"/>
        <v>6791.2436711181272</v>
      </c>
      <c r="F885" s="81">
        <f>SUM(E$2:E885)</f>
        <v>5524813.743723833</v>
      </c>
      <c r="G885" s="43">
        <f t="shared" si="241"/>
        <v>1</v>
      </c>
      <c r="H885" s="78">
        <v>1</v>
      </c>
      <c r="I885" s="15">
        <f t="shared" si="244"/>
        <v>0.6</v>
      </c>
      <c r="J885" s="16">
        <f>VLOOKUP(G885,Inputs!$L$3:$P$15,5,FALSE)</f>
        <v>2000</v>
      </c>
      <c r="K885" s="16">
        <f t="shared" si="245"/>
        <v>1825</v>
      </c>
      <c r="L885" s="79">
        <f>Inputs!$P$8-B885</f>
        <v>61.803100000000086</v>
      </c>
      <c r="M885" s="79">
        <f>Inputs!$Q$8+L885*0.433</f>
        <v>1851.7607422999999</v>
      </c>
      <c r="N885" s="82">
        <f t="shared" si="246"/>
        <v>177399.92</v>
      </c>
      <c r="O885" s="83">
        <f t="shared" si="247"/>
        <v>876.38789999999995</v>
      </c>
      <c r="P885" s="84">
        <f>IF(O885="","",Inputs!$C$5-O885)</f>
        <v>-51.203399999999988</v>
      </c>
      <c r="Q885" s="83">
        <f>IF(N885="","",TS!J885)</f>
        <v>2000</v>
      </c>
      <c r="R885" s="83">
        <f>IF(N885="","",TS!K885)</f>
        <v>1825</v>
      </c>
      <c r="S885" s="83">
        <f>Inputs!$H$5+TS!P885*0.4333</f>
        <v>1852.7792832299999</v>
      </c>
      <c r="T885" s="83">
        <f>Inputs!$G$5+TS!P885*0.4333</f>
        <v>1867.7792832299999</v>
      </c>
      <c r="U885" s="85">
        <f t="shared" si="248"/>
        <v>0.93388964161499999</v>
      </c>
      <c r="V885" s="86">
        <f t="shared" si="236"/>
        <v>0</v>
      </c>
      <c r="W885" s="86">
        <f t="shared" si="237"/>
        <v>0</v>
      </c>
      <c r="X885" s="86" t="e">
        <f>((PI()*((42-2*'Gen Calcs'!$E$13)^2)/4)/144)*(A928-#REF!)*(W885+14.7)/14.7</f>
        <v>#REF!</v>
      </c>
      <c r="Y885" s="86" t="e">
        <f t="shared" si="238"/>
        <v>#REF!</v>
      </c>
      <c r="Z885" s="86" t="e">
        <f t="shared" si="239"/>
        <v>#REF!</v>
      </c>
      <c r="AA885" s="83">
        <f>MAX(B$2:B885)-B885</f>
        <v>61.803100000000086</v>
      </c>
      <c r="AB885" s="83">
        <f t="shared" si="240"/>
        <v>26.760742300000036</v>
      </c>
      <c r="AC885" s="83">
        <f t="shared" si="242"/>
        <v>120</v>
      </c>
      <c r="AD885" s="72">
        <v>120</v>
      </c>
      <c r="AE885" s="73">
        <f t="shared" si="249"/>
        <v>907.92027688745009</v>
      </c>
      <c r="AF885" s="73">
        <f>SUM(AE$2:AE885)</f>
        <v>739175.23386046104</v>
      </c>
      <c r="AG885" s="73">
        <f t="shared" si="250"/>
        <v>434554.66856664815</v>
      </c>
    </row>
    <row r="886" spans="1:33" x14ac:dyDescent="0.25">
      <c r="A886" s="100">
        <v>177499.92</v>
      </c>
      <c r="B886" s="97">
        <v>875.02279999999996</v>
      </c>
      <c r="C886" s="97">
        <v>0.6</v>
      </c>
      <c r="D886" s="80">
        <f t="shared" si="251"/>
        <v>100</v>
      </c>
      <c r="E886" s="81">
        <f t="shared" si="243"/>
        <v>6791.2436711181272</v>
      </c>
      <c r="F886" s="81">
        <f>SUM(E$2:E886)</f>
        <v>5531604.9873949513</v>
      </c>
      <c r="G886" s="43">
        <f t="shared" si="241"/>
        <v>1</v>
      </c>
      <c r="H886" s="78">
        <v>1</v>
      </c>
      <c r="I886" s="15">
        <f t="shared" si="244"/>
        <v>0.6</v>
      </c>
      <c r="J886" s="16">
        <f>VLOOKUP(G886,Inputs!$L$3:$P$15,5,FALSE)</f>
        <v>2000</v>
      </c>
      <c r="K886" s="16">
        <f t="shared" si="245"/>
        <v>1825</v>
      </c>
      <c r="L886" s="79">
        <f>Inputs!$P$8-B886</f>
        <v>63.16820000000007</v>
      </c>
      <c r="M886" s="79">
        <f>Inputs!$Q$8+L886*0.433</f>
        <v>1852.3518306000001</v>
      </c>
      <c r="N886" s="82">
        <f t="shared" si="246"/>
        <v>177499.92</v>
      </c>
      <c r="O886" s="83">
        <f t="shared" si="247"/>
        <v>875.02279999999996</v>
      </c>
      <c r="P886" s="84">
        <f>IF(O886="","",Inputs!$C$5-O886)</f>
        <v>-49.838300000000004</v>
      </c>
      <c r="Q886" s="83">
        <f>IF(N886="","",TS!J886)</f>
        <v>2000</v>
      </c>
      <c r="R886" s="83">
        <f>IF(N886="","",TS!K886)</f>
        <v>1825</v>
      </c>
      <c r="S886" s="83">
        <f>Inputs!$H$5+TS!P886*0.4333</f>
        <v>1853.3707810599999</v>
      </c>
      <c r="T886" s="83">
        <f>Inputs!$G$5+TS!P886*0.4333</f>
        <v>1868.3707810599999</v>
      </c>
      <c r="U886" s="85">
        <f t="shared" si="248"/>
        <v>0.93418539052999994</v>
      </c>
      <c r="V886" s="86">
        <f t="shared" ref="V886:V949" si="252">O886-MAX(O886:O886)</f>
        <v>0</v>
      </c>
      <c r="W886" s="86">
        <f t="shared" ref="W886:W949" si="253">-(V886)*0.433</f>
        <v>0</v>
      </c>
      <c r="X886" s="86" t="e">
        <f>((PI()*((42-2*'Gen Calcs'!$E$13)^2)/4)/144)*(A929-#REF!)*(W886+14.7)/14.7</f>
        <v>#REF!</v>
      </c>
      <c r="Y886" s="86" t="e">
        <f t="shared" ref="Y886:Y949" si="254">X886/1000</f>
        <v>#REF!</v>
      </c>
      <c r="Z886" s="86" t="e">
        <f t="shared" ref="Z886:Z949" si="255">IF(Y886&gt;Z885,Y886,Z885)</f>
        <v>#REF!</v>
      </c>
      <c r="AA886" s="83">
        <f>MAX(B$2:B886)-B886</f>
        <v>63.16820000000007</v>
      </c>
      <c r="AB886" s="83">
        <f t="shared" ref="AB886:AB949" si="256">AA886*0.433</f>
        <v>27.351830600000032</v>
      </c>
      <c r="AC886" s="83">
        <f t="shared" si="242"/>
        <v>120</v>
      </c>
      <c r="AD886" s="72">
        <v>120</v>
      </c>
      <c r="AE886" s="73">
        <f t="shared" si="249"/>
        <v>907.92027688745009</v>
      </c>
      <c r="AF886" s="73">
        <f>SUM(AE$2:AE886)</f>
        <v>740083.15413734852</v>
      </c>
      <c r="AG886" s="73">
        <f t="shared" si="250"/>
        <v>433646.74828976067</v>
      </c>
    </row>
    <row r="887" spans="1:33" x14ac:dyDescent="0.25">
      <c r="A887" s="99">
        <v>177599.92</v>
      </c>
      <c r="B887" s="96">
        <v>872.75909999999999</v>
      </c>
      <c r="C887" s="96">
        <v>0.6</v>
      </c>
      <c r="D887" s="80">
        <f t="shared" si="251"/>
        <v>100</v>
      </c>
      <c r="E887" s="81">
        <f t="shared" si="243"/>
        <v>6791.2436711181272</v>
      </c>
      <c r="F887" s="81">
        <f>SUM(E$2:E887)</f>
        <v>5538396.2310660696</v>
      </c>
      <c r="G887" s="43">
        <f t="shared" si="241"/>
        <v>1</v>
      </c>
      <c r="H887" s="78">
        <v>1</v>
      </c>
      <c r="I887" s="15">
        <f t="shared" si="244"/>
        <v>0.6</v>
      </c>
      <c r="J887" s="16">
        <f>VLOOKUP(G887,Inputs!$L$3:$P$15,5,FALSE)</f>
        <v>2000</v>
      </c>
      <c r="K887" s="16">
        <f t="shared" si="245"/>
        <v>1825</v>
      </c>
      <c r="L887" s="79">
        <f>Inputs!$P$8-B887</f>
        <v>65.431900000000041</v>
      </c>
      <c r="M887" s="79">
        <f>Inputs!$Q$8+L887*0.433</f>
        <v>1853.3320127</v>
      </c>
      <c r="N887" s="82">
        <f t="shared" si="246"/>
        <v>177599.92</v>
      </c>
      <c r="O887" s="83">
        <f t="shared" si="247"/>
        <v>872.75909999999999</v>
      </c>
      <c r="P887" s="84">
        <f>IF(O887="","",Inputs!$C$5-O887)</f>
        <v>-47.574600000000032</v>
      </c>
      <c r="Q887" s="83">
        <f>IF(N887="","",TS!J887)</f>
        <v>2000</v>
      </c>
      <c r="R887" s="83">
        <f>IF(N887="","",TS!K887)</f>
        <v>1825</v>
      </c>
      <c r="S887" s="83">
        <f>Inputs!$H$5+TS!P887*0.4333</f>
        <v>1854.35164227</v>
      </c>
      <c r="T887" s="83">
        <f>Inputs!$G$5+TS!P887*0.4333</f>
        <v>1869.35164227</v>
      </c>
      <c r="U887" s="85">
        <f t="shared" si="248"/>
        <v>0.93467582113500003</v>
      </c>
      <c r="V887" s="86">
        <f t="shared" si="252"/>
        <v>0</v>
      </c>
      <c r="W887" s="86">
        <f t="shared" si="253"/>
        <v>0</v>
      </c>
      <c r="X887" s="86" t="e">
        <f>((PI()*((42-2*'Gen Calcs'!$E$13)^2)/4)/144)*(A930-#REF!)*(W887+14.7)/14.7</f>
        <v>#REF!</v>
      </c>
      <c r="Y887" s="86" t="e">
        <f t="shared" si="254"/>
        <v>#REF!</v>
      </c>
      <c r="Z887" s="86" t="e">
        <f t="shared" si="255"/>
        <v>#REF!</v>
      </c>
      <c r="AA887" s="83">
        <f>MAX(B$2:B887)-B887</f>
        <v>65.431900000000041</v>
      </c>
      <c r="AB887" s="83">
        <f t="shared" si="256"/>
        <v>28.332012700000018</v>
      </c>
      <c r="AC887" s="83">
        <f t="shared" si="242"/>
        <v>120</v>
      </c>
      <c r="AD887" s="72">
        <v>120</v>
      </c>
      <c r="AE887" s="73">
        <f t="shared" si="249"/>
        <v>907.92027688745009</v>
      </c>
      <c r="AF887" s="73">
        <f>SUM(AE$2:AE887)</f>
        <v>740991.07441423601</v>
      </c>
      <c r="AG887" s="73">
        <f t="shared" si="250"/>
        <v>432738.82801287319</v>
      </c>
    </row>
    <row r="888" spans="1:33" x14ac:dyDescent="0.25">
      <c r="A888" s="100">
        <v>177699.92</v>
      </c>
      <c r="B888" s="97">
        <v>869.27250000000004</v>
      </c>
      <c r="C888" s="97">
        <v>0.6</v>
      </c>
      <c r="D888" s="80">
        <f t="shared" si="251"/>
        <v>100</v>
      </c>
      <c r="E888" s="81">
        <f t="shared" si="243"/>
        <v>6791.2436711181272</v>
      </c>
      <c r="F888" s="81">
        <f>SUM(E$2:E888)</f>
        <v>5545187.4747371878</v>
      </c>
      <c r="G888" s="43">
        <f t="shared" si="241"/>
        <v>1</v>
      </c>
      <c r="H888" s="78">
        <v>1</v>
      </c>
      <c r="I888" s="15">
        <f t="shared" si="244"/>
        <v>0.6</v>
      </c>
      <c r="J888" s="16">
        <f>VLOOKUP(G888,Inputs!$L$3:$P$15,5,FALSE)</f>
        <v>2000</v>
      </c>
      <c r="K888" s="16">
        <f t="shared" si="245"/>
        <v>1825</v>
      </c>
      <c r="L888" s="79">
        <f>Inputs!$P$8-B888</f>
        <v>68.918499999999995</v>
      </c>
      <c r="M888" s="79">
        <f>Inputs!$Q$8+L888*0.433</f>
        <v>1854.8417105000001</v>
      </c>
      <c r="N888" s="82">
        <f t="shared" si="246"/>
        <v>177699.92</v>
      </c>
      <c r="O888" s="83">
        <f t="shared" si="247"/>
        <v>869.27250000000004</v>
      </c>
      <c r="P888" s="84">
        <f>IF(O888="","",Inputs!$C$5-O888)</f>
        <v>-44.088000000000079</v>
      </c>
      <c r="Q888" s="83">
        <f>IF(N888="","",TS!J888)</f>
        <v>2000</v>
      </c>
      <c r="R888" s="83">
        <f>IF(N888="","",TS!K888)</f>
        <v>1825</v>
      </c>
      <c r="S888" s="83">
        <f>Inputs!$H$5+TS!P888*0.4333</f>
        <v>1855.8623860499999</v>
      </c>
      <c r="T888" s="83">
        <f>Inputs!$G$5+TS!P888*0.4333</f>
        <v>1870.8623860499999</v>
      </c>
      <c r="U888" s="85">
        <f t="shared" si="248"/>
        <v>0.935431193025</v>
      </c>
      <c r="V888" s="86">
        <f t="shared" si="252"/>
        <v>0</v>
      </c>
      <c r="W888" s="86">
        <f t="shared" si="253"/>
        <v>0</v>
      </c>
      <c r="X888" s="86" t="e">
        <f>((PI()*((42-2*'Gen Calcs'!$E$13)^2)/4)/144)*(A931-#REF!)*(W888+14.7)/14.7</f>
        <v>#REF!</v>
      </c>
      <c r="Y888" s="86" t="e">
        <f t="shared" si="254"/>
        <v>#REF!</v>
      </c>
      <c r="Z888" s="86" t="e">
        <f t="shared" si="255"/>
        <v>#REF!</v>
      </c>
      <c r="AA888" s="83">
        <f>MAX(B$2:B888)-B888</f>
        <v>68.918499999999995</v>
      </c>
      <c r="AB888" s="83">
        <f t="shared" si="256"/>
        <v>29.841710499999998</v>
      </c>
      <c r="AC888" s="83">
        <f t="shared" si="242"/>
        <v>120</v>
      </c>
      <c r="AD888" s="72">
        <v>120</v>
      </c>
      <c r="AE888" s="73">
        <f t="shared" si="249"/>
        <v>907.92027688745009</v>
      </c>
      <c r="AF888" s="73">
        <f>SUM(AE$2:AE888)</f>
        <v>741898.99469112349</v>
      </c>
      <c r="AG888" s="73">
        <f t="shared" si="250"/>
        <v>431830.9077359857</v>
      </c>
    </row>
    <row r="889" spans="1:33" x14ac:dyDescent="0.25">
      <c r="A889" s="99">
        <v>177799.92</v>
      </c>
      <c r="B889" s="96">
        <v>865.67600000000004</v>
      </c>
      <c r="C889" s="96">
        <v>0.6</v>
      </c>
      <c r="D889" s="80">
        <f t="shared" si="251"/>
        <v>100</v>
      </c>
      <c r="E889" s="81">
        <f t="shared" si="243"/>
        <v>6791.2436711181272</v>
      </c>
      <c r="F889" s="81">
        <f>SUM(E$2:E889)</f>
        <v>5551978.7184083061</v>
      </c>
      <c r="G889" s="43">
        <f t="shared" si="241"/>
        <v>1</v>
      </c>
      <c r="H889" s="78">
        <v>1</v>
      </c>
      <c r="I889" s="15">
        <f t="shared" si="244"/>
        <v>0.6</v>
      </c>
      <c r="J889" s="16">
        <f>VLOOKUP(G889,Inputs!$L$3:$P$15,5,FALSE)</f>
        <v>2000</v>
      </c>
      <c r="K889" s="16">
        <f t="shared" si="245"/>
        <v>1825</v>
      </c>
      <c r="L889" s="79">
        <f>Inputs!$P$8-B889</f>
        <v>72.514999999999986</v>
      </c>
      <c r="M889" s="79">
        <f>Inputs!$Q$8+L889*0.433</f>
        <v>1856.398995</v>
      </c>
      <c r="N889" s="82">
        <f t="shared" si="246"/>
        <v>177799.92</v>
      </c>
      <c r="O889" s="83">
        <f t="shared" si="247"/>
        <v>865.67600000000004</v>
      </c>
      <c r="P889" s="84">
        <f>IF(O889="","",Inputs!$C$5-O889)</f>
        <v>-40.491500000000087</v>
      </c>
      <c r="Q889" s="83">
        <f>IF(N889="","",TS!J889)</f>
        <v>2000</v>
      </c>
      <c r="R889" s="83">
        <f>IF(N889="","",TS!K889)</f>
        <v>1825</v>
      </c>
      <c r="S889" s="83">
        <f>Inputs!$H$5+TS!P889*0.4333</f>
        <v>1857.4207494999998</v>
      </c>
      <c r="T889" s="83">
        <f>Inputs!$G$5+TS!P889*0.4333</f>
        <v>1872.4207494999998</v>
      </c>
      <c r="U889" s="85">
        <f t="shared" si="248"/>
        <v>0.93621037474999991</v>
      </c>
      <c r="V889" s="86">
        <f t="shared" si="252"/>
        <v>0</v>
      </c>
      <c r="W889" s="86">
        <f t="shared" si="253"/>
        <v>0</v>
      </c>
      <c r="X889" s="86" t="e">
        <f>((PI()*((42-2*'Gen Calcs'!$E$13)^2)/4)/144)*(A932-#REF!)*(W889+14.7)/14.7</f>
        <v>#REF!</v>
      </c>
      <c r="Y889" s="86" t="e">
        <f t="shared" si="254"/>
        <v>#REF!</v>
      </c>
      <c r="Z889" s="86" t="e">
        <f t="shared" si="255"/>
        <v>#REF!</v>
      </c>
      <c r="AA889" s="83">
        <f>MAX(B$2:B889)-B889</f>
        <v>72.514999999999986</v>
      </c>
      <c r="AB889" s="83">
        <f t="shared" si="256"/>
        <v>31.398994999999992</v>
      </c>
      <c r="AC889" s="83">
        <f t="shared" si="242"/>
        <v>120</v>
      </c>
      <c r="AD889" s="72">
        <v>120</v>
      </c>
      <c r="AE889" s="73">
        <f t="shared" si="249"/>
        <v>907.92027688745009</v>
      </c>
      <c r="AF889" s="73">
        <f>SUM(AE$2:AE889)</f>
        <v>742806.91496801097</v>
      </c>
      <c r="AG889" s="73">
        <f t="shared" si="250"/>
        <v>430922.98745909822</v>
      </c>
    </row>
    <row r="890" spans="1:33" x14ac:dyDescent="0.25">
      <c r="A890" s="100">
        <v>177899.92</v>
      </c>
      <c r="B890" s="97">
        <v>861.53340000000003</v>
      </c>
      <c r="C890" s="97">
        <v>0.6</v>
      </c>
      <c r="D890" s="80">
        <f t="shared" si="251"/>
        <v>100</v>
      </c>
      <c r="E890" s="81">
        <f t="shared" si="243"/>
        <v>6791.2436711181272</v>
      </c>
      <c r="F890" s="81">
        <f>SUM(E$2:E890)</f>
        <v>5558769.9620794244</v>
      </c>
      <c r="G890" s="43">
        <f t="shared" si="241"/>
        <v>1</v>
      </c>
      <c r="H890" s="78">
        <v>1</v>
      </c>
      <c r="I890" s="15">
        <f t="shared" si="244"/>
        <v>0.6</v>
      </c>
      <c r="J890" s="16">
        <f>VLOOKUP(G890,Inputs!$L$3:$P$15,5,FALSE)</f>
        <v>2000</v>
      </c>
      <c r="K890" s="16">
        <f t="shared" si="245"/>
        <v>1825</v>
      </c>
      <c r="L890" s="79">
        <f>Inputs!$P$8-B890</f>
        <v>76.657600000000002</v>
      </c>
      <c r="M890" s="79">
        <f>Inputs!$Q$8+L890*0.433</f>
        <v>1858.1927407999999</v>
      </c>
      <c r="N890" s="82">
        <f t="shared" si="246"/>
        <v>177899.92</v>
      </c>
      <c r="O890" s="83">
        <f t="shared" si="247"/>
        <v>861.53340000000003</v>
      </c>
      <c r="P890" s="84">
        <f>IF(O890="","",Inputs!$C$5-O890)</f>
        <v>-36.348900000000071</v>
      </c>
      <c r="Q890" s="83">
        <f>IF(N890="","",TS!J890)</f>
        <v>2000</v>
      </c>
      <c r="R890" s="83">
        <f>IF(N890="","",TS!K890)</f>
        <v>1825</v>
      </c>
      <c r="S890" s="83">
        <f>Inputs!$H$5+TS!P890*0.4333</f>
        <v>1859.2157380799999</v>
      </c>
      <c r="T890" s="83">
        <f>Inputs!$G$5+TS!P890*0.4333</f>
        <v>1874.2157380799999</v>
      </c>
      <c r="U890" s="85">
        <f t="shared" si="248"/>
        <v>0.93710786903999999</v>
      </c>
      <c r="V890" s="86">
        <f t="shared" si="252"/>
        <v>0</v>
      </c>
      <c r="W890" s="86">
        <f t="shared" si="253"/>
        <v>0</v>
      </c>
      <c r="X890" s="86" t="e">
        <f>((PI()*((42-2*'Gen Calcs'!$E$13)^2)/4)/144)*(A933-#REF!)*(W890+14.7)/14.7</f>
        <v>#REF!</v>
      </c>
      <c r="Y890" s="86" t="e">
        <f t="shared" si="254"/>
        <v>#REF!</v>
      </c>
      <c r="Z890" s="86" t="e">
        <f t="shared" si="255"/>
        <v>#REF!</v>
      </c>
      <c r="AA890" s="83">
        <f>MAX(B$2:B890)-B890</f>
        <v>76.657600000000002</v>
      </c>
      <c r="AB890" s="83">
        <f t="shared" si="256"/>
        <v>33.192740800000003</v>
      </c>
      <c r="AC890" s="83">
        <f t="shared" si="242"/>
        <v>120</v>
      </c>
      <c r="AD890" s="72">
        <v>120</v>
      </c>
      <c r="AE890" s="73">
        <f t="shared" si="249"/>
        <v>907.92027688745009</v>
      </c>
      <c r="AF890" s="73">
        <f>SUM(AE$2:AE890)</f>
        <v>743714.83524489845</v>
      </c>
      <c r="AG890" s="73">
        <f t="shared" si="250"/>
        <v>430015.06718221074</v>
      </c>
    </row>
    <row r="891" spans="1:33" x14ac:dyDescent="0.25">
      <c r="A891" s="99">
        <v>177999.92</v>
      </c>
      <c r="B891" s="96">
        <v>859.23149999999998</v>
      </c>
      <c r="C891" s="96">
        <v>0.6</v>
      </c>
      <c r="D891" s="80">
        <f t="shared" si="251"/>
        <v>100</v>
      </c>
      <c r="E891" s="81">
        <f t="shared" si="243"/>
        <v>6791.2436711181272</v>
      </c>
      <c r="F891" s="81">
        <f>SUM(E$2:E891)</f>
        <v>5565561.2057505427</v>
      </c>
      <c r="G891" s="43">
        <f t="shared" si="241"/>
        <v>1</v>
      </c>
      <c r="H891" s="78">
        <v>1</v>
      </c>
      <c r="I891" s="15">
        <f t="shared" si="244"/>
        <v>0.6</v>
      </c>
      <c r="J891" s="16">
        <f>VLOOKUP(G891,Inputs!$L$3:$P$15,5,FALSE)</f>
        <v>2000</v>
      </c>
      <c r="K891" s="16">
        <f t="shared" si="245"/>
        <v>1825</v>
      </c>
      <c r="L891" s="79">
        <f>Inputs!$P$8-B891</f>
        <v>78.959500000000048</v>
      </c>
      <c r="M891" s="79">
        <f>Inputs!$Q$8+L891*0.433</f>
        <v>1859.1894635000001</v>
      </c>
      <c r="N891" s="82">
        <f t="shared" si="246"/>
        <v>177999.92</v>
      </c>
      <c r="O891" s="83">
        <f t="shared" si="247"/>
        <v>859.23149999999998</v>
      </c>
      <c r="P891" s="84">
        <f>IF(O891="","",Inputs!$C$5-O891)</f>
        <v>-34.047000000000025</v>
      </c>
      <c r="Q891" s="83">
        <f>IF(N891="","",TS!J891)</f>
        <v>2000</v>
      </c>
      <c r="R891" s="83">
        <f>IF(N891="","",TS!K891)</f>
        <v>1825</v>
      </c>
      <c r="S891" s="83">
        <f>Inputs!$H$5+TS!P891*0.4333</f>
        <v>1860.2131513499999</v>
      </c>
      <c r="T891" s="83">
        <f>Inputs!$G$5+TS!P891*0.4333</f>
        <v>1875.2131513499999</v>
      </c>
      <c r="U891" s="85">
        <f t="shared" si="248"/>
        <v>0.93760657567499994</v>
      </c>
      <c r="V891" s="86">
        <f t="shared" si="252"/>
        <v>0</v>
      </c>
      <c r="W891" s="86">
        <f t="shared" si="253"/>
        <v>0</v>
      </c>
      <c r="X891" s="86" t="e">
        <f>((PI()*((42-2*'Gen Calcs'!$E$13)^2)/4)/144)*(A934-#REF!)*(W891+14.7)/14.7</f>
        <v>#REF!</v>
      </c>
      <c r="Y891" s="86" t="e">
        <f t="shared" si="254"/>
        <v>#REF!</v>
      </c>
      <c r="Z891" s="86" t="e">
        <f t="shared" si="255"/>
        <v>#REF!</v>
      </c>
      <c r="AA891" s="83">
        <f>MAX(B$2:B891)-B891</f>
        <v>78.959500000000048</v>
      </c>
      <c r="AB891" s="83">
        <f t="shared" si="256"/>
        <v>34.189463500000024</v>
      </c>
      <c r="AC891" s="83">
        <f t="shared" si="242"/>
        <v>120</v>
      </c>
      <c r="AD891" s="72">
        <v>120</v>
      </c>
      <c r="AE891" s="73">
        <f t="shared" si="249"/>
        <v>907.92027688745009</v>
      </c>
      <c r="AF891" s="73">
        <f>SUM(AE$2:AE891)</f>
        <v>744622.75552178593</v>
      </c>
      <c r="AG891" s="73">
        <f t="shared" si="250"/>
        <v>429107.14690532326</v>
      </c>
    </row>
    <row r="892" spans="1:33" x14ac:dyDescent="0.25">
      <c r="A892" s="100">
        <v>178099.92</v>
      </c>
      <c r="B892" s="97">
        <v>856.2817</v>
      </c>
      <c r="C892" s="97">
        <v>0.6</v>
      </c>
      <c r="D892" s="80">
        <f t="shared" si="251"/>
        <v>100</v>
      </c>
      <c r="E892" s="81">
        <f t="shared" si="243"/>
        <v>6791.2436711181272</v>
      </c>
      <c r="F892" s="81">
        <f>SUM(E$2:E892)</f>
        <v>5572352.449421661</v>
      </c>
      <c r="G892" s="43">
        <f t="shared" si="241"/>
        <v>1</v>
      </c>
      <c r="H892" s="78">
        <v>1</v>
      </c>
      <c r="I892" s="15">
        <f t="shared" si="244"/>
        <v>0.6</v>
      </c>
      <c r="J892" s="16">
        <f>VLOOKUP(G892,Inputs!$L$3:$P$15,5,FALSE)</f>
        <v>2000</v>
      </c>
      <c r="K892" s="16">
        <f t="shared" si="245"/>
        <v>1825</v>
      </c>
      <c r="L892" s="79">
        <f>Inputs!$P$8-B892</f>
        <v>81.90930000000003</v>
      </c>
      <c r="M892" s="79">
        <f>Inputs!$Q$8+L892*0.433</f>
        <v>1860.4667268999999</v>
      </c>
      <c r="N892" s="82">
        <f t="shared" si="246"/>
        <v>178099.92</v>
      </c>
      <c r="O892" s="83">
        <f t="shared" si="247"/>
        <v>856.2817</v>
      </c>
      <c r="P892" s="84">
        <f>IF(O892="","",Inputs!$C$5-O892)</f>
        <v>-31.097200000000043</v>
      </c>
      <c r="Q892" s="83">
        <f>IF(N892="","",TS!J892)</f>
        <v>2000</v>
      </c>
      <c r="R892" s="83">
        <f>IF(N892="","",TS!K892)</f>
        <v>1825</v>
      </c>
      <c r="S892" s="83">
        <f>Inputs!$H$5+TS!P892*0.4333</f>
        <v>1861.49129969</v>
      </c>
      <c r="T892" s="83">
        <f>Inputs!$G$5+TS!P892*0.4333</f>
        <v>1876.49129969</v>
      </c>
      <c r="U892" s="85">
        <f t="shared" si="248"/>
        <v>0.93824564984500003</v>
      </c>
      <c r="V892" s="86">
        <f t="shared" si="252"/>
        <v>0</v>
      </c>
      <c r="W892" s="86">
        <f t="shared" si="253"/>
        <v>0</v>
      </c>
      <c r="X892" s="86" t="e">
        <f>((PI()*((42-2*'Gen Calcs'!$E$13)^2)/4)/144)*(A935-#REF!)*(W892+14.7)/14.7</f>
        <v>#REF!</v>
      </c>
      <c r="Y892" s="86" t="e">
        <f t="shared" si="254"/>
        <v>#REF!</v>
      </c>
      <c r="Z892" s="86" t="e">
        <f t="shared" si="255"/>
        <v>#REF!</v>
      </c>
      <c r="AA892" s="83">
        <f>MAX(B$2:B892)-B892</f>
        <v>81.90930000000003</v>
      </c>
      <c r="AB892" s="83">
        <f t="shared" si="256"/>
        <v>35.466726900000012</v>
      </c>
      <c r="AC892" s="83">
        <f t="shared" si="242"/>
        <v>120</v>
      </c>
      <c r="AD892" s="72">
        <v>120</v>
      </c>
      <c r="AE892" s="73">
        <f t="shared" si="249"/>
        <v>907.92027688745009</v>
      </c>
      <c r="AF892" s="73">
        <f>SUM(AE$2:AE892)</f>
        <v>745530.67579867342</v>
      </c>
      <c r="AG892" s="73">
        <f t="shared" si="250"/>
        <v>428199.22662843578</v>
      </c>
    </row>
    <row r="893" spans="1:33" x14ac:dyDescent="0.25">
      <c r="A893" s="99">
        <v>178199.92</v>
      </c>
      <c r="B893" s="96">
        <v>852.47230000000002</v>
      </c>
      <c r="C893" s="96">
        <v>0.6</v>
      </c>
      <c r="D893" s="80">
        <f t="shared" si="251"/>
        <v>100</v>
      </c>
      <c r="E893" s="81">
        <f t="shared" si="243"/>
        <v>6791.2436711181272</v>
      </c>
      <c r="F893" s="81">
        <f>SUM(E$2:E893)</f>
        <v>5579143.6930927793</v>
      </c>
      <c r="G893" s="43">
        <f t="shared" si="241"/>
        <v>1</v>
      </c>
      <c r="H893" s="78">
        <v>1</v>
      </c>
      <c r="I893" s="15">
        <f t="shared" si="244"/>
        <v>0.6</v>
      </c>
      <c r="J893" s="16">
        <f>VLOOKUP(G893,Inputs!$L$3:$P$15,5,FALSE)</f>
        <v>2000</v>
      </c>
      <c r="K893" s="16">
        <f t="shared" si="245"/>
        <v>1825</v>
      </c>
      <c r="L893" s="79">
        <f>Inputs!$P$8-B893</f>
        <v>85.718700000000013</v>
      </c>
      <c r="M893" s="79">
        <f>Inputs!$Q$8+L893*0.433</f>
        <v>1862.1161970999999</v>
      </c>
      <c r="N893" s="82">
        <f t="shared" si="246"/>
        <v>178199.92</v>
      </c>
      <c r="O893" s="83">
        <f t="shared" si="247"/>
        <v>852.47230000000002</v>
      </c>
      <c r="P893" s="84">
        <f>IF(O893="","",Inputs!$C$5-O893)</f>
        <v>-27.287800000000061</v>
      </c>
      <c r="Q893" s="83">
        <f>IF(N893="","",TS!J893)</f>
        <v>2000</v>
      </c>
      <c r="R893" s="83">
        <f>IF(N893="","",TS!K893)</f>
        <v>1825</v>
      </c>
      <c r="S893" s="83">
        <f>Inputs!$H$5+TS!P893*0.4333</f>
        <v>1863.1419127099998</v>
      </c>
      <c r="T893" s="83">
        <f>Inputs!$G$5+TS!P893*0.4333</f>
        <v>1878.1419127099998</v>
      </c>
      <c r="U893" s="85">
        <f t="shared" si="248"/>
        <v>0.93907095635499993</v>
      </c>
      <c r="V893" s="86">
        <f t="shared" si="252"/>
        <v>0</v>
      </c>
      <c r="W893" s="86">
        <f t="shared" si="253"/>
        <v>0</v>
      </c>
      <c r="X893" s="86" t="e">
        <f>((PI()*((42-2*'Gen Calcs'!$E$13)^2)/4)/144)*(A936-#REF!)*(W893+14.7)/14.7</f>
        <v>#REF!</v>
      </c>
      <c r="Y893" s="86" t="e">
        <f t="shared" si="254"/>
        <v>#REF!</v>
      </c>
      <c r="Z893" s="86" t="e">
        <f t="shared" si="255"/>
        <v>#REF!</v>
      </c>
      <c r="AA893" s="83">
        <f>MAX(B$2:B893)-B893</f>
        <v>85.718700000000013</v>
      </c>
      <c r="AB893" s="83">
        <f t="shared" si="256"/>
        <v>37.116197100000008</v>
      </c>
      <c r="AC893" s="83">
        <f t="shared" si="242"/>
        <v>120</v>
      </c>
      <c r="AD893" s="72">
        <v>120</v>
      </c>
      <c r="AE893" s="73">
        <f t="shared" si="249"/>
        <v>907.92027688745009</v>
      </c>
      <c r="AF893" s="73">
        <f>SUM(AE$2:AE893)</f>
        <v>746438.5960755609</v>
      </c>
      <c r="AG893" s="73">
        <f t="shared" si="250"/>
        <v>427291.30635154829</v>
      </c>
    </row>
    <row r="894" spans="1:33" x14ac:dyDescent="0.25">
      <c r="A894" s="100">
        <v>178299.92</v>
      </c>
      <c r="B894" s="97">
        <v>847.89880000000005</v>
      </c>
      <c r="C894" s="97">
        <v>0.6</v>
      </c>
      <c r="D894" s="80">
        <f t="shared" si="251"/>
        <v>100</v>
      </c>
      <c r="E894" s="81">
        <f t="shared" si="243"/>
        <v>6616.6076625842816</v>
      </c>
      <c r="F894" s="81">
        <f>SUM(E$2:E894)</f>
        <v>5585760.3007553639</v>
      </c>
      <c r="G894" s="43">
        <f t="shared" si="241"/>
        <v>1</v>
      </c>
      <c r="H894" s="78">
        <v>1</v>
      </c>
      <c r="I894" s="15">
        <f t="shared" si="244"/>
        <v>0.6</v>
      </c>
      <c r="J894" s="16">
        <f>VLOOKUP(G894,Inputs!$L$3:$P$15,5,FALSE)</f>
        <v>2000</v>
      </c>
      <c r="K894" s="16">
        <f t="shared" si="245"/>
        <v>1825</v>
      </c>
      <c r="L894" s="79">
        <f>Inputs!$P$8-B894</f>
        <v>90.29219999999998</v>
      </c>
      <c r="M894" s="79">
        <f>Inputs!$Q$8+L894*0.433</f>
        <v>1864.0965226000001</v>
      </c>
      <c r="N894" s="82">
        <f t="shared" si="246"/>
        <v>178299.92</v>
      </c>
      <c r="O894" s="83">
        <f t="shared" si="247"/>
        <v>847.89880000000005</v>
      </c>
      <c r="P894" s="84">
        <f>IF(O894="","",Inputs!$C$5-O894)</f>
        <v>-22.714300000000094</v>
      </c>
      <c r="Q894" s="83">
        <f>IF(N894="","",TS!J894)</f>
        <v>2000</v>
      </c>
      <c r="R894" s="83">
        <f>IF(N894="","",TS!K894)</f>
        <v>1825</v>
      </c>
      <c r="S894" s="83">
        <f>Inputs!$H$5+TS!P894*0.4333</f>
        <v>1865.1236102599999</v>
      </c>
      <c r="T894" s="83">
        <f>Inputs!$G$5+TS!P894*0.4333</f>
        <v>1880.1236102599999</v>
      </c>
      <c r="U894" s="85">
        <f t="shared" si="248"/>
        <v>0.94006180512999993</v>
      </c>
      <c r="V894" s="86">
        <f t="shared" si="252"/>
        <v>0</v>
      </c>
      <c r="W894" s="86">
        <f t="shared" si="253"/>
        <v>0</v>
      </c>
      <c r="X894" s="86" t="e">
        <f>((PI()*((42-2*'Gen Calcs'!$E$13)^2)/4)/144)*(A937-#REF!)*(W894+14.7)/14.7</f>
        <v>#REF!</v>
      </c>
      <c r="Y894" s="86" t="e">
        <f t="shared" si="254"/>
        <v>#REF!</v>
      </c>
      <c r="Z894" s="86" t="e">
        <f t="shared" si="255"/>
        <v>#REF!</v>
      </c>
      <c r="AA894" s="83">
        <f>MAX(B$2:B894)-B894</f>
        <v>90.29219999999998</v>
      </c>
      <c r="AB894" s="83">
        <f t="shared" si="256"/>
        <v>39.096522599999993</v>
      </c>
      <c r="AC894" s="83">
        <f t="shared" si="242"/>
        <v>120</v>
      </c>
      <c r="AD894" s="72">
        <v>120</v>
      </c>
      <c r="AE894" s="73">
        <f t="shared" si="249"/>
        <v>907.92027688745009</v>
      </c>
      <c r="AF894" s="73">
        <f>SUM(AE$2:AE894)</f>
        <v>747346.51635244838</v>
      </c>
      <c r="AG894" s="73">
        <f t="shared" si="250"/>
        <v>426383.38607466081</v>
      </c>
    </row>
    <row r="895" spans="1:33" x14ac:dyDescent="0.25">
      <c r="A895" s="99">
        <v>178399.92</v>
      </c>
      <c r="B895" s="96">
        <v>844.93380000000002</v>
      </c>
      <c r="C895" s="96">
        <v>0.6</v>
      </c>
      <c r="D895" s="80">
        <f t="shared" si="251"/>
        <v>100</v>
      </c>
      <c r="E895" s="81">
        <f t="shared" si="243"/>
        <v>6791.2436711181272</v>
      </c>
      <c r="F895" s="81">
        <f>SUM(E$2:E895)</f>
        <v>5592551.5444264822</v>
      </c>
      <c r="G895" s="43">
        <f t="shared" si="241"/>
        <v>1</v>
      </c>
      <c r="H895" s="78">
        <v>1</v>
      </c>
      <c r="I895" s="15">
        <f t="shared" si="244"/>
        <v>0.6</v>
      </c>
      <c r="J895" s="16">
        <f>VLOOKUP(G895,Inputs!$L$3:$P$15,5,FALSE)</f>
        <v>2000</v>
      </c>
      <c r="K895" s="16">
        <f t="shared" si="245"/>
        <v>1825</v>
      </c>
      <c r="L895" s="79">
        <f>Inputs!$P$8-B895</f>
        <v>93.257200000000012</v>
      </c>
      <c r="M895" s="79">
        <f>Inputs!$Q$8+L895*0.433</f>
        <v>1865.3803676</v>
      </c>
      <c r="N895" s="82">
        <f t="shared" si="246"/>
        <v>178399.92</v>
      </c>
      <c r="O895" s="83">
        <f t="shared" si="247"/>
        <v>844.93380000000002</v>
      </c>
      <c r="P895" s="84">
        <f>IF(O895="","",Inputs!$C$5-O895)</f>
        <v>-19.749300000000062</v>
      </c>
      <c r="Q895" s="83">
        <f>IF(N895="","",TS!J895)</f>
        <v>2000</v>
      </c>
      <c r="R895" s="83">
        <f>IF(N895="","",TS!K895)</f>
        <v>1825</v>
      </c>
      <c r="S895" s="83">
        <f>Inputs!$H$5+TS!P895*0.4333</f>
        <v>1866.4083447599999</v>
      </c>
      <c r="T895" s="83">
        <f>Inputs!$G$5+TS!P895*0.4333</f>
        <v>1881.4083447599999</v>
      </c>
      <c r="U895" s="85">
        <f t="shared" si="248"/>
        <v>0.94070417237999993</v>
      </c>
      <c r="V895" s="86">
        <f t="shared" si="252"/>
        <v>0</v>
      </c>
      <c r="W895" s="86">
        <f t="shared" si="253"/>
        <v>0</v>
      </c>
      <c r="X895" s="86" t="e">
        <f>((PI()*((42-2*'Gen Calcs'!$E$13)^2)/4)/144)*(A938-#REF!)*(W895+14.7)/14.7</f>
        <v>#REF!</v>
      </c>
      <c r="Y895" s="86" t="e">
        <f t="shared" si="254"/>
        <v>#REF!</v>
      </c>
      <c r="Z895" s="86" t="e">
        <f t="shared" si="255"/>
        <v>#REF!</v>
      </c>
      <c r="AA895" s="83">
        <f>MAX(B$2:B895)-B895</f>
        <v>93.257200000000012</v>
      </c>
      <c r="AB895" s="83">
        <f t="shared" si="256"/>
        <v>40.380367600000007</v>
      </c>
      <c r="AC895" s="83">
        <f t="shared" si="242"/>
        <v>120</v>
      </c>
      <c r="AD895" s="72">
        <v>120</v>
      </c>
      <c r="AE895" s="73">
        <f t="shared" si="249"/>
        <v>907.92027688745009</v>
      </c>
      <c r="AF895" s="73">
        <f>SUM(AE$2:AE895)</f>
        <v>748254.43662933586</v>
      </c>
      <c r="AG895" s="73">
        <f t="shared" si="250"/>
        <v>425475.46579777333</v>
      </c>
    </row>
    <row r="896" spans="1:33" x14ac:dyDescent="0.25">
      <c r="A896" s="100">
        <v>178499.92</v>
      </c>
      <c r="B896" s="97">
        <v>840.54499999999996</v>
      </c>
      <c r="C896" s="97">
        <v>0.6</v>
      </c>
      <c r="D896" s="80">
        <f t="shared" si="251"/>
        <v>100</v>
      </c>
      <c r="E896" s="81">
        <f t="shared" si="243"/>
        <v>6791.2436711181272</v>
      </c>
      <c r="F896" s="81">
        <f>SUM(E$2:E896)</f>
        <v>5599342.7880976005</v>
      </c>
      <c r="G896" s="43">
        <f t="shared" si="241"/>
        <v>1</v>
      </c>
      <c r="H896" s="78">
        <v>1</v>
      </c>
      <c r="I896" s="15">
        <f t="shared" si="244"/>
        <v>0.6</v>
      </c>
      <c r="J896" s="16">
        <f>VLOOKUP(G896,Inputs!$L$3:$P$15,5,FALSE)</f>
        <v>2000</v>
      </c>
      <c r="K896" s="16">
        <f t="shared" si="245"/>
        <v>1825</v>
      </c>
      <c r="L896" s="79">
        <f>Inputs!$P$8-B896</f>
        <v>97.646000000000072</v>
      </c>
      <c r="M896" s="79">
        <f>Inputs!$Q$8+L896*0.433</f>
        <v>1867.280718</v>
      </c>
      <c r="N896" s="82">
        <f t="shared" si="246"/>
        <v>178499.92</v>
      </c>
      <c r="O896" s="83">
        <f t="shared" si="247"/>
        <v>840.54499999999996</v>
      </c>
      <c r="P896" s="84">
        <f>IF(O896="","",Inputs!$C$5-O896)</f>
        <v>-15.360500000000002</v>
      </c>
      <c r="Q896" s="83">
        <f>IF(N896="","",TS!J896)</f>
        <v>2000</v>
      </c>
      <c r="R896" s="83">
        <f>IF(N896="","",TS!K896)</f>
        <v>1825</v>
      </c>
      <c r="S896" s="83">
        <f>Inputs!$H$5+TS!P896*0.4333</f>
        <v>1868.3100118</v>
      </c>
      <c r="T896" s="83">
        <f>Inputs!$G$5+TS!P896*0.4333</f>
        <v>1883.3100118</v>
      </c>
      <c r="U896" s="85">
        <f t="shared" si="248"/>
        <v>0.94165500589999995</v>
      </c>
      <c r="V896" s="86">
        <f t="shared" si="252"/>
        <v>0</v>
      </c>
      <c r="W896" s="86">
        <f t="shared" si="253"/>
        <v>0</v>
      </c>
      <c r="X896" s="86" t="e">
        <f>((PI()*((42-2*'Gen Calcs'!$E$13)^2)/4)/144)*(A939-#REF!)*(W896+14.7)/14.7</f>
        <v>#REF!</v>
      </c>
      <c r="Y896" s="86" t="e">
        <f t="shared" si="254"/>
        <v>#REF!</v>
      </c>
      <c r="Z896" s="86" t="e">
        <f t="shared" si="255"/>
        <v>#REF!</v>
      </c>
      <c r="AA896" s="83">
        <f>MAX(B$2:B896)-B896</f>
        <v>97.646000000000072</v>
      </c>
      <c r="AB896" s="83">
        <f t="shared" si="256"/>
        <v>42.280718000000029</v>
      </c>
      <c r="AC896" s="83">
        <f t="shared" si="242"/>
        <v>120</v>
      </c>
      <c r="AD896" s="72">
        <v>120</v>
      </c>
      <c r="AE896" s="73">
        <f t="shared" si="249"/>
        <v>907.92027688745009</v>
      </c>
      <c r="AF896" s="73">
        <f>SUM(AE$2:AE896)</f>
        <v>749162.35690622334</v>
      </c>
      <c r="AG896" s="73">
        <f t="shared" si="250"/>
        <v>424567.54552088585</v>
      </c>
    </row>
    <row r="897" spans="1:33" x14ac:dyDescent="0.25">
      <c r="A897" s="99">
        <v>178599.92</v>
      </c>
      <c r="B897" s="96">
        <v>833.44230000000005</v>
      </c>
      <c r="C897" s="96">
        <v>0.6</v>
      </c>
      <c r="D897" s="80">
        <f t="shared" si="251"/>
        <v>100</v>
      </c>
      <c r="E897" s="81">
        <f t="shared" si="243"/>
        <v>6616.6076625842816</v>
      </c>
      <c r="F897" s="81">
        <f>SUM(E$2:E897)</f>
        <v>5605959.3957601851</v>
      </c>
      <c r="G897" s="43">
        <f t="shared" si="241"/>
        <v>1</v>
      </c>
      <c r="H897" s="78">
        <v>1</v>
      </c>
      <c r="I897" s="15">
        <f t="shared" si="244"/>
        <v>0.6</v>
      </c>
      <c r="J897" s="16">
        <f>VLOOKUP(G897,Inputs!$L$3:$P$15,5,FALSE)</f>
        <v>2000</v>
      </c>
      <c r="K897" s="16">
        <f t="shared" si="245"/>
        <v>1825</v>
      </c>
      <c r="L897" s="79">
        <f>Inputs!$P$8-B897</f>
        <v>104.74869999999999</v>
      </c>
      <c r="M897" s="79">
        <f>Inputs!$Q$8+L897*0.433</f>
        <v>1870.3561870999999</v>
      </c>
      <c r="N897" s="82">
        <f t="shared" si="246"/>
        <v>178599.92</v>
      </c>
      <c r="O897" s="83">
        <f t="shared" si="247"/>
        <v>833.44230000000005</v>
      </c>
      <c r="P897" s="84">
        <f>IF(O897="","",Inputs!$C$5-O897)</f>
        <v>-8.2578000000000884</v>
      </c>
      <c r="Q897" s="83">
        <f>IF(N897="","",TS!J897)</f>
        <v>2000</v>
      </c>
      <c r="R897" s="83">
        <f>IF(N897="","",TS!K897)</f>
        <v>1825</v>
      </c>
      <c r="S897" s="83">
        <f>Inputs!$H$5+TS!P897*0.4333</f>
        <v>1871.3876117099999</v>
      </c>
      <c r="T897" s="83">
        <f>Inputs!$G$5+TS!P897*0.4333</f>
        <v>1886.3876117099999</v>
      </c>
      <c r="U897" s="85">
        <f t="shared" si="248"/>
        <v>0.9431938058549999</v>
      </c>
      <c r="V897" s="86">
        <f t="shared" si="252"/>
        <v>0</v>
      </c>
      <c r="W897" s="86">
        <f t="shared" si="253"/>
        <v>0</v>
      </c>
      <c r="X897" s="86" t="e">
        <f>((PI()*((42-2*'Gen Calcs'!$E$13)^2)/4)/144)*(A940-#REF!)*(W897+14.7)/14.7</f>
        <v>#REF!</v>
      </c>
      <c r="Y897" s="86" t="e">
        <f t="shared" si="254"/>
        <v>#REF!</v>
      </c>
      <c r="Z897" s="86" t="e">
        <f t="shared" si="255"/>
        <v>#REF!</v>
      </c>
      <c r="AA897" s="83">
        <f>MAX(B$2:B897)-B897</f>
        <v>104.74869999999999</v>
      </c>
      <c r="AB897" s="83">
        <f t="shared" si="256"/>
        <v>45.356187099999993</v>
      </c>
      <c r="AC897" s="83">
        <f t="shared" si="242"/>
        <v>120</v>
      </c>
      <c r="AD897" s="72">
        <v>120</v>
      </c>
      <c r="AE897" s="73">
        <f t="shared" si="249"/>
        <v>907.92027688745009</v>
      </c>
      <c r="AF897" s="73">
        <f>SUM(AE$2:AE897)</f>
        <v>750070.27718311083</v>
      </c>
      <c r="AG897" s="73">
        <f t="shared" si="250"/>
        <v>423659.62524399837</v>
      </c>
    </row>
    <row r="898" spans="1:33" x14ac:dyDescent="0.25">
      <c r="A898" s="100">
        <v>178699.92</v>
      </c>
      <c r="B898" s="97">
        <v>831.40459999999996</v>
      </c>
      <c r="C898" s="97">
        <v>0.6</v>
      </c>
      <c r="D898" s="80">
        <f t="shared" si="251"/>
        <v>100</v>
      </c>
      <c r="E898" s="81">
        <f t="shared" si="243"/>
        <v>6791.2436711181272</v>
      </c>
      <c r="F898" s="81">
        <f>SUM(E$2:E898)</f>
        <v>5612750.6394313034</v>
      </c>
      <c r="G898" s="43">
        <f t="shared" si="241"/>
        <v>1</v>
      </c>
      <c r="H898" s="78">
        <v>1</v>
      </c>
      <c r="I898" s="15">
        <f t="shared" si="244"/>
        <v>0.6</v>
      </c>
      <c r="J898" s="16">
        <f>VLOOKUP(G898,Inputs!$L$3:$P$15,5,FALSE)</f>
        <v>2000</v>
      </c>
      <c r="K898" s="16">
        <f t="shared" si="245"/>
        <v>1825</v>
      </c>
      <c r="L898" s="79">
        <f>Inputs!$P$8-B898</f>
        <v>106.78640000000007</v>
      </c>
      <c r="M898" s="79">
        <f>Inputs!$Q$8+L898*0.433</f>
        <v>1871.2385111999999</v>
      </c>
      <c r="N898" s="82">
        <f t="shared" si="246"/>
        <v>178699.92</v>
      </c>
      <c r="O898" s="83">
        <f t="shared" si="247"/>
        <v>831.40459999999996</v>
      </c>
      <c r="P898" s="84">
        <f>IF(O898="","",Inputs!$C$5-O898)</f>
        <v>-6.2201000000000022</v>
      </c>
      <c r="Q898" s="83">
        <f>IF(N898="","",TS!J898)</f>
        <v>2000</v>
      </c>
      <c r="R898" s="83">
        <f>IF(N898="","",TS!K898)</f>
        <v>1825</v>
      </c>
      <c r="S898" s="83">
        <f>Inputs!$H$5+TS!P898*0.4333</f>
        <v>1872.2705471199999</v>
      </c>
      <c r="T898" s="83">
        <f>Inputs!$G$5+TS!P898*0.4333</f>
        <v>1887.2705471199999</v>
      </c>
      <c r="U898" s="85">
        <f t="shared" si="248"/>
        <v>0.94363527355999999</v>
      </c>
      <c r="V898" s="86">
        <f t="shared" si="252"/>
        <v>0</v>
      </c>
      <c r="W898" s="86">
        <f t="shared" si="253"/>
        <v>0</v>
      </c>
      <c r="X898" s="86" t="e">
        <f>((PI()*((42-2*'Gen Calcs'!$E$13)^2)/4)/144)*(A941-#REF!)*(W898+14.7)/14.7</f>
        <v>#REF!</v>
      </c>
      <c r="Y898" s="86" t="e">
        <f t="shared" si="254"/>
        <v>#REF!</v>
      </c>
      <c r="Z898" s="86" t="e">
        <f t="shared" si="255"/>
        <v>#REF!</v>
      </c>
      <c r="AA898" s="83">
        <f>MAX(B$2:B898)-B898</f>
        <v>106.78640000000007</v>
      </c>
      <c r="AB898" s="83">
        <f t="shared" si="256"/>
        <v>46.238511200000033</v>
      </c>
      <c r="AC898" s="83">
        <f t="shared" si="242"/>
        <v>120</v>
      </c>
      <c r="AD898" s="72">
        <v>120</v>
      </c>
      <c r="AE898" s="73">
        <f t="shared" si="249"/>
        <v>907.92027688745009</v>
      </c>
      <c r="AF898" s="73">
        <f>SUM(AE$2:AE898)</f>
        <v>750978.19745999831</v>
      </c>
      <c r="AG898" s="73">
        <f t="shared" si="250"/>
        <v>422751.70496711088</v>
      </c>
    </row>
    <row r="899" spans="1:33" x14ac:dyDescent="0.25">
      <c r="A899" s="99">
        <v>178799.92</v>
      </c>
      <c r="B899" s="96">
        <v>838.25789999999995</v>
      </c>
      <c r="C899" s="96">
        <v>0.6</v>
      </c>
      <c r="D899" s="80">
        <f t="shared" si="251"/>
        <v>100</v>
      </c>
      <c r="E899" s="81">
        <f t="shared" si="243"/>
        <v>6791.2436711181272</v>
      </c>
      <c r="F899" s="81">
        <f>SUM(E$2:E899)</f>
        <v>5619541.8831024216</v>
      </c>
      <c r="G899" s="43">
        <f t="shared" ref="G899:G962" si="257">IF(C899=0.72,12,IF(C899=1,11,IF(C899=0.825,10,IF(C899=0.6,1,IF(C899=0.864,2,IF(C899=0.888,3))))))</f>
        <v>1</v>
      </c>
      <c r="H899" s="78">
        <v>1</v>
      </c>
      <c r="I899" s="15">
        <f t="shared" si="244"/>
        <v>0.6</v>
      </c>
      <c r="J899" s="16">
        <f>VLOOKUP(G899,Inputs!$L$3:$P$15,5,FALSE)</f>
        <v>2000</v>
      </c>
      <c r="K899" s="16">
        <f t="shared" si="245"/>
        <v>1825</v>
      </c>
      <c r="L899" s="79">
        <f>Inputs!$P$8-B899</f>
        <v>99.933100000000081</v>
      </c>
      <c r="M899" s="79">
        <f>Inputs!$Q$8+L899*0.433</f>
        <v>1868.2710323000001</v>
      </c>
      <c r="N899" s="82">
        <f t="shared" si="246"/>
        <v>178799.92</v>
      </c>
      <c r="O899" s="83">
        <f t="shared" si="247"/>
        <v>838.25789999999995</v>
      </c>
      <c r="P899" s="84">
        <f>IF(O899="","",Inputs!$C$5-O899)</f>
        <v>-13.073399999999992</v>
      </c>
      <c r="Q899" s="83">
        <f>IF(N899="","",TS!J899)</f>
        <v>2000</v>
      </c>
      <c r="R899" s="83">
        <f>IF(N899="","",TS!K899)</f>
        <v>1825</v>
      </c>
      <c r="S899" s="83">
        <f>Inputs!$H$5+TS!P899*0.4333</f>
        <v>1869.30101223</v>
      </c>
      <c r="T899" s="83">
        <f>Inputs!$G$5+TS!P899*0.4333</f>
        <v>1884.30101223</v>
      </c>
      <c r="U899" s="85">
        <f t="shared" si="248"/>
        <v>0.94215050611499995</v>
      </c>
      <c r="V899" s="86">
        <f t="shared" si="252"/>
        <v>0</v>
      </c>
      <c r="W899" s="86">
        <f t="shared" si="253"/>
        <v>0</v>
      </c>
      <c r="X899" s="86" t="e">
        <f>((PI()*((42-2*'Gen Calcs'!$E$13)^2)/4)/144)*(A942-#REF!)*(W899+14.7)/14.7</f>
        <v>#REF!</v>
      </c>
      <c r="Y899" s="86" t="e">
        <f t="shared" si="254"/>
        <v>#REF!</v>
      </c>
      <c r="Z899" s="86" t="e">
        <f t="shared" si="255"/>
        <v>#REF!</v>
      </c>
      <c r="AA899" s="83">
        <f>MAX(B$2:B899)-B899</f>
        <v>99.933100000000081</v>
      </c>
      <c r="AB899" s="83">
        <f t="shared" si="256"/>
        <v>43.271032300000037</v>
      </c>
      <c r="AC899" s="83">
        <f t="shared" ref="AC899:AC962" si="258">((MAX(O$2:O$1348)-O899)-(MAX(O$2:O$1348)-O899))*0.433+AD899</f>
        <v>120</v>
      </c>
      <c r="AD899" s="72">
        <v>120</v>
      </c>
      <c r="AE899" s="73">
        <f t="shared" si="249"/>
        <v>907.92027688745009</v>
      </c>
      <c r="AF899" s="73">
        <f>SUM(AE$2:AE899)</f>
        <v>751886.11773688579</v>
      </c>
      <c r="AG899" s="73">
        <f t="shared" si="250"/>
        <v>421843.7846902234</v>
      </c>
    </row>
    <row r="900" spans="1:33" x14ac:dyDescent="0.25">
      <c r="A900" s="100">
        <v>178864.3</v>
      </c>
      <c r="B900" s="97">
        <v>838.25789999999995</v>
      </c>
      <c r="C900" s="97">
        <v>0.86399999999999999</v>
      </c>
      <c r="D900" s="80">
        <f t="shared" si="251"/>
        <v>64.379999999975553</v>
      </c>
      <c r="E900" s="81">
        <f t="shared" si="243"/>
        <v>4372.2026754641902</v>
      </c>
      <c r="F900" s="81">
        <f>SUM(E$2:E900)</f>
        <v>5623914.0857778862</v>
      </c>
      <c r="G900" s="43">
        <f t="shared" si="257"/>
        <v>2</v>
      </c>
      <c r="H900" s="78">
        <v>1</v>
      </c>
      <c r="I900" s="15">
        <f t="shared" si="244"/>
        <v>0.86399999999999999</v>
      </c>
      <c r="J900" s="16">
        <f>VLOOKUP(G900,Inputs!$L$3:$P$15,5,FALSE)</f>
        <v>2880</v>
      </c>
      <c r="K900" s="16">
        <f t="shared" si="245"/>
        <v>1825</v>
      </c>
      <c r="L900" s="79">
        <f>Inputs!$P$8-B900</f>
        <v>99.933100000000081</v>
      </c>
      <c r="M900" s="79">
        <f>Inputs!$Q$8+L900*0.433</f>
        <v>1868.2710323000001</v>
      </c>
      <c r="N900" s="82">
        <f t="shared" si="246"/>
        <v>178864.3</v>
      </c>
      <c r="O900" s="83">
        <f t="shared" si="247"/>
        <v>838.25789999999995</v>
      </c>
      <c r="P900" s="84">
        <f>IF(O900="","",Inputs!$C$5-O900)</f>
        <v>-13.073399999999992</v>
      </c>
      <c r="Q900" s="83">
        <f>IF(N900="","",TS!J900)</f>
        <v>2880</v>
      </c>
      <c r="R900" s="83">
        <f>IF(N900="","",TS!K900)</f>
        <v>1825</v>
      </c>
      <c r="S900" s="83">
        <f>Inputs!$H$5+TS!P900*0.4333</f>
        <v>1869.30101223</v>
      </c>
      <c r="T900" s="83">
        <f>Inputs!$G$5+TS!P900*0.4333</f>
        <v>1884.30101223</v>
      </c>
      <c r="U900" s="85">
        <f t="shared" si="248"/>
        <v>0.65427118480208335</v>
      </c>
      <c r="V900" s="86">
        <f t="shared" si="252"/>
        <v>0</v>
      </c>
      <c r="W900" s="86">
        <f t="shared" si="253"/>
        <v>0</v>
      </c>
      <c r="X900" s="86" t="e">
        <f>((PI()*((42-2*'Gen Calcs'!$E$13)^2)/4)/144)*(A943-#REF!)*(W900+14.7)/14.7</f>
        <v>#REF!</v>
      </c>
      <c r="Y900" s="86" t="e">
        <f t="shared" si="254"/>
        <v>#REF!</v>
      </c>
      <c r="Z900" s="86" t="e">
        <f t="shared" si="255"/>
        <v>#REF!</v>
      </c>
      <c r="AA900" s="83">
        <f>MAX(B$2:B900)-B900</f>
        <v>99.933100000000081</v>
      </c>
      <c r="AB900" s="83">
        <f t="shared" si="256"/>
        <v>43.271032300000037</v>
      </c>
      <c r="AC900" s="83">
        <f t="shared" si="258"/>
        <v>120</v>
      </c>
      <c r="AD900" s="72">
        <v>120</v>
      </c>
      <c r="AE900" s="73">
        <f t="shared" si="249"/>
        <v>569.48823705483187</v>
      </c>
      <c r="AF900" s="73">
        <f>SUM(AE$2:AE900)</f>
        <v>752455.60597394058</v>
      </c>
      <c r="AG900" s="73">
        <f t="shared" si="250"/>
        <v>421274.29645316862</v>
      </c>
    </row>
    <row r="901" spans="1:33" x14ac:dyDescent="0.25">
      <c r="A901" s="99">
        <v>178899.92</v>
      </c>
      <c r="B901" s="96">
        <v>845.48910000000001</v>
      </c>
      <c r="C901" s="96">
        <v>0.6</v>
      </c>
      <c r="D901" s="80">
        <f t="shared" si="251"/>
        <v>35.620000000024447</v>
      </c>
      <c r="E901" s="81">
        <f t="shared" ref="E901:E964" si="259">(PI()/4*(42/12-(2*C943/12))^2)*(D901)*7.48</f>
        <v>2419.040995653937</v>
      </c>
      <c r="F901" s="81">
        <f>SUM(E$2:E901)</f>
        <v>5626333.1267735399</v>
      </c>
      <c r="G901" s="43">
        <f t="shared" si="257"/>
        <v>1</v>
      </c>
      <c r="H901" s="78">
        <v>1</v>
      </c>
      <c r="I901" s="15">
        <f t="shared" ref="I901:I964" si="260">C901</f>
        <v>0.6</v>
      </c>
      <c r="J901" s="16">
        <f>VLOOKUP(G901,Inputs!$L$3:$P$15,5,FALSE)</f>
        <v>2000</v>
      </c>
      <c r="K901" s="16">
        <f t="shared" ref="K901:K964" si="261">IF(H901=1,1825,IF(H901=2,1825,2220))</f>
        <v>1825</v>
      </c>
      <c r="L901" s="79">
        <f>Inputs!$P$8-B901</f>
        <v>92.701900000000023</v>
      </c>
      <c r="M901" s="79">
        <f>Inputs!$Q$8+L901*0.433</f>
        <v>1865.1399226999999</v>
      </c>
      <c r="N901" s="82">
        <f t="shared" ref="N901:N964" si="262">A901</f>
        <v>178899.92</v>
      </c>
      <c r="O901" s="83">
        <f t="shared" ref="O901:O964" si="263">B901</f>
        <v>845.48910000000001</v>
      </c>
      <c r="P901" s="84">
        <f>IF(O901="","",Inputs!$C$5-O901)</f>
        <v>-20.30460000000005</v>
      </c>
      <c r="Q901" s="83">
        <f>IF(N901="","",TS!J901)</f>
        <v>2000</v>
      </c>
      <c r="R901" s="83">
        <f>IF(N901="","",TS!K901)</f>
        <v>1825</v>
      </c>
      <c r="S901" s="83">
        <f>Inputs!$H$5+TS!P901*0.4333</f>
        <v>1866.1677332699999</v>
      </c>
      <c r="T901" s="83">
        <f>Inputs!$G$5+TS!P901*0.4333</f>
        <v>1881.1677332699999</v>
      </c>
      <c r="U901" s="85">
        <f t="shared" ref="U901:U964" si="264">T901/(140000*C901/42)</f>
        <v>0.94058386663499993</v>
      </c>
      <c r="V901" s="86">
        <f t="shared" si="252"/>
        <v>0</v>
      </c>
      <c r="W901" s="86">
        <f t="shared" si="253"/>
        <v>0</v>
      </c>
      <c r="X901" s="86" t="e">
        <f>((PI()*((42-2*'Gen Calcs'!$E$13)^2)/4)/144)*(A944-#REF!)*(W901+14.7)/14.7</f>
        <v>#REF!</v>
      </c>
      <c r="Y901" s="86" t="e">
        <f t="shared" si="254"/>
        <v>#REF!</v>
      </c>
      <c r="Z901" s="86" t="e">
        <f t="shared" si="255"/>
        <v>#REF!</v>
      </c>
      <c r="AA901" s="83">
        <f>MAX(B$2:B901)-B901</f>
        <v>92.701900000000023</v>
      </c>
      <c r="AB901" s="83">
        <f t="shared" si="256"/>
        <v>40.139922700000007</v>
      </c>
      <c r="AC901" s="83">
        <f t="shared" si="258"/>
        <v>120</v>
      </c>
      <c r="AD901" s="72">
        <v>120</v>
      </c>
      <c r="AE901" s="73">
        <f t="shared" ref="AE901:AE964" si="265">PI()*(((42-2*C901)/12)^2/4)*D901</f>
        <v>323.40120262753169</v>
      </c>
      <c r="AF901" s="73">
        <f>SUM(AE$2:AE901)</f>
        <v>752779.00717656815</v>
      </c>
      <c r="AG901" s="73">
        <f t="shared" ref="AG901:AG964" si="266">AF$1391-AF901</f>
        <v>420950.89525054104</v>
      </c>
    </row>
    <row r="902" spans="1:33" x14ac:dyDescent="0.25">
      <c r="A902" s="100">
        <v>178999.92</v>
      </c>
      <c r="B902" s="97">
        <v>848.69439999999997</v>
      </c>
      <c r="C902" s="97">
        <v>0.6</v>
      </c>
      <c r="D902" s="80">
        <f t="shared" si="251"/>
        <v>100</v>
      </c>
      <c r="E902" s="81">
        <f t="shared" si="259"/>
        <v>6791.2436711181272</v>
      </c>
      <c r="F902" s="81">
        <f>SUM(E$2:E902)</f>
        <v>5633124.3704446582</v>
      </c>
      <c r="G902" s="43">
        <f t="shared" si="257"/>
        <v>1</v>
      </c>
      <c r="H902" s="78">
        <v>1</v>
      </c>
      <c r="I902" s="15">
        <f t="shared" si="260"/>
        <v>0.6</v>
      </c>
      <c r="J902" s="16">
        <f>VLOOKUP(G902,Inputs!$L$3:$P$15,5,FALSE)</f>
        <v>2000</v>
      </c>
      <c r="K902" s="16">
        <f t="shared" si="261"/>
        <v>1825</v>
      </c>
      <c r="L902" s="79">
        <f>Inputs!$P$8-B902</f>
        <v>89.496600000000058</v>
      </c>
      <c r="M902" s="79">
        <f>Inputs!$Q$8+L902*0.433</f>
        <v>1863.7520278</v>
      </c>
      <c r="N902" s="82">
        <f t="shared" si="262"/>
        <v>178999.92</v>
      </c>
      <c r="O902" s="83">
        <f t="shared" si="263"/>
        <v>848.69439999999997</v>
      </c>
      <c r="P902" s="84">
        <f>IF(O902="","",Inputs!$C$5-O902)</f>
        <v>-23.509900000000016</v>
      </c>
      <c r="Q902" s="83">
        <f>IF(N902="","",TS!J902)</f>
        <v>2000</v>
      </c>
      <c r="R902" s="83">
        <f>IF(N902="","",TS!K902)</f>
        <v>1825</v>
      </c>
      <c r="S902" s="83">
        <f>Inputs!$H$5+TS!P902*0.4333</f>
        <v>1864.77887678</v>
      </c>
      <c r="T902" s="83">
        <f>Inputs!$G$5+TS!P902*0.4333</f>
        <v>1879.77887678</v>
      </c>
      <c r="U902" s="85">
        <f t="shared" si="264"/>
        <v>0.93988943839000005</v>
      </c>
      <c r="V902" s="86">
        <f t="shared" si="252"/>
        <v>0</v>
      </c>
      <c r="W902" s="86">
        <f t="shared" si="253"/>
        <v>0</v>
      </c>
      <c r="X902" s="86" t="e">
        <f>((PI()*((42-2*'Gen Calcs'!$E$13)^2)/4)/144)*(A945-#REF!)*(W902+14.7)/14.7</f>
        <v>#REF!</v>
      </c>
      <c r="Y902" s="86" t="e">
        <f t="shared" si="254"/>
        <v>#REF!</v>
      </c>
      <c r="Z902" s="86" t="e">
        <f t="shared" si="255"/>
        <v>#REF!</v>
      </c>
      <c r="AA902" s="83">
        <f>MAX(B$2:B902)-B902</f>
        <v>89.496600000000058</v>
      </c>
      <c r="AB902" s="83">
        <f t="shared" si="256"/>
        <v>38.752027800000022</v>
      </c>
      <c r="AC902" s="83">
        <f t="shared" si="258"/>
        <v>120</v>
      </c>
      <c r="AD902" s="72">
        <v>120</v>
      </c>
      <c r="AE902" s="73">
        <f t="shared" si="265"/>
        <v>907.92027688745009</v>
      </c>
      <c r="AF902" s="73">
        <f>SUM(AE$2:AE902)</f>
        <v>753686.92745345563</v>
      </c>
      <c r="AG902" s="73">
        <f t="shared" si="266"/>
        <v>420042.97497365356</v>
      </c>
    </row>
    <row r="903" spans="1:33" x14ac:dyDescent="0.25">
      <c r="A903" s="99">
        <v>179099.92</v>
      </c>
      <c r="B903" s="96">
        <v>853.92570000000001</v>
      </c>
      <c r="C903" s="96">
        <v>0.6</v>
      </c>
      <c r="D903" s="80">
        <f t="shared" si="251"/>
        <v>100</v>
      </c>
      <c r="E903" s="81">
        <f t="shared" si="259"/>
        <v>6791.2436711181272</v>
      </c>
      <c r="F903" s="81">
        <f>SUM(E$2:E903)</f>
        <v>5639915.6141157765</v>
      </c>
      <c r="G903" s="43">
        <f t="shared" si="257"/>
        <v>1</v>
      </c>
      <c r="H903" s="78">
        <v>1</v>
      </c>
      <c r="I903" s="15">
        <f t="shared" si="260"/>
        <v>0.6</v>
      </c>
      <c r="J903" s="16">
        <f>VLOOKUP(G903,Inputs!$L$3:$P$15,5,FALSE)</f>
        <v>2000</v>
      </c>
      <c r="K903" s="16">
        <f t="shared" si="261"/>
        <v>1825</v>
      </c>
      <c r="L903" s="79">
        <f>Inputs!$P$8-B903</f>
        <v>84.265300000000025</v>
      </c>
      <c r="M903" s="79">
        <f>Inputs!$Q$8+L903*0.433</f>
        <v>1861.4868749</v>
      </c>
      <c r="N903" s="82">
        <f t="shared" si="262"/>
        <v>179099.92</v>
      </c>
      <c r="O903" s="83">
        <f t="shared" si="263"/>
        <v>853.92570000000001</v>
      </c>
      <c r="P903" s="84">
        <f>IF(O903="","",Inputs!$C$5-O903)</f>
        <v>-28.741200000000049</v>
      </c>
      <c r="Q903" s="83">
        <f>IF(N903="","",TS!J903)</f>
        <v>2000</v>
      </c>
      <c r="R903" s="83">
        <f>IF(N903="","",TS!K903)</f>
        <v>1825</v>
      </c>
      <c r="S903" s="83">
        <f>Inputs!$H$5+TS!P903*0.4333</f>
        <v>1862.5121544899998</v>
      </c>
      <c r="T903" s="83">
        <f>Inputs!$G$5+TS!P903*0.4333</f>
        <v>1877.5121544899998</v>
      </c>
      <c r="U903" s="85">
        <f t="shared" si="264"/>
        <v>0.93875607724499988</v>
      </c>
      <c r="V903" s="86">
        <f t="shared" si="252"/>
        <v>0</v>
      </c>
      <c r="W903" s="86">
        <f t="shared" si="253"/>
        <v>0</v>
      </c>
      <c r="X903" s="86" t="e">
        <f>((PI()*((42-2*'Gen Calcs'!$E$13)^2)/4)/144)*(A946-#REF!)*(W903+14.7)/14.7</f>
        <v>#REF!</v>
      </c>
      <c r="Y903" s="86" t="e">
        <f t="shared" si="254"/>
        <v>#REF!</v>
      </c>
      <c r="Z903" s="86" t="e">
        <f t="shared" si="255"/>
        <v>#REF!</v>
      </c>
      <c r="AA903" s="83">
        <f>MAX(B$2:B903)-B903</f>
        <v>84.265300000000025</v>
      </c>
      <c r="AB903" s="83">
        <f t="shared" si="256"/>
        <v>36.486874900000011</v>
      </c>
      <c r="AC903" s="83">
        <f t="shared" si="258"/>
        <v>120</v>
      </c>
      <c r="AD903" s="72">
        <v>120</v>
      </c>
      <c r="AE903" s="73">
        <f t="shared" si="265"/>
        <v>907.92027688745009</v>
      </c>
      <c r="AF903" s="73">
        <f>SUM(AE$2:AE903)</f>
        <v>754594.84773034311</v>
      </c>
      <c r="AG903" s="73">
        <f t="shared" si="266"/>
        <v>419135.05469676608</v>
      </c>
    </row>
    <row r="904" spans="1:33" x14ac:dyDescent="0.25">
      <c r="A904" s="100">
        <v>179104.3</v>
      </c>
      <c r="B904" s="97">
        <v>853.92570000000001</v>
      </c>
      <c r="C904" s="97">
        <v>0.86399999999999999</v>
      </c>
      <c r="D904" s="80">
        <f t="shared" si="251"/>
        <v>4.3799999999755528</v>
      </c>
      <c r="E904" s="81">
        <f t="shared" si="259"/>
        <v>297.45647279331371</v>
      </c>
      <c r="F904" s="81">
        <f>SUM(E$2:E904)</f>
        <v>5640213.0705885701</v>
      </c>
      <c r="G904" s="43">
        <f t="shared" si="257"/>
        <v>2</v>
      </c>
      <c r="H904" s="78">
        <v>1</v>
      </c>
      <c r="I904" s="15">
        <f t="shared" si="260"/>
        <v>0.86399999999999999</v>
      </c>
      <c r="J904" s="16">
        <f>VLOOKUP(G904,Inputs!$L$3:$P$15,5,FALSE)</f>
        <v>2880</v>
      </c>
      <c r="K904" s="16">
        <f t="shared" si="261"/>
        <v>1825</v>
      </c>
      <c r="L904" s="79">
        <f>Inputs!$P$8-B904</f>
        <v>84.265300000000025</v>
      </c>
      <c r="M904" s="79">
        <f>Inputs!$Q$8+L904*0.433</f>
        <v>1861.4868749</v>
      </c>
      <c r="N904" s="82">
        <f t="shared" si="262"/>
        <v>179104.3</v>
      </c>
      <c r="O904" s="83">
        <f t="shared" si="263"/>
        <v>853.92570000000001</v>
      </c>
      <c r="P904" s="84">
        <f>IF(O904="","",Inputs!$C$5-O904)</f>
        <v>-28.741200000000049</v>
      </c>
      <c r="Q904" s="83">
        <f>IF(N904="","",TS!J904)</f>
        <v>2880</v>
      </c>
      <c r="R904" s="83">
        <f>IF(N904="","",TS!K904)</f>
        <v>1825</v>
      </c>
      <c r="S904" s="83">
        <f>Inputs!$H$5+TS!P904*0.4333</f>
        <v>1862.5121544899998</v>
      </c>
      <c r="T904" s="83">
        <f>Inputs!$G$5+TS!P904*0.4333</f>
        <v>1877.5121544899998</v>
      </c>
      <c r="U904" s="85">
        <f t="shared" si="264"/>
        <v>0.6519139425312499</v>
      </c>
      <c r="V904" s="86">
        <f t="shared" si="252"/>
        <v>0</v>
      </c>
      <c r="W904" s="86">
        <f t="shared" si="253"/>
        <v>0</v>
      </c>
      <c r="X904" s="86" t="e">
        <f>((PI()*((42-2*'Gen Calcs'!$E$13)^2)/4)/144)*(A947-#REF!)*(W904+14.7)/14.7</f>
        <v>#REF!</v>
      </c>
      <c r="Y904" s="86" t="e">
        <f t="shared" si="254"/>
        <v>#REF!</v>
      </c>
      <c r="Z904" s="86" t="e">
        <f t="shared" si="255"/>
        <v>#REF!</v>
      </c>
      <c r="AA904" s="83">
        <f>MAX(B$2:B904)-B904</f>
        <v>84.265300000000025</v>
      </c>
      <c r="AB904" s="83">
        <f t="shared" si="256"/>
        <v>36.486874900000011</v>
      </c>
      <c r="AC904" s="83">
        <f t="shared" si="258"/>
        <v>120</v>
      </c>
      <c r="AD904" s="72">
        <v>120</v>
      </c>
      <c r="AE904" s="73">
        <f t="shared" si="265"/>
        <v>38.744306901012557</v>
      </c>
      <c r="AF904" s="73">
        <f>SUM(AE$2:AE904)</f>
        <v>754633.59203724412</v>
      </c>
      <c r="AG904" s="73">
        <f t="shared" si="266"/>
        <v>419096.31038986507</v>
      </c>
    </row>
    <row r="905" spans="1:33" x14ac:dyDescent="0.25">
      <c r="A905" s="99">
        <v>179199.92</v>
      </c>
      <c r="B905" s="96">
        <v>858.84760000000006</v>
      </c>
      <c r="C905" s="96">
        <v>0.6</v>
      </c>
      <c r="D905" s="80">
        <f t="shared" si="251"/>
        <v>95.620000000024447</v>
      </c>
      <c r="E905" s="81">
        <f t="shared" si="259"/>
        <v>6493.7871983248133</v>
      </c>
      <c r="F905" s="81">
        <f>SUM(E$2:E905)</f>
        <v>5646706.8577868948</v>
      </c>
      <c r="G905" s="43">
        <f t="shared" si="257"/>
        <v>1</v>
      </c>
      <c r="H905" s="78">
        <v>1</v>
      </c>
      <c r="I905" s="15">
        <f t="shared" si="260"/>
        <v>0.6</v>
      </c>
      <c r="J905" s="16">
        <f>VLOOKUP(G905,Inputs!$L$3:$P$15,5,FALSE)</f>
        <v>2000</v>
      </c>
      <c r="K905" s="16">
        <f t="shared" si="261"/>
        <v>1825</v>
      </c>
      <c r="L905" s="79">
        <f>Inputs!$P$8-B905</f>
        <v>79.343399999999974</v>
      </c>
      <c r="M905" s="79">
        <f>Inputs!$Q$8+L905*0.433</f>
        <v>1859.3556922</v>
      </c>
      <c r="N905" s="82">
        <f t="shared" si="262"/>
        <v>179199.92</v>
      </c>
      <c r="O905" s="83">
        <f t="shared" si="263"/>
        <v>858.84760000000006</v>
      </c>
      <c r="P905" s="84">
        <f>IF(O905="","",Inputs!$C$5-O905)</f>
        <v>-33.663100000000099</v>
      </c>
      <c r="Q905" s="83">
        <f>IF(N905="","",TS!J905)</f>
        <v>2000</v>
      </c>
      <c r="R905" s="83">
        <f>IF(N905="","",TS!K905)</f>
        <v>1825</v>
      </c>
      <c r="S905" s="83">
        <f>Inputs!$H$5+TS!P905*0.4333</f>
        <v>1860.3794952199999</v>
      </c>
      <c r="T905" s="83">
        <f>Inputs!$G$5+TS!P905*0.4333</f>
        <v>1875.3794952199999</v>
      </c>
      <c r="U905" s="85">
        <f t="shared" si="264"/>
        <v>0.9376897476099999</v>
      </c>
      <c r="V905" s="86">
        <f t="shared" si="252"/>
        <v>0</v>
      </c>
      <c r="W905" s="86">
        <f t="shared" si="253"/>
        <v>0</v>
      </c>
      <c r="X905" s="86" t="e">
        <f>((PI()*((42-2*'Gen Calcs'!$E$13)^2)/4)/144)*(A948-#REF!)*(W905+14.7)/14.7</f>
        <v>#REF!</v>
      </c>
      <c r="Y905" s="86" t="e">
        <f t="shared" si="254"/>
        <v>#REF!</v>
      </c>
      <c r="Z905" s="86" t="e">
        <f t="shared" si="255"/>
        <v>#REF!</v>
      </c>
      <c r="AA905" s="83">
        <f>MAX(B$2:B905)-B905</f>
        <v>79.343399999999974</v>
      </c>
      <c r="AB905" s="83">
        <f t="shared" si="256"/>
        <v>34.355692199999986</v>
      </c>
      <c r="AC905" s="83">
        <f t="shared" si="258"/>
        <v>120</v>
      </c>
      <c r="AD905" s="72">
        <v>120</v>
      </c>
      <c r="AE905" s="73">
        <f t="shared" si="265"/>
        <v>868.15336876000174</v>
      </c>
      <c r="AF905" s="73">
        <f>SUM(AE$2:AE905)</f>
        <v>755501.74540600413</v>
      </c>
      <c r="AG905" s="73">
        <f t="shared" si="266"/>
        <v>418228.15702110506</v>
      </c>
    </row>
    <row r="906" spans="1:33" x14ac:dyDescent="0.25">
      <c r="A906" s="100">
        <v>179299.92</v>
      </c>
      <c r="B906" s="97">
        <v>863.46209999999996</v>
      </c>
      <c r="C906" s="97">
        <v>0.6</v>
      </c>
      <c r="D906" s="80">
        <f t="shared" si="251"/>
        <v>100</v>
      </c>
      <c r="E906" s="81">
        <f t="shared" si="259"/>
        <v>6791.2436711181272</v>
      </c>
      <c r="F906" s="81">
        <f>SUM(E$2:E906)</f>
        <v>5653498.1014580131</v>
      </c>
      <c r="G906" s="43">
        <f t="shared" si="257"/>
        <v>1</v>
      </c>
      <c r="H906" s="78">
        <v>1</v>
      </c>
      <c r="I906" s="15">
        <f t="shared" si="260"/>
        <v>0.6</v>
      </c>
      <c r="J906" s="16">
        <f>VLOOKUP(G906,Inputs!$L$3:$P$15,5,FALSE)</f>
        <v>2000</v>
      </c>
      <c r="K906" s="16">
        <f t="shared" si="261"/>
        <v>1825</v>
      </c>
      <c r="L906" s="79">
        <f>Inputs!$P$8-B906</f>
        <v>74.728900000000067</v>
      </c>
      <c r="M906" s="79">
        <f>Inputs!$Q$8+L906*0.433</f>
        <v>1857.3576137</v>
      </c>
      <c r="N906" s="82">
        <f t="shared" si="262"/>
        <v>179299.92</v>
      </c>
      <c r="O906" s="83">
        <f t="shared" si="263"/>
        <v>863.46209999999996</v>
      </c>
      <c r="P906" s="84">
        <f>IF(O906="","",Inputs!$C$5-O906)</f>
        <v>-38.277600000000007</v>
      </c>
      <c r="Q906" s="83">
        <f>IF(N906="","",TS!J906)</f>
        <v>2000</v>
      </c>
      <c r="R906" s="83">
        <f>IF(N906="","",TS!K906)</f>
        <v>1825</v>
      </c>
      <c r="S906" s="83">
        <f>Inputs!$H$5+TS!P906*0.4333</f>
        <v>1858.38003237</v>
      </c>
      <c r="T906" s="83">
        <f>Inputs!$G$5+TS!P906*0.4333</f>
        <v>1873.38003237</v>
      </c>
      <c r="U906" s="85">
        <f t="shared" si="264"/>
        <v>0.93669001618500003</v>
      </c>
      <c r="V906" s="86">
        <f t="shared" si="252"/>
        <v>0</v>
      </c>
      <c r="W906" s="86">
        <f t="shared" si="253"/>
        <v>0</v>
      </c>
      <c r="X906" s="86" t="e">
        <f>((PI()*((42-2*'Gen Calcs'!$E$13)^2)/4)/144)*(A949-#REF!)*(W906+14.7)/14.7</f>
        <v>#REF!</v>
      </c>
      <c r="Y906" s="86" t="e">
        <f t="shared" si="254"/>
        <v>#REF!</v>
      </c>
      <c r="Z906" s="86" t="e">
        <f t="shared" si="255"/>
        <v>#REF!</v>
      </c>
      <c r="AA906" s="83">
        <f>MAX(B$2:B906)-B906</f>
        <v>74.728900000000067</v>
      </c>
      <c r="AB906" s="83">
        <f t="shared" si="256"/>
        <v>32.35761370000003</v>
      </c>
      <c r="AC906" s="83">
        <f t="shared" si="258"/>
        <v>120</v>
      </c>
      <c r="AD906" s="72">
        <v>120</v>
      </c>
      <c r="AE906" s="73">
        <f t="shared" si="265"/>
        <v>907.92027688745009</v>
      </c>
      <c r="AF906" s="73">
        <f>SUM(AE$2:AE906)</f>
        <v>756409.66568289162</v>
      </c>
      <c r="AG906" s="73">
        <f t="shared" si="266"/>
        <v>417320.23674421757</v>
      </c>
    </row>
    <row r="907" spans="1:33" x14ac:dyDescent="0.25">
      <c r="A907" s="99">
        <v>179399.92</v>
      </c>
      <c r="B907" s="96">
        <v>863.8732</v>
      </c>
      <c r="C907" s="96">
        <v>0.6</v>
      </c>
      <c r="D907" s="80">
        <f t="shared" si="251"/>
        <v>100</v>
      </c>
      <c r="E907" s="81">
        <f t="shared" si="259"/>
        <v>6791.2436711181272</v>
      </c>
      <c r="F907" s="81">
        <f>SUM(E$2:E907)</f>
        <v>5660289.3451291313</v>
      </c>
      <c r="G907" s="43">
        <f t="shared" si="257"/>
        <v>1</v>
      </c>
      <c r="H907" s="78">
        <v>1</v>
      </c>
      <c r="I907" s="15">
        <f t="shared" si="260"/>
        <v>0.6</v>
      </c>
      <c r="J907" s="16">
        <f>VLOOKUP(G907,Inputs!$L$3:$P$15,5,FALSE)</f>
        <v>2000</v>
      </c>
      <c r="K907" s="16">
        <f t="shared" si="261"/>
        <v>1825</v>
      </c>
      <c r="L907" s="79">
        <f>Inputs!$P$8-B907</f>
        <v>74.317800000000034</v>
      </c>
      <c r="M907" s="79">
        <f>Inputs!$Q$8+L907*0.433</f>
        <v>1857.1796074000001</v>
      </c>
      <c r="N907" s="82">
        <f t="shared" si="262"/>
        <v>179399.92</v>
      </c>
      <c r="O907" s="83">
        <f t="shared" si="263"/>
        <v>863.8732</v>
      </c>
      <c r="P907" s="84">
        <f>IF(O907="","",Inputs!$C$5-O907)</f>
        <v>-38.68870000000004</v>
      </c>
      <c r="Q907" s="83">
        <f>IF(N907="","",TS!J907)</f>
        <v>2000</v>
      </c>
      <c r="R907" s="83">
        <f>IF(N907="","",TS!K907)</f>
        <v>1825</v>
      </c>
      <c r="S907" s="83">
        <f>Inputs!$H$5+TS!P907*0.4333</f>
        <v>1858.2019027399999</v>
      </c>
      <c r="T907" s="83">
        <f>Inputs!$G$5+TS!P907*0.4333</f>
        <v>1873.2019027399999</v>
      </c>
      <c r="U907" s="85">
        <f t="shared" si="264"/>
        <v>0.93660095136999999</v>
      </c>
      <c r="V907" s="86">
        <f t="shared" si="252"/>
        <v>0</v>
      </c>
      <c r="W907" s="86">
        <f t="shared" si="253"/>
        <v>0</v>
      </c>
      <c r="X907" s="86" t="e">
        <f>((PI()*((42-2*'Gen Calcs'!$E$13)^2)/4)/144)*(A950-#REF!)*(W907+14.7)/14.7</f>
        <v>#REF!</v>
      </c>
      <c r="Y907" s="86" t="e">
        <f t="shared" si="254"/>
        <v>#REF!</v>
      </c>
      <c r="Z907" s="86" t="e">
        <f t="shared" si="255"/>
        <v>#REF!</v>
      </c>
      <c r="AA907" s="83">
        <f>MAX(B$2:B907)-B907</f>
        <v>74.317800000000034</v>
      </c>
      <c r="AB907" s="83">
        <f t="shared" si="256"/>
        <v>32.179607400000016</v>
      </c>
      <c r="AC907" s="83">
        <f t="shared" si="258"/>
        <v>120</v>
      </c>
      <c r="AD907" s="72">
        <v>120</v>
      </c>
      <c r="AE907" s="73">
        <f t="shared" si="265"/>
        <v>907.92027688745009</v>
      </c>
      <c r="AF907" s="73">
        <f>SUM(AE$2:AE907)</f>
        <v>757317.5859597791</v>
      </c>
      <c r="AG907" s="73">
        <f t="shared" si="266"/>
        <v>416412.31646733009</v>
      </c>
    </row>
    <row r="908" spans="1:33" x14ac:dyDescent="0.25">
      <c r="A908" s="100">
        <v>179499.92</v>
      </c>
      <c r="B908" s="97">
        <v>862.428</v>
      </c>
      <c r="C908" s="97">
        <v>0.6</v>
      </c>
      <c r="D908" s="80">
        <f t="shared" si="251"/>
        <v>100</v>
      </c>
      <c r="E908" s="81">
        <f t="shared" si="259"/>
        <v>6791.2436711181272</v>
      </c>
      <c r="F908" s="81">
        <f>SUM(E$2:E908)</f>
        <v>5667080.5888002496</v>
      </c>
      <c r="G908" s="43">
        <f t="shared" si="257"/>
        <v>1</v>
      </c>
      <c r="H908" s="78">
        <v>1</v>
      </c>
      <c r="I908" s="15">
        <f t="shared" si="260"/>
        <v>0.6</v>
      </c>
      <c r="J908" s="16">
        <f>VLOOKUP(G908,Inputs!$L$3:$P$15,5,FALSE)</f>
        <v>2000</v>
      </c>
      <c r="K908" s="16">
        <f t="shared" si="261"/>
        <v>1825</v>
      </c>
      <c r="L908" s="79">
        <f>Inputs!$P$8-B908</f>
        <v>75.763000000000034</v>
      </c>
      <c r="M908" s="79">
        <f>Inputs!$Q$8+L908*0.433</f>
        <v>1857.8053789999999</v>
      </c>
      <c r="N908" s="82">
        <f t="shared" si="262"/>
        <v>179499.92</v>
      </c>
      <c r="O908" s="83">
        <f t="shared" si="263"/>
        <v>862.428</v>
      </c>
      <c r="P908" s="84">
        <f>IF(O908="","",Inputs!$C$5-O908)</f>
        <v>-37.24350000000004</v>
      </c>
      <c r="Q908" s="83">
        <f>IF(N908="","",TS!J908)</f>
        <v>2000</v>
      </c>
      <c r="R908" s="83">
        <f>IF(N908="","",TS!K908)</f>
        <v>1825</v>
      </c>
      <c r="S908" s="83">
        <f>Inputs!$H$5+TS!P908*0.4333</f>
        <v>1858.8281078999998</v>
      </c>
      <c r="T908" s="83">
        <f>Inputs!$G$5+TS!P908*0.4333</f>
        <v>1873.8281078999998</v>
      </c>
      <c r="U908" s="85">
        <f t="shared" si="264"/>
        <v>0.93691405394999994</v>
      </c>
      <c r="V908" s="86">
        <f t="shared" si="252"/>
        <v>0</v>
      </c>
      <c r="W908" s="86">
        <f t="shared" si="253"/>
        <v>0</v>
      </c>
      <c r="X908" s="86" t="e">
        <f>((PI()*((42-2*'Gen Calcs'!$E$13)^2)/4)/144)*(A951-#REF!)*(W908+14.7)/14.7</f>
        <v>#REF!</v>
      </c>
      <c r="Y908" s="86" t="e">
        <f t="shared" si="254"/>
        <v>#REF!</v>
      </c>
      <c r="Z908" s="86" t="e">
        <f t="shared" si="255"/>
        <v>#REF!</v>
      </c>
      <c r="AA908" s="83">
        <f>MAX(B$2:B908)-B908</f>
        <v>75.763000000000034</v>
      </c>
      <c r="AB908" s="83">
        <f t="shared" si="256"/>
        <v>32.805379000000016</v>
      </c>
      <c r="AC908" s="83">
        <f t="shared" si="258"/>
        <v>120</v>
      </c>
      <c r="AD908" s="72">
        <v>120</v>
      </c>
      <c r="AE908" s="73">
        <f t="shared" si="265"/>
        <v>907.92027688745009</v>
      </c>
      <c r="AF908" s="73">
        <f>SUM(AE$2:AE908)</f>
        <v>758225.50623666658</v>
      </c>
      <c r="AG908" s="73">
        <f t="shared" si="266"/>
        <v>415504.39619044261</v>
      </c>
    </row>
    <row r="909" spans="1:33" x14ac:dyDescent="0.25">
      <c r="A909" s="99">
        <v>179599.92</v>
      </c>
      <c r="B909" s="96">
        <v>861.38549999999998</v>
      </c>
      <c r="C909" s="96">
        <v>0.6</v>
      </c>
      <c r="D909" s="80">
        <f t="shared" si="251"/>
        <v>100</v>
      </c>
      <c r="E909" s="81">
        <f t="shared" si="259"/>
        <v>6791.2436711181272</v>
      </c>
      <c r="F909" s="81">
        <f>SUM(E$2:E909)</f>
        <v>5673871.8324713679</v>
      </c>
      <c r="G909" s="43">
        <f t="shared" si="257"/>
        <v>1</v>
      </c>
      <c r="H909" s="78">
        <v>1</v>
      </c>
      <c r="I909" s="15">
        <f t="shared" si="260"/>
        <v>0.6</v>
      </c>
      <c r="J909" s="16">
        <f>VLOOKUP(G909,Inputs!$L$3:$P$15,5,FALSE)</f>
        <v>2000</v>
      </c>
      <c r="K909" s="16">
        <f t="shared" si="261"/>
        <v>1825</v>
      </c>
      <c r="L909" s="79">
        <f>Inputs!$P$8-B909</f>
        <v>76.805500000000052</v>
      </c>
      <c r="M909" s="79">
        <f>Inputs!$Q$8+L909*0.433</f>
        <v>1858.2567815</v>
      </c>
      <c r="N909" s="82">
        <f t="shared" si="262"/>
        <v>179599.92</v>
      </c>
      <c r="O909" s="83">
        <f t="shared" si="263"/>
        <v>861.38549999999998</v>
      </c>
      <c r="P909" s="84">
        <f>IF(O909="","",Inputs!$C$5-O909)</f>
        <v>-36.201000000000022</v>
      </c>
      <c r="Q909" s="83">
        <f>IF(N909="","",TS!J909)</f>
        <v>2000</v>
      </c>
      <c r="R909" s="83">
        <f>IF(N909="","",TS!K909)</f>
        <v>1825</v>
      </c>
      <c r="S909" s="83">
        <f>Inputs!$H$5+TS!P909*0.4333</f>
        <v>1859.2798231499999</v>
      </c>
      <c r="T909" s="83">
        <f>Inputs!$G$5+TS!P909*0.4333</f>
        <v>1874.2798231499999</v>
      </c>
      <c r="U909" s="85">
        <f t="shared" si="264"/>
        <v>0.93713991157499987</v>
      </c>
      <c r="V909" s="86">
        <f t="shared" si="252"/>
        <v>0</v>
      </c>
      <c r="W909" s="86">
        <f t="shared" si="253"/>
        <v>0</v>
      </c>
      <c r="X909" s="86" t="e">
        <f>((PI()*((42-2*'Gen Calcs'!$E$13)^2)/4)/144)*(A952-#REF!)*(W909+14.7)/14.7</f>
        <v>#REF!</v>
      </c>
      <c r="Y909" s="86" t="e">
        <f t="shared" si="254"/>
        <v>#REF!</v>
      </c>
      <c r="Z909" s="86" t="e">
        <f t="shared" si="255"/>
        <v>#REF!</v>
      </c>
      <c r="AA909" s="83">
        <f>MAX(B$2:B909)-B909</f>
        <v>76.805500000000052</v>
      </c>
      <c r="AB909" s="83">
        <f t="shared" si="256"/>
        <v>33.256781500000024</v>
      </c>
      <c r="AC909" s="83">
        <f t="shared" si="258"/>
        <v>120</v>
      </c>
      <c r="AD909" s="72">
        <v>120</v>
      </c>
      <c r="AE909" s="73">
        <f t="shared" si="265"/>
        <v>907.92027688745009</v>
      </c>
      <c r="AF909" s="73">
        <f>SUM(AE$2:AE909)</f>
        <v>759133.42651355406</v>
      </c>
      <c r="AG909" s="73">
        <f t="shared" si="266"/>
        <v>414596.47591355513</v>
      </c>
    </row>
    <row r="910" spans="1:33" x14ac:dyDescent="0.25">
      <c r="A910" s="100">
        <v>179699.92</v>
      </c>
      <c r="B910" s="97">
        <v>858.2672</v>
      </c>
      <c r="C910" s="97">
        <v>0.6</v>
      </c>
      <c r="D910" s="80">
        <f t="shared" si="251"/>
        <v>100</v>
      </c>
      <c r="E910" s="81">
        <f t="shared" si="259"/>
        <v>6791.2436711181272</v>
      </c>
      <c r="F910" s="81">
        <f>SUM(E$2:E910)</f>
        <v>5680663.0761424862</v>
      </c>
      <c r="G910" s="43">
        <f t="shared" si="257"/>
        <v>1</v>
      </c>
      <c r="H910" s="78">
        <v>1</v>
      </c>
      <c r="I910" s="15">
        <f t="shared" si="260"/>
        <v>0.6</v>
      </c>
      <c r="J910" s="16">
        <f>VLOOKUP(G910,Inputs!$L$3:$P$15,5,FALSE)</f>
        <v>2000</v>
      </c>
      <c r="K910" s="16">
        <f t="shared" si="261"/>
        <v>1825</v>
      </c>
      <c r="L910" s="79">
        <f>Inputs!$P$8-B910</f>
        <v>79.923800000000028</v>
      </c>
      <c r="M910" s="79">
        <f>Inputs!$Q$8+L910*0.433</f>
        <v>1859.6070053999999</v>
      </c>
      <c r="N910" s="82">
        <f t="shared" si="262"/>
        <v>179699.92</v>
      </c>
      <c r="O910" s="83">
        <f t="shared" si="263"/>
        <v>858.2672</v>
      </c>
      <c r="P910" s="84">
        <f>IF(O910="","",Inputs!$C$5-O910)</f>
        <v>-33.082700000000045</v>
      </c>
      <c r="Q910" s="83">
        <f>IF(N910="","",TS!J910)</f>
        <v>2000</v>
      </c>
      <c r="R910" s="83">
        <f>IF(N910="","",TS!K910)</f>
        <v>1825</v>
      </c>
      <c r="S910" s="83">
        <f>Inputs!$H$5+TS!P910*0.4333</f>
        <v>1860.6309825399999</v>
      </c>
      <c r="T910" s="83">
        <f>Inputs!$G$5+TS!P910*0.4333</f>
        <v>1875.6309825399999</v>
      </c>
      <c r="U910" s="85">
        <f t="shared" si="264"/>
        <v>0.93781549126999997</v>
      </c>
      <c r="V910" s="86">
        <f t="shared" si="252"/>
        <v>0</v>
      </c>
      <c r="W910" s="86">
        <f t="shared" si="253"/>
        <v>0</v>
      </c>
      <c r="X910" s="86" t="e">
        <f>((PI()*((42-2*'Gen Calcs'!$E$13)^2)/4)/144)*(A953-#REF!)*(W910+14.7)/14.7</f>
        <v>#REF!</v>
      </c>
      <c r="Y910" s="86" t="e">
        <f t="shared" si="254"/>
        <v>#REF!</v>
      </c>
      <c r="Z910" s="86" t="e">
        <f t="shared" si="255"/>
        <v>#REF!</v>
      </c>
      <c r="AA910" s="83">
        <f>MAX(B$2:B910)-B910</f>
        <v>79.923800000000028</v>
      </c>
      <c r="AB910" s="83">
        <f t="shared" si="256"/>
        <v>34.607005400000013</v>
      </c>
      <c r="AC910" s="83">
        <f t="shared" si="258"/>
        <v>120</v>
      </c>
      <c r="AD910" s="72">
        <v>120</v>
      </c>
      <c r="AE910" s="73">
        <f t="shared" si="265"/>
        <v>907.92027688745009</v>
      </c>
      <c r="AF910" s="73">
        <f>SUM(AE$2:AE910)</f>
        <v>760041.34679044154</v>
      </c>
      <c r="AG910" s="73">
        <f t="shared" si="266"/>
        <v>413688.55563666765</v>
      </c>
    </row>
    <row r="911" spans="1:33" x14ac:dyDescent="0.25">
      <c r="A911" s="99">
        <v>179799.92</v>
      </c>
      <c r="B911" s="96">
        <v>854.846</v>
      </c>
      <c r="C911" s="96">
        <v>0.6</v>
      </c>
      <c r="D911" s="80">
        <f t="shared" si="251"/>
        <v>100</v>
      </c>
      <c r="E911" s="81">
        <f t="shared" si="259"/>
        <v>6791.2436711181272</v>
      </c>
      <c r="F911" s="81">
        <f>SUM(E$2:E911)</f>
        <v>5687454.3198136045</v>
      </c>
      <c r="G911" s="43">
        <f t="shared" si="257"/>
        <v>1</v>
      </c>
      <c r="H911" s="78">
        <v>1</v>
      </c>
      <c r="I911" s="15">
        <f t="shared" si="260"/>
        <v>0.6</v>
      </c>
      <c r="J911" s="16">
        <f>VLOOKUP(G911,Inputs!$L$3:$P$15,5,FALSE)</f>
        <v>2000</v>
      </c>
      <c r="K911" s="16">
        <f t="shared" si="261"/>
        <v>1825</v>
      </c>
      <c r="L911" s="79">
        <f>Inputs!$P$8-B911</f>
        <v>83.345000000000027</v>
      </c>
      <c r="M911" s="79">
        <f>Inputs!$Q$8+L911*0.433</f>
        <v>1861.088385</v>
      </c>
      <c r="N911" s="82">
        <f t="shared" si="262"/>
        <v>179799.92</v>
      </c>
      <c r="O911" s="83">
        <f t="shared" si="263"/>
        <v>854.846</v>
      </c>
      <c r="P911" s="84">
        <f>IF(O911="","",Inputs!$C$5-O911)</f>
        <v>-29.661500000000046</v>
      </c>
      <c r="Q911" s="83">
        <f>IF(N911="","",TS!J911)</f>
        <v>2000</v>
      </c>
      <c r="R911" s="83">
        <f>IF(N911="","",TS!K911)</f>
        <v>1825</v>
      </c>
      <c r="S911" s="83">
        <f>Inputs!$H$5+TS!P911*0.4333</f>
        <v>1862.1133884999999</v>
      </c>
      <c r="T911" s="83">
        <f>Inputs!$G$5+TS!P911*0.4333</f>
        <v>1877.1133884999999</v>
      </c>
      <c r="U911" s="85">
        <f t="shared" si="264"/>
        <v>0.93855669424999999</v>
      </c>
      <c r="V911" s="86">
        <f t="shared" si="252"/>
        <v>0</v>
      </c>
      <c r="W911" s="86">
        <f t="shared" si="253"/>
        <v>0</v>
      </c>
      <c r="X911" s="86" t="e">
        <f>((PI()*((42-2*'Gen Calcs'!$E$13)^2)/4)/144)*(A954-#REF!)*(W911+14.7)/14.7</f>
        <v>#REF!</v>
      </c>
      <c r="Y911" s="86" t="e">
        <f t="shared" si="254"/>
        <v>#REF!</v>
      </c>
      <c r="Z911" s="86" t="e">
        <f t="shared" si="255"/>
        <v>#REF!</v>
      </c>
      <c r="AA911" s="83">
        <f>MAX(B$2:B911)-B911</f>
        <v>83.345000000000027</v>
      </c>
      <c r="AB911" s="83">
        <f t="shared" si="256"/>
        <v>36.088385000000009</v>
      </c>
      <c r="AC911" s="83">
        <f t="shared" si="258"/>
        <v>120</v>
      </c>
      <c r="AD911" s="72">
        <v>120</v>
      </c>
      <c r="AE911" s="73">
        <f t="shared" si="265"/>
        <v>907.92027688745009</v>
      </c>
      <c r="AF911" s="73">
        <f>SUM(AE$2:AE911)</f>
        <v>760949.26706732903</v>
      </c>
      <c r="AG911" s="73">
        <f t="shared" si="266"/>
        <v>412780.63535978016</v>
      </c>
    </row>
    <row r="912" spans="1:33" x14ac:dyDescent="0.25">
      <c r="A912" s="100">
        <v>179899.92</v>
      </c>
      <c r="B912" s="97">
        <v>852.5181</v>
      </c>
      <c r="C912" s="97">
        <v>0.6</v>
      </c>
      <c r="D912" s="80">
        <f t="shared" si="251"/>
        <v>100</v>
      </c>
      <c r="E912" s="81">
        <f t="shared" si="259"/>
        <v>6791.2436711181272</v>
      </c>
      <c r="F912" s="81">
        <f>SUM(E$2:E912)</f>
        <v>5694245.5634847227</v>
      </c>
      <c r="G912" s="43">
        <f t="shared" si="257"/>
        <v>1</v>
      </c>
      <c r="H912" s="78">
        <v>1</v>
      </c>
      <c r="I912" s="15">
        <f t="shared" si="260"/>
        <v>0.6</v>
      </c>
      <c r="J912" s="16">
        <f>VLOOKUP(G912,Inputs!$L$3:$P$15,5,FALSE)</f>
        <v>2000</v>
      </c>
      <c r="K912" s="16">
        <f t="shared" si="261"/>
        <v>1825</v>
      </c>
      <c r="L912" s="79">
        <f>Inputs!$P$8-B912</f>
        <v>85.672900000000027</v>
      </c>
      <c r="M912" s="79">
        <f>Inputs!$Q$8+L912*0.433</f>
        <v>1862.0963657</v>
      </c>
      <c r="N912" s="82">
        <f t="shared" si="262"/>
        <v>179899.92</v>
      </c>
      <c r="O912" s="83">
        <f t="shared" si="263"/>
        <v>852.5181</v>
      </c>
      <c r="P912" s="84">
        <f>IF(O912="","",Inputs!$C$5-O912)</f>
        <v>-27.333600000000047</v>
      </c>
      <c r="Q912" s="83">
        <f>IF(N912="","",TS!J912)</f>
        <v>2000</v>
      </c>
      <c r="R912" s="83">
        <f>IF(N912="","",TS!K912)</f>
        <v>1825</v>
      </c>
      <c r="S912" s="83">
        <f>Inputs!$H$5+TS!P912*0.4333</f>
        <v>1863.1220675699999</v>
      </c>
      <c r="T912" s="83">
        <f>Inputs!$G$5+TS!P912*0.4333</f>
        <v>1878.1220675699999</v>
      </c>
      <c r="U912" s="85">
        <f t="shared" si="264"/>
        <v>0.93906103378499994</v>
      </c>
      <c r="V912" s="86">
        <f t="shared" si="252"/>
        <v>0</v>
      </c>
      <c r="W912" s="86">
        <f t="shared" si="253"/>
        <v>0</v>
      </c>
      <c r="X912" s="86" t="e">
        <f>((PI()*((42-2*'Gen Calcs'!$E$13)^2)/4)/144)*(A955-#REF!)*(W912+14.7)/14.7</f>
        <v>#REF!</v>
      </c>
      <c r="Y912" s="86" t="e">
        <f t="shared" si="254"/>
        <v>#REF!</v>
      </c>
      <c r="Z912" s="86" t="e">
        <f t="shared" si="255"/>
        <v>#REF!</v>
      </c>
      <c r="AA912" s="83">
        <f>MAX(B$2:B912)-B912</f>
        <v>85.672900000000027</v>
      </c>
      <c r="AB912" s="83">
        <f t="shared" si="256"/>
        <v>37.096365700000014</v>
      </c>
      <c r="AC912" s="83">
        <f t="shared" si="258"/>
        <v>120</v>
      </c>
      <c r="AD912" s="72">
        <v>120</v>
      </c>
      <c r="AE912" s="73">
        <f t="shared" si="265"/>
        <v>907.92027688745009</v>
      </c>
      <c r="AF912" s="73">
        <f>SUM(AE$2:AE912)</f>
        <v>761857.18734421651</v>
      </c>
      <c r="AG912" s="73">
        <f t="shared" si="266"/>
        <v>411872.71508289268</v>
      </c>
    </row>
    <row r="913" spans="1:33" x14ac:dyDescent="0.25">
      <c r="A913" s="99">
        <v>179999.92</v>
      </c>
      <c r="B913" s="96">
        <v>849.36159999999995</v>
      </c>
      <c r="C913" s="96">
        <v>0.6</v>
      </c>
      <c r="D913" s="80">
        <f t="shared" si="251"/>
        <v>100</v>
      </c>
      <c r="E913" s="81">
        <f t="shared" si="259"/>
        <v>6791.2436711181272</v>
      </c>
      <c r="F913" s="81">
        <f>SUM(E$2:E913)</f>
        <v>5701036.807155841</v>
      </c>
      <c r="G913" s="43">
        <f t="shared" si="257"/>
        <v>1</v>
      </c>
      <c r="H913" s="78">
        <v>1</v>
      </c>
      <c r="I913" s="15">
        <f t="shared" si="260"/>
        <v>0.6</v>
      </c>
      <c r="J913" s="16">
        <f>VLOOKUP(G913,Inputs!$L$3:$P$15,5,FALSE)</f>
        <v>2000</v>
      </c>
      <c r="K913" s="16">
        <f t="shared" si="261"/>
        <v>1825</v>
      </c>
      <c r="L913" s="79">
        <f>Inputs!$P$8-B913</f>
        <v>88.829400000000078</v>
      </c>
      <c r="M913" s="79">
        <f>Inputs!$Q$8+L913*0.433</f>
        <v>1863.4631302</v>
      </c>
      <c r="N913" s="82">
        <f t="shared" si="262"/>
        <v>179999.92</v>
      </c>
      <c r="O913" s="83">
        <f t="shared" si="263"/>
        <v>849.36159999999995</v>
      </c>
      <c r="P913" s="84">
        <f>IF(O913="","",Inputs!$C$5-O913)</f>
        <v>-24.177099999999996</v>
      </c>
      <c r="Q913" s="83">
        <f>IF(N913="","",TS!J913)</f>
        <v>2000</v>
      </c>
      <c r="R913" s="83">
        <f>IF(N913="","",TS!K913)</f>
        <v>1825</v>
      </c>
      <c r="S913" s="83">
        <f>Inputs!$H$5+TS!P913*0.4333</f>
        <v>1864.48977902</v>
      </c>
      <c r="T913" s="83">
        <f>Inputs!$G$5+TS!P913*0.4333</f>
        <v>1879.48977902</v>
      </c>
      <c r="U913" s="85">
        <f t="shared" si="264"/>
        <v>0.93974488951000001</v>
      </c>
      <c r="V913" s="86">
        <f t="shared" si="252"/>
        <v>0</v>
      </c>
      <c r="W913" s="86">
        <f t="shared" si="253"/>
        <v>0</v>
      </c>
      <c r="X913" s="86" t="e">
        <f>((PI()*((42-2*'Gen Calcs'!$E$13)^2)/4)/144)*(A956-#REF!)*(W913+14.7)/14.7</f>
        <v>#REF!</v>
      </c>
      <c r="Y913" s="86" t="e">
        <f t="shared" si="254"/>
        <v>#REF!</v>
      </c>
      <c r="Z913" s="86" t="e">
        <f t="shared" si="255"/>
        <v>#REF!</v>
      </c>
      <c r="AA913" s="83">
        <f>MAX(B$2:B913)-B913</f>
        <v>88.829400000000078</v>
      </c>
      <c r="AB913" s="83">
        <f t="shared" si="256"/>
        <v>38.46313020000003</v>
      </c>
      <c r="AC913" s="83">
        <f t="shared" si="258"/>
        <v>120</v>
      </c>
      <c r="AD913" s="72">
        <v>120</v>
      </c>
      <c r="AE913" s="73">
        <f t="shared" si="265"/>
        <v>907.92027688745009</v>
      </c>
      <c r="AF913" s="73">
        <f>SUM(AE$2:AE913)</f>
        <v>762765.10762110399</v>
      </c>
      <c r="AG913" s="73">
        <f t="shared" si="266"/>
        <v>410964.7948060052</v>
      </c>
    </row>
    <row r="914" spans="1:33" x14ac:dyDescent="0.25">
      <c r="A914" s="100">
        <v>180099.92</v>
      </c>
      <c r="B914" s="97">
        <v>848.61500000000001</v>
      </c>
      <c r="C914" s="97">
        <v>0.6</v>
      </c>
      <c r="D914" s="80">
        <f t="shared" si="251"/>
        <v>100</v>
      </c>
      <c r="E914" s="81">
        <f t="shared" si="259"/>
        <v>6791.2436711181272</v>
      </c>
      <c r="F914" s="81">
        <f>SUM(E$2:E914)</f>
        <v>5707828.0508269593</v>
      </c>
      <c r="G914" s="43">
        <f t="shared" si="257"/>
        <v>1</v>
      </c>
      <c r="H914" s="78">
        <v>1</v>
      </c>
      <c r="I914" s="15">
        <f t="shared" si="260"/>
        <v>0.6</v>
      </c>
      <c r="J914" s="16">
        <f>VLOOKUP(G914,Inputs!$L$3:$P$15,5,FALSE)</f>
        <v>2000</v>
      </c>
      <c r="K914" s="16">
        <f t="shared" si="261"/>
        <v>1825</v>
      </c>
      <c r="L914" s="79">
        <f>Inputs!$P$8-B914</f>
        <v>89.576000000000022</v>
      </c>
      <c r="M914" s="79">
        <f>Inputs!$Q$8+L914*0.433</f>
        <v>1863.7864079999999</v>
      </c>
      <c r="N914" s="82">
        <f t="shared" si="262"/>
        <v>180099.92</v>
      </c>
      <c r="O914" s="83">
        <f t="shared" si="263"/>
        <v>848.61500000000001</v>
      </c>
      <c r="P914" s="84">
        <f>IF(O914="","",Inputs!$C$5-O914)</f>
        <v>-23.430500000000052</v>
      </c>
      <c r="Q914" s="83">
        <f>IF(N914="","",TS!J914)</f>
        <v>2000</v>
      </c>
      <c r="R914" s="83">
        <f>IF(N914="","",TS!K914)</f>
        <v>1825</v>
      </c>
      <c r="S914" s="83">
        <f>Inputs!$H$5+TS!P914*0.4333</f>
        <v>1864.8132808</v>
      </c>
      <c r="T914" s="83">
        <f>Inputs!$G$5+TS!P914*0.4333</f>
        <v>1879.8132808</v>
      </c>
      <c r="U914" s="85">
        <f t="shared" si="264"/>
        <v>0.93990664040000005</v>
      </c>
      <c r="V914" s="86">
        <f t="shared" si="252"/>
        <v>0</v>
      </c>
      <c r="W914" s="86">
        <f t="shared" si="253"/>
        <v>0</v>
      </c>
      <c r="X914" s="86" t="e">
        <f>((PI()*((42-2*'Gen Calcs'!$E$13)^2)/4)/144)*(A957-#REF!)*(W914+14.7)/14.7</f>
        <v>#REF!</v>
      </c>
      <c r="Y914" s="86" t="e">
        <f t="shared" si="254"/>
        <v>#REF!</v>
      </c>
      <c r="Z914" s="86" t="e">
        <f t="shared" si="255"/>
        <v>#REF!</v>
      </c>
      <c r="AA914" s="83">
        <f>MAX(B$2:B914)-B914</f>
        <v>89.576000000000022</v>
      </c>
      <c r="AB914" s="83">
        <f t="shared" si="256"/>
        <v>38.786408000000009</v>
      </c>
      <c r="AC914" s="83">
        <f t="shared" si="258"/>
        <v>120</v>
      </c>
      <c r="AD914" s="72">
        <v>120</v>
      </c>
      <c r="AE914" s="73">
        <f t="shared" si="265"/>
        <v>907.92027688745009</v>
      </c>
      <c r="AF914" s="73">
        <f>SUM(AE$2:AE914)</f>
        <v>763673.02789799147</v>
      </c>
      <c r="AG914" s="73">
        <f t="shared" si="266"/>
        <v>410056.87452911772</v>
      </c>
    </row>
    <row r="915" spans="1:33" x14ac:dyDescent="0.25">
      <c r="A915" s="99">
        <v>180199.92</v>
      </c>
      <c r="B915" s="96">
        <v>845.61</v>
      </c>
      <c r="C915" s="96">
        <v>0.6</v>
      </c>
      <c r="D915" s="80">
        <f t="shared" si="251"/>
        <v>100</v>
      </c>
      <c r="E915" s="81">
        <f t="shared" si="259"/>
        <v>6791.2436711181272</v>
      </c>
      <c r="F915" s="81">
        <f>SUM(E$2:E915)</f>
        <v>5714619.2944980776</v>
      </c>
      <c r="G915" s="43">
        <f t="shared" si="257"/>
        <v>1</v>
      </c>
      <c r="H915" s="78">
        <v>1</v>
      </c>
      <c r="I915" s="15">
        <f t="shared" si="260"/>
        <v>0.6</v>
      </c>
      <c r="J915" s="16">
        <f>VLOOKUP(G915,Inputs!$L$3:$P$15,5,FALSE)</f>
        <v>2000</v>
      </c>
      <c r="K915" s="16">
        <f t="shared" si="261"/>
        <v>1825</v>
      </c>
      <c r="L915" s="79">
        <f>Inputs!$P$8-B915</f>
        <v>92.581000000000017</v>
      </c>
      <c r="M915" s="79">
        <f>Inputs!$Q$8+L915*0.433</f>
        <v>1865.087573</v>
      </c>
      <c r="N915" s="82">
        <f t="shared" si="262"/>
        <v>180199.92</v>
      </c>
      <c r="O915" s="83">
        <f t="shared" si="263"/>
        <v>845.61</v>
      </c>
      <c r="P915" s="84">
        <f>IF(O915="","",Inputs!$C$5-O915)</f>
        <v>-20.425500000000056</v>
      </c>
      <c r="Q915" s="83">
        <f>IF(N915="","",TS!J915)</f>
        <v>2000</v>
      </c>
      <c r="R915" s="83">
        <f>IF(N915="","",TS!K915)</f>
        <v>1825</v>
      </c>
      <c r="S915" s="83">
        <f>Inputs!$H$5+TS!P915*0.4333</f>
        <v>1866.1153472999999</v>
      </c>
      <c r="T915" s="83">
        <f>Inputs!$G$5+TS!P915*0.4333</f>
        <v>1881.1153472999999</v>
      </c>
      <c r="U915" s="85">
        <f t="shared" si="264"/>
        <v>0.94055767364999998</v>
      </c>
      <c r="V915" s="86">
        <f t="shared" si="252"/>
        <v>0</v>
      </c>
      <c r="W915" s="86">
        <f t="shared" si="253"/>
        <v>0</v>
      </c>
      <c r="X915" s="86" t="e">
        <f>((PI()*((42-2*'Gen Calcs'!$E$13)^2)/4)/144)*(A958-#REF!)*(W915+14.7)/14.7</f>
        <v>#REF!</v>
      </c>
      <c r="Y915" s="86" t="e">
        <f t="shared" si="254"/>
        <v>#REF!</v>
      </c>
      <c r="Z915" s="86" t="e">
        <f t="shared" si="255"/>
        <v>#REF!</v>
      </c>
      <c r="AA915" s="83">
        <f>MAX(B$2:B915)-B915</f>
        <v>92.581000000000017</v>
      </c>
      <c r="AB915" s="83">
        <f t="shared" si="256"/>
        <v>40.087573000000006</v>
      </c>
      <c r="AC915" s="83">
        <f t="shared" si="258"/>
        <v>120</v>
      </c>
      <c r="AD915" s="72">
        <v>120</v>
      </c>
      <c r="AE915" s="73">
        <f t="shared" si="265"/>
        <v>907.92027688745009</v>
      </c>
      <c r="AF915" s="73">
        <f>SUM(AE$2:AE915)</f>
        <v>764580.94817487895</v>
      </c>
      <c r="AG915" s="73">
        <f t="shared" si="266"/>
        <v>409148.95425223024</v>
      </c>
    </row>
    <row r="916" spans="1:33" x14ac:dyDescent="0.25">
      <c r="A916" s="100">
        <v>180299.92</v>
      </c>
      <c r="B916" s="97">
        <v>848.39679999999998</v>
      </c>
      <c r="C916" s="97">
        <v>0.6</v>
      </c>
      <c r="D916" s="80">
        <f t="shared" si="251"/>
        <v>100</v>
      </c>
      <c r="E916" s="81">
        <f t="shared" si="259"/>
        <v>6791.2436711181272</v>
      </c>
      <c r="F916" s="81">
        <f>SUM(E$2:E916)</f>
        <v>5721410.5381691959</v>
      </c>
      <c r="G916" s="43">
        <f t="shared" si="257"/>
        <v>1</v>
      </c>
      <c r="H916" s="78">
        <v>1</v>
      </c>
      <c r="I916" s="15">
        <f t="shared" si="260"/>
        <v>0.6</v>
      </c>
      <c r="J916" s="16">
        <f>VLOOKUP(G916,Inputs!$L$3:$P$15,5,FALSE)</f>
        <v>2000</v>
      </c>
      <c r="K916" s="16">
        <f t="shared" si="261"/>
        <v>1825</v>
      </c>
      <c r="L916" s="79">
        <f>Inputs!$P$8-B916</f>
        <v>89.794200000000046</v>
      </c>
      <c r="M916" s="79">
        <f>Inputs!$Q$8+L916*0.433</f>
        <v>1863.8808885999999</v>
      </c>
      <c r="N916" s="82">
        <f t="shared" si="262"/>
        <v>180299.92</v>
      </c>
      <c r="O916" s="83">
        <f t="shared" si="263"/>
        <v>848.39679999999998</v>
      </c>
      <c r="P916" s="84">
        <f>IF(O916="","",Inputs!$C$5-O916)</f>
        <v>-23.212300000000027</v>
      </c>
      <c r="Q916" s="83">
        <f>IF(N916="","",TS!J916)</f>
        <v>2000</v>
      </c>
      <c r="R916" s="83">
        <f>IF(N916="","",TS!K916)</f>
        <v>1825</v>
      </c>
      <c r="S916" s="83">
        <f>Inputs!$H$5+TS!P916*0.4333</f>
        <v>1864.9078268599999</v>
      </c>
      <c r="T916" s="83">
        <f>Inputs!$G$5+TS!P916*0.4333</f>
        <v>1879.9078268599999</v>
      </c>
      <c r="U916" s="85">
        <f t="shared" si="264"/>
        <v>0.9399539134299999</v>
      </c>
      <c r="V916" s="86">
        <f t="shared" si="252"/>
        <v>0</v>
      </c>
      <c r="W916" s="86">
        <f t="shared" si="253"/>
        <v>0</v>
      </c>
      <c r="X916" s="86" t="e">
        <f>((PI()*((42-2*'Gen Calcs'!$E$13)^2)/4)/144)*(A959-#REF!)*(W916+14.7)/14.7</f>
        <v>#REF!</v>
      </c>
      <c r="Y916" s="86" t="e">
        <f t="shared" si="254"/>
        <v>#REF!</v>
      </c>
      <c r="Z916" s="86" t="e">
        <f t="shared" si="255"/>
        <v>#REF!</v>
      </c>
      <c r="AA916" s="83">
        <f>MAX(B$2:B916)-B916</f>
        <v>89.794200000000046</v>
      </c>
      <c r="AB916" s="83">
        <f t="shared" si="256"/>
        <v>38.88088860000002</v>
      </c>
      <c r="AC916" s="83">
        <f t="shared" si="258"/>
        <v>120</v>
      </c>
      <c r="AD916" s="72">
        <v>120</v>
      </c>
      <c r="AE916" s="73">
        <f t="shared" si="265"/>
        <v>907.92027688745009</v>
      </c>
      <c r="AF916" s="73">
        <f>SUM(AE$2:AE916)</f>
        <v>765488.86845176644</v>
      </c>
      <c r="AG916" s="73">
        <f t="shared" si="266"/>
        <v>408241.03397534275</v>
      </c>
    </row>
    <row r="917" spans="1:33" x14ac:dyDescent="0.25">
      <c r="A917" s="99">
        <v>180399.92</v>
      </c>
      <c r="B917" s="96">
        <v>847.84770000000003</v>
      </c>
      <c r="C917" s="96">
        <v>0.6</v>
      </c>
      <c r="D917" s="80">
        <f t="shared" si="251"/>
        <v>100</v>
      </c>
      <c r="E917" s="81">
        <f t="shared" si="259"/>
        <v>6791.2436711181272</v>
      </c>
      <c r="F917" s="81">
        <f>SUM(E$2:E917)</f>
        <v>5728201.7818403142</v>
      </c>
      <c r="G917" s="43">
        <f t="shared" si="257"/>
        <v>1</v>
      </c>
      <c r="H917" s="78">
        <v>1</v>
      </c>
      <c r="I917" s="15">
        <f t="shared" si="260"/>
        <v>0.6</v>
      </c>
      <c r="J917" s="16">
        <f>VLOOKUP(G917,Inputs!$L$3:$P$15,5,FALSE)</f>
        <v>2000</v>
      </c>
      <c r="K917" s="16">
        <f t="shared" si="261"/>
        <v>1825</v>
      </c>
      <c r="L917" s="79">
        <f>Inputs!$P$8-B917</f>
        <v>90.343299999999999</v>
      </c>
      <c r="M917" s="79">
        <f>Inputs!$Q$8+L917*0.433</f>
        <v>1864.1186488999999</v>
      </c>
      <c r="N917" s="82">
        <f t="shared" si="262"/>
        <v>180399.92</v>
      </c>
      <c r="O917" s="83">
        <f t="shared" si="263"/>
        <v>847.84770000000003</v>
      </c>
      <c r="P917" s="84">
        <f>IF(O917="","",Inputs!$C$5-O917)</f>
        <v>-22.663200000000074</v>
      </c>
      <c r="Q917" s="83">
        <f>IF(N917="","",TS!J917)</f>
        <v>2000</v>
      </c>
      <c r="R917" s="83">
        <f>IF(N917="","",TS!K917)</f>
        <v>1825</v>
      </c>
      <c r="S917" s="83">
        <f>Inputs!$H$5+TS!P917*0.4333</f>
        <v>1865.1457518899999</v>
      </c>
      <c r="T917" s="83">
        <f>Inputs!$G$5+TS!P917*0.4333</f>
        <v>1880.1457518899999</v>
      </c>
      <c r="U917" s="85">
        <f t="shared" si="264"/>
        <v>0.940072875945</v>
      </c>
      <c r="V917" s="86">
        <f t="shared" si="252"/>
        <v>0</v>
      </c>
      <c r="W917" s="86">
        <f t="shared" si="253"/>
        <v>0</v>
      </c>
      <c r="X917" s="86" t="e">
        <f>((PI()*((42-2*'Gen Calcs'!$E$13)^2)/4)/144)*(A960-#REF!)*(W917+14.7)/14.7</f>
        <v>#REF!</v>
      </c>
      <c r="Y917" s="86" t="e">
        <f t="shared" si="254"/>
        <v>#REF!</v>
      </c>
      <c r="Z917" s="86" t="e">
        <f t="shared" si="255"/>
        <v>#REF!</v>
      </c>
      <c r="AA917" s="83">
        <f>MAX(B$2:B917)-B917</f>
        <v>90.343299999999999</v>
      </c>
      <c r="AB917" s="83">
        <f t="shared" si="256"/>
        <v>39.118648899999997</v>
      </c>
      <c r="AC917" s="83">
        <f t="shared" si="258"/>
        <v>120</v>
      </c>
      <c r="AD917" s="72">
        <v>120</v>
      </c>
      <c r="AE917" s="73">
        <f t="shared" si="265"/>
        <v>907.92027688745009</v>
      </c>
      <c r="AF917" s="73">
        <f>SUM(AE$2:AE917)</f>
        <v>766396.78872865392</v>
      </c>
      <c r="AG917" s="73">
        <f t="shared" si="266"/>
        <v>407333.11369845527</v>
      </c>
    </row>
    <row r="918" spans="1:33" x14ac:dyDescent="0.25">
      <c r="A918" s="100">
        <v>180499.92</v>
      </c>
      <c r="B918" s="97">
        <v>854.58450000000005</v>
      </c>
      <c r="C918" s="97">
        <v>0.6</v>
      </c>
      <c r="D918" s="80">
        <f t="shared" si="251"/>
        <v>100</v>
      </c>
      <c r="E918" s="81">
        <f t="shared" si="259"/>
        <v>6791.2436711181272</v>
      </c>
      <c r="F918" s="81">
        <f>SUM(E$2:E918)</f>
        <v>5734993.0255114324</v>
      </c>
      <c r="G918" s="43">
        <f t="shared" si="257"/>
        <v>1</v>
      </c>
      <c r="H918" s="78">
        <v>1</v>
      </c>
      <c r="I918" s="15">
        <f t="shared" si="260"/>
        <v>0.6</v>
      </c>
      <c r="J918" s="16">
        <f>VLOOKUP(G918,Inputs!$L$3:$P$15,5,FALSE)</f>
        <v>2000</v>
      </c>
      <c r="K918" s="16">
        <f t="shared" si="261"/>
        <v>1825</v>
      </c>
      <c r="L918" s="79">
        <f>Inputs!$P$8-B918</f>
        <v>83.606499999999983</v>
      </c>
      <c r="M918" s="79">
        <f>Inputs!$Q$8+L918*0.433</f>
        <v>1861.2016145</v>
      </c>
      <c r="N918" s="82">
        <f t="shared" si="262"/>
        <v>180499.92</v>
      </c>
      <c r="O918" s="83">
        <f t="shared" si="263"/>
        <v>854.58450000000005</v>
      </c>
      <c r="P918" s="84">
        <f>IF(O918="","",Inputs!$C$5-O918)</f>
        <v>-29.400000000000091</v>
      </c>
      <c r="Q918" s="83">
        <f>IF(N918="","",TS!J918)</f>
        <v>2000</v>
      </c>
      <c r="R918" s="83">
        <f>IF(N918="","",TS!K918)</f>
        <v>1825</v>
      </c>
      <c r="S918" s="83">
        <f>Inputs!$H$5+TS!P918*0.4333</f>
        <v>1862.22669645</v>
      </c>
      <c r="T918" s="83">
        <f>Inputs!$G$5+TS!P918*0.4333</f>
        <v>1877.22669645</v>
      </c>
      <c r="U918" s="85">
        <f t="shared" si="264"/>
        <v>0.93861334822499998</v>
      </c>
      <c r="V918" s="86">
        <f t="shared" si="252"/>
        <v>0</v>
      </c>
      <c r="W918" s="86">
        <f t="shared" si="253"/>
        <v>0</v>
      </c>
      <c r="X918" s="86" t="e">
        <f>((PI()*((42-2*'Gen Calcs'!$E$13)^2)/4)/144)*(A961-#REF!)*(W918+14.7)/14.7</f>
        <v>#REF!</v>
      </c>
      <c r="Y918" s="86" t="e">
        <f t="shared" si="254"/>
        <v>#REF!</v>
      </c>
      <c r="Z918" s="86" t="e">
        <f t="shared" si="255"/>
        <v>#REF!</v>
      </c>
      <c r="AA918" s="83">
        <f>MAX(B$2:B918)-B918</f>
        <v>83.606499999999983</v>
      </c>
      <c r="AB918" s="83">
        <f t="shared" si="256"/>
        <v>36.201614499999991</v>
      </c>
      <c r="AC918" s="83">
        <f t="shared" si="258"/>
        <v>120</v>
      </c>
      <c r="AD918" s="72">
        <v>120</v>
      </c>
      <c r="AE918" s="73">
        <f t="shared" si="265"/>
        <v>907.92027688745009</v>
      </c>
      <c r="AF918" s="73">
        <f>SUM(AE$2:AE918)</f>
        <v>767304.7090055414</v>
      </c>
      <c r="AG918" s="73">
        <f t="shared" si="266"/>
        <v>406425.19342156779</v>
      </c>
    </row>
    <row r="919" spans="1:33" x14ac:dyDescent="0.25">
      <c r="A919" s="99">
        <v>180599.92</v>
      </c>
      <c r="B919" s="96">
        <v>863.06889999999999</v>
      </c>
      <c r="C919" s="96">
        <v>0.6</v>
      </c>
      <c r="D919" s="80">
        <f t="shared" si="251"/>
        <v>100</v>
      </c>
      <c r="E919" s="81">
        <f t="shared" si="259"/>
        <v>6791.2436711181272</v>
      </c>
      <c r="F919" s="81">
        <f>SUM(E$2:E919)</f>
        <v>5741784.2691825507</v>
      </c>
      <c r="G919" s="43">
        <f t="shared" si="257"/>
        <v>1</v>
      </c>
      <c r="H919" s="78">
        <v>1</v>
      </c>
      <c r="I919" s="15">
        <f t="shared" si="260"/>
        <v>0.6</v>
      </c>
      <c r="J919" s="16">
        <f>VLOOKUP(G919,Inputs!$L$3:$P$15,5,FALSE)</f>
        <v>2000</v>
      </c>
      <c r="K919" s="16">
        <f t="shared" si="261"/>
        <v>1825</v>
      </c>
      <c r="L919" s="79">
        <f>Inputs!$P$8-B919</f>
        <v>75.122100000000046</v>
      </c>
      <c r="M919" s="79">
        <f>Inputs!$Q$8+L919*0.433</f>
        <v>1857.5278693</v>
      </c>
      <c r="N919" s="82">
        <f t="shared" si="262"/>
        <v>180599.92</v>
      </c>
      <c r="O919" s="83">
        <f t="shared" si="263"/>
        <v>863.06889999999999</v>
      </c>
      <c r="P919" s="84">
        <f>IF(O919="","",Inputs!$C$5-O919)</f>
        <v>-37.884400000000028</v>
      </c>
      <c r="Q919" s="83">
        <f>IF(N919="","",TS!J919)</f>
        <v>2000</v>
      </c>
      <c r="R919" s="83">
        <f>IF(N919="","",TS!K919)</f>
        <v>1825</v>
      </c>
      <c r="S919" s="83">
        <f>Inputs!$H$5+TS!P919*0.4333</f>
        <v>1858.5504059299999</v>
      </c>
      <c r="T919" s="83">
        <f>Inputs!$G$5+TS!P919*0.4333</f>
        <v>1873.5504059299999</v>
      </c>
      <c r="U919" s="85">
        <f t="shared" si="264"/>
        <v>0.93677520296499994</v>
      </c>
      <c r="V919" s="86">
        <f t="shared" si="252"/>
        <v>0</v>
      </c>
      <c r="W919" s="86">
        <f t="shared" si="253"/>
        <v>0</v>
      </c>
      <c r="X919" s="86" t="e">
        <f>((PI()*((42-2*'Gen Calcs'!$E$13)^2)/4)/144)*(A962-#REF!)*(W919+14.7)/14.7</f>
        <v>#REF!</v>
      </c>
      <c r="Y919" s="86" t="e">
        <f t="shared" si="254"/>
        <v>#REF!</v>
      </c>
      <c r="Z919" s="86" t="e">
        <f t="shared" si="255"/>
        <v>#REF!</v>
      </c>
      <c r="AA919" s="83">
        <f>MAX(B$2:B919)-B919</f>
        <v>75.122100000000046</v>
      </c>
      <c r="AB919" s="83">
        <f t="shared" si="256"/>
        <v>32.52786930000002</v>
      </c>
      <c r="AC919" s="83">
        <f t="shared" si="258"/>
        <v>120</v>
      </c>
      <c r="AD919" s="72">
        <v>120</v>
      </c>
      <c r="AE919" s="73">
        <f t="shared" si="265"/>
        <v>907.92027688745009</v>
      </c>
      <c r="AF919" s="73">
        <f>SUM(AE$2:AE919)</f>
        <v>768212.62928242888</v>
      </c>
      <c r="AG919" s="73">
        <f t="shared" si="266"/>
        <v>405517.27314468031</v>
      </c>
    </row>
    <row r="920" spans="1:33" x14ac:dyDescent="0.25">
      <c r="A920" s="100">
        <v>180699.92</v>
      </c>
      <c r="B920" s="97">
        <v>869.19949999999994</v>
      </c>
      <c r="C920" s="97">
        <v>0.6</v>
      </c>
      <c r="D920" s="80">
        <f t="shared" si="251"/>
        <v>100</v>
      </c>
      <c r="E920" s="81">
        <f t="shared" si="259"/>
        <v>6791.2436711181272</v>
      </c>
      <c r="F920" s="81">
        <f>SUM(E$2:E920)</f>
        <v>5748575.512853669</v>
      </c>
      <c r="G920" s="43">
        <f t="shared" si="257"/>
        <v>1</v>
      </c>
      <c r="H920" s="78">
        <v>1</v>
      </c>
      <c r="I920" s="15">
        <f t="shared" si="260"/>
        <v>0.6</v>
      </c>
      <c r="J920" s="16">
        <f>VLOOKUP(G920,Inputs!$L$3:$P$15,5,FALSE)</f>
        <v>2000</v>
      </c>
      <c r="K920" s="16">
        <f t="shared" si="261"/>
        <v>1825</v>
      </c>
      <c r="L920" s="79">
        <f>Inputs!$P$8-B920</f>
        <v>68.991500000000087</v>
      </c>
      <c r="M920" s="79">
        <f>Inputs!$Q$8+L920*0.433</f>
        <v>1854.8733195</v>
      </c>
      <c r="N920" s="82">
        <f t="shared" si="262"/>
        <v>180699.92</v>
      </c>
      <c r="O920" s="83">
        <f t="shared" si="263"/>
        <v>869.19949999999994</v>
      </c>
      <c r="P920" s="84">
        <f>IF(O920="","",Inputs!$C$5-O920)</f>
        <v>-44.014999999999986</v>
      </c>
      <c r="Q920" s="83">
        <f>IF(N920="","",TS!J920)</f>
        <v>2000</v>
      </c>
      <c r="R920" s="83">
        <f>IF(N920="","",TS!K920)</f>
        <v>1825</v>
      </c>
      <c r="S920" s="83">
        <f>Inputs!$H$5+TS!P920*0.4333</f>
        <v>1855.8940169499999</v>
      </c>
      <c r="T920" s="83">
        <f>Inputs!$G$5+TS!P920*0.4333</f>
        <v>1870.8940169499999</v>
      </c>
      <c r="U920" s="85">
        <f t="shared" si="264"/>
        <v>0.93544700847499995</v>
      </c>
      <c r="V920" s="86">
        <f t="shared" si="252"/>
        <v>0</v>
      </c>
      <c r="W920" s="86">
        <f t="shared" si="253"/>
        <v>0</v>
      </c>
      <c r="X920" s="86" t="e">
        <f>((PI()*((42-2*'Gen Calcs'!$E$13)^2)/4)/144)*(A963-#REF!)*(W920+14.7)/14.7</f>
        <v>#REF!</v>
      </c>
      <c r="Y920" s="86" t="e">
        <f t="shared" si="254"/>
        <v>#REF!</v>
      </c>
      <c r="Z920" s="86" t="e">
        <f t="shared" si="255"/>
        <v>#REF!</v>
      </c>
      <c r="AA920" s="83">
        <f>MAX(B$2:B920)-B920</f>
        <v>68.991500000000087</v>
      </c>
      <c r="AB920" s="83">
        <f t="shared" si="256"/>
        <v>29.873319500000036</v>
      </c>
      <c r="AC920" s="83">
        <f t="shared" si="258"/>
        <v>120</v>
      </c>
      <c r="AD920" s="72">
        <v>120</v>
      </c>
      <c r="AE920" s="73">
        <f t="shared" si="265"/>
        <v>907.92027688745009</v>
      </c>
      <c r="AF920" s="73">
        <f>SUM(AE$2:AE920)</f>
        <v>769120.54955931637</v>
      </c>
      <c r="AG920" s="73">
        <f t="shared" si="266"/>
        <v>404609.35286779283</v>
      </c>
    </row>
    <row r="921" spans="1:33" x14ac:dyDescent="0.25">
      <c r="A921" s="99">
        <v>180799.92</v>
      </c>
      <c r="B921" s="96">
        <v>875.78729999999996</v>
      </c>
      <c r="C921" s="96">
        <v>0.6</v>
      </c>
      <c r="D921" s="80">
        <f t="shared" si="251"/>
        <v>100</v>
      </c>
      <c r="E921" s="81">
        <f t="shared" si="259"/>
        <v>6791.2436711181272</v>
      </c>
      <c r="F921" s="81">
        <f>SUM(E$2:E921)</f>
        <v>5755366.7565247873</v>
      </c>
      <c r="G921" s="43">
        <f t="shared" si="257"/>
        <v>1</v>
      </c>
      <c r="H921" s="78">
        <v>1</v>
      </c>
      <c r="I921" s="15">
        <f t="shared" si="260"/>
        <v>0.6</v>
      </c>
      <c r="J921" s="16">
        <f>VLOOKUP(G921,Inputs!$L$3:$P$15,5,FALSE)</f>
        <v>2000</v>
      </c>
      <c r="K921" s="16">
        <f t="shared" si="261"/>
        <v>1825</v>
      </c>
      <c r="L921" s="79">
        <f>Inputs!$P$8-B921</f>
        <v>62.403700000000072</v>
      </c>
      <c r="M921" s="79">
        <f>Inputs!$Q$8+L921*0.433</f>
        <v>1852.0208021000001</v>
      </c>
      <c r="N921" s="82">
        <f t="shared" si="262"/>
        <v>180799.92</v>
      </c>
      <c r="O921" s="83">
        <f t="shared" si="263"/>
        <v>875.78729999999996</v>
      </c>
      <c r="P921" s="84">
        <f>IF(O921="","",Inputs!$C$5-O921)</f>
        <v>-50.602800000000002</v>
      </c>
      <c r="Q921" s="83">
        <f>IF(N921="","",TS!J921)</f>
        <v>2000</v>
      </c>
      <c r="R921" s="83">
        <f>IF(N921="","",TS!K921)</f>
        <v>1825</v>
      </c>
      <c r="S921" s="83">
        <f>Inputs!$H$5+TS!P921*0.4333</f>
        <v>1853.03952321</v>
      </c>
      <c r="T921" s="83">
        <f>Inputs!$G$5+TS!P921*0.4333</f>
        <v>1868.03952321</v>
      </c>
      <c r="U921" s="85">
        <f t="shared" si="264"/>
        <v>0.934019761605</v>
      </c>
      <c r="V921" s="86">
        <f t="shared" si="252"/>
        <v>0</v>
      </c>
      <c r="W921" s="86">
        <f t="shared" si="253"/>
        <v>0</v>
      </c>
      <c r="X921" s="86" t="e">
        <f>((PI()*((42-2*'Gen Calcs'!$E$13)^2)/4)/144)*(A964-#REF!)*(W921+14.7)/14.7</f>
        <v>#REF!</v>
      </c>
      <c r="Y921" s="86" t="e">
        <f t="shared" si="254"/>
        <v>#REF!</v>
      </c>
      <c r="Z921" s="86" t="e">
        <f t="shared" si="255"/>
        <v>#REF!</v>
      </c>
      <c r="AA921" s="83">
        <f>MAX(B$2:B921)-B921</f>
        <v>62.403700000000072</v>
      </c>
      <c r="AB921" s="83">
        <f t="shared" si="256"/>
        <v>27.020802100000029</v>
      </c>
      <c r="AC921" s="83">
        <f t="shared" si="258"/>
        <v>120</v>
      </c>
      <c r="AD921" s="72">
        <v>120</v>
      </c>
      <c r="AE921" s="73">
        <f t="shared" si="265"/>
        <v>907.92027688745009</v>
      </c>
      <c r="AF921" s="73">
        <f>SUM(AE$2:AE921)</f>
        <v>770028.46983620385</v>
      </c>
      <c r="AG921" s="73">
        <f t="shared" si="266"/>
        <v>403701.43259090534</v>
      </c>
    </row>
    <row r="922" spans="1:33" x14ac:dyDescent="0.25">
      <c r="A922" s="100">
        <v>180899.92</v>
      </c>
      <c r="B922" s="97">
        <v>883.29240000000004</v>
      </c>
      <c r="C922" s="97">
        <v>0.6</v>
      </c>
      <c r="D922" s="80">
        <f t="shared" si="251"/>
        <v>100</v>
      </c>
      <c r="E922" s="81">
        <f t="shared" si="259"/>
        <v>6791.2436711181272</v>
      </c>
      <c r="F922" s="81">
        <f>SUM(E$2:E922)</f>
        <v>5762158.0001959056</v>
      </c>
      <c r="G922" s="43">
        <f t="shared" si="257"/>
        <v>1</v>
      </c>
      <c r="H922" s="78">
        <v>1</v>
      </c>
      <c r="I922" s="15">
        <f t="shared" si="260"/>
        <v>0.6</v>
      </c>
      <c r="J922" s="16">
        <f>VLOOKUP(G922,Inputs!$L$3:$P$15,5,FALSE)</f>
        <v>2000</v>
      </c>
      <c r="K922" s="16">
        <f t="shared" si="261"/>
        <v>1825</v>
      </c>
      <c r="L922" s="79">
        <f>Inputs!$P$8-B922</f>
        <v>54.898599999999988</v>
      </c>
      <c r="M922" s="79">
        <f>Inputs!$Q$8+L922*0.433</f>
        <v>1848.7710938</v>
      </c>
      <c r="N922" s="82">
        <f t="shared" si="262"/>
        <v>180899.92</v>
      </c>
      <c r="O922" s="83">
        <f t="shared" si="263"/>
        <v>883.29240000000004</v>
      </c>
      <c r="P922" s="84">
        <f>IF(O922="","",Inputs!$C$5-O922)</f>
        <v>-58.107900000000086</v>
      </c>
      <c r="Q922" s="83">
        <f>IF(N922="","",TS!J922)</f>
        <v>2000</v>
      </c>
      <c r="R922" s="83">
        <f>IF(N922="","",TS!K922)</f>
        <v>1825</v>
      </c>
      <c r="S922" s="83">
        <f>Inputs!$H$5+TS!P922*0.4333</f>
        <v>1849.7875633799999</v>
      </c>
      <c r="T922" s="83">
        <f>Inputs!$G$5+TS!P922*0.4333</f>
        <v>1864.7875633799999</v>
      </c>
      <c r="U922" s="85">
        <f t="shared" si="264"/>
        <v>0.93239378168999998</v>
      </c>
      <c r="V922" s="86">
        <f t="shared" si="252"/>
        <v>0</v>
      </c>
      <c r="W922" s="86">
        <f t="shared" si="253"/>
        <v>0</v>
      </c>
      <c r="X922" s="86" t="e">
        <f>((PI()*((42-2*'Gen Calcs'!$E$13)^2)/4)/144)*(A965-#REF!)*(W922+14.7)/14.7</f>
        <v>#REF!</v>
      </c>
      <c r="Y922" s="86" t="e">
        <f t="shared" si="254"/>
        <v>#REF!</v>
      </c>
      <c r="Z922" s="86" t="e">
        <f t="shared" si="255"/>
        <v>#REF!</v>
      </c>
      <c r="AA922" s="83">
        <f>MAX(B$2:B922)-B922</f>
        <v>54.898599999999988</v>
      </c>
      <c r="AB922" s="83">
        <f t="shared" si="256"/>
        <v>23.771093799999996</v>
      </c>
      <c r="AC922" s="83">
        <f t="shared" si="258"/>
        <v>120</v>
      </c>
      <c r="AD922" s="72">
        <v>120</v>
      </c>
      <c r="AE922" s="73">
        <f t="shared" si="265"/>
        <v>907.92027688745009</v>
      </c>
      <c r="AF922" s="73">
        <f>SUM(AE$2:AE922)</f>
        <v>770936.39011309133</v>
      </c>
      <c r="AG922" s="73">
        <f t="shared" si="266"/>
        <v>402793.51231401786</v>
      </c>
    </row>
    <row r="923" spans="1:33" x14ac:dyDescent="0.25">
      <c r="A923" s="99">
        <v>180999.92</v>
      </c>
      <c r="B923" s="96">
        <v>894.62090000000001</v>
      </c>
      <c r="C923" s="96">
        <v>0.6</v>
      </c>
      <c r="D923" s="80">
        <f t="shared" si="251"/>
        <v>100</v>
      </c>
      <c r="E923" s="81">
        <f t="shared" si="259"/>
        <v>6791.2436711181272</v>
      </c>
      <c r="F923" s="81">
        <f>SUM(E$2:E923)</f>
        <v>5768949.2438670238</v>
      </c>
      <c r="G923" s="43">
        <f t="shared" si="257"/>
        <v>1</v>
      </c>
      <c r="H923" s="78">
        <v>1</v>
      </c>
      <c r="I923" s="15">
        <f t="shared" si="260"/>
        <v>0.6</v>
      </c>
      <c r="J923" s="16">
        <f>VLOOKUP(G923,Inputs!$L$3:$P$15,5,FALSE)</f>
        <v>2000</v>
      </c>
      <c r="K923" s="16">
        <f t="shared" si="261"/>
        <v>1825</v>
      </c>
      <c r="L923" s="79">
        <f>Inputs!$P$8-B923</f>
        <v>43.570100000000025</v>
      </c>
      <c r="M923" s="79">
        <f>Inputs!$Q$8+L923*0.433</f>
        <v>1843.8658533</v>
      </c>
      <c r="N923" s="82">
        <f t="shared" si="262"/>
        <v>180999.92</v>
      </c>
      <c r="O923" s="83">
        <f t="shared" si="263"/>
        <v>894.62090000000001</v>
      </c>
      <c r="P923" s="84">
        <f>IF(O923="","",Inputs!$C$5-O923)</f>
        <v>-69.436400000000049</v>
      </c>
      <c r="Q923" s="83">
        <f>IF(N923="","",TS!J923)</f>
        <v>2000</v>
      </c>
      <c r="R923" s="83">
        <f>IF(N923="","",TS!K923)</f>
        <v>1825</v>
      </c>
      <c r="S923" s="83">
        <f>Inputs!$H$5+TS!P923*0.4333</f>
        <v>1844.87892433</v>
      </c>
      <c r="T923" s="83">
        <f>Inputs!$G$5+TS!P923*0.4333</f>
        <v>1859.87892433</v>
      </c>
      <c r="U923" s="85">
        <f t="shared" si="264"/>
        <v>0.92993946216500001</v>
      </c>
      <c r="V923" s="86">
        <f t="shared" si="252"/>
        <v>0</v>
      </c>
      <c r="W923" s="86">
        <f t="shared" si="253"/>
        <v>0</v>
      </c>
      <c r="X923" s="86" t="e">
        <f>((PI()*((42-2*'Gen Calcs'!$E$13)^2)/4)/144)*(A966-#REF!)*(W923+14.7)/14.7</f>
        <v>#REF!</v>
      </c>
      <c r="Y923" s="86" t="e">
        <f t="shared" si="254"/>
        <v>#REF!</v>
      </c>
      <c r="Z923" s="86" t="e">
        <f t="shared" si="255"/>
        <v>#REF!</v>
      </c>
      <c r="AA923" s="83">
        <f>MAX(B$2:B923)-B923</f>
        <v>43.570100000000025</v>
      </c>
      <c r="AB923" s="83">
        <f t="shared" si="256"/>
        <v>18.865853300000012</v>
      </c>
      <c r="AC923" s="83">
        <f t="shared" si="258"/>
        <v>120</v>
      </c>
      <c r="AD923" s="72">
        <v>120</v>
      </c>
      <c r="AE923" s="73">
        <f t="shared" si="265"/>
        <v>907.92027688745009</v>
      </c>
      <c r="AF923" s="73">
        <f>SUM(AE$2:AE923)</f>
        <v>771844.31038997881</v>
      </c>
      <c r="AG923" s="73">
        <f t="shared" si="266"/>
        <v>401885.59203713038</v>
      </c>
    </row>
    <row r="924" spans="1:33" x14ac:dyDescent="0.25">
      <c r="A924" s="100">
        <v>181099.92</v>
      </c>
      <c r="B924" s="97">
        <v>908.67970000000003</v>
      </c>
      <c r="C924" s="97">
        <v>0.6</v>
      </c>
      <c r="D924" s="80">
        <f t="shared" si="251"/>
        <v>100</v>
      </c>
      <c r="E924" s="81">
        <f t="shared" si="259"/>
        <v>6791.2436711181272</v>
      </c>
      <c r="F924" s="81">
        <f>SUM(E$2:E924)</f>
        <v>5775740.4875381421</v>
      </c>
      <c r="G924" s="43">
        <f t="shared" si="257"/>
        <v>1</v>
      </c>
      <c r="H924" s="78">
        <v>1</v>
      </c>
      <c r="I924" s="15">
        <f t="shared" si="260"/>
        <v>0.6</v>
      </c>
      <c r="J924" s="16">
        <f>VLOOKUP(G924,Inputs!$L$3:$P$15,5,FALSE)</f>
        <v>2000</v>
      </c>
      <c r="K924" s="16">
        <f t="shared" si="261"/>
        <v>1825</v>
      </c>
      <c r="L924" s="79">
        <f>Inputs!$P$8-B924</f>
        <v>29.511300000000006</v>
      </c>
      <c r="M924" s="79">
        <f>Inputs!$Q$8+L924*0.433</f>
        <v>1837.7783929</v>
      </c>
      <c r="N924" s="82">
        <f t="shared" si="262"/>
        <v>181099.92</v>
      </c>
      <c r="O924" s="83">
        <f t="shared" si="263"/>
        <v>908.67970000000003</v>
      </c>
      <c r="P924" s="84">
        <f>IF(O924="","",Inputs!$C$5-O924)</f>
        <v>-83.495200000000068</v>
      </c>
      <c r="Q924" s="83">
        <f>IF(N924="","",TS!J924)</f>
        <v>2000</v>
      </c>
      <c r="R924" s="83">
        <f>IF(N924="","",TS!K924)</f>
        <v>1825</v>
      </c>
      <c r="S924" s="83">
        <f>Inputs!$H$5+TS!P924*0.4333</f>
        <v>1838.78724629</v>
      </c>
      <c r="T924" s="83">
        <f>Inputs!$G$5+TS!P924*0.4333</f>
        <v>1853.78724629</v>
      </c>
      <c r="U924" s="85">
        <f t="shared" si="264"/>
        <v>0.92689362314500001</v>
      </c>
      <c r="V924" s="86">
        <f t="shared" si="252"/>
        <v>0</v>
      </c>
      <c r="W924" s="86">
        <f t="shared" si="253"/>
        <v>0</v>
      </c>
      <c r="X924" s="86" t="e">
        <f>((PI()*((42-2*'Gen Calcs'!$E$13)^2)/4)/144)*(A967-#REF!)*(W924+14.7)/14.7</f>
        <v>#REF!</v>
      </c>
      <c r="Y924" s="86" t="e">
        <f t="shared" si="254"/>
        <v>#REF!</v>
      </c>
      <c r="Z924" s="86" t="e">
        <f t="shared" si="255"/>
        <v>#REF!</v>
      </c>
      <c r="AA924" s="83">
        <f>MAX(B$2:B924)-B924</f>
        <v>29.511300000000006</v>
      </c>
      <c r="AB924" s="83">
        <f t="shared" si="256"/>
        <v>12.778392900000002</v>
      </c>
      <c r="AC924" s="83">
        <f t="shared" si="258"/>
        <v>120</v>
      </c>
      <c r="AD924" s="72">
        <v>120</v>
      </c>
      <c r="AE924" s="73">
        <f t="shared" si="265"/>
        <v>907.92027688745009</v>
      </c>
      <c r="AF924" s="73">
        <f>SUM(AE$2:AE924)</f>
        <v>772752.23066686629</v>
      </c>
      <c r="AG924" s="73">
        <f t="shared" si="266"/>
        <v>400977.6717602429</v>
      </c>
    </row>
    <row r="925" spans="1:33" x14ac:dyDescent="0.25">
      <c r="A925" s="99">
        <v>181199.92</v>
      </c>
      <c r="B925" s="96">
        <v>916.85709999999995</v>
      </c>
      <c r="C925" s="96">
        <v>0.6</v>
      </c>
      <c r="D925" s="80">
        <f t="shared" si="251"/>
        <v>100</v>
      </c>
      <c r="E925" s="81">
        <f t="shared" si="259"/>
        <v>6791.2436711181272</v>
      </c>
      <c r="F925" s="81">
        <f>SUM(E$2:E925)</f>
        <v>5782531.7312092604</v>
      </c>
      <c r="G925" s="43">
        <f t="shared" si="257"/>
        <v>1</v>
      </c>
      <c r="H925" s="78">
        <v>1</v>
      </c>
      <c r="I925" s="15">
        <f t="shared" si="260"/>
        <v>0.6</v>
      </c>
      <c r="J925" s="16">
        <f>VLOOKUP(G925,Inputs!$L$3:$P$15,5,FALSE)</f>
        <v>2000</v>
      </c>
      <c r="K925" s="16">
        <f t="shared" si="261"/>
        <v>1825</v>
      </c>
      <c r="L925" s="79">
        <f>Inputs!$P$8-B925</f>
        <v>21.333900000000085</v>
      </c>
      <c r="M925" s="79">
        <f>Inputs!$Q$8+L925*0.433</f>
        <v>1834.2375787000001</v>
      </c>
      <c r="N925" s="82">
        <f t="shared" si="262"/>
        <v>181199.92</v>
      </c>
      <c r="O925" s="83">
        <f t="shared" si="263"/>
        <v>916.85709999999995</v>
      </c>
      <c r="P925" s="84">
        <f>IF(O925="","",Inputs!$C$5-O925)</f>
        <v>-91.672599999999989</v>
      </c>
      <c r="Q925" s="83">
        <f>IF(N925="","",TS!J925)</f>
        <v>2000</v>
      </c>
      <c r="R925" s="83">
        <f>IF(N925="","",TS!K925)</f>
        <v>1825</v>
      </c>
      <c r="S925" s="83">
        <f>Inputs!$H$5+TS!P925*0.4333</f>
        <v>1835.2439788699999</v>
      </c>
      <c r="T925" s="83">
        <f>Inputs!$G$5+TS!P925*0.4333</f>
        <v>1850.2439788699999</v>
      </c>
      <c r="U925" s="85">
        <f t="shared" si="264"/>
        <v>0.9251219894349999</v>
      </c>
      <c r="V925" s="86">
        <f t="shared" si="252"/>
        <v>0</v>
      </c>
      <c r="W925" s="86">
        <f t="shared" si="253"/>
        <v>0</v>
      </c>
      <c r="X925" s="86" t="e">
        <f>((PI()*((42-2*'Gen Calcs'!$E$13)^2)/4)/144)*(A968-#REF!)*(W925+14.7)/14.7</f>
        <v>#REF!</v>
      </c>
      <c r="Y925" s="86" t="e">
        <f t="shared" si="254"/>
        <v>#REF!</v>
      </c>
      <c r="Z925" s="86" t="e">
        <f t="shared" si="255"/>
        <v>#REF!</v>
      </c>
      <c r="AA925" s="83">
        <f>MAX(B$2:B925)-B925</f>
        <v>21.333900000000085</v>
      </c>
      <c r="AB925" s="83">
        <f t="shared" si="256"/>
        <v>9.2375787000000376</v>
      </c>
      <c r="AC925" s="83">
        <f t="shared" si="258"/>
        <v>120</v>
      </c>
      <c r="AD925" s="72">
        <v>120</v>
      </c>
      <c r="AE925" s="73">
        <f t="shared" si="265"/>
        <v>907.92027688745009</v>
      </c>
      <c r="AF925" s="73">
        <f>SUM(AE$2:AE925)</f>
        <v>773660.15094375378</v>
      </c>
      <c r="AG925" s="73">
        <f t="shared" si="266"/>
        <v>400069.75148335542</v>
      </c>
    </row>
    <row r="926" spans="1:33" x14ac:dyDescent="0.25">
      <c r="A926" s="100">
        <v>181299.92</v>
      </c>
      <c r="B926" s="97">
        <v>918.09270000000004</v>
      </c>
      <c r="C926" s="97">
        <v>0.6</v>
      </c>
      <c r="D926" s="80">
        <f t="shared" si="251"/>
        <v>100</v>
      </c>
      <c r="E926" s="81">
        <f t="shared" si="259"/>
        <v>6791.2436711181272</v>
      </c>
      <c r="F926" s="81">
        <f>SUM(E$2:E926)</f>
        <v>5789322.9748803787</v>
      </c>
      <c r="G926" s="43">
        <f t="shared" si="257"/>
        <v>1</v>
      </c>
      <c r="H926" s="78">
        <v>1</v>
      </c>
      <c r="I926" s="15">
        <f t="shared" si="260"/>
        <v>0.6</v>
      </c>
      <c r="J926" s="16">
        <f>VLOOKUP(G926,Inputs!$L$3:$P$15,5,FALSE)</f>
        <v>2000</v>
      </c>
      <c r="K926" s="16">
        <f t="shared" si="261"/>
        <v>1825</v>
      </c>
      <c r="L926" s="79">
        <f>Inputs!$P$8-B926</f>
        <v>20.098299999999995</v>
      </c>
      <c r="M926" s="79">
        <f>Inputs!$Q$8+L926*0.433</f>
        <v>1833.7025639000001</v>
      </c>
      <c r="N926" s="82">
        <f t="shared" si="262"/>
        <v>181299.92</v>
      </c>
      <c r="O926" s="83">
        <f t="shared" si="263"/>
        <v>918.09270000000004</v>
      </c>
      <c r="P926" s="84">
        <f>IF(O926="","",Inputs!$C$5-O926)</f>
        <v>-92.908200000000079</v>
      </c>
      <c r="Q926" s="83">
        <f>IF(N926="","",TS!J926)</f>
        <v>2000</v>
      </c>
      <c r="R926" s="83">
        <f>IF(N926="","",TS!K926)</f>
        <v>1825</v>
      </c>
      <c r="S926" s="83">
        <f>Inputs!$H$5+TS!P926*0.4333</f>
        <v>1834.7085933899998</v>
      </c>
      <c r="T926" s="83">
        <f>Inputs!$G$5+TS!P926*0.4333</f>
        <v>1849.7085933899998</v>
      </c>
      <c r="U926" s="85">
        <f t="shared" si="264"/>
        <v>0.92485429669499986</v>
      </c>
      <c r="V926" s="86">
        <f t="shared" si="252"/>
        <v>0</v>
      </c>
      <c r="W926" s="86">
        <f t="shared" si="253"/>
        <v>0</v>
      </c>
      <c r="X926" s="86" t="e">
        <f>((PI()*((42-2*'Gen Calcs'!$E$13)^2)/4)/144)*(A969-#REF!)*(W926+14.7)/14.7</f>
        <v>#REF!</v>
      </c>
      <c r="Y926" s="86" t="e">
        <f t="shared" si="254"/>
        <v>#REF!</v>
      </c>
      <c r="Z926" s="86" t="e">
        <f t="shared" si="255"/>
        <v>#REF!</v>
      </c>
      <c r="AA926" s="83">
        <f>MAX(B$2:B926)-B926</f>
        <v>20.098299999999995</v>
      </c>
      <c r="AB926" s="83">
        <f t="shared" si="256"/>
        <v>8.7025638999999977</v>
      </c>
      <c r="AC926" s="83">
        <f t="shared" si="258"/>
        <v>120</v>
      </c>
      <c r="AD926" s="72">
        <v>120</v>
      </c>
      <c r="AE926" s="73">
        <f t="shared" si="265"/>
        <v>907.92027688745009</v>
      </c>
      <c r="AF926" s="73">
        <f>SUM(AE$2:AE926)</f>
        <v>774568.07122064126</v>
      </c>
      <c r="AG926" s="73">
        <f t="shared" si="266"/>
        <v>399161.83120646793</v>
      </c>
    </row>
    <row r="927" spans="1:33" x14ac:dyDescent="0.25">
      <c r="A927" s="99">
        <v>181399.92</v>
      </c>
      <c r="B927" s="96">
        <v>914.61289999999997</v>
      </c>
      <c r="C927" s="96">
        <v>0.6</v>
      </c>
      <c r="D927" s="80">
        <f t="shared" si="251"/>
        <v>100</v>
      </c>
      <c r="E927" s="81">
        <f t="shared" si="259"/>
        <v>6791.2436711181272</v>
      </c>
      <c r="F927" s="81">
        <f>SUM(E$2:E927)</f>
        <v>5796114.218551497</v>
      </c>
      <c r="G927" s="43">
        <f t="shared" si="257"/>
        <v>1</v>
      </c>
      <c r="H927" s="78">
        <v>1</v>
      </c>
      <c r="I927" s="15">
        <f t="shared" si="260"/>
        <v>0.6</v>
      </c>
      <c r="J927" s="16">
        <f>VLOOKUP(G927,Inputs!$L$3:$P$15,5,FALSE)</f>
        <v>2000</v>
      </c>
      <c r="K927" s="16">
        <f t="shared" si="261"/>
        <v>1825</v>
      </c>
      <c r="L927" s="79">
        <f>Inputs!$P$8-B927</f>
        <v>23.578100000000063</v>
      </c>
      <c r="M927" s="79">
        <f>Inputs!$Q$8+L927*0.433</f>
        <v>1835.2093173000001</v>
      </c>
      <c r="N927" s="82">
        <f t="shared" si="262"/>
        <v>181399.92</v>
      </c>
      <c r="O927" s="83">
        <f t="shared" si="263"/>
        <v>914.61289999999997</v>
      </c>
      <c r="P927" s="84">
        <f>IF(O927="","",Inputs!$C$5-O927)</f>
        <v>-89.428400000000011</v>
      </c>
      <c r="Q927" s="83">
        <f>IF(N927="","",TS!J927)</f>
        <v>2000</v>
      </c>
      <c r="R927" s="83">
        <f>IF(N927="","",TS!K927)</f>
        <v>1825</v>
      </c>
      <c r="S927" s="83">
        <f>Inputs!$H$5+TS!P927*0.4333</f>
        <v>1836.2163907299998</v>
      </c>
      <c r="T927" s="83">
        <f>Inputs!$G$5+TS!P927*0.4333</f>
        <v>1851.2163907299998</v>
      </c>
      <c r="U927" s="85">
        <f t="shared" si="264"/>
        <v>0.92560819536499994</v>
      </c>
      <c r="V927" s="86">
        <f t="shared" si="252"/>
        <v>0</v>
      </c>
      <c r="W927" s="86">
        <f t="shared" si="253"/>
        <v>0</v>
      </c>
      <c r="X927" s="86" t="e">
        <f>((PI()*((42-2*'Gen Calcs'!$E$13)^2)/4)/144)*(A970-#REF!)*(W927+14.7)/14.7</f>
        <v>#REF!</v>
      </c>
      <c r="Y927" s="86" t="e">
        <f t="shared" si="254"/>
        <v>#REF!</v>
      </c>
      <c r="Z927" s="86" t="e">
        <f t="shared" si="255"/>
        <v>#REF!</v>
      </c>
      <c r="AA927" s="83">
        <f>MAX(B$2:B927)-B927</f>
        <v>23.578100000000063</v>
      </c>
      <c r="AB927" s="83">
        <f t="shared" si="256"/>
        <v>10.209317300000027</v>
      </c>
      <c r="AC927" s="83">
        <f t="shared" si="258"/>
        <v>120</v>
      </c>
      <c r="AD927" s="72">
        <v>120</v>
      </c>
      <c r="AE927" s="73">
        <f t="shared" si="265"/>
        <v>907.92027688745009</v>
      </c>
      <c r="AF927" s="73">
        <f>SUM(AE$2:AE927)</f>
        <v>775475.99149752874</v>
      </c>
      <c r="AG927" s="73">
        <f t="shared" si="266"/>
        <v>398253.91092958045</v>
      </c>
    </row>
    <row r="928" spans="1:33" x14ac:dyDescent="0.25">
      <c r="A928" s="100">
        <v>181499.92</v>
      </c>
      <c r="B928" s="97">
        <v>909.61040000000003</v>
      </c>
      <c r="C928" s="97">
        <v>0.6</v>
      </c>
      <c r="D928" s="80">
        <f t="shared" si="251"/>
        <v>100</v>
      </c>
      <c r="E928" s="81">
        <f t="shared" si="259"/>
        <v>6791.2436711181272</v>
      </c>
      <c r="F928" s="81">
        <f>SUM(E$2:E928)</f>
        <v>5802905.4622226153</v>
      </c>
      <c r="G928" s="43">
        <f t="shared" si="257"/>
        <v>1</v>
      </c>
      <c r="H928" s="78">
        <v>1</v>
      </c>
      <c r="I928" s="15">
        <f t="shared" si="260"/>
        <v>0.6</v>
      </c>
      <c r="J928" s="16">
        <f>VLOOKUP(G928,Inputs!$L$3:$P$15,5,FALSE)</f>
        <v>2000</v>
      </c>
      <c r="K928" s="16">
        <f t="shared" si="261"/>
        <v>1825</v>
      </c>
      <c r="L928" s="79">
        <f>Inputs!$P$8-B928</f>
        <v>28.580600000000004</v>
      </c>
      <c r="M928" s="79">
        <f>Inputs!$Q$8+L928*0.433</f>
        <v>1837.3753998</v>
      </c>
      <c r="N928" s="82">
        <f t="shared" si="262"/>
        <v>181499.92</v>
      </c>
      <c r="O928" s="83">
        <f t="shared" si="263"/>
        <v>909.61040000000003</v>
      </c>
      <c r="P928" s="84">
        <f>IF(O928="","",Inputs!$C$5-O928)</f>
        <v>-84.42590000000007</v>
      </c>
      <c r="Q928" s="83">
        <f>IF(N928="","",TS!J928)</f>
        <v>2000</v>
      </c>
      <c r="R928" s="83">
        <f>IF(N928="","",TS!K928)</f>
        <v>1825</v>
      </c>
      <c r="S928" s="83">
        <f>Inputs!$H$5+TS!P928*0.4333</f>
        <v>1838.3839739799998</v>
      </c>
      <c r="T928" s="83">
        <f>Inputs!$G$5+TS!P928*0.4333</f>
        <v>1853.3839739799998</v>
      </c>
      <c r="U928" s="85">
        <f t="shared" si="264"/>
        <v>0.92669198698999988</v>
      </c>
      <c r="V928" s="86">
        <f t="shared" si="252"/>
        <v>0</v>
      </c>
      <c r="W928" s="86">
        <f t="shared" si="253"/>
        <v>0</v>
      </c>
      <c r="X928" s="86" t="e">
        <f>((PI()*((42-2*'Gen Calcs'!$E$13)^2)/4)/144)*(A971-#REF!)*(W928+14.7)/14.7</f>
        <v>#REF!</v>
      </c>
      <c r="Y928" s="86" t="e">
        <f t="shared" si="254"/>
        <v>#REF!</v>
      </c>
      <c r="Z928" s="86" t="e">
        <f t="shared" si="255"/>
        <v>#REF!</v>
      </c>
      <c r="AA928" s="83">
        <f>MAX(B$2:B928)-B928</f>
        <v>28.580600000000004</v>
      </c>
      <c r="AB928" s="83">
        <f t="shared" si="256"/>
        <v>12.375399800000002</v>
      </c>
      <c r="AC928" s="83">
        <f t="shared" si="258"/>
        <v>120</v>
      </c>
      <c r="AD928" s="72">
        <v>120</v>
      </c>
      <c r="AE928" s="73">
        <f t="shared" si="265"/>
        <v>907.92027688745009</v>
      </c>
      <c r="AF928" s="73">
        <f>SUM(AE$2:AE928)</f>
        <v>776383.91177441622</v>
      </c>
      <c r="AG928" s="73">
        <f t="shared" si="266"/>
        <v>397345.99065269297</v>
      </c>
    </row>
    <row r="929" spans="1:33" x14ac:dyDescent="0.25">
      <c r="A929" s="99">
        <v>181599.92</v>
      </c>
      <c r="B929" s="96">
        <v>904.76980000000003</v>
      </c>
      <c r="C929" s="96">
        <v>0.6</v>
      </c>
      <c r="D929" s="80">
        <f t="shared" ref="D929:D992" si="267">A929-A928</f>
        <v>100</v>
      </c>
      <c r="E929" s="81">
        <f t="shared" si="259"/>
        <v>6791.2436711181272</v>
      </c>
      <c r="F929" s="81">
        <f>SUM(E$2:E929)</f>
        <v>5809696.7058937335</v>
      </c>
      <c r="G929" s="43">
        <f t="shared" si="257"/>
        <v>1</v>
      </c>
      <c r="H929" s="78">
        <v>1</v>
      </c>
      <c r="I929" s="15">
        <f t="shared" si="260"/>
        <v>0.6</v>
      </c>
      <c r="J929" s="16">
        <f>VLOOKUP(G929,Inputs!$L$3:$P$15,5,FALSE)</f>
        <v>2000</v>
      </c>
      <c r="K929" s="16">
        <f t="shared" si="261"/>
        <v>1825</v>
      </c>
      <c r="L929" s="79">
        <f>Inputs!$P$8-B929</f>
        <v>33.421199999999999</v>
      </c>
      <c r="M929" s="79">
        <f>Inputs!$Q$8+L929*0.433</f>
        <v>1839.4713796000001</v>
      </c>
      <c r="N929" s="82">
        <f t="shared" si="262"/>
        <v>181599.92</v>
      </c>
      <c r="O929" s="83">
        <f t="shared" si="263"/>
        <v>904.76980000000003</v>
      </c>
      <c r="P929" s="84">
        <f>IF(O929="","",Inputs!$C$5-O929)</f>
        <v>-79.585300000000075</v>
      </c>
      <c r="Q929" s="83">
        <f>IF(N929="","",TS!J929)</f>
        <v>2000</v>
      </c>
      <c r="R929" s="83">
        <f>IF(N929="","",TS!K929)</f>
        <v>1825</v>
      </c>
      <c r="S929" s="83">
        <f>Inputs!$H$5+TS!P929*0.4333</f>
        <v>1840.4814059599998</v>
      </c>
      <c r="T929" s="83">
        <f>Inputs!$G$5+TS!P929*0.4333</f>
        <v>1855.4814059599998</v>
      </c>
      <c r="U929" s="85">
        <f t="shared" si="264"/>
        <v>0.92774070297999989</v>
      </c>
      <c r="V929" s="86">
        <f t="shared" si="252"/>
        <v>0</v>
      </c>
      <c r="W929" s="86">
        <f t="shared" si="253"/>
        <v>0</v>
      </c>
      <c r="X929" s="86" t="e">
        <f>((PI()*((42-2*'Gen Calcs'!$E$13)^2)/4)/144)*(A972-#REF!)*(W929+14.7)/14.7</f>
        <v>#REF!</v>
      </c>
      <c r="Y929" s="86" t="e">
        <f t="shared" si="254"/>
        <v>#REF!</v>
      </c>
      <c r="Z929" s="86" t="e">
        <f t="shared" si="255"/>
        <v>#REF!</v>
      </c>
      <c r="AA929" s="83">
        <f>MAX(B$2:B929)-B929</f>
        <v>33.421199999999999</v>
      </c>
      <c r="AB929" s="83">
        <f t="shared" si="256"/>
        <v>14.471379599999999</v>
      </c>
      <c r="AC929" s="83">
        <f t="shared" si="258"/>
        <v>120</v>
      </c>
      <c r="AD929" s="72">
        <v>120</v>
      </c>
      <c r="AE929" s="73">
        <f t="shared" si="265"/>
        <v>907.92027688745009</v>
      </c>
      <c r="AF929" s="73">
        <f>SUM(AE$2:AE929)</f>
        <v>777291.8320513037</v>
      </c>
      <c r="AG929" s="73">
        <f t="shared" si="266"/>
        <v>396438.07037580549</v>
      </c>
    </row>
    <row r="930" spans="1:33" x14ac:dyDescent="0.25">
      <c r="A930" s="100">
        <v>181699.92</v>
      </c>
      <c r="B930" s="97">
        <v>904.19460000000004</v>
      </c>
      <c r="C930" s="97">
        <v>0.6</v>
      </c>
      <c r="D930" s="80">
        <f t="shared" si="267"/>
        <v>100</v>
      </c>
      <c r="E930" s="81">
        <f t="shared" si="259"/>
        <v>6791.2436711181272</v>
      </c>
      <c r="F930" s="81">
        <f>SUM(E$2:E930)</f>
        <v>5816487.9495648518</v>
      </c>
      <c r="G930" s="43">
        <f t="shared" si="257"/>
        <v>1</v>
      </c>
      <c r="H930" s="78">
        <v>1</v>
      </c>
      <c r="I930" s="15">
        <f t="shared" si="260"/>
        <v>0.6</v>
      </c>
      <c r="J930" s="16">
        <f>VLOOKUP(G930,Inputs!$L$3:$P$15,5,FALSE)</f>
        <v>2000</v>
      </c>
      <c r="K930" s="16">
        <f t="shared" si="261"/>
        <v>1825</v>
      </c>
      <c r="L930" s="79">
        <f>Inputs!$P$8-B930</f>
        <v>33.996399999999994</v>
      </c>
      <c r="M930" s="79">
        <f>Inputs!$Q$8+L930*0.433</f>
        <v>1839.7204412000001</v>
      </c>
      <c r="N930" s="82">
        <f t="shared" si="262"/>
        <v>181699.92</v>
      </c>
      <c r="O930" s="83">
        <f t="shared" si="263"/>
        <v>904.19460000000004</v>
      </c>
      <c r="P930" s="84">
        <f>IF(O930="","",Inputs!$C$5-O930)</f>
        <v>-79.010100000000079</v>
      </c>
      <c r="Q930" s="83">
        <f>IF(N930="","",TS!J930)</f>
        <v>2000</v>
      </c>
      <c r="R930" s="83">
        <f>IF(N930="","",TS!K930)</f>
        <v>1825</v>
      </c>
      <c r="S930" s="83">
        <f>Inputs!$H$5+TS!P930*0.4333</f>
        <v>1840.7306401199999</v>
      </c>
      <c r="T930" s="83">
        <f>Inputs!$G$5+TS!P930*0.4333</f>
        <v>1855.7306401199999</v>
      </c>
      <c r="U930" s="85">
        <f t="shared" si="264"/>
        <v>0.92786532005999989</v>
      </c>
      <c r="V930" s="86">
        <f t="shared" si="252"/>
        <v>0</v>
      </c>
      <c r="W930" s="86">
        <f t="shared" si="253"/>
        <v>0</v>
      </c>
      <c r="X930" s="86" t="e">
        <f>((PI()*((42-2*'Gen Calcs'!$E$13)^2)/4)/144)*(A973-#REF!)*(W930+14.7)/14.7</f>
        <v>#REF!</v>
      </c>
      <c r="Y930" s="86" t="e">
        <f t="shared" si="254"/>
        <v>#REF!</v>
      </c>
      <c r="Z930" s="86" t="e">
        <f t="shared" si="255"/>
        <v>#REF!</v>
      </c>
      <c r="AA930" s="83">
        <f>MAX(B$2:B930)-B930</f>
        <v>33.996399999999994</v>
      </c>
      <c r="AB930" s="83">
        <f t="shared" si="256"/>
        <v>14.720441199999998</v>
      </c>
      <c r="AC930" s="83">
        <f t="shared" si="258"/>
        <v>120</v>
      </c>
      <c r="AD930" s="72">
        <v>120</v>
      </c>
      <c r="AE930" s="73">
        <f t="shared" si="265"/>
        <v>907.92027688745009</v>
      </c>
      <c r="AF930" s="73">
        <f>SUM(AE$2:AE930)</f>
        <v>778199.75232819119</v>
      </c>
      <c r="AG930" s="73">
        <f t="shared" si="266"/>
        <v>395530.15009891801</v>
      </c>
    </row>
    <row r="931" spans="1:33" x14ac:dyDescent="0.25">
      <c r="A931" s="99">
        <v>181799.92</v>
      </c>
      <c r="B931" s="96">
        <v>904.91579999999999</v>
      </c>
      <c r="C931" s="96">
        <v>0.6</v>
      </c>
      <c r="D931" s="80">
        <f t="shared" si="267"/>
        <v>100</v>
      </c>
      <c r="E931" s="81">
        <f t="shared" si="259"/>
        <v>6791.2436711181272</v>
      </c>
      <c r="F931" s="81">
        <f>SUM(E$2:E931)</f>
        <v>5823279.1932359701</v>
      </c>
      <c r="G931" s="43">
        <f t="shared" si="257"/>
        <v>1</v>
      </c>
      <c r="H931" s="78">
        <v>1</v>
      </c>
      <c r="I931" s="15">
        <f t="shared" si="260"/>
        <v>0.6</v>
      </c>
      <c r="J931" s="16">
        <f>VLOOKUP(G931,Inputs!$L$3:$P$15,5,FALSE)</f>
        <v>2000</v>
      </c>
      <c r="K931" s="16">
        <f t="shared" si="261"/>
        <v>1825</v>
      </c>
      <c r="L931" s="79">
        <f>Inputs!$P$8-B931</f>
        <v>33.275200000000041</v>
      </c>
      <c r="M931" s="79">
        <f>Inputs!$Q$8+L931*0.433</f>
        <v>1839.4081616000001</v>
      </c>
      <c r="N931" s="82">
        <f t="shared" si="262"/>
        <v>181799.92</v>
      </c>
      <c r="O931" s="83">
        <f t="shared" si="263"/>
        <v>904.91579999999999</v>
      </c>
      <c r="P931" s="84">
        <f>IF(O931="","",Inputs!$C$5-O931)</f>
        <v>-79.731300000000033</v>
      </c>
      <c r="Q931" s="83">
        <f>IF(N931="","",TS!J931)</f>
        <v>2000</v>
      </c>
      <c r="R931" s="83">
        <f>IF(N931="","",TS!K931)</f>
        <v>1825</v>
      </c>
      <c r="S931" s="83">
        <f>Inputs!$H$5+TS!P931*0.4333</f>
        <v>1840.4181441599999</v>
      </c>
      <c r="T931" s="83">
        <f>Inputs!$G$5+TS!P931*0.4333</f>
        <v>1855.4181441599999</v>
      </c>
      <c r="U931" s="85">
        <f t="shared" si="264"/>
        <v>0.92770907207999997</v>
      </c>
      <c r="V931" s="86">
        <f t="shared" si="252"/>
        <v>0</v>
      </c>
      <c r="W931" s="86">
        <f t="shared" si="253"/>
        <v>0</v>
      </c>
      <c r="X931" s="86" t="e">
        <f>((PI()*((42-2*'Gen Calcs'!$E$13)^2)/4)/144)*(A974-#REF!)*(W931+14.7)/14.7</f>
        <v>#REF!</v>
      </c>
      <c r="Y931" s="86" t="e">
        <f t="shared" si="254"/>
        <v>#REF!</v>
      </c>
      <c r="Z931" s="86" t="e">
        <f t="shared" si="255"/>
        <v>#REF!</v>
      </c>
      <c r="AA931" s="83">
        <f>MAX(B$2:B931)-B931</f>
        <v>33.275200000000041</v>
      </c>
      <c r="AB931" s="83">
        <f t="shared" si="256"/>
        <v>14.408161600000017</v>
      </c>
      <c r="AC931" s="83">
        <f t="shared" si="258"/>
        <v>120</v>
      </c>
      <c r="AD931" s="72">
        <v>120</v>
      </c>
      <c r="AE931" s="73">
        <f t="shared" si="265"/>
        <v>907.92027688745009</v>
      </c>
      <c r="AF931" s="73">
        <f>SUM(AE$2:AE931)</f>
        <v>779107.67260507867</v>
      </c>
      <c r="AG931" s="73">
        <f t="shared" si="266"/>
        <v>394622.22982203052</v>
      </c>
    </row>
    <row r="932" spans="1:33" x14ac:dyDescent="0.25">
      <c r="A932" s="100">
        <v>181899.92</v>
      </c>
      <c r="B932" s="97">
        <v>906.27739999999994</v>
      </c>
      <c r="C932" s="97">
        <v>0.6</v>
      </c>
      <c r="D932" s="80">
        <f t="shared" si="267"/>
        <v>100</v>
      </c>
      <c r="E932" s="81">
        <f t="shared" si="259"/>
        <v>6791.2436711181272</v>
      </c>
      <c r="F932" s="81">
        <f>SUM(E$2:E932)</f>
        <v>5830070.4369070884</v>
      </c>
      <c r="G932" s="43">
        <f t="shared" si="257"/>
        <v>1</v>
      </c>
      <c r="H932" s="78">
        <v>1</v>
      </c>
      <c r="I932" s="15">
        <f t="shared" si="260"/>
        <v>0.6</v>
      </c>
      <c r="J932" s="16">
        <f>VLOOKUP(G932,Inputs!$L$3:$P$15,5,FALSE)</f>
        <v>2000</v>
      </c>
      <c r="K932" s="16">
        <f t="shared" si="261"/>
        <v>1825</v>
      </c>
      <c r="L932" s="79">
        <f>Inputs!$P$8-B932</f>
        <v>31.913600000000088</v>
      </c>
      <c r="M932" s="79">
        <f>Inputs!$Q$8+L932*0.433</f>
        <v>1838.8185888</v>
      </c>
      <c r="N932" s="82">
        <f t="shared" si="262"/>
        <v>181899.92</v>
      </c>
      <c r="O932" s="83">
        <f t="shared" si="263"/>
        <v>906.27739999999994</v>
      </c>
      <c r="P932" s="84">
        <f>IF(O932="","",Inputs!$C$5-O932)</f>
        <v>-81.092899999999986</v>
      </c>
      <c r="Q932" s="83">
        <f>IF(N932="","",TS!J932)</f>
        <v>2000</v>
      </c>
      <c r="R932" s="83">
        <f>IF(N932="","",TS!K932)</f>
        <v>1825</v>
      </c>
      <c r="S932" s="83">
        <f>Inputs!$H$5+TS!P932*0.4333</f>
        <v>1839.82816288</v>
      </c>
      <c r="T932" s="83">
        <f>Inputs!$G$5+TS!P932*0.4333</f>
        <v>1854.82816288</v>
      </c>
      <c r="U932" s="85">
        <f t="shared" si="264"/>
        <v>0.92741408144000004</v>
      </c>
      <c r="V932" s="86">
        <f t="shared" si="252"/>
        <v>0</v>
      </c>
      <c r="W932" s="86">
        <f t="shared" si="253"/>
        <v>0</v>
      </c>
      <c r="X932" s="86" t="e">
        <f>((PI()*((42-2*'Gen Calcs'!$E$13)^2)/4)/144)*(A975-#REF!)*(W932+14.7)/14.7</f>
        <v>#REF!</v>
      </c>
      <c r="Y932" s="86" t="e">
        <f t="shared" si="254"/>
        <v>#REF!</v>
      </c>
      <c r="Z932" s="86" t="e">
        <f t="shared" si="255"/>
        <v>#REF!</v>
      </c>
      <c r="AA932" s="83">
        <f>MAX(B$2:B932)-B932</f>
        <v>31.913600000000088</v>
      </c>
      <c r="AB932" s="83">
        <f t="shared" si="256"/>
        <v>13.818588800000038</v>
      </c>
      <c r="AC932" s="83">
        <f t="shared" si="258"/>
        <v>120</v>
      </c>
      <c r="AD932" s="72">
        <v>120</v>
      </c>
      <c r="AE932" s="73">
        <f t="shared" si="265"/>
        <v>907.92027688745009</v>
      </c>
      <c r="AF932" s="73">
        <f>SUM(AE$2:AE932)</f>
        <v>780015.59288196615</v>
      </c>
      <c r="AG932" s="73">
        <f t="shared" si="266"/>
        <v>393714.30954514304</v>
      </c>
    </row>
    <row r="933" spans="1:33" x14ac:dyDescent="0.25">
      <c r="A933" s="99">
        <v>181999.92</v>
      </c>
      <c r="B933" s="96">
        <v>905.75340000000006</v>
      </c>
      <c r="C933" s="96">
        <v>0.6</v>
      </c>
      <c r="D933" s="80">
        <f t="shared" si="267"/>
        <v>100</v>
      </c>
      <c r="E933" s="81">
        <f t="shared" si="259"/>
        <v>6791.2436711181272</v>
      </c>
      <c r="F933" s="81">
        <f>SUM(E$2:E933)</f>
        <v>5836861.6805782067</v>
      </c>
      <c r="G933" s="43">
        <f t="shared" si="257"/>
        <v>1</v>
      </c>
      <c r="H933" s="78">
        <v>1</v>
      </c>
      <c r="I933" s="15">
        <f t="shared" si="260"/>
        <v>0.6</v>
      </c>
      <c r="J933" s="16">
        <f>VLOOKUP(G933,Inputs!$L$3:$P$15,5,FALSE)</f>
        <v>2000</v>
      </c>
      <c r="K933" s="16">
        <f t="shared" si="261"/>
        <v>1825</v>
      </c>
      <c r="L933" s="79">
        <f>Inputs!$P$8-B933</f>
        <v>32.437599999999975</v>
      </c>
      <c r="M933" s="79">
        <f>Inputs!$Q$8+L933*0.433</f>
        <v>1839.0454808</v>
      </c>
      <c r="N933" s="82">
        <f t="shared" si="262"/>
        <v>181999.92</v>
      </c>
      <c r="O933" s="83">
        <f t="shared" si="263"/>
        <v>905.75340000000006</v>
      </c>
      <c r="P933" s="84">
        <f>IF(O933="","",Inputs!$C$5-O933)</f>
        <v>-80.568900000000099</v>
      </c>
      <c r="Q933" s="83">
        <f>IF(N933="","",TS!J933)</f>
        <v>2000</v>
      </c>
      <c r="R933" s="83">
        <f>IF(N933="","",TS!K933)</f>
        <v>1825</v>
      </c>
      <c r="S933" s="83">
        <f>Inputs!$H$5+TS!P933*0.4333</f>
        <v>1840.0552120799998</v>
      </c>
      <c r="T933" s="83">
        <f>Inputs!$G$5+TS!P933*0.4333</f>
        <v>1855.0552120799998</v>
      </c>
      <c r="U933" s="85">
        <f t="shared" si="264"/>
        <v>0.92752760603999995</v>
      </c>
      <c r="V933" s="86">
        <f t="shared" si="252"/>
        <v>0</v>
      </c>
      <c r="W933" s="86">
        <f t="shared" si="253"/>
        <v>0</v>
      </c>
      <c r="X933" s="86" t="e">
        <f>((PI()*((42-2*'Gen Calcs'!$E$13)^2)/4)/144)*(A976-#REF!)*(W933+14.7)/14.7</f>
        <v>#REF!</v>
      </c>
      <c r="Y933" s="86" t="e">
        <f t="shared" si="254"/>
        <v>#REF!</v>
      </c>
      <c r="Z933" s="86" t="e">
        <f t="shared" si="255"/>
        <v>#REF!</v>
      </c>
      <c r="AA933" s="83">
        <f>MAX(B$2:B933)-B933</f>
        <v>32.437599999999975</v>
      </c>
      <c r="AB933" s="83">
        <f t="shared" si="256"/>
        <v>14.045480799999989</v>
      </c>
      <c r="AC933" s="83">
        <f t="shared" si="258"/>
        <v>120</v>
      </c>
      <c r="AD933" s="72">
        <v>120</v>
      </c>
      <c r="AE933" s="73">
        <f t="shared" si="265"/>
        <v>907.92027688745009</v>
      </c>
      <c r="AF933" s="73">
        <f>SUM(AE$2:AE933)</f>
        <v>780923.51315885363</v>
      </c>
      <c r="AG933" s="73">
        <f t="shared" si="266"/>
        <v>392806.38926825556</v>
      </c>
    </row>
    <row r="934" spans="1:33" x14ac:dyDescent="0.25">
      <c r="A934" s="100">
        <v>182099.92</v>
      </c>
      <c r="B934" s="97">
        <v>906.41589999999997</v>
      </c>
      <c r="C934" s="97">
        <v>0.6</v>
      </c>
      <c r="D934" s="80">
        <f t="shared" si="267"/>
        <v>100</v>
      </c>
      <c r="E934" s="81">
        <f t="shared" si="259"/>
        <v>6791.2436711181272</v>
      </c>
      <c r="F934" s="81">
        <f>SUM(E$2:E934)</f>
        <v>5843652.9242493249</v>
      </c>
      <c r="G934" s="43">
        <f t="shared" si="257"/>
        <v>1</v>
      </c>
      <c r="H934" s="78">
        <v>1</v>
      </c>
      <c r="I934" s="15">
        <f t="shared" si="260"/>
        <v>0.6</v>
      </c>
      <c r="J934" s="16">
        <f>VLOOKUP(G934,Inputs!$L$3:$P$15,5,FALSE)</f>
        <v>2000</v>
      </c>
      <c r="K934" s="16">
        <f t="shared" si="261"/>
        <v>1825</v>
      </c>
      <c r="L934" s="79">
        <f>Inputs!$P$8-B934</f>
        <v>31.775100000000066</v>
      </c>
      <c r="M934" s="79">
        <f>Inputs!$Q$8+L934*0.433</f>
        <v>1838.7586183000001</v>
      </c>
      <c r="N934" s="82">
        <f t="shared" si="262"/>
        <v>182099.92</v>
      </c>
      <c r="O934" s="83">
        <f t="shared" si="263"/>
        <v>906.41589999999997</v>
      </c>
      <c r="P934" s="84">
        <f>IF(O934="","",Inputs!$C$5-O934)</f>
        <v>-81.231400000000008</v>
      </c>
      <c r="Q934" s="83">
        <f>IF(N934="","",TS!J934)</f>
        <v>2000</v>
      </c>
      <c r="R934" s="83">
        <f>IF(N934="","",TS!K934)</f>
        <v>1825</v>
      </c>
      <c r="S934" s="83">
        <f>Inputs!$H$5+TS!P934*0.4333</f>
        <v>1839.76815083</v>
      </c>
      <c r="T934" s="83">
        <f>Inputs!$G$5+TS!P934*0.4333</f>
        <v>1854.76815083</v>
      </c>
      <c r="U934" s="85">
        <f t="shared" si="264"/>
        <v>0.92738407541500001</v>
      </c>
      <c r="V934" s="86">
        <f t="shared" si="252"/>
        <v>0</v>
      </c>
      <c r="W934" s="86">
        <f t="shared" si="253"/>
        <v>0</v>
      </c>
      <c r="X934" s="86" t="e">
        <f>((PI()*((42-2*'Gen Calcs'!$E$13)^2)/4)/144)*(A977-#REF!)*(W934+14.7)/14.7</f>
        <v>#REF!</v>
      </c>
      <c r="Y934" s="86" t="e">
        <f t="shared" si="254"/>
        <v>#REF!</v>
      </c>
      <c r="Z934" s="86" t="e">
        <f t="shared" si="255"/>
        <v>#REF!</v>
      </c>
      <c r="AA934" s="83">
        <f>MAX(B$2:B934)-B934</f>
        <v>31.775100000000066</v>
      </c>
      <c r="AB934" s="83">
        <f t="shared" si="256"/>
        <v>13.758618300000029</v>
      </c>
      <c r="AC934" s="83">
        <f t="shared" si="258"/>
        <v>120</v>
      </c>
      <c r="AD934" s="72">
        <v>120</v>
      </c>
      <c r="AE934" s="73">
        <f t="shared" si="265"/>
        <v>907.92027688745009</v>
      </c>
      <c r="AF934" s="73">
        <f>SUM(AE$2:AE934)</f>
        <v>781831.43343574111</v>
      </c>
      <c r="AG934" s="73">
        <f t="shared" si="266"/>
        <v>391898.46899136808</v>
      </c>
    </row>
    <row r="935" spans="1:33" x14ac:dyDescent="0.25">
      <c r="A935" s="99">
        <v>182199.92</v>
      </c>
      <c r="B935" s="96">
        <v>911.6952</v>
      </c>
      <c r="C935" s="96">
        <v>0.6</v>
      </c>
      <c r="D935" s="80">
        <f t="shared" si="267"/>
        <v>100</v>
      </c>
      <c r="E935" s="81">
        <f t="shared" si="259"/>
        <v>6791.2436711181272</v>
      </c>
      <c r="F935" s="81">
        <f>SUM(E$2:E935)</f>
        <v>5850444.1679204432</v>
      </c>
      <c r="G935" s="43">
        <f t="shared" si="257"/>
        <v>1</v>
      </c>
      <c r="H935" s="78">
        <v>1</v>
      </c>
      <c r="I935" s="15">
        <f t="shared" si="260"/>
        <v>0.6</v>
      </c>
      <c r="J935" s="16">
        <f>VLOOKUP(G935,Inputs!$L$3:$P$15,5,FALSE)</f>
        <v>2000</v>
      </c>
      <c r="K935" s="16">
        <f t="shared" si="261"/>
        <v>1825</v>
      </c>
      <c r="L935" s="79">
        <f>Inputs!$P$8-B935</f>
        <v>26.495800000000031</v>
      </c>
      <c r="M935" s="79">
        <f>Inputs!$Q$8+L935*0.433</f>
        <v>1836.4726814000001</v>
      </c>
      <c r="N935" s="82">
        <f t="shared" si="262"/>
        <v>182199.92</v>
      </c>
      <c r="O935" s="83">
        <f t="shared" si="263"/>
        <v>911.6952</v>
      </c>
      <c r="P935" s="84">
        <f>IF(O935="","",Inputs!$C$5-O935)</f>
        <v>-86.510700000000043</v>
      </c>
      <c r="Q935" s="83">
        <f>IF(N935="","",TS!J935)</f>
        <v>2000</v>
      </c>
      <c r="R935" s="83">
        <f>IF(N935="","",TS!K935)</f>
        <v>1825</v>
      </c>
      <c r="S935" s="83">
        <f>Inputs!$H$5+TS!P935*0.4333</f>
        <v>1837.4806301399999</v>
      </c>
      <c r="T935" s="83">
        <f>Inputs!$G$5+TS!P935*0.4333</f>
        <v>1852.4806301399999</v>
      </c>
      <c r="U935" s="85">
        <f t="shared" si="264"/>
        <v>0.92624031506999993</v>
      </c>
      <c r="V935" s="86">
        <f t="shared" si="252"/>
        <v>0</v>
      </c>
      <c r="W935" s="86">
        <f t="shared" si="253"/>
        <v>0</v>
      </c>
      <c r="X935" s="86" t="e">
        <f>((PI()*((42-2*'Gen Calcs'!$E$13)^2)/4)/144)*(A978-#REF!)*(W935+14.7)/14.7</f>
        <v>#REF!</v>
      </c>
      <c r="Y935" s="86" t="e">
        <f t="shared" si="254"/>
        <v>#REF!</v>
      </c>
      <c r="Z935" s="86" t="e">
        <f t="shared" si="255"/>
        <v>#REF!</v>
      </c>
      <c r="AA935" s="83">
        <f>MAX(B$2:B935)-B935</f>
        <v>26.495800000000031</v>
      </c>
      <c r="AB935" s="83">
        <f t="shared" si="256"/>
        <v>11.472681400000013</v>
      </c>
      <c r="AC935" s="83">
        <f t="shared" si="258"/>
        <v>120</v>
      </c>
      <c r="AD935" s="72">
        <v>120</v>
      </c>
      <c r="AE935" s="73">
        <f t="shared" si="265"/>
        <v>907.92027688745009</v>
      </c>
      <c r="AF935" s="73">
        <f>SUM(AE$2:AE935)</f>
        <v>782739.3537126286</v>
      </c>
      <c r="AG935" s="73">
        <f t="shared" si="266"/>
        <v>390990.5487144806</v>
      </c>
    </row>
    <row r="936" spans="1:33" x14ac:dyDescent="0.25">
      <c r="A936" s="100">
        <v>182250</v>
      </c>
      <c r="B936" s="97">
        <v>911.6952</v>
      </c>
      <c r="C936" s="97">
        <v>0.86399999999999999</v>
      </c>
      <c r="D936" s="80">
        <f t="shared" si="267"/>
        <v>50.079999999987194</v>
      </c>
      <c r="E936" s="81">
        <f t="shared" si="259"/>
        <v>3401.0548304950885</v>
      </c>
      <c r="F936" s="81">
        <f>SUM(E$2:E936)</f>
        <v>5853845.2227509385</v>
      </c>
      <c r="G936" s="43">
        <f t="shared" si="257"/>
        <v>2</v>
      </c>
      <c r="H936" s="78">
        <v>1</v>
      </c>
      <c r="I936" s="15">
        <f t="shared" si="260"/>
        <v>0.86399999999999999</v>
      </c>
      <c r="J936" s="16">
        <f>VLOOKUP(G936,Inputs!$L$3:$P$15,5,FALSE)</f>
        <v>2880</v>
      </c>
      <c r="K936" s="16">
        <f t="shared" si="261"/>
        <v>1825</v>
      </c>
      <c r="L936" s="79">
        <f>Inputs!$P$8-B936</f>
        <v>26.495800000000031</v>
      </c>
      <c r="M936" s="79">
        <f>Inputs!$Q$8+L936*0.433</f>
        <v>1836.4726814000001</v>
      </c>
      <c r="N936" s="82">
        <f t="shared" si="262"/>
        <v>182250</v>
      </c>
      <c r="O936" s="83">
        <f t="shared" si="263"/>
        <v>911.6952</v>
      </c>
      <c r="P936" s="84">
        <f>IF(O936="","",Inputs!$C$5-O936)</f>
        <v>-86.510700000000043</v>
      </c>
      <c r="Q936" s="83">
        <f>IF(N936="","",TS!J936)</f>
        <v>2880</v>
      </c>
      <c r="R936" s="83">
        <f>IF(N936="","",TS!K936)</f>
        <v>1825</v>
      </c>
      <c r="S936" s="83">
        <f>Inputs!$H$5+TS!P936*0.4333</f>
        <v>1837.4806301399999</v>
      </c>
      <c r="T936" s="83">
        <f>Inputs!$G$5+TS!P936*0.4333</f>
        <v>1852.4806301399999</v>
      </c>
      <c r="U936" s="85">
        <f t="shared" si="264"/>
        <v>0.64322244102083326</v>
      </c>
      <c r="V936" s="86">
        <f t="shared" si="252"/>
        <v>0</v>
      </c>
      <c r="W936" s="86">
        <f t="shared" si="253"/>
        <v>0</v>
      </c>
      <c r="X936" s="86" t="e">
        <f>((PI()*((42-2*'Gen Calcs'!$E$13)^2)/4)/144)*(A979-#REF!)*(W936+14.7)/14.7</f>
        <v>#REF!</v>
      </c>
      <c r="Y936" s="86" t="e">
        <f t="shared" si="254"/>
        <v>#REF!</v>
      </c>
      <c r="Z936" s="86" t="e">
        <f t="shared" si="255"/>
        <v>#REF!</v>
      </c>
      <c r="AA936" s="83">
        <f>MAX(B$2:B936)-B936</f>
        <v>26.495800000000031</v>
      </c>
      <c r="AB936" s="83">
        <f t="shared" si="256"/>
        <v>11.472681400000013</v>
      </c>
      <c r="AC936" s="83">
        <f t="shared" si="258"/>
        <v>120</v>
      </c>
      <c r="AD936" s="72">
        <v>120</v>
      </c>
      <c r="AE936" s="73">
        <f t="shared" si="265"/>
        <v>442.99426703494123</v>
      </c>
      <c r="AF936" s="73">
        <f>SUM(AE$2:AE936)</f>
        <v>783182.34797966352</v>
      </c>
      <c r="AG936" s="73">
        <f t="shared" si="266"/>
        <v>390547.55444744567</v>
      </c>
    </row>
    <row r="937" spans="1:33" x14ac:dyDescent="0.25">
      <c r="A937" s="99">
        <v>182299.92</v>
      </c>
      <c r="B937" s="96">
        <v>916.08849999999995</v>
      </c>
      <c r="C937" s="96">
        <v>0.6</v>
      </c>
      <c r="D937" s="80">
        <f t="shared" si="267"/>
        <v>49.920000000012806</v>
      </c>
      <c r="E937" s="81">
        <f t="shared" si="259"/>
        <v>3390.1888406230387</v>
      </c>
      <c r="F937" s="81">
        <f>SUM(E$2:E937)</f>
        <v>5857235.4115915615</v>
      </c>
      <c r="G937" s="43">
        <f t="shared" si="257"/>
        <v>1</v>
      </c>
      <c r="H937" s="78">
        <v>1</v>
      </c>
      <c r="I937" s="15">
        <f t="shared" si="260"/>
        <v>0.6</v>
      </c>
      <c r="J937" s="16">
        <f>VLOOKUP(G937,Inputs!$L$3:$P$15,5,FALSE)</f>
        <v>2000</v>
      </c>
      <c r="K937" s="16">
        <f t="shared" si="261"/>
        <v>1825</v>
      </c>
      <c r="L937" s="79">
        <f>Inputs!$P$8-B937</f>
        <v>22.102500000000077</v>
      </c>
      <c r="M937" s="79">
        <f>Inputs!$Q$8+L937*0.433</f>
        <v>1834.5703825000001</v>
      </c>
      <c r="N937" s="82">
        <f t="shared" si="262"/>
        <v>182299.92</v>
      </c>
      <c r="O937" s="83">
        <f t="shared" si="263"/>
        <v>916.08849999999995</v>
      </c>
      <c r="P937" s="84">
        <f>IF(O937="","",Inputs!$C$5-O937)</f>
        <v>-90.903999999999996</v>
      </c>
      <c r="Q937" s="83">
        <f>IF(N937="","",TS!J937)</f>
        <v>2000</v>
      </c>
      <c r="R937" s="83">
        <f>IF(N937="","",TS!K937)</f>
        <v>1825</v>
      </c>
      <c r="S937" s="83">
        <f>Inputs!$H$5+TS!P937*0.4333</f>
        <v>1835.5770132499999</v>
      </c>
      <c r="T937" s="83">
        <f>Inputs!$G$5+TS!P937*0.4333</f>
        <v>1850.5770132499999</v>
      </c>
      <c r="U937" s="85">
        <f t="shared" si="264"/>
        <v>0.92528850662499995</v>
      </c>
      <c r="V937" s="86">
        <f t="shared" si="252"/>
        <v>0</v>
      </c>
      <c r="W937" s="86">
        <f t="shared" si="253"/>
        <v>0</v>
      </c>
      <c r="X937" s="86" t="e">
        <f>((PI()*((42-2*'Gen Calcs'!$E$13)^2)/4)/144)*(A980-#REF!)*(W937+14.7)/14.7</f>
        <v>#REF!</v>
      </c>
      <c r="Y937" s="86" t="e">
        <f t="shared" si="254"/>
        <v>#REF!</v>
      </c>
      <c r="Z937" s="86" t="e">
        <f t="shared" si="255"/>
        <v>#REF!</v>
      </c>
      <c r="AA937" s="83">
        <f>MAX(B$2:B937)-B937</f>
        <v>22.102500000000077</v>
      </c>
      <c r="AB937" s="83">
        <f t="shared" si="256"/>
        <v>9.5703825000000329</v>
      </c>
      <c r="AC937" s="83">
        <f t="shared" si="258"/>
        <v>120</v>
      </c>
      <c r="AD937" s="72">
        <v>120</v>
      </c>
      <c r="AE937" s="73">
        <f t="shared" si="265"/>
        <v>453.23380222233135</v>
      </c>
      <c r="AF937" s="73">
        <f>SUM(AE$2:AE937)</f>
        <v>783635.58178188582</v>
      </c>
      <c r="AG937" s="73">
        <f t="shared" si="266"/>
        <v>390094.32064522337</v>
      </c>
    </row>
    <row r="938" spans="1:33" x14ac:dyDescent="0.25">
      <c r="A938" s="100">
        <v>182399.92</v>
      </c>
      <c r="B938" s="97">
        <v>920.65560000000005</v>
      </c>
      <c r="C938" s="97">
        <v>0.6</v>
      </c>
      <c r="D938" s="80">
        <f t="shared" si="267"/>
        <v>100</v>
      </c>
      <c r="E938" s="81">
        <f t="shared" si="259"/>
        <v>6791.2436711181272</v>
      </c>
      <c r="F938" s="81">
        <f>SUM(E$2:E938)</f>
        <v>5864026.6552626798</v>
      </c>
      <c r="G938" s="43">
        <f t="shared" si="257"/>
        <v>1</v>
      </c>
      <c r="H938" s="78">
        <v>1</v>
      </c>
      <c r="I938" s="15">
        <f t="shared" si="260"/>
        <v>0.6</v>
      </c>
      <c r="J938" s="16">
        <f>VLOOKUP(G938,Inputs!$L$3:$P$15,5,FALSE)</f>
        <v>2000</v>
      </c>
      <c r="K938" s="16">
        <f t="shared" si="261"/>
        <v>1825</v>
      </c>
      <c r="L938" s="79">
        <f>Inputs!$P$8-B938</f>
        <v>17.535399999999981</v>
      </c>
      <c r="M938" s="79">
        <f>Inputs!$Q$8+L938*0.433</f>
        <v>1832.5928282</v>
      </c>
      <c r="N938" s="82">
        <f t="shared" si="262"/>
        <v>182399.92</v>
      </c>
      <c r="O938" s="83">
        <f t="shared" si="263"/>
        <v>920.65560000000005</v>
      </c>
      <c r="P938" s="84">
        <f>IF(O938="","",Inputs!$C$5-O938)</f>
        <v>-95.471100000000092</v>
      </c>
      <c r="Q938" s="83">
        <f>IF(N938="","",TS!J938)</f>
        <v>2000</v>
      </c>
      <c r="R938" s="83">
        <f>IF(N938="","",TS!K938)</f>
        <v>1825</v>
      </c>
      <c r="S938" s="83">
        <f>Inputs!$H$5+TS!P938*0.4333</f>
        <v>1833.5980888199999</v>
      </c>
      <c r="T938" s="83">
        <f>Inputs!$G$5+TS!P938*0.4333</f>
        <v>1848.5980888199999</v>
      </c>
      <c r="U938" s="85">
        <f t="shared" si="264"/>
        <v>0.92429904440999999</v>
      </c>
      <c r="V938" s="86">
        <f t="shared" si="252"/>
        <v>0</v>
      </c>
      <c r="W938" s="86">
        <f t="shared" si="253"/>
        <v>0</v>
      </c>
      <c r="X938" s="86" t="e">
        <f>((PI()*((42-2*'Gen Calcs'!$E$13)^2)/4)/144)*(A981-#REF!)*(W938+14.7)/14.7</f>
        <v>#REF!</v>
      </c>
      <c r="Y938" s="86" t="e">
        <f t="shared" si="254"/>
        <v>#REF!</v>
      </c>
      <c r="Z938" s="86" t="e">
        <f t="shared" si="255"/>
        <v>#REF!</v>
      </c>
      <c r="AA938" s="83">
        <f>MAX(B$2:B938)-B938</f>
        <v>17.535399999999981</v>
      </c>
      <c r="AB938" s="83">
        <f t="shared" si="256"/>
        <v>7.5928281999999916</v>
      </c>
      <c r="AC938" s="83">
        <f t="shared" si="258"/>
        <v>120</v>
      </c>
      <c r="AD938" s="72">
        <v>120</v>
      </c>
      <c r="AE938" s="73">
        <f t="shared" si="265"/>
        <v>907.92027688745009</v>
      </c>
      <c r="AF938" s="73">
        <f>SUM(AE$2:AE938)</f>
        <v>784543.5020587733</v>
      </c>
      <c r="AG938" s="73">
        <f t="shared" si="266"/>
        <v>389186.40036833589</v>
      </c>
    </row>
    <row r="939" spans="1:33" x14ac:dyDescent="0.25">
      <c r="A939" s="99">
        <v>182450</v>
      </c>
      <c r="B939" s="96">
        <v>920.65560000000005</v>
      </c>
      <c r="C939" s="96">
        <v>0.86399999999999999</v>
      </c>
      <c r="D939" s="80">
        <f t="shared" si="267"/>
        <v>50.079999999987194</v>
      </c>
      <c r="E939" s="81">
        <f t="shared" si="259"/>
        <v>3401.0548304950885</v>
      </c>
      <c r="F939" s="81">
        <f>SUM(E$2:E939)</f>
        <v>5867427.7100931751</v>
      </c>
      <c r="G939" s="43">
        <f t="shared" si="257"/>
        <v>2</v>
      </c>
      <c r="H939" s="78">
        <v>1</v>
      </c>
      <c r="I939" s="15">
        <f t="shared" si="260"/>
        <v>0.86399999999999999</v>
      </c>
      <c r="J939" s="16">
        <f>VLOOKUP(G939,Inputs!$L$3:$P$15,5,FALSE)</f>
        <v>2880</v>
      </c>
      <c r="K939" s="16">
        <f t="shared" si="261"/>
        <v>1825</v>
      </c>
      <c r="L939" s="79">
        <f>Inputs!$P$8-B939</f>
        <v>17.535399999999981</v>
      </c>
      <c r="M939" s="79">
        <f>Inputs!$Q$8+L939*0.433</f>
        <v>1832.5928282</v>
      </c>
      <c r="N939" s="82">
        <f t="shared" si="262"/>
        <v>182450</v>
      </c>
      <c r="O939" s="83">
        <f t="shared" si="263"/>
        <v>920.65560000000005</v>
      </c>
      <c r="P939" s="84">
        <f>IF(O939="","",Inputs!$C$5-O939)</f>
        <v>-95.471100000000092</v>
      </c>
      <c r="Q939" s="83">
        <f>IF(N939="","",TS!J939)</f>
        <v>2880</v>
      </c>
      <c r="R939" s="83">
        <f>IF(N939="","",TS!K939)</f>
        <v>1825</v>
      </c>
      <c r="S939" s="83">
        <f>Inputs!$H$5+TS!P939*0.4333</f>
        <v>1833.5980888199999</v>
      </c>
      <c r="T939" s="83">
        <f>Inputs!$G$5+TS!P939*0.4333</f>
        <v>1848.5980888199999</v>
      </c>
      <c r="U939" s="85">
        <f t="shared" si="264"/>
        <v>0.64187433639583336</v>
      </c>
      <c r="V939" s="86">
        <f t="shared" si="252"/>
        <v>0</v>
      </c>
      <c r="W939" s="86">
        <f t="shared" si="253"/>
        <v>0</v>
      </c>
      <c r="X939" s="86" t="e">
        <f>((PI()*((42-2*'Gen Calcs'!$E$13)^2)/4)/144)*(A982-#REF!)*(W939+14.7)/14.7</f>
        <v>#REF!</v>
      </c>
      <c r="Y939" s="86" t="e">
        <f t="shared" si="254"/>
        <v>#REF!</v>
      </c>
      <c r="Z939" s="86" t="e">
        <f t="shared" si="255"/>
        <v>#REF!</v>
      </c>
      <c r="AA939" s="83">
        <f>MAX(B$2:B939)-B939</f>
        <v>17.535399999999981</v>
      </c>
      <c r="AB939" s="83">
        <f t="shared" si="256"/>
        <v>7.5928281999999916</v>
      </c>
      <c r="AC939" s="83">
        <f t="shared" si="258"/>
        <v>120</v>
      </c>
      <c r="AD939" s="72">
        <v>120</v>
      </c>
      <c r="AE939" s="73">
        <f t="shared" si="265"/>
        <v>442.99426703494123</v>
      </c>
      <c r="AF939" s="73">
        <f>SUM(AE$2:AE939)</f>
        <v>784986.49632580823</v>
      </c>
      <c r="AG939" s="73">
        <f t="shared" si="266"/>
        <v>388743.40610130096</v>
      </c>
    </row>
    <row r="940" spans="1:33" x14ac:dyDescent="0.25">
      <c r="A940" s="100">
        <v>182499.92</v>
      </c>
      <c r="B940" s="97">
        <v>923.65599999999995</v>
      </c>
      <c r="C940" s="97">
        <v>0.6</v>
      </c>
      <c r="D940" s="80">
        <f t="shared" si="267"/>
        <v>49.920000000012806</v>
      </c>
      <c r="E940" s="81">
        <f t="shared" si="259"/>
        <v>3390.1888406230387</v>
      </c>
      <c r="F940" s="81">
        <f>SUM(E$2:E940)</f>
        <v>5870817.8989337981</v>
      </c>
      <c r="G940" s="43">
        <f t="shared" si="257"/>
        <v>1</v>
      </c>
      <c r="H940" s="78">
        <v>1</v>
      </c>
      <c r="I940" s="15">
        <f t="shared" si="260"/>
        <v>0.6</v>
      </c>
      <c r="J940" s="16">
        <f>VLOOKUP(G940,Inputs!$L$3:$P$15,5,FALSE)</f>
        <v>2000</v>
      </c>
      <c r="K940" s="16">
        <f t="shared" si="261"/>
        <v>1825</v>
      </c>
      <c r="L940" s="79">
        <f>Inputs!$P$8-B940</f>
        <v>14.535000000000082</v>
      </c>
      <c r="M940" s="79">
        <f>Inputs!$Q$8+L940*0.433</f>
        <v>1831.2936549999999</v>
      </c>
      <c r="N940" s="82">
        <f t="shared" si="262"/>
        <v>182499.92</v>
      </c>
      <c r="O940" s="83">
        <f t="shared" si="263"/>
        <v>923.65599999999995</v>
      </c>
      <c r="P940" s="84">
        <f>IF(O940="","",Inputs!$C$5-O940)</f>
        <v>-98.471499999999992</v>
      </c>
      <c r="Q940" s="83">
        <f>IF(N940="","",TS!J940)</f>
        <v>2000</v>
      </c>
      <c r="R940" s="83">
        <f>IF(N940="","",TS!K940)</f>
        <v>1825</v>
      </c>
      <c r="S940" s="83">
        <f>Inputs!$H$5+TS!P940*0.4333</f>
        <v>1832.2980155</v>
      </c>
      <c r="T940" s="83">
        <f>Inputs!$G$5+TS!P940*0.4333</f>
        <v>1847.2980155</v>
      </c>
      <c r="U940" s="85">
        <f t="shared" si="264"/>
        <v>0.92364900775000003</v>
      </c>
      <c r="V940" s="86">
        <f t="shared" si="252"/>
        <v>0</v>
      </c>
      <c r="W940" s="86">
        <f t="shared" si="253"/>
        <v>0</v>
      </c>
      <c r="X940" s="86" t="e">
        <f>((PI()*((42-2*'Gen Calcs'!$E$13)^2)/4)/144)*(A983-#REF!)*(W940+14.7)/14.7</f>
        <v>#REF!</v>
      </c>
      <c r="Y940" s="86" t="e">
        <f t="shared" si="254"/>
        <v>#REF!</v>
      </c>
      <c r="Z940" s="86" t="e">
        <f t="shared" si="255"/>
        <v>#REF!</v>
      </c>
      <c r="AA940" s="83">
        <f>MAX(B$2:B940)-B940</f>
        <v>14.535000000000082</v>
      </c>
      <c r="AB940" s="83">
        <f t="shared" si="256"/>
        <v>6.2936550000000357</v>
      </c>
      <c r="AC940" s="83">
        <f t="shared" si="258"/>
        <v>120</v>
      </c>
      <c r="AD940" s="72">
        <v>120</v>
      </c>
      <c r="AE940" s="73">
        <f t="shared" si="265"/>
        <v>453.23380222233135</v>
      </c>
      <c r="AF940" s="73">
        <f>SUM(AE$2:AE940)</f>
        <v>785439.73012803053</v>
      </c>
      <c r="AG940" s="73">
        <f t="shared" si="266"/>
        <v>388290.17229907867</v>
      </c>
    </row>
    <row r="941" spans="1:33" x14ac:dyDescent="0.25">
      <c r="A941" s="99">
        <v>182599.92</v>
      </c>
      <c r="B941" s="96">
        <v>926.16600000000005</v>
      </c>
      <c r="C941" s="96">
        <v>0.6</v>
      </c>
      <c r="D941" s="80">
        <f t="shared" si="267"/>
        <v>100</v>
      </c>
      <c r="E941" s="81">
        <f t="shared" si="259"/>
        <v>6791.2436711181272</v>
      </c>
      <c r="F941" s="81">
        <f>SUM(E$2:E941)</f>
        <v>5877609.1426049164</v>
      </c>
      <c r="G941" s="43">
        <f t="shared" si="257"/>
        <v>1</v>
      </c>
      <c r="H941" s="78">
        <v>1</v>
      </c>
      <c r="I941" s="15">
        <f t="shared" si="260"/>
        <v>0.6</v>
      </c>
      <c r="J941" s="16">
        <f>VLOOKUP(G941,Inputs!$L$3:$P$15,5,FALSE)</f>
        <v>2000</v>
      </c>
      <c r="K941" s="16">
        <f t="shared" si="261"/>
        <v>1825</v>
      </c>
      <c r="L941" s="79">
        <f>Inputs!$P$8-B941</f>
        <v>12.024999999999977</v>
      </c>
      <c r="M941" s="79">
        <f>Inputs!$Q$8+L941*0.433</f>
        <v>1830.206825</v>
      </c>
      <c r="N941" s="82">
        <f t="shared" si="262"/>
        <v>182599.92</v>
      </c>
      <c r="O941" s="83">
        <f t="shared" si="263"/>
        <v>926.16600000000005</v>
      </c>
      <c r="P941" s="84">
        <f>IF(O941="","",Inputs!$C$5-O941)</f>
        <v>-100.9815000000001</v>
      </c>
      <c r="Q941" s="83">
        <f>IF(N941="","",TS!J941)</f>
        <v>2000</v>
      </c>
      <c r="R941" s="83">
        <f>IF(N941="","",TS!K941)</f>
        <v>1825</v>
      </c>
      <c r="S941" s="83">
        <f>Inputs!$H$5+TS!P941*0.4333</f>
        <v>1831.2104324999998</v>
      </c>
      <c r="T941" s="83">
        <f>Inputs!$G$5+TS!P941*0.4333</f>
        <v>1846.2104324999998</v>
      </c>
      <c r="U941" s="85">
        <f t="shared" si="264"/>
        <v>0.92310521624999986</v>
      </c>
      <c r="V941" s="86">
        <f t="shared" si="252"/>
        <v>0</v>
      </c>
      <c r="W941" s="86">
        <f t="shared" si="253"/>
        <v>0</v>
      </c>
      <c r="X941" s="86" t="e">
        <f>((PI()*((42-2*'Gen Calcs'!$E$13)^2)/4)/144)*(A984-#REF!)*(W941+14.7)/14.7</f>
        <v>#REF!</v>
      </c>
      <c r="Y941" s="86" t="e">
        <f t="shared" si="254"/>
        <v>#REF!</v>
      </c>
      <c r="Z941" s="86" t="e">
        <f t="shared" si="255"/>
        <v>#REF!</v>
      </c>
      <c r="AA941" s="83">
        <f>MAX(B$2:B941)-B941</f>
        <v>12.024999999999977</v>
      </c>
      <c r="AB941" s="83">
        <f t="shared" si="256"/>
        <v>5.2068249999999905</v>
      </c>
      <c r="AC941" s="83">
        <f t="shared" si="258"/>
        <v>120</v>
      </c>
      <c r="AD941" s="72">
        <v>120</v>
      </c>
      <c r="AE941" s="73">
        <f t="shared" si="265"/>
        <v>907.92027688745009</v>
      </c>
      <c r="AF941" s="73">
        <f>SUM(AE$2:AE941)</f>
        <v>786347.65040491801</v>
      </c>
      <c r="AG941" s="73">
        <f t="shared" si="266"/>
        <v>387382.25202219118</v>
      </c>
    </row>
    <row r="942" spans="1:33" x14ac:dyDescent="0.25">
      <c r="A942" s="100">
        <v>182699.92</v>
      </c>
      <c r="B942" s="97">
        <v>928.54300000000001</v>
      </c>
      <c r="C942" s="97">
        <v>0.6</v>
      </c>
      <c r="D942" s="80">
        <f t="shared" si="267"/>
        <v>100</v>
      </c>
      <c r="E942" s="81">
        <f t="shared" si="259"/>
        <v>6616.6076625842816</v>
      </c>
      <c r="F942" s="81">
        <f>SUM(E$2:E942)</f>
        <v>5884225.750267501</v>
      </c>
      <c r="G942" s="43">
        <f t="shared" si="257"/>
        <v>1</v>
      </c>
      <c r="H942" s="78">
        <v>1</v>
      </c>
      <c r="I942" s="15">
        <f t="shared" si="260"/>
        <v>0.6</v>
      </c>
      <c r="J942" s="16">
        <f>VLOOKUP(G942,Inputs!$L$3:$P$15,5,FALSE)</f>
        <v>2000</v>
      </c>
      <c r="K942" s="16">
        <f t="shared" si="261"/>
        <v>1825</v>
      </c>
      <c r="L942" s="79">
        <f>Inputs!$P$8-B942</f>
        <v>9.6480000000000246</v>
      </c>
      <c r="M942" s="79">
        <f>Inputs!$Q$8+L942*0.433</f>
        <v>1829.177584</v>
      </c>
      <c r="N942" s="82">
        <f t="shared" si="262"/>
        <v>182699.92</v>
      </c>
      <c r="O942" s="83">
        <f t="shared" si="263"/>
        <v>928.54300000000001</v>
      </c>
      <c r="P942" s="84">
        <f>IF(O942="","",Inputs!$C$5-O942)</f>
        <v>-103.35850000000005</v>
      </c>
      <c r="Q942" s="83">
        <f>IF(N942="","",TS!J942)</f>
        <v>2000</v>
      </c>
      <c r="R942" s="83">
        <f>IF(N942="","",TS!K942)</f>
        <v>1825</v>
      </c>
      <c r="S942" s="83">
        <f>Inputs!$H$5+TS!P942*0.4333</f>
        <v>1830.1804783999999</v>
      </c>
      <c r="T942" s="83">
        <f>Inputs!$G$5+TS!P942*0.4333</f>
        <v>1845.1804783999999</v>
      </c>
      <c r="U942" s="85">
        <f t="shared" si="264"/>
        <v>0.92259023919999994</v>
      </c>
      <c r="V942" s="86">
        <f t="shared" si="252"/>
        <v>0</v>
      </c>
      <c r="W942" s="86">
        <f t="shared" si="253"/>
        <v>0</v>
      </c>
      <c r="X942" s="86" t="e">
        <f>((PI()*((42-2*'Gen Calcs'!$E$13)^2)/4)/144)*(A985-#REF!)*(W942+14.7)/14.7</f>
        <v>#REF!</v>
      </c>
      <c r="Y942" s="86" t="e">
        <f t="shared" si="254"/>
        <v>#REF!</v>
      </c>
      <c r="Z942" s="86" t="e">
        <f t="shared" si="255"/>
        <v>#REF!</v>
      </c>
      <c r="AA942" s="83">
        <f>MAX(B$2:B942)-B942</f>
        <v>9.6480000000000246</v>
      </c>
      <c r="AB942" s="83">
        <f t="shared" si="256"/>
        <v>4.1775840000000102</v>
      </c>
      <c r="AC942" s="83">
        <f t="shared" si="258"/>
        <v>120</v>
      </c>
      <c r="AD942" s="72">
        <v>120</v>
      </c>
      <c r="AE942" s="73">
        <f t="shared" si="265"/>
        <v>907.92027688745009</v>
      </c>
      <c r="AF942" s="73">
        <f>SUM(AE$2:AE942)</f>
        <v>787255.57068180549</v>
      </c>
      <c r="AG942" s="73">
        <f t="shared" si="266"/>
        <v>386474.3317453037</v>
      </c>
    </row>
    <row r="943" spans="1:33" x14ac:dyDescent="0.25">
      <c r="A943" s="99">
        <v>182799.92</v>
      </c>
      <c r="B943" s="96">
        <v>930.57380000000001</v>
      </c>
      <c r="C943" s="96">
        <v>0.6</v>
      </c>
      <c r="D943" s="80">
        <f t="shared" si="267"/>
        <v>100</v>
      </c>
      <c r="E943" s="81">
        <f t="shared" si="259"/>
        <v>6791.2436711181272</v>
      </c>
      <c r="F943" s="81">
        <f>SUM(E$2:E943)</f>
        <v>5891016.9939386193</v>
      </c>
      <c r="G943" s="43">
        <f t="shared" si="257"/>
        <v>1</v>
      </c>
      <c r="H943" s="78">
        <v>1</v>
      </c>
      <c r="I943" s="15">
        <f t="shared" si="260"/>
        <v>0.6</v>
      </c>
      <c r="J943" s="16">
        <f>VLOOKUP(G943,Inputs!$L$3:$P$15,5,FALSE)</f>
        <v>2000</v>
      </c>
      <c r="K943" s="16">
        <f t="shared" si="261"/>
        <v>1825</v>
      </c>
      <c r="L943" s="79">
        <f>Inputs!$P$8-B943</f>
        <v>7.6172000000000253</v>
      </c>
      <c r="M943" s="79">
        <f>Inputs!$Q$8+L943*0.433</f>
        <v>1828.2982476</v>
      </c>
      <c r="N943" s="82">
        <f t="shared" si="262"/>
        <v>182799.92</v>
      </c>
      <c r="O943" s="83">
        <f t="shared" si="263"/>
        <v>930.57380000000001</v>
      </c>
      <c r="P943" s="84">
        <f>IF(O943="","",Inputs!$C$5-O943)</f>
        <v>-105.38930000000005</v>
      </c>
      <c r="Q943" s="83">
        <f>IF(N943="","",TS!J943)</f>
        <v>2000</v>
      </c>
      <c r="R943" s="83">
        <f>IF(N943="","",TS!K943)</f>
        <v>1825</v>
      </c>
      <c r="S943" s="83">
        <f>Inputs!$H$5+TS!P943*0.4333</f>
        <v>1829.3005327599999</v>
      </c>
      <c r="T943" s="83">
        <f>Inputs!$G$5+TS!P943*0.4333</f>
        <v>1844.3005327599999</v>
      </c>
      <c r="U943" s="85">
        <f t="shared" si="264"/>
        <v>0.92215026637999997</v>
      </c>
      <c r="V943" s="86">
        <f t="shared" si="252"/>
        <v>0</v>
      </c>
      <c r="W943" s="86">
        <f t="shared" si="253"/>
        <v>0</v>
      </c>
      <c r="X943" s="86" t="e">
        <f>((PI()*((42-2*'Gen Calcs'!$E$13)^2)/4)/144)*(A986-#REF!)*(W943+14.7)/14.7</f>
        <v>#REF!</v>
      </c>
      <c r="Y943" s="86" t="e">
        <f t="shared" si="254"/>
        <v>#REF!</v>
      </c>
      <c r="Z943" s="86" t="e">
        <f t="shared" si="255"/>
        <v>#REF!</v>
      </c>
      <c r="AA943" s="83">
        <f>MAX(B$2:B943)-B943</f>
        <v>7.6172000000000253</v>
      </c>
      <c r="AB943" s="83">
        <f t="shared" si="256"/>
        <v>3.2982476000000109</v>
      </c>
      <c r="AC943" s="83">
        <f t="shared" si="258"/>
        <v>120</v>
      </c>
      <c r="AD943" s="72">
        <v>120</v>
      </c>
      <c r="AE943" s="73">
        <f t="shared" si="265"/>
        <v>907.92027688745009</v>
      </c>
      <c r="AF943" s="73">
        <f>SUM(AE$2:AE943)</f>
        <v>788163.49095869297</v>
      </c>
      <c r="AG943" s="73">
        <f t="shared" si="266"/>
        <v>385566.41146841622</v>
      </c>
    </row>
    <row r="944" spans="1:33" x14ac:dyDescent="0.25">
      <c r="A944" s="100">
        <v>182899.92</v>
      </c>
      <c r="B944" s="97">
        <v>932.08860000000004</v>
      </c>
      <c r="C944" s="97">
        <v>0.6</v>
      </c>
      <c r="D944" s="80">
        <f t="shared" si="267"/>
        <v>100</v>
      </c>
      <c r="E944" s="81">
        <f t="shared" si="259"/>
        <v>6616.6076625842816</v>
      </c>
      <c r="F944" s="81">
        <f>SUM(E$2:E944)</f>
        <v>5897633.6016012039</v>
      </c>
      <c r="G944" s="43">
        <f t="shared" si="257"/>
        <v>1</v>
      </c>
      <c r="H944" s="78">
        <v>1</v>
      </c>
      <c r="I944" s="15">
        <f t="shared" si="260"/>
        <v>0.6</v>
      </c>
      <c r="J944" s="16">
        <f>VLOOKUP(G944,Inputs!$L$3:$P$15,5,FALSE)</f>
        <v>2000</v>
      </c>
      <c r="K944" s="16">
        <f t="shared" si="261"/>
        <v>1825</v>
      </c>
      <c r="L944" s="79">
        <f>Inputs!$P$8-B944</f>
        <v>6.1023999999999887</v>
      </c>
      <c r="M944" s="79">
        <f>Inputs!$Q$8+L944*0.433</f>
        <v>1827.6423391999999</v>
      </c>
      <c r="N944" s="82">
        <f t="shared" si="262"/>
        <v>182899.92</v>
      </c>
      <c r="O944" s="83">
        <f t="shared" si="263"/>
        <v>932.08860000000004</v>
      </c>
      <c r="P944" s="84">
        <f>IF(O944="","",Inputs!$C$5-O944)</f>
        <v>-106.90410000000008</v>
      </c>
      <c r="Q944" s="83">
        <f>IF(N944="","",TS!J944)</f>
        <v>2000</v>
      </c>
      <c r="R944" s="83">
        <f>IF(N944="","",TS!K944)</f>
        <v>1825</v>
      </c>
      <c r="S944" s="83">
        <f>Inputs!$H$5+TS!P944*0.4333</f>
        <v>1828.64416992</v>
      </c>
      <c r="T944" s="83">
        <f>Inputs!$G$5+TS!P944*0.4333</f>
        <v>1843.64416992</v>
      </c>
      <c r="U944" s="85">
        <f t="shared" si="264"/>
        <v>0.92182208495999995</v>
      </c>
      <c r="V944" s="86">
        <f t="shared" si="252"/>
        <v>0</v>
      </c>
      <c r="W944" s="86">
        <f t="shared" si="253"/>
        <v>0</v>
      </c>
      <c r="X944" s="86" t="e">
        <f>((PI()*((42-2*'Gen Calcs'!$E$13)^2)/4)/144)*(A987-#REF!)*(W944+14.7)/14.7</f>
        <v>#REF!</v>
      </c>
      <c r="Y944" s="86" t="e">
        <f t="shared" si="254"/>
        <v>#REF!</v>
      </c>
      <c r="Z944" s="86" t="e">
        <f t="shared" si="255"/>
        <v>#REF!</v>
      </c>
      <c r="AA944" s="83">
        <f>MAX(B$2:B944)-B944</f>
        <v>6.1023999999999887</v>
      </c>
      <c r="AB944" s="83">
        <f t="shared" si="256"/>
        <v>2.642339199999995</v>
      </c>
      <c r="AC944" s="83">
        <f t="shared" si="258"/>
        <v>120</v>
      </c>
      <c r="AD944" s="72">
        <v>120</v>
      </c>
      <c r="AE944" s="73">
        <f t="shared" si="265"/>
        <v>907.92027688745009</v>
      </c>
      <c r="AF944" s="73">
        <f>SUM(AE$2:AE944)</f>
        <v>789071.41123558045</v>
      </c>
      <c r="AG944" s="73">
        <f t="shared" si="266"/>
        <v>384658.49119152874</v>
      </c>
    </row>
    <row r="945" spans="1:33" x14ac:dyDescent="0.25">
      <c r="A945" s="99">
        <v>182999.92</v>
      </c>
      <c r="B945" s="96">
        <v>933.03920000000005</v>
      </c>
      <c r="C945" s="96">
        <v>0.6</v>
      </c>
      <c r="D945" s="80">
        <f t="shared" si="267"/>
        <v>100</v>
      </c>
      <c r="E945" s="81">
        <f t="shared" si="259"/>
        <v>6791.2436711181272</v>
      </c>
      <c r="F945" s="81">
        <f>SUM(E$2:E945)</f>
        <v>5904424.8452723222</v>
      </c>
      <c r="G945" s="43">
        <f t="shared" si="257"/>
        <v>1</v>
      </c>
      <c r="H945" s="78">
        <v>1</v>
      </c>
      <c r="I945" s="15">
        <f t="shared" si="260"/>
        <v>0.6</v>
      </c>
      <c r="J945" s="16">
        <f>VLOOKUP(G945,Inputs!$L$3:$P$15,5,FALSE)</f>
        <v>2000</v>
      </c>
      <c r="K945" s="16">
        <f t="shared" si="261"/>
        <v>1825</v>
      </c>
      <c r="L945" s="79">
        <f>Inputs!$P$8-B945</f>
        <v>5.1517999999999802</v>
      </c>
      <c r="M945" s="79">
        <f>Inputs!$Q$8+L945*0.433</f>
        <v>1827.2307294</v>
      </c>
      <c r="N945" s="82">
        <f t="shared" si="262"/>
        <v>182999.92</v>
      </c>
      <c r="O945" s="83">
        <f t="shared" si="263"/>
        <v>933.03920000000005</v>
      </c>
      <c r="P945" s="84">
        <f>IF(O945="","",Inputs!$C$5-O945)</f>
        <v>-107.85470000000009</v>
      </c>
      <c r="Q945" s="83">
        <f>IF(N945="","",TS!J945)</f>
        <v>2000</v>
      </c>
      <c r="R945" s="83">
        <f>IF(N945="","",TS!K945)</f>
        <v>1825</v>
      </c>
      <c r="S945" s="83">
        <f>Inputs!$H$5+TS!P945*0.4333</f>
        <v>1828.2322749399998</v>
      </c>
      <c r="T945" s="83">
        <f>Inputs!$G$5+TS!P945*0.4333</f>
        <v>1843.2322749399998</v>
      </c>
      <c r="U945" s="85">
        <f t="shared" si="264"/>
        <v>0.92161613746999993</v>
      </c>
      <c r="V945" s="86">
        <f t="shared" si="252"/>
        <v>0</v>
      </c>
      <c r="W945" s="86">
        <f t="shared" si="253"/>
        <v>0</v>
      </c>
      <c r="X945" s="86" t="e">
        <f>((PI()*((42-2*'Gen Calcs'!$E$13)^2)/4)/144)*(A988-#REF!)*(W945+14.7)/14.7</f>
        <v>#REF!</v>
      </c>
      <c r="Y945" s="86" t="e">
        <f t="shared" si="254"/>
        <v>#REF!</v>
      </c>
      <c r="Z945" s="86" t="e">
        <f t="shared" si="255"/>
        <v>#REF!</v>
      </c>
      <c r="AA945" s="83">
        <f>MAX(B$2:B945)-B945</f>
        <v>5.1517999999999802</v>
      </c>
      <c r="AB945" s="83">
        <f t="shared" si="256"/>
        <v>2.2307293999999915</v>
      </c>
      <c r="AC945" s="83">
        <f t="shared" si="258"/>
        <v>120</v>
      </c>
      <c r="AD945" s="72">
        <v>120</v>
      </c>
      <c r="AE945" s="73">
        <f t="shared" si="265"/>
        <v>907.92027688745009</v>
      </c>
      <c r="AF945" s="73">
        <f>SUM(AE$2:AE945)</f>
        <v>789979.33151246794</v>
      </c>
      <c r="AG945" s="73">
        <f t="shared" si="266"/>
        <v>383750.57091464126</v>
      </c>
    </row>
    <row r="946" spans="1:33" x14ac:dyDescent="0.25">
      <c r="A946" s="100">
        <v>183099.92</v>
      </c>
      <c r="B946" s="97">
        <v>933.34050000000002</v>
      </c>
      <c r="C946" s="97">
        <v>0.6</v>
      </c>
      <c r="D946" s="80">
        <f t="shared" si="267"/>
        <v>100</v>
      </c>
      <c r="E946" s="81">
        <f t="shared" si="259"/>
        <v>6791.2436711181272</v>
      </c>
      <c r="F946" s="81">
        <f>SUM(E$2:E946)</f>
        <v>5911216.0889434405</v>
      </c>
      <c r="G946" s="43">
        <f t="shared" si="257"/>
        <v>1</v>
      </c>
      <c r="H946" s="78">
        <v>1</v>
      </c>
      <c r="I946" s="15">
        <f t="shared" si="260"/>
        <v>0.6</v>
      </c>
      <c r="J946" s="16">
        <f>VLOOKUP(G946,Inputs!$L$3:$P$15,5,FALSE)</f>
        <v>2000</v>
      </c>
      <c r="K946" s="16">
        <f t="shared" si="261"/>
        <v>1825</v>
      </c>
      <c r="L946" s="79">
        <f>Inputs!$P$8-B946</f>
        <v>4.8505000000000109</v>
      </c>
      <c r="M946" s="79">
        <f>Inputs!$Q$8+L946*0.433</f>
        <v>1827.1002665000001</v>
      </c>
      <c r="N946" s="82">
        <f t="shared" si="262"/>
        <v>183099.92</v>
      </c>
      <c r="O946" s="83">
        <f t="shared" si="263"/>
        <v>933.34050000000002</v>
      </c>
      <c r="P946" s="84">
        <f>IF(O946="","",Inputs!$C$5-O946)</f>
        <v>-108.15600000000006</v>
      </c>
      <c r="Q946" s="83">
        <f>IF(N946="","",TS!J946)</f>
        <v>2000</v>
      </c>
      <c r="R946" s="83">
        <f>IF(N946="","",TS!K946)</f>
        <v>1825</v>
      </c>
      <c r="S946" s="83">
        <f>Inputs!$H$5+TS!P946*0.4333</f>
        <v>1828.1017216499999</v>
      </c>
      <c r="T946" s="83">
        <f>Inputs!$G$5+TS!P946*0.4333</f>
        <v>1843.1017216499999</v>
      </c>
      <c r="U946" s="85">
        <f t="shared" si="264"/>
        <v>0.92155086082499993</v>
      </c>
      <c r="V946" s="86">
        <f t="shared" si="252"/>
        <v>0</v>
      </c>
      <c r="W946" s="86">
        <f t="shared" si="253"/>
        <v>0</v>
      </c>
      <c r="X946" s="86" t="e">
        <f>((PI()*((42-2*'Gen Calcs'!$E$13)^2)/4)/144)*(A989-#REF!)*(W946+14.7)/14.7</f>
        <v>#REF!</v>
      </c>
      <c r="Y946" s="86" t="e">
        <f t="shared" si="254"/>
        <v>#REF!</v>
      </c>
      <c r="Z946" s="86" t="e">
        <f t="shared" si="255"/>
        <v>#REF!</v>
      </c>
      <c r="AA946" s="83">
        <f>MAX(B$2:B946)-B946</f>
        <v>4.8505000000000109</v>
      </c>
      <c r="AB946" s="83">
        <f t="shared" si="256"/>
        <v>2.1002665000000049</v>
      </c>
      <c r="AC946" s="83">
        <f t="shared" si="258"/>
        <v>120</v>
      </c>
      <c r="AD946" s="72">
        <v>120</v>
      </c>
      <c r="AE946" s="73">
        <f t="shared" si="265"/>
        <v>907.92027688745009</v>
      </c>
      <c r="AF946" s="73">
        <f>SUM(AE$2:AE946)</f>
        <v>790887.25178935542</v>
      </c>
      <c r="AG946" s="73">
        <f t="shared" si="266"/>
        <v>382842.65063775377</v>
      </c>
    </row>
    <row r="947" spans="1:33" x14ac:dyDescent="0.25">
      <c r="A947" s="99">
        <v>183199.92</v>
      </c>
      <c r="B947" s="96">
        <v>932.04600000000005</v>
      </c>
      <c r="C947" s="96">
        <v>0.6</v>
      </c>
      <c r="D947" s="80">
        <f t="shared" si="267"/>
        <v>100</v>
      </c>
      <c r="E947" s="81">
        <f t="shared" si="259"/>
        <v>6791.2436711181272</v>
      </c>
      <c r="F947" s="81">
        <f>SUM(E$2:E947)</f>
        <v>5918007.3326145587</v>
      </c>
      <c r="G947" s="43">
        <f t="shared" si="257"/>
        <v>1</v>
      </c>
      <c r="H947" s="78">
        <v>1</v>
      </c>
      <c r="I947" s="15">
        <f t="shared" si="260"/>
        <v>0.6</v>
      </c>
      <c r="J947" s="16">
        <f>VLOOKUP(G947,Inputs!$L$3:$P$15,5,FALSE)</f>
        <v>2000</v>
      </c>
      <c r="K947" s="16">
        <f t="shared" si="261"/>
        <v>1825</v>
      </c>
      <c r="L947" s="79">
        <f>Inputs!$P$8-B947</f>
        <v>6.1449999999999818</v>
      </c>
      <c r="M947" s="79">
        <f>Inputs!$Q$8+L947*0.433</f>
        <v>1827.660785</v>
      </c>
      <c r="N947" s="82">
        <f t="shared" si="262"/>
        <v>183199.92</v>
      </c>
      <c r="O947" s="83">
        <f t="shared" si="263"/>
        <v>932.04600000000005</v>
      </c>
      <c r="P947" s="84">
        <f>IF(O947="","",Inputs!$C$5-O947)</f>
        <v>-106.86150000000009</v>
      </c>
      <c r="Q947" s="83">
        <f>IF(N947="","",TS!J947)</f>
        <v>2000</v>
      </c>
      <c r="R947" s="83">
        <f>IF(N947="","",TS!K947)</f>
        <v>1825</v>
      </c>
      <c r="S947" s="83">
        <f>Inputs!$H$5+TS!P947*0.4333</f>
        <v>1828.6626285</v>
      </c>
      <c r="T947" s="83">
        <f>Inputs!$G$5+TS!P947*0.4333</f>
        <v>1843.6626285</v>
      </c>
      <c r="U947" s="85">
        <f t="shared" si="264"/>
        <v>0.92183131424999998</v>
      </c>
      <c r="V947" s="86">
        <f t="shared" si="252"/>
        <v>0</v>
      </c>
      <c r="W947" s="86">
        <f t="shared" si="253"/>
        <v>0</v>
      </c>
      <c r="X947" s="86" t="e">
        <f>((PI()*((42-2*'Gen Calcs'!$E$13)^2)/4)/144)*(A990-#REF!)*(W947+14.7)/14.7</f>
        <v>#REF!</v>
      </c>
      <c r="Y947" s="86" t="e">
        <f t="shared" si="254"/>
        <v>#REF!</v>
      </c>
      <c r="Z947" s="86" t="e">
        <f t="shared" si="255"/>
        <v>#REF!</v>
      </c>
      <c r="AA947" s="83">
        <f>MAX(B$2:B947)-B947</f>
        <v>6.1449999999999818</v>
      </c>
      <c r="AB947" s="83">
        <f t="shared" si="256"/>
        <v>2.6607849999999922</v>
      </c>
      <c r="AC947" s="83">
        <f t="shared" si="258"/>
        <v>120</v>
      </c>
      <c r="AD947" s="72">
        <v>120</v>
      </c>
      <c r="AE947" s="73">
        <f t="shared" si="265"/>
        <v>907.92027688745009</v>
      </c>
      <c r="AF947" s="73">
        <f>SUM(AE$2:AE947)</f>
        <v>791795.1720662429</v>
      </c>
      <c r="AG947" s="73">
        <f t="shared" si="266"/>
        <v>381934.73036086629</v>
      </c>
    </row>
    <row r="948" spans="1:33" x14ac:dyDescent="0.25">
      <c r="A948" s="100">
        <v>183299.92</v>
      </c>
      <c r="B948" s="97">
        <v>930.24829999999997</v>
      </c>
      <c r="C948" s="97">
        <v>0.6</v>
      </c>
      <c r="D948" s="80">
        <f t="shared" si="267"/>
        <v>100</v>
      </c>
      <c r="E948" s="81">
        <f t="shared" si="259"/>
        <v>6791.2436711181272</v>
      </c>
      <c r="F948" s="81">
        <f>SUM(E$2:E948)</f>
        <v>5924798.576285677</v>
      </c>
      <c r="G948" s="43">
        <f t="shared" si="257"/>
        <v>1</v>
      </c>
      <c r="H948" s="78">
        <v>1</v>
      </c>
      <c r="I948" s="15">
        <f t="shared" si="260"/>
        <v>0.6</v>
      </c>
      <c r="J948" s="16">
        <f>VLOOKUP(G948,Inputs!$L$3:$P$15,5,FALSE)</f>
        <v>2000</v>
      </c>
      <c r="K948" s="16">
        <f t="shared" si="261"/>
        <v>1825</v>
      </c>
      <c r="L948" s="79">
        <f>Inputs!$P$8-B948</f>
        <v>7.9427000000000589</v>
      </c>
      <c r="M948" s="79">
        <f>Inputs!$Q$8+L948*0.433</f>
        <v>1828.4391891</v>
      </c>
      <c r="N948" s="82">
        <f t="shared" si="262"/>
        <v>183299.92</v>
      </c>
      <c r="O948" s="83">
        <f t="shared" si="263"/>
        <v>930.24829999999997</v>
      </c>
      <c r="P948" s="84">
        <f>IF(O948="","",Inputs!$C$5-O948)</f>
        <v>-105.06380000000001</v>
      </c>
      <c r="Q948" s="83">
        <f>IF(N948="","",TS!J948)</f>
        <v>2000</v>
      </c>
      <c r="R948" s="83">
        <f>IF(N948="","",TS!K948)</f>
        <v>1825</v>
      </c>
      <c r="S948" s="83">
        <f>Inputs!$H$5+TS!P948*0.4333</f>
        <v>1829.44157191</v>
      </c>
      <c r="T948" s="83">
        <f>Inputs!$G$5+TS!P948*0.4333</f>
        <v>1844.44157191</v>
      </c>
      <c r="U948" s="85">
        <f t="shared" si="264"/>
        <v>0.92222078595500001</v>
      </c>
      <c r="V948" s="86">
        <f t="shared" si="252"/>
        <v>0</v>
      </c>
      <c r="W948" s="86">
        <f t="shared" si="253"/>
        <v>0</v>
      </c>
      <c r="X948" s="86" t="e">
        <f>((PI()*((42-2*'Gen Calcs'!$E$13)^2)/4)/144)*(A991-#REF!)*(W948+14.7)/14.7</f>
        <v>#REF!</v>
      </c>
      <c r="Y948" s="86" t="e">
        <f t="shared" si="254"/>
        <v>#REF!</v>
      </c>
      <c r="Z948" s="86" t="e">
        <f t="shared" si="255"/>
        <v>#REF!</v>
      </c>
      <c r="AA948" s="83">
        <f>MAX(B$2:B948)-B948</f>
        <v>7.9427000000000589</v>
      </c>
      <c r="AB948" s="83">
        <f t="shared" si="256"/>
        <v>3.4391891000000254</v>
      </c>
      <c r="AC948" s="83">
        <f t="shared" si="258"/>
        <v>120</v>
      </c>
      <c r="AD948" s="72">
        <v>120</v>
      </c>
      <c r="AE948" s="73">
        <f t="shared" si="265"/>
        <v>907.92027688745009</v>
      </c>
      <c r="AF948" s="73">
        <f>SUM(AE$2:AE948)</f>
        <v>792703.09234313038</v>
      </c>
      <c r="AG948" s="73">
        <f t="shared" si="266"/>
        <v>381026.81008397881</v>
      </c>
    </row>
    <row r="949" spans="1:33" x14ac:dyDescent="0.25">
      <c r="A949" s="99">
        <v>183399.92</v>
      </c>
      <c r="B949" s="96">
        <v>927.84619999999995</v>
      </c>
      <c r="C949" s="96">
        <v>0.6</v>
      </c>
      <c r="D949" s="80">
        <f t="shared" si="267"/>
        <v>100</v>
      </c>
      <c r="E949" s="81">
        <f t="shared" si="259"/>
        <v>6791.2436711181272</v>
      </c>
      <c r="F949" s="81">
        <f>SUM(E$2:E949)</f>
        <v>5931589.8199567953</v>
      </c>
      <c r="G949" s="43">
        <f t="shared" si="257"/>
        <v>1</v>
      </c>
      <c r="H949" s="78">
        <v>1</v>
      </c>
      <c r="I949" s="15">
        <f t="shared" si="260"/>
        <v>0.6</v>
      </c>
      <c r="J949" s="16">
        <f>VLOOKUP(G949,Inputs!$L$3:$P$15,5,FALSE)</f>
        <v>2000</v>
      </c>
      <c r="K949" s="16">
        <f t="shared" si="261"/>
        <v>1825</v>
      </c>
      <c r="L949" s="79">
        <f>Inputs!$P$8-B949</f>
        <v>10.344800000000077</v>
      </c>
      <c r="M949" s="79">
        <f>Inputs!$Q$8+L949*0.433</f>
        <v>1829.4792984000001</v>
      </c>
      <c r="N949" s="82">
        <f t="shared" si="262"/>
        <v>183399.92</v>
      </c>
      <c r="O949" s="83">
        <f t="shared" si="263"/>
        <v>927.84619999999995</v>
      </c>
      <c r="P949" s="84">
        <f>IF(O949="","",Inputs!$C$5-O949)</f>
        <v>-102.6617</v>
      </c>
      <c r="Q949" s="83">
        <f>IF(N949="","",TS!J949)</f>
        <v>2000</v>
      </c>
      <c r="R949" s="83">
        <f>IF(N949="","",TS!K949)</f>
        <v>1825</v>
      </c>
      <c r="S949" s="83">
        <f>Inputs!$H$5+TS!P949*0.4333</f>
        <v>1830.48240184</v>
      </c>
      <c r="T949" s="83">
        <f>Inputs!$G$5+TS!P949*0.4333</f>
        <v>1845.48240184</v>
      </c>
      <c r="U949" s="85">
        <f t="shared" si="264"/>
        <v>0.92274120092</v>
      </c>
      <c r="V949" s="86">
        <f t="shared" si="252"/>
        <v>0</v>
      </c>
      <c r="W949" s="86">
        <f t="shared" si="253"/>
        <v>0</v>
      </c>
      <c r="X949" s="86" t="e">
        <f>((PI()*((42-2*'Gen Calcs'!$E$13)^2)/4)/144)*(A992-#REF!)*(W949+14.7)/14.7</f>
        <v>#REF!</v>
      </c>
      <c r="Y949" s="86" t="e">
        <f t="shared" si="254"/>
        <v>#REF!</v>
      </c>
      <c r="Z949" s="86" t="e">
        <f t="shared" si="255"/>
        <v>#REF!</v>
      </c>
      <c r="AA949" s="83">
        <f>MAX(B$2:B949)-B949</f>
        <v>10.344800000000077</v>
      </c>
      <c r="AB949" s="83">
        <f t="shared" si="256"/>
        <v>4.4792984000000331</v>
      </c>
      <c r="AC949" s="83">
        <f t="shared" si="258"/>
        <v>120</v>
      </c>
      <c r="AD949" s="72">
        <v>120</v>
      </c>
      <c r="AE949" s="73">
        <f t="shared" si="265"/>
        <v>907.92027688745009</v>
      </c>
      <c r="AF949" s="73">
        <f>SUM(AE$2:AE949)</f>
        <v>793611.01262001786</v>
      </c>
      <c r="AG949" s="73">
        <f t="shared" si="266"/>
        <v>380118.88980709133</v>
      </c>
    </row>
    <row r="950" spans="1:33" x14ac:dyDescent="0.25">
      <c r="A950" s="100">
        <v>183499.92</v>
      </c>
      <c r="B950" s="97">
        <v>925.61400000000003</v>
      </c>
      <c r="C950" s="97">
        <v>0.6</v>
      </c>
      <c r="D950" s="80">
        <f t="shared" si="267"/>
        <v>100</v>
      </c>
      <c r="E950" s="81">
        <f t="shared" si="259"/>
        <v>6791.2436711181272</v>
      </c>
      <c r="F950" s="81">
        <f>SUM(E$2:E950)</f>
        <v>5938381.0636279136</v>
      </c>
      <c r="G950" s="43">
        <f t="shared" si="257"/>
        <v>1</v>
      </c>
      <c r="H950" s="78">
        <v>1</v>
      </c>
      <c r="I950" s="15">
        <f t="shared" si="260"/>
        <v>0.6</v>
      </c>
      <c r="J950" s="16">
        <f>VLOOKUP(G950,Inputs!$L$3:$P$15,5,FALSE)</f>
        <v>2000</v>
      </c>
      <c r="K950" s="16">
        <f t="shared" si="261"/>
        <v>1825</v>
      </c>
      <c r="L950" s="79">
        <f>Inputs!$P$8-B950</f>
        <v>12.576999999999998</v>
      </c>
      <c r="M950" s="79">
        <f>Inputs!$Q$8+L950*0.433</f>
        <v>1830.445841</v>
      </c>
      <c r="N950" s="82">
        <f t="shared" si="262"/>
        <v>183499.92</v>
      </c>
      <c r="O950" s="83">
        <f t="shared" si="263"/>
        <v>925.61400000000003</v>
      </c>
      <c r="P950" s="84">
        <f>IF(O950="","",Inputs!$C$5-O950)</f>
        <v>-100.42950000000008</v>
      </c>
      <c r="Q950" s="83">
        <f>IF(N950="","",TS!J950)</f>
        <v>2000</v>
      </c>
      <c r="R950" s="83">
        <f>IF(N950="","",TS!K950)</f>
        <v>1825</v>
      </c>
      <c r="S950" s="83">
        <f>Inputs!$H$5+TS!P950*0.4333</f>
        <v>1831.4496141</v>
      </c>
      <c r="T950" s="83">
        <f>Inputs!$G$5+TS!P950*0.4333</f>
        <v>1846.4496141</v>
      </c>
      <c r="U950" s="85">
        <f t="shared" si="264"/>
        <v>0.92322480704999998</v>
      </c>
      <c r="V950" s="86">
        <f t="shared" ref="V950:V1013" si="268">O950-MAX(O950:O950)</f>
        <v>0</v>
      </c>
      <c r="W950" s="86">
        <f t="shared" ref="W950:W1013" si="269">-(V950)*0.433</f>
        <v>0</v>
      </c>
      <c r="X950" s="86" t="e">
        <f>((PI()*((42-2*'Gen Calcs'!$E$13)^2)/4)/144)*(A993-#REF!)*(W950+14.7)/14.7</f>
        <v>#REF!</v>
      </c>
      <c r="Y950" s="86" t="e">
        <f t="shared" ref="Y950:Y1013" si="270">X950/1000</f>
        <v>#REF!</v>
      </c>
      <c r="Z950" s="86" t="e">
        <f t="shared" ref="Z950:Z1013" si="271">IF(Y950&gt;Z949,Y950,Z949)</f>
        <v>#REF!</v>
      </c>
      <c r="AA950" s="83">
        <f>MAX(B$2:B950)-B950</f>
        <v>12.576999999999998</v>
      </c>
      <c r="AB950" s="83">
        <f t="shared" ref="AB950:AB1013" si="272">AA950*0.433</f>
        <v>5.4458409999999988</v>
      </c>
      <c r="AC950" s="83">
        <f t="shared" si="258"/>
        <v>120</v>
      </c>
      <c r="AD950" s="72">
        <v>120</v>
      </c>
      <c r="AE950" s="73">
        <f t="shared" si="265"/>
        <v>907.92027688745009</v>
      </c>
      <c r="AF950" s="73">
        <f>SUM(AE$2:AE950)</f>
        <v>794518.93289690535</v>
      </c>
      <c r="AG950" s="73">
        <f t="shared" si="266"/>
        <v>379210.96953020385</v>
      </c>
    </row>
    <row r="951" spans="1:33" x14ac:dyDescent="0.25">
      <c r="A951" s="99">
        <v>183599.92</v>
      </c>
      <c r="B951" s="96">
        <v>924.10749999999996</v>
      </c>
      <c r="C951" s="96">
        <v>0.6</v>
      </c>
      <c r="D951" s="80">
        <f t="shared" si="267"/>
        <v>100</v>
      </c>
      <c r="E951" s="81">
        <f t="shared" si="259"/>
        <v>6791.2436711181272</v>
      </c>
      <c r="F951" s="81">
        <f>SUM(E$2:E951)</f>
        <v>5945172.3072990319</v>
      </c>
      <c r="G951" s="43">
        <f t="shared" si="257"/>
        <v>1</v>
      </c>
      <c r="H951" s="78">
        <v>1</v>
      </c>
      <c r="I951" s="15">
        <f t="shared" si="260"/>
        <v>0.6</v>
      </c>
      <c r="J951" s="16">
        <f>VLOOKUP(G951,Inputs!$L$3:$P$15,5,FALSE)</f>
        <v>2000</v>
      </c>
      <c r="K951" s="16">
        <f t="shared" si="261"/>
        <v>1825</v>
      </c>
      <c r="L951" s="79">
        <f>Inputs!$P$8-B951</f>
        <v>14.083500000000072</v>
      </c>
      <c r="M951" s="79">
        <f>Inputs!$Q$8+L951*0.433</f>
        <v>1831.0981555000001</v>
      </c>
      <c r="N951" s="82">
        <f t="shared" si="262"/>
        <v>183599.92</v>
      </c>
      <c r="O951" s="83">
        <f t="shared" si="263"/>
        <v>924.10749999999996</v>
      </c>
      <c r="P951" s="84">
        <f>IF(O951="","",Inputs!$C$5-O951)</f>
        <v>-98.923000000000002</v>
      </c>
      <c r="Q951" s="83">
        <f>IF(N951="","",TS!J951)</f>
        <v>2000</v>
      </c>
      <c r="R951" s="83">
        <f>IF(N951="","",TS!K951)</f>
        <v>1825</v>
      </c>
      <c r="S951" s="83">
        <f>Inputs!$H$5+TS!P951*0.4333</f>
        <v>1832.1023805499999</v>
      </c>
      <c r="T951" s="83">
        <f>Inputs!$G$5+TS!P951*0.4333</f>
        <v>1847.1023805499999</v>
      </c>
      <c r="U951" s="85">
        <f t="shared" si="264"/>
        <v>0.92355119027499999</v>
      </c>
      <c r="V951" s="86">
        <f t="shared" si="268"/>
        <v>0</v>
      </c>
      <c r="W951" s="86">
        <f t="shared" si="269"/>
        <v>0</v>
      </c>
      <c r="X951" s="86" t="e">
        <f>((PI()*((42-2*'Gen Calcs'!$E$13)^2)/4)/144)*(A994-#REF!)*(W951+14.7)/14.7</f>
        <v>#REF!</v>
      </c>
      <c r="Y951" s="86" t="e">
        <f t="shared" si="270"/>
        <v>#REF!</v>
      </c>
      <c r="Z951" s="86" t="e">
        <f t="shared" si="271"/>
        <v>#REF!</v>
      </c>
      <c r="AA951" s="83">
        <f>MAX(B$2:B951)-B951</f>
        <v>14.083500000000072</v>
      </c>
      <c r="AB951" s="83">
        <f t="shared" si="272"/>
        <v>6.0981555000000309</v>
      </c>
      <c r="AC951" s="83">
        <f t="shared" si="258"/>
        <v>120</v>
      </c>
      <c r="AD951" s="72">
        <v>120</v>
      </c>
      <c r="AE951" s="73">
        <f t="shared" si="265"/>
        <v>907.92027688745009</v>
      </c>
      <c r="AF951" s="73">
        <f>SUM(AE$2:AE951)</f>
        <v>795426.85317379283</v>
      </c>
      <c r="AG951" s="73">
        <f t="shared" si="266"/>
        <v>378303.04925331636</v>
      </c>
    </row>
    <row r="952" spans="1:33" x14ac:dyDescent="0.25">
      <c r="A952" s="100">
        <v>183699.92</v>
      </c>
      <c r="B952" s="97">
        <v>922.91849999999999</v>
      </c>
      <c r="C952" s="97">
        <v>0.6</v>
      </c>
      <c r="D952" s="80">
        <f t="shared" si="267"/>
        <v>100</v>
      </c>
      <c r="E952" s="81">
        <f t="shared" si="259"/>
        <v>6791.2436711181272</v>
      </c>
      <c r="F952" s="81">
        <f>SUM(E$2:E952)</f>
        <v>5951963.5509701502</v>
      </c>
      <c r="G952" s="43">
        <f t="shared" si="257"/>
        <v>1</v>
      </c>
      <c r="H952" s="78">
        <v>1</v>
      </c>
      <c r="I952" s="15">
        <f t="shared" si="260"/>
        <v>0.6</v>
      </c>
      <c r="J952" s="16">
        <f>VLOOKUP(G952,Inputs!$L$3:$P$15,5,FALSE)</f>
        <v>2000</v>
      </c>
      <c r="K952" s="16">
        <f t="shared" si="261"/>
        <v>1825</v>
      </c>
      <c r="L952" s="79">
        <f>Inputs!$P$8-B952</f>
        <v>15.272500000000036</v>
      </c>
      <c r="M952" s="79">
        <f>Inputs!$Q$8+L952*0.433</f>
        <v>1831.6129925</v>
      </c>
      <c r="N952" s="82">
        <f t="shared" si="262"/>
        <v>183699.92</v>
      </c>
      <c r="O952" s="83">
        <f t="shared" si="263"/>
        <v>922.91849999999999</v>
      </c>
      <c r="P952" s="84">
        <f>IF(O952="","",Inputs!$C$5-O952)</f>
        <v>-97.734000000000037</v>
      </c>
      <c r="Q952" s="83">
        <f>IF(N952="","",TS!J952)</f>
        <v>2000</v>
      </c>
      <c r="R952" s="83">
        <f>IF(N952="","",TS!K952)</f>
        <v>1825</v>
      </c>
      <c r="S952" s="83">
        <f>Inputs!$H$5+TS!P952*0.4333</f>
        <v>1832.61757425</v>
      </c>
      <c r="T952" s="83">
        <f>Inputs!$G$5+TS!P952*0.4333</f>
        <v>1847.61757425</v>
      </c>
      <c r="U952" s="85">
        <f t="shared" si="264"/>
        <v>0.92380878712500003</v>
      </c>
      <c r="V952" s="86">
        <f t="shared" si="268"/>
        <v>0</v>
      </c>
      <c r="W952" s="86">
        <f t="shared" si="269"/>
        <v>0</v>
      </c>
      <c r="X952" s="86" t="e">
        <f>((PI()*((42-2*'Gen Calcs'!$E$13)^2)/4)/144)*(A995-#REF!)*(W952+14.7)/14.7</f>
        <v>#REF!</v>
      </c>
      <c r="Y952" s="86" t="e">
        <f t="shared" si="270"/>
        <v>#REF!</v>
      </c>
      <c r="Z952" s="86" t="e">
        <f t="shared" si="271"/>
        <v>#REF!</v>
      </c>
      <c r="AA952" s="83">
        <f>MAX(B$2:B952)-B952</f>
        <v>15.272500000000036</v>
      </c>
      <c r="AB952" s="83">
        <f t="shared" si="272"/>
        <v>6.6129925000000158</v>
      </c>
      <c r="AC952" s="83">
        <f t="shared" si="258"/>
        <v>120</v>
      </c>
      <c r="AD952" s="72">
        <v>120</v>
      </c>
      <c r="AE952" s="73">
        <f t="shared" si="265"/>
        <v>907.92027688745009</v>
      </c>
      <c r="AF952" s="73">
        <f>SUM(AE$2:AE952)</f>
        <v>796334.77345068031</v>
      </c>
      <c r="AG952" s="73">
        <f t="shared" si="266"/>
        <v>377395.12897642888</v>
      </c>
    </row>
    <row r="953" spans="1:33" x14ac:dyDescent="0.25">
      <c r="A953" s="99">
        <v>183799.92</v>
      </c>
      <c r="B953" s="96">
        <v>921.85289999999998</v>
      </c>
      <c r="C953" s="96">
        <v>0.6</v>
      </c>
      <c r="D953" s="80">
        <f t="shared" si="267"/>
        <v>100</v>
      </c>
      <c r="E953" s="81">
        <f t="shared" si="259"/>
        <v>6791.2436711181272</v>
      </c>
      <c r="F953" s="81">
        <f>SUM(E$2:E953)</f>
        <v>5958754.7946412684</v>
      </c>
      <c r="G953" s="43">
        <f t="shared" si="257"/>
        <v>1</v>
      </c>
      <c r="H953" s="78">
        <v>1</v>
      </c>
      <c r="I953" s="15">
        <f t="shared" si="260"/>
        <v>0.6</v>
      </c>
      <c r="J953" s="16">
        <f>VLOOKUP(G953,Inputs!$L$3:$P$15,5,FALSE)</f>
        <v>2000</v>
      </c>
      <c r="K953" s="16">
        <f t="shared" si="261"/>
        <v>1825</v>
      </c>
      <c r="L953" s="79">
        <f>Inputs!$P$8-B953</f>
        <v>16.338100000000054</v>
      </c>
      <c r="M953" s="79">
        <f>Inputs!$Q$8+L953*0.433</f>
        <v>1832.0743973000001</v>
      </c>
      <c r="N953" s="82">
        <f t="shared" si="262"/>
        <v>183799.92</v>
      </c>
      <c r="O953" s="83">
        <f t="shared" si="263"/>
        <v>921.85289999999998</v>
      </c>
      <c r="P953" s="84">
        <f>IF(O953="","",Inputs!$C$5-O953)</f>
        <v>-96.66840000000002</v>
      </c>
      <c r="Q953" s="83">
        <f>IF(N953="","",TS!J953)</f>
        <v>2000</v>
      </c>
      <c r="R953" s="83">
        <f>IF(N953="","",TS!K953)</f>
        <v>1825</v>
      </c>
      <c r="S953" s="83">
        <f>Inputs!$H$5+TS!P953*0.4333</f>
        <v>1833.0792987299999</v>
      </c>
      <c r="T953" s="83">
        <f>Inputs!$G$5+TS!P953*0.4333</f>
        <v>1848.0792987299999</v>
      </c>
      <c r="U953" s="85">
        <f t="shared" si="264"/>
        <v>0.92403964936499994</v>
      </c>
      <c r="V953" s="86">
        <f t="shared" si="268"/>
        <v>0</v>
      </c>
      <c r="W953" s="86">
        <f t="shared" si="269"/>
        <v>0</v>
      </c>
      <c r="X953" s="86" t="e">
        <f>((PI()*((42-2*'Gen Calcs'!$E$13)^2)/4)/144)*(A996-#REF!)*(W953+14.7)/14.7</f>
        <v>#REF!</v>
      </c>
      <c r="Y953" s="86" t="e">
        <f t="shared" si="270"/>
        <v>#REF!</v>
      </c>
      <c r="Z953" s="86" t="e">
        <f t="shared" si="271"/>
        <v>#REF!</v>
      </c>
      <c r="AA953" s="83">
        <f>MAX(B$2:B953)-B953</f>
        <v>16.338100000000054</v>
      </c>
      <c r="AB953" s="83">
        <f t="shared" si="272"/>
        <v>7.0743973000000233</v>
      </c>
      <c r="AC953" s="83">
        <f t="shared" si="258"/>
        <v>120</v>
      </c>
      <c r="AD953" s="72">
        <v>120</v>
      </c>
      <c r="AE953" s="73">
        <f t="shared" si="265"/>
        <v>907.92027688745009</v>
      </c>
      <c r="AF953" s="73">
        <f>SUM(AE$2:AE953)</f>
        <v>797242.69372756779</v>
      </c>
      <c r="AG953" s="73">
        <f t="shared" si="266"/>
        <v>376487.2086995414</v>
      </c>
    </row>
    <row r="954" spans="1:33" x14ac:dyDescent="0.25">
      <c r="A954" s="100">
        <v>183899.92</v>
      </c>
      <c r="B954" s="97">
        <v>920.84829999999999</v>
      </c>
      <c r="C954" s="97">
        <v>0.6</v>
      </c>
      <c r="D954" s="80">
        <f t="shared" si="267"/>
        <v>100</v>
      </c>
      <c r="E954" s="81">
        <f t="shared" si="259"/>
        <v>6791.2436711181272</v>
      </c>
      <c r="F954" s="81">
        <f>SUM(E$2:E954)</f>
        <v>5965546.0383123867</v>
      </c>
      <c r="G954" s="43">
        <f t="shared" si="257"/>
        <v>1</v>
      </c>
      <c r="H954" s="78">
        <v>1</v>
      </c>
      <c r="I954" s="15">
        <f t="shared" si="260"/>
        <v>0.6</v>
      </c>
      <c r="J954" s="16">
        <f>VLOOKUP(G954,Inputs!$L$3:$P$15,5,FALSE)</f>
        <v>2000</v>
      </c>
      <c r="K954" s="16">
        <f t="shared" si="261"/>
        <v>1825</v>
      </c>
      <c r="L954" s="79">
        <f>Inputs!$P$8-B954</f>
        <v>17.342700000000036</v>
      </c>
      <c r="M954" s="79">
        <f>Inputs!$Q$8+L954*0.433</f>
        <v>1832.5093890999999</v>
      </c>
      <c r="N954" s="82">
        <f t="shared" si="262"/>
        <v>183899.92</v>
      </c>
      <c r="O954" s="83">
        <f t="shared" si="263"/>
        <v>920.84829999999999</v>
      </c>
      <c r="P954" s="84">
        <f>IF(O954="","",Inputs!$C$5-O954)</f>
        <v>-95.663800000000037</v>
      </c>
      <c r="Q954" s="83">
        <f>IF(N954="","",TS!J954)</f>
        <v>2000</v>
      </c>
      <c r="R954" s="83">
        <f>IF(N954="","",TS!K954)</f>
        <v>1825</v>
      </c>
      <c r="S954" s="83">
        <f>Inputs!$H$5+TS!P954*0.4333</f>
        <v>1833.51459191</v>
      </c>
      <c r="T954" s="83">
        <f>Inputs!$G$5+TS!P954*0.4333</f>
        <v>1848.51459191</v>
      </c>
      <c r="U954" s="85">
        <f t="shared" si="264"/>
        <v>0.92425729595500006</v>
      </c>
      <c r="V954" s="86">
        <f t="shared" si="268"/>
        <v>0</v>
      </c>
      <c r="W954" s="86">
        <f t="shared" si="269"/>
        <v>0</v>
      </c>
      <c r="X954" s="86" t="e">
        <f>((PI()*((42-2*'Gen Calcs'!$E$13)^2)/4)/144)*(A997-#REF!)*(W954+14.7)/14.7</f>
        <v>#REF!</v>
      </c>
      <c r="Y954" s="86" t="e">
        <f t="shared" si="270"/>
        <v>#REF!</v>
      </c>
      <c r="Z954" s="86" t="e">
        <f t="shared" si="271"/>
        <v>#REF!</v>
      </c>
      <c r="AA954" s="83">
        <f>MAX(B$2:B954)-B954</f>
        <v>17.342700000000036</v>
      </c>
      <c r="AB954" s="83">
        <f t="shared" si="272"/>
        <v>7.5093891000000159</v>
      </c>
      <c r="AC954" s="83">
        <f t="shared" si="258"/>
        <v>120</v>
      </c>
      <c r="AD954" s="72">
        <v>120</v>
      </c>
      <c r="AE954" s="73">
        <f t="shared" si="265"/>
        <v>907.92027688745009</v>
      </c>
      <c r="AF954" s="73">
        <f>SUM(AE$2:AE954)</f>
        <v>798150.61400445527</v>
      </c>
      <c r="AG954" s="73">
        <f t="shared" si="266"/>
        <v>375579.28842265392</v>
      </c>
    </row>
    <row r="955" spans="1:33" x14ac:dyDescent="0.25">
      <c r="A955" s="99">
        <v>183999.92</v>
      </c>
      <c r="B955" s="96">
        <v>920.92190000000005</v>
      </c>
      <c r="C955" s="96">
        <v>0.6</v>
      </c>
      <c r="D955" s="80">
        <f t="shared" si="267"/>
        <v>100</v>
      </c>
      <c r="E955" s="81">
        <f t="shared" si="259"/>
        <v>6791.2436711181272</v>
      </c>
      <c r="F955" s="81">
        <f>SUM(E$2:E955)</f>
        <v>5972337.281983505</v>
      </c>
      <c r="G955" s="43">
        <f t="shared" si="257"/>
        <v>1</v>
      </c>
      <c r="H955" s="78">
        <v>1</v>
      </c>
      <c r="I955" s="15">
        <f t="shared" si="260"/>
        <v>0.6</v>
      </c>
      <c r="J955" s="16">
        <f>VLOOKUP(G955,Inputs!$L$3:$P$15,5,FALSE)</f>
        <v>2000</v>
      </c>
      <c r="K955" s="16">
        <f t="shared" si="261"/>
        <v>1825</v>
      </c>
      <c r="L955" s="79">
        <f>Inputs!$P$8-B955</f>
        <v>17.26909999999998</v>
      </c>
      <c r="M955" s="79">
        <f>Inputs!$Q$8+L955*0.433</f>
        <v>1832.4775202999999</v>
      </c>
      <c r="N955" s="82">
        <f t="shared" si="262"/>
        <v>183999.92</v>
      </c>
      <c r="O955" s="83">
        <f t="shared" si="263"/>
        <v>920.92190000000005</v>
      </c>
      <c r="P955" s="84">
        <f>IF(O955="","",Inputs!$C$5-O955)</f>
        <v>-95.737400000000093</v>
      </c>
      <c r="Q955" s="83">
        <f>IF(N955="","",TS!J955)</f>
        <v>2000</v>
      </c>
      <c r="R955" s="83">
        <f>IF(N955="","",TS!K955)</f>
        <v>1825</v>
      </c>
      <c r="S955" s="83">
        <f>Inputs!$H$5+TS!P955*0.4333</f>
        <v>1833.4827010299998</v>
      </c>
      <c r="T955" s="83">
        <f>Inputs!$G$5+TS!P955*0.4333</f>
        <v>1848.4827010299998</v>
      </c>
      <c r="U955" s="85">
        <f t="shared" si="264"/>
        <v>0.92424135051499989</v>
      </c>
      <c r="V955" s="86">
        <f t="shared" si="268"/>
        <v>0</v>
      </c>
      <c r="W955" s="86">
        <f t="shared" si="269"/>
        <v>0</v>
      </c>
      <c r="X955" s="86" t="e">
        <f>((PI()*((42-2*'Gen Calcs'!$E$13)^2)/4)/144)*(A998-#REF!)*(W955+14.7)/14.7</f>
        <v>#REF!</v>
      </c>
      <c r="Y955" s="86" t="e">
        <f t="shared" si="270"/>
        <v>#REF!</v>
      </c>
      <c r="Z955" s="86" t="e">
        <f t="shared" si="271"/>
        <v>#REF!</v>
      </c>
      <c r="AA955" s="83">
        <f>MAX(B$2:B955)-B955</f>
        <v>17.26909999999998</v>
      </c>
      <c r="AB955" s="83">
        <f t="shared" si="272"/>
        <v>7.4775202999999912</v>
      </c>
      <c r="AC955" s="83">
        <f t="shared" si="258"/>
        <v>120</v>
      </c>
      <c r="AD955" s="72">
        <v>120</v>
      </c>
      <c r="AE955" s="73">
        <f t="shared" si="265"/>
        <v>907.92027688745009</v>
      </c>
      <c r="AF955" s="73">
        <f>SUM(AE$2:AE955)</f>
        <v>799058.53428134276</v>
      </c>
      <c r="AG955" s="73">
        <f t="shared" si="266"/>
        <v>374671.36814576644</v>
      </c>
    </row>
    <row r="956" spans="1:33" x14ac:dyDescent="0.25">
      <c r="A956" s="100">
        <v>184099.92</v>
      </c>
      <c r="B956" s="97">
        <v>920.39760000000001</v>
      </c>
      <c r="C956" s="97">
        <v>0.6</v>
      </c>
      <c r="D956" s="80">
        <f t="shared" si="267"/>
        <v>100</v>
      </c>
      <c r="E956" s="81">
        <f t="shared" si="259"/>
        <v>6791.2436711181272</v>
      </c>
      <c r="F956" s="81">
        <f>SUM(E$2:E956)</f>
        <v>5979128.5256546233</v>
      </c>
      <c r="G956" s="43">
        <f t="shared" si="257"/>
        <v>1</v>
      </c>
      <c r="H956" s="78">
        <v>1</v>
      </c>
      <c r="I956" s="15">
        <f t="shared" si="260"/>
        <v>0.6</v>
      </c>
      <c r="J956" s="16">
        <f>VLOOKUP(G956,Inputs!$L$3:$P$15,5,FALSE)</f>
        <v>2000</v>
      </c>
      <c r="K956" s="16">
        <f t="shared" si="261"/>
        <v>1825</v>
      </c>
      <c r="L956" s="79">
        <f>Inputs!$P$8-B956</f>
        <v>17.79340000000002</v>
      </c>
      <c r="M956" s="79">
        <f>Inputs!$Q$8+L956*0.433</f>
        <v>1832.7045422000001</v>
      </c>
      <c r="N956" s="82">
        <f t="shared" si="262"/>
        <v>184099.92</v>
      </c>
      <c r="O956" s="83">
        <f t="shared" si="263"/>
        <v>920.39760000000001</v>
      </c>
      <c r="P956" s="84">
        <f>IF(O956="","",Inputs!$C$5-O956)</f>
        <v>-95.213100000000054</v>
      </c>
      <c r="Q956" s="83">
        <f>IF(N956="","",TS!J956)</f>
        <v>2000</v>
      </c>
      <c r="R956" s="83">
        <f>IF(N956="","",TS!K956)</f>
        <v>1825</v>
      </c>
      <c r="S956" s="83">
        <f>Inputs!$H$5+TS!P956*0.4333</f>
        <v>1833.7098802199998</v>
      </c>
      <c r="T956" s="83">
        <f>Inputs!$G$5+TS!P956*0.4333</f>
        <v>1848.7098802199998</v>
      </c>
      <c r="U956" s="85">
        <f t="shared" si="264"/>
        <v>0.92435494010999997</v>
      </c>
      <c r="V956" s="86">
        <f t="shared" si="268"/>
        <v>0</v>
      </c>
      <c r="W956" s="86">
        <f t="shared" si="269"/>
        <v>0</v>
      </c>
      <c r="X956" s="86" t="e">
        <f>((PI()*((42-2*'Gen Calcs'!$E$13)^2)/4)/144)*(A999-#REF!)*(W956+14.7)/14.7</f>
        <v>#REF!</v>
      </c>
      <c r="Y956" s="86" t="e">
        <f t="shared" si="270"/>
        <v>#REF!</v>
      </c>
      <c r="Z956" s="86" t="e">
        <f t="shared" si="271"/>
        <v>#REF!</v>
      </c>
      <c r="AA956" s="83">
        <f>MAX(B$2:B956)-B956</f>
        <v>17.79340000000002</v>
      </c>
      <c r="AB956" s="83">
        <f t="shared" si="272"/>
        <v>7.7045422000000086</v>
      </c>
      <c r="AC956" s="83">
        <f t="shared" si="258"/>
        <v>120</v>
      </c>
      <c r="AD956" s="72">
        <v>120</v>
      </c>
      <c r="AE956" s="73">
        <f t="shared" si="265"/>
        <v>907.92027688745009</v>
      </c>
      <c r="AF956" s="73">
        <f>SUM(AE$2:AE956)</f>
        <v>799966.45455823024</v>
      </c>
      <c r="AG956" s="73">
        <f t="shared" si="266"/>
        <v>373763.44786887895</v>
      </c>
    </row>
    <row r="957" spans="1:33" x14ac:dyDescent="0.25">
      <c r="A957" s="99">
        <v>184199.92</v>
      </c>
      <c r="B957" s="96">
        <v>919.71870000000001</v>
      </c>
      <c r="C957" s="96">
        <v>0.6</v>
      </c>
      <c r="D957" s="80">
        <f t="shared" si="267"/>
        <v>100</v>
      </c>
      <c r="E957" s="81">
        <f t="shared" si="259"/>
        <v>6791.2436711181272</v>
      </c>
      <c r="F957" s="81">
        <f>SUM(E$2:E957)</f>
        <v>5985919.7693257416</v>
      </c>
      <c r="G957" s="43">
        <f t="shared" si="257"/>
        <v>1</v>
      </c>
      <c r="H957" s="78">
        <v>1</v>
      </c>
      <c r="I957" s="15">
        <f t="shared" si="260"/>
        <v>0.6</v>
      </c>
      <c r="J957" s="16">
        <f>VLOOKUP(G957,Inputs!$L$3:$P$15,5,FALSE)</f>
        <v>2000</v>
      </c>
      <c r="K957" s="16">
        <f t="shared" si="261"/>
        <v>1825</v>
      </c>
      <c r="L957" s="79">
        <f>Inputs!$P$8-B957</f>
        <v>18.472300000000018</v>
      </c>
      <c r="M957" s="79">
        <f>Inputs!$Q$8+L957*0.433</f>
        <v>1832.9985059000001</v>
      </c>
      <c r="N957" s="82">
        <f t="shared" si="262"/>
        <v>184199.92</v>
      </c>
      <c r="O957" s="83">
        <f t="shared" si="263"/>
        <v>919.71870000000001</v>
      </c>
      <c r="P957" s="84">
        <f>IF(O957="","",Inputs!$C$5-O957)</f>
        <v>-94.534200000000055</v>
      </c>
      <c r="Q957" s="83">
        <f>IF(N957="","",TS!J957)</f>
        <v>2000</v>
      </c>
      <c r="R957" s="83">
        <f>IF(N957="","",TS!K957)</f>
        <v>1825</v>
      </c>
      <c r="S957" s="83">
        <f>Inputs!$H$5+TS!P957*0.4333</f>
        <v>1834.00404759</v>
      </c>
      <c r="T957" s="83">
        <f>Inputs!$G$5+TS!P957*0.4333</f>
        <v>1849.00404759</v>
      </c>
      <c r="U957" s="85">
        <f t="shared" si="264"/>
        <v>0.92450202379500002</v>
      </c>
      <c r="V957" s="86">
        <f t="shared" si="268"/>
        <v>0</v>
      </c>
      <c r="W957" s="86">
        <f t="shared" si="269"/>
        <v>0</v>
      </c>
      <c r="X957" s="86" t="e">
        <f>((PI()*((42-2*'Gen Calcs'!$E$13)^2)/4)/144)*(A1000-#REF!)*(W957+14.7)/14.7</f>
        <v>#REF!</v>
      </c>
      <c r="Y957" s="86" t="e">
        <f t="shared" si="270"/>
        <v>#REF!</v>
      </c>
      <c r="Z957" s="86" t="e">
        <f t="shared" si="271"/>
        <v>#REF!</v>
      </c>
      <c r="AA957" s="83">
        <f>MAX(B$2:B957)-B957</f>
        <v>18.472300000000018</v>
      </c>
      <c r="AB957" s="83">
        <f t="shared" si="272"/>
        <v>7.9985059000000076</v>
      </c>
      <c r="AC957" s="83">
        <f t="shared" si="258"/>
        <v>120</v>
      </c>
      <c r="AD957" s="72">
        <v>120</v>
      </c>
      <c r="AE957" s="73">
        <f t="shared" si="265"/>
        <v>907.92027688745009</v>
      </c>
      <c r="AF957" s="73">
        <f>SUM(AE$2:AE957)</f>
        <v>800874.37483511772</v>
      </c>
      <c r="AG957" s="73">
        <f t="shared" si="266"/>
        <v>372855.52759199147</v>
      </c>
    </row>
    <row r="958" spans="1:33" x14ac:dyDescent="0.25">
      <c r="A958" s="100">
        <v>184299.92</v>
      </c>
      <c r="B958" s="97">
        <v>919.80280000000005</v>
      </c>
      <c r="C958" s="97">
        <v>0.6</v>
      </c>
      <c r="D958" s="80">
        <f t="shared" si="267"/>
        <v>100</v>
      </c>
      <c r="E958" s="81">
        <f t="shared" si="259"/>
        <v>6791.2436711181272</v>
      </c>
      <c r="F958" s="81">
        <f>SUM(E$2:E958)</f>
        <v>5992711.0129968598</v>
      </c>
      <c r="G958" s="43">
        <f t="shared" si="257"/>
        <v>1</v>
      </c>
      <c r="H958" s="78">
        <v>1</v>
      </c>
      <c r="I958" s="15">
        <f t="shared" si="260"/>
        <v>0.6</v>
      </c>
      <c r="J958" s="16">
        <f>VLOOKUP(G958,Inputs!$L$3:$P$15,5,FALSE)</f>
        <v>2000</v>
      </c>
      <c r="K958" s="16">
        <f t="shared" si="261"/>
        <v>1825</v>
      </c>
      <c r="L958" s="79">
        <f>Inputs!$P$8-B958</f>
        <v>18.388199999999983</v>
      </c>
      <c r="M958" s="79">
        <f>Inputs!$Q$8+L958*0.433</f>
        <v>1832.9620906</v>
      </c>
      <c r="N958" s="82">
        <f t="shared" si="262"/>
        <v>184299.92</v>
      </c>
      <c r="O958" s="83">
        <f t="shared" si="263"/>
        <v>919.80280000000005</v>
      </c>
      <c r="P958" s="84">
        <f>IF(O958="","",Inputs!$C$5-O958)</f>
        <v>-94.61830000000009</v>
      </c>
      <c r="Q958" s="83">
        <f>IF(N958="","",TS!J958)</f>
        <v>2000</v>
      </c>
      <c r="R958" s="83">
        <f>IF(N958="","",TS!K958)</f>
        <v>1825</v>
      </c>
      <c r="S958" s="83">
        <f>Inputs!$H$5+TS!P958*0.4333</f>
        <v>1833.9676070599999</v>
      </c>
      <c r="T958" s="83">
        <f>Inputs!$G$5+TS!P958*0.4333</f>
        <v>1848.9676070599999</v>
      </c>
      <c r="U958" s="85">
        <f t="shared" si="264"/>
        <v>0.92448380352999993</v>
      </c>
      <c r="V958" s="86">
        <f t="shared" si="268"/>
        <v>0</v>
      </c>
      <c r="W958" s="86">
        <f t="shared" si="269"/>
        <v>0</v>
      </c>
      <c r="X958" s="86" t="e">
        <f>((PI()*((42-2*'Gen Calcs'!$E$13)^2)/4)/144)*(A1001-#REF!)*(W958+14.7)/14.7</f>
        <v>#REF!</v>
      </c>
      <c r="Y958" s="86" t="e">
        <f t="shared" si="270"/>
        <v>#REF!</v>
      </c>
      <c r="Z958" s="86" t="e">
        <f t="shared" si="271"/>
        <v>#REF!</v>
      </c>
      <c r="AA958" s="83">
        <f>MAX(B$2:B958)-B958</f>
        <v>18.388199999999983</v>
      </c>
      <c r="AB958" s="83">
        <f t="shared" si="272"/>
        <v>7.9620905999999927</v>
      </c>
      <c r="AC958" s="83">
        <f t="shared" si="258"/>
        <v>120</v>
      </c>
      <c r="AD958" s="72">
        <v>120</v>
      </c>
      <c r="AE958" s="73">
        <f t="shared" si="265"/>
        <v>907.92027688745009</v>
      </c>
      <c r="AF958" s="73">
        <f>SUM(AE$2:AE958)</f>
        <v>801782.2951120052</v>
      </c>
      <c r="AG958" s="73">
        <f t="shared" si="266"/>
        <v>371947.60731510399</v>
      </c>
    </row>
    <row r="959" spans="1:33" x14ac:dyDescent="0.25">
      <c r="A959" s="99">
        <v>184399.92</v>
      </c>
      <c r="B959" s="96">
        <v>920.42520000000002</v>
      </c>
      <c r="C959" s="96">
        <v>0.6</v>
      </c>
      <c r="D959" s="80">
        <f t="shared" si="267"/>
        <v>100</v>
      </c>
      <c r="E959" s="81">
        <f t="shared" si="259"/>
        <v>6791.2436711181272</v>
      </c>
      <c r="F959" s="81">
        <f>SUM(E$2:E959)</f>
        <v>5999502.2566679781</v>
      </c>
      <c r="G959" s="43">
        <f t="shared" si="257"/>
        <v>1</v>
      </c>
      <c r="H959" s="78">
        <v>1</v>
      </c>
      <c r="I959" s="15">
        <f t="shared" si="260"/>
        <v>0.6</v>
      </c>
      <c r="J959" s="16">
        <f>VLOOKUP(G959,Inputs!$L$3:$P$15,5,FALSE)</f>
        <v>2000</v>
      </c>
      <c r="K959" s="16">
        <f t="shared" si="261"/>
        <v>1825</v>
      </c>
      <c r="L959" s="79">
        <f>Inputs!$P$8-B959</f>
        <v>17.765800000000013</v>
      </c>
      <c r="M959" s="79">
        <f>Inputs!$Q$8+L959*0.433</f>
        <v>1832.6925914000001</v>
      </c>
      <c r="N959" s="82">
        <f t="shared" si="262"/>
        <v>184399.92</v>
      </c>
      <c r="O959" s="83">
        <f t="shared" si="263"/>
        <v>920.42520000000002</v>
      </c>
      <c r="P959" s="84">
        <f>IF(O959="","",Inputs!$C$5-O959)</f>
        <v>-95.240700000000061</v>
      </c>
      <c r="Q959" s="83">
        <f>IF(N959="","",TS!J959)</f>
        <v>2000</v>
      </c>
      <c r="R959" s="83">
        <f>IF(N959="","",TS!K959)</f>
        <v>1825</v>
      </c>
      <c r="S959" s="83">
        <f>Inputs!$H$5+TS!P959*0.4333</f>
        <v>1833.6979211399998</v>
      </c>
      <c r="T959" s="83">
        <f>Inputs!$G$5+TS!P959*0.4333</f>
        <v>1848.6979211399998</v>
      </c>
      <c r="U959" s="85">
        <f t="shared" si="264"/>
        <v>0.92434896056999993</v>
      </c>
      <c r="V959" s="86">
        <f t="shared" si="268"/>
        <v>0</v>
      </c>
      <c r="W959" s="86">
        <f t="shared" si="269"/>
        <v>0</v>
      </c>
      <c r="X959" s="86" t="e">
        <f>((PI()*((42-2*'Gen Calcs'!$E$13)^2)/4)/144)*(A1002-#REF!)*(W959+14.7)/14.7</f>
        <v>#REF!</v>
      </c>
      <c r="Y959" s="86" t="e">
        <f t="shared" si="270"/>
        <v>#REF!</v>
      </c>
      <c r="Z959" s="86" t="e">
        <f t="shared" si="271"/>
        <v>#REF!</v>
      </c>
      <c r="AA959" s="83">
        <f>MAX(B$2:B959)-B959</f>
        <v>17.765800000000013</v>
      </c>
      <c r="AB959" s="83">
        <f t="shared" si="272"/>
        <v>7.6925914000000057</v>
      </c>
      <c r="AC959" s="83">
        <f t="shared" si="258"/>
        <v>120</v>
      </c>
      <c r="AD959" s="72">
        <v>120</v>
      </c>
      <c r="AE959" s="73">
        <f t="shared" si="265"/>
        <v>907.92027688745009</v>
      </c>
      <c r="AF959" s="73">
        <f>SUM(AE$2:AE959)</f>
        <v>802690.21538889268</v>
      </c>
      <c r="AG959" s="73">
        <f t="shared" si="266"/>
        <v>371039.68703821651</v>
      </c>
    </row>
    <row r="960" spans="1:33" x14ac:dyDescent="0.25">
      <c r="A960" s="100">
        <v>184499.92</v>
      </c>
      <c r="B960" s="97">
        <v>920.3202</v>
      </c>
      <c r="C960" s="97">
        <v>0.6</v>
      </c>
      <c r="D960" s="80">
        <f t="shared" si="267"/>
        <v>100</v>
      </c>
      <c r="E960" s="81">
        <f t="shared" si="259"/>
        <v>6791.2436711181272</v>
      </c>
      <c r="F960" s="81">
        <f>SUM(E$2:E960)</f>
        <v>6006293.5003390964</v>
      </c>
      <c r="G960" s="43">
        <f t="shared" si="257"/>
        <v>1</v>
      </c>
      <c r="H960" s="78">
        <v>1</v>
      </c>
      <c r="I960" s="15">
        <f t="shared" si="260"/>
        <v>0.6</v>
      </c>
      <c r="J960" s="16">
        <f>VLOOKUP(G960,Inputs!$L$3:$P$15,5,FALSE)</f>
        <v>2000</v>
      </c>
      <c r="K960" s="16">
        <f t="shared" si="261"/>
        <v>1825</v>
      </c>
      <c r="L960" s="79">
        <f>Inputs!$P$8-B960</f>
        <v>17.870800000000031</v>
      </c>
      <c r="M960" s="79">
        <f>Inputs!$Q$8+L960*0.433</f>
        <v>1832.7380564</v>
      </c>
      <c r="N960" s="82">
        <f t="shared" si="262"/>
        <v>184499.92</v>
      </c>
      <c r="O960" s="83">
        <f t="shared" si="263"/>
        <v>920.3202</v>
      </c>
      <c r="P960" s="84">
        <f>IF(O960="","",Inputs!$C$5-O960)</f>
        <v>-95.135700000000043</v>
      </c>
      <c r="Q960" s="83">
        <f>IF(N960="","",TS!J960)</f>
        <v>2000</v>
      </c>
      <c r="R960" s="83">
        <f>IF(N960="","",TS!K960)</f>
        <v>1825</v>
      </c>
      <c r="S960" s="83">
        <f>Inputs!$H$5+TS!P960*0.4333</f>
        <v>1833.74341764</v>
      </c>
      <c r="T960" s="83">
        <f>Inputs!$G$5+TS!P960*0.4333</f>
        <v>1848.74341764</v>
      </c>
      <c r="U960" s="85">
        <f t="shared" si="264"/>
        <v>0.92437170881999997</v>
      </c>
      <c r="V960" s="86">
        <f t="shared" si="268"/>
        <v>0</v>
      </c>
      <c r="W960" s="86">
        <f t="shared" si="269"/>
        <v>0</v>
      </c>
      <c r="X960" s="86" t="e">
        <f>((PI()*((42-2*'Gen Calcs'!$E$13)^2)/4)/144)*(A1003-#REF!)*(W960+14.7)/14.7</f>
        <v>#REF!</v>
      </c>
      <c r="Y960" s="86" t="e">
        <f t="shared" si="270"/>
        <v>#REF!</v>
      </c>
      <c r="Z960" s="86" t="e">
        <f t="shared" si="271"/>
        <v>#REF!</v>
      </c>
      <c r="AA960" s="83">
        <f>MAX(B$2:B960)-B960</f>
        <v>17.870800000000031</v>
      </c>
      <c r="AB960" s="83">
        <f t="shared" si="272"/>
        <v>7.7380564000000138</v>
      </c>
      <c r="AC960" s="83">
        <f t="shared" si="258"/>
        <v>120</v>
      </c>
      <c r="AD960" s="72">
        <v>120</v>
      </c>
      <c r="AE960" s="73">
        <f t="shared" si="265"/>
        <v>907.92027688745009</v>
      </c>
      <c r="AF960" s="73">
        <f>SUM(AE$2:AE960)</f>
        <v>803598.13566578017</v>
      </c>
      <c r="AG960" s="73">
        <f t="shared" si="266"/>
        <v>370131.76676132903</v>
      </c>
    </row>
    <row r="961" spans="1:33" x14ac:dyDescent="0.25">
      <c r="A961" s="99">
        <v>184599.92</v>
      </c>
      <c r="B961" s="96">
        <v>920.16240000000005</v>
      </c>
      <c r="C961" s="96">
        <v>0.6</v>
      </c>
      <c r="D961" s="80">
        <f t="shared" si="267"/>
        <v>100</v>
      </c>
      <c r="E961" s="81">
        <f t="shared" si="259"/>
        <v>6791.2436711181272</v>
      </c>
      <c r="F961" s="81">
        <f>SUM(E$2:E961)</f>
        <v>6013084.7440102147</v>
      </c>
      <c r="G961" s="43">
        <f t="shared" si="257"/>
        <v>1</v>
      </c>
      <c r="H961" s="78">
        <v>1</v>
      </c>
      <c r="I961" s="15">
        <f t="shared" si="260"/>
        <v>0.6</v>
      </c>
      <c r="J961" s="16">
        <f>VLOOKUP(G961,Inputs!$L$3:$P$15,5,FALSE)</f>
        <v>2000</v>
      </c>
      <c r="K961" s="16">
        <f t="shared" si="261"/>
        <v>1825</v>
      </c>
      <c r="L961" s="79">
        <f>Inputs!$P$8-B961</f>
        <v>18.028599999999983</v>
      </c>
      <c r="M961" s="79">
        <f>Inputs!$Q$8+L961*0.433</f>
        <v>1832.8063838</v>
      </c>
      <c r="N961" s="82">
        <f t="shared" si="262"/>
        <v>184599.92</v>
      </c>
      <c r="O961" s="83">
        <f t="shared" si="263"/>
        <v>920.16240000000005</v>
      </c>
      <c r="P961" s="84">
        <f>IF(O961="","",Inputs!$C$5-O961)</f>
        <v>-94.977900000000091</v>
      </c>
      <c r="Q961" s="83">
        <f>IF(N961="","",TS!J961)</f>
        <v>2000</v>
      </c>
      <c r="R961" s="83">
        <f>IF(N961="","",TS!K961)</f>
        <v>1825</v>
      </c>
      <c r="S961" s="83">
        <f>Inputs!$H$5+TS!P961*0.4333</f>
        <v>1833.8117923799998</v>
      </c>
      <c r="T961" s="83">
        <f>Inputs!$G$5+TS!P961*0.4333</f>
        <v>1848.8117923799998</v>
      </c>
      <c r="U961" s="85">
        <f t="shared" si="264"/>
        <v>0.92440589618999991</v>
      </c>
      <c r="V961" s="86">
        <f t="shared" si="268"/>
        <v>0</v>
      </c>
      <c r="W961" s="86">
        <f t="shared" si="269"/>
        <v>0</v>
      </c>
      <c r="X961" s="86" t="e">
        <f>((PI()*((42-2*'Gen Calcs'!$E$13)^2)/4)/144)*(A1004-#REF!)*(W961+14.7)/14.7</f>
        <v>#REF!</v>
      </c>
      <c r="Y961" s="86" t="e">
        <f t="shared" si="270"/>
        <v>#REF!</v>
      </c>
      <c r="Z961" s="86" t="e">
        <f t="shared" si="271"/>
        <v>#REF!</v>
      </c>
      <c r="AA961" s="83">
        <f>MAX(B$2:B961)-B961</f>
        <v>18.028599999999983</v>
      </c>
      <c r="AB961" s="83">
        <f t="shared" si="272"/>
        <v>7.8063837999999928</v>
      </c>
      <c r="AC961" s="83">
        <f t="shared" si="258"/>
        <v>120</v>
      </c>
      <c r="AD961" s="72">
        <v>120</v>
      </c>
      <c r="AE961" s="73">
        <f t="shared" si="265"/>
        <v>907.92027688745009</v>
      </c>
      <c r="AF961" s="73">
        <f>SUM(AE$2:AE961)</f>
        <v>804506.05594266765</v>
      </c>
      <c r="AG961" s="73">
        <f t="shared" si="266"/>
        <v>369223.84648444154</v>
      </c>
    </row>
    <row r="962" spans="1:33" x14ac:dyDescent="0.25">
      <c r="A962" s="100">
        <v>184699.92</v>
      </c>
      <c r="B962" s="97">
        <v>919.3528</v>
      </c>
      <c r="C962" s="97">
        <v>0.6</v>
      </c>
      <c r="D962" s="80">
        <f t="shared" si="267"/>
        <v>100</v>
      </c>
      <c r="E962" s="81">
        <f t="shared" si="259"/>
        <v>6791.2436711181272</v>
      </c>
      <c r="F962" s="81">
        <f>SUM(E$2:E962)</f>
        <v>6019875.987681333</v>
      </c>
      <c r="G962" s="43">
        <f t="shared" si="257"/>
        <v>1</v>
      </c>
      <c r="H962" s="78">
        <v>1</v>
      </c>
      <c r="I962" s="15">
        <f t="shared" si="260"/>
        <v>0.6</v>
      </c>
      <c r="J962" s="16">
        <f>VLOOKUP(G962,Inputs!$L$3:$P$15,5,FALSE)</f>
        <v>2000</v>
      </c>
      <c r="K962" s="16">
        <f t="shared" si="261"/>
        <v>1825</v>
      </c>
      <c r="L962" s="79">
        <f>Inputs!$P$8-B962</f>
        <v>18.838200000000029</v>
      </c>
      <c r="M962" s="79">
        <f>Inputs!$Q$8+L962*0.433</f>
        <v>1833.1569406000001</v>
      </c>
      <c r="N962" s="82">
        <f t="shared" si="262"/>
        <v>184699.92</v>
      </c>
      <c r="O962" s="83">
        <f t="shared" si="263"/>
        <v>919.3528</v>
      </c>
      <c r="P962" s="84">
        <f>IF(O962="","",Inputs!$C$5-O962)</f>
        <v>-94.168300000000045</v>
      </c>
      <c r="Q962" s="83">
        <f>IF(N962="","",TS!J962)</f>
        <v>2000</v>
      </c>
      <c r="R962" s="83">
        <f>IF(N962="","",TS!K962)</f>
        <v>1825</v>
      </c>
      <c r="S962" s="83">
        <f>Inputs!$H$5+TS!P962*0.4333</f>
        <v>1834.16259206</v>
      </c>
      <c r="T962" s="83">
        <f>Inputs!$G$5+TS!P962*0.4333</f>
        <v>1849.16259206</v>
      </c>
      <c r="U962" s="85">
        <f t="shared" si="264"/>
        <v>0.92458129602999994</v>
      </c>
      <c r="V962" s="86">
        <f t="shared" si="268"/>
        <v>0</v>
      </c>
      <c r="W962" s="86">
        <f t="shared" si="269"/>
        <v>0</v>
      </c>
      <c r="X962" s="86" t="e">
        <f>((PI()*((42-2*'Gen Calcs'!$E$13)^2)/4)/144)*(A1005-#REF!)*(W962+14.7)/14.7</f>
        <v>#REF!</v>
      </c>
      <c r="Y962" s="86" t="e">
        <f t="shared" si="270"/>
        <v>#REF!</v>
      </c>
      <c r="Z962" s="86" t="e">
        <f t="shared" si="271"/>
        <v>#REF!</v>
      </c>
      <c r="AA962" s="83">
        <f>MAX(B$2:B962)-B962</f>
        <v>18.838200000000029</v>
      </c>
      <c r="AB962" s="83">
        <f t="shared" si="272"/>
        <v>8.1569406000000129</v>
      </c>
      <c r="AC962" s="83">
        <f t="shared" si="258"/>
        <v>120</v>
      </c>
      <c r="AD962" s="72">
        <v>120</v>
      </c>
      <c r="AE962" s="73">
        <f t="shared" si="265"/>
        <v>907.92027688745009</v>
      </c>
      <c r="AF962" s="73">
        <f>SUM(AE$2:AE962)</f>
        <v>805413.97621955513</v>
      </c>
      <c r="AG962" s="73">
        <f t="shared" si="266"/>
        <v>368315.92620755406</v>
      </c>
    </row>
    <row r="963" spans="1:33" x14ac:dyDescent="0.25">
      <c r="A963" s="99">
        <v>184799.92</v>
      </c>
      <c r="B963" s="96">
        <v>918.10889999999995</v>
      </c>
      <c r="C963" s="96">
        <v>0.6</v>
      </c>
      <c r="D963" s="80">
        <f t="shared" si="267"/>
        <v>100</v>
      </c>
      <c r="E963" s="81">
        <f t="shared" si="259"/>
        <v>6616.6076625842816</v>
      </c>
      <c r="F963" s="81">
        <f>SUM(E$2:E963)</f>
        <v>6026492.5953439176</v>
      </c>
      <c r="G963" s="43">
        <f t="shared" ref="G963:G1026" si="273">IF(C963=0.72,12,IF(C963=1,11,IF(C963=0.825,10,IF(C963=0.6,1,IF(C963=0.864,2,IF(C963=0.888,3))))))</f>
        <v>1</v>
      </c>
      <c r="H963" s="78">
        <v>1</v>
      </c>
      <c r="I963" s="15">
        <f t="shared" si="260"/>
        <v>0.6</v>
      </c>
      <c r="J963" s="16">
        <f>VLOOKUP(G963,Inputs!$L$3:$P$15,5,FALSE)</f>
        <v>2000</v>
      </c>
      <c r="K963" s="16">
        <f t="shared" si="261"/>
        <v>1825</v>
      </c>
      <c r="L963" s="79">
        <f>Inputs!$P$8-B963</f>
        <v>20.082100000000082</v>
      </c>
      <c r="M963" s="79">
        <f>Inputs!$Q$8+L963*0.433</f>
        <v>1833.6955493</v>
      </c>
      <c r="N963" s="82">
        <f t="shared" si="262"/>
        <v>184799.92</v>
      </c>
      <c r="O963" s="83">
        <f t="shared" si="263"/>
        <v>918.10889999999995</v>
      </c>
      <c r="P963" s="84">
        <f>IF(O963="","",Inputs!$C$5-O963)</f>
        <v>-92.924399999999991</v>
      </c>
      <c r="Q963" s="83">
        <f>IF(N963="","",TS!J963)</f>
        <v>2000</v>
      </c>
      <c r="R963" s="83">
        <f>IF(N963="","",TS!K963)</f>
        <v>1825</v>
      </c>
      <c r="S963" s="83">
        <f>Inputs!$H$5+TS!P963*0.4333</f>
        <v>1834.70157393</v>
      </c>
      <c r="T963" s="83">
        <f>Inputs!$G$5+TS!P963*0.4333</f>
        <v>1849.70157393</v>
      </c>
      <c r="U963" s="85">
        <f t="shared" si="264"/>
        <v>0.924850786965</v>
      </c>
      <c r="V963" s="86">
        <f t="shared" si="268"/>
        <v>0</v>
      </c>
      <c r="W963" s="86">
        <f t="shared" si="269"/>
        <v>0</v>
      </c>
      <c r="X963" s="86" t="e">
        <f>((PI()*((42-2*'Gen Calcs'!$E$13)^2)/4)/144)*(A1006-#REF!)*(W963+14.7)/14.7</f>
        <v>#REF!</v>
      </c>
      <c r="Y963" s="86" t="e">
        <f t="shared" si="270"/>
        <v>#REF!</v>
      </c>
      <c r="Z963" s="86" t="e">
        <f t="shared" si="271"/>
        <v>#REF!</v>
      </c>
      <c r="AA963" s="83">
        <f>MAX(B$2:B963)-B963</f>
        <v>20.082100000000082</v>
      </c>
      <c r="AB963" s="83">
        <f t="shared" si="272"/>
        <v>8.6955493000000352</v>
      </c>
      <c r="AC963" s="83">
        <f t="shared" ref="AC963:AC1026" si="274">((MAX(O$2:O$1348)-O963)-(MAX(O$2:O$1348)-O963))*0.433+AD963</f>
        <v>120</v>
      </c>
      <c r="AD963" s="72">
        <v>120</v>
      </c>
      <c r="AE963" s="73">
        <f t="shared" si="265"/>
        <v>907.92027688745009</v>
      </c>
      <c r="AF963" s="73">
        <f>SUM(AE$2:AE963)</f>
        <v>806321.89649644261</v>
      </c>
      <c r="AG963" s="73">
        <f t="shared" si="266"/>
        <v>367408.00593066658</v>
      </c>
    </row>
    <row r="964" spans="1:33" x14ac:dyDescent="0.25">
      <c r="A964" s="100">
        <v>184899.92</v>
      </c>
      <c r="B964" s="97">
        <v>916.17539999999997</v>
      </c>
      <c r="C964" s="97">
        <v>0.6</v>
      </c>
      <c r="D964" s="80">
        <f t="shared" si="267"/>
        <v>100</v>
      </c>
      <c r="E964" s="81">
        <f t="shared" si="259"/>
        <v>6791.2436711181272</v>
      </c>
      <c r="F964" s="81">
        <f>SUM(E$2:E964)</f>
        <v>6033283.8390150359</v>
      </c>
      <c r="G964" s="43">
        <f t="shared" si="273"/>
        <v>1</v>
      </c>
      <c r="H964" s="78">
        <v>1</v>
      </c>
      <c r="I964" s="15">
        <f t="shared" si="260"/>
        <v>0.6</v>
      </c>
      <c r="J964" s="16">
        <f>VLOOKUP(G964,Inputs!$L$3:$P$15,5,FALSE)</f>
        <v>2000</v>
      </c>
      <c r="K964" s="16">
        <f t="shared" si="261"/>
        <v>1825</v>
      </c>
      <c r="L964" s="79">
        <f>Inputs!$P$8-B964</f>
        <v>22.015600000000063</v>
      </c>
      <c r="M964" s="79">
        <f>Inputs!$Q$8+L964*0.433</f>
        <v>1834.5327548</v>
      </c>
      <c r="N964" s="82">
        <f t="shared" si="262"/>
        <v>184899.92</v>
      </c>
      <c r="O964" s="83">
        <f t="shared" si="263"/>
        <v>916.17539999999997</v>
      </c>
      <c r="P964" s="84">
        <f>IF(O964="","",Inputs!$C$5-O964)</f>
        <v>-90.990900000000011</v>
      </c>
      <c r="Q964" s="83">
        <f>IF(N964="","",TS!J964)</f>
        <v>2000</v>
      </c>
      <c r="R964" s="83">
        <f>IF(N964="","",TS!K964)</f>
        <v>1825</v>
      </c>
      <c r="S964" s="83">
        <f>Inputs!$H$5+TS!P964*0.4333</f>
        <v>1835.53935948</v>
      </c>
      <c r="T964" s="83">
        <f>Inputs!$G$5+TS!P964*0.4333</f>
        <v>1850.53935948</v>
      </c>
      <c r="U964" s="85">
        <f t="shared" si="264"/>
        <v>0.92526967973999996</v>
      </c>
      <c r="V964" s="86">
        <f t="shared" si="268"/>
        <v>0</v>
      </c>
      <c r="W964" s="86">
        <f t="shared" si="269"/>
        <v>0</v>
      </c>
      <c r="X964" s="86" t="e">
        <f>((PI()*((42-2*'Gen Calcs'!$E$13)^2)/4)/144)*(A1007-#REF!)*(W964+14.7)/14.7</f>
        <v>#REF!</v>
      </c>
      <c r="Y964" s="86" t="e">
        <f t="shared" si="270"/>
        <v>#REF!</v>
      </c>
      <c r="Z964" s="86" t="e">
        <f t="shared" si="271"/>
        <v>#REF!</v>
      </c>
      <c r="AA964" s="83">
        <f>MAX(B$2:B964)-B964</f>
        <v>22.015600000000063</v>
      </c>
      <c r="AB964" s="83">
        <f t="shared" si="272"/>
        <v>9.5327548000000277</v>
      </c>
      <c r="AC964" s="83">
        <f t="shared" si="274"/>
        <v>120</v>
      </c>
      <c r="AD964" s="72">
        <v>120</v>
      </c>
      <c r="AE964" s="73">
        <f t="shared" si="265"/>
        <v>907.92027688745009</v>
      </c>
      <c r="AF964" s="73">
        <f>SUM(AE$2:AE964)</f>
        <v>807229.81677333009</v>
      </c>
      <c r="AG964" s="73">
        <f t="shared" si="266"/>
        <v>366500.0856537791</v>
      </c>
    </row>
    <row r="965" spans="1:33" x14ac:dyDescent="0.25">
      <c r="A965" s="99">
        <v>184999.92</v>
      </c>
      <c r="B965" s="96">
        <v>914.31590000000006</v>
      </c>
      <c r="C965" s="96">
        <v>0.6</v>
      </c>
      <c r="D965" s="80">
        <f t="shared" si="267"/>
        <v>100</v>
      </c>
      <c r="E965" s="81">
        <f t="shared" ref="E965:E1028" si="275">(PI()/4*(42/12-(2*C1007/12))^2)*(D965)*7.48</f>
        <v>6616.6076625842816</v>
      </c>
      <c r="F965" s="81">
        <f>SUM(E$2:E965)</f>
        <v>6039900.4466776205</v>
      </c>
      <c r="G965" s="43">
        <f t="shared" si="273"/>
        <v>1</v>
      </c>
      <c r="H965" s="78">
        <v>1</v>
      </c>
      <c r="I965" s="15">
        <f t="shared" ref="I965:I1028" si="276">C965</f>
        <v>0.6</v>
      </c>
      <c r="J965" s="16">
        <f>VLOOKUP(G965,Inputs!$L$3:$P$15,5,FALSE)</f>
        <v>2000</v>
      </c>
      <c r="K965" s="16">
        <f t="shared" ref="K965:K1028" si="277">IF(H965=1,1825,IF(H965=2,1825,2220))</f>
        <v>1825</v>
      </c>
      <c r="L965" s="79">
        <f>Inputs!$P$8-B965</f>
        <v>23.875099999999975</v>
      </c>
      <c r="M965" s="79">
        <f>Inputs!$Q$8+L965*0.433</f>
        <v>1835.3379183</v>
      </c>
      <c r="N965" s="82">
        <f t="shared" ref="N965:N1028" si="278">A965</f>
        <v>184999.92</v>
      </c>
      <c r="O965" s="83">
        <f t="shared" ref="O965:O1028" si="279">B965</f>
        <v>914.31590000000006</v>
      </c>
      <c r="P965" s="84">
        <f>IF(O965="","",Inputs!$C$5-O965)</f>
        <v>-89.131400000000099</v>
      </c>
      <c r="Q965" s="83">
        <f>IF(N965="","",TS!J965)</f>
        <v>2000</v>
      </c>
      <c r="R965" s="83">
        <f>IF(N965="","",TS!K965)</f>
        <v>1825</v>
      </c>
      <c r="S965" s="83">
        <f>Inputs!$H$5+TS!P965*0.4333</f>
        <v>1836.3450808299999</v>
      </c>
      <c r="T965" s="83">
        <f>Inputs!$G$5+TS!P965*0.4333</f>
        <v>1851.3450808299999</v>
      </c>
      <c r="U965" s="85">
        <f t="shared" ref="U965:U1028" si="280">T965/(140000*C965/42)</f>
        <v>0.92567254041499991</v>
      </c>
      <c r="V965" s="86">
        <f t="shared" si="268"/>
        <v>0</v>
      </c>
      <c r="W965" s="86">
        <f t="shared" si="269"/>
        <v>0</v>
      </c>
      <c r="X965" s="86" t="e">
        <f>((PI()*((42-2*'Gen Calcs'!$E$13)^2)/4)/144)*(A1008-#REF!)*(W965+14.7)/14.7</f>
        <v>#REF!</v>
      </c>
      <c r="Y965" s="86" t="e">
        <f t="shared" si="270"/>
        <v>#REF!</v>
      </c>
      <c r="Z965" s="86" t="e">
        <f t="shared" si="271"/>
        <v>#REF!</v>
      </c>
      <c r="AA965" s="83">
        <f>MAX(B$2:B965)-B965</f>
        <v>23.875099999999975</v>
      </c>
      <c r="AB965" s="83">
        <f t="shared" si="272"/>
        <v>10.337918299999989</v>
      </c>
      <c r="AC965" s="83">
        <f t="shared" si="274"/>
        <v>120</v>
      </c>
      <c r="AD965" s="72">
        <v>120</v>
      </c>
      <c r="AE965" s="73">
        <f t="shared" ref="AE965:AE1028" si="281">PI()*(((42-2*C965)/12)^2/4)*D965</f>
        <v>907.92027688745009</v>
      </c>
      <c r="AF965" s="73">
        <f>SUM(AE$2:AE965)</f>
        <v>808137.73705021758</v>
      </c>
      <c r="AG965" s="73">
        <f t="shared" ref="AG965:AG1028" si="282">AF$1391-AF965</f>
        <v>365592.16537689161</v>
      </c>
    </row>
    <row r="966" spans="1:33" x14ac:dyDescent="0.25">
      <c r="A966" s="100">
        <v>185099.92</v>
      </c>
      <c r="B966" s="97">
        <v>912.39589999999998</v>
      </c>
      <c r="C966" s="97">
        <v>0.6</v>
      </c>
      <c r="D966" s="80">
        <f t="shared" si="267"/>
        <v>100</v>
      </c>
      <c r="E966" s="81">
        <f t="shared" si="275"/>
        <v>6791.2436711181272</v>
      </c>
      <c r="F966" s="81">
        <f>SUM(E$2:E966)</f>
        <v>6046691.6903487388</v>
      </c>
      <c r="G966" s="43">
        <f t="shared" si="273"/>
        <v>1</v>
      </c>
      <c r="H966" s="78">
        <v>1</v>
      </c>
      <c r="I966" s="15">
        <f t="shared" si="276"/>
        <v>0.6</v>
      </c>
      <c r="J966" s="16">
        <f>VLOOKUP(G966,Inputs!$L$3:$P$15,5,FALSE)</f>
        <v>2000</v>
      </c>
      <c r="K966" s="16">
        <f t="shared" si="277"/>
        <v>1825</v>
      </c>
      <c r="L966" s="79">
        <f>Inputs!$P$8-B966</f>
        <v>25.795100000000048</v>
      </c>
      <c r="M966" s="79">
        <f>Inputs!$Q$8+L966*0.433</f>
        <v>1836.1692783000001</v>
      </c>
      <c r="N966" s="82">
        <f t="shared" si="278"/>
        <v>185099.92</v>
      </c>
      <c r="O966" s="83">
        <f t="shared" si="279"/>
        <v>912.39589999999998</v>
      </c>
      <c r="P966" s="84">
        <f>IF(O966="","",Inputs!$C$5-O966)</f>
        <v>-87.211400000000026</v>
      </c>
      <c r="Q966" s="83">
        <f>IF(N966="","",TS!J966)</f>
        <v>2000</v>
      </c>
      <c r="R966" s="83">
        <f>IF(N966="","",TS!K966)</f>
        <v>1825</v>
      </c>
      <c r="S966" s="83">
        <f>Inputs!$H$5+TS!P966*0.4333</f>
        <v>1837.17701683</v>
      </c>
      <c r="T966" s="83">
        <f>Inputs!$G$5+TS!P966*0.4333</f>
        <v>1852.17701683</v>
      </c>
      <c r="U966" s="85">
        <f t="shared" si="280"/>
        <v>0.92608850841500001</v>
      </c>
      <c r="V966" s="86">
        <f t="shared" si="268"/>
        <v>0</v>
      </c>
      <c r="W966" s="86">
        <f t="shared" si="269"/>
        <v>0</v>
      </c>
      <c r="X966" s="86" t="e">
        <f>((PI()*((42-2*'Gen Calcs'!$E$13)^2)/4)/144)*(A1009-#REF!)*(W966+14.7)/14.7</f>
        <v>#REF!</v>
      </c>
      <c r="Y966" s="86" t="e">
        <f t="shared" si="270"/>
        <v>#REF!</v>
      </c>
      <c r="Z966" s="86" t="e">
        <f t="shared" si="271"/>
        <v>#REF!</v>
      </c>
      <c r="AA966" s="83">
        <f>MAX(B$2:B966)-B966</f>
        <v>25.795100000000048</v>
      </c>
      <c r="AB966" s="83">
        <f t="shared" si="272"/>
        <v>11.16927830000002</v>
      </c>
      <c r="AC966" s="83">
        <f t="shared" si="274"/>
        <v>120</v>
      </c>
      <c r="AD966" s="72">
        <v>120</v>
      </c>
      <c r="AE966" s="73">
        <f t="shared" si="281"/>
        <v>907.92027688745009</v>
      </c>
      <c r="AF966" s="73">
        <f>SUM(AE$2:AE966)</f>
        <v>809045.65732710506</v>
      </c>
      <c r="AG966" s="73">
        <f t="shared" si="282"/>
        <v>364684.24510000413</v>
      </c>
    </row>
    <row r="967" spans="1:33" x14ac:dyDescent="0.25">
      <c r="A967" s="99">
        <v>185199.92</v>
      </c>
      <c r="B967" s="96">
        <v>910.71220000000005</v>
      </c>
      <c r="C967" s="96">
        <v>0.6</v>
      </c>
      <c r="D967" s="80">
        <f t="shared" si="267"/>
        <v>100</v>
      </c>
      <c r="E967" s="81">
        <f t="shared" si="275"/>
        <v>6791.2436711181272</v>
      </c>
      <c r="F967" s="81">
        <f>SUM(E$2:E967)</f>
        <v>6053482.9340198571</v>
      </c>
      <c r="G967" s="43">
        <f t="shared" si="273"/>
        <v>1</v>
      </c>
      <c r="H967" s="78">
        <v>1</v>
      </c>
      <c r="I967" s="15">
        <f t="shared" si="276"/>
        <v>0.6</v>
      </c>
      <c r="J967" s="16">
        <f>VLOOKUP(G967,Inputs!$L$3:$P$15,5,FALSE)</f>
        <v>2000</v>
      </c>
      <c r="K967" s="16">
        <f t="shared" si="277"/>
        <v>1825</v>
      </c>
      <c r="L967" s="79">
        <f>Inputs!$P$8-B967</f>
        <v>27.478799999999978</v>
      </c>
      <c r="M967" s="79">
        <f>Inputs!$Q$8+L967*0.433</f>
        <v>1836.8983204000001</v>
      </c>
      <c r="N967" s="82">
        <f t="shared" si="278"/>
        <v>185199.92</v>
      </c>
      <c r="O967" s="83">
        <f t="shared" si="279"/>
        <v>910.71220000000005</v>
      </c>
      <c r="P967" s="84">
        <f>IF(O967="","",Inputs!$C$5-O967)</f>
        <v>-85.527700000000095</v>
      </c>
      <c r="Q967" s="83">
        <f>IF(N967="","",TS!J967)</f>
        <v>2000</v>
      </c>
      <c r="R967" s="83">
        <f>IF(N967="","",TS!K967)</f>
        <v>1825</v>
      </c>
      <c r="S967" s="83">
        <f>Inputs!$H$5+TS!P967*0.4333</f>
        <v>1837.9065640399999</v>
      </c>
      <c r="T967" s="83">
        <f>Inputs!$G$5+TS!P967*0.4333</f>
        <v>1852.9065640399999</v>
      </c>
      <c r="U967" s="85">
        <f t="shared" si="280"/>
        <v>0.92645328201999999</v>
      </c>
      <c r="V967" s="86">
        <f t="shared" si="268"/>
        <v>0</v>
      </c>
      <c r="W967" s="86">
        <f t="shared" si="269"/>
        <v>0</v>
      </c>
      <c r="X967" s="86" t="e">
        <f>((PI()*((42-2*'Gen Calcs'!$E$13)^2)/4)/144)*(A1010-#REF!)*(W967+14.7)/14.7</f>
        <v>#REF!</v>
      </c>
      <c r="Y967" s="86" t="e">
        <f t="shared" si="270"/>
        <v>#REF!</v>
      </c>
      <c r="Z967" s="86" t="e">
        <f t="shared" si="271"/>
        <v>#REF!</v>
      </c>
      <c r="AA967" s="83">
        <f>MAX(B$2:B967)-B967</f>
        <v>27.478799999999978</v>
      </c>
      <c r="AB967" s="83">
        <f t="shared" si="272"/>
        <v>11.89832039999999</v>
      </c>
      <c r="AC967" s="83">
        <f t="shared" si="274"/>
        <v>120</v>
      </c>
      <c r="AD967" s="72">
        <v>120</v>
      </c>
      <c r="AE967" s="73">
        <f t="shared" si="281"/>
        <v>907.92027688745009</v>
      </c>
      <c r="AF967" s="73">
        <f>SUM(AE$2:AE967)</f>
        <v>809953.57760399254</v>
      </c>
      <c r="AG967" s="73">
        <f t="shared" si="282"/>
        <v>363776.32482311665</v>
      </c>
    </row>
    <row r="968" spans="1:33" x14ac:dyDescent="0.25">
      <c r="A968" s="100">
        <v>185299.92</v>
      </c>
      <c r="B968" s="97">
        <v>907.23320000000001</v>
      </c>
      <c r="C968" s="97">
        <v>0.6</v>
      </c>
      <c r="D968" s="80">
        <f t="shared" si="267"/>
        <v>100</v>
      </c>
      <c r="E968" s="81">
        <f t="shared" si="275"/>
        <v>6791.2436711181272</v>
      </c>
      <c r="F968" s="81">
        <f>SUM(E$2:E968)</f>
        <v>6060274.1776909754</v>
      </c>
      <c r="G968" s="43">
        <f t="shared" si="273"/>
        <v>1</v>
      </c>
      <c r="H968" s="78">
        <v>1</v>
      </c>
      <c r="I968" s="15">
        <f t="shared" si="276"/>
        <v>0.6</v>
      </c>
      <c r="J968" s="16">
        <f>VLOOKUP(G968,Inputs!$L$3:$P$15,5,FALSE)</f>
        <v>2000</v>
      </c>
      <c r="K968" s="16">
        <f t="shared" si="277"/>
        <v>1825</v>
      </c>
      <c r="L968" s="79">
        <f>Inputs!$P$8-B968</f>
        <v>30.95780000000002</v>
      </c>
      <c r="M968" s="79">
        <f>Inputs!$Q$8+L968*0.433</f>
        <v>1838.4047274</v>
      </c>
      <c r="N968" s="82">
        <f t="shared" si="278"/>
        <v>185299.92</v>
      </c>
      <c r="O968" s="83">
        <f t="shared" si="279"/>
        <v>907.23320000000001</v>
      </c>
      <c r="P968" s="84">
        <f>IF(O968="","",Inputs!$C$5-O968)</f>
        <v>-82.048700000000053</v>
      </c>
      <c r="Q968" s="83">
        <f>IF(N968="","",TS!J968)</f>
        <v>2000</v>
      </c>
      <c r="R968" s="83">
        <f>IF(N968="","",TS!K968)</f>
        <v>1825</v>
      </c>
      <c r="S968" s="83">
        <f>Inputs!$H$5+TS!P968*0.4333</f>
        <v>1839.4140147399999</v>
      </c>
      <c r="T968" s="83">
        <f>Inputs!$G$5+TS!P968*0.4333</f>
        <v>1854.4140147399999</v>
      </c>
      <c r="U968" s="85">
        <f t="shared" si="280"/>
        <v>0.92720700736999995</v>
      </c>
      <c r="V968" s="86">
        <f t="shared" si="268"/>
        <v>0</v>
      </c>
      <c r="W968" s="86">
        <f t="shared" si="269"/>
        <v>0</v>
      </c>
      <c r="X968" s="86" t="e">
        <f>((PI()*((42-2*'Gen Calcs'!$E$13)^2)/4)/144)*(A1011-#REF!)*(W968+14.7)/14.7</f>
        <v>#REF!</v>
      </c>
      <c r="Y968" s="86" t="e">
        <f t="shared" si="270"/>
        <v>#REF!</v>
      </c>
      <c r="Z968" s="86" t="e">
        <f t="shared" si="271"/>
        <v>#REF!</v>
      </c>
      <c r="AA968" s="83">
        <f>MAX(B$2:B968)-B968</f>
        <v>30.95780000000002</v>
      </c>
      <c r="AB968" s="83">
        <f t="shared" si="272"/>
        <v>13.404727400000009</v>
      </c>
      <c r="AC968" s="83">
        <f t="shared" si="274"/>
        <v>120</v>
      </c>
      <c r="AD968" s="72">
        <v>120</v>
      </c>
      <c r="AE968" s="73">
        <f t="shared" si="281"/>
        <v>907.92027688745009</v>
      </c>
      <c r="AF968" s="73">
        <f>SUM(AE$2:AE968)</f>
        <v>810861.49788088002</v>
      </c>
      <c r="AG968" s="73">
        <f t="shared" si="282"/>
        <v>362868.40454622917</v>
      </c>
    </row>
    <row r="969" spans="1:33" x14ac:dyDescent="0.25">
      <c r="A969" s="99">
        <v>185399.92</v>
      </c>
      <c r="B969" s="96">
        <v>904.83519999999999</v>
      </c>
      <c r="C969" s="96">
        <v>0.6</v>
      </c>
      <c r="D969" s="80">
        <f t="shared" si="267"/>
        <v>100</v>
      </c>
      <c r="E969" s="81">
        <f t="shared" si="275"/>
        <v>6791.2436711181272</v>
      </c>
      <c r="F969" s="81">
        <f>SUM(E$2:E969)</f>
        <v>6067065.4213620936</v>
      </c>
      <c r="G969" s="43">
        <f t="shared" si="273"/>
        <v>1</v>
      </c>
      <c r="H969" s="78">
        <v>1</v>
      </c>
      <c r="I969" s="15">
        <f t="shared" si="276"/>
        <v>0.6</v>
      </c>
      <c r="J969" s="16">
        <f>VLOOKUP(G969,Inputs!$L$3:$P$15,5,FALSE)</f>
        <v>2000</v>
      </c>
      <c r="K969" s="16">
        <f t="shared" si="277"/>
        <v>1825</v>
      </c>
      <c r="L969" s="79">
        <f>Inputs!$P$8-B969</f>
        <v>33.355800000000045</v>
      </c>
      <c r="M969" s="79">
        <f>Inputs!$Q$8+L969*0.433</f>
        <v>1839.4430614</v>
      </c>
      <c r="N969" s="82">
        <f t="shared" si="278"/>
        <v>185399.92</v>
      </c>
      <c r="O969" s="83">
        <f t="shared" si="279"/>
        <v>904.83519999999999</v>
      </c>
      <c r="P969" s="84">
        <f>IF(O969="","",Inputs!$C$5-O969)</f>
        <v>-79.650700000000029</v>
      </c>
      <c r="Q969" s="83">
        <f>IF(N969="","",TS!J969)</f>
        <v>2000</v>
      </c>
      <c r="R969" s="83">
        <f>IF(N969="","",TS!K969)</f>
        <v>1825</v>
      </c>
      <c r="S969" s="83">
        <f>Inputs!$H$5+TS!P969*0.4333</f>
        <v>1840.4530681399999</v>
      </c>
      <c r="T969" s="83">
        <f>Inputs!$G$5+TS!P969*0.4333</f>
        <v>1855.4530681399999</v>
      </c>
      <c r="U969" s="85">
        <f t="shared" si="280"/>
        <v>0.92772653406999994</v>
      </c>
      <c r="V969" s="86">
        <f t="shared" si="268"/>
        <v>0</v>
      </c>
      <c r="W969" s="86">
        <f t="shared" si="269"/>
        <v>0</v>
      </c>
      <c r="X969" s="86" t="e">
        <f>((PI()*((42-2*'Gen Calcs'!$E$13)^2)/4)/144)*(A1012-#REF!)*(W969+14.7)/14.7</f>
        <v>#REF!</v>
      </c>
      <c r="Y969" s="86" t="e">
        <f t="shared" si="270"/>
        <v>#REF!</v>
      </c>
      <c r="Z969" s="86" t="e">
        <f t="shared" si="271"/>
        <v>#REF!</v>
      </c>
      <c r="AA969" s="83">
        <f>MAX(B$2:B969)-B969</f>
        <v>33.355800000000045</v>
      </c>
      <c r="AB969" s="83">
        <f t="shared" si="272"/>
        <v>14.443061400000019</v>
      </c>
      <c r="AC969" s="83">
        <f t="shared" si="274"/>
        <v>120</v>
      </c>
      <c r="AD969" s="72">
        <v>120</v>
      </c>
      <c r="AE969" s="73">
        <f t="shared" si="281"/>
        <v>907.92027688745009</v>
      </c>
      <c r="AF969" s="73">
        <f>SUM(AE$2:AE969)</f>
        <v>811769.4181577675</v>
      </c>
      <c r="AG969" s="73">
        <f t="shared" si="282"/>
        <v>361960.48426934169</v>
      </c>
    </row>
    <row r="970" spans="1:33" x14ac:dyDescent="0.25">
      <c r="A970" s="100">
        <v>185499.92</v>
      </c>
      <c r="B970" s="97">
        <v>902.14729999999997</v>
      </c>
      <c r="C970" s="97">
        <v>0.6</v>
      </c>
      <c r="D970" s="80">
        <f t="shared" si="267"/>
        <v>100</v>
      </c>
      <c r="E970" s="81">
        <f t="shared" si="275"/>
        <v>6791.2436711181272</v>
      </c>
      <c r="F970" s="81">
        <f>SUM(E$2:E970)</f>
        <v>6073856.6650332119</v>
      </c>
      <c r="G970" s="43">
        <f t="shared" si="273"/>
        <v>1</v>
      </c>
      <c r="H970" s="78">
        <v>1</v>
      </c>
      <c r="I970" s="15">
        <f t="shared" si="276"/>
        <v>0.6</v>
      </c>
      <c r="J970" s="16">
        <f>VLOOKUP(G970,Inputs!$L$3:$P$15,5,FALSE)</f>
        <v>2000</v>
      </c>
      <c r="K970" s="16">
        <f t="shared" si="277"/>
        <v>1825</v>
      </c>
      <c r="L970" s="79">
        <f>Inputs!$P$8-B970</f>
        <v>36.043700000000058</v>
      </c>
      <c r="M970" s="79">
        <f>Inputs!$Q$8+L970*0.433</f>
        <v>1840.6069221</v>
      </c>
      <c r="N970" s="82">
        <f t="shared" si="278"/>
        <v>185499.92</v>
      </c>
      <c r="O970" s="83">
        <f t="shared" si="279"/>
        <v>902.14729999999997</v>
      </c>
      <c r="P970" s="84">
        <f>IF(O970="","",Inputs!$C$5-O970)</f>
        <v>-76.962800000000016</v>
      </c>
      <c r="Q970" s="83">
        <f>IF(N970="","",TS!J970)</f>
        <v>2000</v>
      </c>
      <c r="R970" s="83">
        <f>IF(N970="","",TS!K970)</f>
        <v>1825</v>
      </c>
      <c r="S970" s="83">
        <f>Inputs!$H$5+TS!P970*0.4333</f>
        <v>1841.6177352099999</v>
      </c>
      <c r="T970" s="83">
        <f>Inputs!$G$5+TS!P970*0.4333</f>
        <v>1856.6177352099999</v>
      </c>
      <c r="U970" s="85">
        <f t="shared" si="280"/>
        <v>0.92830886760499998</v>
      </c>
      <c r="V970" s="86">
        <f t="shared" si="268"/>
        <v>0</v>
      </c>
      <c r="W970" s="86">
        <f t="shared" si="269"/>
        <v>0</v>
      </c>
      <c r="X970" s="86" t="e">
        <f>((PI()*((42-2*'Gen Calcs'!$E$13)^2)/4)/144)*(A1013-#REF!)*(W970+14.7)/14.7</f>
        <v>#REF!</v>
      </c>
      <c r="Y970" s="86" t="e">
        <f t="shared" si="270"/>
        <v>#REF!</v>
      </c>
      <c r="Z970" s="86" t="e">
        <f t="shared" si="271"/>
        <v>#REF!</v>
      </c>
      <c r="AA970" s="83">
        <f>MAX(B$2:B970)-B970</f>
        <v>36.043700000000058</v>
      </c>
      <c r="AB970" s="83">
        <f t="shared" si="272"/>
        <v>15.606922100000025</v>
      </c>
      <c r="AC970" s="83">
        <f t="shared" si="274"/>
        <v>120</v>
      </c>
      <c r="AD970" s="72">
        <v>120</v>
      </c>
      <c r="AE970" s="73">
        <f t="shared" si="281"/>
        <v>907.92027688745009</v>
      </c>
      <c r="AF970" s="73">
        <f>SUM(AE$2:AE970)</f>
        <v>812677.33843465499</v>
      </c>
      <c r="AG970" s="73">
        <f t="shared" si="282"/>
        <v>361052.5639924542</v>
      </c>
    </row>
    <row r="971" spans="1:33" x14ac:dyDescent="0.25">
      <c r="A971" s="99">
        <v>185599.92</v>
      </c>
      <c r="B971" s="96">
        <v>899.45960000000002</v>
      </c>
      <c r="C971" s="96">
        <v>0.6</v>
      </c>
      <c r="D971" s="80">
        <f t="shared" si="267"/>
        <v>100</v>
      </c>
      <c r="E971" s="81">
        <f t="shared" si="275"/>
        <v>6791.2436711181272</v>
      </c>
      <c r="F971" s="81">
        <f>SUM(E$2:E971)</f>
        <v>6080647.9087043302</v>
      </c>
      <c r="G971" s="43">
        <f t="shared" si="273"/>
        <v>1</v>
      </c>
      <c r="H971" s="78">
        <v>1</v>
      </c>
      <c r="I971" s="15">
        <f t="shared" si="276"/>
        <v>0.6</v>
      </c>
      <c r="J971" s="16">
        <f>VLOOKUP(G971,Inputs!$L$3:$P$15,5,FALSE)</f>
        <v>2000</v>
      </c>
      <c r="K971" s="16">
        <f t="shared" si="277"/>
        <v>1825</v>
      </c>
      <c r="L971" s="79">
        <f>Inputs!$P$8-B971</f>
        <v>38.731400000000008</v>
      </c>
      <c r="M971" s="79">
        <f>Inputs!$Q$8+L971*0.433</f>
        <v>1841.7706962</v>
      </c>
      <c r="N971" s="82">
        <f t="shared" si="278"/>
        <v>185599.92</v>
      </c>
      <c r="O971" s="83">
        <f t="shared" si="279"/>
        <v>899.45960000000002</v>
      </c>
      <c r="P971" s="84">
        <f>IF(O971="","",Inputs!$C$5-O971)</f>
        <v>-74.275100000000066</v>
      </c>
      <c r="Q971" s="83">
        <f>IF(N971="","",TS!J971)</f>
        <v>2000</v>
      </c>
      <c r="R971" s="83">
        <f>IF(N971="","",TS!K971)</f>
        <v>1825</v>
      </c>
      <c r="S971" s="83">
        <f>Inputs!$H$5+TS!P971*0.4333</f>
        <v>1842.78231562</v>
      </c>
      <c r="T971" s="83">
        <f>Inputs!$G$5+TS!P971*0.4333</f>
        <v>1857.78231562</v>
      </c>
      <c r="U971" s="85">
        <f t="shared" si="280"/>
        <v>0.92889115780999998</v>
      </c>
      <c r="V971" s="86">
        <f t="shared" si="268"/>
        <v>0</v>
      </c>
      <c r="W971" s="86">
        <f t="shared" si="269"/>
        <v>0</v>
      </c>
      <c r="X971" s="86" t="e">
        <f>((PI()*((42-2*'Gen Calcs'!$E$13)^2)/4)/144)*(A1014-#REF!)*(W971+14.7)/14.7</f>
        <v>#REF!</v>
      </c>
      <c r="Y971" s="86" t="e">
        <f t="shared" si="270"/>
        <v>#REF!</v>
      </c>
      <c r="Z971" s="86" t="e">
        <f t="shared" si="271"/>
        <v>#REF!</v>
      </c>
      <c r="AA971" s="83">
        <f>MAX(B$2:B971)-B971</f>
        <v>38.731400000000008</v>
      </c>
      <c r="AB971" s="83">
        <f t="shared" si="272"/>
        <v>16.770696200000003</v>
      </c>
      <c r="AC971" s="83">
        <f t="shared" si="274"/>
        <v>120</v>
      </c>
      <c r="AD971" s="72">
        <v>120</v>
      </c>
      <c r="AE971" s="73">
        <f t="shared" si="281"/>
        <v>907.92027688745009</v>
      </c>
      <c r="AF971" s="73">
        <f>SUM(AE$2:AE971)</f>
        <v>813585.25871154247</v>
      </c>
      <c r="AG971" s="73">
        <f t="shared" si="282"/>
        <v>360144.64371556672</v>
      </c>
    </row>
    <row r="972" spans="1:33" x14ac:dyDescent="0.25">
      <c r="A972" s="100">
        <v>185699.92</v>
      </c>
      <c r="B972" s="97">
        <v>894.65309999999999</v>
      </c>
      <c r="C972" s="97">
        <v>0.6</v>
      </c>
      <c r="D972" s="80">
        <f t="shared" si="267"/>
        <v>100</v>
      </c>
      <c r="E972" s="81">
        <f t="shared" si="275"/>
        <v>6791.2436711181272</v>
      </c>
      <c r="F972" s="81">
        <f>SUM(E$2:E972)</f>
        <v>6087439.1523754485</v>
      </c>
      <c r="G972" s="43">
        <f t="shared" si="273"/>
        <v>1</v>
      </c>
      <c r="H972" s="78">
        <v>1</v>
      </c>
      <c r="I972" s="15">
        <f t="shared" si="276"/>
        <v>0.6</v>
      </c>
      <c r="J972" s="16">
        <f>VLOOKUP(G972,Inputs!$L$3:$P$15,5,FALSE)</f>
        <v>2000</v>
      </c>
      <c r="K972" s="16">
        <f t="shared" si="277"/>
        <v>1825</v>
      </c>
      <c r="L972" s="79">
        <f>Inputs!$P$8-B972</f>
        <v>43.537900000000036</v>
      </c>
      <c r="M972" s="79">
        <f>Inputs!$Q$8+L972*0.433</f>
        <v>1843.8519107</v>
      </c>
      <c r="N972" s="82">
        <f t="shared" si="278"/>
        <v>185699.92</v>
      </c>
      <c r="O972" s="83">
        <f t="shared" si="279"/>
        <v>894.65309999999999</v>
      </c>
      <c r="P972" s="84">
        <f>IF(O972="","",Inputs!$C$5-O972)</f>
        <v>-69.468600000000038</v>
      </c>
      <c r="Q972" s="83">
        <f>IF(N972="","",TS!J972)</f>
        <v>2000</v>
      </c>
      <c r="R972" s="83">
        <f>IF(N972="","",TS!K972)</f>
        <v>1825</v>
      </c>
      <c r="S972" s="83">
        <f>Inputs!$H$5+TS!P972*0.4333</f>
        <v>1844.86497207</v>
      </c>
      <c r="T972" s="83">
        <f>Inputs!$G$5+TS!P972*0.4333</f>
        <v>1859.86497207</v>
      </c>
      <c r="U972" s="85">
        <f t="shared" si="280"/>
        <v>0.92993248603500001</v>
      </c>
      <c r="V972" s="86">
        <f t="shared" si="268"/>
        <v>0</v>
      </c>
      <c r="W972" s="86">
        <f t="shared" si="269"/>
        <v>0</v>
      </c>
      <c r="X972" s="86" t="e">
        <f>((PI()*((42-2*'Gen Calcs'!$E$13)^2)/4)/144)*(A1015-#REF!)*(W972+14.7)/14.7</f>
        <v>#REF!</v>
      </c>
      <c r="Y972" s="86" t="e">
        <f t="shared" si="270"/>
        <v>#REF!</v>
      </c>
      <c r="Z972" s="86" t="e">
        <f t="shared" si="271"/>
        <v>#REF!</v>
      </c>
      <c r="AA972" s="83">
        <f>MAX(B$2:B972)-B972</f>
        <v>43.537900000000036</v>
      </c>
      <c r="AB972" s="83">
        <f t="shared" si="272"/>
        <v>18.851910700000015</v>
      </c>
      <c r="AC972" s="83">
        <f t="shared" si="274"/>
        <v>120</v>
      </c>
      <c r="AD972" s="72">
        <v>120</v>
      </c>
      <c r="AE972" s="73">
        <f t="shared" si="281"/>
        <v>907.92027688745009</v>
      </c>
      <c r="AF972" s="73">
        <f>SUM(AE$2:AE972)</f>
        <v>814493.17898842995</v>
      </c>
      <c r="AG972" s="73">
        <f t="shared" si="282"/>
        <v>359236.72343867924</v>
      </c>
    </row>
    <row r="973" spans="1:33" x14ac:dyDescent="0.25">
      <c r="A973" s="99">
        <v>185799.92</v>
      </c>
      <c r="B973" s="96">
        <v>888.89639999999997</v>
      </c>
      <c r="C973" s="96">
        <v>0.6</v>
      </c>
      <c r="D973" s="80">
        <f t="shared" si="267"/>
        <v>100</v>
      </c>
      <c r="E973" s="81">
        <f t="shared" si="275"/>
        <v>6791.2436711181272</v>
      </c>
      <c r="F973" s="81">
        <f>SUM(E$2:E973)</f>
        <v>6094230.3960465668</v>
      </c>
      <c r="G973" s="43">
        <f t="shared" si="273"/>
        <v>1</v>
      </c>
      <c r="H973" s="78">
        <v>1</v>
      </c>
      <c r="I973" s="15">
        <f t="shared" si="276"/>
        <v>0.6</v>
      </c>
      <c r="J973" s="16">
        <f>VLOOKUP(G973,Inputs!$L$3:$P$15,5,FALSE)</f>
        <v>2000</v>
      </c>
      <c r="K973" s="16">
        <f t="shared" si="277"/>
        <v>1825</v>
      </c>
      <c r="L973" s="79">
        <f>Inputs!$P$8-B973</f>
        <v>49.294600000000059</v>
      </c>
      <c r="M973" s="79">
        <f>Inputs!$Q$8+L973*0.433</f>
        <v>1846.3445618000001</v>
      </c>
      <c r="N973" s="82">
        <f t="shared" si="278"/>
        <v>185799.92</v>
      </c>
      <c r="O973" s="83">
        <f t="shared" si="279"/>
        <v>888.89639999999997</v>
      </c>
      <c r="P973" s="84">
        <f>IF(O973="","",Inputs!$C$5-O973)</f>
        <v>-63.711900000000014</v>
      </c>
      <c r="Q973" s="83">
        <f>IF(N973="","",TS!J973)</f>
        <v>2000</v>
      </c>
      <c r="R973" s="83">
        <f>IF(N973="","",TS!K973)</f>
        <v>1825</v>
      </c>
      <c r="S973" s="83">
        <f>Inputs!$H$5+TS!P973*0.4333</f>
        <v>1847.3593501799999</v>
      </c>
      <c r="T973" s="83">
        <f>Inputs!$G$5+TS!P973*0.4333</f>
        <v>1862.3593501799999</v>
      </c>
      <c r="U973" s="85">
        <f t="shared" si="280"/>
        <v>0.93117967508999988</v>
      </c>
      <c r="V973" s="86">
        <f t="shared" si="268"/>
        <v>0</v>
      </c>
      <c r="W973" s="86">
        <f t="shared" si="269"/>
        <v>0</v>
      </c>
      <c r="X973" s="86" t="e">
        <f>((PI()*((42-2*'Gen Calcs'!$E$13)^2)/4)/144)*(A1016-#REF!)*(W973+14.7)/14.7</f>
        <v>#REF!</v>
      </c>
      <c r="Y973" s="86" t="e">
        <f t="shared" si="270"/>
        <v>#REF!</v>
      </c>
      <c r="Z973" s="86" t="e">
        <f t="shared" si="271"/>
        <v>#REF!</v>
      </c>
      <c r="AA973" s="83">
        <f>MAX(B$2:B973)-B973</f>
        <v>49.294600000000059</v>
      </c>
      <c r="AB973" s="83">
        <f t="shared" si="272"/>
        <v>21.344561800000026</v>
      </c>
      <c r="AC973" s="83">
        <f t="shared" si="274"/>
        <v>120</v>
      </c>
      <c r="AD973" s="72">
        <v>120</v>
      </c>
      <c r="AE973" s="73">
        <f t="shared" si="281"/>
        <v>907.92027688745009</v>
      </c>
      <c r="AF973" s="73">
        <f>SUM(AE$2:AE973)</f>
        <v>815401.09926531743</v>
      </c>
      <c r="AG973" s="73">
        <f t="shared" si="282"/>
        <v>358328.80316179176</v>
      </c>
    </row>
    <row r="974" spans="1:33" x14ac:dyDescent="0.25">
      <c r="A974" s="100">
        <v>185899.92</v>
      </c>
      <c r="B974" s="97">
        <v>883.73620000000005</v>
      </c>
      <c r="C974" s="97">
        <v>0.6</v>
      </c>
      <c r="D974" s="80">
        <f t="shared" si="267"/>
        <v>100</v>
      </c>
      <c r="E974" s="81">
        <f t="shared" si="275"/>
        <v>6791.2436711181272</v>
      </c>
      <c r="F974" s="81">
        <f>SUM(E$2:E974)</f>
        <v>6101021.6397176851</v>
      </c>
      <c r="G974" s="43">
        <f t="shared" si="273"/>
        <v>1</v>
      </c>
      <c r="H974" s="78">
        <v>1</v>
      </c>
      <c r="I974" s="15">
        <f t="shared" si="276"/>
        <v>0.6</v>
      </c>
      <c r="J974" s="16">
        <f>VLOOKUP(G974,Inputs!$L$3:$P$15,5,FALSE)</f>
        <v>2000</v>
      </c>
      <c r="K974" s="16">
        <f t="shared" si="277"/>
        <v>1825</v>
      </c>
      <c r="L974" s="79">
        <f>Inputs!$P$8-B974</f>
        <v>54.454799999999977</v>
      </c>
      <c r="M974" s="79">
        <f>Inputs!$Q$8+L974*0.433</f>
        <v>1848.5789284</v>
      </c>
      <c r="N974" s="82">
        <f t="shared" si="278"/>
        <v>185899.92</v>
      </c>
      <c r="O974" s="83">
        <f t="shared" si="279"/>
        <v>883.73620000000005</v>
      </c>
      <c r="P974" s="84">
        <f>IF(O974="","",Inputs!$C$5-O974)</f>
        <v>-58.551700000000096</v>
      </c>
      <c r="Q974" s="83">
        <f>IF(N974="","",TS!J974)</f>
        <v>2000</v>
      </c>
      <c r="R974" s="83">
        <f>IF(N974="","",TS!K974)</f>
        <v>1825</v>
      </c>
      <c r="S974" s="83">
        <f>Inputs!$H$5+TS!P974*0.4333</f>
        <v>1849.5952648399998</v>
      </c>
      <c r="T974" s="83">
        <f>Inputs!$G$5+TS!P974*0.4333</f>
        <v>1864.5952648399998</v>
      </c>
      <c r="U974" s="85">
        <f t="shared" si="280"/>
        <v>0.93229763241999986</v>
      </c>
      <c r="V974" s="86">
        <f t="shared" si="268"/>
        <v>0</v>
      </c>
      <c r="W974" s="86">
        <f t="shared" si="269"/>
        <v>0</v>
      </c>
      <c r="X974" s="86" t="e">
        <f>((PI()*((42-2*'Gen Calcs'!$E$13)^2)/4)/144)*(A1017-#REF!)*(W974+14.7)/14.7</f>
        <v>#REF!</v>
      </c>
      <c r="Y974" s="86" t="e">
        <f t="shared" si="270"/>
        <v>#REF!</v>
      </c>
      <c r="Z974" s="86" t="e">
        <f t="shared" si="271"/>
        <v>#REF!</v>
      </c>
      <c r="AA974" s="83">
        <f>MAX(B$2:B974)-B974</f>
        <v>54.454799999999977</v>
      </c>
      <c r="AB974" s="83">
        <f t="shared" si="272"/>
        <v>23.578928399999992</v>
      </c>
      <c r="AC974" s="83">
        <f t="shared" si="274"/>
        <v>120</v>
      </c>
      <c r="AD974" s="72">
        <v>120</v>
      </c>
      <c r="AE974" s="73">
        <f t="shared" si="281"/>
        <v>907.92027688745009</v>
      </c>
      <c r="AF974" s="73">
        <f>SUM(AE$2:AE974)</f>
        <v>816309.01954220491</v>
      </c>
      <c r="AG974" s="73">
        <f t="shared" si="282"/>
        <v>357420.88288490428</v>
      </c>
    </row>
    <row r="975" spans="1:33" x14ac:dyDescent="0.25">
      <c r="A975" s="99">
        <v>185999.92</v>
      </c>
      <c r="B975" s="96">
        <v>878.66409999999996</v>
      </c>
      <c r="C975" s="96">
        <v>0.6</v>
      </c>
      <c r="D975" s="80">
        <f t="shared" si="267"/>
        <v>100</v>
      </c>
      <c r="E975" s="81">
        <f t="shared" si="275"/>
        <v>6791.2436711181272</v>
      </c>
      <c r="F975" s="81">
        <f>SUM(E$2:E975)</f>
        <v>6107812.8833888033</v>
      </c>
      <c r="G975" s="43">
        <f t="shared" si="273"/>
        <v>1</v>
      </c>
      <c r="H975" s="78">
        <v>1</v>
      </c>
      <c r="I975" s="15">
        <f t="shared" si="276"/>
        <v>0.6</v>
      </c>
      <c r="J975" s="16">
        <f>VLOOKUP(G975,Inputs!$L$3:$P$15,5,FALSE)</f>
        <v>2000</v>
      </c>
      <c r="K975" s="16">
        <f t="shared" si="277"/>
        <v>1825</v>
      </c>
      <c r="L975" s="79">
        <f>Inputs!$P$8-B975</f>
        <v>59.526900000000069</v>
      </c>
      <c r="M975" s="79">
        <f>Inputs!$Q$8+L975*0.433</f>
        <v>1850.7751476999999</v>
      </c>
      <c r="N975" s="82">
        <f t="shared" si="278"/>
        <v>185999.92</v>
      </c>
      <c r="O975" s="83">
        <f t="shared" si="279"/>
        <v>878.66409999999996</v>
      </c>
      <c r="P975" s="84">
        <f>IF(O975="","",Inputs!$C$5-O975)</f>
        <v>-53.479600000000005</v>
      </c>
      <c r="Q975" s="83">
        <f>IF(N975="","",TS!J975)</f>
        <v>2000</v>
      </c>
      <c r="R975" s="83">
        <f>IF(N975="","",TS!K975)</f>
        <v>1825</v>
      </c>
      <c r="S975" s="83">
        <f>Inputs!$H$5+TS!P975*0.4333</f>
        <v>1851.79300577</v>
      </c>
      <c r="T975" s="83">
        <f>Inputs!$G$5+TS!P975*0.4333</f>
        <v>1866.79300577</v>
      </c>
      <c r="U975" s="85">
        <f t="shared" si="280"/>
        <v>0.93339650288499998</v>
      </c>
      <c r="V975" s="86">
        <f t="shared" si="268"/>
        <v>0</v>
      </c>
      <c r="W975" s="86">
        <f t="shared" si="269"/>
        <v>0</v>
      </c>
      <c r="X975" s="86" t="e">
        <f>((PI()*((42-2*'Gen Calcs'!$E$13)^2)/4)/144)*(A1018-#REF!)*(W975+14.7)/14.7</f>
        <v>#REF!</v>
      </c>
      <c r="Y975" s="86" t="e">
        <f t="shared" si="270"/>
        <v>#REF!</v>
      </c>
      <c r="Z975" s="86" t="e">
        <f t="shared" si="271"/>
        <v>#REF!</v>
      </c>
      <c r="AA975" s="83">
        <f>MAX(B$2:B975)-B975</f>
        <v>59.526900000000069</v>
      </c>
      <c r="AB975" s="83">
        <f t="shared" si="272"/>
        <v>25.77514770000003</v>
      </c>
      <c r="AC975" s="83">
        <f t="shared" si="274"/>
        <v>120</v>
      </c>
      <c r="AD975" s="72">
        <v>120</v>
      </c>
      <c r="AE975" s="73">
        <f t="shared" si="281"/>
        <v>907.92027688745009</v>
      </c>
      <c r="AF975" s="73">
        <f>SUM(AE$2:AE975)</f>
        <v>817216.9398190924</v>
      </c>
      <c r="AG975" s="73">
        <f t="shared" si="282"/>
        <v>356512.96260801679</v>
      </c>
    </row>
    <row r="976" spans="1:33" x14ac:dyDescent="0.25">
      <c r="A976" s="100">
        <v>186099.92</v>
      </c>
      <c r="B976" s="97">
        <v>874.70550000000003</v>
      </c>
      <c r="C976" s="97">
        <v>0.6</v>
      </c>
      <c r="D976" s="80">
        <f t="shared" si="267"/>
        <v>100</v>
      </c>
      <c r="E976" s="81">
        <f t="shared" si="275"/>
        <v>6791.2436711181272</v>
      </c>
      <c r="F976" s="81">
        <f>SUM(E$2:E976)</f>
        <v>6114604.1270599216</v>
      </c>
      <c r="G976" s="43">
        <f t="shared" si="273"/>
        <v>1</v>
      </c>
      <c r="H976" s="78">
        <v>1</v>
      </c>
      <c r="I976" s="15">
        <f t="shared" si="276"/>
        <v>0.6</v>
      </c>
      <c r="J976" s="16">
        <f>VLOOKUP(G976,Inputs!$L$3:$P$15,5,FALSE)</f>
        <v>2000</v>
      </c>
      <c r="K976" s="16">
        <f t="shared" si="277"/>
        <v>1825</v>
      </c>
      <c r="L976" s="79">
        <f>Inputs!$P$8-B976</f>
        <v>63.485500000000002</v>
      </c>
      <c r="M976" s="79">
        <f>Inputs!$Q$8+L976*0.433</f>
        <v>1852.4892215</v>
      </c>
      <c r="N976" s="82">
        <f t="shared" si="278"/>
        <v>186099.92</v>
      </c>
      <c r="O976" s="83">
        <f t="shared" si="279"/>
        <v>874.70550000000003</v>
      </c>
      <c r="P976" s="84">
        <f>IF(O976="","",Inputs!$C$5-O976)</f>
        <v>-49.521000000000072</v>
      </c>
      <c r="Q976" s="83">
        <f>IF(N976="","",TS!J976)</f>
        <v>2000</v>
      </c>
      <c r="R976" s="83">
        <f>IF(N976="","",TS!K976)</f>
        <v>1825</v>
      </c>
      <c r="S976" s="83">
        <f>Inputs!$H$5+TS!P976*0.4333</f>
        <v>1853.5082671499999</v>
      </c>
      <c r="T976" s="83">
        <f>Inputs!$G$5+TS!P976*0.4333</f>
        <v>1868.5082671499999</v>
      </c>
      <c r="U976" s="85">
        <f t="shared" si="280"/>
        <v>0.93425413357499998</v>
      </c>
      <c r="V976" s="86">
        <f t="shared" si="268"/>
        <v>0</v>
      </c>
      <c r="W976" s="86">
        <f t="shared" si="269"/>
        <v>0</v>
      </c>
      <c r="X976" s="86" t="e">
        <f>((PI()*((42-2*'Gen Calcs'!$E$13)^2)/4)/144)*(A1019-#REF!)*(W976+14.7)/14.7</f>
        <v>#REF!</v>
      </c>
      <c r="Y976" s="86" t="e">
        <f t="shared" si="270"/>
        <v>#REF!</v>
      </c>
      <c r="Z976" s="86" t="e">
        <f t="shared" si="271"/>
        <v>#REF!</v>
      </c>
      <c r="AA976" s="83">
        <f>MAX(B$2:B976)-B976</f>
        <v>63.485500000000002</v>
      </c>
      <c r="AB976" s="83">
        <f t="shared" si="272"/>
        <v>27.489221499999999</v>
      </c>
      <c r="AC976" s="83">
        <f t="shared" si="274"/>
        <v>120</v>
      </c>
      <c r="AD976" s="72">
        <v>120</v>
      </c>
      <c r="AE976" s="73">
        <f t="shared" si="281"/>
        <v>907.92027688745009</v>
      </c>
      <c r="AF976" s="73">
        <f>SUM(AE$2:AE976)</f>
        <v>818124.86009597988</v>
      </c>
      <c r="AG976" s="73">
        <f t="shared" si="282"/>
        <v>355605.04233112931</v>
      </c>
    </row>
    <row r="977" spans="1:33" x14ac:dyDescent="0.25">
      <c r="A977" s="99">
        <v>186199.92</v>
      </c>
      <c r="B977" s="96">
        <v>871.56010000000003</v>
      </c>
      <c r="C977" s="96">
        <v>0.6</v>
      </c>
      <c r="D977" s="80">
        <f t="shared" si="267"/>
        <v>100</v>
      </c>
      <c r="E977" s="81">
        <f t="shared" si="275"/>
        <v>6791.2436711181272</v>
      </c>
      <c r="F977" s="81">
        <f>SUM(E$2:E977)</f>
        <v>6121395.3707310399</v>
      </c>
      <c r="G977" s="43">
        <f t="shared" si="273"/>
        <v>1</v>
      </c>
      <c r="H977" s="78">
        <v>1</v>
      </c>
      <c r="I977" s="15">
        <f t="shared" si="276"/>
        <v>0.6</v>
      </c>
      <c r="J977" s="16">
        <f>VLOOKUP(G977,Inputs!$L$3:$P$15,5,FALSE)</f>
        <v>2000</v>
      </c>
      <c r="K977" s="16">
        <f t="shared" si="277"/>
        <v>1825</v>
      </c>
      <c r="L977" s="79">
        <f>Inputs!$P$8-B977</f>
        <v>66.630899999999997</v>
      </c>
      <c r="M977" s="79">
        <f>Inputs!$Q$8+L977*0.433</f>
        <v>1853.8511797000001</v>
      </c>
      <c r="N977" s="82">
        <f t="shared" si="278"/>
        <v>186199.92</v>
      </c>
      <c r="O977" s="83">
        <f t="shared" si="279"/>
        <v>871.56010000000003</v>
      </c>
      <c r="P977" s="84">
        <f>IF(O977="","",Inputs!$C$5-O977)</f>
        <v>-46.375600000000077</v>
      </c>
      <c r="Q977" s="83">
        <f>IF(N977="","",TS!J977)</f>
        <v>2000</v>
      </c>
      <c r="R977" s="83">
        <f>IF(N977="","",TS!K977)</f>
        <v>1825</v>
      </c>
      <c r="S977" s="83">
        <f>Inputs!$H$5+TS!P977*0.4333</f>
        <v>1854.8711689699999</v>
      </c>
      <c r="T977" s="83">
        <f>Inputs!$G$5+TS!P977*0.4333</f>
        <v>1869.8711689699999</v>
      </c>
      <c r="U977" s="85">
        <f t="shared" si="280"/>
        <v>0.93493558448499992</v>
      </c>
      <c r="V977" s="86">
        <f t="shared" si="268"/>
        <v>0</v>
      </c>
      <c r="W977" s="86">
        <f t="shared" si="269"/>
        <v>0</v>
      </c>
      <c r="X977" s="86" t="e">
        <f>((PI()*((42-2*'Gen Calcs'!$E$13)^2)/4)/144)*(A1020-#REF!)*(W977+14.7)/14.7</f>
        <v>#REF!</v>
      </c>
      <c r="Y977" s="86" t="e">
        <f t="shared" si="270"/>
        <v>#REF!</v>
      </c>
      <c r="Z977" s="86" t="e">
        <f t="shared" si="271"/>
        <v>#REF!</v>
      </c>
      <c r="AA977" s="83">
        <f>MAX(B$2:B977)-B977</f>
        <v>66.630899999999997</v>
      </c>
      <c r="AB977" s="83">
        <f t="shared" si="272"/>
        <v>28.851179699999999</v>
      </c>
      <c r="AC977" s="83">
        <f t="shared" si="274"/>
        <v>120</v>
      </c>
      <c r="AD977" s="72">
        <v>120</v>
      </c>
      <c r="AE977" s="73">
        <f t="shared" si="281"/>
        <v>907.92027688745009</v>
      </c>
      <c r="AF977" s="73">
        <f>SUM(AE$2:AE977)</f>
        <v>819032.78037286736</v>
      </c>
      <c r="AG977" s="73">
        <f t="shared" si="282"/>
        <v>354697.12205424183</v>
      </c>
    </row>
    <row r="978" spans="1:33" x14ac:dyDescent="0.25">
      <c r="A978" s="100">
        <v>186299.92</v>
      </c>
      <c r="B978" s="97">
        <v>869.38139999999999</v>
      </c>
      <c r="C978" s="97">
        <v>0.6</v>
      </c>
      <c r="D978" s="80">
        <f t="shared" si="267"/>
        <v>100</v>
      </c>
      <c r="E978" s="81">
        <f t="shared" si="275"/>
        <v>6791.2436711181272</v>
      </c>
      <c r="F978" s="81">
        <f>SUM(E$2:E978)</f>
        <v>6128186.6144021582</v>
      </c>
      <c r="G978" s="43">
        <f t="shared" si="273"/>
        <v>1</v>
      </c>
      <c r="H978" s="78">
        <v>1</v>
      </c>
      <c r="I978" s="15">
        <f t="shared" si="276"/>
        <v>0.6</v>
      </c>
      <c r="J978" s="16">
        <f>VLOOKUP(G978,Inputs!$L$3:$P$15,5,FALSE)</f>
        <v>2000</v>
      </c>
      <c r="K978" s="16">
        <f t="shared" si="277"/>
        <v>1825</v>
      </c>
      <c r="L978" s="79">
        <f>Inputs!$P$8-B978</f>
        <v>68.809600000000046</v>
      </c>
      <c r="M978" s="79">
        <f>Inputs!$Q$8+L978*0.433</f>
        <v>1854.7945568</v>
      </c>
      <c r="N978" s="82">
        <f t="shared" si="278"/>
        <v>186299.92</v>
      </c>
      <c r="O978" s="83">
        <f t="shared" si="279"/>
        <v>869.38139999999999</v>
      </c>
      <c r="P978" s="84">
        <f>IF(O978="","",Inputs!$C$5-O978)</f>
        <v>-44.196900000000028</v>
      </c>
      <c r="Q978" s="83">
        <f>IF(N978="","",TS!J978)</f>
        <v>2000</v>
      </c>
      <c r="R978" s="83">
        <f>IF(N978="","",TS!K978)</f>
        <v>1825</v>
      </c>
      <c r="S978" s="83">
        <f>Inputs!$H$5+TS!P978*0.4333</f>
        <v>1855.81519968</v>
      </c>
      <c r="T978" s="83">
        <f>Inputs!$G$5+TS!P978*0.4333</f>
        <v>1870.81519968</v>
      </c>
      <c r="U978" s="85">
        <f t="shared" si="280"/>
        <v>0.93540759983999999</v>
      </c>
      <c r="V978" s="86">
        <f t="shared" si="268"/>
        <v>0</v>
      </c>
      <c r="W978" s="86">
        <f t="shared" si="269"/>
        <v>0</v>
      </c>
      <c r="X978" s="86" t="e">
        <f>((PI()*((42-2*'Gen Calcs'!$E$13)^2)/4)/144)*(A1021-#REF!)*(W978+14.7)/14.7</f>
        <v>#REF!</v>
      </c>
      <c r="Y978" s="86" t="e">
        <f t="shared" si="270"/>
        <v>#REF!</v>
      </c>
      <c r="Z978" s="86" t="e">
        <f t="shared" si="271"/>
        <v>#REF!</v>
      </c>
      <c r="AA978" s="83">
        <f>MAX(B$2:B978)-B978</f>
        <v>68.809600000000046</v>
      </c>
      <c r="AB978" s="83">
        <f t="shared" si="272"/>
        <v>29.79455680000002</v>
      </c>
      <c r="AC978" s="83">
        <f t="shared" si="274"/>
        <v>120</v>
      </c>
      <c r="AD978" s="72">
        <v>120</v>
      </c>
      <c r="AE978" s="73">
        <f t="shared" si="281"/>
        <v>907.92027688745009</v>
      </c>
      <c r="AF978" s="73">
        <f>SUM(AE$2:AE978)</f>
        <v>819940.70064975484</v>
      </c>
      <c r="AG978" s="73">
        <f t="shared" si="282"/>
        <v>353789.20177735435</v>
      </c>
    </row>
    <row r="979" spans="1:33" x14ac:dyDescent="0.25">
      <c r="A979" s="99">
        <v>186399.92</v>
      </c>
      <c r="B979" s="96">
        <v>867.41250000000002</v>
      </c>
      <c r="C979" s="96">
        <v>0.6</v>
      </c>
      <c r="D979" s="80">
        <f t="shared" si="267"/>
        <v>100</v>
      </c>
      <c r="E979" s="81">
        <f t="shared" si="275"/>
        <v>6791.2436711181272</v>
      </c>
      <c r="F979" s="81">
        <f>SUM(E$2:E979)</f>
        <v>6134977.8580732765</v>
      </c>
      <c r="G979" s="43">
        <f t="shared" si="273"/>
        <v>1</v>
      </c>
      <c r="H979" s="78">
        <v>1</v>
      </c>
      <c r="I979" s="15">
        <f t="shared" si="276"/>
        <v>0.6</v>
      </c>
      <c r="J979" s="16">
        <f>VLOOKUP(G979,Inputs!$L$3:$P$15,5,FALSE)</f>
        <v>2000</v>
      </c>
      <c r="K979" s="16">
        <f t="shared" si="277"/>
        <v>1825</v>
      </c>
      <c r="L979" s="79">
        <f>Inputs!$P$8-B979</f>
        <v>70.778500000000008</v>
      </c>
      <c r="M979" s="79">
        <f>Inputs!$Q$8+L979*0.433</f>
        <v>1855.6470905000001</v>
      </c>
      <c r="N979" s="82">
        <f t="shared" si="278"/>
        <v>186399.92</v>
      </c>
      <c r="O979" s="83">
        <f t="shared" si="279"/>
        <v>867.41250000000002</v>
      </c>
      <c r="P979" s="84">
        <f>IF(O979="","",Inputs!$C$5-O979)</f>
        <v>-42.228000000000065</v>
      </c>
      <c r="Q979" s="83">
        <f>IF(N979="","",TS!J979)</f>
        <v>2000</v>
      </c>
      <c r="R979" s="83">
        <f>IF(N979="","",TS!K979)</f>
        <v>1825</v>
      </c>
      <c r="S979" s="83">
        <f>Inputs!$H$5+TS!P979*0.4333</f>
        <v>1856.6683240499999</v>
      </c>
      <c r="T979" s="83">
        <f>Inputs!$G$5+TS!P979*0.4333</f>
        <v>1871.6683240499999</v>
      </c>
      <c r="U979" s="85">
        <f t="shared" si="280"/>
        <v>0.93583416202499992</v>
      </c>
      <c r="V979" s="86">
        <f t="shared" si="268"/>
        <v>0</v>
      </c>
      <c r="W979" s="86">
        <f t="shared" si="269"/>
        <v>0</v>
      </c>
      <c r="X979" s="86" t="e">
        <f>((PI()*((42-2*'Gen Calcs'!$E$13)^2)/4)/144)*(A1022-#REF!)*(W979+14.7)/14.7</f>
        <v>#REF!</v>
      </c>
      <c r="Y979" s="86" t="e">
        <f t="shared" si="270"/>
        <v>#REF!</v>
      </c>
      <c r="Z979" s="86" t="e">
        <f t="shared" si="271"/>
        <v>#REF!</v>
      </c>
      <c r="AA979" s="83">
        <f>MAX(B$2:B979)-B979</f>
        <v>70.778500000000008</v>
      </c>
      <c r="AB979" s="83">
        <f t="shared" si="272"/>
        <v>30.647090500000004</v>
      </c>
      <c r="AC979" s="83">
        <f t="shared" si="274"/>
        <v>120</v>
      </c>
      <c r="AD979" s="72">
        <v>120</v>
      </c>
      <c r="AE979" s="73">
        <f t="shared" si="281"/>
        <v>907.92027688745009</v>
      </c>
      <c r="AF979" s="73">
        <f>SUM(AE$2:AE979)</f>
        <v>820848.62092664232</v>
      </c>
      <c r="AG979" s="73">
        <f t="shared" si="282"/>
        <v>352881.28150046687</v>
      </c>
    </row>
    <row r="980" spans="1:33" x14ac:dyDescent="0.25">
      <c r="A980" s="100">
        <v>186499.92</v>
      </c>
      <c r="B980" s="97">
        <v>865.96550000000002</v>
      </c>
      <c r="C980" s="97">
        <v>0.6</v>
      </c>
      <c r="D980" s="80">
        <f t="shared" si="267"/>
        <v>100</v>
      </c>
      <c r="E980" s="81">
        <f t="shared" si="275"/>
        <v>6791.2436711181272</v>
      </c>
      <c r="F980" s="81">
        <f>SUM(E$2:E980)</f>
        <v>6141769.1017443947</v>
      </c>
      <c r="G980" s="43">
        <f t="shared" si="273"/>
        <v>1</v>
      </c>
      <c r="H980" s="78">
        <v>1</v>
      </c>
      <c r="I980" s="15">
        <f t="shared" si="276"/>
        <v>0.6</v>
      </c>
      <c r="J980" s="16">
        <f>VLOOKUP(G980,Inputs!$L$3:$P$15,5,FALSE)</f>
        <v>2000</v>
      </c>
      <c r="K980" s="16">
        <f t="shared" si="277"/>
        <v>1825</v>
      </c>
      <c r="L980" s="79">
        <f>Inputs!$P$8-B980</f>
        <v>72.225500000000011</v>
      </c>
      <c r="M980" s="79">
        <f>Inputs!$Q$8+L980*0.433</f>
        <v>1856.2736414999999</v>
      </c>
      <c r="N980" s="82">
        <f t="shared" si="278"/>
        <v>186499.92</v>
      </c>
      <c r="O980" s="83">
        <f t="shared" si="279"/>
        <v>865.96550000000002</v>
      </c>
      <c r="P980" s="84">
        <f>IF(O980="","",Inputs!$C$5-O980)</f>
        <v>-40.781000000000063</v>
      </c>
      <c r="Q980" s="83">
        <f>IF(N980="","",TS!J980)</f>
        <v>2000</v>
      </c>
      <c r="R980" s="83">
        <f>IF(N980="","",TS!K980)</f>
        <v>1825</v>
      </c>
      <c r="S980" s="83">
        <f>Inputs!$H$5+TS!P980*0.4333</f>
        <v>1857.2953091499999</v>
      </c>
      <c r="T980" s="83">
        <f>Inputs!$G$5+TS!P980*0.4333</f>
        <v>1872.2953091499999</v>
      </c>
      <c r="U980" s="85">
        <f t="shared" si="280"/>
        <v>0.93614765457499993</v>
      </c>
      <c r="V980" s="86">
        <f t="shared" si="268"/>
        <v>0</v>
      </c>
      <c r="W980" s="86">
        <f t="shared" si="269"/>
        <v>0</v>
      </c>
      <c r="X980" s="86" t="e">
        <f>((PI()*((42-2*'Gen Calcs'!$E$13)^2)/4)/144)*(A1023-#REF!)*(W980+14.7)/14.7</f>
        <v>#REF!</v>
      </c>
      <c r="Y980" s="86" t="e">
        <f t="shared" si="270"/>
        <v>#REF!</v>
      </c>
      <c r="Z980" s="86" t="e">
        <f t="shared" si="271"/>
        <v>#REF!</v>
      </c>
      <c r="AA980" s="83">
        <f>MAX(B$2:B980)-B980</f>
        <v>72.225500000000011</v>
      </c>
      <c r="AB980" s="83">
        <f t="shared" si="272"/>
        <v>31.273641500000004</v>
      </c>
      <c r="AC980" s="83">
        <f t="shared" si="274"/>
        <v>120</v>
      </c>
      <c r="AD980" s="72">
        <v>120</v>
      </c>
      <c r="AE980" s="73">
        <f t="shared" si="281"/>
        <v>907.92027688745009</v>
      </c>
      <c r="AF980" s="73">
        <f>SUM(AE$2:AE980)</f>
        <v>821756.54120352981</v>
      </c>
      <c r="AG980" s="73">
        <f t="shared" si="282"/>
        <v>351973.36122357938</v>
      </c>
    </row>
    <row r="981" spans="1:33" x14ac:dyDescent="0.25">
      <c r="A981" s="99">
        <v>186599.92</v>
      </c>
      <c r="B981" s="96">
        <v>864.43219999999997</v>
      </c>
      <c r="C981" s="96">
        <v>0.6</v>
      </c>
      <c r="D981" s="80">
        <f t="shared" si="267"/>
        <v>100</v>
      </c>
      <c r="E981" s="81">
        <f t="shared" si="275"/>
        <v>6791.2436711181272</v>
      </c>
      <c r="F981" s="81">
        <f>SUM(E$2:E981)</f>
        <v>6148560.345415513</v>
      </c>
      <c r="G981" s="43">
        <f t="shared" si="273"/>
        <v>1</v>
      </c>
      <c r="H981" s="78">
        <v>1</v>
      </c>
      <c r="I981" s="15">
        <f t="shared" si="276"/>
        <v>0.6</v>
      </c>
      <c r="J981" s="16">
        <f>VLOOKUP(G981,Inputs!$L$3:$P$15,5,FALSE)</f>
        <v>2000</v>
      </c>
      <c r="K981" s="16">
        <f t="shared" si="277"/>
        <v>1825</v>
      </c>
      <c r="L981" s="79">
        <f>Inputs!$P$8-B981</f>
        <v>73.758800000000065</v>
      </c>
      <c r="M981" s="79">
        <f>Inputs!$Q$8+L981*0.433</f>
        <v>1856.9375603999999</v>
      </c>
      <c r="N981" s="82">
        <f t="shared" si="278"/>
        <v>186599.92</v>
      </c>
      <c r="O981" s="83">
        <f t="shared" si="279"/>
        <v>864.43219999999997</v>
      </c>
      <c r="P981" s="84">
        <f>IF(O981="","",Inputs!$C$5-O981)</f>
        <v>-39.247700000000009</v>
      </c>
      <c r="Q981" s="83">
        <f>IF(N981="","",TS!J981)</f>
        <v>2000</v>
      </c>
      <c r="R981" s="83">
        <f>IF(N981="","",TS!K981)</f>
        <v>1825</v>
      </c>
      <c r="S981" s="83">
        <f>Inputs!$H$5+TS!P981*0.4333</f>
        <v>1857.9596880399999</v>
      </c>
      <c r="T981" s="83">
        <f>Inputs!$G$5+TS!P981*0.4333</f>
        <v>1872.9596880399999</v>
      </c>
      <c r="U981" s="85">
        <f t="shared" si="280"/>
        <v>0.93647984401999995</v>
      </c>
      <c r="V981" s="86">
        <f t="shared" si="268"/>
        <v>0</v>
      </c>
      <c r="W981" s="86">
        <f t="shared" si="269"/>
        <v>0</v>
      </c>
      <c r="X981" s="86" t="e">
        <f>((PI()*((42-2*'Gen Calcs'!$E$13)^2)/4)/144)*(A1024-#REF!)*(W981+14.7)/14.7</f>
        <v>#REF!</v>
      </c>
      <c r="Y981" s="86" t="e">
        <f t="shared" si="270"/>
        <v>#REF!</v>
      </c>
      <c r="Z981" s="86" t="e">
        <f t="shared" si="271"/>
        <v>#REF!</v>
      </c>
      <c r="AA981" s="83">
        <f>MAX(B$2:B981)-B981</f>
        <v>73.758800000000065</v>
      </c>
      <c r="AB981" s="83">
        <f t="shared" si="272"/>
        <v>31.937560400000027</v>
      </c>
      <c r="AC981" s="83">
        <f t="shared" si="274"/>
        <v>120</v>
      </c>
      <c r="AD981" s="72">
        <v>120</v>
      </c>
      <c r="AE981" s="73">
        <f t="shared" si="281"/>
        <v>907.92027688745009</v>
      </c>
      <c r="AF981" s="73">
        <f>SUM(AE$2:AE981)</f>
        <v>822664.46148041729</v>
      </c>
      <c r="AG981" s="73">
        <f t="shared" si="282"/>
        <v>351065.4409466919</v>
      </c>
    </row>
    <row r="982" spans="1:33" x14ac:dyDescent="0.25">
      <c r="A982" s="100">
        <v>186699.92</v>
      </c>
      <c r="B982" s="97">
        <v>862.28030000000001</v>
      </c>
      <c r="C982" s="97">
        <v>0.6</v>
      </c>
      <c r="D982" s="80">
        <f t="shared" si="267"/>
        <v>100</v>
      </c>
      <c r="E982" s="81">
        <f t="shared" si="275"/>
        <v>6791.2436711181272</v>
      </c>
      <c r="F982" s="81">
        <f>SUM(E$2:E982)</f>
        <v>6155351.5890866313</v>
      </c>
      <c r="G982" s="43">
        <f t="shared" si="273"/>
        <v>1</v>
      </c>
      <c r="H982" s="78">
        <v>1</v>
      </c>
      <c r="I982" s="15">
        <f t="shared" si="276"/>
        <v>0.6</v>
      </c>
      <c r="J982" s="16">
        <f>VLOOKUP(G982,Inputs!$L$3:$P$15,5,FALSE)</f>
        <v>2000</v>
      </c>
      <c r="K982" s="16">
        <f t="shared" si="277"/>
        <v>1825</v>
      </c>
      <c r="L982" s="79">
        <f>Inputs!$P$8-B982</f>
        <v>75.91070000000002</v>
      </c>
      <c r="M982" s="79">
        <f>Inputs!$Q$8+L982*0.433</f>
        <v>1857.8693330999999</v>
      </c>
      <c r="N982" s="82">
        <f t="shared" si="278"/>
        <v>186699.92</v>
      </c>
      <c r="O982" s="83">
        <f t="shared" si="279"/>
        <v>862.28030000000001</v>
      </c>
      <c r="P982" s="84">
        <f>IF(O982="","",Inputs!$C$5-O982)</f>
        <v>-37.095800000000054</v>
      </c>
      <c r="Q982" s="83">
        <f>IF(N982="","",TS!J982)</f>
        <v>2000</v>
      </c>
      <c r="R982" s="83">
        <f>IF(N982="","",TS!K982)</f>
        <v>1825</v>
      </c>
      <c r="S982" s="83">
        <f>Inputs!$H$5+TS!P982*0.4333</f>
        <v>1858.8921063099999</v>
      </c>
      <c r="T982" s="83">
        <f>Inputs!$G$5+TS!P982*0.4333</f>
        <v>1873.8921063099999</v>
      </c>
      <c r="U982" s="85">
        <f t="shared" si="280"/>
        <v>0.93694605315500001</v>
      </c>
      <c r="V982" s="86">
        <f t="shared" si="268"/>
        <v>0</v>
      </c>
      <c r="W982" s="86">
        <f t="shared" si="269"/>
        <v>0</v>
      </c>
      <c r="X982" s="86" t="e">
        <f>((PI()*((42-2*'Gen Calcs'!$E$13)^2)/4)/144)*(A1025-#REF!)*(W982+14.7)/14.7</f>
        <v>#REF!</v>
      </c>
      <c r="Y982" s="86" t="e">
        <f t="shared" si="270"/>
        <v>#REF!</v>
      </c>
      <c r="Z982" s="86" t="e">
        <f t="shared" si="271"/>
        <v>#REF!</v>
      </c>
      <c r="AA982" s="83">
        <f>MAX(B$2:B982)-B982</f>
        <v>75.91070000000002</v>
      </c>
      <c r="AB982" s="83">
        <f t="shared" si="272"/>
        <v>32.869333100000006</v>
      </c>
      <c r="AC982" s="83">
        <f t="shared" si="274"/>
        <v>120</v>
      </c>
      <c r="AD982" s="72">
        <v>120</v>
      </c>
      <c r="AE982" s="73">
        <f t="shared" si="281"/>
        <v>907.92027688745009</v>
      </c>
      <c r="AF982" s="73">
        <f>SUM(AE$2:AE982)</f>
        <v>823572.38175730477</v>
      </c>
      <c r="AG982" s="73">
        <f t="shared" si="282"/>
        <v>350157.52066980442</v>
      </c>
    </row>
    <row r="983" spans="1:33" x14ac:dyDescent="0.25">
      <c r="A983" s="99">
        <v>186799.92</v>
      </c>
      <c r="B983" s="96">
        <v>860.38160000000005</v>
      </c>
      <c r="C983" s="96">
        <v>0.6</v>
      </c>
      <c r="D983" s="80">
        <f t="shared" si="267"/>
        <v>100</v>
      </c>
      <c r="E983" s="81">
        <f t="shared" si="275"/>
        <v>6791.2436711181272</v>
      </c>
      <c r="F983" s="81">
        <f>SUM(E$2:E983)</f>
        <v>6162142.8327577496</v>
      </c>
      <c r="G983" s="43">
        <f t="shared" si="273"/>
        <v>1</v>
      </c>
      <c r="H983" s="78">
        <v>1</v>
      </c>
      <c r="I983" s="15">
        <f t="shared" si="276"/>
        <v>0.6</v>
      </c>
      <c r="J983" s="16">
        <f>VLOOKUP(G983,Inputs!$L$3:$P$15,5,FALSE)</f>
        <v>2000</v>
      </c>
      <c r="K983" s="16">
        <f t="shared" si="277"/>
        <v>1825</v>
      </c>
      <c r="L983" s="79">
        <f>Inputs!$P$8-B983</f>
        <v>77.809399999999982</v>
      </c>
      <c r="M983" s="79">
        <f>Inputs!$Q$8+L983*0.433</f>
        <v>1858.6914701999999</v>
      </c>
      <c r="N983" s="82">
        <f t="shared" si="278"/>
        <v>186799.92</v>
      </c>
      <c r="O983" s="83">
        <f t="shared" si="279"/>
        <v>860.38160000000005</v>
      </c>
      <c r="P983" s="84">
        <f>IF(O983="","",Inputs!$C$5-O983)</f>
        <v>-35.197100000000091</v>
      </c>
      <c r="Q983" s="83">
        <f>IF(N983="","",TS!J983)</f>
        <v>2000</v>
      </c>
      <c r="R983" s="83">
        <f>IF(N983="","",TS!K983)</f>
        <v>1825</v>
      </c>
      <c r="S983" s="83">
        <f>Inputs!$H$5+TS!P983*0.4333</f>
        <v>1859.7148130199998</v>
      </c>
      <c r="T983" s="83">
        <f>Inputs!$G$5+TS!P983*0.4333</f>
        <v>1874.7148130199998</v>
      </c>
      <c r="U983" s="85">
        <f t="shared" si="280"/>
        <v>0.93735740650999988</v>
      </c>
      <c r="V983" s="86">
        <f t="shared" si="268"/>
        <v>0</v>
      </c>
      <c r="W983" s="86">
        <f t="shared" si="269"/>
        <v>0</v>
      </c>
      <c r="X983" s="86" t="e">
        <f>((PI()*((42-2*'Gen Calcs'!$E$13)^2)/4)/144)*(A1026-#REF!)*(W983+14.7)/14.7</f>
        <v>#REF!</v>
      </c>
      <c r="Y983" s="86" t="e">
        <f t="shared" si="270"/>
        <v>#REF!</v>
      </c>
      <c r="Z983" s="86" t="e">
        <f t="shared" si="271"/>
        <v>#REF!</v>
      </c>
      <c r="AA983" s="83">
        <f>MAX(B$2:B983)-B983</f>
        <v>77.809399999999982</v>
      </c>
      <c r="AB983" s="83">
        <f t="shared" si="272"/>
        <v>33.691470199999991</v>
      </c>
      <c r="AC983" s="83">
        <f t="shared" si="274"/>
        <v>120</v>
      </c>
      <c r="AD983" s="72">
        <v>120</v>
      </c>
      <c r="AE983" s="73">
        <f t="shared" si="281"/>
        <v>907.92027688745009</v>
      </c>
      <c r="AF983" s="73">
        <f>SUM(AE$2:AE983)</f>
        <v>824480.30203419225</v>
      </c>
      <c r="AG983" s="73">
        <f t="shared" si="282"/>
        <v>349249.60039291694</v>
      </c>
    </row>
    <row r="984" spans="1:33" x14ac:dyDescent="0.25">
      <c r="A984" s="100">
        <v>186876.3</v>
      </c>
      <c r="B984" s="97">
        <v>860.38160000000005</v>
      </c>
      <c r="C984" s="97">
        <v>0.86399999999999999</v>
      </c>
      <c r="D984" s="80">
        <f t="shared" si="267"/>
        <v>76.379999999975553</v>
      </c>
      <c r="E984" s="81">
        <f t="shared" si="275"/>
        <v>5187.1519159983645</v>
      </c>
      <c r="F984" s="81">
        <f>SUM(E$2:E984)</f>
        <v>6167329.9846737478</v>
      </c>
      <c r="G984" s="43">
        <f t="shared" si="273"/>
        <v>2</v>
      </c>
      <c r="H984" s="78">
        <v>1</v>
      </c>
      <c r="I984" s="15">
        <f t="shared" si="276"/>
        <v>0.86399999999999999</v>
      </c>
      <c r="J984" s="16">
        <f>VLOOKUP(G984,Inputs!$L$3:$P$15,5,FALSE)</f>
        <v>2880</v>
      </c>
      <c r="K984" s="16">
        <f t="shared" si="277"/>
        <v>1825</v>
      </c>
      <c r="L984" s="79">
        <f>Inputs!$P$8-B984</f>
        <v>77.809399999999982</v>
      </c>
      <c r="M984" s="79">
        <f>Inputs!$Q$8+L984*0.433</f>
        <v>1858.6914701999999</v>
      </c>
      <c r="N984" s="82">
        <f t="shared" si="278"/>
        <v>186876.3</v>
      </c>
      <c r="O984" s="83">
        <f t="shared" si="279"/>
        <v>860.38160000000005</v>
      </c>
      <c r="P984" s="84">
        <f>IF(O984="","",Inputs!$C$5-O984)</f>
        <v>-35.197100000000091</v>
      </c>
      <c r="Q984" s="83">
        <f>IF(N984="","",TS!J984)</f>
        <v>2880</v>
      </c>
      <c r="R984" s="83">
        <f>IF(N984="","",TS!K984)</f>
        <v>1825</v>
      </c>
      <c r="S984" s="83">
        <f>Inputs!$H$5+TS!P984*0.4333</f>
        <v>1859.7148130199998</v>
      </c>
      <c r="T984" s="83">
        <f>Inputs!$G$5+TS!P984*0.4333</f>
        <v>1874.7148130199998</v>
      </c>
      <c r="U984" s="85">
        <f t="shared" si="280"/>
        <v>0.65094264340972219</v>
      </c>
      <c r="V984" s="86">
        <f t="shared" si="268"/>
        <v>0</v>
      </c>
      <c r="W984" s="86">
        <f t="shared" si="269"/>
        <v>0</v>
      </c>
      <c r="X984" s="86" t="e">
        <f>((PI()*((42-2*'Gen Calcs'!$E$13)^2)/4)/144)*(A1027-#REF!)*(W984+14.7)/14.7</f>
        <v>#REF!</v>
      </c>
      <c r="Y984" s="86" t="e">
        <f t="shared" si="270"/>
        <v>#REF!</v>
      </c>
      <c r="Z984" s="86" t="e">
        <f t="shared" si="271"/>
        <v>#REF!</v>
      </c>
      <c r="AA984" s="83">
        <f>MAX(B$2:B984)-B984</f>
        <v>77.809399999999982</v>
      </c>
      <c r="AB984" s="83">
        <f t="shared" si="272"/>
        <v>33.691470199999991</v>
      </c>
      <c r="AC984" s="83">
        <f t="shared" si="274"/>
        <v>120</v>
      </c>
      <c r="AD984" s="72">
        <v>120</v>
      </c>
      <c r="AE984" s="73">
        <f t="shared" si="281"/>
        <v>675.63702308559573</v>
      </c>
      <c r="AF984" s="73">
        <f>SUM(AE$2:AE984)</f>
        <v>825155.93905727786</v>
      </c>
      <c r="AG984" s="73">
        <f t="shared" si="282"/>
        <v>348573.96336983133</v>
      </c>
    </row>
    <row r="985" spans="1:33" x14ac:dyDescent="0.25">
      <c r="A985" s="99">
        <v>186899.92</v>
      </c>
      <c r="B985" s="96">
        <v>858.80449999999996</v>
      </c>
      <c r="C985" s="96">
        <v>0.6</v>
      </c>
      <c r="D985" s="80">
        <f t="shared" si="267"/>
        <v>23.620000000024447</v>
      </c>
      <c r="E985" s="81">
        <f t="shared" si="275"/>
        <v>1604.0917551197617</v>
      </c>
      <c r="F985" s="81">
        <f>SUM(E$2:E985)</f>
        <v>6168934.0764288679</v>
      </c>
      <c r="G985" s="43">
        <f t="shared" si="273"/>
        <v>1</v>
      </c>
      <c r="H985" s="78">
        <v>1</v>
      </c>
      <c r="I985" s="15">
        <f t="shared" si="276"/>
        <v>0.6</v>
      </c>
      <c r="J985" s="16">
        <f>VLOOKUP(G985,Inputs!$L$3:$P$15,5,FALSE)</f>
        <v>2000</v>
      </c>
      <c r="K985" s="16">
        <f t="shared" si="277"/>
        <v>1825</v>
      </c>
      <c r="L985" s="79">
        <f>Inputs!$P$8-B985</f>
        <v>79.386500000000069</v>
      </c>
      <c r="M985" s="79">
        <f>Inputs!$Q$8+L985*0.433</f>
        <v>1859.3743545</v>
      </c>
      <c r="N985" s="82">
        <f t="shared" si="278"/>
        <v>186899.92</v>
      </c>
      <c r="O985" s="83">
        <f t="shared" si="279"/>
        <v>858.80449999999996</v>
      </c>
      <c r="P985" s="84">
        <f>IF(O985="","",Inputs!$C$5-O985)</f>
        <v>-33.620000000000005</v>
      </c>
      <c r="Q985" s="83">
        <f>IF(N985="","",TS!J985)</f>
        <v>2000</v>
      </c>
      <c r="R985" s="83">
        <f>IF(N985="","",TS!K985)</f>
        <v>1825</v>
      </c>
      <c r="S985" s="83">
        <f>Inputs!$H$5+TS!P985*0.4333</f>
        <v>1860.39817045</v>
      </c>
      <c r="T985" s="83">
        <f>Inputs!$G$5+TS!P985*0.4333</f>
        <v>1875.39817045</v>
      </c>
      <c r="U985" s="85">
        <f t="shared" si="280"/>
        <v>0.93769908522500001</v>
      </c>
      <c r="V985" s="86">
        <f t="shared" si="268"/>
        <v>0</v>
      </c>
      <c r="W985" s="86">
        <f t="shared" si="269"/>
        <v>0</v>
      </c>
      <c r="X985" s="86" t="e">
        <f>((PI()*((42-2*'Gen Calcs'!$E$13)^2)/4)/144)*(A1028-#REF!)*(W985+14.7)/14.7</f>
        <v>#REF!</v>
      </c>
      <c r="Y985" s="86" t="e">
        <f t="shared" si="270"/>
        <v>#REF!</v>
      </c>
      <c r="Z985" s="86" t="e">
        <f t="shared" si="271"/>
        <v>#REF!</v>
      </c>
      <c r="AA985" s="83">
        <f>MAX(B$2:B985)-B985</f>
        <v>79.386500000000069</v>
      </c>
      <c r="AB985" s="83">
        <f t="shared" si="272"/>
        <v>34.374354500000031</v>
      </c>
      <c r="AC985" s="83">
        <f t="shared" si="274"/>
        <v>120</v>
      </c>
      <c r="AD985" s="72">
        <v>120</v>
      </c>
      <c r="AE985" s="73">
        <f t="shared" si="281"/>
        <v>214.45076940103766</v>
      </c>
      <c r="AF985" s="73">
        <f>SUM(AE$2:AE985)</f>
        <v>825370.3898266789</v>
      </c>
      <c r="AG985" s="73">
        <f t="shared" si="282"/>
        <v>348359.51260043029</v>
      </c>
    </row>
    <row r="986" spans="1:33" x14ac:dyDescent="0.25">
      <c r="A986" s="100">
        <v>186996.3</v>
      </c>
      <c r="B986" s="97">
        <v>858.80449999999996</v>
      </c>
      <c r="C986" s="97">
        <v>0.86399999999999999</v>
      </c>
      <c r="D986" s="80">
        <f t="shared" si="267"/>
        <v>96.379999999975553</v>
      </c>
      <c r="E986" s="81">
        <f t="shared" si="275"/>
        <v>6545.40065022199</v>
      </c>
      <c r="F986" s="81">
        <f>SUM(E$2:E986)</f>
        <v>6175479.4770790897</v>
      </c>
      <c r="G986" s="43">
        <f t="shared" si="273"/>
        <v>2</v>
      </c>
      <c r="H986" s="78">
        <v>1</v>
      </c>
      <c r="I986" s="15">
        <f t="shared" si="276"/>
        <v>0.86399999999999999</v>
      </c>
      <c r="J986" s="16">
        <f>VLOOKUP(G986,Inputs!$L$3:$P$15,5,FALSE)</f>
        <v>2880</v>
      </c>
      <c r="K986" s="16">
        <f t="shared" si="277"/>
        <v>1825</v>
      </c>
      <c r="L986" s="79">
        <f>Inputs!$P$8-B986</f>
        <v>79.386500000000069</v>
      </c>
      <c r="M986" s="79">
        <f>Inputs!$Q$8+L986*0.433</f>
        <v>1859.3743545</v>
      </c>
      <c r="N986" s="82">
        <f t="shared" si="278"/>
        <v>186996.3</v>
      </c>
      <c r="O986" s="83">
        <f t="shared" si="279"/>
        <v>858.80449999999996</v>
      </c>
      <c r="P986" s="84">
        <f>IF(O986="","",Inputs!$C$5-O986)</f>
        <v>-33.620000000000005</v>
      </c>
      <c r="Q986" s="83">
        <f>IF(N986="","",TS!J986)</f>
        <v>2880</v>
      </c>
      <c r="R986" s="83">
        <f>IF(N986="","",TS!K986)</f>
        <v>1825</v>
      </c>
      <c r="S986" s="83">
        <f>Inputs!$H$5+TS!P986*0.4333</f>
        <v>1860.39817045</v>
      </c>
      <c r="T986" s="83">
        <f>Inputs!$G$5+TS!P986*0.4333</f>
        <v>1875.39817045</v>
      </c>
      <c r="U986" s="85">
        <f t="shared" si="280"/>
        <v>0.65117992029513883</v>
      </c>
      <c r="V986" s="86">
        <f t="shared" si="268"/>
        <v>0</v>
      </c>
      <c r="W986" s="86">
        <f t="shared" si="269"/>
        <v>0</v>
      </c>
      <c r="X986" s="86" t="e">
        <f>((PI()*((42-2*'Gen Calcs'!$E$13)^2)/4)/144)*(A1029-#REF!)*(W986+14.7)/14.7</f>
        <v>#REF!</v>
      </c>
      <c r="Y986" s="86" t="e">
        <f t="shared" si="270"/>
        <v>#REF!</v>
      </c>
      <c r="Z986" s="86" t="e">
        <f t="shared" si="271"/>
        <v>#REF!</v>
      </c>
      <c r="AA986" s="83">
        <f>MAX(B$2:B986)-B986</f>
        <v>79.386500000000069</v>
      </c>
      <c r="AB986" s="83">
        <f t="shared" si="272"/>
        <v>34.374354500000031</v>
      </c>
      <c r="AC986" s="83">
        <f t="shared" si="274"/>
        <v>120</v>
      </c>
      <c r="AD986" s="72">
        <v>120</v>
      </c>
      <c r="AE986" s="73">
        <f t="shared" si="281"/>
        <v>852.55166647020224</v>
      </c>
      <c r="AF986" s="73">
        <f>SUM(AE$2:AE986)</f>
        <v>826222.94149314915</v>
      </c>
      <c r="AG986" s="73">
        <f t="shared" si="282"/>
        <v>347506.96093396004</v>
      </c>
    </row>
    <row r="987" spans="1:33" x14ac:dyDescent="0.25">
      <c r="A987" s="99">
        <v>186999.92</v>
      </c>
      <c r="B987" s="96">
        <v>857.33870000000002</v>
      </c>
      <c r="C987" s="96">
        <v>0.6</v>
      </c>
      <c r="D987" s="80">
        <f t="shared" si="267"/>
        <v>3.6200000000244472</v>
      </c>
      <c r="E987" s="81">
        <f t="shared" si="275"/>
        <v>245.84302089613644</v>
      </c>
      <c r="F987" s="81">
        <f>SUM(E$2:E987)</f>
        <v>6175725.3200999862</v>
      </c>
      <c r="G987" s="43">
        <f t="shared" si="273"/>
        <v>1</v>
      </c>
      <c r="H987" s="78">
        <v>1</v>
      </c>
      <c r="I987" s="15">
        <f t="shared" si="276"/>
        <v>0.6</v>
      </c>
      <c r="J987" s="16">
        <f>VLOOKUP(G987,Inputs!$L$3:$P$15,5,FALSE)</f>
        <v>2000</v>
      </c>
      <c r="K987" s="16">
        <f t="shared" si="277"/>
        <v>1825</v>
      </c>
      <c r="L987" s="79">
        <f>Inputs!$P$8-B987</f>
        <v>80.852300000000014</v>
      </c>
      <c r="M987" s="79">
        <f>Inputs!$Q$8+L987*0.433</f>
        <v>1860.0090459</v>
      </c>
      <c r="N987" s="82">
        <f t="shared" si="278"/>
        <v>186999.92</v>
      </c>
      <c r="O987" s="83">
        <f t="shared" si="279"/>
        <v>857.33870000000002</v>
      </c>
      <c r="P987" s="84">
        <f>IF(O987="","",Inputs!$C$5-O987)</f>
        <v>-32.15420000000006</v>
      </c>
      <c r="Q987" s="83">
        <f>IF(N987="","",TS!J987)</f>
        <v>2000</v>
      </c>
      <c r="R987" s="83">
        <f>IF(N987="","",TS!K987)</f>
        <v>1825</v>
      </c>
      <c r="S987" s="83">
        <f>Inputs!$H$5+TS!P987*0.4333</f>
        <v>1861.0333015899998</v>
      </c>
      <c r="T987" s="83">
        <f>Inputs!$G$5+TS!P987*0.4333</f>
        <v>1876.0333015899998</v>
      </c>
      <c r="U987" s="85">
        <f t="shared" si="280"/>
        <v>0.93801665079499996</v>
      </c>
      <c r="V987" s="86">
        <f t="shared" si="268"/>
        <v>0</v>
      </c>
      <c r="W987" s="86">
        <f t="shared" si="269"/>
        <v>0</v>
      </c>
      <c r="X987" s="86" t="e">
        <f>((PI()*((42-2*'Gen Calcs'!$E$13)^2)/4)/144)*(A1030-#REF!)*(W987+14.7)/14.7</f>
        <v>#REF!</v>
      </c>
      <c r="Y987" s="86" t="e">
        <f t="shared" si="270"/>
        <v>#REF!</v>
      </c>
      <c r="Z987" s="86" t="e">
        <f t="shared" si="271"/>
        <v>#REF!</v>
      </c>
      <c r="AA987" s="83">
        <f>MAX(B$2:B987)-B987</f>
        <v>80.852300000000014</v>
      </c>
      <c r="AB987" s="83">
        <f t="shared" si="272"/>
        <v>35.009045900000004</v>
      </c>
      <c r="AC987" s="83">
        <f t="shared" si="274"/>
        <v>120</v>
      </c>
      <c r="AD987" s="72">
        <v>120</v>
      </c>
      <c r="AE987" s="73">
        <f t="shared" si="281"/>
        <v>32.866714023547651</v>
      </c>
      <c r="AF987" s="73">
        <f>SUM(AE$2:AE987)</f>
        <v>826255.80820717267</v>
      </c>
      <c r="AG987" s="73">
        <f t="shared" si="282"/>
        <v>347474.09421993652</v>
      </c>
    </row>
    <row r="988" spans="1:33" x14ac:dyDescent="0.25">
      <c r="A988" s="100">
        <v>187099.92</v>
      </c>
      <c r="B988" s="97">
        <v>853.22580000000005</v>
      </c>
      <c r="C988" s="97">
        <v>0.6</v>
      </c>
      <c r="D988" s="80">
        <f t="shared" si="267"/>
        <v>100</v>
      </c>
      <c r="E988" s="81">
        <f t="shared" si="275"/>
        <v>6791.2436711181272</v>
      </c>
      <c r="F988" s="81">
        <f>SUM(E$2:E988)</f>
        <v>6182516.5637711044</v>
      </c>
      <c r="G988" s="43">
        <f t="shared" si="273"/>
        <v>1</v>
      </c>
      <c r="H988" s="78">
        <v>1</v>
      </c>
      <c r="I988" s="15">
        <f t="shared" si="276"/>
        <v>0.6</v>
      </c>
      <c r="J988" s="16">
        <f>VLOOKUP(G988,Inputs!$L$3:$P$15,5,FALSE)</f>
        <v>2000</v>
      </c>
      <c r="K988" s="16">
        <f t="shared" si="277"/>
        <v>1825</v>
      </c>
      <c r="L988" s="79">
        <f>Inputs!$P$8-B988</f>
        <v>84.965199999999982</v>
      </c>
      <c r="M988" s="79">
        <f>Inputs!$Q$8+L988*0.433</f>
        <v>1861.7899316</v>
      </c>
      <c r="N988" s="82">
        <f t="shared" si="278"/>
        <v>187099.92</v>
      </c>
      <c r="O988" s="83">
        <f t="shared" si="279"/>
        <v>853.22580000000005</v>
      </c>
      <c r="P988" s="84">
        <f>IF(O988="","",Inputs!$C$5-O988)</f>
        <v>-28.041300000000092</v>
      </c>
      <c r="Q988" s="83">
        <f>IF(N988="","",TS!J988)</f>
        <v>2000</v>
      </c>
      <c r="R988" s="83">
        <f>IF(N988="","",TS!K988)</f>
        <v>1825</v>
      </c>
      <c r="S988" s="83">
        <f>Inputs!$H$5+TS!P988*0.4333</f>
        <v>1862.8154211599999</v>
      </c>
      <c r="T988" s="83">
        <f>Inputs!$G$5+TS!P988*0.4333</f>
        <v>1877.8154211599999</v>
      </c>
      <c r="U988" s="85">
        <f t="shared" si="280"/>
        <v>0.93890771058</v>
      </c>
      <c r="V988" s="86">
        <f t="shared" si="268"/>
        <v>0</v>
      </c>
      <c r="W988" s="86">
        <f t="shared" si="269"/>
        <v>0</v>
      </c>
      <c r="X988" s="86" t="e">
        <f>((PI()*((42-2*'Gen Calcs'!$E$13)^2)/4)/144)*(A1031-#REF!)*(W988+14.7)/14.7</f>
        <v>#REF!</v>
      </c>
      <c r="Y988" s="86" t="e">
        <f t="shared" si="270"/>
        <v>#REF!</v>
      </c>
      <c r="Z988" s="86" t="e">
        <f t="shared" si="271"/>
        <v>#REF!</v>
      </c>
      <c r="AA988" s="83">
        <f>MAX(B$2:B988)-B988</f>
        <v>84.965199999999982</v>
      </c>
      <c r="AB988" s="83">
        <f t="shared" si="272"/>
        <v>36.789931599999989</v>
      </c>
      <c r="AC988" s="83">
        <f t="shared" si="274"/>
        <v>120</v>
      </c>
      <c r="AD988" s="72">
        <v>120</v>
      </c>
      <c r="AE988" s="73">
        <f t="shared" si="281"/>
        <v>907.92027688745009</v>
      </c>
      <c r="AF988" s="73">
        <f>SUM(AE$2:AE988)</f>
        <v>827163.72848406015</v>
      </c>
      <c r="AG988" s="73">
        <f t="shared" si="282"/>
        <v>346566.17394304904</v>
      </c>
    </row>
    <row r="989" spans="1:33" x14ac:dyDescent="0.25">
      <c r="A989" s="99">
        <v>187199.92</v>
      </c>
      <c r="B989" s="96">
        <v>854.99940000000004</v>
      </c>
      <c r="C989" s="96">
        <v>0.6</v>
      </c>
      <c r="D989" s="80">
        <f t="shared" si="267"/>
        <v>100</v>
      </c>
      <c r="E989" s="81">
        <f t="shared" si="275"/>
        <v>6791.2436711181272</v>
      </c>
      <c r="F989" s="81">
        <f>SUM(E$2:E989)</f>
        <v>6189307.8074422227</v>
      </c>
      <c r="G989" s="43">
        <f t="shared" si="273"/>
        <v>1</v>
      </c>
      <c r="H989" s="78">
        <v>1</v>
      </c>
      <c r="I989" s="15">
        <f t="shared" si="276"/>
        <v>0.6</v>
      </c>
      <c r="J989" s="16">
        <f>VLOOKUP(G989,Inputs!$L$3:$P$15,5,FALSE)</f>
        <v>2000</v>
      </c>
      <c r="K989" s="16">
        <f t="shared" si="277"/>
        <v>1825</v>
      </c>
      <c r="L989" s="79">
        <f>Inputs!$P$8-B989</f>
        <v>83.191599999999994</v>
      </c>
      <c r="M989" s="79">
        <f>Inputs!$Q$8+L989*0.433</f>
        <v>1861.0219628</v>
      </c>
      <c r="N989" s="82">
        <f t="shared" si="278"/>
        <v>187199.92</v>
      </c>
      <c r="O989" s="83">
        <f t="shared" si="279"/>
        <v>854.99940000000004</v>
      </c>
      <c r="P989" s="84">
        <f>IF(O989="","",Inputs!$C$5-O989)</f>
        <v>-29.81490000000008</v>
      </c>
      <c r="Q989" s="83">
        <f>IF(N989="","",TS!J989)</f>
        <v>2000</v>
      </c>
      <c r="R989" s="83">
        <f>IF(N989="","",TS!K989)</f>
        <v>1825</v>
      </c>
      <c r="S989" s="83">
        <f>Inputs!$H$5+TS!P989*0.4333</f>
        <v>1862.04692028</v>
      </c>
      <c r="T989" s="83">
        <f>Inputs!$G$5+TS!P989*0.4333</f>
        <v>1877.04692028</v>
      </c>
      <c r="U989" s="85">
        <f t="shared" si="280"/>
        <v>0.93852346013999999</v>
      </c>
      <c r="V989" s="86">
        <f t="shared" si="268"/>
        <v>0</v>
      </c>
      <c r="W989" s="86">
        <f t="shared" si="269"/>
        <v>0</v>
      </c>
      <c r="X989" s="86" t="e">
        <f>((PI()*((42-2*'Gen Calcs'!$E$13)^2)/4)/144)*(A1032-#REF!)*(W989+14.7)/14.7</f>
        <v>#REF!</v>
      </c>
      <c r="Y989" s="86" t="e">
        <f t="shared" si="270"/>
        <v>#REF!</v>
      </c>
      <c r="Z989" s="86" t="e">
        <f t="shared" si="271"/>
        <v>#REF!</v>
      </c>
      <c r="AA989" s="83">
        <f>MAX(B$2:B989)-B989</f>
        <v>83.191599999999994</v>
      </c>
      <c r="AB989" s="83">
        <f t="shared" si="272"/>
        <v>36.021962799999997</v>
      </c>
      <c r="AC989" s="83">
        <f t="shared" si="274"/>
        <v>120</v>
      </c>
      <c r="AD989" s="72">
        <v>120</v>
      </c>
      <c r="AE989" s="73">
        <f t="shared" si="281"/>
        <v>907.92027688745009</v>
      </c>
      <c r="AF989" s="73">
        <f>SUM(AE$2:AE989)</f>
        <v>828071.64876094763</v>
      </c>
      <c r="AG989" s="73">
        <f t="shared" si="282"/>
        <v>345658.25366616156</v>
      </c>
    </row>
    <row r="990" spans="1:33" x14ac:dyDescent="0.25">
      <c r="A990" s="100">
        <v>187299.92</v>
      </c>
      <c r="B990" s="97">
        <v>853.65020000000004</v>
      </c>
      <c r="C990" s="97">
        <v>0.6</v>
      </c>
      <c r="D990" s="80">
        <f t="shared" si="267"/>
        <v>100</v>
      </c>
      <c r="E990" s="81">
        <f t="shared" si="275"/>
        <v>6791.2436711181272</v>
      </c>
      <c r="F990" s="81">
        <f>SUM(E$2:E990)</f>
        <v>6196099.051113341</v>
      </c>
      <c r="G990" s="43">
        <f t="shared" si="273"/>
        <v>1</v>
      </c>
      <c r="H990" s="78">
        <v>1</v>
      </c>
      <c r="I990" s="15">
        <f t="shared" si="276"/>
        <v>0.6</v>
      </c>
      <c r="J990" s="16">
        <f>VLOOKUP(G990,Inputs!$L$3:$P$15,5,FALSE)</f>
        <v>2000</v>
      </c>
      <c r="K990" s="16">
        <f t="shared" si="277"/>
        <v>1825</v>
      </c>
      <c r="L990" s="79">
        <f>Inputs!$P$8-B990</f>
        <v>84.54079999999999</v>
      </c>
      <c r="M990" s="79">
        <f>Inputs!$Q$8+L990*0.433</f>
        <v>1861.6061663999999</v>
      </c>
      <c r="N990" s="82">
        <f t="shared" si="278"/>
        <v>187299.92</v>
      </c>
      <c r="O990" s="83">
        <f t="shared" si="279"/>
        <v>853.65020000000004</v>
      </c>
      <c r="P990" s="84">
        <f>IF(O990="","",Inputs!$C$5-O990)</f>
        <v>-28.465700000000083</v>
      </c>
      <c r="Q990" s="83">
        <f>IF(N990="","",TS!J990)</f>
        <v>2000</v>
      </c>
      <c r="R990" s="83">
        <f>IF(N990="","",TS!K990)</f>
        <v>1825</v>
      </c>
      <c r="S990" s="83">
        <f>Inputs!$H$5+TS!P990*0.4333</f>
        <v>1862.6315286399999</v>
      </c>
      <c r="T990" s="83">
        <f>Inputs!$G$5+TS!P990*0.4333</f>
        <v>1877.6315286399999</v>
      </c>
      <c r="U990" s="85">
        <f t="shared" si="280"/>
        <v>0.93881576432000002</v>
      </c>
      <c r="V990" s="86">
        <f t="shared" si="268"/>
        <v>0</v>
      </c>
      <c r="W990" s="86">
        <f t="shared" si="269"/>
        <v>0</v>
      </c>
      <c r="X990" s="86" t="e">
        <f>((PI()*((42-2*'Gen Calcs'!$E$13)^2)/4)/144)*(A1033-#REF!)*(W990+14.7)/14.7</f>
        <v>#REF!</v>
      </c>
      <c r="Y990" s="86" t="e">
        <f t="shared" si="270"/>
        <v>#REF!</v>
      </c>
      <c r="Z990" s="86" t="e">
        <f t="shared" si="271"/>
        <v>#REF!</v>
      </c>
      <c r="AA990" s="83">
        <f>MAX(B$2:B990)-B990</f>
        <v>84.54079999999999</v>
      </c>
      <c r="AB990" s="83">
        <f t="shared" si="272"/>
        <v>36.606166399999992</v>
      </c>
      <c r="AC990" s="83">
        <f t="shared" si="274"/>
        <v>120</v>
      </c>
      <c r="AD990" s="72">
        <v>120</v>
      </c>
      <c r="AE990" s="73">
        <f t="shared" si="281"/>
        <v>907.92027688745009</v>
      </c>
      <c r="AF990" s="73">
        <f>SUM(AE$2:AE990)</f>
        <v>828979.56903783511</v>
      </c>
      <c r="AG990" s="73">
        <f t="shared" si="282"/>
        <v>344750.33338927408</v>
      </c>
    </row>
    <row r="991" spans="1:33" x14ac:dyDescent="0.25">
      <c r="A991" s="99">
        <v>187399.92</v>
      </c>
      <c r="B991" s="96">
        <v>852.28269999999998</v>
      </c>
      <c r="C991" s="96">
        <v>0.6</v>
      </c>
      <c r="D991" s="80">
        <f t="shared" si="267"/>
        <v>100</v>
      </c>
      <c r="E991" s="81">
        <f t="shared" si="275"/>
        <v>6791.2436711181272</v>
      </c>
      <c r="F991" s="81">
        <f>SUM(E$2:E991)</f>
        <v>6202890.2947844593</v>
      </c>
      <c r="G991" s="43">
        <f t="shared" si="273"/>
        <v>1</v>
      </c>
      <c r="H991" s="78">
        <v>1</v>
      </c>
      <c r="I991" s="15">
        <f t="shared" si="276"/>
        <v>0.6</v>
      </c>
      <c r="J991" s="16">
        <f>VLOOKUP(G991,Inputs!$L$3:$P$15,5,FALSE)</f>
        <v>2000</v>
      </c>
      <c r="K991" s="16">
        <f t="shared" si="277"/>
        <v>1825</v>
      </c>
      <c r="L991" s="79">
        <f>Inputs!$P$8-B991</f>
        <v>85.908300000000054</v>
      </c>
      <c r="M991" s="79">
        <f>Inputs!$Q$8+L991*0.433</f>
        <v>1862.1982939</v>
      </c>
      <c r="N991" s="82">
        <f t="shared" si="278"/>
        <v>187399.92</v>
      </c>
      <c r="O991" s="83">
        <f t="shared" si="279"/>
        <v>852.28269999999998</v>
      </c>
      <c r="P991" s="84">
        <f>IF(O991="","",Inputs!$C$5-O991)</f>
        <v>-27.09820000000002</v>
      </c>
      <c r="Q991" s="83">
        <f>IF(N991="","",TS!J991)</f>
        <v>2000</v>
      </c>
      <c r="R991" s="83">
        <f>IF(N991="","",TS!K991)</f>
        <v>1825</v>
      </c>
      <c r="S991" s="83">
        <f>Inputs!$H$5+TS!P991*0.4333</f>
        <v>1863.22406639</v>
      </c>
      <c r="T991" s="83">
        <f>Inputs!$G$5+TS!P991*0.4333</f>
        <v>1878.22406639</v>
      </c>
      <c r="U991" s="85">
        <f t="shared" si="280"/>
        <v>0.93911203319500003</v>
      </c>
      <c r="V991" s="86">
        <f t="shared" si="268"/>
        <v>0</v>
      </c>
      <c r="W991" s="86">
        <f t="shared" si="269"/>
        <v>0</v>
      </c>
      <c r="X991" s="86" t="e">
        <f>((PI()*((42-2*'Gen Calcs'!$E$13)^2)/4)/144)*(A1034-#REF!)*(W991+14.7)/14.7</f>
        <v>#REF!</v>
      </c>
      <c r="Y991" s="86" t="e">
        <f t="shared" si="270"/>
        <v>#REF!</v>
      </c>
      <c r="Z991" s="86" t="e">
        <f t="shared" si="271"/>
        <v>#REF!</v>
      </c>
      <c r="AA991" s="83">
        <f>MAX(B$2:B991)-B991</f>
        <v>85.908300000000054</v>
      </c>
      <c r="AB991" s="83">
        <f t="shared" si="272"/>
        <v>37.198293900000024</v>
      </c>
      <c r="AC991" s="83">
        <f t="shared" si="274"/>
        <v>120</v>
      </c>
      <c r="AD991" s="72">
        <v>120</v>
      </c>
      <c r="AE991" s="73">
        <f t="shared" si="281"/>
        <v>907.92027688745009</v>
      </c>
      <c r="AF991" s="73">
        <f>SUM(AE$2:AE991)</f>
        <v>829887.4893147226</v>
      </c>
      <c r="AG991" s="73">
        <f t="shared" si="282"/>
        <v>343842.4131123866</v>
      </c>
    </row>
    <row r="992" spans="1:33" x14ac:dyDescent="0.25">
      <c r="A992" s="100">
        <v>187499.92</v>
      </c>
      <c r="B992" s="97">
        <v>851.91179999999997</v>
      </c>
      <c r="C992" s="97">
        <v>0.6</v>
      </c>
      <c r="D992" s="80">
        <f t="shared" si="267"/>
        <v>100</v>
      </c>
      <c r="E992" s="81">
        <f t="shared" si="275"/>
        <v>6791.2436711181272</v>
      </c>
      <c r="F992" s="81">
        <f>SUM(E$2:E992)</f>
        <v>6209681.5384555776</v>
      </c>
      <c r="G992" s="43">
        <f t="shared" si="273"/>
        <v>1</v>
      </c>
      <c r="H992" s="78">
        <v>1</v>
      </c>
      <c r="I992" s="15">
        <f t="shared" si="276"/>
        <v>0.6</v>
      </c>
      <c r="J992" s="16">
        <f>VLOOKUP(G992,Inputs!$L$3:$P$15,5,FALSE)</f>
        <v>2000</v>
      </c>
      <c r="K992" s="16">
        <f t="shared" si="277"/>
        <v>1825</v>
      </c>
      <c r="L992" s="79">
        <f>Inputs!$P$8-B992</f>
        <v>86.27920000000006</v>
      </c>
      <c r="M992" s="79">
        <f>Inputs!$Q$8+L992*0.433</f>
        <v>1862.3588936000001</v>
      </c>
      <c r="N992" s="82">
        <f t="shared" si="278"/>
        <v>187499.92</v>
      </c>
      <c r="O992" s="83">
        <f t="shared" si="279"/>
        <v>851.91179999999997</v>
      </c>
      <c r="P992" s="84">
        <f>IF(O992="","",Inputs!$C$5-O992)</f>
        <v>-26.727300000000014</v>
      </c>
      <c r="Q992" s="83">
        <f>IF(N992="","",TS!J992)</f>
        <v>2000</v>
      </c>
      <c r="R992" s="83">
        <f>IF(N992="","",TS!K992)</f>
        <v>1825</v>
      </c>
      <c r="S992" s="83">
        <f>Inputs!$H$5+TS!P992*0.4333</f>
        <v>1863.38477736</v>
      </c>
      <c r="T992" s="83">
        <f>Inputs!$G$5+TS!P992*0.4333</f>
        <v>1878.38477736</v>
      </c>
      <c r="U992" s="85">
        <f t="shared" si="280"/>
        <v>0.93919238867999999</v>
      </c>
      <c r="V992" s="86">
        <f t="shared" si="268"/>
        <v>0</v>
      </c>
      <c r="W992" s="86">
        <f t="shared" si="269"/>
        <v>0</v>
      </c>
      <c r="X992" s="86" t="e">
        <f>((PI()*((42-2*'Gen Calcs'!$E$13)^2)/4)/144)*(A1035-#REF!)*(W992+14.7)/14.7</f>
        <v>#REF!</v>
      </c>
      <c r="Y992" s="86" t="e">
        <f t="shared" si="270"/>
        <v>#REF!</v>
      </c>
      <c r="Z992" s="86" t="e">
        <f t="shared" si="271"/>
        <v>#REF!</v>
      </c>
      <c r="AA992" s="83">
        <f>MAX(B$2:B992)-B992</f>
        <v>86.27920000000006</v>
      </c>
      <c r="AB992" s="83">
        <f t="shared" si="272"/>
        <v>37.358893600000023</v>
      </c>
      <c r="AC992" s="83">
        <f t="shared" si="274"/>
        <v>120</v>
      </c>
      <c r="AD992" s="72">
        <v>120</v>
      </c>
      <c r="AE992" s="73">
        <f t="shared" si="281"/>
        <v>907.92027688745009</v>
      </c>
      <c r="AF992" s="73">
        <f>SUM(AE$2:AE992)</f>
        <v>830795.40959161008</v>
      </c>
      <c r="AG992" s="73">
        <f t="shared" si="282"/>
        <v>342934.49283549911</v>
      </c>
    </row>
    <row r="993" spans="1:33" x14ac:dyDescent="0.25">
      <c r="A993" s="99">
        <v>187599.92</v>
      </c>
      <c r="B993" s="96">
        <v>848.70140000000004</v>
      </c>
      <c r="C993" s="96">
        <v>0.6</v>
      </c>
      <c r="D993" s="80">
        <f t="shared" ref="D993:D1056" si="283">A993-A992</f>
        <v>100</v>
      </c>
      <c r="E993" s="81">
        <f t="shared" si="275"/>
        <v>6791.2436711181272</v>
      </c>
      <c r="F993" s="81">
        <f>SUM(E$2:E993)</f>
        <v>6216472.7821266958</v>
      </c>
      <c r="G993" s="43">
        <f t="shared" si="273"/>
        <v>1</v>
      </c>
      <c r="H993" s="78">
        <v>1</v>
      </c>
      <c r="I993" s="15">
        <f t="shared" si="276"/>
        <v>0.6</v>
      </c>
      <c r="J993" s="16">
        <f>VLOOKUP(G993,Inputs!$L$3:$P$15,5,FALSE)</f>
        <v>2000</v>
      </c>
      <c r="K993" s="16">
        <f t="shared" si="277"/>
        <v>1825</v>
      </c>
      <c r="L993" s="79">
        <f>Inputs!$P$8-B993</f>
        <v>89.489599999999996</v>
      </c>
      <c r="M993" s="79">
        <f>Inputs!$Q$8+L993*0.433</f>
        <v>1863.7489968</v>
      </c>
      <c r="N993" s="82">
        <f t="shared" si="278"/>
        <v>187599.92</v>
      </c>
      <c r="O993" s="83">
        <f t="shared" si="279"/>
        <v>848.70140000000004</v>
      </c>
      <c r="P993" s="84">
        <f>IF(O993="","",Inputs!$C$5-O993)</f>
        <v>-23.516900000000078</v>
      </c>
      <c r="Q993" s="83">
        <f>IF(N993="","",TS!J993)</f>
        <v>2000</v>
      </c>
      <c r="R993" s="83">
        <f>IF(N993="","",TS!K993)</f>
        <v>1825</v>
      </c>
      <c r="S993" s="83">
        <f>Inputs!$H$5+TS!P993*0.4333</f>
        <v>1864.77584368</v>
      </c>
      <c r="T993" s="83">
        <f>Inputs!$G$5+TS!P993*0.4333</f>
        <v>1879.77584368</v>
      </c>
      <c r="U993" s="85">
        <f t="shared" si="280"/>
        <v>0.93988792184000003</v>
      </c>
      <c r="V993" s="86">
        <f t="shared" si="268"/>
        <v>0</v>
      </c>
      <c r="W993" s="86">
        <f t="shared" si="269"/>
        <v>0</v>
      </c>
      <c r="X993" s="86" t="e">
        <f>((PI()*((42-2*'Gen Calcs'!$E$13)^2)/4)/144)*(A1036-#REF!)*(W993+14.7)/14.7</f>
        <v>#REF!</v>
      </c>
      <c r="Y993" s="86" t="e">
        <f t="shared" si="270"/>
        <v>#REF!</v>
      </c>
      <c r="Z993" s="86" t="e">
        <f t="shared" si="271"/>
        <v>#REF!</v>
      </c>
      <c r="AA993" s="83">
        <f>MAX(B$2:B993)-B993</f>
        <v>89.489599999999996</v>
      </c>
      <c r="AB993" s="83">
        <f t="shared" si="272"/>
        <v>38.7489968</v>
      </c>
      <c r="AC993" s="83">
        <f t="shared" si="274"/>
        <v>120</v>
      </c>
      <c r="AD993" s="72">
        <v>120</v>
      </c>
      <c r="AE993" s="73">
        <f t="shared" si="281"/>
        <v>907.92027688745009</v>
      </c>
      <c r="AF993" s="73">
        <f>SUM(AE$2:AE993)</f>
        <v>831703.32986849756</v>
      </c>
      <c r="AG993" s="73">
        <f t="shared" si="282"/>
        <v>342026.57255861163</v>
      </c>
    </row>
    <row r="994" spans="1:33" x14ac:dyDescent="0.25">
      <c r="A994" s="100">
        <v>187699.92</v>
      </c>
      <c r="B994" s="97">
        <v>850.41179999999997</v>
      </c>
      <c r="C994" s="97">
        <v>0.6</v>
      </c>
      <c r="D994" s="80">
        <f t="shared" si="283"/>
        <v>100</v>
      </c>
      <c r="E994" s="81">
        <f t="shared" si="275"/>
        <v>6791.2436711181272</v>
      </c>
      <c r="F994" s="81">
        <f>SUM(E$2:E994)</f>
        <v>6223264.0257978141</v>
      </c>
      <c r="G994" s="43">
        <f t="shared" si="273"/>
        <v>1</v>
      </c>
      <c r="H994" s="78">
        <v>1</v>
      </c>
      <c r="I994" s="15">
        <f t="shared" si="276"/>
        <v>0.6</v>
      </c>
      <c r="J994" s="16">
        <f>VLOOKUP(G994,Inputs!$L$3:$P$15,5,FALSE)</f>
        <v>2000</v>
      </c>
      <c r="K994" s="16">
        <f t="shared" si="277"/>
        <v>1825</v>
      </c>
      <c r="L994" s="79">
        <f>Inputs!$P$8-B994</f>
        <v>87.77920000000006</v>
      </c>
      <c r="M994" s="79">
        <f>Inputs!$Q$8+L994*0.433</f>
        <v>1863.0083936000001</v>
      </c>
      <c r="N994" s="82">
        <f t="shared" si="278"/>
        <v>187699.92</v>
      </c>
      <c r="O994" s="83">
        <f t="shared" si="279"/>
        <v>850.41179999999997</v>
      </c>
      <c r="P994" s="84">
        <f>IF(O994="","",Inputs!$C$5-O994)</f>
        <v>-25.227300000000014</v>
      </c>
      <c r="Q994" s="83">
        <f>IF(N994="","",TS!J994)</f>
        <v>2000</v>
      </c>
      <c r="R994" s="83">
        <f>IF(N994="","",TS!K994)</f>
        <v>1825</v>
      </c>
      <c r="S994" s="83">
        <f>Inputs!$H$5+TS!P994*0.4333</f>
        <v>1864.03472736</v>
      </c>
      <c r="T994" s="83">
        <f>Inputs!$G$5+TS!P994*0.4333</f>
        <v>1879.03472736</v>
      </c>
      <c r="U994" s="85">
        <f t="shared" si="280"/>
        <v>0.93951736368000005</v>
      </c>
      <c r="V994" s="86">
        <f t="shared" si="268"/>
        <v>0</v>
      </c>
      <c r="W994" s="86">
        <f t="shared" si="269"/>
        <v>0</v>
      </c>
      <c r="X994" s="86" t="e">
        <f>((PI()*((42-2*'Gen Calcs'!$E$13)^2)/4)/144)*(A1037-#REF!)*(W994+14.7)/14.7</f>
        <v>#REF!</v>
      </c>
      <c r="Y994" s="86" t="e">
        <f t="shared" si="270"/>
        <v>#REF!</v>
      </c>
      <c r="Z994" s="86" t="e">
        <f t="shared" si="271"/>
        <v>#REF!</v>
      </c>
      <c r="AA994" s="83">
        <f>MAX(B$2:B994)-B994</f>
        <v>87.77920000000006</v>
      </c>
      <c r="AB994" s="83">
        <f t="shared" si="272"/>
        <v>38.008393600000026</v>
      </c>
      <c r="AC994" s="83">
        <f t="shared" si="274"/>
        <v>120</v>
      </c>
      <c r="AD994" s="72">
        <v>120</v>
      </c>
      <c r="AE994" s="73">
        <f t="shared" si="281"/>
        <v>907.92027688745009</v>
      </c>
      <c r="AF994" s="73">
        <f>SUM(AE$2:AE994)</f>
        <v>832611.25014538504</v>
      </c>
      <c r="AG994" s="73">
        <f t="shared" si="282"/>
        <v>341118.65228172415</v>
      </c>
    </row>
    <row r="995" spans="1:33" x14ac:dyDescent="0.25">
      <c r="A995" s="99">
        <v>187799.92</v>
      </c>
      <c r="B995" s="96">
        <v>852.65809999999999</v>
      </c>
      <c r="C995" s="96">
        <v>0.6</v>
      </c>
      <c r="D995" s="80">
        <f t="shared" si="283"/>
        <v>100</v>
      </c>
      <c r="E995" s="81">
        <f t="shared" si="275"/>
        <v>6791.2436711181272</v>
      </c>
      <c r="F995" s="81">
        <f>SUM(E$2:E995)</f>
        <v>6230055.2694689324</v>
      </c>
      <c r="G995" s="43">
        <f t="shared" si="273"/>
        <v>1</v>
      </c>
      <c r="H995" s="78">
        <v>1</v>
      </c>
      <c r="I995" s="15">
        <f t="shared" si="276"/>
        <v>0.6</v>
      </c>
      <c r="J995" s="16">
        <f>VLOOKUP(G995,Inputs!$L$3:$P$15,5,FALSE)</f>
        <v>2000</v>
      </c>
      <c r="K995" s="16">
        <f t="shared" si="277"/>
        <v>1825</v>
      </c>
      <c r="L995" s="79">
        <f>Inputs!$P$8-B995</f>
        <v>85.532900000000041</v>
      </c>
      <c r="M995" s="79">
        <f>Inputs!$Q$8+L995*0.433</f>
        <v>1862.0357457</v>
      </c>
      <c r="N995" s="82">
        <f t="shared" si="278"/>
        <v>187799.92</v>
      </c>
      <c r="O995" s="83">
        <f t="shared" si="279"/>
        <v>852.65809999999999</v>
      </c>
      <c r="P995" s="84">
        <f>IF(O995="","",Inputs!$C$5-O995)</f>
        <v>-27.473600000000033</v>
      </c>
      <c r="Q995" s="83">
        <f>IF(N995="","",TS!J995)</f>
        <v>2000</v>
      </c>
      <c r="R995" s="83">
        <f>IF(N995="","",TS!K995)</f>
        <v>1825</v>
      </c>
      <c r="S995" s="83">
        <f>Inputs!$H$5+TS!P995*0.4333</f>
        <v>1863.06140557</v>
      </c>
      <c r="T995" s="83">
        <f>Inputs!$G$5+TS!P995*0.4333</f>
        <v>1878.06140557</v>
      </c>
      <c r="U995" s="85">
        <f t="shared" si="280"/>
        <v>0.939030702785</v>
      </c>
      <c r="V995" s="86">
        <f t="shared" si="268"/>
        <v>0</v>
      </c>
      <c r="W995" s="86">
        <f t="shared" si="269"/>
        <v>0</v>
      </c>
      <c r="X995" s="86" t="e">
        <f>((PI()*((42-2*'Gen Calcs'!$E$13)^2)/4)/144)*(A1038-#REF!)*(W995+14.7)/14.7</f>
        <v>#REF!</v>
      </c>
      <c r="Y995" s="86" t="e">
        <f t="shared" si="270"/>
        <v>#REF!</v>
      </c>
      <c r="Z995" s="86" t="e">
        <f t="shared" si="271"/>
        <v>#REF!</v>
      </c>
      <c r="AA995" s="83">
        <f>MAX(B$2:B995)-B995</f>
        <v>85.532900000000041</v>
      </c>
      <c r="AB995" s="83">
        <f t="shared" si="272"/>
        <v>37.035745700000014</v>
      </c>
      <c r="AC995" s="83">
        <f t="shared" si="274"/>
        <v>120</v>
      </c>
      <c r="AD995" s="72">
        <v>120</v>
      </c>
      <c r="AE995" s="73">
        <f t="shared" si="281"/>
        <v>907.92027688745009</v>
      </c>
      <c r="AF995" s="73">
        <f>SUM(AE$2:AE995)</f>
        <v>833519.17042227252</v>
      </c>
      <c r="AG995" s="73">
        <f t="shared" si="282"/>
        <v>340210.73200483667</v>
      </c>
    </row>
    <row r="996" spans="1:33" x14ac:dyDescent="0.25">
      <c r="A996" s="100">
        <v>187899.92</v>
      </c>
      <c r="B996" s="97">
        <v>853.23580000000004</v>
      </c>
      <c r="C996" s="97">
        <v>0.6</v>
      </c>
      <c r="D996" s="80">
        <f t="shared" si="283"/>
        <v>100</v>
      </c>
      <c r="E996" s="81">
        <f t="shared" si="275"/>
        <v>6791.2436711181272</v>
      </c>
      <c r="F996" s="81">
        <f>SUM(E$2:E996)</f>
        <v>6236846.5131400507</v>
      </c>
      <c r="G996" s="43">
        <f t="shared" si="273"/>
        <v>1</v>
      </c>
      <c r="H996" s="78">
        <v>1</v>
      </c>
      <c r="I996" s="15">
        <f t="shared" si="276"/>
        <v>0.6</v>
      </c>
      <c r="J996" s="16">
        <f>VLOOKUP(G996,Inputs!$L$3:$P$15,5,FALSE)</f>
        <v>2000</v>
      </c>
      <c r="K996" s="16">
        <f t="shared" si="277"/>
        <v>1825</v>
      </c>
      <c r="L996" s="79">
        <f>Inputs!$P$8-B996</f>
        <v>84.955199999999991</v>
      </c>
      <c r="M996" s="79">
        <f>Inputs!$Q$8+L996*0.433</f>
        <v>1861.7856016000001</v>
      </c>
      <c r="N996" s="82">
        <f t="shared" si="278"/>
        <v>187899.92</v>
      </c>
      <c r="O996" s="83">
        <f t="shared" si="279"/>
        <v>853.23580000000004</v>
      </c>
      <c r="P996" s="84">
        <f>IF(O996="","",Inputs!$C$5-O996)</f>
        <v>-28.051300000000083</v>
      </c>
      <c r="Q996" s="83">
        <f>IF(N996="","",TS!J996)</f>
        <v>2000</v>
      </c>
      <c r="R996" s="83">
        <f>IF(N996="","",TS!K996)</f>
        <v>1825</v>
      </c>
      <c r="S996" s="83">
        <f>Inputs!$H$5+TS!P996*0.4333</f>
        <v>1862.8110881599998</v>
      </c>
      <c r="T996" s="83">
        <f>Inputs!$G$5+TS!P996*0.4333</f>
        <v>1877.8110881599998</v>
      </c>
      <c r="U996" s="85">
        <f t="shared" si="280"/>
        <v>0.93890554407999993</v>
      </c>
      <c r="V996" s="86">
        <f t="shared" si="268"/>
        <v>0</v>
      </c>
      <c r="W996" s="86">
        <f t="shared" si="269"/>
        <v>0</v>
      </c>
      <c r="X996" s="86" t="e">
        <f>((PI()*((42-2*'Gen Calcs'!$E$13)^2)/4)/144)*(A1039-#REF!)*(W996+14.7)/14.7</f>
        <v>#REF!</v>
      </c>
      <c r="Y996" s="86" t="e">
        <f t="shared" si="270"/>
        <v>#REF!</v>
      </c>
      <c r="Z996" s="86" t="e">
        <f t="shared" si="271"/>
        <v>#REF!</v>
      </c>
      <c r="AA996" s="83">
        <f>MAX(B$2:B996)-B996</f>
        <v>84.955199999999991</v>
      </c>
      <c r="AB996" s="83">
        <f t="shared" si="272"/>
        <v>36.785601599999993</v>
      </c>
      <c r="AC996" s="83">
        <f t="shared" si="274"/>
        <v>120</v>
      </c>
      <c r="AD996" s="72">
        <v>120</v>
      </c>
      <c r="AE996" s="73">
        <f t="shared" si="281"/>
        <v>907.92027688745009</v>
      </c>
      <c r="AF996" s="73">
        <f>SUM(AE$2:AE996)</f>
        <v>834427.09069916001</v>
      </c>
      <c r="AG996" s="73">
        <f t="shared" si="282"/>
        <v>339302.81172794919</v>
      </c>
    </row>
    <row r="997" spans="1:33" x14ac:dyDescent="0.25">
      <c r="A997" s="99">
        <v>187999.92</v>
      </c>
      <c r="B997" s="96">
        <v>853.99199999999996</v>
      </c>
      <c r="C997" s="96">
        <v>0.6</v>
      </c>
      <c r="D997" s="80">
        <f t="shared" si="283"/>
        <v>100</v>
      </c>
      <c r="E997" s="81">
        <f t="shared" si="275"/>
        <v>6791.2436711181272</v>
      </c>
      <c r="F997" s="81">
        <f>SUM(E$2:E997)</f>
        <v>6243637.756811169</v>
      </c>
      <c r="G997" s="43">
        <f t="shared" si="273"/>
        <v>1</v>
      </c>
      <c r="H997" s="78">
        <v>1</v>
      </c>
      <c r="I997" s="15">
        <f t="shared" si="276"/>
        <v>0.6</v>
      </c>
      <c r="J997" s="16">
        <f>VLOOKUP(G997,Inputs!$L$3:$P$15,5,FALSE)</f>
        <v>2000</v>
      </c>
      <c r="K997" s="16">
        <f t="shared" si="277"/>
        <v>1825</v>
      </c>
      <c r="L997" s="79">
        <f>Inputs!$P$8-B997</f>
        <v>84.199000000000069</v>
      </c>
      <c r="M997" s="79">
        <f>Inputs!$Q$8+L997*0.433</f>
        <v>1861.458167</v>
      </c>
      <c r="N997" s="82">
        <f t="shared" si="278"/>
        <v>187999.92</v>
      </c>
      <c r="O997" s="83">
        <f t="shared" si="279"/>
        <v>853.99199999999996</v>
      </c>
      <c r="P997" s="84">
        <f>IF(O997="","",Inputs!$C$5-O997)</f>
        <v>-28.807500000000005</v>
      </c>
      <c r="Q997" s="83">
        <f>IF(N997="","",TS!J997)</f>
        <v>2000</v>
      </c>
      <c r="R997" s="83">
        <f>IF(N997="","",TS!K997)</f>
        <v>1825</v>
      </c>
      <c r="S997" s="83">
        <f>Inputs!$H$5+TS!P997*0.4333</f>
        <v>1862.4834266999999</v>
      </c>
      <c r="T997" s="83">
        <f>Inputs!$G$5+TS!P997*0.4333</f>
        <v>1877.4834266999999</v>
      </c>
      <c r="U997" s="85">
        <f t="shared" si="280"/>
        <v>0.9387417133499999</v>
      </c>
      <c r="V997" s="86">
        <f t="shared" si="268"/>
        <v>0</v>
      </c>
      <c r="W997" s="86">
        <f t="shared" si="269"/>
        <v>0</v>
      </c>
      <c r="X997" s="86" t="e">
        <f>((PI()*((42-2*'Gen Calcs'!$E$13)^2)/4)/144)*(A1040-#REF!)*(W997+14.7)/14.7</f>
        <v>#REF!</v>
      </c>
      <c r="Y997" s="86" t="e">
        <f t="shared" si="270"/>
        <v>#REF!</v>
      </c>
      <c r="Z997" s="86" t="e">
        <f t="shared" si="271"/>
        <v>#REF!</v>
      </c>
      <c r="AA997" s="83">
        <f>MAX(B$2:B997)-B997</f>
        <v>84.199000000000069</v>
      </c>
      <c r="AB997" s="83">
        <f t="shared" si="272"/>
        <v>36.458167000000032</v>
      </c>
      <c r="AC997" s="83">
        <f t="shared" si="274"/>
        <v>120</v>
      </c>
      <c r="AD997" s="72">
        <v>120</v>
      </c>
      <c r="AE997" s="73">
        <f t="shared" si="281"/>
        <v>907.92027688745009</v>
      </c>
      <c r="AF997" s="73">
        <f>SUM(AE$2:AE997)</f>
        <v>835335.01097604749</v>
      </c>
      <c r="AG997" s="73">
        <f t="shared" si="282"/>
        <v>338394.8914510617</v>
      </c>
    </row>
    <row r="998" spans="1:33" x14ac:dyDescent="0.25">
      <c r="A998" s="100">
        <v>188099.92</v>
      </c>
      <c r="B998" s="97">
        <v>854.13829999999996</v>
      </c>
      <c r="C998" s="97">
        <v>0.6</v>
      </c>
      <c r="D998" s="80">
        <f t="shared" si="283"/>
        <v>100</v>
      </c>
      <c r="E998" s="81">
        <f t="shared" si="275"/>
        <v>6791.2436711181272</v>
      </c>
      <c r="F998" s="81">
        <f>SUM(E$2:E998)</f>
        <v>6250429.0004822873</v>
      </c>
      <c r="G998" s="43">
        <f t="shared" si="273"/>
        <v>1</v>
      </c>
      <c r="H998" s="78">
        <v>1</v>
      </c>
      <c r="I998" s="15">
        <f t="shared" si="276"/>
        <v>0.6</v>
      </c>
      <c r="J998" s="16">
        <f>VLOOKUP(G998,Inputs!$L$3:$P$15,5,FALSE)</f>
        <v>2000</v>
      </c>
      <c r="K998" s="16">
        <f t="shared" si="277"/>
        <v>1825</v>
      </c>
      <c r="L998" s="79">
        <f>Inputs!$P$8-B998</f>
        <v>84.052700000000073</v>
      </c>
      <c r="M998" s="79">
        <f>Inputs!$Q$8+L998*0.433</f>
        <v>1861.3948190999999</v>
      </c>
      <c r="N998" s="82">
        <f t="shared" si="278"/>
        <v>188099.92</v>
      </c>
      <c r="O998" s="83">
        <f t="shared" si="279"/>
        <v>854.13829999999996</v>
      </c>
      <c r="P998" s="84">
        <f>IF(O998="","",Inputs!$C$5-O998)</f>
        <v>-28.953800000000001</v>
      </c>
      <c r="Q998" s="83">
        <f>IF(N998="","",TS!J998)</f>
        <v>2000</v>
      </c>
      <c r="R998" s="83">
        <f>IF(N998="","",TS!K998)</f>
        <v>1825</v>
      </c>
      <c r="S998" s="83">
        <f>Inputs!$H$5+TS!P998*0.4333</f>
        <v>1862.4200349099999</v>
      </c>
      <c r="T998" s="83">
        <f>Inputs!$G$5+TS!P998*0.4333</f>
        <v>1877.4200349099999</v>
      </c>
      <c r="U998" s="85">
        <f t="shared" si="280"/>
        <v>0.93871001745499993</v>
      </c>
      <c r="V998" s="86">
        <f t="shared" si="268"/>
        <v>0</v>
      </c>
      <c r="W998" s="86">
        <f t="shared" si="269"/>
        <v>0</v>
      </c>
      <c r="X998" s="86" t="e">
        <f>((PI()*((42-2*'Gen Calcs'!$E$13)^2)/4)/144)*(A1041-#REF!)*(W998+14.7)/14.7</f>
        <v>#REF!</v>
      </c>
      <c r="Y998" s="86" t="e">
        <f t="shared" si="270"/>
        <v>#REF!</v>
      </c>
      <c r="Z998" s="86" t="e">
        <f t="shared" si="271"/>
        <v>#REF!</v>
      </c>
      <c r="AA998" s="83">
        <f>MAX(B$2:B998)-B998</f>
        <v>84.052700000000073</v>
      </c>
      <c r="AB998" s="83">
        <f t="shared" si="272"/>
        <v>36.394819100000028</v>
      </c>
      <c r="AC998" s="83">
        <f t="shared" si="274"/>
        <v>120</v>
      </c>
      <c r="AD998" s="72">
        <v>120</v>
      </c>
      <c r="AE998" s="73">
        <f t="shared" si="281"/>
        <v>907.92027688745009</v>
      </c>
      <c r="AF998" s="73">
        <f>SUM(AE$2:AE998)</f>
        <v>836242.93125293497</v>
      </c>
      <c r="AG998" s="73">
        <f t="shared" si="282"/>
        <v>337486.97117417422</v>
      </c>
    </row>
    <row r="999" spans="1:33" x14ac:dyDescent="0.25">
      <c r="A999" s="99">
        <v>188199.92</v>
      </c>
      <c r="B999" s="96">
        <v>854.12019999999995</v>
      </c>
      <c r="C999" s="96">
        <v>0.6</v>
      </c>
      <c r="D999" s="80">
        <f t="shared" si="283"/>
        <v>100</v>
      </c>
      <c r="E999" s="81">
        <f t="shared" si="275"/>
        <v>6791.2436711181272</v>
      </c>
      <c r="F999" s="81">
        <f>SUM(E$2:E999)</f>
        <v>6257220.2441534055</v>
      </c>
      <c r="G999" s="43">
        <f t="shared" si="273"/>
        <v>1</v>
      </c>
      <c r="H999" s="78">
        <v>1</v>
      </c>
      <c r="I999" s="15">
        <f t="shared" si="276"/>
        <v>0.6</v>
      </c>
      <c r="J999" s="16">
        <f>VLOOKUP(G999,Inputs!$L$3:$P$15,5,FALSE)</f>
        <v>2000</v>
      </c>
      <c r="K999" s="16">
        <f t="shared" si="277"/>
        <v>1825</v>
      </c>
      <c r="L999" s="79">
        <f>Inputs!$P$8-B999</f>
        <v>84.070800000000077</v>
      </c>
      <c r="M999" s="79">
        <f>Inputs!$Q$8+L999*0.433</f>
        <v>1861.4026564000001</v>
      </c>
      <c r="N999" s="82">
        <f t="shared" si="278"/>
        <v>188199.92</v>
      </c>
      <c r="O999" s="83">
        <f t="shared" si="279"/>
        <v>854.12019999999995</v>
      </c>
      <c r="P999" s="84">
        <f>IF(O999="","",Inputs!$C$5-O999)</f>
        <v>-28.935699999999997</v>
      </c>
      <c r="Q999" s="83">
        <f>IF(N999="","",TS!J999)</f>
        <v>2000</v>
      </c>
      <c r="R999" s="83">
        <f>IF(N999="","",TS!K999)</f>
        <v>1825</v>
      </c>
      <c r="S999" s="83">
        <f>Inputs!$H$5+TS!P999*0.4333</f>
        <v>1862.4278776399999</v>
      </c>
      <c r="T999" s="83">
        <f>Inputs!$G$5+TS!P999*0.4333</f>
        <v>1877.4278776399999</v>
      </c>
      <c r="U999" s="85">
        <f t="shared" si="280"/>
        <v>0.93871393881999998</v>
      </c>
      <c r="V999" s="86">
        <f t="shared" si="268"/>
        <v>0</v>
      </c>
      <c r="W999" s="86">
        <f t="shared" si="269"/>
        <v>0</v>
      </c>
      <c r="X999" s="86" t="e">
        <f>((PI()*((42-2*'Gen Calcs'!$E$13)^2)/4)/144)*(A1042-#REF!)*(W999+14.7)/14.7</f>
        <v>#REF!</v>
      </c>
      <c r="Y999" s="86" t="e">
        <f t="shared" si="270"/>
        <v>#REF!</v>
      </c>
      <c r="Z999" s="86" t="e">
        <f t="shared" si="271"/>
        <v>#REF!</v>
      </c>
      <c r="AA999" s="83">
        <f>MAX(B$2:B999)-B999</f>
        <v>84.070800000000077</v>
      </c>
      <c r="AB999" s="83">
        <f t="shared" si="272"/>
        <v>36.402656400000033</v>
      </c>
      <c r="AC999" s="83">
        <f t="shared" si="274"/>
        <v>120</v>
      </c>
      <c r="AD999" s="72">
        <v>120</v>
      </c>
      <c r="AE999" s="73">
        <f t="shared" si="281"/>
        <v>907.92027688745009</v>
      </c>
      <c r="AF999" s="73">
        <f>SUM(AE$2:AE999)</f>
        <v>837150.85152982245</v>
      </c>
      <c r="AG999" s="73">
        <f t="shared" si="282"/>
        <v>336579.05089728674</v>
      </c>
    </row>
    <row r="1000" spans="1:33" x14ac:dyDescent="0.25">
      <c r="A1000" s="100">
        <v>188299.92</v>
      </c>
      <c r="B1000" s="97">
        <v>854.02539999999999</v>
      </c>
      <c r="C1000" s="97">
        <v>0.6</v>
      </c>
      <c r="D1000" s="80">
        <f t="shared" si="283"/>
        <v>100</v>
      </c>
      <c r="E1000" s="81">
        <f t="shared" si="275"/>
        <v>6791.2436711181272</v>
      </c>
      <c r="F1000" s="81">
        <f>SUM(E$2:E1000)</f>
        <v>6264011.4878245238</v>
      </c>
      <c r="G1000" s="43">
        <f t="shared" si="273"/>
        <v>1</v>
      </c>
      <c r="H1000" s="78">
        <v>1</v>
      </c>
      <c r="I1000" s="15">
        <f t="shared" si="276"/>
        <v>0.6</v>
      </c>
      <c r="J1000" s="16">
        <f>VLOOKUP(G1000,Inputs!$L$3:$P$15,5,FALSE)</f>
        <v>2000</v>
      </c>
      <c r="K1000" s="16">
        <f t="shared" si="277"/>
        <v>1825</v>
      </c>
      <c r="L1000" s="79">
        <f>Inputs!$P$8-B1000</f>
        <v>84.16560000000004</v>
      </c>
      <c r="M1000" s="79">
        <f>Inputs!$Q$8+L1000*0.433</f>
        <v>1861.4437048</v>
      </c>
      <c r="N1000" s="82">
        <f t="shared" si="278"/>
        <v>188299.92</v>
      </c>
      <c r="O1000" s="83">
        <f t="shared" si="279"/>
        <v>854.02539999999999</v>
      </c>
      <c r="P1000" s="84">
        <f>IF(O1000="","",Inputs!$C$5-O1000)</f>
        <v>-28.840900000000033</v>
      </c>
      <c r="Q1000" s="83">
        <f>IF(N1000="","",TS!J1000)</f>
        <v>2000</v>
      </c>
      <c r="R1000" s="83">
        <f>IF(N1000="","",TS!K1000)</f>
        <v>1825</v>
      </c>
      <c r="S1000" s="83">
        <f>Inputs!$H$5+TS!P1000*0.4333</f>
        <v>1862.4689544799999</v>
      </c>
      <c r="T1000" s="83">
        <f>Inputs!$G$5+TS!P1000*0.4333</f>
        <v>1877.4689544799999</v>
      </c>
      <c r="U1000" s="85">
        <f t="shared" si="280"/>
        <v>0.93873447723999992</v>
      </c>
      <c r="V1000" s="86">
        <f t="shared" si="268"/>
        <v>0</v>
      </c>
      <c r="W1000" s="86">
        <f t="shared" si="269"/>
        <v>0</v>
      </c>
      <c r="X1000" s="86" t="e">
        <f>((PI()*((42-2*'Gen Calcs'!$E$13)^2)/4)/144)*(A1043-#REF!)*(W1000+14.7)/14.7</f>
        <v>#REF!</v>
      </c>
      <c r="Y1000" s="86" t="e">
        <f t="shared" si="270"/>
        <v>#REF!</v>
      </c>
      <c r="Z1000" s="86" t="e">
        <f t="shared" si="271"/>
        <v>#REF!</v>
      </c>
      <c r="AA1000" s="83">
        <f>MAX(B$2:B1000)-B1000</f>
        <v>84.16560000000004</v>
      </c>
      <c r="AB1000" s="83">
        <f t="shared" si="272"/>
        <v>36.44370480000002</v>
      </c>
      <c r="AC1000" s="83">
        <f t="shared" si="274"/>
        <v>120</v>
      </c>
      <c r="AD1000" s="72">
        <v>120</v>
      </c>
      <c r="AE1000" s="73">
        <f t="shared" si="281"/>
        <v>907.92027688745009</v>
      </c>
      <c r="AF1000" s="73">
        <f>SUM(AE$2:AE1000)</f>
        <v>838058.77180670993</v>
      </c>
      <c r="AG1000" s="73">
        <f t="shared" si="282"/>
        <v>335671.13062039926</v>
      </c>
    </row>
    <row r="1001" spans="1:33" x14ac:dyDescent="0.25">
      <c r="A1001" s="99">
        <v>188399.92</v>
      </c>
      <c r="B1001" s="96">
        <v>853.82029999999997</v>
      </c>
      <c r="C1001" s="96">
        <v>0.6</v>
      </c>
      <c r="D1001" s="80">
        <f t="shared" si="283"/>
        <v>100</v>
      </c>
      <c r="E1001" s="81">
        <f t="shared" si="275"/>
        <v>6791.2436711181272</v>
      </c>
      <c r="F1001" s="81">
        <f>SUM(E$2:E1001)</f>
        <v>6270802.7314956421</v>
      </c>
      <c r="G1001" s="43">
        <f t="shared" si="273"/>
        <v>1</v>
      </c>
      <c r="H1001" s="78">
        <v>1</v>
      </c>
      <c r="I1001" s="15">
        <f t="shared" si="276"/>
        <v>0.6</v>
      </c>
      <c r="J1001" s="16">
        <f>VLOOKUP(G1001,Inputs!$L$3:$P$15,5,FALSE)</f>
        <v>2000</v>
      </c>
      <c r="K1001" s="16">
        <f t="shared" si="277"/>
        <v>1825</v>
      </c>
      <c r="L1001" s="79">
        <f>Inputs!$P$8-B1001</f>
        <v>84.370700000000056</v>
      </c>
      <c r="M1001" s="79">
        <f>Inputs!$Q$8+L1001*0.433</f>
        <v>1861.5325131</v>
      </c>
      <c r="N1001" s="82">
        <f t="shared" si="278"/>
        <v>188399.92</v>
      </c>
      <c r="O1001" s="83">
        <f t="shared" si="279"/>
        <v>853.82029999999997</v>
      </c>
      <c r="P1001" s="84">
        <f>IF(O1001="","",Inputs!$C$5-O1001)</f>
        <v>-28.635800000000017</v>
      </c>
      <c r="Q1001" s="83">
        <f>IF(N1001="","",TS!J1001)</f>
        <v>2000</v>
      </c>
      <c r="R1001" s="83">
        <f>IF(N1001="","",TS!K1001)</f>
        <v>1825</v>
      </c>
      <c r="S1001" s="83">
        <f>Inputs!$H$5+TS!P1001*0.4333</f>
        <v>1862.5578243099999</v>
      </c>
      <c r="T1001" s="83">
        <f>Inputs!$G$5+TS!P1001*0.4333</f>
        <v>1877.5578243099999</v>
      </c>
      <c r="U1001" s="85">
        <f t="shared" si="280"/>
        <v>0.93877891215499998</v>
      </c>
      <c r="V1001" s="86">
        <f t="shared" si="268"/>
        <v>0</v>
      </c>
      <c r="W1001" s="86">
        <f t="shared" si="269"/>
        <v>0</v>
      </c>
      <c r="X1001" s="86" t="e">
        <f>((PI()*((42-2*'Gen Calcs'!$E$13)^2)/4)/144)*(A1044-#REF!)*(W1001+14.7)/14.7</f>
        <v>#REF!</v>
      </c>
      <c r="Y1001" s="86" t="e">
        <f t="shared" si="270"/>
        <v>#REF!</v>
      </c>
      <c r="Z1001" s="86" t="e">
        <f t="shared" si="271"/>
        <v>#REF!</v>
      </c>
      <c r="AA1001" s="83">
        <f>MAX(B$2:B1001)-B1001</f>
        <v>84.370700000000056</v>
      </c>
      <c r="AB1001" s="83">
        <f t="shared" si="272"/>
        <v>36.532513100000024</v>
      </c>
      <c r="AC1001" s="83">
        <f t="shared" si="274"/>
        <v>120</v>
      </c>
      <c r="AD1001" s="72">
        <v>120</v>
      </c>
      <c r="AE1001" s="73">
        <f t="shared" si="281"/>
        <v>907.92027688745009</v>
      </c>
      <c r="AF1001" s="73">
        <f>SUM(AE$2:AE1001)</f>
        <v>838966.69208359742</v>
      </c>
      <c r="AG1001" s="73">
        <f t="shared" si="282"/>
        <v>334763.21034351178</v>
      </c>
    </row>
    <row r="1002" spans="1:33" x14ac:dyDescent="0.25">
      <c r="A1002" s="100">
        <v>188499.92</v>
      </c>
      <c r="B1002" s="97">
        <v>853.33209999999997</v>
      </c>
      <c r="C1002" s="97">
        <v>0.6</v>
      </c>
      <c r="D1002" s="80">
        <f t="shared" si="283"/>
        <v>100</v>
      </c>
      <c r="E1002" s="81">
        <f t="shared" si="275"/>
        <v>6791.2436711181272</v>
      </c>
      <c r="F1002" s="81">
        <f>SUM(E$2:E1002)</f>
        <v>6277593.9751667604</v>
      </c>
      <c r="G1002" s="43">
        <f t="shared" si="273"/>
        <v>1</v>
      </c>
      <c r="H1002" s="78">
        <v>1</v>
      </c>
      <c r="I1002" s="15">
        <f t="shared" si="276"/>
        <v>0.6</v>
      </c>
      <c r="J1002" s="16">
        <f>VLOOKUP(G1002,Inputs!$L$3:$P$15,5,FALSE)</f>
        <v>2000</v>
      </c>
      <c r="K1002" s="16">
        <f t="shared" si="277"/>
        <v>1825</v>
      </c>
      <c r="L1002" s="79">
        <f>Inputs!$P$8-B1002</f>
        <v>84.858900000000062</v>
      </c>
      <c r="M1002" s="79">
        <f>Inputs!$Q$8+L1002*0.433</f>
        <v>1861.7439036999999</v>
      </c>
      <c r="N1002" s="82">
        <f t="shared" si="278"/>
        <v>188499.92</v>
      </c>
      <c r="O1002" s="83">
        <f t="shared" si="279"/>
        <v>853.33209999999997</v>
      </c>
      <c r="P1002" s="84">
        <f>IF(O1002="","",Inputs!$C$5-O1002)</f>
        <v>-28.147600000000011</v>
      </c>
      <c r="Q1002" s="83">
        <f>IF(N1002="","",TS!J1002)</f>
        <v>2000</v>
      </c>
      <c r="R1002" s="83">
        <f>IF(N1002="","",TS!K1002)</f>
        <v>1825</v>
      </c>
      <c r="S1002" s="83">
        <f>Inputs!$H$5+TS!P1002*0.4333</f>
        <v>1862.7693613699998</v>
      </c>
      <c r="T1002" s="83">
        <f>Inputs!$G$5+TS!P1002*0.4333</f>
        <v>1877.7693613699998</v>
      </c>
      <c r="U1002" s="85">
        <f t="shared" si="280"/>
        <v>0.93888468068499997</v>
      </c>
      <c r="V1002" s="86">
        <f t="shared" si="268"/>
        <v>0</v>
      </c>
      <c r="W1002" s="86">
        <f t="shared" si="269"/>
        <v>0</v>
      </c>
      <c r="X1002" s="86" t="e">
        <f>((PI()*((42-2*'Gen Calcs'!$E$13)^2)/4)/144)*(A1045-#REF!)*(W1002+14.7)/14.7</f>
        <v>#REF!</v>
      </c>
      <c r="Y1002" s="86" t="e">
        <f t="shared" si="270"/>
        <v>#REF!</v>
      </c>
      <c r="Z1002" s="86" t="e">
        <f t="shared" si="271"/>
        <v>#REF!</v>
      </c>
      <c r="AA1002" s="83">
        <f>MAX(B$2:B1002)-B1002</f>
        <v>84.858900000000062</v>
      </c>
      <c r="AB1002" s="83">
        <f t="shared" si="272"/>
        <v>36.743903700000025</v>
      </c>
      <c r="AC1002" s="83">
        <f t="shared" si="274"/>
        <v>120</v>
      </c>
      <c r="AD1002" s="72">
        <v>120</v>
      </c>
      <c r="AE1002" s="73">
        <f t="shared" si="281"/>
        <v>907.92027688745009</v>
      </c>
      <c r="AF1002" s="73">
        <f>SUM(AE$2:AE1002)</f>
        <v>839874.6123604849</v>
      </c>
      <c r="AG1002" s="73">
        <f t="shared" si="282"/>
        <v>333855.29006662429</v>
      </c>
    </row>
    <row r="1003" spans="1:33" x14ac:dyDescent="0.25">
      <c r="A1003" s="99">
        <v>188599.92</v>
      </c>
      <c r="B1003" s="96">
        <v>852.39570000000003</v>
      </c>
      <c r="C1003" s="96">
        <v>0.6</v>
      </c>
      <c r="D1003" s="80">
        <f t="shared" si="283"/>
        <v>100</v>
      </c>
      <c r="E1003" s="81">
        <f t="shared" si="275"/>
        <v>6791.2436711181272</v>
      </c>
      <c r="F1003" s="81">
        <f>SUM(E$2:E1003)</f>
        <v>6284385.2188378787</v>
      </c>
      <c r="G1003" s="43">
        <f t="shared" si="273"/>
        <v>1</v>
      </c>
      <c r="H1003" s="78">
        <v>1</v>
      </c>
      <c r="I1003" s="15">
        <f t="shared" si="276"/>
        <v>0.6</v>
      </c>
      <c r="J1003" s="16">
        <f>VLOOKUP(G1003,Inputs!$L$3:$P$15,5,FALSE)</f>
        <v>2000</v>
      </c>
      <c r="K1003" s="16">
        <f t="shared" si="277"/>
        <v>1825</v>
      </c>
      <c r="L1003" s="79">
        <f>Inputs!$P$8-B1003</f>
        <v>85.795299999999997</v>
      </c>
      <c r="M1003" s="79">
        <f>Inputs!$Q$8+L1003*0.433</f>
        <v>1862.1493648999999</v>
      </c>
      <c r="N1003" s="82">
        <f t="shared" si="278"/>
        <v>188599.92</v>
      </c>
      <c r="O1003" s="83">
        <f t="shared" si="279"/>
        <v>852.39570000000003</v>
      </c>
      <c r="P1003" s="84">
        <f>IF(O1003="","",Inputs!$C$5-O1003)</f>
        <v>-27.211200000000076</v>
      </c>
      <c r="Q1003" s="83">
        <f>IF(N1003="","",TS!J1003)</f>
        <v>2000</v>
      </c>
      <c r="R1003" s="83">
        <f>IF(N1003="","",TS!K1003)</f>
        <v>1825</v>
      </c>
      <c r="S1003" s="83">
        <f>Inputs!$H$5+TS!P1003*0.4333</f>
        <v>1863.1751034899999</v>
      </c>
      <c r="T1003" s="83">
        <f>Inputs!$G$5+TS!P1003*0.4333</f>
        <v>1878.1751034899999</v>
      </c>
      <c r="U1003" s="85">
        <f t="shared" si="280"/>
        <v>0.93908755174499992</v>
      </c>
      <c r="V1003" s="86">
        <f t="shared" si="268"/>
        <v>0</v>
      </c>
      <c r="W1003" s="86">
        <f t="shared" si="269"/>
        <v>0</v>
      </c>
      <c r="X1003" s="86" t="e">
        <f>((PI()*((42-2*'Gen Calcs'!$E$13)^2)/4)/144)*(A1046-#REF!)*(W1003+14.7)/14.7</f>
        <v>#REF!</v>
      </c>
      <c r="Y1003" s="86" t="e">
        <f t="shared" si="270"/>
        <v>#REF!</v>
      </c>
      <c r="Z1003" s="86" t="e">
        <f t="shared" si="271"/>
        <v>#REF!</v>
      </c>
      <c r="AA1003" s="83">
        <f>MAX(B$2:B1003)-B1003</f>
        <v>85.795299999999997</v>
      </c>
      <c r="AB1003" s="83">
        <f t="shared" si="272"/>
        <v>37.149364900000002</v>
      </c>
      <c r="AC1003" s="83">
        <f t="shared" si="274"/>
        <v>120</v>
      </c>
      <c r="AD1003" s="72">
        <v>120</v>
      </c>
      <c r="AE1003" s="73">
        <f t="shared" si="281"/>
        <v>907.92027688745009</v>
      </c>
      <c r="AF1003" s="73">
        <f>SUM(AE$2:AE1003)</f>
        <v>840782.53263737238</v>
      </c>
      <c r="AG1003" s="73">
        <f t="shared" si="282"/>
        <v>332947.36978973681</v>
      </c>
    </row>
    <row r="1004" spans="1:33" x14ac:dyDescent="0.25">
      <c r="A1004" s="100">
        <v>188699.92</v>
      </c>
      <c r="B1004" s="97">
        <v>850.12239999999997</v>
      </c>
      <c r="C1004" s="97">
        <v>0.6</v>
      </c>
      <c r="D1004" s="80">
        <f t="shared" si="283"/>
        <v>100</v>
      </c>
      <c r="E1004" s="81">
        <f t="shared" si="275"/>
        <v>6791.2436711181272</v>
      </c>
      <c r="F1004" s="81">
        <f>SUM(E$2:E1004)</f>
        <v>6291176.4625089969</v>
      </c>
      <c r="G1004" s="43">
        <f t="shared" si="273"/>
        <v>1</v>
      </c>
      <c r="H1004" s="78">
        <v>1</v>
      </c>
      <c r="I1004" s="15">
        <f t="shared" si="276"/>
        <v>0.6</v>
      </c>
      <c r="J1004" s="16">
        <f>VLOOKUP(G1004,Inputs!$L$3:$P$15,5,FALSE)</f>
        <v>2000</v>
      </c>
      <c r="K1004" s="16">
        <f t="shared" si="277"/>
        <v>1825</v>
      </c>
      <c r="L1004" s="79">
        <f>Inputs!$P$8-B1004</f>
        <v>88.06860000000006</v>
      </c>
      <c r="M1004" s="79">
        <f>Inputs!$Q$8+L1004*0.433</f>
        <v>1863.1337037999999</v>
      </c>
      <c r="N1004" s="82">
        <f t="shared" si="278"/>
        <v>188699.92</v>
      </c>
      <c r="O1004" s="83">
        <f t="shared" si="279"/>
        <v>850.12239999999997</v>
      </c>
      <c r="P1004" s="84">
        <f>IF(O1004="","",Inputs!$C$5-O1004)</f>
        <v>-24.937900000000013</v>
      </c>
      <c r="Q1004" s="83">
        <f>IF(N1004="","",TS!J1004)</f>
        <v>2000</v>
      </c>
      <c r="R1004" s="83">
        <f>IF(N1004="","",TS!K1004)</f>
        <v>1825</v>
      </c>
      <c r="S1004" s="83">
        <f>Inputs!$H$5+TS!P1004*0.4333</f>
        <v>1864.1601243799998</v>
      </c>
      <c r="T1004" s="83">
        <f>Inputs!$G$5+TS!P1004*0.4333</f>
        <v>1879.1601243799998</v>
      </c>
      <c r="U1004" s="85">
        <f t="shared" si="280"/>
        <v>0.9395800621899999</v>
      </c>
      <c r="V1004" s="86">
        <f t="shared" si="268"/>
        <v>0</v>
      </c>
      <c r="W1004" s="86">
        <f t="shared" si="269"/>
        <v>0</v>
      </c>
      <c r="X1004" s="86" t="e">
        <f>((PI()*((42-2*'Gen Calcs'!$E$13)^2)/4)/144)*(A1047-#REF!)*(W1004+14.7)/14.7</f>
        <v>#REF!</v>
      </c>
      <c r="Y1004" s="86" t="e">
        <f t="shared" si="270"/>
        <v>#REF!</v>
      </c>
      <c r="Z1004" s="86" t="e">
        <f t="shared" si="271"/>
        <v>#REF!</v>
      </c>
      <c r="AA1004" s="83">
        <f>MAX(B$2:B1004)-B1004</f>
        <v>88.06860000000006</v>
      </c>
      <c r="AB1004" s="83">
        <f t="shared" si="272"/>
        <v>38.133703800000028</v>
      </c>
      <c r="AC1004" s="83">
        <f t="shared" si="274"/>
        <v>120</v>
      </c>
      <c r="AD1004" s="72">
        <v>120</v>
      </c>
      <c r="AE1004" s="73">
        <f t="shared" si="281"/>
        <v>907.92027688745009</v>
      </c>
      <c r="AF1004" s="73">
        <f>SUM(AE$2:AE1004)</f>
        <v>841690.45291425986</v>
      </c>
      <c r="AG1004" s="73">
        <f t="shared" si="282"/>
        <v>332039.44951284933</v>
      </c>
    </row>
    <row r="1005" spans="1:33" x14ac:dyDescent="0.25">
      <c r="A1005" s="99">
        <v>188794.6</v>
      </c>
      <c r="B1005" s="96">
        <v>850.12239999999997</v>
      </c>
      <c r="C1005" s="96">
        <v>0.86399999999999999</v>
      </c>
      <c r="D1005" s="80">
        <f t="shared" si="283"/>
        <v>94.679999999993015</v>
      </c>
      <c r="E1005" s="81">
        <f t="shared" si="275"/>
        <v>6429.9495078141681</v>
      </c>
      <c r="F1005" s="81">
        <f>SUM(E$2:E1005)</f>
        <v>6297606.4120168108</v>
      </c>
      <c r="G1005" s="43">
        <f t="shared" si="273"/>
        <v>2</v>
      </c>
      <c r="H1005" s="78">
        <v>1</v>
      </c>
      <c r="I1005" s="15">
        <f t="shared" si="276"/>
        <v>0.86399999999999999</v>
      </c>
      <c r="J1005" s="16">
        <f>VLOOKUP(G1005,Inputs!$L$3:$P$15,5,FALSE)</f>
        <v>2880</v>
      </c>
      <c r="K1005" s="16">
        <f t="shared" si="277"/>
        <v>1825</v>
      </c>
      <c r="L1005" s="79">
        <f>Inputs!$P$8-B1005</f>
        <v>88.06860000000006</v>
      </c>
      <c r="M1005" s="79">
        <f>Inputs!$Q$8+L1005*0.433</f>
        <v>1863.1337037999999</v>
      </c>
      <c r="N1005" s="82">
        <f t="shared" si="278"/>
        <v>188794.6</v>
      </c>
      <c r="O1005" s="83">
        <f t="shared" si="279"/>
        <v>850.12239999999997</v>
      </c>
      <c r="P1005" s="84">
        <f>IF(O1005="","",Inputs!$C$5-O1005)</f>
        <v>-24.937900000000013</v>
      </c>
      <c r="Q1005" s="83">
        <f>IF(N1005="","",TS!J1005)</f>
        <v>2880</v>
      </c>
      <c r="R1005" s="83">
        <f>IF(N1005="","",TS!K1005)</f>
        <v>1825</v>
      </c>
      <c r="S1005" s="83">
        <f>Inputs!$H$5+TS!P1005*0.4333</f>
        <v>1864.1601243799998</v>
      </c>
      <c r="T1005" s="83">
        <f>Inputs!$G$5+TS!P1005*0.4333</f>
        <v>1879.1601243799998</v>
      </c>
      <c r="U1005" s="85">
        <f t="shared" si="280"/>
        <v>0.65248615429861101</v>
      </c>
      <c r="V1005" s="86">
        <f t="shared" si="268"/>
        <v>0</v>
      </c>
      <c r="W1005" s="86">
        <f t="shared" si="269"/>
        <v>0</v>
      </c>
      <c r="X1005" s="86" t="e">
        <f>((PI()*((42-2*'Gen Calcs'!$E$13)^2)/4)/144)*(A1048-#REF!)*(W1005+14.7)/14.7</f>
        <v>#REF!</v>
      </c>
      <c r="Y1005" s="86" t="e">
        <f t="shared" si="270"/>
        <v>#REF!</v>
      </c>
      <c r="Z1005" s="86" t="e">
        <f t="shared" si="271"/>
        <v>#REF!</v>
      </c>
      <c r="AA1005" s="83">
        <f>MAX(B$2:B1005)-B1005</f>
        <v>88.06860000000006</v>
      </c>
      <c r="AB1005" s="83">
        <f t="shared" si="272"/>
        <v>38.133703800000028</v>
      </c>
      <c r="AC1005" s="83">
        <f t="shared" si="274"/>
        <v>120</v>
      </c>
      <c r="AD1005" s="72">
        <v>120</v>
      </c>
      <c r="AE1005" s="73">
        <f t="shared" si="281"/>
        <v>837.51392178266508</v>
      </c>
      <c r="AF1005" s="73">
        <f>SUM(AE$2:AE1005)</f>
        <v>842527.96683604247</v>
      </c>
      <c r="AG1005" s="73">
        <f t="shared" si="282"/>
        <v>331201.93559106672</v>
      </c>
    </row>
    <row r="1006" spans="1:33" x14ac:dyDescent="0.25">
      <c r="A1006" s="100">
        <v>188799.92</v>
      </c>
      <c r="B1006" s="97">
        <v>851.47230000000002</v>
      </c>
      <c r="C1006" s="97">
        <v>0.6</v>
      </c>
      <c r="D1006" s="80">
        <f t="shared" si="283"/>
        <v>5.3200000000069849</v>
      </c>
      <c r="E1006" s="81">
        <f t="shared" si="275"/>
        <v>361.29416330395873</v>
      </c>
      <c r="F1006" s="81">
        <f>SUM(E$2:E1006)</f>
        <v>6297967.7061801152</v>
      </c>
      <c r="G1006" s="43">
        <f t="shared" si="273"/>
        <v>1</v>
      </c>
      <c r="H1006" s="78">
        <v>1</v>
      </c>
      <c r="I1006" s="15">
        <f t="shared" si="276"/>
        <v>0.6</v>
      </c>
      <c r="J1006" s="16">
        <f>VLOOKUP(G1006,Inputs!$L$3:$P$15,5,FALSE)</f>
        <v>2000</v>
      </c>
      <c r="K1006" s="16">
        <f t="shared" si="277"/>
        <v>1825</v>
      </c>
      <c r="L1006" s="79">
        <f>Inputs!$P$8-B1006</f>
        <v>86.718700000000013</v>
      </c>
      <c r="M1006" s="79">
        <f>Inputs!$Q$8+L1006*0.433</f>
        <v>1862.5491970999999</v>
      </c>
      <c r="N1006" s="82">
        <f t="shared" si="278"/>
        <v>188799.92</v>
      </c>
      <c r="O1006" s="83">
        <f t="shared" si="279"/>
        <v>851.47230000000002</v>
      </c>
      <c r="P1006" s="84">
        <f>IF(O1006="","",Inputs!$C$5-O1006)</f>
        <v>-26.287800000000061</v>
      </c>
      <c r="Q1006" s="83">
        <f>IF(N1006="","",TS!J1006)</f>
        <v>2000</v>
      </c>
      <c r="R1006" s="83">
        <f>IF(N1006="","",TS!K1006)</f>
        <v>1825</v>
      </c>
      <c r="S1006" s="83">
        <f>Inputs!$H$5+TS!P1006*0.4333</f>
        <v>1863.57521271</v>
      </c>
      <c r="T1006" s="83">
        <f>Inputs!$G$5+TS!P1006*0.4333</f>
        <v>1878.57521271</v>
      </c>
      <c r="U1006" s="85">
        <f t="shared" si="280"/>
        <v>0.93928760635499997</v>
      </c>
      <c r="V1006" s="86">
        <f t="shared" si="268"/>
        <v>0</v>
      </c>
      <c r="W1006" s="86">
        <f t="shared" si="269"/>
        <v>0</v>
      </c>
      <c r="X1006" s="86" t="e">
        <f>((PI()*((42-2*'Gen Calcs'!$E$13)^2)/4)/144)*(A1049-#REF!)*(W1006+14.7)/14.7</f>
        <v>#REF!</v>
      </c>
      <c r="Y1006" s="86" t="e">
        <f t="shared" si="270"/>
        <v>#REF!</v>
      </c>
      <c r="Z1006" s="86" t="e">
        <f t="shared" si="271"/>
        <v>#REF!</v>
      </c>
      <c r="AA1006" s="83">
        <f>MAX(B$2:B1006)-B1006</f>
        <v>86.718700000000013</v>
      </c>
      <c r="AB1006" s="83">
        <f t="shared" si="272"/>
        <v>37.549197100000008</v>
      </c>
      <c r="AC1006" s="83">
        <f t="shared" si="274"/>
        <v>120</v>
      </c>
      <c r="AD1006" s="72">
        <v>120</v>
      </c>
      <c r="AE1006" s="73">
        <f t="shared" si="281"/>
        <v>48.301358730475762</v>
      </c>
      <c r="AF1006" s="73">
        <f>SUM(AE$2:AE1006)</f>
        <v>842576.268194773</v>
      </c>
      <c r="AG1006" s="73">
        <f t="shared" si="282"/>
        <v>331153.63423233619</v>
      </c>
    </row>
    <row r="1007" spans="1:33" x14ac:dyDescent="0.25">
      <c r="A1007" s="99">
        <v>188874.6</v>
      </c>
      <c r="B1007" s="96">
        <v>851.47230000000002</v>
      </c>
      <c r="C1007" s="96">
        <v>0.86399999999999999</v>
      </c>
      <c r="D1007" s="80">
        <f t="shared" si="283"/>
        <v>74.679999999993015</v>
      </c>
      <c r="E1007" s="81">
        <f t="shared" si="275"/>
        <v>5071.7007735905427</v>
      </c>
      <c r="F1007" s="81">
        <f>SUM(E$2:E1007)</f>
        <v>6303039.4069537055</v>
      </c>
      <c r="G1007" s="43">
        <f t="shared" si="273"/>
        <v>2</v>
      </c>
      <c r="H1007" s="78">
        <v>1</v>
      </c>
      <c r="I1007" s="15">
        <f t="shared" si="276"/>
        <v>0.86399999999999999</v>
      </c>
      <c r="J1007" s="16">
        <f>VLOOKUP(G1007,Inputs!$L$3:$P$15,5,FALSE)</f>
        <v>2880</v>
      </c>
      <c r="K1007" s="16">
        <f t="shared" si="277"/>
        <v>1825</v>
      </c>
      <c r="L1007" s="79">
        <f>Inputs!$P$8-B1007</f>
        <v>86.718700000000013</v>
      </c>
      <c r="M1007" s="79">
        <f>Inputs!$Q$8+L1007*0.433</f>
        <v>1862.5491970999999</v>
      </c>
      <c r="N1007" s="82">
        <f t="shared" si="278"/>
        <v>188874.6</v>
      </c>
      <c r="O1007" s="83">
        <f t="shared" si="279"/>
        <v>851.47230000000002</v>
      </c>
      <c r="P1007" s="84">
        <f>IF(O1007="","",Inputs!$C$5-O1007)</f>
        <v>-26.287800000000061</v>
      </c>
      <c r="Q1007" s="83">
        <f>IF(N1007="","",TS!J1007)</f>
        <v>2880</v>
      </c>
      <c r="R1007" s="83">
        <f>IF(N1007="","",TS!K1007)</f>
        <v>1825</v>
      </c>
      <c r="S1007" s="83">
        <f>Inputs!$H$5+TS!P1007*0.4333</f>
        <v>1863.57521271</v>
      </c>
      <c r="T1007" s="83">
        <f>Inputs!$G$5+TS!P1007*0.4333</f>
        <v>1878.57521271</v>
      </c>
      <c r="U1007" s="85">
        <f t="shared" si="280"/>
        <v>0.65228305996875002</v>
      </c>
      <c r="V1007" s="86">
        <f t="shared" si="268"/>
        <v>0</v>
      </c>
      <c r="W1007" s="86">
        <f t="shared" si="269"/>
        <v>0</v>
      </c>
      <c r="X1007" s="86" t="e">
        <f>((PI()*((42-2*'Gen Calcs'!$E$13)^2)/4)/144)*(A1050-#REF!)*(W1007+14.7)/14.7</f>
        <v>#REF!</v>
      </c>
      <c r="Y1007" s="86" t="e">
        <f t="shared" si="270"/>
        <v>#REF!</v>
      </c>
      <c r="Z1007" s="86" t="e">
        <f t="shared" si="271"/>
        <v>#REF!</v>
      </c>
      <c r="AA1007" s="83">
        <f>MAX(B$2:B1007)-B1007</f>
        <v>86.718700000000013</v>
      </c>
      <c r="AB1007" s="83">
        <f t="shared" si="272"/>
        <v>37.549197100000008</v>
      </c>
      <c r="AC1007" s="83">
        <f t="shared" si="274"/>
        <v>120</v>
      </c>
      <c r="AD1007" s="72">
        <v>120</v>
      </c>
      <c r="AE1007" s="73">
        <f t="shared" si="281"/>
        <v>660.59927839805869</v>
      </c>
      <c r="AF1007" s="73">
        <f>SUM(AE$2:AE1007)</f>
        <v>843236.86747317109</v>
      </c>
      <c r="AG1007" s="73">
        <f t="shared" si="282"/>
        <v>330493.0349539381</v>
      </c>
    </row>
    <row r="1008" spans="1:33" x14ac:dyDescent="0.25">
      <c r="A1008" s="100">
        <v>188899.92</v>
      </c>
      <c r="B1008" s="97">
        <v>851.80740000000003</v>
      </c>
      <c r="C1008" s="97">
        <v>0.6</v>
      </c>
      <c r="D1008" s="80">
        <f t="shared" si="283"/>
        <v>25.320000000006985</v>
      </c>
      <c r="E1008" s="81">
        <f t="shared" si="275"/>
        <v>1719.542897527584</v>
      </c>
      <c r="F1008" s="81">
        <f>SUM(E$2:E1008)</f>
        <v>6304758.9498512335</v>
      </c>
      <c r="G1008" s="43">
        <f t="shared" si="273"/>
        <v>1</v>
      </c>
      <c r="H1008" s="78">
        <v>1</v>
      </c>
      <c r="I1008" s="15">
        <f t="shared" si="276"/>
        <v>0.6</v>
      </c>
      <c r="J1008" s="16">
        <f>VLOOKUP(G1008,Inputs!$L$3:$P$15,5,FALSE)</f>
        <v>2000</v>
      </c>
      <c r="K1008" s="16">
        <f t="shared" si="277"/>
        <v>1825</v>
      </c>
      <c r="L1008" s="79">
        <f>Inputs!$P$8-B1008</f>
        <v>86.383600000000001</v>
      </c>
      <c r="M1008" s="79">
        <f>Inputs!$Q$8+L1008*0.433</f>
        <v>1862.4040987999999</v>
      </c>
      <c r="N1008" s="82">
        <f t="shared" si="278"/>
        <v>188899.92</v>
      </c>
      <c r="O1008" s="83">
        <f t="shared" si="279"/>
        <v>851.80740000000003</v>
      </c>
      <c r="P1008" s="84">
        <f>IF(O1008="","",Inputs!$C$5-O1008)</f>
        <v>-26.622900000000072</v>
      </c>
      <c r="Q1008" s="83">
        <f>IF(N1008="","",TS!J1008)</f>
        <v>2000</v>
      </c>
      <c r="R1008" s="83">
        <f>IF(N1008="","",TS!K1008)</f>
        <v>1825</v>
      </c>
      <c r="S1008" s="83">
        <f>Inputs!$H$5+TS!P1008*0.4333</f>
        <v>1863.4300138799999</v>
      </c>
      <c r="T1008" s="83">
        <f>Inputs!$G$5+TS!P1008*0.4333</f>
        <v>1878.4300138799999</v>
      </c>
      <c r="U1008" s="85">
        <f t="shared" si="280"/>
        <v>0.93921500693999993</v>
      </c>
      <c r="V1008" s="86">
        <f t="shared" si="268"/>
        <v>0</v>
      </c>
      <c r="W1008" s="86">
        <f t="shared" si="269"/>
        <v>0</v>
      </c>
      <c r="X1008" s="86" t="e">
        <f>((PI()*((42-2*'Gen Calcs'!$E$13)^2)/4)/144)*(A1051-#REF!)*(W1008+14.7)/14.7</f>
        <v>#REF!</v>
      </c>
      <c r="Y1008" s="86" t="e">
        <f t="shared" si="270"/>
        <v>#REF!</v>
      </c>
      <c r="Z1008" s="86" t="e">
        <f t="shared" si="271"/>
        <v>#REF!</v>
      </c>
      <c r="AA1008" s="83">
        <f>MAX(B$2:B1008)-B1008</f>
        <v>86.383600000000001</v>
      </c>
      <c r="AB1008" s="83">
        <f t="shared" si="272"/>
        <v>37.4040988</v>
      </c>
      <c r="AC1008" s="83">
        <f t="shared" si="274"/>
        <v>120</v>
      </c>
      <c r="AD1008" s="72">
        <v>120</v>
      </c>
      <c r="AE1008" s="73">
        <f t="shared" si="281"/>
        <v>229.88541410796577</v>
      </c>
      <c r="AF1008" s="73">
        <f>SUM(AE$2:AE1008)</f>
        <v>843466.75288727903</v>
      </c>
      <c r="AG1008" s="73">
        <f t="shared" si="282"/>
        <v>330263.14953983016</v>
      </c>
    </row>
    <row r="1009" spans="1:33" x14ac:dyDescent="0.25">
      <c r="A1009" s="99">
        <v>188999.92</v>
      </c>
      <c r="B1009" s="96">
        <v>854.58669999999995</v>
      </c>
      <c r="C1009" s="96">
        <v>0.6</v>
      </c>
      <c r="D1009" s="80">
        <f t="shared" si="283"/>
        <v>100</v>
      </c>
      <c r="E1009" s="81">
        <f t="shared" si="275"/>
        <v>6791.2436711181272</v>
      </c>
      <c r="F1009" s="81">
        <f>SUM(E$2:E1009)</f>
        <v>6311550.1935223518</v>
      </c>
      <c r="G1009" s="43">
        <f t="shared" si="273"/>
        <v>1</v>
      </c>
      <c r="H1009" s="78">
        <v>1</v>
      </c>
      <c r="I1009" s="15">
        <f t="shared" si="276"/>
        <v>0.6</v>
      </c>
      <c r="J1009" s="16">
        <f>VLOOKUP(G1009,Inputs!$L$3:$P$15,5,FALSE)</f>
        <v>2000</v>
      </c>
      <c r="K1009" s="16">
        <f t="shared" si="277"/>
        <v>1825</v>
      </c>
      <c r="L1009" s="79">
        <f>Inputs!$P$8-B1009</f>
        <v>83.60430000000008</v>
      </c>
      <c r="M1009" s="79">
        <f>Inputs!$Q$8+L1009*0.433</f>
        <v>1861.2006619000001</v>
      </c>
      <c r="N1009" s="82">
        <f t="shared" si="278"/>
        <v>188999.92</v>
      </c>
      <c r="O1009" s="83">
        <f t="shared" si="279"/>
        <v>854.58669999999995</v>
      </c>
      <c r="P1009" s="84">
        <f>IF(O1009="","",Inputs!$C$5-O1009)</f>
        <v>-29.402199999999993</v>
      </c>
      <c r="Q1009" s="83">
        <f>IF(N1009="","",TS!J1009)</f>
        <v>2000</v>
      </c>
      <c r="R1009" s="83">
        <f>IF(N1009="","",TS!K1009)</f>
        <v>1825</v>
      </c>
      <c r="S1009" s="83">
        <f>Inputs!$H$5+TS!P1009*0.4333</f>
        <v>1862.22574319</v>
      </c>
      <c r="T1009" s="83">
        <f>Inputs!$G$5+TS!P1009*0.4333</f>
        <v>1877.22574319</v>
      </c>
      <c r="U1009" s="85">
        <f t="shared" si="280"/>
        <v>0.93861287159499995</v>
      </c>
      <c r="V1009" s="86">
        <f t="shared" si="268"/>
        <v>0</v>
      </c>
      <c r="W1009" s="86">
        <f t="shared" si="269"/>
        <v>0</v>
      </c>
      <c r="X1009" s="86" t="e">
        <f>((PI()*((42-2*'Gen Calcs'!$E$13)^2)/4)/144)*(A1052-#REF!)*(W1009+14.7)/14.7</f>
        <v>#REF!</v>
      </c>
      <c r="Y1009" s="86" t="e">
        <f t="shared" si="270"/>
        <v>#REF!</v>
      </c>
      <c r="Z1009" s="86" t="e">
        <f t="shared" si="271"/>
        <v>#REF!</v>
      </c>
      <c r="AA1009" s="83">
        <f>MAX(B$2:B1009)-B1009</f>
        <v>83.60430000000008</v>
      </c>
      <c r="AB1009" s="83">
        <f t="shared" si="272"/>
        <v>36.200661900000036</v>
      </c>
      <c r="AC1009" s="83">
        <f t="shared" si="274"/>
        <v>120</v>
      </c>
      <c r="AD1009" s="72">
        <v>120</v>
      </c>
      <c r="AE1009" s="73">
        <f t="shared" si="281"/>
        <v>907.92027688745009</v>
      </c>
      <c r="AF1009" s="73">
        <f>SUM(AE$2:AE1009)</f>
        <v>844374.67316416651</v>
      </c>
      <c r="AG1009" s="73">
        <f t="shared" si="282"/>
        <v>329355.22926294268</v>
      </c>
    </row>
    <row r="1010" spans="1:33" x14ac:dyDescent="0.25">
      <c r="A1010" s="100">
        <v>189099.92</v>
      </c>
      <c r="B1010" s="97">
        <v>857.74279999999999</v>
      </c>
      <c r="C1010" s="97">
        <v>0.6</v>
      </c>
      <c r="D1010" s="80">
        <f t="shared" si="283"/>
        <v>100</v>
      </c>
      <c r="E1010" s="81">
        <f t="shared" si="275"/>
        <v>6791.2436711181272</v>
      </c>
      <c r="F1010" s="81">
        <f>SUM(E$2:E1010)</f>
        <v>6318341.4371934701</v>
      </c>
      <c r="G1010" s="43">
        <f t="shared" si="273"/>
        <v>1</v>
      </c>
      <c r="H1010" s="78">
        <v>1</v>
      </c>
      <c r="I1010" s="15">
        <f t="shared" si="276"/>
        <v>0.6</v>
      </c>
      <c r="J1010" s="16">
        <f>VLOOKUP(G1010,Inputs!$L$3:$P$15,5,FALSE)</f>
        <v>2000</v>
      </c>
      <c r="K1010" s="16">
        <f t="shared" si="277"/>
        <v>1825</v>
      </c>
      <c r="L1010" s="79">
        <f>Inputs!$P$8-B1010</f>
        <v>80.448200000000043</v>
      </c>
      <c r="M1010" s="79">
        <f>Inputs!$Q$8+L1010*0.433</f>
        <v>1859.8340705999999</v>
      </c>
      <c r="N1010" s="82">
        <f t="shared" si="278"/>
        <v>189099.92</v>
      </c>
      <c r="O1010" s="83">
        <f t="shared" si="279"/>
        <v>857.74279999999999</v>
      </c>
      <c r="P1010" s="84">
        <f>IF(O1010="","",Inputs!$C$5-O1010)</f>
        <v>-32.558300000000031</v>
      </c>
      <c r="Q1010" s="83">
        <f>IF(N1010="","",TS!J1010)</f>
        <v>2000</v>
      </c>
      <c r="R1010" s="83">
        <f>IF(N1010="","",TS!K1010)</f>
        <v>1825</v>
      </c>
      <c r="S1010" s="83">
        <f>Inputs!$H$5+TS!P1010*0.4333</f>
        <v>1860.8582050599998</v>
      </c>
      <c r="T1010" s="83">
        <f>Inputs!$G$5+TS!P1010*0.4333</f>
        <v>1875.8582050599998</v>
      </c>
      <c r="U1010" s="85">
        <f t="shared" si="280"/>
        <v>0.93792910252999995</v>
      </c>
      <c r="V1010" s="86">
        <f t="shared" si="268"/>
        <v>0</v>
      </c>
      <c r="W1010" s="86">
        <f t="shared" si="269"/>
        <v>0</v>
      </c>
      <c r="X1010" s="86" t="e">
        <f>((PI()*((42-2*'Gen Calcs'!$E$13)^2)/4)/144)*(A1053-#REF!)*(W1010+14.7)/14.7</f>
        <v>#REF!</v>
      </c>
      <c r="Y1010" s="86" t="e">
        <f t="shared" si="270"/>
        <v>#REF!</v>
      </c>
      <c r="Z1010" s="86" t="e">
        <f t="shared" si="271"/>
        <v>#REF!</v>
      </c>
      <c r="AA1010" s="83">
        <f>MAX(B$2:B1010)-B1010</f>
        <v>80.448200000000043</v>
      </c>
      <c r="AB1010" s="83">
        <f t="shared" si="272"/>
        <v>34.834070600000018</v>
      </c>
      <c r="AC1010" s="83">
        <f t="shared" si="274"/>
        <v>120</v>
      </c>
      <c r="AD1010" s="72">
        <v>120</v>
      </c>
      <c r="AE1010" s="73">
        <f t="shared" si="281"/>
        <v>907.92027688745009</v>
      </c>
      <c r="AF1010" s="73">
        <f>SUM(AE$2:AE1010)</f>
        <v>845282.59344105399</v>
      </c>
      <c r="AG1010" s="73">
        <f t="shared" si="282"/>
        <v>328447.3089860552</v>
      </c>
    </row>
    <row r="1011" spans="1:33" x14ac:dyDescent="0.25">
      <c r="A1011" s="99">
        <v>189199.92</v>
      </c>
      <c r="B1011" s="96">
        <v>860.65170000000001</v>
      </c>
      <c r="C1011" s="96">
        <v>0.6</v>
      </c>
      <c r="D1011" s="80">
        <f t="shared" si="283"/>
        <v>100</v>
      </c>
      <c r="E1011" s="81">
        <f t="shared" si="275"/>
        <v>6791.2436711181272</v>
      </c>
      <c r="F1011" s="81">
        <f>SUM(E$2:E1011)</f>
        <v>6325132.6808645884</v>
      </c>
      <c r="G1011" s="43">
        <f t="shared" si="273"/>
        <v>1</v>
      </c>
      <c r="H1011" s="78">
        <v>1</v>
      </c>
      <c r="I1011" s="15">
        <f t="shared" si="276"/>
        <v>0.6</v>
      </c>
      <c r="J1011" s="16">
        <f>VLOOKUP(G1011,Inputs!$L$3:$P$15,5,FALSE)</f>
        <v>2000</v>
      </c>
      <c r="K1011" s="16">
        <f t="shared" si="277"/>
        <v>1825</v>
      </c>
      <c r="L1011" s="79">
        <f>Inputs!$P$8-B1011</f>
        <v>77.539300000000026</v>
      </c>
      <c r="M1011" s="79">
        <f>Inputs!$Q$8+L1011*0.433</f>
        <v>1858.5745168999999</v>
      </c>
      <c r="N1011" s="82">
        <f t="shared" si="278"/>
        <v>189199.92</v>
      </c>
      <c r="O1011" s="83">
        <f t="shared" si="279"/>
        <v>860.65170000000001</v>
      </c>
      <c r="P1011" s="84">
        <f>IF(O1011="","",Inputs!$C$5-O1011)</f>
        <v>-35.467200000000048</v>
      </c>
      <c r="Q1011" s="83">
        <f>IF(N1011="","",TS!J1011)</f>
        <v>2000</v>
      </c>
      <c r="R1011" s="83">
        <f>IF(N1011="","",TS!K1011)</f>
        <v>1825</v>
      </c>
      <c r="S1011" s="83">
        <f>Inputs!$H$5+TS!P1011*0.4333</f>
        <v>1859.5977786899998</v>
      </c>
      <c r="T1011" s="83">
        <f>Inputs!$G$5+TS!P1011*0.4333</f>
        <v>1874.5977786899998</v>
      </c>
      <c r="U1011" s="85">
        <f t="shared" si="280"/>
        <v>0.93729888934499994</v>
      </c>
      <c r="V1011" s="86">
        <f t="shared" si="268"/>
        <v>0</v>
      </c>
      <c r="W1011" s="86">
        <f t="shared" si="269"/>
        <v>0</v>
      </c>
      <c r="X1011" s="86" t="e">
        <f>((PI()*((42-2*'Gen Calcs'!$E$13)^2)/4)/144)*(A1054-#REF!)*(W1011+14.7)/14.7</f>
        <v>#REF!</v>
      </c>
      <c r="Y1011" s="86" t="e">
        <f t="shared" si="270"/>
        <v>#REF!</v>
      </c>
      <c r="Z1011" s="86" t="e">
        <f t="shared" si="271"/>
        <v>#REF!</v>
      </c>
      <c r="AA1011" s="83">
        <f>MAX(B$2:B1011)-B1011</f>
        <v>77.539300000000026</v>
      </c>
      <c r="AB1011" s="83">
        <f t="shared" si="272"/>
        <v>33.574516900000013</v>
      </c>
      <c r="AC1011" s="83">
        <f t="shared" si="274"/>
        <v>120</v>
      </c>
      <c r="AD1011" s="72">
        <v>120</v>
      </c>
      <c r="AE1011" s="73">
        <f t="shared" si="281"/>
        <v>907.92027688745009</v>
      </c>
      <c r="AF1011" s="73">
        <f>SUM(AE$2:AE1011)</f>
        <v>846190.51371794147</v>
      </c>
      <c r="AG1011" s="73">
        <f t="shared" si="282"/>
        <v>327539.38870916772</v>
      </c>
    </row>
    <row r="1012" spans="1:33" x14ac:dyDescent="0.25">
      <c r="A1012" s="100">
        <v>189299.92</v>
      </c>
      <c r="B1012" s="97">
        <v>865.09370000000001</v>
      </c>
      <c r="C1012" s="97">
        <v>0.6</v>
      </c>
      <c r="D1012" s="80">
        <f t="shared" si="283"/>
        <v>100</v>
      </c>
      <c r="E1012" s="81">
        <f t="shared" si="275"/>
        <v>6791.2436711181272</v>
      </c>
      <c r="F1012" s="81">
        <f>SUM(E$2:E1012)</f>
        <v>6331923.9245357066</v>
      </c>
      <c r="G1012" s="43">
        <f t="shared" si="273"/>
        <v>1</v>
      </c>
      <c r="H1012" s="78">
        <v>1</v>
      </c>
      <c r="I1012" s="15">
        <f t="shared" si="276"/>
        <v>0.6</v>
      </c>
      <c r="J1012" s="16">
        <f>VLOOKUP(G1012,Inputs!$L$3:$P$15,5,FALSE)</f>
        <v>2000</v>
      </c>
      <c r="K1012" s="16">
        <f t="shared" si="277"/>
        <v>1825</v>
      </c>
      <c r="L1012" s="79">
        <f>Inputs!$P$8-B1012</f>
        <v>73.097300000000018</v>
      </c>
      <c r="M1012" s="79">
        <f>Inputs!$Q$8+L1012*0.433</f>
        <v>1856.6511309</v>
      </c>
      <c r="N1012" s="82">
        <f t="shared" si="278"/>
        <v>189299.92</v>
      </c>
      <c r="O1012" s="83">
        <f t="shared" si="279"/>
        <v>865.09370000000001</v>
      </c>
      <c r="P1012" s="84">
        <f>IF(O1012="","",Inputs!$C$5-O1012)</f>
        <v>-39.909200000000055</v>
      </c>
      <c r="Q1012" s="83">
        <f>IF(N1012="","",TS!J1012)</f>
        <v>2000</v>
      </c>
      <c r="R1012" s="83">
        <f>IF(N1012="","",TS!K1012)</f>
        <v>1825</v>
      </c>
      <c r="S1012" s="83">
        <f>Inputs!$H$5+TS!P1012*0.4333</f>
        <v>1857.67306009</v>
      </c>
      <c r="T1012" s="83">
        <f>Inputs!$G$5+TS!P1012*0.4333</f>
        <v>1872.67306009</v>
      </c>
      <c r="U1012" s="85">
        <f t="shared" si="280"/>
        <v>0.93633653004500006</v>
      </c>
      <c r="V1012" s="86">
        <f t="shared" si="268"/>
        <v>0</v>
      </c>
      <c r="W1012" s="86">
        <f t="shared" si="269"/>
        <v>0</v>
      </c>
      <c r="X1012" s="86" t="e">
        <f>((PI()*((42-2*'Gen Calcs'!$E$13)^2)/4)/144)*(A1055-#REF!)*(W1012+14.7)/14.7</f>
        <v>#REF!</v>
      </c>
      <c r="Y1012" s="86" t="e">
        <f t="shared" si="270"/>
        <v>#REF!</v>
      </c>
      <c r="Z1012" s="86" t="e">
        <f t="shared" si="271"/>
        <v>#REF!</v>
      </c>
      <c r="AA1012" s="83">
        <f>MAX(B$2:B1012)-B1012</f>
        <v>73.097300000000018</v>
      </c>
      <c r="AB1012" s="83">
        <f t="shared" si="272"/>
        <v>31.651130900000009</v>
      </c>
      <c r="AC1012" s="83">
        <f t="shared" si="274"/>
        <v>120</v>
      </c>
      <c r="AD1012" s="72">
        <v>120</v>
      </c>
      <c r="AE1012" s="73">
        <f t="shared" si="281"/>
        <v>907.92027688745009</v>
      </c>
      <c r="AF1012" s="73">
        <f>SUM(AE$2:AE1012)</f>
        <v>847098.43399482896</v>
      </c>
      <c r="AG1012" s="73">
        <f t="shared" si="282"/>
        <v>326631.46843228023</v>
      </c>
    </row>
    <row r="1013" spans="1:33" x14ac:dyDescent="0.25">
      <c r="A1013" s="99">
        <v>189399.92</v>
      </c>
      <c r="B1013" s="96">
        <v>869.76499999999999</v>
      </c>
      <c r="C1013" s="96">
        <v>0.6</v>
      </c>
      <c r="D1013" s="80">
        <f t="shared" si="283"/>
        <v>100</v>
      </c>
      <c r="E1013" s="81">
        <f t="shared" si="275"/>
        <v>6791.2436711181272</v>
      </c>
      <c r="F1013" s="81">
        <f>SUM(E$2:E1013)</f>
        <v>6338715.1682068249</v>
      </c>
      <c r="G1013" s="43">
        <f t="shared" si="273"/>
        <v>1</v>
      </c>
      <c r="H1013" s="78">
        <v>1</v>
      </c>
      <c r="I1013" s="15">
        <f t="shared" si="276"/>
        <v>0.6</v>
      </c>
      <c r="J1013" s="16">
        <f>VLOOKUP(G1013,Inputs!$L$3:$P$15,5,FALSE)</f>
        <v>2000</v>
      </c>
      <c r="K1013" s="16">
        <f t="shared" si="277"/>
        <v>1825</v>
      </c>
      <c r="L1013" s="79">
        <f>Inputs!$P$8-B1013</f>
        <v>68.426000000000045</v>
      </c>
      <c r="M1013" s="79">
        <f>Inputs!$Q$8+L1013*0.433</f>
        <v>1854.6284579999999</v>
      </c>
      <c r="N1013" s="82">
        <f t="shared" si="278"/>
        <v>189399.92</v>
      </c>
      <c r="O1013" s="83">
        <f t="shared" si="279"/>
        <v>869.76499999999999</v>
      </c>
      <c r="P1013" s="84">
        <f>IF(O1013="","",Inputs!$C$5-O1013)</f>
        <v>-44.580500000000029</v>
      </c>
      <c r="Q1013" s="83">
        <f>IF(N1013="","",TS!J1013)</f>
        <v>2000</v>
      </c>
      <c r="R1013" s="83">
        <f>IF(N1013="","",TS!K1013)</f>
        <v>1825</v>
      </c>
      <c r="S1013" s="83">
        <f>Inputs!$H$5+TS!P1013*0.4333</f>
        <v>1855.6489858</v>
      </c>
      <c r="T1013" s="83">
        <f>Inputs!$G$5+TS!P1013*0.4333</f>
        <v>1870.6489858</v>
      </c>
      <c r="U1013" s="85">
        <f t="shared" si="280"/>
        <v>0.93532449289999997</v>
      </c>
      <c r="V1013" s="86">
        <f t="shared" si="268"/>
        <v>0</v>
      </c>
      <c r="W1013" s="86">
        <f t="shared" si="269"/>
        <v>0</v>
      </c>
      <c r="X1013" s="86" t="e">
        <f>((PI()*((42-2*'Gen Calcs'!$E$13)^2)/4)/144)*(A1056-#REF!)*(W1013+14.7)/14.7</f>
        <v>#REF!</v>
      </c>
      <c r="Y1013" s="86" t="e">
        <f t="shared" si="270"/>
        <v>#REF!</v>
      </c>
      <c r="Z1013" s="86" t="e">
        <f t="shared" si="271"/>
        <v>#REF!</v>
      </c>
      <c r="AA1013" s="83">
        <f>MAX(B$2:B1013)-B1013</f>
        <v>68.426000000000045</v>
      </c>
      <c r="AB1013" s="83">
        <f t="shared" si="272"/>
        <v>29.62845800000002</v>
      </c>
      <c r="AC1013" s="83">
        <f t="shared" si="274"/>
        <v>120</v>
      </c>
      <c r="AD1013" s="72">
        <v>120</v>
      </c>
      <c r="AE1013" s="73">
        <f t="shared" si="281"/>
        <v>907.92027688745009</v>
      </c>
      <c r="AF1013" s="73">
        <f>SUM(AE$2:AE1013)</f>
        <v>848006.35427171644</v>
      </c>
      <c r="AG1013" s="73">
        <f t="shared" si="282"/>
        <v>325723.54815539275</v>
      </c>
    </row>
    <row r="1014" spans="1:33" x14ac:dyDescent="0.25">
      <c r="A1014" s="100">
        <v>189499.92</v>
      </c>
      <c r="B1014" s="97">
        <v>874.66480000000001</v>
      </c>
      <c r="C1014" s="97">
        <v>0.6</v>
      </c>
      <c r="D1014" s="80">
        <f t="shared" si="283"/>
        <v>100</v>
      </c>
      <c r="E1014" s="81">
        <f t="shared" si="275"/>
        <v>6791.2436711181272</v>
      </c>
      <c r="F1014" s="81">
        <f>SUM(E$2:E1014)</f>
        <v>6345506.4118779432</v>
      </c>
      <c r="G1014" s="43">
        <f t="shared" si="273"/>
        <v>1</v>
      </c>
      <c r="H1014" s="78">
        <v>1</v>
      </c>
      <c r="I1014" s="15">
        <f t="shared" si="276"/>
        <v>0.6</v>
      </c>
      <c r="J1014" s="16">
        <f>VLOOKUP(G1014,Inputs!$L$3:$P$15,5,FALSE)</f>
        <v>2000</v>
      </c>
      <c r="K1014" s="16">
        <f t="shared" si="277"/>
        <v>1825</v>
      </c>
      <c r="L1014" s="79">
        <f>Inputs!$P$8-B1014</f>
        <v>63.526200000000017</v>
      </c>
      <c r="M1014" s="79">
        <f>Inputs!$Q$8+L1014*0.433</f>
        <v>1852.5068446</v>
      </c>
      <c r="N1014" s="82">
        <f t="shared" si="278"/>
        <v>189499.92</v>
      </c>
      <c r="O1014" s="83">
        <f t="shared" si="279"/>
        <v>874.66480000000001</v>
      </c>
      <c r="P1014" s="84">
        <f>IF(O1014="","",Inputs!$C$5-O1014)</f>
        <v>-49.480300000000057</v>
      </c>
      <c r="Q1014" s="83">
        <f>IF(N1014="","",TS!J1014)</f>
        <v>2000</v>
      </c>
      <c r="R1014" s="83">
        <f>IF(N1014="","",TS!K1014)</f>
        <v>1825</v>
      </c>
      <c r="S1014" s="83">
        <f>Inputs!$H$5+TS!P1014*0.4333</f>
        <v>1853.52590246</v>
      </c>
      <c r="T1014" s="83">
        <f>Inputs!$G$5+TS!P1014*0.4333</f>
        <v>1868.52590246</v>
      </c>
      <c r="U1014" s="85">
        <f t="shared" si="280"/>
        <v>0.93426295123000003</v>
      </c>
      <c r="V1014" s="86">
        <f t="shared" ref="V1014:V1077" si="284">O1014-MAX(O1014:O1014)</f>
        <v>0</v>
      </c>
      <c r="W1014" s="86">
        <f t="shared" ref="W1014:W1077" si="285">-(V1014)*0.433</f>
        <v>0</v>
      </c>
      <c r="X1014" s="86" t="e">
        <f>((PI()*((42-2*'Gen Calcs'!$E$13)^2)/4)/144)*(A1057-#REF!)*(W1014+14.7)/14.7</f>
        <v>#REF!</v>
      </c>
      <c r="Y1014" s="86" t="e">
        <f t="shared" ref="Y1014:Y1077" si="286">X1014/1000</f>
        <v>#REF!</v>
      </c>
      <c r="Z1014" s="86" t="e">
        <f t="shared" ref="Z1014:Z1077" si="287">IF(Y1014&gt;Z1013,Y1014,Z1013)</f>
        <v>#REF!</v>
      </c>
      <c r="AA1014" s="83">
        <f>MAX(B$2:B1014)-B1014</f>
        <v>63.526200000000017</v>
      </c>
      <c r="AB1014" s="83">
        <f t="shared" ref="AB1014:AB1077" si="288">AA1014*0.433</f>
        <v>27.506844600000008</v>
      </c>
      <c r="AC1014" s="83">
        <f t="shared" si="274"/>
        <v>120</v>
      </c>
      <c r="AD1014" s="72">
        <v>120</v>
      </c>
      <c r="AE1014" s="73">
        <f t="shared" si="281"/>
        <v>907.92027688745009</v>
      </c>
      <c r="AF1014" s="73">
        <f>SUM(AE$2:AE1014)</f>
        <v>848914.27454860392</v>
      </c>
      <c r="AG1014" s="73">
        <f t="shared" si="282"/>
        <v>324815.62787850527</v>
      </c>
    </row>
    <row r="1015" spans="1:33" x14ac:dyDescent="0.25">
      <c r="A1015" s="99">
        <v>189599.92</v>
      </c>
      <c r="B1015" s="96">
        <v>877.21569999999997</v>
      </c>
      <c r="C1015" s="96">
        <v>0.6</v>
      </c>
      <c r="D1015" s="80">
        <f t="shared" si="283"/>
        <v>100</v>
      </c>
      <c r="E1015" s="81">
        <f t="shared" si="275"/>
        <v>6791.2436711181272</v>
      </c>
      <c r="F1015" s="81">
        <f>SUM(E$2:E1015)</f>
        <v>6352297.6555490615</v>
      </c>
      <c r="G1015" s="43">
        <f t="shared" si="273"/>
        <v>1</v>
      </c>
      <c r="H1015" s="78">
        <v>1</v>
      </c>
      <c r="I1015" s="15">
        <f t="shared" si="276"/>
        <v>0.6</v>
      </c>
      <c r="J1015" s="16">
        <f>VLOOKUP(G1015,Inputs!$L$3:$P$15,5,FALSE)</f>
        <v>2000</v>
      </c>
      <c r="K1015" s="16">
        <f t="shared" si="277"/>
        <v>1825</v>
      </c>
      <c r="L1015" s="79">
        <f>Inputs!$P$8-B1015</f>
        <v>60.975300000000061</v>
      </c>
      <c r="M1015" s="79">
        <f>Inputs!$Q$8+L1015*0.433</f>
        <v>1851.4023049</v>
      </c>
      <c r="N1015" s="82">
        <f t="shared" si="278"/>
        <v>189599.92</v>
      </c>
      <c r="O1015" s="83">
        <f t="shared" si="279"/>
        <v>877.21569999999997</v>
      </c>
      <c r="P1015" s="84">
        <f>IF(O1015="","",Inputs!$C$5-O1015)</f>
        <v>-52.031200000000013</v>
      </c>
      <c r="Q1015" s="83">
        <f>IF(N1015="","",TS!J1015)</f>
        <v>2000</v>
      </c>
      <c r="R1015" s="83">
        <f>IF(N1015="","",TS!K1015)</f>
        <v>1825</v>
      </c>
      <c r="S1015" s="83">
        <f>Inputs!$H$5+TS!P1015*0.4333</f>
        <v>1852.4205974899999</v>
      </c>
      <c r="T1015" s="83">
        <f>Inputs!$G$5+TS!P1015*0.4333</f>
        <v>1867.4205974899999</v>
      </c>
      <c r="U1015" s="85">
        <f t="shared" si="280"/>
        <v>0.93371029874499989</v>
      </c>
      <c r="V1015" s="86">
        <f t="shared" si="284"/>
        <v>0</v>
      </c>
      <c r="W1015" s="86">
        <f t="shared" si="285"/>
        <v>0</v>
      </c>
      <c r="X1015" s="86" t="e">
        <f>((PI()*((42-2*'Gen Calcs'!$E$13)^2)/4)/144)*(A1058-#REF!)*(W1015+14.7)/14.7</f>
        <v>#REF!</v>
      </c>
      <c r="Y1015" s="86" t="e">
        <f t="shared" si="286"/>
        <v>#REF!</v>
      </c>
      <c r="Z1015" s="86" t="e">
        <f t="shared" si="287"/>
        <v>#REF!</v>
      </c>
      <c r="AA1015" s="83">
        <f>MAX(B$2:B1015)-B1015</f>
        <v>60.975300000000061</v>
      </c>
      <c r="AB1015" s="83">
        <f t="shared" si="288"/>
        <v>26.402304900000026</v>
      </c>
      <c r="AC1015" s="83">
        <f t="shared" si="274"/>
        <v>120</v>
      </c>
      <c r="AD1015" s="72">
        <v>120</v>
      </c>
      <c r="AE1015" s="73">
        <f t="shared" si="281"/>
        <v>907.92027688745009</v>
      </c>
      <c r="AF1015" s="73">
        <f>SUM(AE$2:AE1015)</f>
        <v>849822.1948254914</v>
      </c>
      <c r="AG1015" s="73">
        <f t="shared" si="282"/>
        <v>323907.70760161779</v>
      </c>
    </row>
    <row r="1016" spans="1:33" x14ac:dyDescent="0.25">
      <c r="A1016" s="100">
        <v>189699.92</v>
      </c>
      <c r="B1016" s="97">
        <v>875.31640000000004</v>
      </c>
      <c r="C1016" s="97">
        <v>0.6</v>
      </c>
      <c r="D1016" s="80">
        <f t="shared" si="283"/>
        <v>100</v>
      </c>
      <c r="E1016" s="81">
        <f t="shared" si="275"/>
        <v>6791.2436711181272</v>
      </c>
      <c r="F1016" s="81">
        <f>SUM(E$2:E1016)</f>
        <v>6359088.8992201798</v>
      </c>
      <c r="G1016" s="43">
        <f t="shared" si="273"/>
        <v>1</v>
      </c>
      <c r="H1016" s="78">
        <v>1</v>
      </c>
      <c r="I1016" s="15">
        <f t="shared" si="276"/>
        <v>0.6</v>
      </c>
      <c r="J1016" s="16">
        <f>VLOOKUP(G1016,Inputs!$L$3:$P$15,5,FALSE)</f>
        <v>2000</v>
      </c>
      <c r="K1016" s="16">
        <f t="shared" si="277"/>
        <v>1825</v>
      </c>
      <c r="L1016" s="79">
        <f>Inputs!$P$8-B1016</f>
        <v>62.874599999999987</v>
      </c>
      <c r="M1016" s="79">
        <f>Inputs!$Q$8+L1016*0.433</f>
        <v>1852.2247018</v>
      </c>
      <c r="N1016" s="82">
        <f t="shared" si="278"/>
        <v>189699.92</v>
      </c>
      <c r="O1016" s="83">
        <f t="shared" si="279"/>
        <v>875.31640000000004</v>
      </c>
      <c r="P1016" s="84">
        <f>IF(O1016="","",Inputs!$C$5-O1016)</f>
        <v>-50.131900000000087</v>
      </c>
      <c r="Q1016" s="83">
        <f>IF(N1016="","",TS!J1016)</f>
        <v>2000</v>
      </c>
      <c r="R1016" s="83">
        <f>IF(N1016="","",TS!K1016)</f>
        <v>1825</v>
      </c>
      <c r="S1016" s="83">
        <f>Inputs!$H$5+TS!P1016*0.4333</f>
        <v>1853.2435641799998</v>
      </c>
      <c r="T1016" s="83">
        <f>Inputs!$G$5+TS!P1016*0.4333</f>
        <v>1868.2435641799998</v>
      </c>
      <c r="U1016" s="85">
        <f t="shared" si="280"/>
        <v>0.93412178208999985</v>
      </c>
      <c r="V1016" s="86">
        <f t="shared" si="284"/>
        <v>0</v>
      </c>
      <c r="W1016" s="86">
        <f t="shared" si="285"/>
        <v>0</v>
      </c>
      <c r="X1016" s="86" t="e">
        <f>((PI()*((42-2*'Gen Calcs'!$E$13)^2)/4)/144)*(A1059-#REF!)*(W1016+14.7)/14.7</f>
        <v>#REF!</v>
      </c>
      <c r="Y1016" s="86" t="e">
        <f t="shared" si="286"/>
        <v>#REF!</v>
      </c>
      <c r="Z1016" s="86" t="e">
        <f t="shared" si="287"/>
        <v>#REF!</v>
      </c>
      <c r="AA1016" s="83">
        <f>MAX(B$2:B1016)-B1016</f>
        <v>62.874599999999987</v>
      </c>
      <c r="AB1016" s="83">
        <f t="shared" si="288"/>
        <v>27.224701799999995</v>
      </c>
      <c r="AC1016" s="83">
        <f t="shared" si="274"/>
        <v>120</v>
      </c>
      <c r="AD1016" s="72">
        <v>120</v>
      </c>
      <c r="AE1016" s="73">
        <f t="shared" si="281"/>
        <v>907.92027688745009</v>
      </c>
      <c r="AF1016" s="73">
        <f>SUM(AE$2:AE1016)</f>
        <v>850730.11510237888</v>
      </c>
      <c r="AG1016" s="73">
        <f t="shared" si="282"/>
        <v>322999.78732473031</v>
      </c>
    </row>
    <row r="1017" spans="1:33" x14ac:dyDescent="0.25">
      <c r="A1017" s="99">
        <v>189799.92</v>
      </c>
      <c r="B1017" s="96">
        <v>871.27110000000005</v>
      </c>
      <c r="C1017" s="96">
        <v>0.6</v>
      </c>
      <c r="D1017" s="80">
        <f t="shared" si="283"/>
        <v>100</v>
      </c>
      <c r="E1017" s="81">
        <f t="shared" si="275"/>
        <v>6791.2436711181272</v>
      </c>
      <c r="F1017" s="81">
        <f>SUM(E$2:E1017)</f>
        <v>6365880.142891298</v>
      </c>
      <c r="G1017" s="43">
        <f t="shared" si="273"/>
        <v>1</v>
      </c>
      <c r="H1017" s="78">
        <v>1</v>
      </c>
      <c r="I1017" s="15">
        <f t="shared" si="276"/>
        <v>0.6</v>
      </c>
      <c r="J1017" s="16">
        <f>VLOOKUP(G1017,Inputs!$L$3:$P$15,5,FALSE)</f>
        <v>2000</v>
      </c>
      <c r="K1017" s="16">
        <f t="shared" si="277"/>
        <v>1825</v>
      </c>
      <c r="L1017" s="79">
        <f>Inputs!$P$8-B1017</f>
        <v>66.919899999999984</v>
      </c>
      <c r="M1017" s="79">
        <f>Inputs!$Q$8+L1017*0.433</f>
        <v>1853.9763167000001</v>
      </c>
      <c r="N1017" s="82">
        <f t="shared" si="278"/>
        <v>189799.92</v>
      </c>
      <c r="O1017" s="83">
        <f t="shared" si="279"/>
        <v>871.27110000000005</v>
      </c>
      <c r="P1017" s="84">
        <f>IF(O1017="","",Inputs!$C$5-O1017)</f>
        <v>-46.086600000000089</v>
      </c>
      <c r="Q1017" s="83">
        <f>IF(N1017="","",TS!J1017)</f>
        <v>2000</v>
      </c>
      <c r="R1017" s="83">
        <f>IF(N1017="","",TS!K1017)</f>
        <v>1825</v>
      </c>
      <c r="S1017" s="83">
        <f>Inputs!$H$5+TS!P1017*0.4333</f>
        <v>1854.99639267</v>
      </c>
      <c r="T1017" s="83">
        <f>Inputs!$G$5+TS!P1017*0.4333</f>
        <v>1869.99639267</v>
      </c>
      <c r="U1017" s="85">
        <f t="shared" si="280"/>
        <v>0.93499819633500003</v>
      </c>
      <c r="V1017" s="86">
        <f t="shared" si="284"/>
        <v>0</v>
      </c>
      <c r="W1017" s="86">
        <f t="shared" si="285"/>
        <v>0</v>
      </c>
      <c r="X1017" s="86" t="e">
        <f>((PI()*((42-2*'Gen Calcs'!$E$13)^2)/4)/144)*(A1060-#REF!)*(W1017+14.7)/14.7</f>
        <v>#REF!</v>
      </c>
      <c r="Y1017" s="86" t="e">
        <f t="shared" si="286"/>
        <v>#REF!</v>
      </c>
      <c r="Z1017" s="86" t="e">
        <f t="shared" si="287"/>
        <v>#REF!</v>
      </c>
      <c r="AA1017" s="83">
        <f>MAX(B$2:B1017)-B1017</f>
        <v>66.919899999999984</v>
      </c>
      <c r="AB1017" s="83">
        <f t="shared" si="288"/>
        <v>28.976316699999995</v>
      </c>
      <c r="AC1017" s="83">
        <f t="shared" si="274"/>
        <v>120</v>
      </c>
      <c r="AD1017" s="72">
        <v>120</v>
      </c>
      <c r="AE1017" s="73">
        <f t="shared" si="281"/>
        <v>907.92027688745009</v>
      </c>
      <c r="AF1017" s="73">
        <f>SUM(AE$2:AE1017)</f>
        <v>851638.03537926637</v>
      </c>
      <c r="AG1017" s="73">
        <f t="shared" si="282"/>
        <v>322091.86704784282</v>
      </c>
    </row>
    <row r="1018" spans="1:33" x14ac:dyDescent="0.25">
      <c r="A1018" s="100">
        <v>189899.92</v>
      </c>
      <c r="B1018" s="97">
        <v>867.86360000000002</v>
      </c>
      <c r="C1018" s="97">
        <v>0.6</v>
      </c>
      <c r="D1018" s="80">
        <f t="shared" si="283"/>
        <v>100</v>
      </c>
      <c r="E1018" s="81">
        <f t="shared" si="275"/>
        <v>6791.2436711181272</v>
      </c>
      <c r="F1018" s="81">
        <f>SUM(E$2:E1018)</f>
        <v>6372671.3865624163</v>
      </c>
      <c r="G1018" s="43">
        <f t="shared" si="273"/>
        <v>1</v>
      </c>
      <c r="H1018" s="78">
        <v>1</v>
      </c>
      <c r="I1018" s="15">
        <f t="shared" si="276"/>
        <v>0.6</v>
      </c>
      <c r="J1018" s="16">
        <f>VLOOKUP(G1018,Inputs!$L$3:$P$15,5,FALSE)</f>
        <v>2000</v>
      </c>
      <c r="K1018" s="16">
        <f t="shared" si="277"/>
        <v>1825</v>
      </c>
      <c r="L1018" s="79">
        <f>Inputs!$P$8-B1018</f>
        <v>70.327400000000011</v>
      </c>
      <c r="M1018" s="79">
        <f>Inputs!$Q$8+L1018*0.433</f>
        <v>1855.4517642000001</v>
      </c>
      <c r="N1018" s="82">
        <f t="shared" si="278"/>
        <v>189899.92</v>
      </c>
      <c r="O1018" s="83">
        <f t="shared" si="279"/>
        <v>867.86360000000002</v>
      </c>
      <c r="P1018" s="84">
        <f>IF(O1018="","",Inputs!$C$5-O1018)</f>
        <v>-42.679100000000062</v>
      </c>
      <c r="Q1018" s="83">
        <f>IF(N1018="","",TS!J1018)</f>
        <v>2000</v>
      </c>
      <c r="R1018" s="83">
        <f>IF(N1018="","",TS!K1018)</f>
        <v>1825</v>
      </c>
      <c r="S1018" s="83">
        <f>Inputs!$H$5+TS!P1018*0.4333</f>
        <v>1856.47286242</v>
      </c>
      <c r="T1018" s="83">
        <f>Inputs!$G$5+TS!P1018*0.4333</f>
        <v>1871.47286242</v>
      </c>
      <c r="U1018" s="85">
        <f t="shared" si="280"/>
        <v>0.93573643120999994</v>
      </c>
      <c r="V1018" s="86">
        <f t="shared" si="284"/>
        <v>0</v>
      </c>
      <c r="W1018" s="86">
        <f t="shared" si="285"/>
        <v>0</v>
      </c>
      <c r="X1018" s="86" t="e">
        <f>((PI()*((42-2*'Gen Calcs'!$E$13)^2)/4)/144)*(A1061-#REF!)*(W1018+14.7)/14.7</f>
        <v>#REF!</v>
      </c>
      <c r="Y1018" s="86" t="e">
        <f t="shared" si="286"/>
        <v>#REF!</v>
      </c>
      <c r="Z1018" s="86" t="e">
        <f t="shared" si="287"/>
        <v>#REF!</v>
      </c>
      <c r="AA1018" s="83">
        <f>MAX(B$2:B1018)-B1018</f>
        <v>70.327400000000011</v>
      </c>
      <c r="AB1018" s="83">
        <f t="shared" si="288"/>
        <v>30.451764200000003</v>
      </c>
      <c r="AC1018" s="83">
        <f t="shared" si="274"/>
        <v>120</v>
      </c>
      <c r="AD1018" s="72">
        <v>120</v>
      </c>
      <c r="AE1018" s="73">
        <f t="shared" si="281"/>
        <v>907.92027688745009</v>
      </c>
      <c r="AF1018" s="73">
        <f>SUM(AE$2:AE1018)</f>
        <v>852545.95565615385</v>
      </c>
      <c r="AG1018" s="73">
        <f t="shared" si="282"/>
        <v>321183.94677095534</v>
      </c>
    </row>
    <row r="1019" spans="1:33" x14ac:dyDescent="0.25">
      <c r="A1019" s="99">
        <v>189999.92</v>
      </c>
      <c r="B1019" s="96">
        <v>865.08929999999998</v>
      </c>
      <c r="C1019" s="96">
        <v>0.6</v>
      </c>
      <c r="D1019" s="80">
        <f t="shared" si="283"/>
        <v>100</v>
      </c>
      <c r="E1019" s="81">
        <f t="shared" si="275"/>
        <v>6791.2436711181272</v>
      </c>
      <c r="F1019" s="81">
        <f>SUM(E$2:E1019)</f>
        <v>6379462.6302335346</v>
      </c>
      <c r="G1019" s="43">
        <f t="shared" si="273"/>
        <v>1</v>
      </c>
      <c r="H1019" s="78">
        <v>1</v>
      </c>
      <c r="I1019" s="15">
        <f t="shared" si="276"/>
        <v>0.6</v>
      </c>
      <c r="J1019" s="16">
        <f>VLOOKUP(G1019,Inputs!$L$3:$P$15,5,FALSE)</f>
        <v>2000</v>
      </c>
      <c r="K1019" s="16">
        <f t="shared" si="277"/>
        <v>1825</v>
      </c>
      <c r="L1019" s="79">
        <f>Inputs!$P$8-B1019</f>
        <v>73.101700000000051</v>
      </c>
      <c r="M1019" s="79">
        <f>Inputs!$Q$8+L1019*0.433</f>
        <v>1856.6530361</v>
      </c>
      <c r="N1019" s="82">
        <f t="shared" si="278"/>
        <v>189999.92</v>
      </c>
      <c r="O1019" s="83">
        <f t="shared" si="279"/>
        <v>865.08929999999998</v>
      </c>
      <c r="P1019" s="84">
        <f>IF(O1019="","",Inputs!$C$5-O1019)</f>
        <v>-39.904800000000023</v>
      </c>
      <c r="Q1019" s="83">
        <f>IF(N1019="","",TS!J1019)</f>
        <v>2000</v>
      </c>
      <c r="R1019" s="83">
        <f>IF(N1019="","",TS!K1019)</f>
        <v>1825</v>
      </c>
      <c r="S1019" s="83">
        <f>Inputs!$H$5+TS!P1019*0.4333</f>
        <v>1857.67496661</v>
      </c>
      <c r="T1019" s="83">
        <f>Inputs!$G$5+TS!P1019*0.4333</f>
        <v>1872.67496661</v>
      </c>
      <c r="U1019" s="85">
        <f t="shared" si="280"/>
        <v>0.936337483305</v>
      </c>
      <c r="V1019" s="86">
        <f t="shared" si="284"/>
        <v>0</v>
      </c>
      <c r="W1019" s="86">
        <f t="shared" si="285"/>
        <v>0</v>
      </c>
      <c r="X1019" s="86" t="e">
        <f>((PI()*((42-2*'Gen Calcs'!$E$13)^2)/4)/144)*(A1062-#REF!)*(W1019+14.7)/14.7</f>
        <v>#REF!</v>
      </c>
      <c r="Y1019" s="86" t="e">
        <f t="shared" si="286"/>
        <v>#REF!</v>
      </c>
      <c r="Z1019" s="86" t="e">
        <f t="shared" si="287"/>
        <v>#REF!</v>
      </c>
      <c r="AA1019" s="83">
        <f>MAX(B$2:B1019)-B1019</f>
        <v>73.101700000000051</v>
      </c>
      <c r="AB1019" s="83">
        <f t="shared" si="288"/>
        <v>31.653036100000023</v>
      </c>
      <c r="AC1019" s="83">
        <f t="shared" si="274"/>
        <v>120</v>
      </c>
      <c r="AD1019" s="72">
        <v>120</v>
      </c>
      <c r="AE1019" s="73">
        <f t="shared" si="281"/>
        <v>907.92027688745009</v>
      </c>
      <c r="AF1019" s="73">
        <f>SUM(AE$2:AE1019)</f>
        <v>853453.87593304133</v>
      </c>
      <c r="AG1019" s="73">
        <f t="shared" si="282"/>
        <v>320276.02649406786</v>
      </c>
    </row>
    <row r="1020" spans="1:33" x14ac:dyDescent="0.25">
      <c r="A1020" s="100">
        <v>190099.92</v>
      </c>
      <c r="B1020" s="97">
        <v>862.43359999999996</v>
      </c>
      <c r="C1020" s="97">
        <v>0.6</v>
      </c>
      <c r="D1020" s="80">
        <f t="shared" si="283"/>
        <v>100</v>
      </c>
      <c r="E1020" s="81">
        <f t="shared" si="275"/>
        <v>6791.2436711181272</v>
      </c>
      <c r="F1020" s="81">
        <f>SUM(E$2:E1020)</f>
        <v>6386253.8739046529</v>
      </c>
      <c r="G1020" s="43">
        <f t="shared" si="273"/>
        <v>1</v>
      </c>
      <c r="H1020" s="78">
        <v>1</v>
      </c>
      <c r="I1020" s="15">
        <f t="shared" si="276"/>
        <v>0.6</v>
      </c>
      <c r="J1020" s="16">
        <f>VLOOKUP(G1020,Inputs!$L$3:$P$15,5,FALSE)</f>
        <v>2000</v>
      </c>
      <c r="K1020" s="16">
        <f t="shared" si="277"/>
        <v>1825</v>
      </c>
      <c r="L1020" s="79">
        <f>Inputs!$P$8-B1020</f>
        <v>75.757400000000075</v>
      </c>
      <c r="M1020" s="79">
        <f>Inputs!$Q$8+L1020*0.433</f>
        <v>1857.8029541999999</v>
      </c>
      <c r="N1020" s="82">
        <f t="shared" si="278"/>
        <v>190099.92</v>
      </c>
      <c r="O1020" s="83">
        <f t="shared" si="279"/>
        <v>862.43359999999996</v>
      </c>
      <c r="P1020" s="84">
        <f>IF(O1020="","",Inputs!$C$5-O1020)</f>
        <v>-37.249099999999999</v>
      </c>
      <c r="Q1020" s="83">
        <f>IF(N1020="","",TS!J1020)</f>
        <v>2000</v>
      </c>
      <c r="R1020" s="83">
        <f>IF(N1020="","",TS!K1020)</f>
        <v>1825</v>
      </c>
      <c r="S1020" s="83">
        <f>Inputs!$H$5+TS!P1020*0.4333</f>
        <v>1858.8256814199999</v>
      </c>
      <c r="T1020" s="83">
        <f>Inputs!$G$5+TS!P1020*0.4333</f>
        <v>1873.8256814199999</v>
      </c>
      <c r="U1020" s="85">
        <f t="shared" si="280"/>
        <v>0.93691284070999992</v>
      </c>
      <c r="V1020" s="86">
        <f t="shared" si="284"/>
        <v>0</v>
      </c>
      <c r="W1020" s="86">
        <f t="shared" si="285"/>
        <v>0</v>
      </c>
      <c r="X1020" s="86" t="e">
        <f>((PI()*((42-2*'Gen Calcs'!$E$13)^2)/4)/144)*(A1063-#REF!)*(W1020+14.7)/14.7</f>
        <v>#REF!</v>
      </c>
      <c r="Y1020" s="86" t="e">
        <f t="shared" si="286"/>
        <v>#REF!</v>
      </c>
      <c r="Z1020" s="86" t="e">
        <f t="shared" si="287"/>
        <v>#REF!</v>
      </c>
      <c r="AA1020" s="83">
        <f>MAX(B$2:B1020)-B1020</f>
        <v>75.757400000000075</v>
      </c>
      <c r="AB1020" s="83">
        <f t="shared" si="288"/>
        <v>32.80295420000003</v>
      </c>
      <c r="AC1020" s="83">
        <f t="shared" si="274"/>
        <v>120</v>
      </c>
      <c r="AD1020" s="72">
        <v>120</v>
      </c>
      <c r="AE1020" s="73">
        <f t="shared" si="281"/>
        <v>907.92027688745009</v>
      </c>
      <c r="AF1020" s="73">
        <f>SUM(AE$2:AE1020)</f>
        <v>854361.79620992881</v>
      </c>
      <c r="AG1020" s="73">
        <f t="shared" si="282"/>
        <v>319368.10621718038</v>
      </c>
    </row>
    <row r="1021" spans="1:33" x14ac:dyDescent="0.25">
      <c r="A1021" s="99">
        <v>190199.92</v>
      </c>
      <c r="B1021" s="96">
        <v>864.31439999999998</v>
      </c>
      <c r="C1021" s="96">
        <v>0.6</v>
      </c>
      <c r="D1021" s="80">
        <f t="shared" si="283"/>
        <v>100</v>
      </c>
      <c r="E1021" s="81">
        <f t="shared" si="275"/>
        <v>6791.2436711181272</v>
      </c>
      <c r="F1021" s="81">
        <f>SUM(E$2:E1021)</f>
        <v>6393045.1175757712</v>
      </c>
      <c r="G1021" s="43">
        <f t="shared" si="273"/>
        <v>1</v>
      </c>
      <c r="H1021" s="78">
        <v>1</v>
      </c>
      <c r="I1021" s="15">
        <f t="shared" si="276"/>
        <v>0.6</v>
      </c>
      <c r="J1021" s="16">
        <f>VLOOKUP(G1021,Inputs!$L$3:$P$15,5,FALSE)</f>
        <v>2000</v>
      </c>
      <c r="K1021" s="16">
        <f t="shared" si="277"/>
        <v>1825</v>
      </c>
      <c r="L1021" s="79">
        <f>Inputs!$P$8-B1021</f>
        <v>73.876600000000053</v>
      </c>
      <c r="M1021" s="79">
        <f>Inputs!$Q$8+L1021*0.433</f>
        <v>1856.9885678000001</v>
      </c>
      <c r="N1021" s="82">
        <f t="shared" si="278"/>
        <v>190199.92</v>
      </c>
      <c r="O1021" s="83">
        <f t="shared" si="279"/>
        <v>864.31439999999998</v>
      </c>
      <c r="P1021" s="84">
        <f>IF(O1021="","",Inputs!$C$5-O1021)</f>
        <v>-39.129900000000021</v>
      </c>
      <c r="Q1021" s="83">
        <f>IF(N1021="","",TS!J1021)</f>
        <v>2000</v>
      </c>
      <c r="R1021" s="83">
        <f>IF(N1021="","",TS!K1021)</f>
        <v>1825</v>
      </c>
      <c r="S1021" s="83">
        <f>Inputs!$H$5+TS!P1021*0.4333</f>
        <v>1858.0107307799999</v>
      </c>
      <c r="T1021" s="83">
        <f>Inputs!$G$5+TS!P1021*0.4333</f>
        <v>1873.0107307799999</v>
      </c>
      <c r="U1021" s="85">
        <f t="shared" si="280"/>
        <v>0.93650536538999996</v>
      </c>
      <c r="V1021" s="86">
        <f t="shared" si="284"/>
        <v>0</v>
      </c>
      <c r="W1021" s="86">
        <f t="shared" si="285"/>
        <v>0</v>
      </c>
      <c r="X1021" s="86" t="e">
        <f>((PI()*((42-2*'Gen Calcs'!$E$13)^2)/4)/144)*(A1064-#REF!)*(W1021+14.7)/14.7</f>
        <v>#REF!</v>
      </c>
      <c r="Y1021" s="86" t="e">
        <f t="shared" si="286"/>
        <v>#REF!</v>
      </c>
      <c r="Z1021" s="86" t="e">
        <f t="shared" si="287"/>
        <v>#REF!</v>
      </c>
      <c r="AA1021" s="83">
        <f>MAX(B$2:B1021)-B1021</f>
        <v>73.876600000000053</v>
      </c>
      <c r="AB1021" s="83">
        <f t="shared" si="288"/>
        <v>31.988567800000023</v>
      </c>
      <c r="AC1021" s="83">
        <f t="shared" si="274"/>
        <v>120</v>
      </c>
      <c r="AD1021" s="72">
        <v>120</v>
      </c>
      <c r="AE1021" s="73">
        <f t="shared" si="281"/>
        <v>907.92027688745009</v>
      </c>
      <c r="AF1021" s="73">
        <f>SUM(AE$2:AE1021)</f>
        <v>855269.71648681629</v>
      </c>
      <c r="AG1021" s="73">
        <f t="shared" si="282"/>
        <v>318460.1859402929</v>
      </c>
    </row>
    <row r="1022" spans="1:33" x14ac:dyDescent="0.25">
      <c r="A1022" s="100">
        <v>190299.92</v>
      </c>
      <c r="B1022" s="97">
        <v>867.28750000000002</v>
      </c>
      <c r="C1022" s="97">
        <v>0.6</v>
      </c>
      <c r="D1022" s="80">
        <f t="shared" si="283"/>
        <v>100</v>
      </c>
      <c r="E1022" s="81">
        <f t="shared" si="275"/>
        <v>6791.2436711181272</v>
      </c>
      <c r="F1022" s="81">
        <f>SUM(E$2:E1022)</f>
        <v>6399836.3612468895</v>
      </c>
      <c r="G1022" s="43">
        <f t="shared" si="273"/>
        <v>1</v>
      </c>
      <c r="H1022" s="78">
        <v>1</v>
      </c>
      <c r="I1022" s="15">
        <f t="shared" si="276"/>
        <v>0.6</v>
      </c>
      <c r="J1022" s="16">
        <f>VLOOKUP(G1022,Inputs!$L$3:$P$15,5,FALSE)</f>
        <v>2000</v>
      </c>
      <c r="K1022" s="16">
        <f t="shared" si="277"/>
        <v>1825</v>
      </c>
      <c r="L1022" s="79">
        <f>Inputs!$P$8-B1022</f>
        <v>70.903500000000008</v>
      </c>
      <c r="M1022" s="79">
        <f>Inputs!$Q$8+L1022*0.433</f>
        <v>1855.7012155</v>
      </c>
      <c r="N1022" s="82">
        <f t="shared" si="278"/>
        <v>190299.92</v>
      </c>
      <c r="O1022" s="83">
        <f t="shared" si="279"/>
        <v>867.28750000000002</v>
      </c>
      <c r="P1022" s="84">
        <f>IF(O1022="","",Inputs!$C$5-O1022)</f>
        <v>-42.103000000000065</v>
      </c>
      <c r="Q1022" s="83">
        <f>IF(N1022="","",TS!J1022)</f>
        <v>2000</v>
      </c>
      <c r="R1022" s="83">
        <f>IF(N1022="","",TS!K1022)</f>
        <v>1825</v>
      </c>
      <c r="S1022" s="83">
        <f>Inputs!$H$5+TS!P1022*0.4333</f>
        <v>1856.72248655</v>
      </c>
      <c r="T1022" s="83">
        <f>Inputs!$G$5+TS!P1022*0.4333</f>
        <v>1871.72248655</v>
      </c>
      <c r="U1022" s="85">
        <f t="shared" si="280"/>
        <v>0.93586124327499998</v>
      </c>
      <c r="V1022" s="86">
        <f t="shared" si="284"/>
        <v>0</v>
      </c>
      <c r="W1022" s="86">
        <f t="shared" si="285"/>
        <v>0</v>
      </c>
      <c r="X1022" s="86" t="e">
        <f>((PI()*((42-2*'Gen Calcs'!$E$13)^2)/4)/144)*(A1065-#REF!)*(W1022+14.7)/14.7</f>
        <v>#REF!</v>
      </c>
      <c r="Y1022" s="86" t="e">
        <f t="shared" si="286"/>
        <v>#REF!</v>
      </c>
      <c r="Z1022" s="86" t="e">
        <f t="shared" si="287"/>
        <v>#REF!</v>
      </c>
      <c r="AA1022" s="83">
        <f>MAX(B$2:B1022)-B1022</f>
        <v>70.903500000000008</v>
      </c>
      <c r="AB1022" s="83">
        <f t="shared" si="288"/>
        <v>30.701215500000004</v>
      </c>
      <c r="AC1022" s="83">
        <f t="shared" si="274"/>
        <v>120</v>
      </c>
      <c r="AD1022" s="72">
        <v>120</v>
      </c>
      <c r="AE1022" s="73">
        <f t="shared" si="281"/>
        <v>907.92027688745009</v>
      </c>
      <c r="AF1022" s="73">
        <f>SUM(AE$2:AE1022)</f>
        <v>856177.63676370378</v>
      </c>
      <c r="AG1022" s="73">
        <f t="shared" si="282"/>
        <v>317552.26566340541</v>
      </c>
    </row>
    <row r="1023" spans="1:33" x14ac:dyDescent="0.25">
      <c r="A1023" s="99">
        <v>190399.92</v>
      </c>
      <c r="B1023" s="96">
        <v>870.8107</v>
      </c>
      <c r="C1023" s="96">
        <v>0.6</v>
      </c>
      <c r="D1023" s="80">
        <f t="shared" si="283"/>
        <v>100</v>
      </c>
      <c r="E1023" s="81">
        <f t="shared" si="275"/>
        <v>6791.2436711181272</v>
      </c>
      <c r="F1023" s="81">
        <f>SUM(E$2:E1023)</f>
        <v>6406627.6049180077</v>
      </c>
      <c r="G1023" s="43">
        <f t="shared" si="273"/>
        <v>1</v>
      </c>
      <c r="H1023" s="78">
        <v>1</v>
      </c>
      <c r="I1023" s="15">
        <f t="shared" si="276"/>
        <v>0.6</v>
      </c>
      <c r="J1023" s="16">
        <f>VLOOKUP(G1023,Inputs!$L$3:$P$15,5,FALSE)</f>
        <v>2000</v>
      </c>
      <c r="K1023" s="16">
        <f t="shared" si="277"/>
        <v>1825</v>
      </c>
      <c r="L1023" s="79">
        <f>Inputs!$P$8-B1023</f>
        <v>67.380300000000034</v>
      </c>
      <c r="M1023" s="79">
        <f>Inputs!$Q$8+L1023*0.433</f>
        <v>1854.1756699</v>
      </c>
      <c r="N1023" s="82">
        <f t="shared" si="278"/>
        <v>190399.92</v>
      </c>
      <c r="O1023" s="83">
        <f t="shared" si="279"/>
        <v>870.8107</v>
      </c>
      <c r="P1023" s="84">
        <f>IF(O1023="","",Inputs!$C$5-O1023)</f>
        <v>-45.62620000000004</v>
      </c>
      <c r="Q1023" s="83">
        <f>IF(N1023="","",TS!J1023)</f>
        <v>2000</v>
      </c>
      <c r="R1023" s="83">
        <f>IF(N1023="","",TS!K1023)</f>
        <v>1825</v>
      </c>
      <c r="S1023" s="83">
        <f>Inputs!$H$5+TS!P1023*0.4333</f>
        <v>1855.1958839899999</v>
      </c>
      <c r="T1023" s="83">
        <f>Inputs!$G$5+TS!P1023*0.4333</f>
        <v>1870.1958839899999</v>
      </c>
      <c r="U1023" s="85">
        <f t="shared" si="280"/>
        <v>0.93509794199499996</v>
      </c>
      <c r="V1023" s="86">
        <f t="shared" si="284"/>
        <v>0</v>
      </c>
      <c r="W1023" s="86">
        <f t="shared" si="285"/>
        <v>0</v>
      </c>
      <c r="X1023" s="86" t="e">
        <f>((PI()*((42-2*'Gen Calcs'!$E$13)^2)/4)/144)*(A1066-#REF!)*(W1023+14.7)/14.7</f>
        <v>#REF!</v>
      </c>
      <c r="Y1023" s="86" t="e">
        <f t="shared" si="286"/>
        <v>#REF!</v>
      </c>
      <c r="Z1023" s="86" t="e">
        <f t="shared" si="287"/>
        <v>#REF!</v>
      </c>
      <c r="AA1023" s="83">
        <f>MAX(B$2:B1023)-B1023</f>
        <v>67.380300000000034</v>
      </c>
      <c r="AB1023" s="83">
        <f t="shared" si="288"/>
        <v>29.175669900000013</v>
      </c>
      <c r="AC1023" s="83">
        <f t="shared" si="274"/>
        <v>120</v>
      </c>
      <c r="AD1023" s="72">
        <v>120</v>
      </c>
      <c r="AE1023" s="73">
        <f t="shared" si="281"/>
        <v>907.92027688745009</v>
      </c>
      <c r="AF1023" s="73">
        <f>SUM(AE$2:AE1023)</f>
        <v>857085.55704059126</v>
      </c>
      <c r="AG1023" s="73">
        <f t="shared" si="282"/>
        <v>316644.34538651793</v>
      </c>
    </row>
    <row r="1024" spans="1:33" x14ac:dyDescent="0.25">
      <c r="A1024" s="100">
        <v>190499.92</v>
      </c>
      <c r="B1024" s="97">
        <v>874.19100000000003</v>
      </c>
      <c r="C1024" s="97">
        <v>0.6</v>
      </c>
      <c r="D1024" s="80">
        <f t="shared" si="283"/>
        <v>100</v>
      </c>
      <c r="E1024" s="81">
        <f t="shared" si="275"/>
        <v>6791.2436711181272</v>
      </c>
      <c r="F1024" s="81">
        <f>SUM(E$2:E1024)</f>
        <v>6413418.848589126</v>
      </c>
      <c r="G1024" s="43">
        <f t="shared" si="273"/>
        <v>1</v>
      </c>
      <c r="H1024" s="78">
        <v>1</v>
      </c>
      <c r="I1024" s="15">
        <f t="shared" si="276"/>
        <v>0.6</v>
      </c>
      <c r="J1024" s="16">
        <f>VLOOKUP(G1024,Inputs!$L$3:$P$15,5,FALSE)</f>
        <v>2000</v>
      </c>
      <c r="K1024" s="16">
        <f t="shared" si="277"/>
        <v>1825</v>
      </c>
      <c r="L1024" s="79">
        <f>Inputs!$P$8-B1024</f>
        <v>64</v>
      </c>
      <c r="M1024" s="79">
        <f>Inputs!$Q$8+L1024*0.433</f>
        <v>1852.712</v>
      </c>
      <c r="N1024" s="82">
        <f t="shared" si="278"/>
        <v>190499.92</v>
      </c>
      <c r="O1024" s="83">
        <f t="shared" si="279"/>
        <v>874.19100000000003</v>
      </c>
      <c r="P1024" s="84">
        <f>IF(O1024="","",Inputs!$C$5-O1024)</f>
        <v>-49.006500000000074</v>
      </c>
      <c r="Q1024" s="83">
        <f>IF(N1024="","",TS!J1024)</f>
        <v>2000</v>
      </c>
      <c r="R1024" s="83">
        <f>IF(N1024="","",TS!K1024)</f>
        <v>1825</v>
      </c>
      <c r="S1024" s="83">
        <f>Inputs!$H$5+TS!P1024*0.4333</f>
        <v>1853.7311999999999</v>
      </c>
      <c r="T1024" s="83">
        <f>Inputs!$G$5+TS!P1024*0.4333</f>
        <v>1868.7311999999999</v>
      </c>
      <c r="U1024" s="85">
        <f t="shared" si="280"/>
        <v>0.93436560000000002</v>
      </c>
      <c r="V1024" s="86">
        <f t="shared" si="284"/>
        <v>0</v>
      </c>
      <c r="W1024" s="86">
        <f t="shared" si="285"/>
        <v>0</v>
      </c>
      <c r="X1024" s="86" t="e">
        <f>((PI()*((42-2*'Gen Calcs'!$E$13)^2)/4)/144)*(A1067-#REF!)*(W1024+14.7)/14.7</f>
        <v>#REF!</v>
      </c>
      <c r="Y1024" s="86" t="e">
        <f t="shared" si="286"/>
        <v>#REF!</v>
      </c>
      <c r="Z1024" s="86" t="e">
        <f t="shared" si="287"/>
        <v>#REF!</v>
      </c>
      <c r="AA1024" s="83">
        <f>MAX(B$2:B1024)-B1024</f>
        <v>64</v>
      </c>
      <c r="AB1024" s="83">
        <f t="shared" si="288"/>
        <v>27.712</v>
      </c>
      <c r="AC1024" s="83">
        <f t="shared" si="274"/>
        <v>120</v>
      </c>
      <c r="AD1024" s="72">
        <v>120</v>
      </c>
      <c r="AE1024" s="73">
        <f t="shared" si="281"/>
        <v>907.92027688745009</v>
      </c>
      <c r="AF1024" s="73">
        <f>SUM(AE$2:AE1024)</f>
        <v>857993.47731747874</v>
      </c>
      <c r="AG1024" s="73">
        <f t="shared" si="282"/>
        <v>315736.42510963045</v>
      </c>
    </row>
    <row r="1025" spans="1:33" x14ac:dyDescent="0.25">
      <c r="A1025" s="99">
        <v>190599.92</v>
      </c>
      <c r="B1025" s="96">
        <v>877.92610000000002</v>
      </c>
      <c r="C1025" s="96">
        <v>0.6</v>
      </c>
      <c r="D1025" s="80">
        <f t="shared" si="283"/>
        <v>100</v>
      </c>
      <c r="E1025" s="81">
        <f t="shared" si="275"/>
        <v>6791.2436711181272</v>
      </c>
      <c r="F1025" s="81">
        <f>SUM(E$2:E1025)</f>
        <v>6420210.0922602443</v>
      </c>
      <c r="G1025" s="43">
        <f t="shared" si="273"/>
        <v>1</v>
      </c>
      <c r="H1025" s="78">
        <v>1</v>
      </c>
      <c r="I1025" s="15">
        <f t="shared" si="276"/>
        <v>0.6</v>
      </c>
      <c r="J1025" s="16">
        <f>VLOOKUP(G1025,Inputs!$L$3:$P$15,5,FALSE)</f>
        <v>2000</v>
      </c>
      <c r="K1025" s="16">
        <f t="shared" si="277"/>
        <v>1825</v>
      </c>
      <c r="L1025" s="79">
        <f>Inputs!$P$8-B1025</f>
        <v>60.264900000000011</v>
      </c>
      <c r="M1025" s="79">
        <f>Inputs!$Q$8+L1025*0.433</f>
        <v>1851.0947017000001</v>
      </c>
      <c r="N1025" s="82">
        <f t="shared" si="278"/>
        <v>190599.92</v>
      </c>
      <c r="O1025" s="83">
        <f t="shared" si="279"/>
        <v>877.92610000000002</v>
      </c>
      <c r="P1025" s="84">
        <f>IF(O1025="","",Inputs!$C$5-O1025)</f>
        <v>-52.741600000000062</v>
      </c>
      <c r="Q1025" s="83">
        <f>IF(N1025="","",TS!J1025)</f>
        <v>2000</v>
      </c>
      <c r="R1025" s="83">
        <f>IF(N1025="","",TS!K1025)</f>
        <v>1825</v>
      </c>
      <c r="S1025" s="83">
        <f>Inputs!$H$5+TS!P1025*0.4333</f>
        <v>1852.1127811699998</v>
      </c>
      <c r="T1025" s="83">
        <f>Inputs!$G$5+TS!P1025*0.4333</f>
        <v>1867.1127811699998</v>
      </c>
      <c r="U1025" s="85">
        <f t="shared" si="280"/>
        <v>0.93355639058499995</v>
      </c>
      <c r="V1025" s="86">
        <f t="shared" si="284"/>
        <v>0</v>
      </c>
      <c r="W1025" s="86">
        <f t="shared" si="285"/>
        <v>0</v>
      </c>
      <c r="X1025" s="86" t="e">
        <f>((PI()*((42-2*'Gen Calcs'!$E$13)^2)/4)/144)*(A1068-#REF!)*(W1025+14.7)/14.7</f>
        <v>#REF!</v>
      </c>
      <c r="Y1025" s="86" t="e">
        <f t="shared" si="286"/>
        <v>#REF!</v>
      </c>
      <c r="Z1025" s="86" t="e">
        <f t="shared" si="287"/>
        <v>#REF!</v>
      </c>
      <c r="AA1025" s="83">
        <f>MAX(B$2:B1025)-B1025</f>
        <v>60.264900000000011</v>
      </c>
      <c r="AB1025" s="83">
        <f t="shared" si="288"/>
        <v>26.094701700000005</v>
      </c>
      <c r="AC1025" s="83">
        <f t="shared" si="274"/>
        <v>120</v>
      </c>
      <c r="AD1025" s="72">
        <v>120</v>
      </c>
      <c r="AE1025" s="73">
        <f t="shared" si="281"/>
        <v>907.92027688745009</v>
      </c>
      <c r="AF1025" s="73">
        <f>SUM(AE$2:AE1025)</f>
        <v>858901.39759436622</v>
      </c>
      <c r="AG1025" s="73">
        <f t="shared" si="282"/>
        <v>314828.50483274297</v>
      </c>
    </row>
    <row r="1026" spans="1:33" x14ac:dyDescent="0.25">
      <c r="A1026" s="100">
        <v>190699.92</v>
      </c>
      <c r="B1026" s="97">
        <v>881.51499999999999</v>
      </c>
      <c r="C1026" s="97">
        <v>0.6</v>
      </c>
      <c r="D1026" s="80">
        <f t="shared" si="283"/>
        <v>100</v>
      </c>
      <c r="E1026" s="81">
        <f t="shared" si="275"/>
        <v>6791.2436711181272</v>
      </c>
      <c r="F1026" s="81">
        <f>SUM(E$2:E1026)</f>
        <v>6427001.3359313626</v>
      </c>
      <c r="G1026" s="43">
        <f t="shared" si="273"/>
        <v>1</v>
      </c>
      <c r="H1026" s="78">
        <v>1</v>
      </c>
      <c r="I1026" s="15">
        <f t="shared" si="276"/>
        <v>0.6</v>
      </c>
      <c r="J1026" s="16">
        <f>VLOOKUP(G1026,Inputs!$L$3:$P$15,5,FALSE)</f>
        <v>2000</v>
      </c>
      <c r="K1026" s="16">
        <f t="shared" si="277"/>
        <v>1825</v>
      </c>
      <c r="L1026" s="79">
        <f>Inputs!$P$8-B1026</f>
        <v>56.676000000000045</v>
      </c>
      <c r="M1026" s="79">
        <f>Inputs!$Q$8+L1026*0.433</f>
        <v>1849.540708</v>
      </c>
      <c r="N1026" s="82">
        <f t="shared" si="278"/>
        <v>190699.92</v>
      </c>
      <c r="O1026" s="83">
        <f t="shared" si="279"/>
        <v>881.51499999999999</v>
      </c>
      <c r="P1026" s="84">
        <f>IF(O1026="","",Inputs!$C$5-O1026)</f>
        <v>-56.330500000000029</v>
      </c>
      <c r="Q1026" s="83">
        <f>IF(N1026="","",TS!J1026)</f>
        <v>2000</v>
      </c>
      <c r="R1026" s="83">
        <f>IF(N1026="","",TS!K1026)</f>
        <v>1825</v>
      </c>
      <c r="S1026" s="83">
        <f>Inputs!$H$5+TS!P1026*0.4333</f>
        <v>1850.5577108</v>
      </c>
      <c r="T1026" s="83">
        <f>Inputs!$G$5+TS!P1026*0.4333</f>
        <v>1865.5577108</v>
      </c>
      <c r="U1026" s="85">
        <f t="shared" si="280"/>
        <v>0.93277885540000005</v>
      </c>
      <c r="V1026" s="86">
        <f t="shared" si="284"/>
        <v>0</v>
      </c>
      <c r="W1026" s="86">
        <f t="shared" si="285"/>
        <v>0</v>
      </c>
      <c r="X1026" s="86" t="e">
        <f>((PI()*((42-2*'Gen Calcs'!$E$13)^2)/4)/144)*(A1069-#REF!)*(W1026+14.7)/14.7</f>
        <v>#REF!</v>
      </c>
      <c r="Y1026" s="86" t="e">
        <f t="shared" si="286"/>
        <v>#REF!</v>
      </c>
      <c r="Z1026" s="86" t="e">
        <f t="shared" si="287"/>
        <v>#REF!</v>
      </c>
      <c r="AA1026" s="83">
        <f>MAX(B$2:B1026)-B1026</f>
        <v>56.676000000000045</v>
      </c>
      <c r="AB1026" s="83">
        <f t="shared" si="288"/>
        <v>24.54070800000002</v>
      </c>
      <c r="AC1026" s="83">
        <f t="shared" si="274"/>
        <v>120</v>
      </c>
      <c r="AD1026" s="72">
        <v>120</v>
      </c>
      <c r="AE1026" s="73">
        <f t="shared" si="281"/>
        <v>907.92027688745009</v>
      </c>
      <c r="AF1026" s="73">
        <f>SUM(AE$2:AE1026)</f>
        <v>859809.3178712537</v>
      </c>
      <c r="AG1026" s="73">
        <f t="shared" si="282"/>
        <v>313920.58455585549</v>
      </c>
    </row>
    <row r="1027" spans="1:33" x14ac:dyDescent="0.25">
      <c r="A1027" s="99">
        <v>190799.92</v>
      </c>
      <c r="B1027" s="96">
        <v>885.23889999999994</v>
      </c>
      <c r="C1027" s="96">
        <v>0.6</v>
      </c>
      <c r="D1027" s="80">
        <f t="shared" si="283"/>
        <v>100</v>
      </c>
      <c r="E1027" s="81">
        <f t="shared" si="275"/>
        <v>6791.2436711181272</v>
      </c>
      <c r="F1027" s="81">
        <f>SUM(E$2:E1027)</f>
        <v>6433792.5796024809</v>
      </c>
      <c r="G1027" s="43">
        <f t="shared" ref="G1027:G1090" si="289">IF(C1027=0.72,12,IF(C1027=1,11,IF(C1027=0.825,10,IF(C1027=0.6,1,IF(C1027=0.864,2,IF(C1027=0.888,3))))))</f>
        <v>1</v>
      </c>
      <c r="H1027" s="78">
        <v>1</v>
      </c>
      <c r="I1027" s="15">
        <f t="shared" si="276"/>
        <v>0.6</v>
      </c>
      <c r="J1027" s="16">
        <f>VLOOKUP(G1027,Inputs!$L$3:$P$15,5,FALSE)</f>
        <v>2000</v>
      </c>
      <c r="K1027" s="16">
        <f t="shared" si="277"/>
        <v>1825</v>
      </c>
      <c r="L1027" s="79">
        <f>Inputs!$P$8-B1027</f>
        <v>52.952100000000087</v>
      </c>
      <c r="M1027" s="79">
        <f>Inputs!$Q$8+L1027*0.433</f>
        <v>1847.9282593</v>
      </c>
      <c r="N1027" s="82">
        <f t="shared" si="278"/>
        <v>190799.92</v>
      </c>
      <c r="O1027" s="83">
        <f t="shared" si="279"/>
        <v>885.23889999999994</v>
      </c>
      <c r="P1027" s="84">
        <f>IF(O1027="","",Inputs!$C$5-O1027)</f>
        <v>-60.054399999999987</v>
      </c>
      <c r="Q1027" s="83">
        <f>IF(N1027="","",TS!J1027)</f>
        <v>2000</v>
      </c>
      <c r="R1027" s="83">
        <f>IF(N1027="","",TS!K1027)</f>
        <v>1825</v>
      </c>
      <c r="S1027" s="83">
        <f>Inputs!$H$5+TS!P1027*0.4333</f>
        <v>1848.94414493</v>
      </c>
      <c r="T1027" s="83">
        <f>Inputs!$G$5+TS!P1027*0.4333</f>
        <v>1863.94414493</v>
      </c>
      <c r="U1027" s="85">
        <f t="shared" si="280"/>
        <v>0.93197207246500002</v>
      </c>
      <c r="V1027" s="86">
        <f t="shared" si="284"/>
        <v>0</v>
      </c>
      <c r="W1027" s="86">
        <f t="shared" si="285"/>
        <v>0</v>
      </c>
      <c r="X1027" s="86" t="e">
        <f>((PI()*((42-2*'Gen Calcs'!$E$13)^2)/4)/144)*(A1070-#REF!)*(W1027+14.7)/14.7</f>
        <v>#REF!</v>
      </c>
      <c r="Y1027" s="86" t="e">
        <f t="shared" si="286"/>
        <v>#REF!</v>
      </c>
      <c r="Z1027" s="86" t="e">
        <f t="shared" si="287"/>
        <v>#REF!</v>
      </c>
      <c r="AA1027" s="83">
        <f>MAX(B$2:B1027)-B1027</f>
        <v>52.952100000000087</v>
      </c>
      <c r="AB1027" s="83">
        <f t="shared" si="288"/>
        <v>22.928259300000036</v>
      </c>
      <c r="AC1027" s="83">
        <f t="shared" ref="AC1027:AC1090" si="290">((MAX(O$2:O$1348)-O1027)-(MAX(O$2:O$1348)-O1027))*0.433+AD1027</f>
        <v>120</v>
      </c>
      <c r="AD1027" s="72">
        <v>120</v>
      </c>
      <c r="AE1027" s="73">
        <f t="shared" si="281"/>
        <v>907.92027688745009</v>
      </c>
      <c r="AF1027" s="73">
        <f>SUM(AE$2:AE1027)</f>
        <v>860717.23814814119</v>
      </c>
      <c r="AG1027" s="73">
        <f t="shared" si="282"/>
        <v>313012.664278968</v>
      </c>
    </row>
    <row r="1028" spans="1:33" x14ac:dyDescent="0.25">
      <c r="A1028" s="100">
        <v>190899.92</v>
      </c>
      <c r="B1028" s="97">
        <v>889.78219999999999</v>
      </c>
      <c r="C1028" s="97">
        <v>0.6</v>
      </c>
      <c r="D1028" s="80">
        <f t="shared" si="283"/>
        <v>100</v>
      </c>
      <c r="E1028" s="81">
        <f t="shared" si="275"/>
        <v>6791.2436711181272</v>
      </c>
      <c r="F1028" s="81">
        <f>SUM(E$2:E1028)</f>
        <v>6440583.8232735991</v>
      </c>
      <c r="G1028" s="43">
        <f t="shared" si="289"/>
        <v>1</v>
      </c>
      <c r="H1028" s="78">
        <v>1</v>
      </c>
      <c r="I1028" s="15">
        <f t="shared" si="276"/>
        <v>0.6</v>
      </c>
      <c r="J1028" s="16">
        <f>VLOOKUP(G1028,Inputs!$L$3:$P$15,5,FALSE)</f>
        <v>2000</v>
      </c>
      <c r="K1028" s="16">
        <f t="shared" si="277"/>
        <v>1825</v>
      </c>
      <c r="L1028" s="79">
        <f>Inputs!$P$8-B1028</f>
        <v>48.408800000000042</v>
      </c>
      <c r="M1028" s="79">
        <f>Inputs!$Q$8+L1028*0.433</f>
        <v>1845.9610104000001</v>
      </c>
      <c r="N1028" s="82">
        <f t="shared" si="278"/>
        <v>190899.92</v>
      </c>
      <c r="O1028" s="83">
        <f t="shared" si="279"/>
        <v>889.78219999999999</v>
      </c>
      <c r="P1028" s="84">
        <f>IF(O1028="","",Inputs!$C$5-O1028)</f>
        <v>-64.597700000000032</v>
      </c>
      <c r="Q1028" s="83">
        <f>IF(N1028="","",TS!J1028)</f>
        <v>2000</v>
      </c>
      <c r="R1028" s="83">
        <f>IF(N1028="","",TS!K1028)</f>
        <v>1825</v>
      </c>
      <c r="S1028" s="83">
        <f>Inputs!$H$5+TS!P1028*0.4333</f>
        <v>1846.9755330399998</v>
      </c>
      <c r="T1028" s="83">
        <f>Inputs!$G$5+TS!P1028*0.4333</f>
        <v>1861.9755330399998</v>
      </c>
      <c r="U1028" s="85">
        <f t="shared" si="280"/>
        <v>0.93098776651999993</v>
      </c>
      <c r="V1028" s="86">
        <f t="shared" si="284"/>
        <v>0</v>
      </c>
      <c r="W1028" s="86">
        <f t="shared" si="285"/>
        <v>0</v>
      </c>
      <c r="X1028" s="86" t="e">
        <f>((PI()*((42-2*'Gen Calcs'!$E$13)^2)/4)/144)*(A1071-#REF!)*(W1028+14.7)/14.7</f>
        <v>#REF!</v>
      </c>
      <c r="Y1028" s="86" t="e">
        <f t="shared" si="286"/>
        <v>#REF!</v>
      </c>
      <c r="Z1028" s="86" t="e">
        <f t="shared" si="287"/>
        <v>#REF!</v>
      </c>
      <c r="AA1028" s="83">
        <f>MAX(B$2:B1028)-B1028</f>
        <v>48.408800000000042</v>
      </c>
      <c r="AB1028" s="83">
        <f t="shared" si="288"/>
        <v>20.961010400000017</v>
      </c>
      <c r="AC1028" s="83">
        <f t="shared" si="290"/>
        <v>120</v>
      </c>
      <c r="AD1028" s="72">
        <v>120</v>
      </c>
      <c r="AE1028" s="73">
        <f t="shared" si="281"/>
        <v>907.92027688745009</v>
      </c>
      <c r="AF1028" s="73">
        <f>SUM(AE$2:AE1028)</f>
        <v>861625.15842502867</v>
      </c>
      <c r="AG1028" s="73">
        <f t="shared" si="282"/>
        <v>312104.74400208052</v>
      </c>
    </row>
    <row r="1029" spans="1:33" x14ac:dyDescent="0.25">
      <c r="A1029" s="99">
        <v>190999.92</v>
      </c>
      <c r="B1029" s="96">
        <v>893.47730000000001</v>
      </c>
      <c r="C1029" s="96">
        <v>0.6</v>
      </c>
      <c r="D1029" s="80">
        <f t="shared" si="283"/>
        <v>100</v>
      </c>
      <c r="E1029" s="81">
        <f t="shared" ref="E1029:E1092" si="291">(PI()/4*(42/12-(2*C1071/12))^2)*(D1029)*7.48</f>
        <v>6791.2436711181272</v>
      </c>
      <c r="F1029" s="81">
        <f>SUM(E$2:E1029)</f>
        <v>6447375.0669447174</v>
      </c>
      <c r="G1029" s="43">
        <f t="shared" si="289"/>
        <v>1</v>
      </c>
      <c r="H1029" s="78">
        <v>1</v>
      </c>
      <c r="I1029" s="15">
        <f t="shared" ref="I1029:I1092" si="292">C1029</f>
        <v>0.6</v>
      </c>
      <c r="J1029" s="16">
        <f>VLOOKUP(G1029,Inputs!$L$3:$P$15,5,FALSE)</f>
        <v>2000</v>
      </c>
      <c r="K1029" s="16">
        <f t="shared" ref="K1029:K1092" si="293">IF(H1029=1,1825,IF(H1029=2,1825,2220))</f>
        <v>1825</v>
      </c>
      <c r="L1029" s="79">
        <f>Inputs!$P$8-B1029</f>
        <v>44.713700000000017</v>
      </c>
      <c r="M1029" s="79">
        <f>Inputs!$Q$8+L1029*0.433</f>
        <v>1844.3610321000001</v>
      </c>
      <c r="N1029" s="82">
        <f t="shared" ref="N1029:N1092" si="294">A1029</f>
        <v>190999.92</v>
      </c>
      <c r="O1029" s="83">
        <f t="shared" ref="O1029:O1092" si="295">B1029</f>
        <v>893.47730000000001</v>
      </c>
      <c r="P1029" s="84">
        <f>IF(O1029="","",Inputs!$C$5-O1029)</f>
        <v>-68.292800000000057</v>
      </c>
      <c r="Q1029" s="83">
        <f>IF(N1029="","",TS!J1029)</f>
        <v>2000</v>
      </c>
      <c r="R1029" s="83">
        <f>IF(N1029="","",TS!K1029)</f>
        <v>1825</v>
      </c>
      <c r="S1029" s="83">
        <f>Inputs!$H$5+TS!P1029*0.4333</f>
        <v>1845.3744462099999</v>
      </c>
      <c r="T1029" s="83">
        <f>Inputs!$G$5+TS!P1029*0.4333</f>
        <v>1860.3744462099999</v>
      </c>
      <c r="U1029" s="85">
        <f t="shared" ref="U1029:U1092" si="296">T1029/(140000*C1029/42)</f>
        <v>0.93018722310499991</v>
      </c>
      <c r="V1029" s="86">
        <f t="shared" si="284"/>
        <v>0</v>
      </c>
      <c r="W1029" s="86">
        <f t="shared" si="285"/>
        <v>0</v>
      </c>
      <c r="X1029" s="86" t="e">
        <f>((PI()*((42-2*'Gen Calcs'!$E$13)^2)/4)/144)*(A1072-#REF!)*(W1029+14.7)/14.7</f>
        <v>#REF!</v>
      </c>
      <c r="Y1029" s="86" t="e">
        <f t="shared" si="286"/>
        <v>#REF!</v>
      </c>
      <c r="Z1029" s="86" t="e">
        <f t="shared" si="287"/>
        <v>#REF!</v>
      </c>
      <c r="AA1029" s="83">
        <f>MAX(B$2:B1029)-B1029</f>
        <v>44.713700000000017</v>
      </c>
      <c r="AB1029" s="83">
        <f t="shared" si="288"/>
        <v>19.361032100000006</v>
      </c>
      <c r="AC1029" s="83">
        <f t="shared" si="290"/>
        <v>120</v>
      </c>
      <c r="AD1029" s="72">
        <v>120</v>
      </c>
      <c r="AE1029" s="73">
        <f t="shared" ref="AE1029:AE1092" si="297">PI()*(((42-2*C1029)/12)^2/4)*D1029</f>
        <v>907.92027688745009</v>
      </c>
      <c r="AF1029" s="73">
        <f>SUM(AE$2:AE1029)</f>
        <v>862533.07870191615</v>
      </c>
      <c r="AG1029" s="73">
        <f t="shared" ref="AG1029:AG1092" si="298">AF$1391-AF1029</f>
        <v>311196.82372519304</v>
      </c>
    </row>
    <row r="1030" spans="1:33" x14ac:dyDescent="0.25">
      <c r="A1030" s="100">
        <v>191099.92</v>
      </c>
      <c r="B1030" s="97">
        <v>897.43520000000001</v>
      </c>
      <c r="C1030" s="97">
        <v>0.6</v>
      </c>
      <c r="D1030" s="80">
        <f t="shared" si="283"/>
        <v>100</v>
      </c>
      <c r="E1030" s="81">
        <f t="shared" si="291"/>
        <v>6791.2436711181272</v>
      </c>
      <c r="F1030" s="81">
        <f>SUM(E$2:E1030)</f>
        <v>6454166.3106158357</v>
      </c>
      <c r="G1030" s="43">
        <f t="shared" si="289"/>
        <v>1</v>
      </c>
      <c r="H1030" s="78">
        <v>1</v>
      </c>
      <c r="I1030" s="15">
        <f t="shared" si="292"/>
        <v>0.6</v>
      </c>
      <c r="J1030" s="16">
        <f>VLOOKUP(G1030,Inputs!$L$3:$P$15,5,FALSE)</f>
        <v>2000</v>
      </c>
      <c r="K1030" s="16">
        <f t="shared" si="293"/>
        <v>1825</v>
      </c>
      <c r="L1030" s="79">
        <f>Inputs!$P$8-B1030</f>
        <v>40.755800000000022</v>
      </c>
      <c r="M1030" s="79">
        <f>Inputs!$Q$8+L1030*0.433</f>
        <v>1842.6472613999999</v>
      </c>
      <c r="N1030" s="82">
        <f t="shared" si="294"/>
        <v>191099.92</v>
      </c>
      <c r="O1030" s="83">
        <f t="shared" si="295"/>
        <v>897.43520000000001</v>
      </c>
      <c r="P1030" s="84">
        <f>IF(O1030="","",Inputs!$C$5-O1030)</f>
        <v>-72.250700000000052</v>
      </c>
      <c r="Q1030" s="83">
        <f>IF(N1030="","",TS!J1030)</f>
        <v>2000</v>
      </c>
      <c r="R1030" s="83">
        <f>IF(N1030="","",TS!K1030)</f>
        <v>1825</v>
      </c>
      <c r="S1030" s="83">
        <f>Inputs!$H$5+TS!P1030*0.4333</f>
        <v>1843.6594881399999</v>
      </c>
      <c r="T1030" s="83">
        <f>Inputs!$G$5+TS!P1030*0.4333</f>
        <v>1858.6594881399999</v>
      </c>
      <c r="U1030" s="85">
        <f t="shared" si="296"/>
        <v>0.92932974406999991</v>
      </c>
      <c r="V1030" s="86">
        <f t="shared" si="284"/>
        <v>0</v>
      </c>
      <c r="W1030" s="86">
        <f t="shared" si="285"/>
        <v>0</v>
      </c>
      <c r="X1030" s="86" t="e">
        <f>((PI()*((42-2*'Gen Calcs'!$E$13)^2)/4)/144)*(A1073-#REF!)*(W1030+14.7)/14.7</f>
        <v>#REF!</v>
      </c>
      <c r="Y1030" s="86" t="e">
        <f t="shared" si="286"/>
        <v>#REF!</v>
      </c>
      <c r="Z1030" s="86" t="e">
        <f t="shared" si="287"/>
        <v>#REF!</v>
      </c>
      <c r="AA1030" s="83">
        <f>MAX(B$2:B1030)-B1030</f>
        <v>40.755800000000022</v>
      </c>
      <c r="AB1030" s="83">
        <f t="shared" si="288"/>
        <v>17.647261400000009</v>
      </c>
      <c r="AC1030" s="83">
        <f t="shared" si="290"/>
        <v>120</v>
      </c>
      <c r="AD1030" s="72">
        <v>120</v>
      </c>
      <c r="AE1030" s="73">
        <f t="shared" si="297"/>
        <v>907.92027688745009</v>
      </c>
      <c r="AF1030" s="73">
        <f>SUM(AE$2:AE1030)</f>
        <v>863440.99897880363</v>
      </c>
      <c r="AG1030" s="73">
        <f t="shared" si="298"/>
        <v>310288.90344830556</v>
      </c>
    </row>
    <row r="1031" spans="1:33" x14ac:dyDescent="0.25">
      <c r="A1031" s="99">
        <v>191199.92</v>
      </c>
      <c r="B1031" s="96">
        <v>895.69100000000003</v>
      </c>
      <c r="C1031" s="96">
        <v>0.6</v>
      </c>
      <c r="D1031" s="80">
        <f t="shared" si="283"/>
        <v>100</v>
      </c>
      <c r="E1031" s="81">
        <f t="shared" si="291"/>
        <v>6791.2436711181272</v>
      </c>
      <c r="F1031" s="81">
        <f>SUM(E$2:E1031)</f>
        <v>6460957.554286954</v>
      </c>
      <c r="G1031" s="43">
        <f t="shared" si="289"/>
        <v>1</v>
      </c>
      <c r="H1031" s="78">
        <v>1</v>
      </c>
      <c r="I1031" s="15">
        <f t="shared" si="292"/>
        <v>0.6</v>
      </c>
      <c r="J1031" s="16">
        <f>VLOOKUP(G1031,Inputs!$L$3:$P$15,5,FALSE)</f>
        <v>2000</v>
      </c>
      <c r="K1031" s="16">
        <f t="shared" si="293"/>
        <v>1825</v>
      </c>
      <c r="L1031" s="79">
        <f>Inputs!$P$8-B1031</f>
        <v>42.5</v>
      </c>
      <c r="M1031" s="79">
        <f>Inputs!$Q$8+L1031*0.433</f>
        <v>1843.4024999999999</v>
      </c>
      <c r="N1031" s="82">
        <f t="shared" si="294"/>
        <v>191199.92</v>
      </c>
      <c r="O1031" s="83">
        <f t="shared" si="295"/>
        <v>895.69100000000003</v>
      </c>
      <c r="P1031" s="84">
        <f>IF(O1031="","",Inputs!$C$5-O1031)</f>
        <v>-70.506500000000074</v>
      </c>
      <c r="Q1031" s="83">
        <f>IF(N1031="","",TS!J1031)</f>
        <v>2000</v>
      </c>
      <c r="R1031" s="83">
        <f>IF(N1031="","",TS!K1031)</f>
        <v>1825</v>
      </c>
      <c r="S1031" s="83">
        <f>Inputs!$H$5+TS!P1031*0.4333</f>
        <v>1844.41525</v>
      </c>
      <c r="T1031" s="83">
        <f>Inputs!$G$5+TS!P1031*0.4333</f>
        <v>1859.41525</v>
      </c>
      <c r="U1031" s="85">
        <f t="shared" si="296"/>
        <v>0.92970762500000004</v>
      </c>
      <c r="V1031" s="86">
        <f t="shared" si="284"/>
        <v>0</v>
      </c>
      <c r="W1031" s="86">
        <f t="shared" si="285"/>
        <v>0</v>
      </c>
      <c r="X1031" s="86" t="e">
        <f>((PI()*((42-2*'Gen Calcs'!$E$13)^2)/4)/144)*(A1074-#REF!)*(W1031+14.7)/14.7</f>
        <v>#REF!</v>
      </c>
      <c r="Y1031" s="86" t="e">
        <f t="shared" si="286"/>
        <v>#REF!</v>
      </c>
      <c r="Z1031" s="86" t="e">
        <f t="shared" si="287"/>
        <v>#REF!</v>
      </c>
      <c r="AA1031" s="83">
        <f>MAX(B$2:B1031)-B1031</f>
        <v>42.5</v>
      </c>
      <c r="AB1031" s="83">
        <f t="shared" si="288"/>
        <v>18.4025</v>
      </c>
      <c r="AC1031" s="83">
        <f t="shared" si="290"/>
        <v>120</v>
      </c>
      <c r="AD1031" s="72">
        <v>120</v>
      </c>
      <c r="AE1031" s="73">
        <f t="shared" si="297"/>
        <v>907.92027688745009</v>
      </c>
      <c r="AF1031" s="73">
        <f>SUM(AE$2:AE1031)</f>
        <v>864348.91925569111</v>
      </c>
      <c r="AG1031" s="73">
        <f t="shared" si="298"/>
        <v>309380.98317141808</v>
      </c>
    </row>
    <row r="1032" spans="1:33" x14ac:dyDescent="0.25">
      <c r="A1032" s="100">
        <v>191299.92</v>
      </c>
      <c r="B1032" s="97">
        <v>893.53719999999998</v>
      </c>
      <c r="C1032" s="97">
        <v>0.6</v>
      </c>
      <c r="D1032" s="80">
        <f t="shared" si="283"/>
        <v>100</v>
      </c>
      <c r="E1032" s="81">
        <f t="shared" si="291"/>
        <v>6791.2436711181272</v>
      </c>
      <c r="F1032" s="81">
        <f>SUM(E$2:E1032)</f>
        <v>6467748.7979580723</v>
      </c>
      <c r="G1032" s="43">
        <f t="shared" si="289"/>
        <v>1</v>
      </c>
      <c r="H1032" s="78">
        <v>1</v>
      </c>
      <c r="I1032" s="15">
        <f t="shared" si="292"/>
        <v>0.6</v>
      </c>
      <c r="J1032" s="16">
        <f>VLOOKUP(G1032,Inputs!$L$3:$P$15,5,FALSE)</f>
        <v>2000</v>
      </c>
      <c r="K1032" s="16">
        <f t="shared" si="293"/>
        <v>1825</v>
      </c>
      <c r="L1032" s="79">
        <f>Inputs!$P$8-B1032</f>
        <v>44.653800000000047</v>
      </c>
      <c r="M1032" s="79">
        <f>Inputs!$Q$8+L1032*0.433</f>
        <v>1844.3350954</v>
      </c>
      <c r="N1032" s="82">
        <f t="shared" si="294"/>
        <v>191299.92</v>
      </c>
      <c r="O1032" s="83">
        <f t="shared" si="295"/>
        <v>893.53719999999998</v>
      </c>
      <c r="P1032" s="84">
        <f>IF(O1032="","",Inputs!$C$5-O1032)</f>
        <v>-68.352700000000027</v>
      </c>
      <c r="Q1032" s="83">
        <f>IF(N1032="","",TS!J1032)</f>
        <v>2000</v>
      </c>
      <c r="R1032" s="83">
        <f>IF(N1032="","",TS!K1032)</f>
        <v>1825</v>
      </c>
      <c r="S1032" s="83">
        <f>Inputs!$H$5+TS!P1032*0.4333</f>
        <v>1845.3484915399999</v>
      </c>
      <c r="T1032" s="83">
        <f>Inputs!$G$5+TS!P1032*0.4333</f>
        <v>1860.3484915399999</v>
      </c>
      <c r="U1032" s="85">
        <f t="shared" si="296"/>
        <v>0.93017424576999996</v>
      </c>
      <c r="V1032" s="86">
        <f t="shared" si="284"/>
        <v>0</v>
      </c>
      <c r="W1032" s="86">
        <f t="shared" si="285"/>
        <v>0</v>
      </c>
      <c r="X1032" s="86" t="e">
        <f>((PI()*((42-2*'Gen Calcs'!$E$13)^2)/4)/144)*(A1075-#REF!)*(W1032+14.7)/14.7</f>
        <v>#REF!</v>
      </c>
      <c r="Y1032" s="86" t="e">
        <f t="shared" si="286"/>
        <v>#REF!</v>
      </c>
      <c r="Z1032" s="86" t="e">
        <f t="shared" si="287"/>
        <v>#REF!</v>
      </c>
      <c r="AA1032" s="83">
        <f>MAX(B$2:B1032)-B1032</f>
        <v>44.653800000000047</v>
      </c>
      <c r="AB1032" s="83">
        <f t="shared" si="288"/>
        <v>19.335095400000021</v>
      </c>
      <c r="AC1032" s="83">
        <f t="shared" si="290"/>
        <v>120</v>
      </c>
      <c r="AD1032" s="72">
        <v>120</v>
      </c>
      <c r="AE1032" s="73">
        <f t="shared" si="297"/>
        <v>907.92027688745009</v>
      </c>
      <c r="AF1032" s="73">
        <f>SUM(AE$2:AE1032)</f>
        <v>865256.8395325786</v>
      </c>
      <c r="AG1032" s="73">
        <f t="shared" si="298"/>
        <v>308473.06289453059</v>
      </c>
    </row>
    <row r="1033" spans="1:33" x14ac:dyDescent="0.25">
      <c r="A1033" s="99">
        <v>191399.92</v>
      </c>
      <c r="B1033" s="96">
        <v>892.26660000000004</v>
      </c>
      <c r="C1033" s="96">
        <v>0.6</v>
      </c>
      <c r="D1033" s="80">
        <f t="shared" si="283"/>
        <v>100</v>
      </c>
      <c r="E1033" s="81">
        <f t="shared" si="291"/>
        <v>6791.2436711181272</v>
      </c>
      <c r="F1033" s="81">
        <f>SUM(E$2:E1033)</f>
        <v>6474540.0416291906</v>
      </c>
      <c r="G1033" s="43">
        <f t="shared" si="289"/>
        <v>1</v>
      </c>
      <c r="H1033" s="78">
        <v>1</v>
      </c>
      <c r="I1033" s="15">
        <f t="shared" si="292"/>
        <v>0.6</v>
      </c>
      <c r="J1033" s="16">
        <f>VLOOKUP(G1033,Inputs!$L$3:$P$15,5,FALSE)</f>
        <v>2000</v>
      </c>
      <c r="K1033" s="16">
        <f t="shared" si="293"/>
        <v>1825</v>
      </c>
      <c r="L1033" s="79">
        <f>Inputs!$P$8-B1033</f>
        <v>45.924399999999991</v>
      </c>
      <c r="M1033" s="79">
        <f>Inputs!$Q$8+L1033*0.433</f>
        <v>1844.8852652</v>
      </c>
      <c r="N1033" s="82">
        <f t="shared" si="294"/>
        <v>191399.92</v>
      </c>
      <c r="O1033" s="83">
        <f t="shared" si="295"/>
        <v>892.26660000000004</v>
      </c>
      <c r="P1033" s="84">
        <f>IF(O1033="","",Inputs!$C$5-O1033)</f>
        <v>-67.082100000000082</v>
      </c>
      <c r="Q1033" s="83">
        <f>IF(N1033="","",TS!J1033)</f>
        <v>2000</v>
      </c>
      <c r="R1033" s="83">
        <f>IF(N1033="","",TS!K1033)</f>
        <v>1825</v>
      </c>
      <c r="S1033" s="83">
        <f>Inputs!$H$5+TS!P1033*0.4333</f>
        <v>1845.89904252</v>
      </c>
      <c r="T1033" s="83">
        <f>Inputs!$G$5+TS!P1033*0.4333</f>
        <v>1860.89904252</v>
      </c>
      <c r="U1033" s="85">
        <f t="shared" si="296"/>
        <v>0.93044952126000002</v>
      </c>
      <c r="V1033" s="86">
        <f t="shared" si="284"/>
        <v>0</v>
      </c>
      <c r="W1033" s="86">
        <f t="shared" si="285"/>
        <v>0</v>
      </c>
      <c r="X1033" s="86" t="e">
        <f>((PI()*((42-2*'Gen Calcs'!$E$13)^2)/4)/144)*(A1076-#REF!)*(W1033+14.7)/14.7</f>
        <v>#REF!</v>
      </c>
      <c r="Y1033" s="86" t="e">
        <f t="shared" si="286"/>
        <v>#REF!</v>
      </c>
      <c r="Z1033" s="86" t="e">
        <f t="shared" si="287"/>
        <v>#REF!</v>
      </c>
      <c r="AA1033" s="83">
        <f>MAX(B$2:B1033)-B1033</f>
        <v>45.924399999999991</v>
      </c>
      <c r="AB1033" s="83">
        <f t="shared" si="288"/>
        <v>19.885265199999996</v>
      </c>
      <c r="AC1033" s="83">
        <f t="shared" si="290"/>
        <v>120</v>
      </c>
      <c r="AD1033" s="72">
        <v>120</v>
      </c>
      <c r="AE1033" s="73">
        <f t="shared" si="297"/>
        <v>907.92027688745009</v>
      </c>
      <c r="AF1033" s="73">
        <f>SUM(AE$2:AE1033)</f>
        <v>866164.75980946608</v>
      </c>
      <c r="AG1033" s="73">
        <f t="shared" si="298"/>
        <v>307565.14261764311</v>
      </c>
    </row>
    <row r="1034" spans="1:33" x14ac:dyDescent="0.25">
      <c r="A1034" s="100">
        <v>191499.92</v>
      </c>
      <c r="B1034" s="97">
        <v>890.96320000000003</v>
      </c>
      <c r="C1034" s="97">
        <v>0.6</v>
      </c>
      <c r="D1034" s="80">
        <f t="shared" si="283"/>
        <v>100</v>
      </c>
      <c r="E1034" s="81">
        <f t="shared" si="291"/>
        <v>6791.2436711181272</v>
      </c>
      <c r="F1034" s="81">
        <f>SUM(E$2:E1034)</f>
        <v>6481331.2853003088</v>
      </c>
      <c r="G1034" s="43">
        <f t="shared" si="289"/>
        <v>1</v>
      </c>
      <c r="H1034" s="78">
        <v>1</v>
      </c>
      <c r="I1034" s="15">
        <f t="shared" si="292"/>
        <v>0.6</v>
      </c>
      <c r="J1034" s="16">
        <f>VLOOKUP(G1034,Inputs!$L$3:$P$15,5,FALSE)</f>
        <v>2000</v>
      </c>
      <c r="K1034" s="16">
        <f t="shared" si="293"/>
        <v>1825</v>
      </c>
      <c r="L1034" s="79">
        <f>Inputs!$P$8-B1034</f>
        <v>47.227800000000002</v>
      </c>
      <c r="M1034" s="79">
        <f>Inputs!$Q$8+L1034*0.433</f>
        <v>1845.4496374</v>
      </c>
      <c r="N1034" s="82">
        <f t="shared" si="294"/>
        <v>191499.92</v>
      </c>
      <c r="O1034" s="83">
        <f t="shared" si="295"/>
        <v>890.96320000000003</v>
      </c>
      <c r="P1034" s="84">
        <f>IF(O1034="","",Inputs!$C$5-O1034)</f>
        <v>-65.778700000000072</v>
      </c>
      <c r="Q1034" s="83">
        <f>IF(N1034="","",TS!J1034)</f>
        <v>2000</v>
      </c>
      <c r="R1034" s="83">
        <f>IF(N1034="","",TS!K1034)</f>
        <v>1825</v>
      </c>
      <c r="S1034" s="83">
        <f>Inputs!$H$5+TS!P1034*0.4333</f>
        <v>1846.46380574</v>
      </c>
      <c r="T1034" s="83">
        <f>Inputs!$G$5+TS!P1034*0.4333</f>
        <v>1861.46380574</v>
      </c>
      <c r="U1034" s="85">
        <f t="shared" si="296"/>
        <v>0.93073190286999996</v>
      </c>
      <c r="V1034" s="86">
        <f t="shared" si="284"/>
        <v>0</v>
      </c>
      <c r="W1034" s="86">
        <f t="shared" si="285"/>
        <v>0</v>
      </c>
      <c r="X1034" s="86" t="e">
        <f>((PI()*((42-2*'Gen Calcs'!$E$13)^2)/4)/144)*(A1077-#REF!)*(W1034+14.7)/14.7</f>
        <v>#REF!</v>
      </c>
      <c r="Y1034" s="86" t="e">
        <f t="shared" si="286"/>
        <v>#REF!</v>
      </c>
      <c r="Z1034" s="86" t="e">
        <f t="shared" si="287"/>
        <v>#REF!</v>
      </c>
      <c r="AA1034" s="83">
        <f>MAX(B$2:B1034)-B1034</f>
        <v>47.227800000000002</v>
      </c>
      <c r="AB1034" s="83">
        <f t="shared" si="288"/>
        <v>20.4496374</v>
      </c>
      <c r="AC1034" s="83">
        <f t="shared" si="290"/>
        <v>120</v>
      </c>
      <c r="AD1034" s="72">
        <v>120</v>
      </c>
      <c r="AE1034" s="73">
        <f t="shared" si="297"/>
        <v>907.92027688745009</v>
      </c>
      <c r="AF1034" s="73">
        <f>SUM(AE$2:AE1034)</f>
        <v>867072.68008635356</v>
      </c>
      <c r="AG1034" s="73">
        <f t="shared" si="298"/>
        <v>306657.22234075563</v>
      </c>
    </row>
    <row r="1035" spans="1:33" x14ac:dyDescent="0.25">
      <c r="A1035" s="99">
        <v>191599.92</v>
      </c>
      <c r="B1035" s="96">
        <v>890.80380000000002</v>
      </c>
      <c r="C1035" s="96">
        <v>0.6</v>
      </c>
      <c r="D1035" s="80">
        <f t="shared" si="283"/>
        <v>100</v>
      </c>
      <c r="E1035" s="81">
        <f t="shared" si="291"/>
        <v>6791.2436711181272</v>
      </c>
      <c r="F1035" s="81">
        <f>SUM(E$2:E1035)</f>
        <v>6488122.5289714271</v>
      </c>
      <c r="G1035" s="43">
        <f t="shared" si="289"/>
        <v>1</v>
      </c>
      <c r="H1035" s="78">
        <v>1</v>
      </c>
      <c r="I1035" s="15">
        <f t="shared" si="292"/>
        <v>0.6</v>
      </c>
      <c r="J1035" s="16">
        <f>VLOOKUP(G1035,Inputs!$L$3:$P$15,5,FALSE)</f>
        <v>2000</v>
      </c>
      <c r="K1035" s="16">
        <f t="shared" si="293"/>
        <v>1825</v>
      </c>
      <c r="L1035" s="79">
        <f>Inputs!$P$8-B1035</f>
        <v>47.387200000000007</v>
      </c>
      <c r="M1035" s="79">
        <f>Inputs!$Q$8+L1035*0.433</f>
        <v>1845.5186576000001</v>
      </c>
      <c r="N1035" s="82">
        <f t="shared" si="294"/>
        <v>191599.92</v>
      </c>
      <c r="O1035" s="83">
        <f t="shared" si="295"/>
        <v>890.80380000000002</v>
      </c>
      <c r="P1035" s="84">
        <f>IF(O1035="","",Inputs!$C$5-O1035)</f>
        <v>-65.619300000000067</v>
      </c>
      <c r="Q1035" s="83">
        <f>IF(N1035="","",TS!J1035)</f>
        <v>2000</v>
      </c>
      <c r="R1035" s="83">
        <f>IF(N1035="","",TS!K1035)</f>
        <v>1825</v>
      </c>
      <c r="S1035" s="83">
        <f>Inputs!$H$5+TS!P1035*0.4333</f>
        <v>1846.5328737599998</v>
      </c>
      <c r="T1035" s="83">
        <f>Inputs!$G$5+TS!P1035*0.4333</f>
        <v>1861.5328737599998</v>
      </c>
      <c r="U1035" s="85">
        <f t="shared" si="296"/>
        <v>0.93076643687999994</v>
      </c>
      <c r="V1035" s="86">
        <f t="shared" si="284"/>
        <v>0</v>
      </c>
      <c r="W1035" s="86">
        <f t="shared" si="285"/>
        <v>0</v>
      </c>
      <c r="X1035" s="86" t="e">
        <f>((PI()*((42-2*'Gen Calcs'!$E$13)^2)/4)/144)*(A1078-#REF!)*(W1035+14.7)/14.7</f>
        <v>#REF!</v>
      </c>
      <c r="Y1035" s="86" t="e">
        <f t="shared" si="286"/>
        <v>#REF!</v>
      </c>
      <c r="Z1035" s="86" t="e">
        <f t="shared" si="287"/>
        <v>#REF!</v>
      </c>
      <c r="AA1035" s="83">
        <f>MAX(B$2:B1035)-B1035</f>
        <v>47.387200000000007</v>
      </c>
      <c r="AB1035" s="83">
        <f t="shared" si="288"/>
        <v>20.518657600000004</v>
      </c>
      <c r="AC1035" s="83">
        <f t="shared" si="290"/>
        <v>120</v>
      </c>
      <c r="AD1035" s="72">
        <v>120</v>
      </c>
      <c r="AE1035" s="73">
        <f t="shared" si="297"/>
        <v>907.92027688745009</v>
      </c>
      <c r="AF1035" s="73">
        <f>SUM(AE$2:AE1035)</f>
        <v>867980.60036324104</v>
      </c>
      <c r="AG1035" s="73">
        <f t="shared" si="298"/>
        <v>305749.30206386815</v>
      </c>
    </row>
    <row r="1036" spans="1:33" x14ac:dyDescent="0.25">
      <c r="A1036" s="100">
        <v>191699.92</v>
      </c>
      <c r="B1036" s="97">
        <v>890.97709999999995</v>
      </c>
      <c r="C1036" s="97">
        <v>0.6</v>
      </c>
      <c r="D1036" s="80">
        <f t="shared" si="283"/>
        <v>100</v>
      </c>
      <c r="E1036" s="81">
        <f t="shared" si="291"/>
        <v>6791.2436711181272</v>
      </c>
      <c r="F1036" s="81">
        <f>SUM(E$2:E1036)</f>
        <v>6494913.7726425454</v>
      </c>
      <c r="G1036" s="43">
        <f t="shared" si="289"/>
        <v>1</v>
      </c>
      <c r="H1036" s="78">
        <v>1</v>
      </c>
      <c r="I1036" s="15">
        <f t="shared" si="292"/>
        <v>0.6</v>
      </c>
      <c r="J1036" s="16">
        <f>VLOOKUP(G1036,Inputs!$L$3:$P$15,5,FALSE)</f>
        <v>2000</v>
      </c>
      <c r="K1036" s="16">
        <f t="shared" si="293"/>
        <v>1825</v>
      </c>
      <c r="L1036" s="79">
        <f>Inputs!$P$8-B1036</f>
        <v>47.213900000000081</v>
      </c>
      <c r="M1036" s="79">
        <f>Inputs!$Q$8+L1036*0.433</f>
        <v>1845.4436187000001</v>
      </c>
      <c r="N1036" s="82">
        <f t="shared" si="294"/>
        <v>191699.92</v>
      </c>
      <c r="O1036" s="83">
        <f t="shared" si="295"/>
        <v>890.97709999999995</v>
      </c>
      <c r="P1036" s="84">
        <f>IF(O1036="","",Inputs!$C$5-O1036)</f>
        <v>-65.792599999999993</v>
      </c>
      <c r="Q1036" s="83">
        <f>IF(N1036="","",TS!J1036)</f>
        <v>2000</v>
      </c>
      <c r="R1036" s="83">
        <f>IF(N1036="","",TS!K1036)</f>
        <v>1825</v>
      </c>
      <c r="S1036" s="83">
        <f>Inputs!$H$5+TS!P1036*0.4333</f>
        <v>1846.4577828699998</v>
      </c>
      <c r="T1036" s="83">
        <f>Inputs!$G$5+TS!P1036*0.4333</f>
        <v>1861.4577828699998</v>
      </c>
      <c r="U1036" s="85">
        <f t="shared" si="296"/>
        <v>0.93072889143499993</v>
      </c>
      <c r="V1036" s="86">
        <f t="shared" si="284"/>
        <v>0</v>
      </c>
      <c r="W1036" s="86">
        <f t="shared" si="285"/>
        <v>0</v>
      </c>
      <c r="X1036" s="86" t="e">
        <f>((PI()*((42-2*'Gen Calcs'!$E$13)^2)/4)/144)*(A1079-#REF!)*(W1036+14.7)/14.7</f>
        <v>#REF!</v>
      </c>
      <c r="Y1036" s="86" t="e">
        <f t="shared" si="286"/>
        <v>#REF!</v>
      </c>
      <c r="Z1036" s="86" t="e">
        <f t="shared" si="287"/>
        <v>#REF!</v>
      </c>
      <c r="AA1036" s="83">
        <f>MAX(B$2:B1036)-B1036</f>
        <v>47.213900000000081</v>
      </c>
      <c r="AB1036" s="83">
        <f t="shared" si="288"/>
        <v>20.443618700000034</v>
      </c>
      <c r="AC1036" s="83">
        <f t="shared" si="290"/>
        <v>120</v>
      </c>
      <c r="AD1036" s="72">
        <v>120</v>
      </c>
      <c r="AE1036" s="73">
        <f t="shared" si="297"/>
        <v>907.92027688745009</v>
      </c>
      <c r="AF1036" s="73">
        <f>SUM(AE$2:AE1036)</f>
        <v>868888.52064012852</v>
      </c>
      <c r="AG1036" s="73">
        <f t="shared" si="298"/>
        <v>304841.38178698067</v>
      </c>
    </row>
    <row r="1037" spans="1:33" x14ac:dyDescent="0.25">
      <c r="A1037" s="99">
        <v>191799.92</v>
      </c>
      <c r="B1037" s="96">
        <v>891.99480000000005</v>
      </c>
      <c r="C1037" s="96">
        <v>0.6</v>
      </c>
      <c r="D1037" s="80">
        <f t="shared" si="283"/>
        <v>100</v>
      </c>
      <c r="E1037" s="81">
        <f t="shared" si="291"/>
        <v>6791.2436711181272</v>
      </c>
      <c r="F1037" s="81">
        <f>SUM(E$2:E1037)</f>
        <v>6501705.0163136637</v>
      </c>
      <c r="G1037" s="43">
        <f t="shared" si="289"/>
        <v>1</v>
      </c>
      <c r="H1037" s="78">
        <v>1</v>
      </c>
      <c r="I1037" s="15">
        <f t="shared" si="292"/>
        <v>0.6</v>
      </c>
      <c r="J1037" s="16">
        <f>VLOOKUP(G1037,Inputs!$L$3:$P$15,5,FALSE)</f>
        <v>2000</v>
      </c>
      <c r="K1037" s="16">
        <f t="shared" si="293"/>
        <v>1825</v>
      </c>
      <c r="L1037" s="79">
        <f>Inputs!$P$8-B1037</f>
        <v>46.196199999999976</v>
      </c>
      <c r="M1037" s="79">
        <f>Inputs!$Q$8+L1037*0.433</f>
        <v>1845.0029546000001</v>
      </c>
      <c r="N1037" s="82">
        <f t="shared" si="294"/>
        <v>191799.92</v>
      </c>
      <c r="O1037" s="83">
        <f t="shared" si="295"/>
        <v>891.99480000000005</v>
      </c>
      <c r="P1037" s="84">
        <f>IF(O1037="","",Inputs!$C$5-O1037)</f>
        <v>-66.810300000000097</v>
      </c>
      <c r="Q1037" s="83">
        <f>IF(N1037="","",TS!J1037)</f>
        <v>2000</v>
      </c>
      <c r="R1037" s="83">
        <f>IF(N1037="","",TS!K1037)</f>
        <v>1825</v>
      </c>
      <c r="S1037" s="83">
        <f>Inputs!$H$5+TS!P1037*0.4333</f>
        <v>1846.0168134599999</v>
      </c>
      <c r="T1037" s="83">
        <f>Inputs!$G$5+TS!P1037*0.4333</f>
        <v>1861.0168134599999</v>
      </c>
      <c r="U1037" s="85">
        <f t="shared" si="296"/>
        <v>0.9305084067299999</v>
      </c>
      <c r="V1037" s="86">
        <f t="shared" si="284"/>
        <v>0</v>
      </c>
      <c r="W1037" s="86">
        <f t="shared" si="285"/>
        <v>0</v>
      </c>
      <c r="X1037" s="86" t="e">
        <f>((PI()*((42-2*'Gen Calcs'!$E$13)^2)/4)/144)*(A1080-#REF!)*(W1037+14.7)/14.7</f>
        <v>#REF!</v>
      </c>
      <c r="Y1037" s="86" t="e">
        <f t="shared" si="286"/>
        <v>#REF!</v>
      </c>
      <c r="Z1037" s="86" t="e">
        <f t="shared" si="287"/>
        <v>#REF!</v>
      </c>
      <c r="AA1037" s="83">
        <f>MAX(B$2:B1037)-B1037</f>
        <v>46.196199999999976</v>
      </c>
      <c r="AB1037" s="83">
        <f t="shared" si="288"/>
        <v>20.002954599999988</v>
      </c>
      <c r="AC1037" s="83">
        <f t="shared" si="290"/>
        <v>120</v>
      </c>
      <c r="AD1037" s="72">
        <v>120</v>
      </c>
      <c r="AE1037" s="73">
        <f t="shared" si="297"/>
        <v>907.92027688745009</v>
      </c>
      <c r="AF1037" s="73">
        <f>SUM(AE$2:AE1037)</f>
        <v>869796.44091701601</v>
      </c>
      <c r="AG1037" s="73">
        <f t="shared" si="298"/>
        <v>303933.46151009318</v>
      </c>
    </row>
    <row r="1038" spans="1:33" x14ac:dyDescent="0.25">
      <c r="A1038" s="100">
        <v>191899.92</v>
      </c>
      <c r="B1038" s="97">
        <v>893.08519999999999</v>
      </c>
      <c r="C1038" s="97">
        <v>0.6</v>
      </c>
      <c r="D1038" s="80">
        <f t="shared" si="283"/>
        <v>100</v>
      </c>
      <c r="E1038" s="81">
        <f t="shared" si="291"/>
        <v>6791.2436711181272</v>
      </c>
      <c r="F1038" s="81">
        <f>SUM(E$2:E1038)</f>
        <v>6508496.259984782</v>
      </c>
      <c r="G1038" s="43">
        <f t="shared" si="289"/>
        <v>1</v>
      </c>
      <c r="H1038" s="78">
        <v>1</v>
      </c>
      <c r="I1038" s="15">
        <f t="shared" si="292"/>
        <v>0.6</v>
      </c>
      <c r="J1038" s="16">
        <f>VLOOKUP(G1038,Inputs!$L$3:$P$15,5,FALSE)</f>
        <v>2000</v>
      </c>
      <c r="K1038" s="16">
        <f t="shared" si="293"/>
        <v>1825</v>
      </c>
      <c r="L1038" s="79">
        <f>Inputs!$P$8-B1038</f>
        <v>45.105800000000045</v>
      </c>
      <c r="M1038" s="79">
        <f>Inputs!$Q$8+L1038*0.433</f>
        <v>1844.5308113999999</v>
      </c>
      <c r="N1038" s="82">
        <f t="shared" si="294"/>
        <v>191899.92</v>
      </c>
      <c r="O1038" s="83">
        <f t="shared" si="295"/>
        <v>893.08519999999999</v>
      </c>
      <c r="P1038" s="84">
        <f>IF(O1038="","",Inputs!$C$5-O1038)</f>
        <v>-67.900700000000029</v>
      </c>
      <c r="Q1038" s="83">
        <f>IF(N1038="","",TS!J1038)</f>
        <v>2000</v>
      </c>
      <c r="R1038" s="83">
        <f>IF(N1038="","",TS!K1038)</f>
        <v>1825</v>
      </c>
      <c r="S1038" s="83">
        <f>Inputs!$H$5+TS!P1038*0.4333</f>
        <v>1845.5443431399999</v>
      </c>
      <c r="T1038" s="83">
        <f>Inputs!$G$5+TS!P1038*0.4333</f>
        <v>1860.5443431399999</v>
      </c>
      <c r="U1038" s="85">
        <f t="shared" si="296"/>
        <v>0.93027217156999997</v>
      </c>
      <c r="V1038" s="86">
        <f t="shared" si="284"/>
        <v>0</v>
      </c>
      <c r="W1038" s="86">
        <f t="shared" si="285"/>
        <v>0</v>
      </c>
      <c r="X1038" s="86" t="e">
        <f>((PI()*((42-2*'Gen Calcs'!$E$13)^2)/4)/144)*(A1081-#REF!)*(W1038+14.7)/14.7</f>
        <v>#REF!</v>
      </c>
      <c r="Y1038" s="86" t="e">
        <f t="shared" si="286"/>
        <v>#REF!</v>
      </c>
      <c r="Z1038" s="86" t="e">
        <f t="shared" si="287"/>
        <v>#REF!</v>
      </c>
      <c r="AA1038" s="83">
        <f>MAX(B$2:B1038)-B1038</f>
        <v>45.105800000000045</v>
      </c>
      <c r="AB1038" s="83">
        <f t="shared" si="288"/>
        <v>19.530811400000019</v>
      </c>
      <c r="AC1038" s="83">
        <f t="shared" si="290"/>
        <v>120</v>
      </c>
      <c r="AD1038" s="72">
        <v>120</v>
      </c>
      <c r="AE1038" s="73">
        <f t="shared" si="297"/>
        <v>907.92027688745009</v>
      </c>
      <c r="AF1038" s="73">
        <f>SUM(AE$2:AE1038)</f>
        <v>870704.36119390349</v>
      </c>
      <c r="AG1038" s="73">
        <f t="shared" si="298"/>
        <v>303025.5412332057</v>
      </c>
    </row>
    <row r="1039" spans="1:33" x14ac:dyDescent="0.25">
      <c r="A1039" s="99">
        <v>191999.92</v>
      </c>
      <c r="B1039" s="96">
        <v>894.17740000000003</v>
      </c>
      <c r="C1039" s="96">
        <v>0.6</v>
      </c>
      <c r="D1039" s="80">
        <f t="shared" si="283"/>
        <v>100</v>
      </c>
      <c r="E1039" s="81">
        <f t="shared" si="291"/>
        <v>6791.2436711181272</v>
      </c>
      <c r="F1039" s="81">
        <f>SUM(E$2:E1039)</f>
        <v>6515287.5036559002</v>
      </c>
      <c r="G1039" s="43">
        <f t="shared" si="289"/>
        <v>1</v>
      </c>
      <c r="H1039" s="78">
        <v>1</v>
      </c>
      <c r="I1039" s="15">
        <f t="shared" si="292"/>
        <v>0.6</v>
      </c>
      <c r="J1039" s="16">
        <f>VLOOKUP(G1039,Inputs!$L$3:$P$15,5,FALSE)</f>
        <v>2000</v>
      </c>
      <c r="K1039" s="16">
        <f t="shared" si="293"/>
        <v>1825</v>
      </c>
      <c r="L1039" s="79">
        <f>Inputs!$P$8-B1039</f>
        <v>44.013599999999997</v>
      </c>
      <c r="M1039" s="79">
        <f>Inputs!$Q$8+L1039*0.433</f>
        <v>1844.0578888</v>
      </c>
      <c r="N1039" s="82">
        <f t="shared" si="294"/>
        <v>191999.92</v>
      </c>
      <c r="O1039" s="83">
        <f t="shared" si="295"/>
        <v>894.17740000000003</v>
      </c>
      <c r="P1039" s="84">
        <f>IF(O1039="","",Inputs!$C$5-O1039)</f>
        <v>-68.992900000000077</v>
      </c>
      <c r="Q1039" s="83">
        <f>IF(N1039="","",TS!J1039)</f>
        <v>2000</v>
      </c>
      <c r="R1039" s="83">
        <f>IF(N1039="","",TS!K1039)</f>
        <v>1825</v>
      </c>
      <c r="S1039" s="83">
        <f>Inputs!$H$5+TS!P1039*0.4333</f>
        <v>1845.0710928799999</v>
      </c>
      <c r="T1039" s="83">
        <f>Inputs!$G$5+TS!P1039*0.4333</f>
        <v>1860.0710928799999</v>
      </c>
      <c r="U1039" s="85">
        <f t="shared" si="296"/>
        <v>0.93003554643999997</v>
      </c>
      <c r="V1039" s="86">
        <f t="shared" si="284"/>
        <v>0</v>
      </c>
      <c r="W1039" s="86">
        <f t="shared" si="285"/>
        <v>0</v>
      </c>
      <c r="X1039" s="86" t="e">
        <f>((PI()*((42-2*'Gen Calcs'!$E$13)^2)/4)/144)*(A1082-#REF!)*(W1039+14.7)/14.7</f>
        <v>#REF!</v>
      </c>
      <c r="Y1039" s="86" t="e">
        <f t="shared" si="286"/>
        <v>#REF!</v>
      </c>
      <c r="Z1039" s="86" t="e">
        <f t="shared" si="287"/>
        <v>#REF!</v>
      </c>
      <c r="AA1039" s="83">
        <f>MAX(B$2:B1039)-B1039</f>
        <v>44.013599999999997</v>
      </c>
      <c r="AB1039" s="83">
        <f t="shared" si="288"/>
        <v>19.057888799999997</v>
      </c>
      <c r="AC1039" s="83">
        <f t="shared" si="290"/>
        <v>120</v>
      </c>
      <c r="AD1039" s="72">
        <v>120</v>
      </c>
      <c r="AE1039" s="73">
        <f t="shared" si="297"/>
        <v>907.92027688745009</v>
      </c>
      <c r="AF1039" s="73">
        <f>SUM(AE$2:AE1039)</f>
        <v>871612.28147079097</v>
      </c>
      <c r="AG1039" s="73">
        <f t="shared" si="298"/>
        <v>302117.62095631822</v>
      </c>
    </row>
    <row r="1040" spans="1:33" x14ac:dyDescent="0.25">
      <c r="A1040" s="100">
        <v>192099.92</v>
      </c>
      <c r="B1040" s="97">
        <v>895.35289999999998</v>
      </c>
      <c r="C1040" s="97">
        <v>0.6</v>
      </c>
      <c r="D1040" s="80">
        <f t="shared" si="283"/>
        <v>100</v>
      </c>
      <c r="E1040" s="81">
        <f t="shared" si="291"/>
        <v>6791.2436711181272</v>
      </c>
      <c r="F1040" s="81">
        <f>SUM(E$2:E1040)</f>
        <v>6522078.7473270185</v>
      </c>
      <c r="G1040" s="43">
        <f t="shared" si="289"/>
        <v>1</v>
      </c>
      <c r="H1040" s="78">
        <v>1</v>
      </c>
      <c r="I1040" s="15">
        <f t="shared" si="292"/>
        <v>0.6</v>
      </c>
      <c r="J1040" s="16">
        <f>VLOOKUP(G1040,Inputs!$L$3:$P$15,5,FALSE)</f>
        <v>2000</v>
      </c>
      <c r="K1040" s="16">
        <f t="shared" si="293"/>
        <v>1825</v>
      </c>
      <c r="L1040" s="79">
        <f>Inputs!$P$8-B1040</f>
        <v>42.838100000000054</v>
      </c>
      <c r="M1040" s="79">
        <f>Inputs!$Q$8+L1040*0.433</f>
        <v>1843.5488973000001</v>
      </c>
      <c r="N1040" s="82">
        <f t="shared" si="294"/>
        <v>192099.92</v>
      </c>
      <c r="O1040" s="83">
        <f t="shared" si="295"/>
        <v>895.35289999999998</v>
      </c>
      <c r="P1040" s="84">
        <f>IF(O1040="","",Inputs!$C$5-O1040)</f>
        <v>-70.16840000000002</v>
      </c>
      <c r="Q1040" s="83">
        <f>IF(N1040="","",TS!J1040)</f>
        <v>2000</v>
      </c>
      <c r="R1040" s="83">
        <f>IF(N1040="","",TS!K1040)</f>
        <v>1825</v>
      </c>
      <c r="S1040" s="83">
        <f>Inputs!$H$5+TS!P1040*0.4333</f>
        <v>1844.5617487299999</v>
      </c>
      <c r="T1040" s="83">
        <f>Inputs!$G$5+TS!P1040*0.4333</f>
        <v>1859.5617487299999</v>
      </c>
      <c r="U1040" s="85">
        <f t="shared" si="296"/>
        <v>0.9297808743649999</v>
      </c>
      <c r="V1040" s="86">
        <f t="shared" si="284"/>
        <v>0</v>
      </c>
      <c r="W1040" s="86">
        <f t="shared" si="285"/>
        <v>0</v>
      </c>
      <c r="X1040" s="86" t="e">
        <f>((PI()*((42-2*'Gen Calcs'!$E$13)^2)/4)/144)*(A1083-#REF!)*(W1040+14.7)/14.7</f>
        <v>#REF!</v>
      </c>
      <c r="Y1040" s="86" t="e">
        <f t="shared" si="286"/>
        <v>#REF!</v>
      </c>
      <c r="Z1040" s="86" t="e">
        <f t="shared" si="287"/>
        <v>#REF!</v>
      </c>
      <c r="AA1040" s="83">
        <f>MAX(B$2:B1040)-B1040</f>
        <v>42.838100000000054</v>
      </c>
      <c r="AB1040" s="83">
        <f t="shared" si="288"/>
        <v>18.548897300000021</v>
      </c>
      <c r="AC1040" s="83">
        <f t="shared" si="290"/>
        <v>120</v>
      </c>
      <c r="AD1040" s="72">
        <v>120</v>
      </c>
      <c r="AE1040" s="73">
        <f t="shared" si="297"/>
        <v>907.92027688745009</v>
      </c>
      <c r="AF1040" s="73">
        <f>SUM(AE$2:AE1040)</f>
        <v>872520.20174767845</v>
      </c>
      <c r="AG1040" s="73">
        <f t="shared" si="298"/>
        <v>301209.70067943074</v>
      </c>
    </row>
    <row r="1041" spans="1:33" x14ac:dyDescent="0.25">
      <c r="A1041" s="99">
        <v>192199.92</v>
      </c>
      <c r="B1041" s="96">
        <v>894.21339999999998</v>
      </c>
      <c r="C1041" s="96">
        <v>0.6</v>
      </c>
      <c r="D1041" s="80">
        <f t="shared" si="283"/>
        <v>100</v>
      </c>
      <c r="E1041" s="81">
        <f t="shared" si="291"/>
        <v>6791.2436711181272</v>
      </c>
      <c r="F1041" s="81">
        <f>SUM(E$2:E1041)</f>
        <v>6528869.9909981368</v>
      </c>
      <c r="G1041" s="43">
        <f t="shared" si="289"/>
        <v>1</v>
      </c>
      <c r="H1041" s="78">
        <v>1</v>
      </c>
      <c r="I1041" s="15">
        <f t="shared" si="292"/>
        <v>0.6</v>
      </c>
      <c r="J1041" s="16">
        <f>VLOOKUP(G1041,Inputs!$L$3:$P$15,5,FALSE)</f>
        <v>2000</v>
      </c>
      <c r="K1041" s="16">
        <f t="shared" si="293"/>
        <v>1825</v>
      </c>
      <c r="L1041" s="79">
        <f>Inputs!$P$8-B1041</f>
        <v>43.977600000000052</v>
      </c>
      <c r="M1041" s="79">
        <f>Inputs!$Q$8+L1041*0.433</f>
        <v>1844.0423008</v>
      </c>
      <c r="N1041" s="82">
        <f t="shared" si="294"/>
        <v>192199.92</v>
      </c>
      <c r="O1041" s="83">
        <f t="shared" si="295"/>
        <v>894.21339999999998</v>
      </c>
      <c r="P1041" s="84">
        <f>IF(O1041="","",Inputs!$C$5-O1041)</f>
        <v>-69.028900000000021</v>
      </c>
      <c r="Q1041" s="83">
        <f>IF(N1041="","",TS!J1041)</f>
        <v>2000</v>
      </c>
      <c r="R1041" s="83">
        <f>IF(N1041="","",TS!K1041)</f>
        <v>1825</v>
      </c>
      <c r="S1041" s="83">
        <f>Inputs!$H$5+TS!P1041*0.4333</f>
        <v>1845.05549408</v>
      </c>
      <c r="T1041" s="83">
        <f>Inputs!$G$5+TS!P1041*0.4333</f>
        <v>1860.05549408</v>
      </c>
      <c r="U1041" s="85">
        <f t="shared" si="296"/>
        <v>0.93002774704000002</v>
      </c>
      <c r="V1041" s="86">
        <f t="shared" si="284"/>
        <v>0</v>
      </c>
      <c r="W1041" s="86">
        <f t="shared" si="285"/>
        <v>0</v>
      </c>
      <c r="X1041" s="86" t="e">
        <f>((PI()*((42-2*'Gen Calcs'!$E$13)^2)/4)/144)*(A1084-#REF!)*(W1041+14.7)/14.7</f>
        <v>#REF!</v>
      </c>
      <c r="Y1041" s="86" t="e">
        <f t="shared" si="286"/>
        <v>#REF!</v>
      </c>
      <c r="Z1041" s="86" t="e">
        <f t="shared" si="287"/>
        <v>#REF!</v>
      </c>
      <c r="AA1041" s="83">
        <f>MAX(B$2:B1041)-B1041</f>
        <v>43.977600000000052</v>
      </c>
      <c r="AB1041" s="83">
        <f t="shared" si="288"/>
        <v>19.042300800000021</v>
      </c>
      <c r="AC1041" s="83">
        <f t="shared" si="290"/>
        <v>120</v>
      </c>
      <c r="AD1041" s="72">
        <v>120</v>
      </c>
      <c r="AE1041" s="73">
        <f t="shared" si="297"/>
        <v>907.92027688745009</v>
      </c>
      <c r="AF1041" s="73">
        <f>SUM(AE$2:AE1041)</f>
        <v>873428.12202456594</v>
      </c>
      <c r="AG1041" s="73">
        <f t="shared" si="298"/>
        <v>300301.78040254326</v>
      </c>
    </row>
    <row r="1042" spans="1:33" x14ac:dyDescent="0.25">
      <c r="A1042" s="100">
        <v>192299.92</v>
      </c>
      <c r="B1042" s="97">
        <v>892.75210000000004</v>
      </c>
      <c r="C1042" s="97">
        <v>0.6</v>
      </c>
      <c r="D1042" s="80">
        <f t="shared" si="283"/>
        <v>100</v>
      </c>
      <c r="E1042" s="81">
        <f t="shared" si="291"/>
        <v>6791.2436711181272</v>
      </c>
      <c r="F1042" s="81">
        <f>SUM(E$2:E1042)</f>
        <v>6535661.2346692551</v>
      </c>
      <c r="G1042" s="43">
        <f t="shared" si="289"/>
        <v>1</v>
      </c>
      <c r="H1042" s="78">
        <v>1</v>
      </c>
      <c r="I1042" s="15">
        <f t="shared" si="292"/>
        <v>0.6</v>
      </c>
      <c r="J1042" s="16">
        <f>VLOOKUP(G1042,Inputs!$L$3:$P$15,5,FALSE)</f>
        <v>2000</v>
      </c>
      <c r="K1042" s="16">
        <f t="shared" si="293"/>
        <v>1825</v>
      </c>
      <c r="L1042" s="79">
        <f>Inputs!$P$8-B1042</f>
        <v>45.43889999999999</v>
      </c>
      <c r="M1042" s="79">
        <f>Inputs!$Q$8+L1042*0.433</f>
        <v>1844.6750437000001</v>
      </c>
      <c r="N1042" s="82">
        <f t="shared" si="294"/>
        <v>192299.92</v>
      </c>
      <c r="O1042" s="83">
        <f t="shared" si="295"/>
        <v>892.75210000000004</v>
      </c>
      <c r="P1042" s="84">
        <f>IF(O1042="","",Inputs!$C$5-O1042)</f>
        <v>-67.567600000000084</v>
      </c>
      <c r="Q1042" s="83">
        <f>IF(N1042="","",TS!J1042)</f>
        <v>2000</v>
      </c>
      <c r="R1042" s="83">
        <f>IF(N1042="","",TS!K1042)</f>
        <v>1825</v>
      </c>
      <c r="S1042" s="83">
        <f>Inputs!$H$5+TS!P1042*0.4333</f>
        <v>1845.6886753699998</v>
      </c>
      <c r="T1042" s="83">
        <f>Inputs!$G$5+TS!P1042*0.4333</f>
        <v>1860.6886753699998</v>
      </c>
      <c r="U1042" s="85">
        <f t="shared" si="296"/>
        <v>0.93034433768499991</v>
      </c>
      <c r="V1042" s="86">
        <f t="shared" si="284"/>
        <v>0</v>
      </c>
      <c r="W1042" s="86">
        <f t="shared" si="285"/>
        <v>0</v>
      </c>
      <c r="X1042" s="86" t="e">
        <f>((PI()*((42-2*'Gen Calcs'!$E$13)^2)/4)/144)*(A1085-#REF!)*(W1042+14.7)/14.7</f>
        <v>#REF!</v>
      </c>
      <c r="Y1042" s="86" t="e">
        <f t="shared" si="286"/>
        <v>#REF!</v>
      </c>
      <c r="Z1042" s="86" t="e">
        <f t="shared" si="287"/>
        <v>#REF!</v>
      </c>
      <c r="AA1042" s="83">
        <f>MAX(B$2:B1042)-B1042</f>
        <v>45.43889999999999</v>
      </c>
      <c r="AB1042" s="83">
        <f t="shared" si="288"/>
        <v>19.675043699999996</v>
      </c>
      <c r="AC1042" s="83">
        <f t="shared" si="290"/>
        <v>120</v>
      </c>
      <c r="AD1042" s="72">
        <v>120</v>
      </c>
      <c r="AE1042" s="73">
        <f t="shared" si="297"/>
        <v>907.92027688745009</v>
      </c>
      <c r="AF1042" s="73">
        <f>SUM(AE$2:AE1042)</f>
        <v>874336.04230145342</v>
      </c>
      <c r="AG1042" s="73">
        <f t="shared" si="298"/>
        <v>299393.86012565577</v>
      </c>
    </row>
    <row r="1043" spans="1:33" x14ac:dyDescent="0.25">
      <c r="A1043" s="99">
        <v>192399.92</v>
      </c>
      <c r="B1043" s="96">
        <v>889.93949999999995</v>
      </c>
      <c r="C1043" s="96">
        <v>0.6</v>
      </c>
      <c r="D1043" s="80">
        <f t="shared" si="283"/>
        <v>100</v>
      </c>
      <c r="E1043" s="81">
        <f t="shared" si="291"/>
        <v>6616.6076625842816</v>
      </c>
      <c r="F1043" s="81">
        <f>SUM(E$2:E1043)</f>
        <v>6542277.8423318397</v>
      </c>
      <c r="G1043" s="43">
        <f t="shared" si="289"/>
        <v>1</v>
      </c>
      <c r="H1043" s="78">
        <v>1</v>
      </c>
      <c r="I1043" s="15">
        <f t="shared" si="292"/>
        <v>0.6</v>
      </c>
      <c r="J1043" s="16">
        <f>VLOOKUP(G1043,Inputs!$L$3:$P$15,5,FALSE)</f>
        <v>2000</v>
      </c>
      <c r="K1043" s="16">
        <f t="shared" si="293"/>
        <v>1825</v>
      </c>
      <c r="L1043" s="79">
        <f>Inputs!$P$8-B1043</f>
        <v>48.251500000000078</v>
      </c>
      <c r="M1043" s="79">
        <f>Inputs!$Q$8+L1043*0.433</f>
        <v>1845.8928995000001</v>
      </c>
      <c r="N1043" s="82">
        <f t="shared" si="294"/>
        <v>192399.92</v>
      </c>
      <c r="O1043" s="83">
        <f t="shared" si="295"/>
        <v>889.93949999999995</v>
      </c>
      <c r="P1043" s="84">
        <f>IF(O1043="","",Inputs!$C$5-O1043)</f>
        <v>-64.754999999999995</v>
      </c>
      <c r="Q1043" s="83">
        <f>IF(N1043="","",TS!J1043)</f>
        <v>2000</v>
      </c>
      <c r="R1043" s="83">
        <f>IF(N1043="","",TS!K1043)</f>
        <v>1825</v>
      </c>
      <c r="S1043" s="83">
        <f>Inputs!$H$5+TS!P1043*0.4333</f>
        <v>1846.9073749499998</v>
      </c>
      <c r="T1043" s="83">
        <f>Inputs!$G$5+TS!P1043*0.4333</f>
        <v>1861.9073749499998</v>
      </c>
      <c r="U1043" s="85">
        <f t="shared" si="296"/>
        <v>0.93095368747499996</v>
      </c>
      <c r="V1043" s="86">
        <f t="shared" si="284"/>
        <v>0</v>
      </c>
      <c r="W1043" s="86">
        <f t="shared" si="285"/>
        <v>0</v>
      </c>
      <c r="X1043" s="86" t="e">
        <f>((PI()*((42-2*'Gen Calcs'!$E$13)^2)/4)/144)*(A1086-#REF!)*(W1043+14.7)/14.7</f>
        <v>#REF!</v>
      </c>
      <c r="Y1043" s="86" t="e">
        <f t="shared" si="286"/>
        <v>#REF!</v>
      </c>
      <c r="Z1043" s="86" t="e">
        <f t="shared" si="287"/>
        <v>#REF!</v>
      </c>
      <c r="AA1043" s="83">
        <f>MAX(B$2:B1043)-B1043</f>
        <v>48.251500000000078</v>
      </c>
      <c r="AB1043" s="83">
        <f t="shared" si="288"/>
        <v>20.892899500000034</v>
      </c>
      <c r="AC1043" s="83">
        <f t="shared" si="290"/>
        <v>120</v>
      </c>
      <c r="AD1043" s="72">
        <v>120</v>
      </c>
      <c r="AE1043" s="73">
        <f t="shared" si="297"/>
        <v>907.92027688745009</v>
      </c>
      <c r="AF1043" s="73">
        <f>SUM(AE$2:AE1043)</f>
        <v>875243.9625783409</v>
      </c>
      <c r="AG1043" s="73">
        <f t="shared" si="298"/>
        <v>298485.93984876829</v>
      </c>
    </row>
    <row r="1044" spans="1:33" x14ac:dyDescent="0.25">
      <c r="A1044" s="100">
        <v>192499.92</v>
      </c>
      <c r="B1044" s="97">
        <v>887.17070000000001</v>
      </c>
      <c r="C1044" s="97">
        <v>0.6</v>
      </c>
      <c r="D1044" s="80">
        <f t="shared" si="283"/>
        <v>100</v>
      </c>
      <c r="E1044" s="81">
        <f t="shared" si="291"/>
        <v>6791.2436711181272</v>
      </c>
      <c r="F1044" s="81">
        <f>SUM(E$2:E1044)</f>
        <v>6549069.086002958</v>
      </c>
      <c r="G1044" s="43">
        <f t="shared" si="289"/>
        <v>1</v>
      </c>
      <c r="H1044" s="78">
        <v>1</v>
      </c>
      <c r="I1044" s="15">
        <f t="shared" si="292"/>
        <v>0.6</v>
      </c>
      <c r="J1044" s="16">
        <f>VLOOKUP(G1044,Inputs!$L$3:$P$15,5,FALSE)</f>
        <v>2000</v>
      </c>
      <c r="K1044" s="16">
        <f t="shared" si="293"/>
        <v>1825</v>
      </c>
      <c r="L1044" s="79">
        <f>Inputs!$P$8-B1044</f>
        <v>51.02030000000002</v>
      </c>
      <c r="M1044" s="79">
        <f>Inputs!$Q$8+L1044*0.433</f>
        <v>1847.0917899000001</v>
      </c>
      <c r="N1044" s="82">
        <f t="shared" si="294"/>
        <v>192499.92</v>
      </c>
      <c r="O1044" s="83">
        <f t="shared" si="295"/>
        <v>887.17070000000001</v>
      </c>
      <c r="P1044" s="84">
        <f>IF(O1044="","",Inputs!$C$5-O1044)</f>
        <v>-61.986200000000053</v>
      </c>
      <c r="Q1044" s="83">
        <f>IF(N1044="","",TS!J1044)</f>
        <v>2000</v>
      </c>
      <c r="R1044" s="83">
        <f>IF(N1044="","",TS!K1044)</f>
        <v>1825</v>
      </c>
      <c r="S1044" s="83">
        <f>Inputs!$H$5+TS!P1044*0.4333</f>
        <v>1848.1070959899998</v>
      </c>
      <c r="T1044" s="83">
        <f>Inputs!$G$5+TS!P1044*0.4333</f>
        <v>1863.1070959899998</v>
      </c>
      <c r="U1044" s="85">
        <f t="shared" si="296"/>
        <v>0.9315535479949999</v>
      </c>
      <c r="V1044" s="86">
        <f t="shared" si="284"/>
        <v>0</v>
      </c>
      <c r="W1044" s="86">
        <f t="shared" si="285"/>
        <v>0</v>
      </c>
      <c r="X1044" s="86" t="e">
        <f>((PI()*((42-2*'Gen Calcs'!$E$13)^2)/4)/144)*(A1087-#REF!)*(W1044+14.7)/14.7</f>
        <v>#REF!</v>
      </c>
      <c r="Y1044" s="86" t="e">
        <f t="shared" si="286"/>
        <v>#REF!</v>
      </c>
      <c r="Z1044" s="86" t="e">
        <f t="shared" si="287"/>
        <v>#REF!</v>
      </c>
      <c r="AA1044" s="83">
        <f>MAX(B$2:B1044)-B1044</f>
        <v>51.02030000000002</v>
      </c>
      <c r="AB1044" s="83">
        <f t="shared" si="288"/>
        <v>22.091789900000009</v>
      </c>
      <c r="AC1044" s="83">
        <f t="shared" si="290"/>
        <v>120</v>
      </c>
      <c r="AD1044" s="72">
        <v>120</v>
      </c>
      <c r="AE1044" s="73">
        <f t="shared" si="297"/>
        <v>907.92027688745009</v>
      </c>
      <c r="AF1044" s="73">
        <f>SUM(AE$2:AE1044)</f>
        <v>876151.88285522838</v>
      </c>
      <c r="AG1044" s="73">
        <f t="shared" si="298"/>
        <v>297578.01957188081</v>
      </c>
    </row>
    <row r="1045" spans="1:33" x14ac:dyDescent="0.25">
      <c r="A1045" s="99">
        <v>192599.92</v>
      </c>
      <c r="B1045" s="96">
        <v>883.68119999999999</v>
      </c>
      <c r="C1045" s="96">
        <v>0.6</v>
      </c>
      <c r="D1045" s="80">
        <f t="shared" si="283"/>
        <v>100</v>
      </c>
      <c r="E1045" s="81">
        <f t="shared" si="291"/>
        <v>6616.6076625842816</v>
      </c>
      <c r="F1045" s="81">
        <f>SUM(E$2:E1045)</f>
        <v>6555685.6936655426</v>
      </c>
      <c r="G1045" s="43">
        <f t="shared" si="289"/>
        <v>1</v>
      </c>
      <c r="H1045" s="78">
        <v>1</v>
      </c>
      <c r="I1045" s="15">
        <f t="shared" si="292"/>
        <v>0.6</v>
      </c>
      <c r="J1045" s="16">
        <f>VLOOKUP(G1045,Inputs!$L$3:$P$15,5,FALSE)</f>
        <v>2000</v>
      </c>
      <c r="K1045" s="16">
        <f t="shared" si="293"/>
        <v>1825</v>
      </c>
      <c r="L1045" s="79">
        <f>Inputs!$P$8-B1045</f>
        <v>54.509800000000041</v>
      </c>
      <c r="M1045" s="79">
        <f>Inputs!$Q$8+L1045*0.433</f>
        <v>1848.6027434</v>
      </c>
      <c r="N1045" s="82">
        <f t="shared" si="294"/>
        <v>192599.92</v>
      </c>
      <c r="O1045" s="83">
        <f t="shared" si="295"/>
        <v>883.68119999999999</v>
      </c>
      <c r="P1045" s="84">
        <f>IF(O1045="","",Inputs!$C$5-O1045)</f>
        <v>-58.496700000000033</v>
      </c>
      <c r="Q1045" s="83">
        <f>IF(N1045="","",TS!J1045)</f>
        <v>2000</v>
      </c>
      <c r="R1045" s="83">
        <f>IF(N1045="","",TS!K1045)</f>
        <v>1825</v>
      </c>
      <c r="S1045" s="83">
        <f>Inputs!$H$5+TS!P1045*0.4333</f>
        <v>1849.6190963399999</v>
      </c>
      <c r="T1045" s="83">
        <f>Inputs!$G$5+TS!P1045*0.4333</f>
        <v>1864.6190963399999</v>
      </c>
      <c r="U1045" s="85">
        <f t="shared" si="296"/>
        <v>0.93230954817</v>
      </c>
      <c r="V1045" s="86">
        <f t="shared" si="284"/>
        <v>0</v>
      </c>
      <c r="W1045" s="86">
        <f t="shared" si="285"/>
        <v>0</v>
      </c>
      <c r="X1045" s="86" t="e">
        <f>((PI()*((42-2*'Gen Calcs'!$E$13)^2)/4)/144)*(A1088-#REF!)*(W1045+14.7)/14.7</f>
        <v>#REF!</v>
      </c>
      <c r="Y1045" s="86" t="e">
        <f t="shared" si="286"/>
        <v>#REF!</v>
      </c>
      <c r="Z1045" s="86" t="e">
        <f t="shared" si="287"/>
        <v>#REF!</v>
      </c>
      <c r="AA1045" s="83">
        <f>MAX(B$2:B1045)-B1045</f>
        <v>54.509800000000041</v>
      </c>
      <c r="AB1045" s="83">
        <f t="shared" si="288"/>
        <v>23.602743400000019</v>
      </c>
      <c r="AC1045" s="83">
        <f t="shared" si="290"/>
        <v>120</v>
      </c>
      <c r="AD1045" s="72">
        <v>120</v>
      </c>
      <c r="AE1045" s="73">
        <f t="shared" si="297"/>
        <v>907.92027688745009</v>
      </c>
      <c r="AF1045" s="73">
        <f>SUM(AE$2:AE1045)</f>
        <v>877059.80313211586</v>
      </c>
      <c r="AG1045" s="73">
        <f t="shared" si="298"/>
        <v>296670.09929499333</v>
      </c>
    </row>
    <row r="1046" spans="1:33" x14ac:dyDescent="0.25">
      <c r="A1046" s="100">
        <v>192699.92</v>
      </c>
      <c r="B1046" s="97">
        <v>880.10519999999997</v>
      </c>
      <c r="C1046" s="97">
        <v>0.6</v>
      </c>
      <c r="D1046" s="80">
        <f t="shared" si="283"/>
        <v>100</v>
      </c>
      <c r="E1046" s="81">
        <f t="shared" si="291"/>
        <v>6791.2436711181272</v>
      </c>
      <c r="F1046" s="81">
        <f>SUM(E$2:E1046)</f>
        <v>6562476.9373366609</v>
      </c>
      <c r="G1046" s="43">
        <f t="shared" si="289"/>
        <v>1</v>
      </c>
      <c r="H1046" s="78">
        <v>1</v>
      </c>
      <c r="I1046" s="15">
        <f t="shared" si="292"/>
        <v>0.6</v>
      </c>
      <c r="J1046" s="16">
        <f>VLOOKUP(G1046,Inputs!$L$3:$P$15,5,FALSE)</f>
        <v>2000</v>
      </c>
      <c r="K1046" s="16">
        <f t="shared" si="293"/>
        <v>1825</v>
      </c>
      <c r="L1046" s="79">
        <f>Inputs!$P$8-B1046</f>
        <v>58.085800000000063</v>
      </c>
      <c r="M1046" s="79">
        <f>Inputs!$Q$8+L1046*0.433</f>
        <v>1850.1511514000001</v>
      </c>
      <c r="N1046" s="82">
        <f t="shared" si="294"/>
        <v>192699.92</v>
      </c>
      <c r="O1046" s="83">
        <f t="shared" si="295"/>
        <v>880.10519999999997</v>
      </c>
      <c r="P1046" s="84">
        <f>IF(O1046="","",Inputs!$C$5-O1046)</f>
        <v>-54.920700000000011</v>
      </c>
      <c r="Q1046" s="83">
        <f>IF(N1046="","",TS!J1046)</f>
        <v>2000</v>
      </c>
      <c r="R1046" s="83">
        <f>IF(N1046="","",TS!K1046)</f>
        <v>1825</v>
      </c>
      <c r="S1046" s="83">
        <f>Inputs!$H$5+TS!P1046*0.4333</f>
        <v>1851.16857714</v>
      </c>
      <c r="T1046" s="83">
        <f>Inputs!$G$5+TS!P1046*0.4333</f>
        <v>1866.16857714</v>
      </c>
      <c r="U1046" s="85">
        <f t="shared" si="296"/>
        <v>0.93308428857000003</v>
      </c>
      <c r="V1046" s="86">
        <f t="shared" si="284"/>
        <v>0</v>
      </c>
      <c r="W1046" s="86">
        <f t="shared" si="285"/>
        <v>0</v>
      </c>
      <c r="X1046" s="86" t="e">
        <f>((PI()*((42-2*'Gen Calcs'!$E$13)^2)/4)/144)*(A1089-#REF!)*(W1046+14.7)/14.7</f>
        <v>#REF!</v>
      </c>
      <c r="Y1046" s="86" t="e">
        <f t="shared" si="286"/>
        <v>#REF!</v>
      </c>
      <c r="Z1046" s="86" t="e">
        <f t="shared" si="287"/>
        <v>#REF!</v>
      </c>
      <c r="AA1046" s="83">
        <f>MAX(B$2:B1046)-B1046</f>
        <v>58.085800000000063</v>
      </c>
      <c r="AB1046" s="83">
        <f t="shared" si="288"/>
        <v>25.151151400000028</v>
      </c>
      <c r="AC1046" s="83">
        <f t="shared" si="290"/>
        <v>120</v>
      </c>
      <c r="AD1046" s="72">
        <v>120</v>
      </c>
      <c r="AE1046" s="73">
        <f t="shared" si="297"/>
        <v>907.92027688745009</v>
      </c>
      <c r="AF1046" s="73">
        <f>SUM(AE$2:AE1046)</f>
        <v>877967.72340900335</v>
      </c>
      <c r="AG1046" s="73">
        <f t="shared" si="298"/>
        <v>295762.17901810585</v>
      </c>
    </row>
    <row r="1047" spans="1:33" x14ac:dyDescent="0.25">
      <c r="A1047" s="99">
        <v>192799.92</v>
      </c>
      <c r="B1047" s="96">
        <v>877.32539999999995</v>
      </c>
      <c r="C1047" s="96">
        <v>0.6</v>
      </c>
      <c r="D1047" s="80">
        <f t="shared" si="283"/>
        <v>100</v>
      </c>
      <c r="E1047" s="81">
        <f t="shared" si="291"/>
        <v>6791.2436711181272</v>
      </c>
      <c r="F1047" s="81">
        <f>SUM(E$2:E1047)</f>
        <v>6569268.1810077792</v>
      </c>
      <c r="G1047" s="43">
        <f t="shared" si="289"/>
        <v>1</v>
      </c>
      <c r="H1047" s="78">
        <v>1</v>
      </c>
      <c r="I1047" s="15">
        <f t="shared" si="292"/>
        <v>0.6</v>
      </c>
      <c r="J1047" s="16">
        <f>VLOOKUP(G1047,Inputs!$L$3:$P$15,5,FALSE)</f>
        <v>2000</v>
      </c>
      <c r="K1047" s="16">
        <f t="shared" si="293"/>
        <v>1825</v>
      </c>
      <c r="L1047" s="79">
        <f>Inputs!$P$8-B1047</f>
        <v>60.865600000000086</v>
      </c>
      <c r="M1047" s="79">
        <f>Inputs!$Q$8+L1047*0.433</f>
        <v>1851.3548048</v>
      </c>
      <c r="N1047" s="82">
        <f t="shared" si="294"/>
        <v>192799.92</v>
      </c>
      <c r="O1047" s="83">
        <f t="shared" si="295"/>
        <v>877.32539999999995</v>
      </c>
      <c r="P1047" s="84">
        <f>IF(O1047="","",Inputs!$C$5-O1047)</f>
        <v>-52.140899999999988</v>
      </c>
      <c r="Q1047" s="83">
        <f>IF(N1047="","",TS!J1047)</f>
        <v>2000</v>
      </c>
      <c r="R1047" s="83">
        <f>IF(N1047="","",TS!K1047)</f>
        <v>1825</v>
      </c>
      <c r="S1047" s="83">
        <f>Inputs!$H$5+TS!P1047*0.4333</f>
        <v>1852.37306448</v>
      </c>
      <c r="T1047" s="83">
        <f>Inputs!$G$5+TS!P1047*0.4333</f>
        <v>1867.37306448</v>
      </c>
      <c r="U1047" s="85">
        <f t="shared" si="296"/>
        <v>0.93368653223999998</v>
      </c>
      <c r="V1047" s="86">
        <f t="shared" si="284"/>
        <v>0</v>
      </c>
      <c r="W1047" s="86">
        <f t="shared" si="285"/>
        <v>0</v>
      </c>
      <c r="X1047" s="86" t="e">
        <f>((PI()*((42-2*'Gen Calcs'!$E$13)^2)/4)/144)*(A1090-#REF!)*(W1047+14.7)/14.7</f>
        <v>#REF!</v>
      </c>
      <c r="Y1047" s="86" t="e">
        <f t="shared" si="286"/>
        <v>#REF!</v>
      </c>
      <c r="Z1047" s="86" t="e">
        <f t="shared" si="287"/>
        <v>#REF!</v>
      </c>
      <c r="AA1047" s="83">
        <f>MAX(B$2:B1047)-B1047</f>
        <v>60.865600000000086</v>
      </c>
      <c r="AB1047" s="83">
        <f t="shared" si="288"/>
        <v>26.354804800000036</v>
      </c>
      <c r="AC1047" s="83">
        <f t="shared" si="290"/>
        <v>120</v>
      </c>
      <c r="AD1047" s="72">
        <v>120</v>
      </c>
      <c r="AE1047" s="73">
        <f t="shared" si="297"/>
        <v>907.92027688745009</v>
      </c>
      <c r="AF1047" s="73">
        <f>SUM(AE$2:AE1047)</f>
        <v>878875.64368589083</v>
      </c>
      <c r="AG1047" s="73">
        <f t="shared" si="298"/>
        <v>294854.25874121836</v>
      </c>
    </row>
    <row r="1048" spans="1:33" x14ac:dyDescent="0.25">
      <c r="A1048" s="100">
        <v>192899.92</v>
      </c>
      <c r="B1048" s="97">
        <v>875.10400000000004</v>
      </c>
      <c r="C1048" s="97">
        <v>0.6</v>
      </c>
      <c r="D1048" s="80">
        <f t="shared" si="283"/>
        <v>100</v>
      </c>
      <c r="E1048" s="81">
        <f t="shared" si="291"/>
        <v>6791.2436711181272</v>
      </c>
      <c r="F1048" s="81">
        <f>SUM(E$2:E1048)</f>
        <v>6576059.4246788975</v>
      </c>
      <c r="G1048" s="43">
        <f t="shared" si="289"/>
        <v>1</v>
      </c>
      <c r="H1048" s="78">
        <v>1</v>
      </c>
      <c r="I1048" s="15">
        <f t="shared" si="292"/>
        <v>0.6</v>
      </c>
      <c r="J1048" s="16">
        <f>VLOOKUP(G1048,Inputs!$L$3:$P$15,5,FALSE)</f>
        <v>2000</v>
      </c>
      <c r="K1048" s="16">
        <f t="shared" si="293"/>
        <v>1825</v>
      </c>
      <c r="L1048" s="79">
        <f>Inputs!$P$8-B1048</f>
        <v>63.086999999999989</v>
      </c>
      <c r="M1048" s="79">
        <f>Inputs!$Q$8+L1048*0.433</f>
        <v>1852.316671</v>
      </c>
      <c r="N1048" s="82">
        <f t="shared" si="294"/>
        <v>192899.92</v>
      </c>
      <c r="O1048" s="83">
        <f t="shared" si="295"/>
        <v>875.10400000000004</v>
      </c>
      <c r="P1048" s="84">
        <f>IF(O1048="","",Inputs!$C$5-O1048)</f>
        <v>-49.919500000000085</v>
      </c>
      <c r="Q1048" s="83">
        <f>IF(N1048="","",TS!J1048)</f>
        <v>2000</v>
      </c>
      <c r="R1048" s="83">
        <f>IF(N1048="","",TS!K1048)</f>
        <v>1825</v>
      </c>
      <c r="S1048" s="83">
        <f>Inputs!$H$5+TS!P1048*0.4333</f>
        <v>1853.3355970999999</v>
      </c>
      <c r="T1048" s="83">
        <f>Inputs!$G$5+TS!P1048*0.4333</f>
        <v>1868.3355970999999</v>
      </c>
      <c r="U1048" s="85">
        <f t="shared" si="296"/>
        <v>0.93416779854999998</v>
      </c>
      <c r="V1048" s="86">
        <f t="shared" si="284"/>
        <v>0</v>
      </c>
      <c r="W1048" s="86">
        <f t="shared" si="285"/>
        <v>0</v>
      </c>
      <c r="X1048" s="86" t="e">
        <f>((PI()*((42-2*'Gen Calcs'!$E$13)^2)/4)/144)*(A1091-#REF!)*(W1048+14.7)/14.7</f>
        <v>#REF!</v>
      </c>
      <c r="Y1048" s="86" t="e">
        <f t="shared" si="286"/>
        <v>#REF!</v>
      </c>
      <c r="Z1048" s="86" t="e">
        <f t="shared" si="287"/>
        <v>#REF!</v>
      </c>
      <c r="AA1048" s="83">
        <f>MAX(B$2:B1048)-B1048</f>
        <v>63.086999999999989</v>
      </c>
      <c r="AB1048" s="83">
        <f t="shared" si="288"/>
        <v>27.316670999999996</v>
      </c>
      <c r="AC1048" s="83">
        <f t="shared" si="290"/>
        <v>120</v>
      </c>
      <c r="AD1048" s="72">
        <v>120</v>
      </c>
      <c r="AE1048" s="73">
        <f t="shared" si="297"/>
        <v>907.92027688745009</v>
      </c>
      <c r="AF1048" s="73">
        <f>SUM(AE$2:AE1048)</f>
        <v>879783.56396277831</v>
      </c>
      <c r="AG1048" s="73">
        <f t="shared" si="298"/>
        <v>293946.33846433088</v>
      </c>
    </row>
    <row r="1049" spans="1:33" x14ac:dyDescent="0.25">
      <c r="A1049" s="99">
        <v>192999.92</v>
      </c>
      <c r="B1049" s="96">
        <v>873.13679999999999</v>
      </c>
      <c r="C1049" s="96">
        <v>0.6</v>
      </c>
      <c r="D1049" s="80">
        <f t="shared" si="283"/>
        <v>100</v>
      </c>
      <c r="E1049" s="81">
        <f t="shared" si="291"/>
        <v>6791.2436711181272</v>
      </c>
      <c r="F1049" s="81">
        <f>SUM(E$2:E1049)</f>
        <v>6582850.6683500158</v>
      </c>
      <c r="G1049" s="43">
        <f t="shared" si="289"/>
        <v>1</v>
      </c>
      <c r="H1049" s="78">
        <v>1</v>
      </c>
      <c r="I1049" s="15">
        <f t="shared" si="292"/>
        <v>0.6</v>
      </c>
      <c r="J1049" s="16">
        <f>VLOOKUP(G1049,Inputs!$L$3:$P$15,5,FALSE)</f>
        <v>2000</v>
      </c>
      <c r="K1049" s="16">
        <f t="shared" si="293"/>
        <v>1825</v>
      </c>
      <c r="L1049" s="79">
        <f>Inputs!$P$8-B1049</f>
        <v>65.054200000000037</v>
      </c>
      <c r="M1049" s="79">
        <f>Inputs!$Q$8+L1049*0.433</f>
        <v>1853.1684686000001</v>
      </c>
      <c r="N1049" s="82">
        <f t="shared" si="294"/>
        <v>192999.92</v>
      </c>
      <c r="O1049" s="83">
        <f t="shared" si="295"/>
        <v>873.13679999999999</v>
      </c>
      <c r="P1049" s="84">
        <f>IF(O1049="","",Inputs!$C$5-O1049)</f>
        <v>-47.952300000000037</v>
      </c>
      <c r="Q1049" s="83">
        <f>IF(N1049="","",TS!J1049)</f>
        <v>2000</v>
      </c>
      <c r="R1049" s="83">
        <f>IF(N1049="","",TS!K1049)</f>
        <v>1825</v>
      </c>
      <c r="S1049" s="83">
        <f>Inputs!$H$5+TS!P1049*0.4333</f>
        <v>1854.1879848599999</v>
      </c>
      <c r="T1049" s="83">
        <f>Inputs!$G$5+TS!P1049*0.4333</f>
        <v>1869.1879848599999</v>
      </c>
      <c r="U1049" s="85">
        <f t="shared" si="296"/>
        <v>0.93459399242999996</v>
      </c>
      <c r="V1049" s="86">
        <f t="shared" si="284"/>
        <v>0</v>
      </c>
      <c r="W1049" s="86">
        <f t="shared" si="285"/>
        <v>0</v>
      </c>
      <c r="X1049" s="86" t="e">
        <f>((PI()*((42-2*'Gen Calcs'!$E$13)^2)/4)/144)*(A1092-#REF!)*(W1049+14.7)/14.7</f>
        <v>#REF!</v>
      </c>
      <c r="Y1049" s="86" t="e">
        <f t="shared" si="286"/>
        <v>#REF!</v>
      </c>
      <c r="Z1049" s="86" t="e">
        <f t="shared" si="287"/>
        <v>#REF!</v>
      </c>
      <c r="AA1049" s="83">
        <f>MAX(B$2:B1049)-B1049</f>
        <v>65.054200000000037</v>
      </c>
      <c r="AB1049" s="83">
        <f t="shared" si="288"/>
        <v>28.168468600000015</v>
      </c>
      <c r="AC1049" s="83">
        <f t="shared" si="290"/>
        <v>120</v>
      </c>
      <c r="AD1049" s="72">
        <v>120</v>
      </c>
      <c r="AE1049" s="73">
        <f t="shared" si="297"/>
        <v>907.92027688745009</v>
      </c>
      <c r="AF1049" s="73">
        <f>SUM(AE$2:AE1049)</f>
        <v>880691.48423966579</v>
      </c>
      <c r="AG1049" s="73">
        <f t="shared" si="298"/>
        <v>293038.4181874434</v>
      </c>
    </row>
    <row r="1050" spans="1:33" x14ac:dyDescent="0.25">
      <c r="A1050" s="100">
        <v>193099.92</v>
      </c>
      <c r="B1050" s="97">
        <v>871.31769999999995</v>
      </c>
      <c r="C1050" s="97">
        <v>0.6</v>
      </c>
      <c r="D1050" s="80">
        <f t="shared" si="283"/>
        <v>100</v>
      </c>
      <c r="E1050" s="81">
        <f t="shared" si="291"/>
        <v>6791.2436711181272</v>
      </c>
      <c r="F1050" s="81">
        <f>SUM(E$2:E1050)</f>
        <v>6589641.912021134</v>
      </c>
      <c r="G1050" s="43">
        <f t="shared" si="289"/>
        <v>1</v>
      </c>
      <c r="H1050" s="78">
        <v>1</v>
      </c>
      <c r="I1050" s="15">
        <f t="shared" si="292"/>
        <v>0.6</v>
      </c>
      <c r="J1050" s="16">
        <f>VLOOKUP(G1050,Inputs!$L$3:$P$15,5,FALSE)</f>
        <v>2000</v>
      </c>
      <c r="K1050" s="16">
        <f t="shared" si="293"/>
        <v>1825</v>
      </c>
      <c r="L1050" s="79">
        <f>Inputs!$P$8-B1050</f>
        <v>66.873300000000086</v>
      </c>
      <c r="M1050" s="79">
        <f>Inputs!$Q$8+L1050*0.433</f>
        <v>1853.9561389</v>
      </c>
      <c r="N1050" s="82">
        <f t="shared" si="294"/>
        <v>193099.92</v>
      </c>
      <c r="O1050" s="83">
        <f t="shared" si="295"/>
        <v>871.31769999999995</v>
      </c>
      <c r="P1050" s="84">
        <f>IF(O1050="","",Inputs!$C$5-O1050)</f>
        <v>-46.133199999999988</v>
      </c>
      <c r="Q1050" s="83">
        <f>IF(N1050="","",TS!J1050)</f>
        <v>2000</v>
      </c>
      <c r="R1050" s="83">
        <f>IF(N1050="","",TS!K1050)</f>
        <v>1825</v>
      </c>
      <c r="S1050" s="83">
        <f>Inputs!$H$5+TS!P1050*0.4333</f>
        <v>1854.97620089</v>
      </c>
      <c r="T1050" s="83">
        <f>Inputs!$G$5+TS!P1050*0.4333</f>
        <v>1869.97620089</v>
      </c>
      <c r="U1050" s="85">
        <f t="shared" si="296"/>
        <v>0.93498810044500003</v>
      </c>
      <c r="V1050" s="86">
        <f t="shared" si="284"/>
        <v>0</v>
      </c>
      <c r="W1050" s="86">
        <f t="shared" si="285"/>
        <v>0</v>
      </c>
      <c r="X1050" s="86" t="e">
        <f>((PI()*((42-2*'Gen Calcs'!$E$13)^2)/4)/144)*(A1093-#REF!)*(W1050+14.7)/14.7</f>
        <v>#REF!</v>
      </c>
      <c r="Y1050" s="86" t="e">
        <f t="shared" si="286"/>
        <v>#REF!</v>
      </c>
      <c r="Z1050" s="86" t="e">
        <f t="shared" si="287"/>
        <v>#REF!</v>
      </c>
      <c r="AA1050" s="83">
        <f>MAX(B$2:B1050)-B1050</f>
        <v>66.873300000000086</v>
      </c>
      <c r="AB1050" s="83">
        <f t="shared" si="288"/>
        <v>28.956138900000038</v>
      </c>
      <c r="AC1050" s="83">
        <f t="shared" si="290"/>
        <v>120</v>
      </c>
      <c r="AD1050" s="72">
        <v>120</v>
      </c>
      <c r="AE1050" s="73">
        <f t="shared" si="297"/>
        <v>907.92027688745009</v>
      </c>
      <c r="AF1050" s="73">
        <f>SUM(AE$2:AE1050)</f>
        <v>881599.40451655327</v>
      </c>
      <c r="AG1050" s="73">
        <f t="shared" si="298"/>
        <v>292130.49791055592</v>
      </c>
    </row>
    <row r="1051" spans="1:33" x14ac:dyDescent="0.25">
      <c r="A1051" s="99">
        <v>193199.92</v>
      </c>
      <c r="B1051" s="96">
        <v>869.20519999999999</v>
      </c>
      <c r="C1051" s="96">
        <v>0.6</v>
      </c>
      <c r="D1051" s="80">
        <f t="shared" si="283"/>
        <v>100</v>
      </c>
      <c r="E1051" s="81">
        <f t="shared" si="291"/>
        <v>6791.2436711181272</v>
      </c>
      <c r="F1051" s="81">
        <f>SUM(E$2:E1051)</f>
        <v>6596433.1556922523</v>
      </c>
      <c r="G1051" s="43">
        <f t="shared" si="289"/>
        <v>1</v>
      </c>
      <c r="H1051" s="78">
        <v>1</v>
      </c>
      <c r="I1051" s="15">
        <f t="shared" si="292"/>
        <v>0.6</v>
      </c>
      <c r="J1051" s="16">
        <f>VLOOKUP(G1051,Inputs!$L$3:$P$15,5,FALSE)</f>
        <v>2000</v>
      </c>
      <c r="K1051" s="16">
        <f t="shared" si="293"/>
        <v>1825</v>
      </c>
      <c r="L1051" s="79">
        <f>Inputs!$P$8-B1051</f>
        <v>68.98580000000004</v>
      </c>
      <c r="M1051" s="79">
        <f>Inputs!$Q$8+L1051*0.433</f>
        <v>1854.8708514</v>
      </c>
      <c r="N1051" s="82">
        <f t="shared" si="294"/>
        <v>193199.92</v>
      </c>
      <c r="O1051" s="83">
        <f t="shared" si="295"/>
        <v>869.20519999999999</v>
      </c>
      <c r="P1051" s="84">
        <f>IF(O1051="","",Inputs!$C$5-O1051)</f>
        <v>-44.020700000000033</v>
      </c>
      <c r="Q1051" s="83">
        <f>IF(N1051="","",TS!J1051)</f>
        <v>2000</v>
      </c>
      <c r="R1051" s="83">
        <f>IF(N1051="","",TS!K1051)</f>
        <v>1825</v>
      </c>
      <c r="S1051" s="83">
        <f>Inputs!$H$5+TS!P1051*0.4333</f>
        <v>1855.8915471399998</v>
      </c>
      <c r="T1051" s="83">
        <f>Inputs!$G$5+TS!P1051*0.4333</f>
        <v>1870.8915471399998</v>
      </c>
      <c r="U1051" s="85">
        <f t="shared" si="296"/>
        <v>0.93544577356999992</v>
      </c>
      <c r="V1051" s="86">
        <f t="shared" si="284"/>
        <v>0</v>
      </c>
      <c r="W1051" s="86">
        <f t="shared" si="285"/>
        <v>0</v>
      </c>
      <c r="X1051" s="86" t="e">
        <f>((PI()*((42-2*'Gen Calcs'!$E$13)^2)/4)/144)*(A1094-#REF!)*(W1051+14.7)/14.7</f>
        <v>#REF!</v>
      </c>
      <c r="Y1051" s="86" t="e">
        <f t="shared" si="286"/>
        <v>#REF!</v>
      </c>
      <c r="Z1051" s="86" t="e">
        <f t="shared" si="287"/>
        <v>#REF!</v>
      </c>
      <c r="AA1051" s="83">
        <f>MAX(B$2:B1051)-B1051</f>
        <v>68.98580000000004</v>
      </c>
      <c r="AB1051" s="83">
        <f t="shared" si="288"/>
        <v>29.870851400000017</v>
      </c>
      <c r="AC1051" s="83">
        <f t="shared" si="290"/>
        <v>120</v>
      </c>
      <c r="AD1051" s="72">
        <v>120</v>
      </c>
      <c r="AE1051" s="73">
        <f t="shared" si="297"/>
        <v>907.92027688745009</v>
      </c>
      <c r="AF1051" s="73">
        <f>SUM(AE$2:AE1051)</f>
        <v>882507.32479344076</v>
      </c>
      <c r="AG1051" s="73">
        <f t="shared" si="298"/>
        <v>291222.57763366844</v>
      </c>
    </row>
    <row r="1052" spans="1:33" x14ac:dyDescent="0.25">
      <c r="A1052" s="100">
        <v>193299.92</v>
      </c>
      <c r="B1052" s="97">
        <v>868.25429999999994</v>
      </c>
      <c r="C1052" s="97">
        <v>0.6</v>
      </c>
      <c r="D1052" s="80">
        <f t="shared" si="283"/>
        <v>100</v>
      </c>
      <c r="E1052" s="81">
        <f t="shared" si="291"/>
        <v>6791.2436711181272</v>
      </c>
      <c r="F1052" s="81">
        <f>SUM(E$2:E1052)</f>
        <v>6603224.3993633706</v>
      </c>
      <c r="G1052" s="43">
        <f t="shared" si="289"/>
        <v>1</v>
      </c>
      <c r="H1052" s="78">
        <v>1</v>
      </c>
      <c r="I1052" s="15">
        <f t="shared" si="292"/>
        <v>0.6</v>
      </c>
      <c r="J1052" s="16">
        <f>VLOOKUP(G1052,Inputs!$L$3:$P$15,5,FALSE)</f>
        <v>2000</v>
      </c>
      <c r="K1052" s="16">
        <f t="shared" si="293"/>
        <v>1825</v>
      </c>
      <c r="L1052" s="79">
        <f>Inputs!$P$8-B1052</f>
        <v>69.936700000000087</v>
      </c>
      <c r="M1052" s="79">
        <f>Inputs!$Q$8+L1052*0.433</f>
        <v>1855.2825911</v>
      </c>
      <c r="N1052" s="82">
        <f t="shared" si="294"/>
        <v>193299.92</v>
      </c>
      <c r="O1052" s="83">
        <f t="shared" si="295"/>
        <v>868.25429999999994</v>
      </c>
      <c r="P1052" s="84">
        <f>IF(O1052="","",Inputs!$C$5-O1052)</f>
        <v>-43.069799999999987</v>
      </c>
      <c r="Q1052" s="83">
        <f>IF(N1052="","",TS!J1052)</f>
        <v>2000</v>
      </c>
      <c r="R1052" s="83">
        <f>IF(N1052="","",TS!K1052)</f>
        <v>1825</v>
      </c>
      <c r="S1052" s="83">
        <f>Inputs!$H$5+TS!P1052*0.4333</f>
        <v>1856.30357211</v>
      </c>
      <c r="T1052" s="83">
        <f>Inputs!$G$5+TS!P1052*0.4333</f>
        <v>1871.30357211</v>
      </c>
      <c r="U1052" s="85">
        <f t="shared" si="296"/>
        <v>0.93565178605499999</v>
      </c>
      <c r="V1052" s="86">
        <f t="shared" si="284"/>
        <v>0</v>
      </c>
      <c r="W1052" s="86">
        <f t="shared" si="285"/>
        <v>0</v>
      </c>
      <c r="X1052" s="86" t="e">
        <f>((PI()*((42-2*'Gen Calcs'!$E$13)^2)/4)/144)*(A1095-#REF!)*(W1052+14.7)/14.7</f>
        <v>#REF!</v>
      </c>
      <c r="Y1052" s="86" t="e">
        <f t="shared" si="286"/>
        <v>#REF!</v>
      </c>
      <c r="Z1052" s="86" t="e">
        <f t="shared" si="287"/>
        <v>#REF!</v>
      </c>
      <c r="AA1052" s="83">
        <f>MAX(B$2:B1052)-B1052</f>
        <v>69.936700000000087</v>
      </c>
      <c r="AB1052" s="83">
        <f t="shared" si="288"/>
        <v>30.282591100000037</v>
      </c>
      <c r="AC1052" s="83">
        <f t="shared" si="290"/>
        <v>120</v>
      </c>
      <c r="AD1052" s="72">
        <v>120</v>
      </c>
      <c r="AE1052" s="73">
        <f t="shared" si="297"/>
        <v>907.92027688745009</v>
      </c>
      <c r="AF1052" s="73">
        <f>SUM(AE$2:AE1052)</f>
        <v>883415.24507032824</v>
      </c>
      <c r="AG1052" s="73">
        <f t="shared" si="298"/>
        <v>290314.65735678095</v>
      </c>
    </row>
    <row r="1053" spans="1:33" x14ac:dyDescent="0.25">
      <c r="A1053" s="99">
        <v>193399.92</v>
      </c>
      <c r="B1053" s="96">
        <v>866.54949999999997</v>
      </c>
      <c r="C1053" s="96">
        <v>0.6</v>
      </c>
      <c r="D1053" s="80">
        <f t="shared" si="283"/>
        <v>100</v>
      </c>
      <c r="E1053" s="81">
        <f t="shared" si="291"/>
        <v>6791.2436711181272</v>
      </c>
      <c r="F1053" s="81">
        <f>SUM(E$2:E1053)</f>
        <v>6610015.6430344889</v>
      </c>
      <c r="G1053" s="43">
        <f t="shared" si="289"/>
        <v>1</v>
      </c>
      <c r="H1053" s="78">
        <v>1</v>
      </c>
      <c r="I1053" s="15">
        <f t="shared" si="292"/>
        <v>0.6</v>
      </c>
      <c r="J1053" s="16">
        <f>VLOOKUP(G1053,Inputs!$L$3:$P$15,5,FALSE)</f>
        <v>2000</v>
      </c>
      <c r="K1053" s="16">
        <f t="shared" si="293"/>
        <v>1825</v>
      </c>
      <c r="L1053" s="79">
        <f>Inputs!$P$8-B1053</f>
        <v>71.641500000000065</v>
      </c>
      <c r="M1053" s="79">
        <f>Inputs!$Q$8+L1053*0.433</f>
        <v>1856.0207694999999</v>
      </c>
      <c r="N1053" s="82">
        <f t="shared" si="294"/>
        <v>193399.92</v>
      </c>
      <c r="O1053" s="83">
        <f t="shared" si="295"/>
        <v>866.54949999999997</v>
      </c>
      <c r="P1053" s="84">
        <f>IF(O1053="","",Inputs!$C$5-O1053)</f>
        <v>-41.365000000000009</v>
      </c>
      <c r="Q1053" s="83">
        <f>IF(N1053="","",TS!J1053)</f>
        <v>2000</v>
      </c>
      <c r="R1053" s="83">
        <f>IF(N1053="","",TS!K1053)</f>
        <v>1825</v>
      </c>
      <c r="S1053" s="83">
        <f>Inputs!$H$5+TS!P1053*0.4333</f>
        <v>1857.04226195</v>
      </c>
      <c r="T1053" s="83">
        <f>Inputs!$G$5+TS!P1053*0.4333</f>
        <v>1872.04226195</v>
      </c>
      <c r="U1053" s="85">
        <f t="shared" si="296"/>
        <v>0.93602113097500006</v>
      </c>
      <c r="V1053" s="86">
        <f t="shared" si="284"/>
        <v>0</v>
      </c>
      <c r="W1053" s="86">
        <f t="shared" si="285"/>
        <v>0</v>
      </c>
      <c r="X1053" s="86" t="e">
        <f>((PI()*((42-2*'Gen Calcs'!$E$13)^2)/4)/144)*(A1096-#REF!)*(W1053+14.7)/14.7</f>
        <v>#REF!</v>
      </c>
      <c r="Y1053" s="86" t="e">
        <f t="shared" si="286"/>
        <v>#REF!</v>
      </c>
      <c r="Z1053" s="86" t="e">
        <f t="shared" si="287"/>
        <v>#REF!</v>
      </c>
      <c r="AA1053" s="83">
        <f>MAX(B$2:B1053)-B1053</f>
        <v>71.641500000000065</v>
      </c>
      <c r="AB1053" s="83">
        <f t="shared" si="288"/>
        <v>31.020769500000029</v>
      </c>
      <c r="AC1053" s="83">
        <f t="shared" si="290"/>
        <v>120</v>
      </c>
      <c r="AD1053" s="72">
        <v>120</v>
      </c>
      <c r="AE1053" s="73">
        <f t="shared" si="297"/>
        <v>907.92027688745009</v>
      </c>
      <c r="AF1053" s="73">
        <f>SUM(AE$2:AE1053)</f>
        <v>884323.16534721572</v>
      </c>
      <c r="AG1053" s="73">
        <f t="shared" si="298"/>
        <v>289406.73707989347</v>
      </c>
    </row>
    <row r="1054" spans="1:33" x14ac:dyDescent="0.25">
      <c r="A1054" s="100">
        <v>193499.92</v>
      </c>
      <c r="B1054" s="97">
        <v>870.1155</v>
      </c>
      <c r="C1054" s="97">
        <v>0.6</v>
      </c>
      <c r="D1054" s="80">
        <f t="shared" si="283"/>
        <v>100</v>
      </c>
      <c r="E1054" s="81">
        <f t="shared" si="291"/>
        <v>6791.2436711181272</v>
      </c>
      <c r="F1054" s="81">
        <f>SUM(E$2:E1054)</f>
        <v>6616806.8867056072</v>
      </c>
      <c r="G1054" s="43">
        <f t="shared" si="289"/>
        <v>1</v>
      </c>
      <c r="H1054" s="78">
        <v>1</v>
      </c>
      <c r="I1054" s="15">
        <f t="shared" si="292"/>
        <v>0.6</v>
      </c>
      <c r="J1054" s="16">
        <f>VLOOKUP(G1054,Inputs!$L$3:$P$15,5,FALSE)</f>
        <v>2000</v>
      </c>
      <c r="K1054" s="16">
        <f t="shared" si="293"/>
        <v>1825</v>
      </c>
      <c r="L1054" s="79">
        <f>Inputs!$P$8-B1054</f>
        <v>68.075500000000034</v>
      </c>
      <c r="M1054" s="79">
        <f>Inputs!$Q$8+L1054*0.433</f>
        <v>1854.4766915</v>
      </c>
      <c r="N1054" s="82">
        <f t="shared" si="294"/>
        <v>193499.92</v>
      </c>
      <c r="O1054" s="83">
        <f t="shared" si="295"/>
        <v>870.1155</v>
      </c>
      <c r="P1054" s="84">
        <f>IF(O1054="","",Inputs!$C$5-O1054)</f>
        <v>-44.93100000000004</v>
      </c>
      <c r="Q1054" s="83">
        <f>IF(N1054="","",TS!J1054)</f>
        <v>2000</v>
      </c>
      <c r="R1054" s="83">
        <f>IF(N1054="","",TS!K1054)</f>
        <v>1825</v>
      </c>
      <c r="S1054" s="83">
        <f>Inputs!$H$5+TS!P1054*0.4333</f>
        <v>1855.49711415</v>
      </c>
      <c r="T1054" s="83">
        <f>Inputs!$G$5+TS!P1054*0.4333</f>
        <v>1870.49711415</v>
      </c>
      <c r="U1054" s="85">
        <f t="shared" si="296"/>
        <v>0.93524855707499999</v>
      </c>
      <c r="V1054" s="86">
        <f t="shared" si="284"/>
        <v>0</v>
      </c>
      <c r="W1054" s="86">
        <f t="shared" si="285"/>
        <v>0</v>
      </c>
      <c r="X1054" s="86" t="e">
        <f>((PI()*((42-2*'Gen Calcs'!$E$13)^2)/4)/144)*(A1097-#REF!)*(W1054+14.7)/14.7</f>
        <v>#REF!</v>
      </c>
      <c r="Y1054" s="86" t="e">
        <f t="shared" si="286"/>
        <v>#REF!</v>
      </c>
      <c r="Z1054" s="86" t="e">
        <f t="shared" si="287"/>
        <v>#REF!</v>
      </c>
      <c r="AA1054" s="83">
        <f>MAX(B$2:B1054)-B1054</f>
        <v>68.075500000000034</v>
      </c>
      <c r="AB1054" s="83">
        <f t="shared" si="288"/>
        <v>29.476691500000015</v>
      </c>
      <c r="AC1054" s="83">
        <f t="shared" si="290"/>
        <v>120</v>
      </c>
      <c r="AD1054" s="72">
        <v>120</v>
      </c>
      <c r="AE1054" s="73">
        <f t="shared" si="297"/>
        <v>907.92027688745009</v>
      </c>
      <c r="AF1054" s="73">
        <f>SUM(AE$2:AE1054)</f>
        <v>885231.0856241032</v>
      </c>
      <c r="AG1054" s="73">
        <f t="shared" si="298"/>
        <v>288498.81680300599</v>
      </c>
    </row>
    <row r="1055" spans="1:33" x14ac:dyDescent="0.25">
      <c r="A1055" s="99">
        <v>193599.92</v>
      </c>
      <c r="B1055" s="96">
        <v>870.56820000000005</v>
      </c>
      <c r="C1055" s="96">
        <v>0.6</v>
      </c>
      <c r="D1055" s="80">
        <f t="shared" si="283"/>
        <v>100</v>
      </c>
      <c r="E1055" s="81">
        <f t="shared" si="291"/>
        <v>6791.2436711181272</v>
      </c>
      <c r="F1055" s="81">
        <f>SUM(E$2:E1055)</f>
        <v>6623598.1303767255</v>
      </c>
      <c r="G1055" s="43">
        <f t="shared" si="289"/>
        <v>1</v>
      </c>
      <c r="H1055" s="78">
        <v>1</v>
      </c>
      <c r="I1055" s="15">
        <f t="shared" si="292"/>
        <v>0.6</v>
      </c>
      <c r="J1055" s="16">
        <f>VLOOKUP(G1055,Inputs!$L$3:$P$15,5,FALSE)</f>
        <v>2000</v>
      </c>
      <c r="K1055" s="16">
        <f t="shared" si="293"/>
        <v>1825</v>
      </c>
      <c r="L1055" s="79">
        <f>Inputs!$P$8-B1055</f>
        <v>67.622799999999984</v>
      </c>
      <c r="M1055" s="79">
        <f>Inputs!$Q$8+L1055*0.433</f>
        <v>1854.2806724</v>
      </c>
      <c r="N1055" s="82">
        <f t="shared" si="294"/>
        <v>193599.92</v>
      </c>
      <c r="O1055" s="83">
        <f t="shared" si="295"/>
        <v>870.56820000000005</v>
      </c>
      <c r="P1055" s="84">
        <f>IF(O1055="","",Inputs!$C$5-O1055)</f>
        <v>-45.38370000000009</v>
      </c>
      <c r="Q1055" s="83">
        <f>IF(N1055="","",TS!J1055)</f>
        <v>2000</v>
      </c>
      <c r="R1055" s="83">
        <f>IF(N1055="","",TS!K1055)</f>
        <v>1825</v>
      </c>
      <c r="S1055" s="83">
        <f>Inputs!$H$5+TS!P1055*0.4333</f>
        <v>1855.3009592399999</v>
      </c>
      <c r="T1055" s="83">
        <f>Inputs!$G$5+TS!P1055*0.4333</f>
        <v>1870.3009592399999</v>
      </c>
      <c r="U1055" s="85">
        <f t="shared" si="296"/>
        <v>0.93515047961999997</v>
      </c>
      <c r="V1055" s="86">
        <f t="shared" si="284"/>
        <v>0</v>
      </c>
      <c r="W1055" s="86">
        <f t="shared" si="285"/>
        <v>0</v>
      </c>
      <c r="X1055" s="86" t="e">
        <f>((PI()*((42-2*'Gen Calcs'!$E$13)^2)/4)/144)*(A1098-#REF!)*(W1055+14.7)/14.7</f>
        <v>#REF!</v>
      </c>
      <c r="Y1055" s="86" t="e">
        <f t="shared" si="286"/>
        <v>#REF!</v>
      </c>
      <c r="Z1055" s="86" t="e">
        <f t="shared" si="287"/>
        <v>#REF!</v>
      </c>
      <c r="AA1055" s="83">
        <f>MAX(B$2:B1055)-B1055</f>
        <v>67.622799999999984</v>
      </c>
      <c r="AB1055" s="83">
        <f t="shared" si="288"/>
        <v>29.280672399999993</v>
      </c>
      <c r="AC1055" s="83">
        <f t="shared" si="290"/>
        <v>120</v>
      </c>
      <c r="AD1055" s="72">
        <v>120</v>
      </c>
      <c r="AE1055" s="73">
        <f t="shared" si="297"/>
        <v>907.92027688745009</v>
      </c>
      <c r="AF1055" s="73">
        <f>SUM(AE$2:AE1055)</f>
        <v>886139.00590099068</v>
      </c>
      <c r="AG1055" s="73">
        <f t="shared" si="298"/>
        <v>287590.89652611851</v>
      </c>
    </row>
    <row r="1056" spans="1:33" x14ac:dyDescent="0.25">
      <c r="A1056" s="100">
        <v>193699.92</v>
      </c>
      <c r="B1056" s="97">
        <v>870.39250000000004</v>
      </c>
      <c r="C1056" s="97">
        <v>0.6</v>
      </c>
      <c r="D1056" s="80">
        <f t="shared" si="283"/>
        <v>100</v>
      </c>
      <c r="E1056" s="81">
        <f t="shared" si="291"/>
        <v>6791.2436711181272</v>
      </c>
      <c r="F1056" s="81">
        <f>SUM(E$2:E1056)</f>
        <v>6630389.3740478437</v>
      </c>
      <c r="G1056" s="43">
        <f t="shared" si="289"/>
        <v>1</v>
      </c>
      <c r="H1056" s="78">
        <v>1</v>
      </c>
      <c r="I1056" s="15">
        <f t="shared" si="292"/>
        <v>0.6</v>
      </c>
      <c r="J1056" s="16">
        <f>VLOOKUP(G1056,Inputs!$L$3:$P$15,5,FALSE)</f>
        <v>2000</v>
      </c>
      <c r="K1056" s="16">
        <f t="shared" si="293"/>
        <v>1825</v>
      </c>
      <c r="L1056" s="79">
        <f>Inputs!$P$8-B1056</f>
        <v>67.79849999999999</v>
      </c>
      <c r="M1056" s="79">
        <f>Inputs!$Q$8+L1056*0.433</f>
        <v>1854.3567505000001</v>
      </c>
      <c r="N1056" s="82">
        <f t="shared" si="294"/>
        <v>193699.92</v>
      </c>
      <c r="O1056" s="83">
        <f t="shared" si="295"/>
        <v>870.39250000000004</v>
      </c>
      <c r="P1056" s="84">
        <f>IF(O1056="","",Inputs!$C$5-O1056)</f>
        <v>-45.208000000000084</v>
      </c>
      <c r="Q1056" s="83">
        <f>IF(N1056="","",TS!J1056)</f>
        <v>2000</v>
      </c>
      <c r="R1056" s="83">
        <f>IF(N1056="","",TS!K1056)</f>
        <v>1825</v>
      </c>
      <c r="S1056" s="83">
        <f>Inputs!$H$5+TS!P1056*0.4333</f>
        <v>1855.3770900499999</v>
      </c>
      <c r="T1056" s="83">
        <f>Inputs!$G$5+TS!P1056*0.4333</f>
        <v>1870.3770900499999</v>
      </c>
      <c r="U1056" s="85">
        <f t="shared" si="296"/>
        <v>0.93518854502499993</v>
      </c>
      <c r="V1056" s="86">
        <f t="shared" si="284"/>
        <v>0</v>
      </c>
      <c r="W1056" s="86">
        <f t="shared" si="285"/>
        <v>0</v>
      </c>
      <c r="X1056" s="86" t="e">
        <f>((PI()*((42-2*'Gen Calcs'!$E$13)^2)/4)/144)*(A1099-#REF!)*(W1056+14.7)/14.7</f>
        <v>#REF!</v>
      </c>
      <c r="Y1056" s="86" t="e">
        <f t="shared" si="286"/>
        <v>#REF!</v>
      </c>
      <c r="Z1056" s="86" t="e">
        <f t="shared" si="287"/>
        <v>#REF!</v>
      </c>
      <c r="AA1056" s="83">
        <f>MAX(B$2:B1056)-B1056</f>
        <v>67.79849999999999</v>
      </c>
      <c r="AB1056" s="83">
        <f t="shared" si="288"/>
        <v>29.356750499999997</v>
      </c>
      <c r="AC1056" s="83">
        <f t="shared" si="290"/>
        <v>120</v>
      </c>
      <c r="AD1056" s="72">
        <v>120</v>
      </c>
      <c r="AE1056" s="73">
        <f t="shared" si="297"/>
        <v>907.92027688745009</v>
      </c>
      <c r="AF1056" s="73">
        <f>SUM(AE$2:AE1056)</f>
        <v>887046.92617787817</v>
      </c>
      <c r="AG1056" s="73">
        <f t="shared" si="298"/>
        <v>286682.97624923103</v>
      </c>
    </row>
    <row r="1057" spans="1:33" x14ac:dyDescent="0.25">
      <c r="A1057" s="99">
        <v>193799.92</v>
      </c>
      <c r="B1057" s="96">
        <v>869.79669999999999</v>
      </c>
      <c r="C1057" s="96">
        <v>0.6</v>
      </c>
      <c r="D1057" s="80">
        <f t="shared" ref="D1057:D1120" si="299">A1057-A1056</f>
        <v>100</v>
      </c>
      <c r="E1057" s="81">
        <f t="shared" si="291"/>
        <v>6791.2436711181272</v>
      </c>
      <c r="F1057" s="81">
        <f>SUM(E$2:E1057)</f>
        <v>6637180.617718962</v>
      </c>
      <c r="G1057" s="43">
        <f t="shared" si="289"/>
        <v>1</v>
      </c>
      <c r="H1057" s="78">
        <v>1</v>
      </c>
      <c r="I1057" s="15">
        <f t="shared" si="292"/>
        <v>0.6</v>
      </c>
      <c r="J1057" s="16">
        <f>VLOOKUP(G1057,Inputs!$L$3:$P$15,5,FALSE)</f>
        <v>2000</v>
      </c>
      <c r="K1057" s="16">
        <f t="shared" si="293"/>
        <v>1825</v>
      </c>
      <c r="L1057" s="79">
        <f>Inputs!$P$8-B1057</f>
        <v>68.394300000000044</v>
      </c>
      <c r="M1057" s="79">
        <f>Inputs!$Q$8+L1057*0.433</f>
        <v>1854.6147318999999</v>
      </c>
      <c r="N1057" s="82">
        <f t="shared" si="294"/>
        <v>193799.92</v>
      </c>
      <c r="O1057" s="83">
        <f t="shared" si="295"/>
        <v>869.79669999999999</v>
      </c>
      <c r="P1057" s="84">
        <f>IF(O1057="","",Inputs!$C$5-O1057)</f>
        <v>-44.61220000000003</v>
      </c>
      <c r="Q1057" s="83">
        <f>IF(N1057="","",TS!J1057)</f>
        <v>2000</v>
      </c>
      <c r="R1057" s="83">
        <f>IF(N1057="","",TS!K1057)</f>
        <v>1825</v>
      </c>
      <c r="S1057" s="83">
        <f>Inputs!$H$5+TS!P1057*0.4333</f>
        <v>1855.6352501899999</v>
      </c>
      <c r="T1057" s="83">
        <f>Inputs!$G$5+TS!P1057*0.4333</f>
        <v>1870.6352501899999</v>
      </c>
      <c r="U1057" s="85">
        <f t="shared" si="296"/>
        <v>0.93531762509499994</v>
      </c>
      <c r="V1057" s="86">
        <f t="shared" si="284"/>
        <v>0</v>
      </c>
      <c r="W1057" s="86">
        <f t="shared" si="285"/>
        <v>0</v>
      </c>
      <c r="X1057" s="86" t="e">
        <f>((PI()*((42-2*'Gen Calcs'!$E$13)^2)/4)/144)*(A1100-#REF!)*(W1057+14.7)/14.7</f>
        <v>#REF!</v>
      </c>
      <c r="Y1057" s="86" t="e">
        <f t="shared" si="286"/>
        <v>#REF!</v>
      </c>
      <c r="Z1057" s="86" t="e">
        <f t="shared" si="287"/>
        <v>#REF!</v>
      </c>
      <c r="AA1057" s="83">
        <f>MAX(B$2:B1057)-B1057</f>
        <v>68.394300000000044</v>
      </c>
      <c r="AB1057" s="83">
        <f t="shared" si="288"/>
        <v>29.61473190000002</v>
      </c>
      <c r="AC1057" s="83">
        <f t="shared" si="290"/>
        <v>120</v>
      </c>
      <c r="AD1057" s="72">
        <v>120</v>
      </c>
      <c r="AE1057" s="73">
        <f t="shared" si="297"/>
        <v>907.92027688745009</v>
      </c>
      <c r="AF1057" s="73">
        <f>SUM(AE$2:AE1057)</f>
        <v>887954.84645476565</v>
      </c>
      <c r="AG1057" s="73">
        <f t="shared" si="298"/>
        <v>285775.05597234354</v>
      </c>
    </row>
    <row r="1058" spans="1:33" x14ac:dyDescent="0.25">
      <c r="A1058" s="100">
        <v>193899.92</v>
      </c>
      <c r="B1058" s="97">
        <v>869.46630000000005</v>
      </c>
      <c r="C1058" s="97">
        <v>0.6</v>
      </c>
      <c r="D1058" s="80">
        <f t="shared" si="299"/>
        <v>100</v>
      </c>
      <c r="E1058" s="81">
        <f t="shared" si="291"/>
        <v>6791.2436711181272</v>
      </c>
      <c r="F1058" s="81">
        <f>SUM(E$2:E1058)</f>
        <v>6643971.8613900803</v>
      </c>
      <c r="G1058" s="43">
        <f t="shared" si="289"/>
        <v>1</v>
      </c>
      <c r="H1058" s="78">
        <v>1</v>
      </c>
      <c r="I1058" s="15">
        <f t="shared" si="292"/>
        <v>0.6</v>
      </c>
      <c r="J1058" s="16">
        <f>VLOOKUP(G1058,Inputs!$L$3:$P$15,5,FALSE)</f>
        <v>2000</v>
      </c>
      <c r="K1058" s="16">
        <f t="shared" si="293"/>
        <v>1825</v>
      </c>
      <c r="L1058" s="79">
        <f>Inputs!$P$8-B1058</f>
        <v>68.724699999999984</v>
      </c>
      <c r="M1058" s="79">
        <f>Inputs!$Q$8+L1058*0.433</f>
        <v>1854.7577951000001</v>
      </c>
      <c r="N1058" s="82">
        <f t="shared" si="294"/>
        <v>193899.92</v>
      </c>
      <c r="O1058" s="83">
        <f t="shared" si="295"/>
        <v>869.46630000000005</v>
      </c>
      <c r="P1058" s="84">
        <f>IF(O1058="","",Inputs!$C$5-O1058)</f>
        <v>-44.281800000000089</v>
      </c>
      <c r="Q1058" s="83">
        <f>IF(N1058="","",TS!J1058)</f>
        <v>2000</v>
      </c>
      <c r="R1058" s="83">
        <f>IF(N1058="","",TS!K1058)</f>
        <v>1825</v>
      </c>
      <c r="S1058" s="83">
        <f>Inputs!$H$5+TS!P1058*0.4333</f>
        <v>1855.77841251</v>
      </c>
      <c r="T1058" s="83">
        <f>Inputs!$G$5+TS!P1058*0.4333</f>
        <v>1870.77841251</v>
      </c>
      <c r="U1058" s="85">
        <f t="shared" si="296"/>
        <v>0.93538920625499999</v>
      </c>
      <c r="V1058" s="86">
        <f t="shared" si="284"/>
        <v>0</v>
      </c>
      <c r="W1058" s="86">
        <f t="shared" si="285"/>
        <v>0</v>
      </c>
      <c r="X1058" s="86" t="e">
        <f>((PI()*((42-2*'Gen Calcs'!$E$13)^2)/4)/144)*(A1101-#REF!)*(W1058+14.7)/14.7</f>
        <v>#REF!</v>
      </c>
      <c r="Y1058" s="86" t="e">
        <f t="shared" si="286"/>
        <v>#REF!</v>
      </c>
      <c r="Z1058" s="86" t="e">
        <f t="shared" si="287"/>
        <v>#REF!</v>
      </c>
      <c r="AA1058" s="83">
        <f>MAX(B$2:B1058)-B1058</f>
        <v>68.724699999999984</v>
      </c>
      <c r="AB1058" s="83">
        <f t="shared" si="288"/>
        <v>29.757795099999992</v>
      </c>
      <c r="AC1058" s="83">
        <f t="shared" si="290"/>
        <v>120</v>
      </c>
      <c r="AD1058" s="72">
        <v>120</v>
      </c>
      <c r="AE1058" s="73">
        <f t="shared" si="297"/>
        <v>907.92027688745009</v>
      </c>
      <c r="AF1058" s="73">
        <f>SUM(AE$2:AE1058)</f>
        <v>888862.76673165313</v>
      </c>
      <c r="AG1058" s="73">
        <f t="shared" si="298"/>
        <v>284867.13569545606</v>
      </c>
    </row>
    <row r="1059" spans="1:33" x14ac:dyDescent="0.25">
      <c r="A1059" s="99">
        <v>193999.92</v>
      </c>
      <c r="B1059" s="96">
        <v>870.15639999999996</v>
      </c>
      <c r="C1059" s="96">
        <v>0.6</v>
      </c>
      <c r="D1059" s="80">
        <f t="shared" si="299"/>
        <v>100</v>
      </c>
      <c r="E1059" s="81">
        <f t="shared" si="291"/>
        <v>6791.2436711181272</v>
      </c>
      <c r="F1059" s="81">
        <f>SUM(E$2:E1059)</f>
        <v>6650763.1050611986</v>
      </c>
      <c r="G1059" s="43">
        <f t="shared" si="289"/>
        <v>1</v>
      </c>
      <c r="H1059" s="78">
        <v>1</v>
      </c>
      <c r="I1059" s="15">
        <f t="shared" si="292"/>
        <v>0.6</v>
      </c>
      <c r="J1059" s="16">
        <f>VLOOKUP(G1059,Inputs!$L$3:$P$15,5,FALSE)</f>
        <v>2000</v>
      </c>
      <c r="K1059" s="16">
        <f t="shared" si="293"/>
        <v>1825</v>
      </c>
      <c r="L1059" s="79">
        <f>Inputs!$P$8-B1059</f>
        <v>68.034600000000069</v>
      </c>
      <c r="M1059" s="79">
        <f>Inputs!$Q$8+L1059*0.433</f>
        <v>1854.4589817999999</v>
      </c>
      <c r="N1059" s="82">
        <f t="shared" si="294"/>
        <v>193999.92</v>
      </c>
      <c r="O1059" s="83">
        <f t="shared" si="295"/>
        <v>870.15639999999996</v>
      </c>
      <c r="P1059" s="84">
        <f>IF(O1059="","",Inputs!$C$5-O1059)</f>
        <v>-44.971900000000005</v>
      </c>
      <c r="Q1059" s="83">
        <f>IF(N1059="","",TS!J1059)</f>
        <v>2000</v>
      </c>
      <c r="R1059" s="83">
        <f>IF(N1059="","",TS!K1059)</f>
        <v>1825</v>
      </c>
      <c r="S1059" s="83">
        <f>Inputs!$H$5+TS!P1059*0.4333</f>
        <v>1855.4793921799999</v>
      </c>
      <c r="T1059" s="83">
        <f>Inputs!$G$5+TS!P1059*0.4333</f>
        <v>1870.4793921799999</v>
      </c>
      <c r="U1059" s="85">
        <f t="shared" si="296"/>
        <v>0.93523969608999991</v>
      </c>
      <c r="V1059" s="86">
        <f t="shared" si="284"/>
        <v>0</v>
      </c>
      <c r="W1059" s="86">
        <f t="shared" si="285"/>
        <v>0</v>
      </c>
      <c r="X1059" s="86" t="e">
        <f>((PI()*((42-2*'Gen Calcs'!$E$13)^2)/4)/144)*(A1102-#REF!)*(W1059+14.7)/14.7</f>
        <v>#REF!</v>
      </c>
      <c r="Y1059" s="86" t="e">
        <f t="shared" si="286"/>
        <v>#REF!</v>
      </c>
      <c r="Z1059" s="86" t="e">
        <f t="shared" si="287"/>
        <v>#REF!</v>
      </c>
      <c r="AA1059" s="83">
        <f>MAX(B$2:B1059)-B1059</f>
        <v>68.034600000000069</v>
      </c>
      <c r="AB1059" s="83">
        <f t="shared" si="288"/>
        <v>29.458981800000029</v>
      </c>
      <c r="AC1059" s="83">
        <f t="shared" si="290"/>
        <v>120</v>
      </c>
      <c r="AD1059" s="72">
        <v>120</v>
      </c>
      <c r="AE1059" s="73">
        <f t="shared" si="297"/>
        <v>907.92027688745009</v>
      </c>
      <c r="AF1059" s="73">
        <f>SUM(AE$2:AE1059)</f>
        <v>889770.68700854061</v>
      </c>
      <c r="AG1059" s="73">
        <f t="shared" si="298"/>
        <v>283959.21541856858</v>
      </c>
    </row>
    <row r="1060" spans="1:33" x14ac:dyDescent="0.25">
      <c r="A1060" s="100">
        <v>194099.92</v>
      </c>
      <c r="B1060" s="97">
        <v>869.12850000000003</v>
      </c>
      <c r="C1060" s="97">
        <v>0.6</v>
      </c>
      <c r="D1060" s="80">
        <f t="shared" si="299"/>
        <v>100</v>
      </c>
      <c r="E1060" s="81">
        <f t="shared" si="291"/>
        <v>6791.2436711181272</v>
      </c>
      <c r="F1060" s="81">
        <f>SUM(E$2:E1060)</f>
        <v>6657554.3487323169</v>
      </c>
      <c r="G1060" s="43">
        <f t="shared" si="289"/>
        <v>1</v>
      </c>
      <c r="H1060" s="78">
        <v>1</v>
      </c>
      <c r="I1060" s="15">
        <f t="shared" si="292"/>
        <v>0.6</v>
      </c>
      <c r="J1060" s="16">
        <f>VLOOKUP(G1060,Inputs!$L$3:$P$15,5,FALSE)</f>
        <v>2000</v>
      </c>
      <c r="K1060" s="16">
        <f t="shared" si="293"/>
        <v>1825</v>
      </c>
      <c r="L1060" s="79">
        <f>Inputs!$P$8-B1060</f>
        <v>69.0625</v>
      </c>
      <c r="M1060" s="79">
        <f>Inputs!$Q$8+L1060*0.433</f>
        <v>1854.9040625</v>
      </c>
      <c r="N1060" s="82">
        <f t="shared" si="294"/>
        <v>194099.92</v>
      </c>
      <c r="O1060" s="83">
        <f t="shared" si="295"/>
        <v>869.12850000000003</v>
      </c>
      <c r="P1060" s="84">
        <f>IF(O1060="","",Inputs!$C$5-O1060)</f>
        <v>-43.944000000000074</v>
      </c>
      <c r="Q1060" s="83">
        <f>IF(N1060="","",TS!J1060)</f>
        <v>2000</v>
      </c>
      <c r="R1060" s="83">
        <f>IF(N1060="","",TS!K1060)</f>
        <v>1825</v>
      </c>
      <c r="S1060" s="83">
        <f>Inputs!$H$5+TS!P1060*0.4333</f>
        <v>1855.92478125</v>
      </c>
      <c r="T1060" s="83">
        <f>Inputs!$G$5+TS!P1060*0.4333</f>
        <v>1870.92478125</v>
      </c>
      <c r="U1060" s="85">
        <f t="shared" si="296"/>
        <v>0.93546239062500003</v>
      </c>
      <c r="V1060" s="86">
        <f t="shared" si="284"/>
        <v>0</v>
      </c>
      <c r="W1060" s="86">
        <f t="shared" si="285"/>
        <v>0</v>
      </c>
      <c r="X1060" s="86" t="e">
        <f>((PI()*((42-2*'Gen Calcs'!$E$13)^2)/4)/144)*(A1103-#REF!)*(W1060+14.7)/14.7</f>
        <v>#REF!</v>
      </c>
      <c r="Y1060" s="86" t="e">
        <f t="shared" si="286"/>
        <v>#REF!</v>
      </c>
      <c r="Z1060" s="86" t="e">
        <f t="shared" si="287"/>
        <v>#REF!</v>
      </c>
      <c r="AA1060" s="83">
        <f>MAX(B$2:B1060)-B1060</f>
        <v>69.0625</v>
      </c>
      <c r="AB1060" s="83">
        <f t="shared" si="288"/>
        <v>29.904062499999998</v>
      </c>
      <c r="AC1060" s="83">
        <f t="shared" si="290"/>
        <v>120</v>
      </c>
      <c r="AD1060" s="72">
        <v>120</v>
      </c>
      <c r="AE1060" s="73">
        <f t="shared" si="297"/>
        <v>907.92027688745009</v>
      </c>
      <c r="AF1060" s="73">
        <f>SUM(AE$2:AE1060)</f>
        <v>890678.60728542809</v>
      </c>
      <c r="AG1060" s="73">
        <f t="shared" si="298"/>
        <v>283051.2951416811</v>
      </c>
    </row>
    <row r="1061" spans="1:33" x14ac:dyDescent="0.25">
      <c r="A1061" s="99">
        <v>194199.92</v>
      </c>
      <c r="B1061" s="96">
        <v>868.1114</v>
      </c>
      <c r="C1061" s="96">
        <v>0.6</v>
      </c>
      <c r="D1061" s="80">
        <f t="shared" si="299"/>
        <v>100</v>
      </c>
      <c r="E1061" s="81">
        <f t="shared" si="291"/>
        <v>6791.2436711181272</v>
      </c>
      <c r="F1061" s="81">
        <f>SUM(E$2:E1061)</f>
        <v>6664345.5924034351</v>
      </c>
      <c r="G1061" s="43">
        <f t="shared" si="289"/>
        <v>1</v>
      </c>
      <c r="H1061" s="78">
        <v>1</v>
      </c>
      <c r="I1061" s="15">
        <f t="shared" si="292"/>
        <v>0.6</v>
      </c>
      <c r="J1061" s="16">
        <f>VLOOKUP(G1061,Inputs!$L$3:$P$15,5,FALSE)</f>
        <v>2000</v>
      </c>
      <c r="K1061" s="16">
        <f t="shared" si="293"/>
        <v>1825</v>
      </c>
      <c r="L1061" s="79">
        <f>Inputs!$P$8-B1061</f>
        <v>70.079600000000028</v>
      </c>
      <c r="M1061" s="79">
        <f>Inputs!$Q$8+L1061*0.433</f>
        <v>1855.3444668</v>
      </c>
      <c r="N1061" s="82">
        <f t="shared" si="294"/>
        <v>194199.92</v>
      </c>
      <c r="O1061" s="83">
        <f t="shared" si="295"/>
        <v>868.1114</v>
      </c>
      <c r="P1061" s="84">
        <f>IF(O1061="","",Inputs!$C$5-O1061)</f>
        <v>-42.926900000000046</v>
      </c>
      <c r="Q1061" s="83">
        <f>IF(N1061="","",TS!J1061)</f>
        <v>2000</v>
      </c>
      <c r="R1061" s="83">
        <f>IF(N1061="","",TS!K1061)</f>
        <v>1825</v>
      </c>
      <c r="S1061" s="83">
        <f>Inputs!$H$5+TS!P1061*0.4333</f>
        <v>1856.36549068</v>
      </c>
      <c r="T1061" s="83">
        <f>Inputs!$G$5+TS!P1061*0.4333</f>
        <v>1871.36549068</v>
      </c>
      <c r="U1061" s="85">
        <f t="shared" si="296"/>
        <v>0.93568274533999996</v>
      </c>
      <c r="V1061" s="86">
        <f t="shared" si="284"/>
        <v>0</v>
      </c>
      <c r="W1061" s="86">
        <f t="shared" si="285"/>
        <v>0</v>
      </c>
      <c r="X1061" s="86" t="e">
        <f>((PI()*((42-2*'Gen Calcs'!$E$13)^2)/4)/144)*(A1104-#REF!)*(W1061+14.7)/14.7</f>
        <v>#REF!</v>
      </c>
      <c r="Y1061" s="86" t="e">
        <f t="shared" si="286"/>
        <v>#REF!</v>
      </c>
      <c r="Z1061" s="86" t="e">
        <f t="shared" si="287"/>
        <v>#REF!</v>
      </c>
      <c r="AA1061" s="83">
        <f>MAX(B$2:B1061)-B1061</f>
        <v>70.079600000000028</v>
      </c>
      <c r="AB1061" s="83">
        <f t="shared" si="288"/>
        <v>30.34446680000001</v>
      </c>
      <c r="AC1061" s="83">
        <f t="shared" si="290"/>
        <v>120</v>
      </c>
      <c r="AD1061" s="72">
        <v>120</v>
      </c>
      <c r="AE1061" s="73">
        <f t="shared" si="297"/>
        <v>907.92027688745009</v>
      </c>
      <c r="AF1061" s="73">
        <f>SUM(AE$2:AE1061)</f>
        <v>891586.52756231558</v>
      </c>
      <c r="AG1061" s="73">
        <f t="shared" si="298"/>
        <v>282143.37486479362</v>
      </c>
    </row>
    <row r="1062" spans="1:33" x14ac:dyDescent="0.25">
      <c r="A1062" s="100">
        <v>194299.92</v>
      </c>
      <c r="B1062" s="97">
        <v>867.40660000000003</v>
      </c>
      <c r="C1062" s="97">
        <v>0.6</v>
      </c>
      <c r="D1062" s="80">
        <f t="shared" si="299"/>
        <v>100</v>
      </c>
      <c r="E1062" s="81">
        <f t="shared" si="291"/>
        <v>6791.2436711181272</v>
      </c>
      <c r="F1062" s="81">
        <f>SUM(E$2:E1062)</f>
        <v>6671136.8360745534</v>
      </c>
      <c r="G1062" s="43">
        <f t="shared" si="289"/>
        <v>1</v>
      </c>
      <c r="H1062" s="78">
        <v>1</v>
      </c>
      <c r="I1062" s="15">
        <f t="shared" si="292"/>
        <v>0.6</v>
      </c>
      <c r="J1062" s="16">
        <f>VLOOKUP(G1062,Inputs!$L$3:$P$15,5,FALSE)</f>
        <v>2000</v>
      </c>
      <c r="K1062" s="16">
        <f t="shared" si="293"/>
        <v>1825</v>
      </c>
      <c r="L1062" s="79">
        <f>Inputs!$P$8-B1062</f>
        <v>70.784400000000005</v>
      </c>
      <c r="M1062" s="79">
        <f>Inputs!$Q$8+L1062*0.433</f>
        <v>1855.6496451999999</v>
      </c>
      <c r="N1062" s="82">
        <f t="shared" si="294"/>
        <v>194299.92</v>
      </c>
      <c r="O1062" s="83">
        <f t="shared" si="295"/>
        <v>867.40660000000003</v>
      </c>
      <c r="P1062" s="84">
        <f>IF(O1062="","",Inputs!$C$5-O1062)</f>
        <v>-42.222100000000069</v>
      </c>
      <c r="Q1062" s="83">
        <f>IF(N1062="","",TS!J1062)</f>
        <v>2000</v>
      </c>
      <c r="R1062" s="83">
        <f>IF(N1062="","",TS!K1062)</f>
        <v>1825</v>
      </c>
      <c r="S1062" s="83">
        <f>Inputs!$H$5+TS!P1062*0.4333</f>
        <v>1856.6708805199999</v>
      </c>
      <c r="T1062" s="83">
        <f>Inputs!$G$5+TS!P1062*0.4333</f>
        <v>1871.6708805199999</v>
      </c>
      <c r="U1062" s="85">
        <f t="shared" si="296"/>
        <v>0.93583544025999987</v>
      </c>
      <c r="V1062" s="86">
        <f t="shared" si="284"/>
        <v>0</v>
      </c>
      <c r="W1062" s="86">
        <f t="shared" si="285"/>
        <v>0</v>
      </c>
      <c r="X1062" s="86" t="e">
        <f>((PI()*((42-2*'Gen Calcs'!$E$13)^2)/4)/144)*(A1105-#REF!)*(W1062+14.7)/14.7</f>
        <v>#REF!</v>
      </c>
      <c r="Y1062" s="86" t="e">
        <f t="shared" si="286"/>
        <v>#REF!</v>
      </c>
      <c r="Z1062" s="86" t="e">
        <f t="shared" si="287"/>
        <v>#REF!</v>
      </c>
      <c r="AA1062" s="83">
        <f>MAX(B$2:B1062)-B1062</f>
        <v>70.784400000000005</v>
      </c>
      <c r="AB1062" s="83">
        <f t="shared" si="288"/>
        <v>30.649645200000002</v>
      </c>
      <c r="AC1062" s="83">
        <f t="shared" si="290"/>
        <v>120</v>
      </c>
      <c r="AD1062" s="72">
        <v>120</v>
      </c>
      <c r="AE1062" s="73">
        <f t="shared" si="297"/>
        <v>907.92027688745009</v>
      </c>
      <c r="AF1062" s="73">
        <f>SUM(AE$2:AE1062)</f>
        <v>892494.44783920306</v>
      </c>
      <c r="AG1062" s="73">
        <f t="shared" si="298"/>
        <v>281235.45458790613</v>
      </c>
    </row>
    <row r="1063" spans="1:33" x14ac:dyDescent="0.25">
      <c r="A1063" s="99">
        <v>194399.92</v>
      </c>
      <c r="B1063" s="96">
        <v>866.69399999999996</v>
      </c>
      <c r="C1063" s="96">
        <v>0.6</v>
      </c>
      <c r="D1063" s="80">
        <f t="shared" si="299"/>
        <v>100</v>
      </c>
      <c r="E1063" s="81">
        <f t="shared" si="291"/>
        <v>6791.2436711181272</v>
      </c>
      <c r="F1063" s="81">
        <f>SUM(E$2:E1063)</f>
        <v>6677928.0797456717</v>
      </c>
      <c r="G1063" s="43">
        <f t="shared" si="289"/>
        <v>1</v>
      </c>
      <c r="H1063" s="78">
        <v>1</v>
      </c>
      <c r="I1063" s="15">
        <f t="shared" si="292"/>
        <v>0.6</v>
      </c>
      <c r="J1063" s="16">
        <f>VLOOKUP(G1063,Inputs!$L$3:$P$15,5,FALSE)</f>
        <v>2000</v>
      </c>
      <c r="K1063" s="16">
        <f t="shared" si="293"/>
        <v>1825</v>
      </c>
      <c r="L1063" s="79">
        <f>Inputs!$P$8-B1063</f>
        <v>71.497000000000071</v>
      </c>
      <c r="M1063" s="79">
        <f>Inputs!$Q$8+L1063*0.433</f>
        <v>1855.9582009999999</v>
      </c>
      <c r="N1063" s="82">
        <f t="shared" si="294"/>
        <v>194399.92</v>
      </c>
      <c r="O1063" s="83">
        <f t="shared" si="295"/>
        <v>866.69399999999996</v>
      </c>
      <c r="P1063" s="84">
        <f>IF(O1063="","",Inputs!$C$5-O1063)</f>
        <v>-41.509500000000003</v>
      </c>
      <c r="Q1063" s="83">
        <f>IF(N1063="","",TS!J1063)</f>
        <v>2000</v>
      </c>
      <c r="R1063" s="83">
        <f>IF(N1063="","",TS!K1063)</f>
        <v>1825</v>
      </c>
      <c r="S1063" s="83">
        <f>Inputs!$H$5+TS!P1063*0.4333</f>
        <v>1856.9796500999998</v>
      </c>
      <c r="T1063" s="83">
        <f>Inputs!$G$5+TS!P1063*0.4333</f>
        <v>1871.9796500999998</v>
      </c>
      <c r="U1063" s="85">
        <f t="shared" si="296"/>
        <v>0.93598982504999995</v>
      </c>
      <c r="V1063" s="86">
        <f t="shared" si="284"/>
        <v>0</v>
      </c>
      <c r="W1063" s="86">
        <f t="shared" si="285"/>
        <v>0</v>
      </c>
      <c r="X1063" s="86" t="e">
        <f>((PI()*((42-2*'Gen Calcs'!$E$13)^2)/4)/144)*(A1106-#REF!)*(W1063+14.7)/14.7</f>
        <v>#REF!</v>
      </c>
      <c r="Y1063" s="86" t="e">
        <f t="shared" si="286"/>
        <v>#REF!</v>
      </c>
      <c r="Z1063" s="86" t="e">
        <f t="shared" si="287"/>
        <v>#REF!</v>
      </c>
      <c r="AA1063" s="83">
        <f>MAX(B$2:B1063)-B1063</f>
        <v>71.497000000000071</v>
      </c>
      <c r="AB1063" s="83">
        <f t="shared" si="288"/>
        <v>30.958201000000031</v>
      </c>
      <c r="AC1063" s="83">
        <f t="shared" si="290"/>
        <v>120</v>
      </c>
      <c r="AD1063" s="72">
        <v>120</v>
      </c>
      <c r="AE1063" s="73">
        <f t="shared" si="297"/>
        <v>907.92027688745009</v>
      </c>
      <c r="AF1063" s="73">
        <f>SUM(AE$2:AE1063)</f>
        <v>893402.36811609054</v>
      </c>
      <c r="AG1063" s="73">
        <f t="shared" si="298"/>
        <v>280327.53431101865</v>
      </c>
    </row>
    <row r="1064" spans="1:33" x14ac:dyDescent="0.25">
      <c r="A1064" s="100">
        <v>194499.92</v>
      </c>
      <c r="B1064" s="97">
        <v>865.73889999999994</v>
      </c>
      <c r="C1064" s="97">
        <v>0.6</v>
      </c>
      <c r="D1064" s="80">
        <f t="shared" si="299"/>
        <v>100</v>
      </c>
      <c r="E1064" s="81">
        <f t="shared" si="291"/>
        <v>6791.2436711181272</v>
      </c>
      <c r="F1064" s="81">
        <f>SUM(E$2:E1064)</f>
        <v>6684719.32341679</v>
      </c>
      <c r="G1064" s="43">
        <f t="shared" si="289"/>
        <v>1</v>
      </c>
      <c r="H1064" s="78">
        <v>1</v>
      </c>
      <c r="I1064" s="15">
        <f t="shared" si="292"/>
        <v>0.6</v>
      </c>
      <c r="J1064" s="16">
        <f>VLOOKUP(G1064,Inputs!$L$3:$P$15,5,FALSE)</f>
        <v>2000</v>
      </c>
      <c r="K1064" s="16">
        <f t="shared" si="293"/>
        <v>1825</v>
      </c>
      <c r="L1064" s="79">
        <f>Inputs!$P$8-B1064</f>
        <v>72.452100000000087</v>
      </c>
      <c r="M1064" s="79">
        <f>Inputs!$Q$8+L1064*0.433</f>
        <v>1856.3717593000001</v>
      </c>
      <c r="N1064" s="82">
        <f t="shared" si="294"/>
        <v>194499.92</v>
      </c>
      <c r="O1064" s="83">
        <f t="shared" si="295"/>
        <v>865.73889999999994</v>
      </c>
      <c r="P1064" s="84">
        <f>IF(O1064="","",Inputs!$C$5-O1064)</f>
        <v>-40.554399999999987</v>
      </c>
      <c r="Q1064" s="83">
        <f>IF(N1064="","",TS!J1064)</f>
        <v>2000</v>
      </c>
      <c r="R1064" s="83">
        <f>IF(N1064="","",TS!K1064)</f>
        <v>1825</v>
      </c>
      <c r="S1064" s="83">
        <f>Inputs!$H$5+TS!P1064*0.4333</f>
        <v>1857.3934949299999</v>
      </c>
      <c r="T1064" s="83">
        <f>Inputs!$G$5+TS!P1064*0.4333</f>
        <v>1872.3934949299999</v>
      </c>
      <c r="U1064" s="85">
        <f t="shared" si="296"/>
        <v>0.93619674746499992</v>
      </c>
      <c r="V1064" s="86">
        <f t="shared" si="284"/>
        <v>0</v>
      </c>
      <c r="W1064" s="86">
        <f t="shared" si="285"/>
        <v>0</v>
      </c>
      <c r="X1064" s="86" t="e">
        <f>((PI()*((42-2*'Gen Calcs'!$E$13)^2)/4)/144)*(A1107-#REF!)*(W1064+14.7)/14.7</f>
        <v>#REF!</v>
      </c>
      <c r="Y1064" s="86" t="e">
        <f t="shared" si="286"/>
        <v>#REF!</v>
      </c>
      <c r="Z1064" s="86" t="e">
        <f t="shared" si="287"/>
        <v>#REF!</v>
      </c>
      <c r="AA1064" s="83">
        <f>MAX(B$2:B1064)-B1064</f>
        <v>72.452100000000087</v>
      </c>
      <c r="AB1064" s="83">
        <f t="shared" si="288"/>
        <v>31.371759300000036</v>
      </c>
      <c r="AC1064" s="83">
        <f t="shared" si="290"/>
        <v>120</v>
      </c>
      <c r="AD1064" s="72">
        <v>120</v>
      </c>
      <c r="AE1064" s="73">
        <f t="shared" si="297"/>
        <v>907.92027688745009</v>
      </c>
      <c r="AF1064" s="73">
        <f>SUM(AE$2:AE1064)</f>
        <v>894310.28839297802</v>
      </c>
      <c r="AG1064" s="73">
        <f t="shared" si="298"/>
        <v>279419.61403413117</v>
      </c>
    </row>
    <row r="1065" spans="1:33" x14ac:dyDescent="0.25">
      <c r="A1065" s="99">
        <v>194599.92</v>
      </c>
      <c r="B1065" s="96">
        <v>864.74929999999995</v>
      </c>
      <c r="C1065" s="96">
        <v>0.6</v>
      </c>
      <c r="D1065" s="80">
        <f t="shared" si="299"/>
        <v>100</v>
      </c>
      <c r="E1065" s="81">
        <f t="shared" si="291"/>
        <v>6791.2436711181272</v>
      </c>
      <c r="F1065" s="81">
        <f>SUM(E$2:E1065)</f>
        <v>6691510.5670879083</v>
      </c>
      <c r="G1065" s="43">
        <f t="shared" si="289"/>
        <v>1</v>
      </c>
      <c r="H1065" s="78">
        <v>1</v>
      </c>
      <c r="I1065" s="15">
        <f t="shared" si="292"/>
        <v>0.6</v>
      </c>
      <c r="J1065" s="16">
        <f>VLOOKUP(G1065,Inputs!$L$3:$P$15,5,FALSE)</f>
        <v>2000</v>
      </c>
      <c r="K1065" s="16">
        <f t="shared" si="293"/>
        <v>1825</v>
      </c>
      <c r="L1065" s="79">
        <f>Inputs!$P$8-B1065</f>
        <v>73.441700000000083</v>
      </c>
      <c r="M1065" s="79">
        <f>Inputs!$Q$8+L1065*0.433</f>
        <v>1856.8002561000001</v>
      </c>
      <c r="N1065" s="82">
        <f t="shared" si="294"/>
        <v>194599.92</v>
      </c>
      <c r="O1065" s="83">
        <f t="shared" si="295"/>
        <v>864.74929999999995</v>
      </c>
      <c r="P1065" s="84">
        <f>IF(O1065="","",Inputs!$C$5-O1065)</f>
        <v>-39.564799999999991</v>
      </c>
      <c r="Q1065" s="83">
        <f>IF(N1065="","",TS!J1065)</f>
        <v>2000</v>
      </c>
      <c r="R1065" s="83">
        <f>IF(N1065="","",TS!K1065)</f>
        <v>1825</v>
      </c>
      <c r="S1065" s="83">
        <f>Inputs!$H$5+TS!P1065*0.4333</f>
        <v>1857.82228861</v>
      </c>
      <c r="T1065" s="83">
        <f>Inputs!$G$5+TS!P1065*0.4333</f>
        <v>1872.82228861</v>
      </c>
      <c r="U1065" s="85">
        <f t="shared" si="296"/>
        <v>0.93641114430499994</v>
      </c>
      <c r="V1065" s="86">
        <f t="shared" si="284"/>
        <v>0</v>
      </c>
      <c r="W1065" s="86">
        <f t="shared" si="285"/>
        <v>0</v>
      </c>
      <c r="X1065" s="86" t="e">
        <f>((PI()*((42-2*'Gen Calcs'!$E$13)^2)/4)/144)*(A1108-#REF!)*(W1065+14.7)/14.7</f>
        <v>#REF!</v>
      </c>
      <c r="Y1065" s="86" t="e">
        <f t="shared" si="286"/>
        <v>#REF!</v>
      </c>
      <c r="Z1065" s="86" t="e">
        <f t="shared" si="287"/>
        <v>#REF!</v>
      </c>
      <c r="AA1065" s="83">
        <f>MAX(B$2:B1065)-B1065</f>
        <v>73.441700000000083</v>
      </c>
      <c r="AB1065" s="83">
        <f t="shared" si="288"/>
        <v>31.800256100000034</v>
      </c>
      <c r="AC1065" s="83">
        <f t="shared" si="290"/>
        <v>120</v>
      </c>
      <c r="AD1065" s="72">
        <v>120</v>
      </c>
      <c r="AE1065" s="73">
        <f t="shared" si="297"/>
        <v>907.92027688745009</v>
      </c>
      <c r="AF1065" s="73">
        <f>SUM(AE$2:AE1065)</f>
        <v>895218.2086698655</v>
      </c>
      <c r="AG1065" s="73">
        <f t="shared" si="298"/>
        <v>278511.69375724369</v>
      </c>
    </row>
    <row r="1066" spans="1:33" x14ac:dyDescent="0.25">
      <c r="A1066" s="100">
        <v>194699.92</v>
      </c>
      <c r="B1066" s="97">
        <v>862.60550000000001</v>
      </c>
      <c r="C1066" s="97">
        <v>0.6</v>
      </c>
      <c r="D1066" s="80">
        <f t="shared" si="299"/>
        <v>100</v>
      </c>
      <c r="E1066" s="81">
        <f t="shared" si="291"/>
        <v>6791.2436711181272</v>
      </c>
      <c r="F1066" s="81">
        <f>SUM(E$2:E1066)</f>
        <v>6698301.8107590266</v>
      </c>
      <c r="G1066" s="43">
        <f t="shared" si="289"/>
        <v>1</v>
      </c>
      <c r="H1066" s="78">
        <v>1</v>
      </c>
      <c r="I1066" s="15">
        <f t="shared" si="292"/>
        <v>0.6</v>
      </c>
      <c r="J1066" s="16">
        <f>VLOOKUP(G1066,Inputs!$L$3:$P$15,5,FALSE)</f>
        <v>2000</v>
      </c>
      <c r="K1066" s="16">
        <f t="shared" si="293"/>
        <v>1825</v>
      </c>
      <c r="L1066" s="79">
        <f>Inputs!$P$8-B1066</f>
        <v>75.585500000000025</v>
      </c>
      <c r="M1066" s="79">
        <f>Inputs!$Q$8+L1066*0.433</f>
        <v>1857.7285214999999</v>
      </c>
      <c r="N1066" s="82">
        <f t="shared" si="294"/>
        <v>194699.92</v>
      </c>
      <c r="O1066" s="83">
        <f t="shared" si="295"/>
        <v>862.60550000000001</v>
      </c>
      <c r="P1066" s="84">
        <f>IF(O1066="","",Inputs!$C$5-O1066)</f>
        <v>-37.421000000000049</v>
      </c>
      <c r="Q1066" s="83">
        <f>IF(N1066="","",TS!J1066)</f>
        <v>2000</v>
      </c>
      <c r="R1066" s="83">
        <f>IF(N1066="","",TS!K1066)</f>
        <v>1825</v>
      </c>
      <c r="S1066" s="83">
        <f>Inputs!$H$5+TS!P1066*0.4333</f>
        <v>1858.7511971499998</v>
      </c>
      <c r="T1066" s="83">
        <f>Inputs!$G$5+TS!P1066*0.4333</f>
        <v>1873.7511971499998</v>
      </c>
      <c r="U1066" s="85">
        <f t="shared" si="296"/>
        <v>0.93687559857499991</v>
      </c>
      <c r="V1066" s="86">
        <f t="shared" si="284"/>
        <v>0</v>
      </c>
      <c r="W1066" s="86">
        <f t="shared" si="285"/>
        <v>0</v>
      </c>
      <c r="X1066" s="86" t="e">
        <f>((PI()*((42-2*'Gen Calcs'!$E$13)^2)/4)/144)*(A1109-#REF!)*(W1066+14.7)/14.7</f>
        <v>#REF!</v>
      </c>
      <c r="Y1066" s="86" t="e">
        <f t="shared" si="286"/>
        <v>#REF!</v>
      </c>
      <c r="Z1066" s="86" t="e">
        <f t="shared" si="287"/>
        <v>#REF!</v>
      </c>
      <c r="AA1066" s="83">
        <f>MAX(B$2:B1066)-B1066</f>
        <v>75.585500000000025</v>
      </c>
      <c r="AB1066" s="83">
        <f t="shared" si="288"/>
        <v>32.728521500000014</v>
      </c>
      <c r="AC1066" s="83">
        <f t="shared" si="290"/>
        <v>120</v>
      </c>
      <c r="AD1066" s="72">
        <v>120</v>
      </c>
      <c r="AE1066" s="73">
        <f t="shared" si="297"/>
        <v>907.92027688745009</v>
      </c>
      <c r="AF1066" s="73">
        <f>SUM(AE$2:AE1066)</f>
        <v>896126.12894675299</v>
      </c>
      <c r="AG1066" s="73">
        <f t="shared" si="298"/>
        <v>277603.77348035621</v>
      </c>
    </row>
    <row r="1067" spans="1:33" x14ac:dyDescent="0.25">
      <c r="A1067" s="99">
        <v>194799.92</v>
      </c>
      <c r="B1067" s="96">
        <v>860.49040000000002</v>
      </c>
      <c r="C1067" s="96">
        <v>0.6</v>
      </c>
      <c r="D1067" s="80">
        <f t="shared" si="299"/>
        <v>100</v>
      </c>
      <c r="E1067" s="81">
        <f t="shared" si="291"/>
        <v>6791.2436711181272</v>
      </c>
      <c r="F1067" s="81">
        <f>SUM(E$2:E1067)</f>
        <v>6705093.0544301448</v>
      </c>
      <c r="G1067" s="43">
        <f t="shared" si="289"/>
        <v>1</v>
      </c>
      <c r="H1067" s="78">
        <v>1</v>
      </c>
      <c r="I1067" s="15">
        <f t="shared" si="292"/>
        <v>0.6</v>
      </c>
      <c r="J1067" s="16">
        <f>VLOOKUP(G1067,Inputs!$L$3:$P$15,5,FALSE)</f>
        <v>2000</v>
      </c>
      <c r="K1067" s="16">
        <f t="shared" si="293"/>
        <v>1825</v>
      </c>
      <c r="L1067" s="79">
        <f>Inputs!$P$8-B1067</f>
        <v>77.700600000000009</v>
      </c>
      <c r="M1067" s="79">
        <f>Inputs!$Q$8+L1067*0.433</f>
        <v>1858.6443598000001</v>
      </c>
      <c r="N1067" s="82">
        <f t="shared" si="294"/>
        <v>194799.92</v>
      </c>
      <c r="O1067" s="83">
        <f t="shared" si="295"/>
        <v>860.49040000000002</v>
      </c>
      <c r="P1067" s="84">
        <f>IF(O1067="","",Inputs!$C$5-O1067)</f>
        <v>-35.305900000000065</v>
      </c>
      <c r="Q1067" s="83">
        <f>IF(N1067="","",TS!J1067)</f>
        <v>2000</v>
      </c>
      <c r="R1067" s="83">
        <f>IF(N1067="","",TS!K1067)</f>
        <v>1825</v>
      </c>
      <c r="S1067" s="83">
        <f>Inputs!$H$5+TS!P1067*0.4333</f>
        <v>1859.66766998</v>
      </c>
      <c r="T1067" s="83">
        <f>Inputs!$G$5+TS!P1067*0.4333</f>
        <v>1874.66766998</v>
      </c>
      <c r="U1067" s="85">
        <f t="shared" si="296"/>
        <v>0.93733383499</v>
      </c>
      <c r="V1067" s="86">
        <f t="shared" si="284"/>
        <v>0</v>
      </c>
      <c r="W1067" s="86">
        <f t="shared" si="285"/>
        <v>0</v>
      </c>
      <c r="X1067" s="86" t="e">
        <f>((PI()*((42-2*'Gen Calcs'!$E$13)^2)/4)/144)*(A1110-#REF!)*(W1067+14.7)/14.7</f>
        <v>#REF!</v>
      </c>
      <c r="Y1067" s="86" t="e">
        <f t="shared" si="286"/>
        <v>#REF!</v>
      </c>
      <c r="Z1067" s="86" t="e">
        <f t="shared" si="287"/>
        <v>#REF!</v>
      </c>
      <c r="AA1067" s="83">
        <f>MAX(B$2:B1067)-B1067</f>
        <v>77.700600000000009</v>
      </c>
      <c r="AB1067" s="83">
        <f t="shared" si="288"/>
        <v>33.644359800000004</v>
      </c>
      <c r="AC1067" s="83">
        <f t="shared" si="290"/>
        <v>120</v>
      </c>
      <c r="AD1067" s="72">
        <v>120</v>
      </c>
      <c r="AE1067" s="73">
        <f t="shared" si="297"/>
        <v>907.92027688745009</v>
      </c>
      <c r="AF1067" s="73">
        <f>SUM(AE$2:AE1067)</f>
        <v>897034.04922364047</v>
      </c>
      <c r="AG1067" s="73">
        <f t="shared" si="298"/>
        <v>276695.85320346872</v>
      </c>
    </row>
    <row r="1068" spans="1:33" x14ac:dyDescent="0.25">
      <c r="A1068" s="100">
        <v>194899.92</v>
      </c>
      <c r="B1068" s="97">
        <v>859.43060000000003</v>
      </c>
      <c r="C1068" s="97">
        <v>0.6</v>
      </c>
      <c r="D1068" s="80">
        <f t="shared" si="299"/>
        <v>100</v>
      </c>
      <c r="E1068" s="81">
        <f t="shared" si="291"/>
        <v>6791.2436711181272</v>
      </c>
      <c r="F1068" s="81">
        <f>SUM(E$2:E1068)</f>
        <v>6711884.2981012631</v>
      </c>
      <c r="G1068" s="43">
        <f t="shared" si="289"/>
        <v>1</v>
      </c>
      <c r="H1068" s="78">
        <v>1</v>
      </c>
      <c r="I1068" s="15">
        <f t="shared" si="292"/>
        <v>0.6</v>
      </c>
      <c r="J1068" s="16">
        <f>VLOOKUP(G1068,Inputs!$L$3:$P$15,5,FALSE)</f>
        <v>2000</v>
      </c>
      <c r="K1068" s="16">
        <f t="shared" si="293"/>
        <v>1825</v>
      </c>
      <c r="L1068" s="79">
        <f>Inputs!$P$8-B1068</f>
        <v>78.760400000000004</v>
      </c>
      <c r="M1068" s="79">
        <f>Inputs!$Q$8+L1068*0.433</f>
        <v>1859.1032531999999</v>
      </c>
      <c r="N1068" s="82">
        <f t="shared" si="294"/>
        <v>194899.92</v>
      </c>
      <c r="O1068" s="83">
        <f t="shared" si="295"/>
        <v>859.43060000000003</v>
      </c>
      <c r="P1068" s="84">
        <f>IF(O1068="","",Inputs!$C$5-O1068)</f>
        <v>-34.246100000000069</v>
      </c>
      <c r="Q1068" s="83">
        <f>IF(N1068="","",TS!J1068)</f>
        <v>2000</v>
      </c>
      <c r="R1068" s="83">
        <f>IF(N1068="","",TS!K1068)</f>
        <v>1825</v>
      </c>
      <c r="S1068" s="83">
        <f>Inputs!$H$5+TS!P1068*0.4333</f>
        <v>1860.1268813199999</v>
      </c>
      <c r="T1068" s="83">
        <f>Inputs!$G$5+TS!P1068*0.4333</f>
        <v>1875.1268813199999</v>
      </c>
      <c r="U1068" s="85">
        <f t="shared" si="296"/>
        <v>0.93756344065999997</v>
      </c>
      <c r="V1068" s="86">
        <f t="shared" si="284"/>
        <v>0</v>
      </c>
      <c r="W1068" s="86">
        <f t="shared" si="285"/>
        <v>0</v>
      </c>
      <c r="X1068" s="86" t="e">
        <f>((PI()*((42-2*'Gen Calcs'!$E$13)^2)/4)/144)*(A1111-#REF!)*(W1068+14.7)/14.7</f>
        <v>#REF!</v>
      </c>
      <c r="Y1068" s="86" t="e">
        <f t="shared" si="286"/>
        <v>#REF!</v>
      </c>
      <c r="Z1068" s="86" t="e">
        <f t="shared" si="287"/>
        <v>#REF!</v>
      </c>
      <c r="AA1068" s="83">
        <f>MAX(B$2:B1068)-B1068</f>
        <v>78.760400000000004</v>
      </c>
      <c r="AB1068" s="83">
        <f t="shared" si="288"/>
        <v>34.103253200000005</v>
      </c>
      <c r="AC1068" s="83">
        <f t="shared" si="290"/>
        <v>120</v>
      </c>
      <c r="AD1068" s="72">
        <v>120</v>
      </c>
      <c r="AE1068" s="73">
        <f t="shared" si="297"/>
        <v>907.92027688745009</v>
      </c>
      <c r="AF1068" s="73">
        <f>SUM(AE$2:AE1068)</f>
        <v>897941.96950052795</v>
      </c>
      <c r="AG1068" s="73">
        <f t="shared" si="298"/>
        <v>275787.93292658124</v>
      </c>
    </row>
    <row r="1069" spans="1:33" x14ac:dyDescent="0.25">
      <c r="A1069" s="99">
        <v>194999.92</v>
      </c>
      <c r="B1069" s="96">
        <v>857.7817</v>
      </c>
      <c r="C1069" s="96">
        <v>0.6</v>
      </c>
      <c r="D1069" s="80">
        <f t="shared" si="299"/>
        <v>100</v>
      </c>
      <c r="E1069" s="81">
        <f t="shared" si="291"/>
        <v>6791.2436711181272</v>
      </c>
      <c r="F1069" s="81">
        <f>SUM(E$2:E1069)</f>
        <v>6718675.5417723814</v>
      </c>
      <c r="G1069" s="43">
        <f t="shared" si="289"/>
        <v>1</v>
      </c>
      <c r="H1069" s="78">
        <v>1</v>
      </c>
      <c r="I1069" s="15">
        <f t="shared" si="292"/>
        <v>0.6</v>
      </c>
      <c r="J1069" s="16">
        <f>VLOOKUP(G1069,Inputs!$L$3:$P$15,5,FALSE)</f>
        <v>2000</v>
      </c>
      <c r="K1069" s="16">
        <f t="shared" si="293"/>
        <v>1825</v>
      </c>
      <c r="L1069" s="79">
        <f>Inputs!$P$8-B1069</f>
        <v>80.40930000000003</v>
      </c>
      <c r="M1069" s="79">
        <f>Inputs!$Q$8+L1069*0.433</f>
        <v>1859.8172268999999</v>
      </c>
      <c r="N1069" s="82">
        <f t="shared" si="294"/>
        <v>194999.92</v>
      </c>
      <c r="O1069" s="83">
        <f t="shared" si="295"/>
        <v>857.7817</v>
      </c>
      <c r="P1069" s="84">
        <f>IF(O1069="","",Inputs!$C$5-O1069)</f>
        <v>-32.597200000000043</v>
      </c>
      <c r="Q1069" s="83">
        <f>IF(N1069="","",TS!J1069)</f>
        <v>2000</v>
      </c>
      <c r="R1069" s="83">
        <f>IF(N1069="","",TS!K1069)</f>
        <v>1825</v>
      </c>
      <c r="S1069" s="83">
        <f>Inputs!$H$5+TS!P1069*0.4333</f>
        <v>1860.84134969</v>
      </c>
      <c r="T1069" s="83">
        <f>Inputs!$G$5+TS!P1069*0.4333</f>
        <v>1875.84134969</v>
      </c>
      <c r="U1069" s="85">
        <f t="shared" si="296"/>
        <v>0.93792067484499997</v>
      </c>
      <c r="V1069" s="86">
        <f t="shared" si="284"/>
        <v>0</v>
      </c>
      <c r="W1069" s="86">
        <f t="shared" si="285"/>
        <v>0</v>
      </c>
      <c r="X1069" s="86" t="e">
        <f>((PI()*((42-2*'Gen Calcs'!$E$13)^2)/4)/144)*(A1112-#REF!)*(W1069+14.7)/14.7</f>
        <v>#REF!</v>
      </c>
      <c r="Y1069" s="86" t="e">
        <f t="shared" si="286"/>
        <v>#REF!</v>
      </c>
      <c r="Z1069" s="86" t="e">
        <f t="shared" si="287"/>
        <v>#REF!</v>
      </c>
      <c r="AA1069" s="83">
        <f>MAX(B$2:B1069)-B1069</f>
        <v>80.40930000000003</v>
      </c>
      <c r="AB1069" s="83">
        <f t="shared" si="288"/>
        <v>34.817226900000016</v>
      </c>
      <c r="AC1069" s="83">
        <f t="shared" si="290"/>
        <v>120</v>
      </c>
      <c r="AD1069" s="72">
        <v>120</v>
      </c>
      <c r="AE1069" s="73">
        <f t="shared" si="297"/>
        <v>907.92027688745009</v>
      </c>
      <c r="AF1069" s="73">
        <f>SUM(AE$2:AE1069)</f>
        <v>898849.88977741543</v>
      </c>
      <c r="AG1069" s="73">
        <f t="shared" si="298"/>
        <v>274880.01264969376</v>
      </c>
    </row>
    <row r="1070" spans="1:33" x14ac:dyDescent="0.25">
      <c r="A1070" s="100">
        <v>195099.92</v>
      </c>
      <c r="B1070" s="97">
        <v>856.22249999999997</v>
      </c>
      <c r="C1070" s="97">
        <v>0.6</v>
      </c>
      <c r="D1070" s="80">
        <f t="shared" si="299"/>
        <v>100</v>
      </c>
      <c r="E1070" s="81">
        <f t="shared" si="291"/>
        <v>6616.6076625842816</v>
      </c>
      <c r="F1070" s="81">
        <f>SUM(E$2:E1070)</f>
        <v>6725292.149434966</v>
      </c>
      <c r="G1070" s="43">
        <f t="shared" si="289"/>
        <v>1</v>
      </c>
      <c r="H1070" s="78">
        <v>1</v>
      </c>
      <c r="I1070" s="15">
        <f t="shared" si="292"/>
        <v>0.6</v>
      </c>
      <c r="J1070" s="16">
        <f>VLOOKUP(G1070,Inputs!$L$3:$P$15,5,FALSE)</f>
        <v>2000</v>
      </c>
      <c r="K1070" s="16">
        <f t="shared" si="293"/>
        <v>1825</v>
      </c>
      <c r="L1070" s="79">
        <f>Inputs!$P$8-B1070</f>
        <v>81.968500000000063</v>
      </c>
      <c r="M1070" s="79">
        <f>Inputs!$Q$8+L1070*0.433</f>
        <v>1860.4923605000001</v>
      </c>
      <c r="N1070" s="82">
        <f t="shared" si="294"/>
        <v>195099.92</v>
      </c>
      <c r="O1070" s="83">
        <f t="shared" si="295"/>
        <v>856.22249999999997</v>
      </c>
      <c r="P1070" s="84">
        <f>IF(O1070="","",Inputs!$C$5-O1070)</f>
        <v>-31.038000000000011</v>
      </c>
      <c r="Q1070" s="83">
        <f>IF(N1070="","",TS!J1070)</f>
        <v>2000</v>
      </c>
      <c r="R1070" s="83">
        <f>IF(N1070="","",TS!K1070)</f>
        <v>1825</v>
      </c>
      <c r="S1070" s="83">
        <f>Inputs!$H$5+TS!P1070*0.4333</f>
        <v>1861.51695105</v>
      </c>
      <c r="T1070" s="83">
        <f>Inputs!$G$5+TS!P1070*0.4333</f>
        <v>1876.51695105</v>
      </c>
      <c r="U1070" s="85">
        <f t="shared" si="296"/>
        <v>0.93825847552499997</v>
      </c>
      <c r="V1070" s="86">
        <f t="shared" si="284"/>
        <v>0</v>
      </c>
      <c r="W1070" s="86">
        <f t="shared" si="285"/>
        <v>0</v>
      </c>
      <c r="X1070" s="86" t="e">
        <f>((PI()*((42-2*'Gen Calcs'!$E$13)^2)/4)/144)*(A1113-#REF!)*(W1070+14.7)/14.7</f>
        <v>#REF!</v>
      </c>
      <c r="Y1070" s="86" t="e">
        <f t="shared" si="286"/>
        <v>#REF!</v>
      </c>
      <c r="Z1070" s="86" t="e">
        <f t="shared" si="287"/>
        <v>#REF!</v>
      </c>
      <c r="AA1070" s="83">
        <f>MAX(B$2:B1070)-B1070</f>
        <v>81.968500000000063</v>
      </c>
      <c r="AB1070" s="83">
        <f t="shared" si="288"/>
        <v>35.492360500000025</v>
      </c>
      <c r="AC1070" s="83">
        <f t="shared" si="290"/>
        <v>120</v>
      </c>
      <c r="AD1070" s="72">
        <v>120</v>
      </c>
      <c r="AE1070" s="73">
        <f t="shared" si="297"/>
        <v>907.92027688745009</v>
      </c>
      <c r="AF1070" s="73">
        <f>SUM(AE$2:AE1070)</f>
        <v>899757.81005430291</v>
      </c>
      <c r="AG1070" s="73">
        <f t="shared" si="298"/>
        <v>273972.09237280628</v>
      </c>
    </row>
    <row r="1071" spans="1:33" x14ac:dyDescent="0.25">
      <c r="A1071" s="99">
        <v>195199.92</v>
      </c>
      <c r="B1071" s="96">
        <v>855.43899999999996</v>
      </c>
      <c r="C1071" s="96">
        <v>0.6</v>
      </c>
      <c r="D1071" s="80">
        <f t="shared" si="299"/>
        <v>100</v>
      </c>
      <c r="E1071" s="81">
        <f t="shared" si="291"/>
        <v>6791.2436711181272</v>
      </c>
      <c r="F1071" s="81">
        <f>SUM(E$2:E1071)</f>
        <v>6732083.3931060843</v>
      </c>
      <c r="G1071" s="43">
        <f t="shared" si="289"/>
        <v>1</v>
      </c>
      <c r="H1071" s="78">
        <v>1</v>
      </c>
      <c r="I1071" s="15">
        <f t="shared" si="292"/>
        <v>0.6</v>
      </c>
      <c r="J1071" s="16">
        <f>VLOOKUP(G1071,Inputs!$L$3:$P$15,5,FALSE)</f>
        <v>2000</v>
      </c>
      <c r="K1071" s="16">
        <f t="shared" si="293"/>
        <v>1825</v>
      </c>
      <c r="L1071" s="79">
        <f>Inputs!$P$8-B1071</f>
        <v>82.752000000000066</v>
      </c>
      <c r="M1071" s="79">
        <f>Inputs!$Q$8+L1071*0.433</f>
        <v>1860.8316159999999</v>
      </c>
      <c r="N1071" s="82">
        <f t="shared" si="294"/>
        <v>195199.92</v>
      </c>
      <c r="O1071" s="83">
        <f t="shared" si="295"/>
        <v>855.43899999999996</v>
      </c>
      <c r="P1071" s="84">
        <f>IF(O1071="","",Inputs!$C$5-O1071)</f>
        <v>-30.254500000000007</v>
      </c>
      <c r="Q1071" s="83">
        <f>IF(N1071="","",TS!J1071)</f>
        <v>2000</v>
      </c>
      <c r="R1071" s="83">
        <f>IF(N1071="","",TS!K1071)</f>
        <v>1825</v>
      </c>
      <c r="S1071" s="83">
        <f>Inputs!$H$5+TS!P1071*0.4333</f>
        <v>1861.8564415999999</v>
      </c>
      <c r="T1071" s="83">
        <f>Inputs!$G$5+TS!P1071*0.4333</f>
        <v>1876.8564415999999</v>
      </c>
      <c r="U1071" s="85">
        <f t="shared" si="296"/>
        <v>0.93842822079999999</v>
      </c>
      <c r="V1071" s="86">
        <f t="shared" si="284"/>
        <v>0</v>
      </c>
      <c r="W1071" s="86">
        <f t="shared" si="285"/>
        <v>0</v>
      </c>
      <c r="X1071" s="86" t="e">
        <f>((PI()*((42-2*'Gen Calcs'!$E$13)^2)/4)/144)*(A1114-#REF!)*(W1071+14.7)/14.7</f>
        <v>#REF!</v>
      </c>
      <c r="Y1071" s="86" t="e">
        <f t="shared" si="286"/>
        <v>#REF!</v>
      </c>
      <c r="Z1071" s="86" t="e">
        <f t="shared" si="287"/>
        <v>#REF!</v>
      </c>
      <c r="AA1071" s="83">
        <f>MAX(B$2:B1071)-B1071</f>
        <v>82.752000000000066</v>
      </c>
      <c r="AB1071" s="83">
        <f t="shared" si="288"/>
        <v>35.831616000000025</v>
      </c>
      <c r="AC1071" s="83">
        <f t="shared" si="290"/>
        <v>120</v>
      </c>
      <c r="AD1071" s="72">
        <v>120</v>
      </c>
      <c r="AE1071" s="73">
        <f t="shared" si="297"/>
        <v>907.92027688745009</v>
      </c>
      <c r="AF1071" s="73">
        <f>SUM(AE$2:AE1071)</f>
        <v>900665.7303311904</v>
      </c>
      <c r="AG1071" s="73">
        <f t="shared" si="298"/>
        <v>273064.1720959188</v>
      </c>
    </row>
    <row r="1072" spans="1:33" x14ac:dyDescent="0.25">
      <c r="A1072" s="100">
        <v>195299.92</v>
      </c>
      <c r="B1072" s="97">
        <v>854.37459999999999</v>
      </c>
      <c r="C1072" s="97">
        <v>0.6</v>
      </c>
      <c r="D1072" s="80">
        <f t="shared" si="299"/>
        <v>100</v>
      </c>
      <c r="E1072" s="81">
        <f t="shared" si="291"/>
        <v>6616.6076625842816</v>
      </c>
      <c r="F1072" s="81">
        <f>SUM(E$2:E1072)</f>
        <v>6738700.0007686689</v>
      </c>
      <c r="G1072" s="43">
        <f t="shared" si="289"/>
        <v>1</v>
      </c>
      <c r="H1072" s="78">
        <v>1</v>
      </c>
      <c r="I1072" s="15">
        <f t="shared" si="292"/>
        <v>0.6</v>
      </c>
      <c r="J1072" s="16">
        <f>VLOOKUP(G1072,Inputs!$L$3:$P$15,5,FALSE)</f>
        <v>2000</v>
      </c>
      <c r="K1072" s="16">
        <f t="shared" si="293"/>
        <v>1825</v>
      </c>
      <c r="L1072" s="79">
        <f>Inputs!$P$8-B1072</f>
        <v>83.816400000000044</v>
      </c>
      <c r="M1072" s="79">
        <f>Inputs!$Q$8+L1072*0.433</f>
        <v>1861.2925012000001</v>
      </c>
      <c r="N1072" s="82">
        <f t="shared" si="294"/>
        <v>195299.92</v>
      </c>
      <c r="O1072" s="83">
        <f t="shared" si="295"/>
        <v>854.37459999999999</v>
      </c>
      <c r="P1072" s="84">
        <f>IF(O1072="","",Inputs!$C$5-O1072)</f>
        <v>-29.190100000000029</v>
      </c>
      <c r="Q1072" s="83">
        <f>IF(N1072="","",TS!J1072)</f>
        <v>2000</v>
      </c>
      <c r="R1072" s="83">
        <f>IF(N1072="","",TS!K1072)</f>
        <v>1825</v>
      </c>
      <c r="S1072" s="83">
        <f>Inputs!$H$5+TS!P1072*0.4333</f>
        <v>1862.3176461199998</v>
      </c>
      <c r="T1072" s="83">
        <f>Inputs!$G$5+TS!P1072*0.4333</f>
        <v>1877.3176461199998</v>
      </c>
      <c r="U1072" s="85">
        <f t="shared" si="296"/>
        <v>0.93865882305999992</v>
      </c>
      <c r="V1072" s="86">
        <f t="shared" si="284"/>
        <v>0</v>
      </c>
      <c r="W1072" s="86">
        <f t="shared" si="285"/>
        <v>0</v>
      </c>
      <c r="X1072" s="86" t="e">
        <f>((PI()*((42-2*'Gen Calcs'!$E$13)^2)/4)/144)*(A1115-#REF!)*(W1072+14.7)/14.7</f>
        <v>#REF!</v>
      </c>
      <c r="Y1072" s="86" t="e">
        <f t="shared" si="286"/>
        <v>#REF!</v>
      </c>
      <c r="Z1072" s="86" t="e">
        <f t="shared" si="287"/>
        <v>#REF!</v>
      </c>
      <c r="AA1072" s="83">
        <f>MAX(B$2:B1072)-B1072</f>
        <v>83.816400000000044</v>
      </c>
      <c r="AB1072" s="83">
        <f t="shared" si="288"/>
        <v>36.292501200000018</v>
      </c>
      <c r="AC1072" s="83">
        <f t="shared" si="290"/>
        <v>120</v>
      </c>
      <c r="AD1072" s="72">
        <v>120</v>
      </c>
      <c r="AE1072" s="73">
        <f t="shared" si="297"/>
        <v>907.92027688745009</v>
      </c>
      <c r="AF1072" s="73">
        <f>SUM(AE$2:AE1072)</f>
        <v>901573.65060807788</v>
      </c>
      <c r="AG1072" s="73">
        <f t="shared" si="298"/>
        <v>272156.25181903131</v>
      </c>
    </row>
    <row r="1073" spans="1:33" x14ac:dyDescent="0.25">
      <c r="A1073" s="99">
        <v>195399.92</v>
      </c>
      <c r="B1073" s="96">
        <v>853.49590000000001</v>
      </c>
      <c r="C1073" s="96">
        <v>0.6</v>
      </c>
      <c r="D1073" s="80">
        <f t="shared" si="299"/>
        <v>100</v>
      </c>
      <c r="E1073" s="81">
        <f t="shared" si="291"/>
        <v>6791.2436711181272</v>
      </c>
      <c r="F1073" s="81">
        <f>SUM(E$2:E1073)</f>
        <v>6745491.2444397872</v>
      </c>
      <c r="G1073" s="43">
        <f t="shared" si="289"/>
        <v>1</v>
      </c>
      <c r="H1073" s="78">
        <v>1</v>
      </c>
      <c r="I1073" s="15">
        <f t="shared" si="292"/>
        <v>0.6</v>
      </c>
      <c r="J1073" s="16">
        <f>VLOOKUP(G1073,Inputs!$L$3:$P$15,5,FALSE)</f>
        <v>2000</v>
      </c>
      <c r="K1073" s="16">
        <f t="shared" si="293"/>
        <v>1825</v>
      </c>
      <c r="L1073" s="79">
        <f>Inputs!$P$8-B1073</f>
        <v>84.695100000000025</v>
      </c>
      <c r="M1073" s="79">
        <f>Inputs!$Q$8+L1073*0.433</f>
        <v>1861.6729783000001</v>
      </c>
      <c r="N1073" s="82">
        <f t="shared" si="294"/>
        <v>195399.92</v>
      </c>
      <c r="O1073" s="83">
        <f t="shared" si="295"/>
        <v>853.49590000000001</v>
      </c>
      <c r="P1073" s="84">
        <f>IF(O1073="","",Inputs!$C$5-O1073)</f>
        <v>-28.311400000000049</v>
      </c>
      <c r="Q1073" s="83">
        <f>IF(N1073="","",TS!J1073)</f>
        <v>2000</v>
      </c>
      <c r="R1073" s="83">
        <f>IF(N1073="","",TS!K1073)</f>
        <v>1825</v>
      </c>
      <c r="S1073" s="83">
        <f>Inputs!$H$5+TS!P1073*0.4333</f>
        <v>1862.6983868299999</v>
      </c>
      <c r="T1073" s="83">
        <f>Inputs!$G$5+TS!P1073*0.4333</f>
        <v>1877.6983868299999</v>
      </c>
      <c r="U1073" s="85">
        <f t="shared" si="296"/>
        <v>0.93884919341499995</v>
      </c>
      <c r="V1073" s="86">
        <f t="shared" si="284"/>
        <v>0</v>
      </c>
      <c r="W1073" s="86">
        <f t="shared" si="285"/>
        <v>0</v>
      </c>
      <c r="X1073" s="86" t="e">
        <f>((PI()*((42-2*'Gen Calcs'!$E$13)^2)/4)/144)*(A1116-#REF!)*(W1073+14.7)/14.7</f>
        <v>#REF!</v>
      </c>
      <c r="Y1073" s="86" t="e">
        <f t="shared" si="286"/>
        <v>#REF!</v>
      </c>
      <c r="Z1073" s="86" t="e">
        <f t="shared" si="287"/>
        <v>#REF!</v>
      </c>
      <c r="AA1073" s="83">
        <f>MAX(B$2:B1073)-B1073</f>
        <v>84.695100000000025</v>
      </c>
      <c r="AB1073" s="83">
        <f t="shared" si="288"/>
        <v>36.672978300000011</v>
      </c>
      <c r="AC1073" s="83">
        <f t="shared" si="290"/>
        <v>120</v>
      </c>
      <c r="AD1073" s="72">
        <v>120</v>
      </c>
      <c r="AE1073" s="73">
        <f t="shared" si="297"/>
        <v>907.92027688745009</v>
      </c>
      <c r="AF1073" s="73">
        <f>SUM(AE$2:AE1073)</f>
        <v>902481.57088496536</v>
      </c>
      <c r="AG1073" s="73">
        <f t="shared" si="298"/>
        <v>271248.33154214383</v>
      </c>
    </row>
    <row r="1074" spans="1:33" x14ac:dyDescent="0.25">
      <c r="A1074" s="100">
        <v>195499.92</v>
      </c>
      <c r="B1074" s="97">
        <v>852.18979999999999</v>
      </c>
      <c r="C1074" s="97">
        <v>0.6</v>
      </c>
      <c r="D1074" s="80">
        <f t="shared" si="299"/>
        <v>100</v>
      </c>
      <c r="E1074" s="81">
        <f t="shared" si="291"/>
        <v>6791.2436711181272</v>
      </c>
      <c r="F1074" s="81">
        <f>SUM(E$2:E1074)</f>
        <v>6752282.4881109055</v>
      </c>
      <c r="G1074" s="43">
        <f t="shared" si="289"/>
        <v>1</v>
      </c>
      <c r="H1074" s="78">
        <v>1</v>
      </c>
      <c r="I1074" s="15">
        <f t="shared" si="292"/>
        <v>0.6</v>
      </c>
      <c r="J1074" s="16">
        <f>VLOOKUP(G1074,Inputs!$L$3:$P$15,5,FALSE)</f>
        <v>2000</v>
      </c>
      <c r="K1074" s="16">
        <f t="shared" si="293"/>
        <v>1825</v>
      </c>
      <c r="L1074" s="79">
        <f>Inputs!$P$8-B1074</f>
        <v>86.00120000000004</v>
      </c>
      <c r="M1074" s="79">
        <f>Inputs!$Q$8+L1074*0.433</f>
        <v>1862.2385196</v>
      </c>
      <c r="N1074" s="82">
        <f t="shared" si="294"/>
        <v>195499.92</v>
      </c>
      <c r="O1074" s="83">
        <f t="shared" si="295"/>
        <v>852.18979999999999</v>
      </c>
      <c r="P1074" s="84">
        <f>IF(O1074="","",Inputs!$C$5-O1074)</f>
        <v>-27.005300000000034</v>
      </c>
      <c r="Q1074" s="83">
        <f>IF(N1074="","",TS!J1074)</f>
        <v>2000</v>
      </c>
      <c r="R1074" s="83">
        <f>IF(N1074="","",TS!K1074)</f>
        <v>1825</v>
      </c>
      <c r="S1074" s="83">
        <f>Inputs!$H$5+TS!P1074*0.4333</f>
        <v>1863.26431996</v>
      </c>
      <c r="T1074" s="83">
        <f>Inputs!$G$5+TS!P1074*0.4333</f>
        <v>1878.26431996</v>
      </c>
      <c r="U1074" s="85">
        <f t="shared" si="296"/>
        <v>0.93913215997999999</v>
      </c>
      <c r="V1074" s="86">
        <f t="shared" si="284"/>
        <v>0</v>
      </c>
      <c r="W1074" s="86">
        <f t="shared" si="285"/>
        <v>0</v>
      </c>
      <c r="X1074" s="86" t="e">
        <f>((PI()*((42-2*'Gen Calcs'!$E$13)^2)/4)/144)*(A1117-#REF!)*(W1074+14.7)/14.7</f>
        <v>#REF!</v>
      </c>
      <c r="Y1074" s="86" t="e">
        <f t="shared" si="286"/>
        <v>#REF!</v>
      </c>
      <c r="Z1074" s="86" t="e">
        <f t="shared" si="287"/>
        <v>#REF!</v>
      </c>
      <c r="AA1074" s="83">
        <f>MAX(B$2:B1074)-B1074</f>
        <v>86.00120000000004</v>
      </c>
      <c r="AB1074" s="83">
        <f t="shared" si="288"/>
        <v>37.238519600000018</v>
      </c>
      <c r="AC1074" s="83">
        <f t="shared" si="290"/>
        <v>120</v>
      </c>
      <c r="AD1074" s="72">
        <v>120</v>
      </c>
      <c r="AE1074" s="73">
        <f t="shared" si="297"/>
        <v>907.92027688745009</v>
      </c>
      <c r="AF1074" s="73">
        <f>SUM(AE$2:AE1074)</f>
        <v>903389.49116185284</v>
      </c>
      <c r="AG1074" s="73">
        <f t="shared" si="298"/>
        <v>270340.41126525635</v>
      </c>
    </row>
    <row r="1075" spans="1:33" x14ac:dyDescent="0.25">
      <c r="A1075" s="99">
        <v>195599.92</v>
      </c>
      <c r="B1075" s="96">
        <v>850.63530000000003</v>
      </c>
      <c r="C1075" s="96">
        <v>0.6</v>
      </c>
      <c r="D1075" s="80">
        <f t="shared" si="299"/>
        <v>100</v>
      </c>
      <c r="E1075" s="81">
        <f t="shared" si="291"/>
        <v>6791.2436711181272</v>
      </c>
      <c r="F1075" s="81">
        <f>SUM(E$2:E1075)</f>
        <v>6759073.7317820238</v>
      </c>
      <c r="G1075" s="43">
        <f t="shared" si="289"/>
        <v>1</v>
      </c>
      <c r="H1075" s="78">
        <v>1</v>
      </c>
      <c r="I1075" s="15">
        <f t="shared" si="292"/>
        <v>0.6</v>
      </c>
      <c r="J1075" s="16">
        <f>VLOOKUP(G1075,Inputs!$L$3:$P$15,5,FALSE)</f>
        <v>2000</v>
      </c>
      <c r="K1075" s="16">
        <f t="shared" si="293"/>
        <v>1825</v>
      </c>
      <c r="L1075" s="79">
        <f>Inputs!$P$8-B1075</f>
        <v>87.555700000000002</v>
      </c>
      <c r="M1075" s="79">
        <f>Inputs!$Q$8+L1075*0.433</f>
        <v>1862.9116180999999</v>
      </c>
      <c r="N1075" s="82">
        <f t="shared" si="294"/>
        <v>195599.92</v>
      </c>
      <c r="O1075" s="83">
        <f t="shared" si="295"/>
        <v>850.63530000000003</v>
      </c>
      <c r="P1075" s="84">
        <f>IF(O1075="","",Inputs!$C$5-O1075)</f>
        <v>-25.450800000000072</v>
      </c>
      <c r="Q1075" s="83">
        <f>IF(N1075="","",TS!J1075)</f>
        <v>2000</v>
      </c>
      <c r="R1075" s="83">
        <f>IF(N1075="","",TS!K1075)</f>
        <v>1825</v>
      </c>
      <c r="S1075" s="83">
        <f>Inputs!$H$5+TS!P1075*0.4333</f>
        <v>1863.93788481</v>
      </c>
      <c r="T1075" s="83">
        <f>Inputs!$G$5+TS!P1075*0.4333</f>
        <v>1878.93788481</v>
      </c>
      <c r="U1075" s="85">
        <f t="shared" si="296"/>
        <v>0.93946894240500001</v>
      </c>
      <c r="V1075" s="86">
        <f t="shared" si="284"/>
        <v>0</v>
      </c>
      <c r="W1075" s="86">
        <f t="shared" si="285"/>
        <v>0</v>
      </c>
      <c r="X1075" s="86" t="e">
        <f>((PI()*((42-2*'Gen Calcs'!$E$13)^2)/4)/144)*(A1118-#REF!)*(W1075+14.7)/14.7</f>
        <v>#REF!</v>
      </c>
      <c r="Y1075" s="86" t="e">
        <f t="shared" si="286"/>
        <v>#REF!</v>
      </c>
      <c r="Z1075" s="86" t="e">
        <f t="shared" si="287"/>
        <v>#REF!</v>
      </c>
      <c r="AA1075" s="83">
        <f>MAX(B$2:B1075)-B1075</f>
        <v>87.555700000000002</v>
      </c>
      <c r="AB1075" s="83">
        <f t="shared" si="288"/>
        <v>37.911618099999998</v>
      </c>
      <c r="AC1075" s="83">
        <f t="shared" si="290"/>
        <v>120</v>
      </c>
      <c r="AD1075" s="72">
        <v>120</v>
      </c>
      <c r="AE1075" s="73">
        <f t="shared" si="297"/>
        <v>907.92027688745009</v>
      </c>
      <c r="AF1075" s="73">
        <f>SUM(AE$2:AE1075)</f>
        <v>904297.41143874032</v>
      </c>
      <c r="AG1075" s="73">
        <f t="shared" si="298"/>
        <v>269432.49098836887</v>
      </c>
    </row>
    <row r="1076" spans="1:33" x14ac:dyDescent="0.25">
      <c r="A1076" s="100">
        <v>195699.92</v>
      </c>
      <c r="B1076" s="97">
        <v>849.31129999999996</v>
      </c>
      <c r="C1076" s="97">
        <v>0.6</v>
      </c>
      <c r="D1076" s="80">
        <f t="shared" si="299"/>
        <v>100</v>
      </c>
      <c r="E1076" s="81">
        <f t="shared" si="291"/>
        <v>6791.2436711181272</v>
      </c>
      <c r="F1076" s="81">
        <f>SUM(E$2:E1076)</f>
        <v>6765864.9754531421</v>
      </c>
      <c r="G1076" s="43">
        <f t="shared" si="289"/>
        <v>1</v>
      </c>
      <c r="H1076" s="78">
        <v>1</v>
      </c>
      <c r="I1076" s="15">
        <f t="shared" si="292"/>
        <v>0.6</v>
      </c>
      <c r="J1076" s="16">
        <f>VLOOKUP(G1076,Inputs!$L$3:$P$15,5,FALSE)</f>
        <v>2000</v>
      </c>
      <c r="K1076" s="16">
        <f t="shared" si="293"/>
        <v>1825</v>
      </c>
      <c r="L1076" s="79">
        <f>Inputs!$P$8-B1076</f>
        <v>88.879700000000071</v>
      </c>
      <c r="M1076" s="79">
        <f>Inputs!$Q$8+L1076*0.433</f>
        <v>1863.4849101</v>
      </c>
      <c r="N1076" s="82">
        <f t="shared" si="294"/>
        <v>195699.92</v>
      </c>
      <c r="O1076" s="83">
        <f t="shared" si="295"/>
        <v>849.31129999999996</v>
      </c>
      <c r="P1076" s="84">
        <f>IF(O1076="","",Inputs!$C$5-O1076)</f>
        <v>-24.126800000000003</v>
      </c>
      <c r="Q1076" s="83">
        <f>IF(N1076="","",TS!J1076)</f>
        <v>2000</v>
      </c>
      <c r="R1076" s="83">
        <f>IF(N1076="","",TS!K1076)</f>
        <v>1825</v>
      </c>
      <c r="S1076" s="83">
        <f>Inputs!$H$5+TS!P1076*0.4333</f>
        <v>1864.51157401</v>
      </c>
      <c r="T1076" s="83">
        <f>Inputs!$G$5+TS!P1076*0.4333</f>
        <v>1879.51157401</v>
      </c>
      <c r="U1076" s="85">
        <f t="shared" si="296"/>
        <v>0.93975578700499995</v>
      </c>
      <c r="V1076" s="86">
        <f t="shared" si="284"/>
        <v>0</v>
      </c>
      <c r="W1076" s="86">
        <f t="shared" si="285"/>
        <v>0</v>
      </c>
      <c r="X1076" s="86" t="e">
        <f>((PI()*((42-2*'Gen Calcs'!$E$13)^2)/4)/144)*(A1119-#REF!)*(W1076+14.7)/14.7</f>
        <v>#REF!</v>
      </c>
      <c r="Y1076" s="86" t="e">
        <f t="shared" si="286"/>
        <v>#REF!</v>
      </c>
      <c r="Z1076" s="86" t="e">
        <f t="shared" si="287"/>
        <v>#REF!</v>
      </c>
      <c r="AA1076" s="83">
        <f>MAX(B$2:B1076)-B1076</f>
        <v>88.879700000000071</v>
      </c>
      <c r="AB1076" s="83">
        <f t="shared" si="288"/>
        <v>38.484910100000029</v>
      </c>
      <c r="AC1076" s="83">
        <f t="shared" si="290"/>
        <v>120</v>
      </c>
      <c r="AD1076" s="72">
        <v>120</v>
      </c>
      <c r="AE1076" s="73">
        <f t="shared" si="297"/>
        <v>907.92027688745009</v>
      </c>
      <c r="AF1076" s="73">
        <f>SUM(AE$2:AE1076)</f>
        <v>905205.33171562781</v>
      </c>
      <c r="AG1076" s="73">
        <f t="shared" si="298"/>
        <v>268524.57071148138</v>
      </c>
    </row>
    <row r="1077" spans="1:33" x14ac:dyDescent="0.25">
      <c r="A1077" s="99">
        <v>195799.92</v>
      </c>
      <c r="B1077" s="96">
        <v>848.49189999999999</v>
      </c>
      <c r="C1077" s="96">
        <v>0.6</v>
      </c>
      <c r="D1077" s="80">
        <f t="shared" si="299"/>
        <v>100</v>
      </c>
      <c r="E1077" s="81">
        <f t="shared" si="291"/>
        <v>6791.2436711181272</v>
      </c>
      <c r="F1077" s="81">
        <f>SUM(E$2:E1077)</f>
        <v>6772656.2191242604</v>
      </c>
      <c r="G1077" s="43">
        <f t="shared" si="289"/>
        <v>1</v>
      </c>
      <c r="H1077" s="78">
        <v>1</v>
      </c>
      <c r="I1077" s="15">
        <f t="shared" si="292"/>
        <v>0.6</v>
      </c>
      <c r="J1077" s="16">
        <f>VLOOKUP(G1077,Inputs!$L$3:$P$15,5,FALSE)</f>
        <v>2000</v>
      </c>
      <c r="K1077" s="16">
        <f t="shared" si="293"/>
        <v>1825</v>
      </c>
      <c r="L1077" s="79">
        <f>Inputs!$P$8-B1077</f>
        <v>89.699100000000044</v>
      </c>
      <c r="M1077" s="79">
        <f>Inputs!$Q$8+L1077*0.433</f>
        <v>1863.8397103</v>
      </c>
      <c r="N1077" s="82">
        <f t="shared" si="294"/>
        <v>195799.92</v>
      </c>
      <c r="O1077" s="83">
        <f t="shared" si="295"/>
        <v>848.49189999999999</v>
      </c>
      <c r="P1077" s="84">
        <f>IF(O1077="","",Inputs!$C$5-O1077)</f>
        <v>-23.30740000000003</v>
      </c>
      <c r="Q1077" s="83">
        <f>IF(N1077="","",TS!J1077)</f>
        <v>2000</v>
      </c>
      <c r="R1077" s="83">
        <f>IF(N1077="","",TS!K1077)</f>
        <v>1825</v>
      </c>
      <c r="S1077" s="83">
        <f>Inputs!$H$5+TS!P1077*0.4333</f>
        <v>1864.8666200299999</v>
      </c>
      <c r="T1077" s="83">
        <f>Inputs!$G$5+TS!P1077*0.4333</f>
        <v>1879.8666200299999</v>
      </c>
      <c r="U1077" s="85">
        <f t="shared" si="296"/>
        <v>0.93993331001499991</v>
      </c>
      <c r="V1077" s="86">
        <f t="shared" si="284"/>
        <v>0</v>
      </c>
      <c r="W1077" s="86">
        <f t="shared" si="285"/>
        <v>0</v>
      </c>
      <c r="X1077" s="86" t="e">
        <f>((PI()*((42-2*'Gen Calcs'!$E$13)^2)/4)/144)*(A1120-#REF!)*(W1077+14.7)/14.7</f>
        <v>#REF!</v>
      </c>
      <c r="Y1077" s="86" t="e">
        <f t="shared" si="286"/>
        <v>#REF!</v>
      </c>
      <c r="Z1077" s="86" t="e">
        <f t="shared" si="287"/>
        <v>#REF!</v>
      </c>
      <c r="AA1077" s="83">
        <f>MAX(B$2:B1077)-B1077</f>
        <v>89.699100000000044</v>
      </c>
      <c r="AB1077" s="83">
        <f t="shared" si="288"/>
        <v>38.839710300000021</v>
      </c>
      <c r="AC1077" s="83">
        <f t="shared" si="290"/>
        <v>120</v>
      </c>
      <c r="AD1077" s="72">
        <v>120</v>
      </c>
      <c r="AE1077" s="73">
        <f t="shared" si="297"/>
        <v>907.92027688745009</v>
      </c>
      <c r="AF1077" s="73">
        <f>SUM(AE$2:AE1077)</f>
        <v>906113.25199251529</v>
      </c>
      <c r="AG1077" s="73">
        <f t="shared" si="298"/>
        <v>267616.6504345939</v>
      </c>
    </row>
    <row r="1078" spans="1:33" x14ac:dyDescent="0.25">
      <c r="A1078" s="100">
        <v>195899.92</v>
      </c>
      <c r="B1078" s="97">
        <v>847.98720000000003</v>
      </c>
      <c r="C1078" s="97">
        <v>0.6</v>
      </c>
      <c r="D1078" s="80">
        <f t="shared" si="299"/>
        <v>100</v>
      </c>
      <c r="E1078" s="81">
        <f t="shared" si="291"/>
        <v>6791.2436711181272</v>
      </c>
      <c r="F1078" s="81">
        <f>SUM(E$2:E1078)</f>
        <v>6779447.4627953786</v>
      </c>
      <c r="G1078" s="43">
        <f t="shared" si="289"/>
        <v>1</v>
      </c>
      <c r="H1078" s="78">
        <v>1</v>
      </c>
      <c r="I1078" s="15">
        <f t="shared" si="292"/>
        <v>0.6</v>
      </c>
      <c r="J1078" s="16">
        <f>VLOOKUP(G1078,Inputs!$L$3:$P$15,5,FALSE)</f>
        <v>2000</v>
      </c>
      <c r="K1078" s="16">
        <f t="shared" si="293"/>
        <v>1825</v>
      </c>
      <c r="L1078" s="79">
        <f>Inputs!$P$8-B1078</f>
        <v>90.203800000000001</v>
      </c>
      <c r="M1078" s="79">
        <f>Inputs!$Q$8+L1078*0.433</f>
        <v>1864.0582454</v>
      </c>
      <c r="N1078" s="82">
        <f t="shared" si="294"/>
        <v>195899.92</v>
      </c>
      <c r="O1078" s="83">
        <f t="shared" si="295"/>
        <v>847.98720000000003</v>
      </c>
      <c r="P1078" s="84">
        <f>IF(O1078="","",Inputs!$C$5-O1078)</f>
        <v>-22.802700000000073</v>
      </c>
      <c r="Q1078" s="83">
        <f>IF(N1078="","",TS!J1078)</f>
        <v>2000</v>
      </c>
      <c r="R1078" s="83">
        <f>IF(N1078="","",TS!K1078)</f>
        <v>1825</v>
      </c>
      <c r="S1078" s="83">
        <f>Inputs!$H$5+TS!P1078*0.4333</f>
        <v>1865.0853065399999</v>
      </c>
      <c r="T1078" s="83">
        <f>Inputs!$G$5+TS!P1078*0.4333</f>
        <v>1880.0853065399999</v>
      </c>
      <c r="U1078" s="85">
        <f t="shared" si="296"/>
        <v>0.94004265326999992</v>
      </c>
      <c r="V1078" s="86">
        <f t="shared" ref="V1078:V1141" si="300">O1078-MAX(O1078:O1078)</f>
        <v>0</v>
      </c>
      <c r="W1078" s="86">
        <f t="shared" ref="W1078:W1141" si="301">-(V1078)*0.433</f>
        <v>0</v>
      </c>
      <c r="X1078" s="86" t="e">
        <f>((PI()*((42-2*'Gen Calcs'!$E$13)^2)/4)/144)*(A1121-#REF!)*(W1078+14.7)/14.7</f>
        <v>#REF!</v>
      </c>
      <c r="Y1078" s="86" t="e">
        <f t="shared" ref="Y1078:Y1141" si="302">X1078/1000</f>
        <v>#REF!</v>
      </c>
      <c r="Z1078" s="86" t="e">
        <f t="shared" ref="Z1078:Z1141" si="303">IF(Y1078&gt;Z1077,Y1078,Z1077)</f>
        <v>#REF!</v>
      </c>
      <c r="AA1078" s="83">
        <f>MAX(B$2:B1078)-B1078</f>
        <v>90.203800000000001</v>
      </c>
      <c r="AB1078" s="83">
        <f t="shared" ref="AB1078:AB1141" si="304">AA1078*0.433</f>
        <v>39.058245399999997</v>
      </c>
      <c r="AC1078" s="83">
        <f t="shared" si="290"/>
        <v>120</v>
      </c>
      <c r="AD1078" s="72">
        <v>120</v>
      </c>
      <c r="AE1078" s="73">
        <f t="shared" si="297"/>
        <v>907.92027688745009</v>
      </c>
      <c r="AF1078" s="73">
        <f>SUM(AE$2:AE1078)</f>
        <v>907021.17226940277</v>
      </c>
      <c r="AG1078" s="73">
        <f t="shared" si="298"/>
        <v>266708.73015770642</v>
      </c>
    </row>
    <row r="1079" spans="1:33" x14ac:dyDescent="0.25">
      <c r="A1079" s="99">
        <v>195999.92</v>
      </c>
      <c r="B1079" s="96">
        <v>847.14390000000003</v>
      </c>
      <c r="C1079" s="96">
        <v>0.6</v>
      </c>
      <c r="D1079" s="80">
        <f t="shared" si="299"/>
        <v>100</v>
      </c>
      <c r="E1079" s="81">
        <f t="shared" si="291"/>
        <v>6791.2436711181272</v>
      </c>
      <c r="F1079" s="81">
        <f>SUM(E$2:E1079)</f>
        <v>6786238.7064664969</v>
      </c>
      <c r="G1079" s="43">
        <f t="shared" si="289"/>
        <v>1</v>
      </c>
      <c r="H1079" s="78">
        <v>1</v>
      </c>
      <c r="I1079" s="15">
        <f t="shared" si="292"/>
        <v>0.6</v>
      </c>
      <c r="J1079" s="16">
        <f>VLOOKUP(G1079,Inputs!$L$3:$P$15,5,FALSE)</f>
        <v>2000</v>
      </c>
      <c r="K1079" s="16">
        <f t="shared" si="293"/>
        <v>1825</v>
      </c>
      <c r="L1079" s="79">
        <f>Inputs!$P$8-B1079</f>
        <v>91.0471</v>
      </c>
      <c r="M1079" s="79">
        <f>Inputs!$Q$8+L1079*0.433</f>
        <v>1864.4233942999999</v>
      </c>
      <c r="N1079" s="82">
        <f t="shared" si="294"/>
        <v>195999.92</v>
      </c>
      <c r="O1079" s="83">
        <f t="shared" si="295"/>
        <v>847.14390000000003</v>
      </c>
      <c r="P1079" s="84">
        <f>IF(O1079="","",Inputs!$C$5-O1079)</f>
        <v>-21.959400000000073</v>
      </c>
      <c r="Q1079" s="83">
        <f>IF(N1079="","",TS!J1079)</f>
        <v>2000</v>
      </c>
      <c r="R1079" s="83">
        <f>IF(N1079="","",TS!K1079)</f>
        <v>1825</v>
      </c>
      <c r="S1079" s="83">
        <f>Inputs!$H$5+TS!P1079*0.4333</f>
        <v>1865.4507084299998</v>
      </c>
      <c r="T1079" s="83">
        <f>Inputs!$G$5+TS!P1079*0.4333</f>
        <v>1880.4507084299998</v>
      </c>
      <c r="U1079" s="85">
        <f t="shared" si="296"/>
        <v>0.94022535421499998</v>
      </c>
      <c r="V1079" s="86">
        <f t="shared" si="300"/>
        <v>0</v>
      </c>
      <c r="W1079" s="86">
        <f t="shared" si="301"/>
        <v>0</v>
      </c>
      <c r="X1079" s="86" t="e">
        <f>((PI()*((42-2*'Gen Calcs'!$E$13)^2)/4)/144)*(A1122-#REF!)*(W1079+14.7)/14.7</f>
        <v>#REF!</v>
      </c>
      <c r="Y1079" s="86" t="e">
        <f t="shared" si="302"/>
        <v>#REF!</v>
      </c>
      <c r="Z1079" s="86" t="e">
        <f t="shared" si="303"/>
        <v>#REF!</v>
      </c>
      <c r="AA1079" s="83">
        <f>MAX(B$2:B1079)-B1079</f>
        <v>91.0471</v>
      </c>
      <c r="AB1079" s="83">
        <f t="shared" si="304"/>
        <v>39.423394299999998</v>
      </c>
      <c r="AC1079" s="83">
        <f t="shared" si="290"/>
        <v>120</v>
      </c>
      <c r="AD1079" s="72">
        <v>120</v>
      </c>
      <c r="AE1079" s="73">
        <f t="shared" si="297"/>
        <v>907.92027688745009</v>
      </c>
      <c r="AF1079" s="73">
        <f>SUM(AE$2:AE1079)</f>
        <v>907929.09254629025</v>
      </c>
      <c r="AG1079" s="73">
        <f t="shared" si="298"/>
        <v>265800.80988081894</v>
      </c>
    </row>
    <row r="1080" spans="1:33" x14ac:dyDescent="0.25">
      <c r="A1080" s="100">
        <v>196099.92</v>
      </c>
      <c r="B1080" s="97">
        <v>844.8347</v>
      </c>
      <c r="C1080" s="97">
        <v>0.6</v>
      </c>
      <c r="D1080" s="80">
        <f t="shared" si="299"/>
        <v>100</v>
      </c>
      <c r="E1080" s="81">
        <f t="shared" si="291"/>
        <v>6791.2436711181272</v>
      </c>
      <c r="F1080" s="81">
        <f>SUM(E$2:E1080)</f>
        <v>6793029.9501376152</v>
      </c>
      <c r="G1080" s="43">
        <f t="shared" si="289"/>
        <v>1</v>
      </c>
      <c r="H1080" s="78">
        <v>1</v>
      </c>
      <c r="I1080" s="15">
        <f t="shared" si="292"/>
        <v>0.6</v>
      </c>
      <c r="J1080" s="16">
        <f>VLOOKUP(G1080,Inputs!$L$3:$P$15,5,FALSE)</f>
        <v>2000</v>
      </c>
      <c r="K1080" s="16">
        <f t="shared" si="293"/>
        <v>1825</v>
      </c>
      <c r="L1080" s="79">
        <f>Inputs!$P$8-B1080</f>
        <v>93.356300000000033</v>
      </c>
      <c r="M1080" s="79">
        <f>Inputs!$Q$8+L1080*0.433</f>
        <v>1865.4232778999999</v>
      </c>
      <c r="N1080" s="82">
        <f t="shared" si="294"/>
        <v>196099.92</v>
      </c>
      <c r="O1080" s="83">
        <f t="shared" si="295"/>
        <v>844.8347</v>
      </c>
      <c r="P1080" s="84">
        <f>IF(O1080="","",Inputs!$C$5-O1080)</f>
        <v>-19.650200000000041</v>
      </c>
      <c r="Q1080" s="83">
        <f>IF(N1080="","",TS!J1080)</f>
        <v>2000</v>
      </c>
      <c r="R1080" s="83">
        <f>IF(N1080="","",TS!K1080)</f>
        <v>1825</v>
      </c>
      <c r="S1080" s="83">
        <f>Inputs!$H$5+TS!P1080*0.4333</f>
        <v>1866.4512847899998</v>
      </c>
      <c r="T1080" s="83">
        <f>Inputs!$G$5+TS!P1080*0.4333</f>
        <v>1881.4512847899998</v>
      </c>
      <c r="U1080" s="85">
        <f t="shared" si="296"/>
        <v>0.94072564239499989</v>
      </c>
      <c r="V1080" s="86">
        <f t="shared" si="300"/>
        <v>0</v>
      </c>
      <c r="W1080" s="86">
        <f t="shared" si="301"/>
        <v>0</v>
      </c>
      <c r="X1080" s="86" t="e">
        <f>((PI()*((42-2*'Gen Calcs'!$E$13)^2)/4)/144)*(A1123-#REF!)*(W1080+14.7)/14.7</f>
        <v>#REF!</v>
      </c>
      <c r="Y1080" s="86" t="e">
        <f t="shared" si="302"/>
        <v>#REF!</v>
      </c>
      <c r="Z1080" s="86" t="e">
        <f t="shared" si="303"/>
        <v>#REF!</v>
      </c>
      <c r="AA1080" s="83">
        <f>MAX(B$2:B1080)-B1080</f>
        <v>93.356300000000033</v>
      </c>
      <c r="AB1080" s="83">
        <f t="shared" si="304"/>
        <v>40.423277900000016</v>
      </c>
      <c r="AC1080" s="83">
        <f t="shared" si="290"/>
        <v>120</v>
      </c>
      <c r="AD1080" s="72">
        <v>120</v>
      </c>
      <c r="AE1080" s="73">
        <f t="shared" si="297"/>
        <v>907.92027688745009</v>
      </c>
      <c r="AF1080" s="73">
        <f>SUM(AE$2:AE1080)</f>
        <v>908837.01282317773</v>
      </c>
      <c r="AG1080" s="73">
        <f t="shared" si="298"/>
        <v>264892.88960393146</v>
      </c>
    </row>
    <row r="1081" spans="1:33" x14ac:dyDescent="0.25">
      <c r="A1081" s="99">
        <v>196199.92</v>
      </c>
      <c r="B1081" s="96">
        <v>842.2595</v>
      </c>
      <c r="C1081" s="96">
        <v>0.6</v>
      </c>
      <c r="D1081" s="80">
        <f t="shared" si="299"/>
        <v>100</v>
      </c>
      <c r="E1081" s="81">
        <f t="shared" si="291"/>
        <v>6791.2436711181272</v>
      </c>
      <c r="F1081" s="81">
        <f>SUM(E$2:E1081)</f>
        <v>6799821.1938087335</v>
      </c>
      <c r="G1081" s="43">
        <f t="shared" si="289"/>
        <v>1</v>
      </c>
      <c r="H1081" s="78">
        <v>1</v>
      </c>
      <c r="I1081" s="15">
        <f t="shared" si="292"/>
        <v>0.6</v>
      </c>
      <c r="J1081" s="16">
        <f>VLOOKUP(G1081,Inputs!$L$3:$P$15,5,FALSE)</f>
        <v>2000</v>
      </c>
      <c r="K1081" s="16">
        <f t="shared" si="293"/>
        <v>1825</v>
      </c>
      <c r="L1081" s="79">
        <f>Inputs!$P$8-B1081</f>
        <v>95.931500000000028</v>
      </c>
      <c r="M1081" s="79">
        <f>Inputs!$Q$8+L1081*0.433</f>
        <v>1866.5383395000001</v>
      </c>
      <c r="N1081" s="82">
        <f t="shared" si="294"/>
        <v>196199.92</v>
      </c>
      <c r="O1081" s="83">
        <f t="shared" si="295"/>
        <v>842.2595</v>
      </c>
      <c r="P1081" s="84">
        <f>IF(O1081="","",Inputs!$C$5-O1081)</f>
        <v>-17.075000000000045</v>
      </c>
      <c r="Q1081" s="83">
        <f>IF(N1081="","",TS!J1081)</f>
        <v>2000</v>
      </c>
      <c r="R1081" s="83">
        <f>IF(N1081="","",TS!K1081)</f>
        <v>1825</v>
      </c>
      <c r="S1081" s="83">
        <f>Inputs!$H$5+TS!P1081*0.4333</f>
        <v>1867.5671189499999</v>
      </c>
      <c r="T1081" s="83">
        <f>Inputs!$G$5+TS!P1081*0.4333</f>
        <v>1882.5671189499999</v>
      </c>
      <c r="U1081" s="85">
        <f t="shared" si="296"/>
        <v>0.94128355947499998</v>
      </c>
      <c r="V1081" s="86">
        <f t="shared" si="300"/>
        <v>0</v>
      </c>
      <c r="W1081" s="86">
        <f t="shared" si="301"/>
        <v>0</v>
      </c>
      <c r="X1081" s="86" t="e">
        <f>((PI()*((42-2*'Gen Calcs'!$E$13)^2)/4)/144)*(A1124-#REF!)*(W1081+14.7)/14.7</f>
        <v>#REF!</v>
      </c>
      <c r="Y1081" s="86" t="e">
        <f t="shared" si="302"/>
        <v>#REF!</v>
      </c>
      <c r="Z1081" s="86" t="e">
        <f t="shared" si="303"/>
        <v>#REF!</v>
      </c>
      <c r="AA1081" s="83">
        <f>MAX(B$2:B1081)-B1081</f>
        <v>95.931500000000028</v>
      </c>
      <c r="AB1081" s="83">
        <f t="shared" si="304"/>
        <v>41.538339500000014</v>
      </c>
      <c r="AC1081" s="83">
        <f t="shared" si="290"/>
        <v>120</v>
      </c>
      <c r="AD1081" s="72">
        <v>120</v>
      </c>
      <c r="AE1081" s="73">
        <f t="shared" si="297"/>
        <v>907.92027688745009</v>
      </c>
      <c r="AF1081" s="73">
        <f>SUM(AE$2:AE1081)</f>
        <v>909744.93310006522</v>
      </c>
      <c r="AG1081" s="73">
        <f t="shared" si="298"/>
        <v>263984.96932704397</v>
      </c>
    </row>
    <row r="1082" spans="1:33" x14ac:dyDescent="0.25">
      <c r="A1082" s="100">
        <v>196299.92</v>
      </c>
      <c r="B1082" s="97">
        <v>840.05200000000002</v>
      </c>
      <c r="C1082" s="97">
        <v>0.6</v>
      </c>
      <c r="D1082" s="80">
        <f t="shared" si="299"/>
        <v>100</v>
      </c>
      <c r="E1082" s="81">
        <f t="shared" si="291"/>
        <v>6791.2436711181272</v>
      </c>
      <c r="F1082" s="81">
        <f>SUM(E$2:E1082)</f>
        <v>6806612.4374798518</v>
      </c>
      <c r="G1082" s="43">
        <f t="shared" si="289"/>
        <v>1</v>
      </c>
      <c r="H1082" s="78">
        <v>1</v>
      </c>
      <c r="I1082" s="15">
        <f t="shared" si="292"/>
        <v>0.6</v>
      </c>
      <c r="J1082" s="16">
        <f>VLOOKUP(G1082,Inputs!$L$3:$P$15,5,FALSE)</f>
        <v>2000</v>
      </c>
      <c r="K1082" s="16">
        <f t="shared" si="293"/>
        <v>1825</v>
      </c>
      <c r="L1082" s="79">
        <f>Inputs!$P$8-B1082</f>
        <v>98.13900000000001</v>
      </c>
      <c r="M1082" s="79">
        <f>Inputs!$Q$8+L1082*0.433</f>
        <v>1867.494187</v>
      </c>
      <c r="N1082" s="82">
        <f t="shared" si="294"/>
        <v>196299.92</v>
      </c>
      <c r="O1082" s="83">
        <f t="shared" si="295"/>
        <v>840.05200000000002</v>
      </c>
      <c r="P1082" s="84">
        <f>IF(O1082="","",Inputs!$C$5-O1082)</f>
        <v>-14.867500000000064</v>
      </c>
      <c r="Q1082" s="83">
        <f>IF(N1082="","",TS!J1082)</f>
        <v>2000</v>
      </c>
      <c r="R1082" s="83">
        <f>IF(N1082="","",TS!K1082)</f>
        <v>1825</v>
      </c>
      <c r="S1082" s="83">
        <f>Inputs!$H$5+TS!P1082*0.4333</f>
        <v>1868.5236287</v>
      </c>
      <c r="T1082" s="83">
        <f>Inputs!$G$5+TS!P1082*0.4333</f>
        <v>1883.5236287</v>
      </c>
      <c r="U1082" s="85">
        <f t="shared" si="296"/>
        <v>0.94176181435000006</v>
      </c>
      <c r="V1082" s="86">
        <f t="shared" si="300"/>
        <v>0</v>
      </c>
      <c r="W1082" s="86">
        <f t="shared" si="301"/>
        <v>0</v>
      </c>
      <c r="X1082" s="86" t="e">
        <f>((PI()*((42-2*'Gen Calcs'!$E$13)^2)/4)/144)*(A1125-#REF!)*(W1082+14.7)/14.7</f>
        <v>#REF!</v>
      </c>
      <c r="Y1082" s="86" t="e">
        <f t="shared" si="302"/>
        <v>#REF!</v>
      </c>
      <c r="Z1082" s="86" t="e">
        <f t="shared" si="303"/>
        <v>#REF!</v>
      </c>
      <c r="AA1082" s="83">
        <f>MAX(B$2:B1082)-B1082</f>
        <v>98.13900000000001</v>
      </c>
      <c r="AB1082" s="83">
        <f t="shared" si="304"/>
        <v>42.494187000000004</v>
      </c>
      <c r="AC1082" s="83">
        <f t="shared" si="290"/>
        <v>120</v>
      </c>
      <c r="AD1082" s="72">
        <v>120</v>
      </c>
      <c r="AE1082" s="73">
        <f t="shared" si="297"/>
        <v>907.92027688745009</v>
      </c>
      <c r="AF1082" s="73">
        <f>SUM(AE$2:AE1082)</f>
        <v>910652.8533769527</v>
      </c>
      <c r="AG1082" s="73">
        <f t="shared" si="298"/>
        <v>263077.04905015649</v>
      </c>
    </row>
    <row r="1083" spans="1:33" x14ac:dyDescent="0.25">
      <c r="A1083" s="99">
        <v>196399.92</v>
      </c>
      <c r="B1083" s="96">
        <v>836.06269999999995</v>
      </c>
      <c r="C1083" s="96">
        <v>0.6</v>
      </c>
      <c r="D1083" s="80">
        <f t="shared" si="299"/>
        <v>100</v>
      </c>
      <c r="E1083" s="81">
        <f t="shared" si="291"/>
        <v>6791.2436711181272</v>
      </c>
      <c r="F1083" s="81">
        <f>SUM(E$2:E1083)</f>
        <v>6813403.68115097</v>
      </c>
      <c r="G1083" s="43">
        <f t="shared" si="289"/>
        <v>1</v>
      </c>
      <c r="H1083" s="78">
        <v>1</v>
      </c>
      <c r="I1083" s="15">
        <f t="shared" si="292"/>
        <v>0.6</v>
      </c>
      <c r="J1083" s="16">
        <f>VLOOKUP(G1083,Inputs!$L$3:$P$15,5,FALSE)</f>
        <v>2000</v>
      </c>
      <c r="K1083" s="16">
        <f t="shared" si="293"/>
        <v>1825</v>
      </c>
      <c r="L1083" s="79">
        <f>Inputs!$P$8-B1083</f>
        <v>102.12830000000008</v>
      </c>
      <c r="M1083" s="79">
        <f>Inputs!$Q$8+L1083*0.433</f>
        <v>1869.2215539000001</v>
      </c>
      <c r="N1083" s="82">
        <f t="shared" si="294"/>
        <v>196399.92</v>
      </c>
      <c r="O1083" s="83">
        <f t="shared" si="295"/>
        <v>836.06269999999995</v>
      </c>
      <c r="P1083" s="84">
        <f>IF(O1083="","",Inputs!$C$5-O1083)</f>
        <v>-10.878199999999993</v>
      </c>
      <c r="Q1083" s="83">
        <f>IF(N1083="","",TS!J1083)</f>
        <v>2000</v>
      </c>
      <c r="R1083" s="83">
        <f>IF(N1083="","",TS!K1083)</f>
        <v>1825</v>
      </c>
      <c r="S1083" s="83">
        <f>Inputs!$H$5+TS!P1083*0.4333</f>
        <v>1870.2521923899999</v>
      </c>
      <c r="T1083" s="83">
        <f>Inputs!$G$5+TS!P1083*0.4333</f>
        <v>1885.2521923899999</v>
      </c>
      <c r="U1083" s="85">
        <f t="shared" si="296"/>
        <v>0.94262609619499993</v>
      </c>
      <c r="V1083" s="86">
        <f t="shared" si="300"/>
        <v>0</v>
      </c>
      <c r="W1083" s="86">
        <f t="shared" si="301"/>
        <v>0</v>
      </c>
      <c r="X1083" s="86" t="e">
        <f>((PI()*((42-2*'Gen Calcs'!$E$13)^2)/4)/144)*(A1126-#REF!)*(W1083+14.7)/14.7</f>
        <v>#REF!</v>
      </c>
      <c r="Y1083" s="86" t="e">
        <f t="shared" si="302"/>
        <v>#REF!</v>
      </c>
      <c r="Z1083" s="86" t="e">
        <f t="shared" si="303"/>
        <v>#REF!</v>
      </c>
      <c r="AA1083" s="83">
        <f>MAX(B$2:B1083)-B1083</f>
        <v>102.12830000000008</v>
      </c>
      <c r="AB1083" s="83">
        <f t="shared" si="304"/>
        <v>44.221553900000032</v>
      </c>
      <c r="AC1083" s="83">
        <f t="shared" si="290"/>
        <v>120</v>
      </c>
      <c r="AD1083" s="72">
        <v>120</v>
      </c>
      <c r="AE1083" s="73">
        <f t="shared" si="297"/>
        <v>907.92027688745009</v>
      </c>
      <c r="AF1083" s="73">
        <f>SUM(AE$2:AE1083)</f>
        <v>911560.77365384018</v>
      </c>
      <c r="AG1083" s="73">
        <f t="shared" si="298"/>
        <v>262169.12877326901</v>
      </c>
    </row>
    <row r="1084" spans="1:33" x14ac:dyDescent="0.25">
      <c r="A1084" s="100">
        <v>196499.92</v>
      </c>
      <c r="B1084" s="97">
        <v>833.95730000000003</v>
      </c>
      <c r="C1084" s="97">
        <v>0.6</v>
      </c>
      <c r="D1084" s="80">
        <f t="shared" si="299"/>
        <v>100</v>
      </c>
      <c r="E1084" s="81">
        <f t="shared" si="291"/>
        <v>6791.2436711181272</v>
      </c>
      <c r="F1084" s="81">
        <f>SUM(E$2:E1084)</f>
        <v>6820194.9248220883</v>
      </c>
      <c r="G1084" s="43">
        <f t="shared" si="289"/>
        <v>1</v>
      </c>
      <c r="H1084" s="78">
        <v>1</v>
      </c>
      <c r="I1084" s="15">
        <f t="shared" si="292"/>
        <v>0.6</v>
      </c>
      <c r="J1084" s="16">
        <f>VLOOKUP(G1084,Inputs!$L$3:$P$15,5,FALSE)</f>
        <v>2000</v>
      </c>
      <c r="K1084" s="16">
        <f t="shared" si="293"/>
        <v>1825</v>
      </c>
      <c r="L1084" s="79">
        <f>Inputs!$P$8-B1084</f>
        <v>104.2337</v>
      </c>
      <c r="M1084" s="79">
        <f>Inputs!$Q$8+L1084*0.433</f>
        <v>1870.1331921000001</v>
      </c>
      <c r="N1084" s="82">
        <f t="shared" si="294"/>
        <v>196499.92</v>
      </c>
      <c r="O1084" s="83">
        <f t="shared" si="295"/>
        <v>833.95730000000003</v>
      </c>
      <c r="P1084" s="84">
        <f>IF(O1084="","",Inputs!$C$5-O1084)</f>
        <v>-8.7728000000000748</v>
      </c>
      <c r="Q1084" s="83">
        <f>IF(N1084="","",TS!J1084)</f>
        <v>2000</v>
      </c>
      <c r="R1084" s="83">
        <f>IF(N1084="","",TS!K1084)</f>
        <v>1825</v>
      </c>
      <c r="S1084" s="83">
        <f>Inputs!$H$5+TS!P1084*0.4333</f>
        <v>1871.16446221</v>
      </c>
      <c r="T1084" s="83">
        <f>Inputs!$G$5+TS!P1084*0.4333</f>
        <v>1886.16446221</v>
      </c>
      <c r="U1084" s="85">
        <f t="shared" si="296"/>
        <v>0.943082231105</v>
      </c>
      <c r="V1084" s="86">
        <f t="shared" si="300"/>
        <v>0</v>
      </c>
      <c r="W1084" s="86">
        <f t="shared" si="301"/>
        <v>0</v>
      </c>
      <c r="X1084" s="86" t="e">
        <f>((PI()*((42-2*'Gen Calcs'!$E$13)^2)/4)/144)*(A1127-#REF!)*(W1084+14.7)/14.7</f>
        <v>#REF!</v>
      </c>
      <c r="Y1084" s="86" t="e">
        <f t="shared" si="302"/>
        <v>#REF!</v>
      </c>
      <c r="Z1084" s="86" t="e">
        <f t="shared" si="303"/>
        <v>#REF!</v>
      </c>
      <c r="AA1084" s="83">
        <f>MAX(B$2:B1084)-B1084</f>
        <v>104.2337</v>
      </c>
      <c r="AB1084" s="83">
        <f t="shared" si="304"/>
        <v>45.133192100000002</v>
      </c>
      <c r="AC1084" s="83">
        <f t="shared" si="290"/>
        <v>120</v>
      </c>
      <c r="AD1084" s="72">
        <v>120</v>
      </c>
      <c r="AE1084" s="73">
        <f t="shared" si="297"/>
        <v>907.92027688745009</v>
      </c>
      <c r="AF1084" s="73">
        <f>SUM(AE$2:AE1084)</f>
        <v>912468.69393072766</v>
      </c>
      <c r="AG1084" s="73">
        <f t="shared" si="298"/>
        <v>261261.20849638153</v>
      </c>
    </row>
    <row r="1085" spans="1:33" x14ac:dyDescent="0.25">
      <c r="A1085" s="99">
        <v>196535.5</v>
      </c>
      <c r="B1085" s="96">
        <v>833.95730000000003</v>
      </c>
      <c r="C1085" s="96">
        <v>0.86399999999999999</v>
      </c>
      <c r="D1085" s="80">
        <f t="shared" si="299"/>
        <v>35.579999999987194</v>
      </c>
      <c r="E1085" s="81">
        <f t="shared" si="291"/>
        <v>2416.3244981829598</v>
      </c>
      <c r="F1085" s="81">
        <f>SUM(E$2:E1085)</f>
        <v>6822611.2493202714</v>
      </c>
      <c r="G1085" s="43">
        <f t="shared" si="289"/>
        <v>2</v>
      </c>
      <c r="H1085" s="78">
        <v>1</v>
      </c>
      <c r="I1085" s="15">
        <f t="shared" si="292"/>
        <v>0.86399999999999999</v>
      </c>
      <c r="J1085" s="16">
        <f>VLOOKUP(G1085,Inputs!$L$3:$P$15,5,FALSE)</f>
        <v>2880</v>
      </c>
      <c r="K1085" s="16">
        <f t="shared" si="293"/>
        <v>1825</v>
      </c>
      <c r="L1085" s="79">
        <f>Inputs!$P$8-B1085</f>
        <v>104.2337</v>
      </c>
      <c r="M1085" s="79">
        <f>Inputs!$Q$8+L1085*0.433</f>
        <v>1870.1331921000001</v>
      </c>
      <c r="N1085" s="82">
        <f t="shared" si="294"/>
        <v>196535.5</v>
      </c>
      <c r="O1085" s="83">
        <f t="shared" si="295"/>
        <v>833.95730000000003</v>
      </c>
      <c r="P1085" s="84">
        <f>IF(O1085="","",Inputs!$C$5-O1085)</f>
        <v>-8.7728000000000748</v>
      </c>
      <c r="Q1085" s="83">
        <f>IF(N1085="","",TS!J1085)</f>
        <v>2880</v>
      </c>
      <c r="R1085" s="83">
        <f>IF(N1085="","",TS!K1085)</f>
        <v>1825</v>
      </c>
      <c r="S1085" s="83">
        <f>Inputs!$H$5+TS!P1085*0.4333</f>
        <v>1871.16446221</v>
      </c>
      <c r="T1085" s="83">
        <f>Inputs!$G$5+TS!P1085*0.4333</f>
        <v>1886.16446221</v>
      </c>
      <c r="U1085" s="85">
        <f t="shared" si="296"/>
        <v>0.65491821604513889</v>
      </c>
      <c r="V1085" s="86">
        <f t="shared" si="300"/>
        <v>0</v>
      </c>
      <c r="W1085" s="86">
        <f t="shared" si="301"/>
        <v>0</v>
      </c>
      <c r="X1085" s="86" t="e">
        <f>((PI()*((42-2*'Gen Calcs'!$E$13)^2)/4)/144)*(A1128-#REF!)*(W1085+14.7)/14.7</f>
        <v>#REF!</v>
      </c>
      <c r="Y1085" s="86" t="e">
        <f t="shared" si="302"/>
        <v>#REF!</v>
      </c>
      <c r="Z1085" s="86" t="e">
        <f t="shared" si="303"/>
        <v>#REF!</v>
      </c>
      <c r="AA1085" s="83">
        <f>MAX(B$2:B1085)-B1085</f>
        <v>104.2337</v>
      </c>
      <c r="AB1085" s="83">
        <f t="shared" si="304"/>
        <v>45.133192100000002</v>
      </c>
      <c r="AC1085" s="83">
        <f t="shared" si="290"/>
        <v>120</v>
      </c>
      <c r="AD1085" s="72">
        <v>120</v>
      </c>
      <c r="AE1085" s="73">
        <f t="shared" si="297"/>
        <v>314.73115058110159</v>
      </c>
      <c r="AF1085" s="73">
        <f>SUM(AE$2:AE1085)</f>
        <v>912783.42508130881</v>
      </c>
      <c r="AG1085" s="73">
        <f t="shared" si="298"/>
        <v>260946.47734580038</v>
      </c>
    </row>
    <row r="1086" spans="1:33" x14ac:dyDescent="0.25">
      <c r="A1086" s="100">
        <v>196599.92</v>
      </c>
      <c r="B1086" s="97">
        <v>834.19399999999996</v>
      </c>
      <c r="C1086" s="97">
        <v>0.6</v>
      </c>
      <c r="D1086" s="80">
        <f t="shared" si="299"/>
        <v>64.420000000012806</v>
      </c>
      <c r="E1086" s="81">
        <f t="shared" si="291"/>
        <v>4374.9191729351669</v>
      </c>
      <c r="F1086" s="81">
        <f>SUM(E$2:E1086)</f>
        <v>6826986.1684932066</v>
      </c>
      <c r="G1086" s="43">
        <f t="shared" si="289"/>
        <v>1</v>
      </c>
      <c r="H1086" s="78">
        <v>1</v>
      </c>
      <c r="I1086" s="15">
        <f t="shared" si="292"/>
        <v>0.6</v>
      </c>
      <c r="J1086" s="16">
        <f>VLOOKUP(G1086,Inputs!$L$3:$P$15,5,FALSE)</f>
        <v>2000</v>
      </c>
      <c r="K1086" s="16">
        <f t="shared" si="293"/>
        <v>1825</v>
      </c>
      <c r="L1086" s="79">
        <f>Inputs!$P$8-B1086</f>
        <v>103.99700000000007</v>
      </c>
      <c r="M1086" s="79">
        <f>Inputs!$Q$8+L1086*0.433</f>
        <v>1870.0307010000001</v>
      </c>
      <c r="N1086" s="82">
        <f t="shared" si="294"/>
        <v>196599.92</v>
      </c>
      <c r="O1086" s="83">
        <f t="shared" si="295"/>
        <v>834.19399999999996</v>
      </c>
      <c r="P1086" s="84">
        <f>IF(O1086="","",Inputs!$C$5-O1086)</f>
        <v>-9.0095000000000027</v>
      </c>
      <c r="Q1086" s="83">
        <f>IF(N1086="","",TS!J1086)</f>
        <v>2000</v>
      </c>
      <c r="R1086" s="83">
        <f>IF(N1086="","",TS!K1086)</f>
        <v>1825</v>
      </c>
      <c r="S1086" s="83">
        <f>Inputs!$H$5+TS!P1086*0.4333</f>
        <v>1871.0619001</v>
      </c>
      <c r="T1086" s="83">
        <f>Inputs!$G$5+TS!P1086*0.4333</f>
        <v>1886.0619001</v>
      </c>
      <c r="U1086" s="85">
        <f t="shared" si="296"/>
        <v>0.94303095005000004</v>
      </c>
      <c r="V1086" s="86">
        <f t="shared" si="300"/>
        <v>0</v>
      </c>
      <c r="W1086" s="86">
        <f t="shared" si="301"/>
        <v>0</v>
      </c>
      <c r="X1086" s="86" t="e">
        <f>((PI()*((42-2*'Gen Calcs'!$E$13)^2)/4)/144)*(A1129-#REF!)*(W1086+14.7)/14.7</f>
        <v>#REF!</v>
      </c>
      <c r="Y1086" s="86" t="e">
        <f t="shared" si="302"/>
        <v>#REF!</v>
      </c>
      <c r="Z1086" s="86" t="e">
        <f t="shared" si="303"/>
        <v>#REF!</v>
      </c>
      <c r="AA1086" s="83">
        <f>MAX(B$2:B1086)-B1086</f>
        <v>103.99700000000007</v>
      </c>
      <c r="AB1086" s="83">
        <f t="shared" si="304"/>
        <v>45.030701000000029</v>
      </c>
      <c r="AC1086" s="83">
        <f t="shared" si="290"/>
        <v>120</v>
      </c>
      <c r="AD1086" s="72">
        <v>120</v>
      </c>
      <c r="AE1086" s="73">
        <f t="shared" si="297"/>
        <v>584.88224237101156</v>
      </c>
      <c r="AF1086" s="73">
        <f>SUM(AE$2:AE1086)</f>
        <v>913368.30732367979</v>
      </c>
      <c r="AG1086" s="73">
        <f t="shared" si="298"/>
        <v>260361.5951034294</v>
      </c>
    </row>
    <row r="1087" spans="1:33" x14ac:dyDescent="0.25">
      <c r="A1087" s="99">
        <v>196695.5</v>
      </c>
      <c r="B1087" s="96">
        <v>834.19399999999996</v>
      </c>
      <c r="C1087" s="96">
        <v>0.86399999999999999</v>
      </c>
      <c r="D1087" s="80">
        <f t="shared" si="299"/>
        <v>95.579999999987194</v>
      </c>
      <c r="E1087" s="81">
        <f t="shared" si="291"/>
        <v>6491.0707008538357</v>
      </c>
      <c r="F1087" s="81">
        <f>SUM(E$2:E1087)</f>
        <v>6833477.2391940607</v>
      </c>
      <c r="G1087" s="43">
        <f t="shared" si="289"/>
        <v>2</v>
      </c>
      <c r="H1087" s="78">
        <v>1</v>
      </c>
      <c r="I1087" s="15">
        <f t="shared" si="292"/>
        <v>0.86399999999999999</v>
      </c>
      <c r="J1087" s="16">
        <f>VLOOKUP(G1087,Inputs!$L$3:$P$15,5,FALSE)</f>
        <v>2880</v>
      </c>
      <c r="K1087" s="16">
        <f t="shared" si="293"/>
        <v>1825</v>
      </c>
      <c r="L1087" s="79">
        <f>Inputs!$P$8-B1087</f>
        <v>103.99700000000007</v>
      </c>
      <c r="M1087" s="79">
        <f>Inputs!$Q$8+L1087*0.433</f>
        <v>1870.0307010000001</v>
      </c>
      <c r="N1087" s="82">
        <f t="shared" si="294"/>
        <v>196695.5</v>
      </c>
      <c r="O1087" s="83">
        <f t="shared" si="295"/>
        <v>834.19399999999996</v>
      </c>
      <c r="P1087" s="84">
        <f>IF(O1087="","",Inputs!$C$5-O1087)</f>
        <v>-9.0095000000000027</v>
      </c>
      <c r="Q1087" s="83">
        <f>IF(N1087="","",TS!J1087)</f>
        <v>2880</v>
      </c>
      <c r="R1087" s="83">
        <f>IF(N1087="","",TS!K1087)</f>
        <v>1825</v>
      </c>
      <c r="S1087" s="83">
        <f>Inputs!$H$5+TS!P1087*0.4333</f>
        <v>1871.0619001</v>
      </c>
      <c r="T1087" s="83">
        <f>Inputs!$G$5+TS!P1087*0.4333</f>
        <v>1886.0619001</v>
      </c>
      <c r="U1087" s="85">
        <f t="shared" si="296"/>
        <v>0.65488260420138888</v>
      </c>
      <c r="V1087" s="86">
        <f t="shared" si="300"/>
        <v>0</v>
      </c>
      <c r="W1087" s="86">
        <f t="shared" si="301"/>
        <v>0</v>
      </c>
      <c r="X1087" s="86" t="e">
        <f>((PI()*((42-2*'Gen Calcs'!$E$13)^2)/4)/144)*(A1130-#REF!)*(W1087+14.7)/14.7</f>
        <v>#REF!</v>
      </c>
      <c r="Y1087" s="86" t="e">
        <f t="shared" si="302"/>
        <v>#REF!</v>
      </c>
      <c r="Z1087" s="86" t="e">
        <f t="shared" si="303"/>
        <v>#REF!</v>
      </c>
      <c r="AA1087" s="83">
        <f>MAX(B$2:B1087)-B1087</f>
        <v>103.99700000000007</v>
      </c>
      <c r="AB1087" s="83">
        <f t="shared" si="304"/>
        <v>45.030701000000029</v>
      </c>
      <c r="AC1087" s="83">
        <f t="shared" si="290"/>
        <v>120</v>
      </c>
      <c r="AD1087" s="72">
        <v>120</v>
      </c>
      <c r="AE1087" s="73">
        <f t="shared" si="297"/>
        <v>845.47508073492088</v>
      </c>
      <c r="AF1087" s="73">
        <f>SUM(AE$2:AE1087)</f>
        <v>914213.78240441473</v>
      </c>
      <c r="AG1087" s="73">
        <f t="shared" si="298"/>
        <v>259516.12002269446</v>
      </c>
    </row>
    <row r="1088" spans="1:33" x14ac:dyDescent="0.25">
      <c r="A1088" s="100">
        <v>196699.92</v>
      </c>
      <c r="B1088" s="97">
        <v>829.87630000000001</v>
      </c>
      <c r="C1088" s="97">
        <v>0.6</v>
      </c>
      <c r="D1088" s="80">
        <f t="shared" si="299"/>
        <v>4.4200000000128057</v>
      </c>
      <c r="E1088" s="81">
        <f t="shared" si="291"/>
        <v>300.17297026429083</v>
      </c>
      <c r="F1088" s="81">
        <f>SUM(E$2:E1088)</f>
        <v>6833777.4121643249</v>
      </c>
      <c r="G1088" s="43">
        <f t="shared" si="289"/>
        <v>1</v>
      </c>
      <c r="H1088" s="78">
        <v>1</v>
      </c>
      <c r="I1088" s="15">
        <f t="shared" si="292"/>
        <v>0.6</v>
      </c>
      <c r="J1088" s="16">
        <f>VLOOKUP(G1088,Inputs!$L$3:$P$15,5,FALSE)</f>
        <v>2000</v>
      </c>
      <c r="K1088" s="16">
        <f t="shared" si="293"/>
        <v>1825</v>
      </c>
      <c r="L1088" s="79">
        <f>Inputs!$P$8-B1088</f>
        <v>108.31470000000002</v>
      </c>
      <c r="M1088" s="79">
        <f>Inputs!$Q$8+L1088*0.433</f>
        <v>1871.9002651000001</v>
      </c>
      <c r="N1088" s="82">
        <f t="shared" si="294"/>
        <v>196699.92</v>
      </c>
      <c r="O1088" s="83">
        <f t="shared" si="295"/>
        <v>829.87630000000001</v>
      </c>
      <c r="P1088" s="84">
        <f>IF(O1088="","",Inputs!$C$5-O1088)</f>
        <v>-4.6918000000000575</v>
      </c>
      <c r="Q1088" s="83">
        <f>IF(N1088="","",TS!J1088)</f>
        <v>2000</v>
      </c>
      <c r="R1088" s="83">
        <f>IF(N1088="","",TS!K1088)</f>
        <v>1825</v>
      </c>
      <c r="S1088" s="83">
        <f>Inputs!$H$5+TS!P1088*0.4333</f>
        <v>1872.9327595099999</v>
      </c>
      <c r="T1088" s="83">
        <f>Inputs!$G$5+TS!P1088*0.4333</f>
        <v>1887.9327595099999</v>
      </c>
      <c r="U1088" s="85">
        <f t="shared" si="296"/>
        <v>0.94396637975499997</v>
      </c>
      <c r="V1088" s="86">
        <f t="shared" si="300"/>
        <v>0</v>
      </c>
      <c r="W1088" s="86">
        <f t="shared" si="301"/>
        <v>0</v>
      </c>
      <c r="X1088" s="86" t="e">
        <f>((PI()*((42-2*'Gen Calcs'!$E$13)^2)/4)/144)*(A1131-#REF!)*(W1088+14.7)/14.7</f>
        <v>#REF!</v>
      </c>
      <c r="Y1088" s="86" t="e">
        <f t="shared" si="302"/>
        <v>#REF!</v>
      </c>
      <c r="Z1088" s="86" t="e">
        <f t="shared" si="303"/>
        <v>#REF!</v>
      </c>
      <c r="AA1088" s="83">
        <f>MAX(B$2:B1088)-B1088</f>
        <v>108.31470000000002</v>
      </c>
      <c r="AB1088" s="83">
        <f t="shared" si="304"/>
        <v>46.900265100000006</v>
      </c>
      <c r="AC1088" s="83">
        <f t="shared" si="290"/>
        <v>120</v>
      </c>
      <c r="AD1088" s="72">
        <v>120</v>
      </c>
      <c r="AE1088" s="73">
        <f t="shared" si="297"/>
        <v>40.130076238541555</v>
      </c>
      <c r="AF1088" s="73">
        <f>SUM(AE$2:AE1088)</f>
        <v>914253.91248065326</v>
      </c>
      <c r="AG1088" s="73">
        <f t="shared" si="298"/>
        <v>259475.98994645593</v>
      </c>
    </row>
    <row r="1089" spans="1:33" x14ac:dyDescent="0.25">
      <c r="A1089" s="99">
        <v>196799.92</v>
      </c>
      <c r="B1089" s="96">
        <v>828.81299999999999</v>
      </c>
      <c r="C1089" s="96">
        <v>0.6</v>
      </c>
      <c r="D1089" s="80">
        <f t="shared" si="299"/>
        <v>100</v>
      </c>
      <c r="E1089" s="81">
        <f t="shared" si="291"/>
        <v>6791.2436711181272</v>
      </c>
      <c r="F1089" s="81">
        <f>SUM(E$2:E1089)</f>
        <v>6840568.6558354432</v>
      </c>
      <c r="G1089" s="43">
        <f t="shared" si="289"/>
        <v>1</v>
      </c>
      <c r="H1089" s="78">
        <v>1</v>
      </c>
      <c r="I1089" s="15">
        <f t="shared" si="292"/>
        <v>0.6</v>
      </c>
      <c r="J1089" s="16">
        <f>VLOOKUP(G1089,Inputs!$L$3:$P$15,5,FALSE)</f>
        <v>2000</v>
      </c>
      <c r="K1089" s="16">
        <f t="shared" si="293"/>
        <v>1825</v>
      </c>
      <c r="L1089" s="79">
        <f>Inputs!$P$8-B1089</f>
        <v>109.37800000000004</v>
      </c>
      <c r="M1089" s="79">
        <f>Inputs!$Q$8+L1089*0.433</f>
        <v>1872.360674</v>
      </c>
      <c r="N1089" s="82">
        <f t="shared" si="294"/>
        <v>196799.92</v>
      </c>
      <c r="O1089" s="83">
        <f t="shared" si="295"/>
        <v>828.81299999999999</v>
      </c>
      <c r="P1089" s="84">
        <f>IF(O1089="","",Inputs!$C$5-O1089)</f>
        <v>-3.6285000000000309</v>
      </c>
      <c r="Q1089" s="83">
        <f>IF(N1089="","",TS!J1089)</f>
        <v>2000</v>
      </c>
      <c r="R1089" s="83">
        <f>IF(N1089="","",TS!K1089)</f>
        <v>1825</v>
      </c>
      <c r="S1089" s="83">
        <f>Inputs!$H$5+TS!P1089*0.4333</f>
        <v>1873.3934873999999</v>
      </c>
      <c r="T1089" s="83">
        <f>Inputs!$G$5+TS!P1089*0.4333</f>
        <v>1888.3934873999999</v>
      </c>
      <c r="U1089" s="85">
        <f t="shared" si="296"/>
        <v>0.94419674369999995</v>
      </c>
      <c r="V1089" s="86">
        <f t="shared" si="300"/>
        <v>0</v>
      </c>
      <c r="W1089" s="86">
        <f t="shared" si="301"/>
        <v>0</v>
      </c>
      <c r="X1089" s="86" t="e">
        <f>((PI()*((42-2*'Gen Calcs'!$E$13)^2)/4)/144)*(A1132-#REF!)*(W1089+14.7)/14.7</f>
        <v>#REF!</v>
      </c>
      <c r="Y1089" s="86" t="e">
        <f t="shared" si="302"/>
        <v>#REF!</v>
      </c>
      <c r="Z1089" s="86" t="e">
        <f t="shared" si="303"/>
        <v>#REF!</v>
      </c>
      <c r="AA1089" s="83">
        <f>MAX(B$2:B1089)-B1089</f>
        <v>109.37800000000004</v>
      </c>
      <c r="AB1089" s="83">
        <f t="shared" si="304"/>
        <v>47.360674000000017</v>
      </c>
      <c r="AC1089" s="83">
        <f t="shared" si="290"/>
        <v>120</v>
      </c>
      <c r="AD1089" s="72">
        <v>120</v>
      </c>
      <c r="AE1089" s="73">
        <f t="shared" si="297"/>
        <v>907.92027688745009</v>
      </c>
      <c r="AF1089" s="73">
        <f>SUM(AE$2:AE1089)</f>
        <v>915161.83275754075</v>
      </c>
      <c r="AG1089" s="73">
        <f t="shared" si="298"/>
        <v>258568.06966956845</v>
      </c>
    </row>
    <row r="1090" spans="1:33" x14ac:dyDescent="0.25">
      <c r="A1090" s="100">
        <v>196899.92</v>
      </c>
      <c r="B1090" s="97">
        <v>829.13160000000005</v>
      </c>
      <c r="C1090" s="97">
        <v>0.6</v>
      </c>
      <c r="D1090" s="80">
        <f t="shared" si="299"/>
        <v>100</v>
      </c>
      <c r="E1090" s="81">
        <f t="shared" si="291"/>
        <v>6791.2436711181272</v>
      </c>
      <c r="F1090" s="81">
        <f>SUM(E$2:E1090)</f>
        <v>6847359.8995065615</v>
      </c>
      <c r="G1090" s="43">
        <f t="shared" si="289"/>
        <v>1</v>
      </c>
      <c r="H1090" s="78">
        <v>1</v>
      </c>
      <c r="I1090" s="15">
        <f t="shared" si="292"/>
        <v>0.6</v>
      </c>
      <c r="J1090" s="16">
        <f>VLOOKUP(G1090,Inputs!$L$3:$P$15,5,FALSE)</f>
        <v>2000</v>
      </c>
      <c r="K1090" s="16">
        <f t="shared" si="293"/>
        <v>1825</v>
      </c>
      <c r="L1090" s="79">
        <f>Inputs!$P$8-B1090</f>
        <v>109.05939999999998</v>
      </c>
      <c r="M1090" s="79">
        <f>Inputs!$Q$8+L1090*0.433</f>
        <v>1872.2227201999999</v>
      </c>
      <c r="N1090" s="82">
        <f t="shared" si="294"/>
        <v>196899.92</v>
      </c>
      <c r="O1090" s="83">
        <f t="shared" si="295"/>
        <v>829.13160000000005</v>
      </c>
      <c r="P1090" s="84">
        <f>IF(O1090="","",Inputs!$C$5-O1090)</f>
        <v>-3.9471000000000913</v>
      </c>
      <c r="Q1090" s="83">
        <f>IF(N1090="","",TS!J1090)</f>
        <v>2000</v>
      </c>
      <c r="R1090" s="83">
        <f>IF(N1090="","",TS!K1090)</f>
        <v>1825</v>
      </c>
      <c r="S1090" s="83">
        <f>Inputs!$H$5+TS!P1090*0.4333</f>
        <v>1873.2554380199999</v>
      </c>
      <c r="T1090" s="83">
        <f>Inputs!$G$5+TS!P1090*0.4333</f>
        <v>1888.2554380199999</v>
      </c>
      <c r="U1090" s="85">
        <f t="shared" si="296"/>
        <v>0.94412771900999992</v>
      </c>
      <c r="V1090" s="86">
        <f t="shared" si="300"/>
        <v>0</v>
      </c>
      <c r="W1090" s="86">
        <f t="shared" si="301"/>
        <v>0</v>
      </c>
      <c r="X1090" s="86" t="e">
        <f>((PI()*((42-2*'Gen Calcs'!$E$13)^2)/4)/144)*(A1133-#REF!)*(W1090+14.7)/14.7</f>
        <v>#REF!</v>
      </c>
      <c r="Y1090" s="86" t="e">
        <f t="shared" si="302"/>
        <v>#REF!</v>
      </c>
      <c r="Z1090" s="86" t="e">
        <f t="shared" si="303"/>
        <v>#REF!</v>
      </c>
      <c r="AA1090" s="83">
        <f>MAX(B$2:B1090)-B1090</f>
        <v>109.05939999999998</v>
      </c>
      <c r="AB1090" s="83">
        <f t="shared" si="304"/>
        <v>47.222720199999991</v>
      </c>
      <c r="AC1090" s="83">
        <f t="shared" si="290"/>
        <v>120</v>
      </c>
      <c r="AD1090" s="72">
        <v>120</v>
      </c>
      <c r="AE1090" s="73">
        <f t="shared" si="297"/>
        <v>907.92027688745009</v>
      </c>
      <c r="AF1090" s="73">
        <f>SUM(AE$2:AE1090)</f>
        <v>916069.75303442823</v>
      </c>
      <c r="AG1090" s="73">
        <f t="shared" si="298"/>
        <v>257660.14939268096</v>
      </c>
    </row>
    <row r="1091" spans="1:33" x14ac:dyDescent="0.25">
      <c r="A1091" s="99">
        <v>196999.92</v>
      </c>
      <c r="B1091" s="96">
        <v>828.66520000000003</v>
      </c>
      <c r="C1091" s="96">
        <v>0.6</v>
      </c>
      <c r="D1091" s="80">
        <f t="shared" si="299"/>
        <v>100</v>
      </c>
      <c r="E1091" s="81">
        <f t="shared" si="291"/>
        <v>6791.2436711181272</v>
      </c>
      <c r="F1091" s="81">
        <f>SUM(E$2:E1091)</f>
        <v>6854151.1431776797</v>
      </c>
      <c r="G1091" s="43">
        <f t="shared" ref="G1091:G1154" si="305">IF(C1091=0.72,12,IF(C1091=1,11,IF(C1091=0.825,10,IF(C1091=0.6,1,IF(C1091=0.864,2,IF(C1091=0.888,3))))))</f>
        <v>1</v>
      </c>
      <c r="H1091" s="78">
        <v>1</v>
      </c>
      <c r="I1091" s="15">
        <f t="shared" si="292"/>
        <v>0.6</v>
      </c>
      <c r="J1091" s="16">
        <f>VLOOKUP(G1091,Inputs!$L$3:$P$15,5,FALSE)</f>
        <v>2000</v>
      </c>
      <c r="K1091" s="16">
        <f t="shared" si="293"/>
        <v>1825</v>
      </c>
      <c r="L1091" s="79">
        <f>Inputs!$P$8-B1091</f>
        <v>109.5258</v>
      </c>
      <c r="M1091" s="79">
        <f>Inputs!$Q$8+L1091*0.433</f>
        <v>1872.4246714000001</v>
      </c>
      <c r="N1091" s="82">
        <f t="shared" si="294"/>
        <v>196999.92</v>
      </c>
      <c r="O1091" s="83">
        <f t="shared" si="295"/>
        <v>828.66520000000003</v>
      </c>
      <c r="P1091" s="84">
        <f>IF(O1091="","",Inputs!$C$5-O1091)</f>
        <v>-3.4807000000000698</v>
      </c>
      <c r="Q1091" s="83">
        <f>IF(N1091="","",TS!J1091)</f>
        <v>2000</v>
      </c>
      <c r="R1091" s="83">
        <f>IF(N1091="","",TS!K1091)</f>
        <v>1825</v>
      </c>
      <c r="S1091" s="83">
        <f>Inputs!$H$5+TS!P1091*0.4333</f>
        <v>1873.4575291399999</v>
      </c>
      <c r="T1091" s="83">
        <f>Inputs!$G$5+TS!P1091*0.4333</f>
        <v>1888.4575291399999</v>
      </c>
      <c r="U1091" s="85">
        <f t="shared" si="296"/>
        <v>0.94422876456999993</v>
      </c>
      <c r="V1091" s="86">
        <f t="shared" si="300"/>
        <v>0</v>
      </c>
      <c r="W1091" s="86">
        <f t="shared" si="301"/>
        <v>0</v>
      </c>
      <c r="X1091" s="86" t="e">
        <f>((PI()*((42-2*'Gen Calcs'!$E$13)^2)/4)/144)*(A1134-#REF!)*(W1091+14.7)/14.7</f>
        <v>#REF!</v>
      </c>
      <c r="Y1091" s="86" t="e">
        <f t="shared" si="302"/>
        <v>#REF!</v>
      </c>
      <c r="Z1091" s="86" t="e">
        <f t="shared" si="303"/>
        <v>#REF!</v>
      </c>
      <c r="AA1091" s="83">
        <f>MAX(B$2:B1091)-B1091</f>
        <v>109.5258</v>
      </c>
      <c r="AB1091" s="83">
        <f t="shared" si="304"/>
        <v>47.424671400000001</v>
      </c>
      <c r="AC1091" s="83">
        <f t="shared" ref="AC1091:AC1154" si="306">((MAX(O$2:O$1348)-O1091)-(MAX(O$2:O$1348)-O1091))*0.433+AD1091</f>
        <v>120</v>
      </c>
      <c r="AD1091" s="72">
        <v>120</v>
      </c>
      <c r="AE1091" s="73">
        <f t="shared" si="297"/>
        <v>907.92027688745009</v>
      </c>
      <c r="AF1091" s="73">
        <f>SUM(AE$2:AE1091)</f>
        <v>916977.67331131571</v>
      </c>
      <c r="AG1091" s="73">
        <f t="shared" si="298"/>
        <v>256752.22911579348</v>
      </c>
    </row>
    <row r="1092" spans="1:33" x14ac:dyDescent="0.25">
      <c r="A1092" s="100">
        <v>197099.92</v>
      </c>
      <c r="B1092" s="97">
        <v>828.1037</v>
      </c>
      <c r="C1092" s="97">
        <v>0.6</v>
      </c>
      <c r="D1092" s="80">
        <f t="shared" si="299"/>
        <v>100</v>
      </c>
      <c r="E1092" s="81">
        <f t="shared" si="291"/>
        <v>6791.2436711181272</v>
      </c>
      <c r="F1092" s="81">
        <f>SUM(E$2:E1092)</f>
        <v>6860942.386848798</v>
      </c>
      <c r="G1092" s="43">
        <f t="shared" si="305"/>
        <v>1</v>
      </c>
      <c r="H1092" s="78">
        <v>1</v>
      </c>
      <c r="I1092" s="15">
        <f t="shared" si="292"/>
        <v>0.6</v>
      </c>
      <c r="J1092" s="16">
        <f>VLOOKUP(G1092,Inputs!$L$3:$P$15,5,FALSE)</f>
        <v>2000</v>
      </c>
      <c r="K1092" s="16">
        <f t="shared" si="293"/>
        <v>1825</v>
      </c>
      <c r="L1092" s="79">
        <f>Inputs!$P$8-B1092</f>
        <v>110.08730000000003</v>
      </c>
      <c r="M1092" s="79">
        <f>Inputs!$Q$8+L1092*0.433</f>
        <v>1872.6678009</v>
      </c>
      <c r="N1092" s="82">
        <f t="shared" si="294"/>
        <v>197099.92</v>
      </c>
      <c r="O1092" s="83">
        <f t="shared" si="295"/>
        <v>828.1037</v>
      </c>
      <c r="P1092" s="84">
        <f>IF(O1092="","",Inputs!$C$5-O1092)</f>
        <v>-2.9192000000000462</v>
      </c>
      <c r="Q1092" s="83">
        <f>IF(N1092="","",TS!J1092)</f>
        <v>2000</v>
      </c>
      <c r="R1092" s="83">
        <f>IF(N1092="","",TS!K1092)</f>
        <v>1825</v>
      </c>
      <c r="S1092" s="83">
        <f>Inputs!$H$5+TS!P1092*0.4333</f>
        <v>1873.7008270899998</v>
      </c>
      <c r="T1092" s="83">
        <f>Inputs!$G$5+TS!P1092*0.4333</f>
        <v>1888.7008270899998</v>
      </c>
      <c r="U1092" s="85">
        <f t="shared" si="296"/>
        <v>0.94435041354499993</v>
      </c>
      <c r="V1092" s="86">
        <f t="shared" si="300"/>
        <v>0</v>
      </c>
      <c r="W1092" s="86">
        <f t="shared" si="301"/>
        <v>0</v>
      </c>
      <c r="X1092" s="86" t="e">
        <f>((PI()*((42-2*'Gen Calcs'!$E$13)^2)/4)/144)*(A1135-#REF!)*(W1092+14.7)/14.7</f>
        <v>#REF!</v>
      </c>
      <c r="Y1092" s="86" t="e">
        <f t="shared" si="302"/>
        <v>#REF!</v>
      </c>
      <c r="Z1092" s="86" t="e">
        <f t="shared" si="303"/>
        <v>#REF!</v>
      </c>
      <c r="AA1092" s="83">
        <f>MAX(B$2:B1092)-B1092</f>
        <v>110.08730000000003</v>
      </c>
      <c r="AB1092" s="83">
        <f t="shared" si="304"/>
        <v>47.66780090000001</v>
      </c>
      <c r="AC1092" s="83">
        <f t="shared" si="306"/>
        <v>120</v>
      </c>
      <c r="AD1092" s="72">
        <v>120</v>
      </c>
      <c r="AE1092" s="73">
        <f t="shared" si="297"/>
        <v>907.92027688745009</v>
      </c>
      <c r="AF1092" s="73">
        <f>SUM(AE$2:AE1092)</f>
        <v>917885.59358820319</v>
      </c>
      <c r="AG1092" s="73">
        <f t="shared" si="298"/>
        <v>255844.308838906</v>
      </c>
    </row>
    <row r="1093" spans="1:33" x14ac:dyDescent="0.25">
      <c r="A1093" s="99">
        <v>197199.92</v>
      </c>
      <c r="B1093" s="96">
        <v>825.22260000000006</v>
      </c>
      <c r="C1093" s="96">
        <v>0.6</v>
      </c>
      <c r="D1093" s="80">
        <f t="shared" si="299"/>
        <v>100</v>
      </c>
      <c r="E1093" s="81">
        <f t="shared" ref="E1093:E1156" si="307">(PI()/4*(42/12-(2*C1135/12))^2)*(D1093)*7.48</f>
        <v>6791.2436711181272</v>
      </c>
      <c r="F1093" s="81">
        <f>SUM(E$2:E1093)</f>
        <v>6867733.6305199163</v>
      </c>
      <c r="G1093" s="43">
        <f t="shared" si="305"/>
        <v>1</v>
      </c>
      <c r="H1093" s="78">
        <v>1</v>
      </c>
      <c r="I1093" s="15">
        <f t="shared" ref="I1093:I1156" si="308">C1093</f>
        <v>0.6</v>
      </c>
      <c r="J1093" s="16">
        <f>VLOOKUP(G1093,Inputs!$L$3:$P$15,5,FALSE)</f>
        <v>2000</v>
      </c>
      <c r="K1093" s="16">
        <f t="shared" ref="K1093:K1156" si="309">IF(H1093=1,1825,IF(H1093=2,1825,2220))</f>
        <v>1825</v>
      </c>
      <c r="L1093" s="79">
        <f>Inputs!$P$8-B1093</f>
        <v>112.96839999999997</v>
      </c>
      <c r="M1093" s="79">
        <f>Inputs!$Q$8+L1093*0.433</f>
        <v>1873.9153171999999</v>
      </c>
      <c r="N1093" s="82">
        <f t="shared" ref="N1093:N1156" si="310">A1093</f>
        <v>197199.92</v>
      </c>
      <c r="O1093" s="83">
        <f t="shared" ref="O1093:O1156" si="311">B1093</f>
        <v>825.22260000000006</v>
      </c>
      <c r="P1093" s="84">
        <f>IF(O1093="","",Inputs!$C$5-O1093)</f>
        <v>-3.8100000000099499E-2</v>
      </c>
      <c r="Q1093" s="83">
        <f>IF(N1093="","",TS!J1093)</f>
        <v>2000</v>
      </c>
      <c r="R1093" s="83">
        <f>IF(N1093="","",TS!K1093)</f>
        <v>1825</v>
      </c>
      <c r="S1093" s="83">
        <f>Inputs!$H$5+TS!P1093*0.4333</f>
        <v>1874.94920772</v>
      </c>
      <c r="T1093" s="83">
        <f>Inputs!$G$5+TS!P1093*0.4333</f>
        <v>1889.94920772</v>
      </c>
      <c r="U1093" s="85">
        <f t="shared" ref="U1093:U1156" si="312">T1093/(140000*C1093/42)</f>
        <v>0.94497460385999998</v>
      </c>
      <c r="V1093" s="86">
        <f t="shared" si="300"/>
        <v>0</v>
      </c>
      <c r="W1093" s="86">
        <f t="shared" si="301"/>
        <v>0</v>
      </c>
      <c r="X1093" s="86" t="e">
        <f>((PI()*((42-2*'Gen Calcs'!$E$13)^2)/4)/144)*(A1136-#REF!)*(W1093+14.7)/14.7</f>
        <v>#REF!</v>
      </c>
      <c r="Y1093" s="86" t="e">
        <f t="shared" si="302"/>
        <v>#REF!</v>
      </c>
      <c r="Z1093" s="86" t="e">
        <f t="shared" si="303"/>
        <v>#REF!</v>
      </c>
      <c r="AA1093" s="83">
        <f>MAX(B$2:B1093)-B1093</f>
        <v>112.96839999999997</v>
      </c>
      <c r="AB1093" s="83">
        <f t="shared" si="304"/>
        <v>48.91531719999999</v>
      </c>
      <c r="AC1093" s="83">
        <f t="shared" si="306"/>
        <v>120</v>
      </c>
      <c r="AD1093" s="72">
        <v>120</v>
      </c>
      <c r="AE1093" s="73">
        <f t="shared" ref="AE1093:AE1156" si="313">PI()*(((42-2*C1093)/12)^2/4)*D1093</f>
        <v>907.92027688745009</v>
      </c>
      <c r="AF1093" s="73">
        <f>SUM(AE$2:AE1093)</f>
        <v>918793.51386509067</v>
      </c>
      <c r="AG1093" s="73">
        <f t="shared" ref="AG1093:AG1156" si="314">AF$1391-AF1093</f>
        <v>254936.38856201852</v>
      </c>
    </row>
    <row r="1094" spans="1:33" x14ac:dyDescent="0.25">
      <c r="A1094" s="100">
        <v>197299.92</v>
      </c>
      <c r="B1094" s="97">
        <v>822.74779999999998</v>
      </c>
      <c r="C1094" s="97">
        <v>0.6</v>
      </c>
      <c r="D1094" s="80">
        <f t="shared" si="299"/>
        <v>100</v>
      </c>
      <c r="E1094" s="81">
        <f t="shared" si="307"/>
        <v>6791.2436711181272</v>
      </c>
      <c r="F1094" s="81">
        <f>SUM(E$2:E1094)</f>
        <v>6874524.8741910346</v>
      </c>
      <c r="G1094" s="43">
        <f t="shared" si="305"/>
        <v>1</v>
      </c>
      <c r="H1094" s="78">
        <v>1</v>
      </c>
      <c r="I1094" s="15">
        <f t="shared" si="308"/>
        <v>0.6</v>
      </c>
      <c r="J1094" s="16">
        <f>VLOOKUP(G1094,Inputs!$L$3:$P$15,5,FALSE)</f>
        <v>2000</v>
      </c>
      <c r="K1094" s="16">
        <f t="shared" si="309"/>
        <v>1825</v>
      </c>
      <c r="L1094" s="79">
        <f>Inputs!$P$8-B1094</f>
        <v>115.44320000000005</v>
      </c>
      <c r="M1094" s="79">
        <f>Inputs!$Q$8+L1094*0.433</f>
        <v>1874.9869056</v>
      </c>
      <c r="N1094" s="82">
        <f t="shared" si="310"/>
        <v>197299.92</v>
      </c>
      <c r="O1094" s="83">
        <f t="shared" si="311"/>
        <v>822.74779999999998</v>
      </c>
      <c r="P1094" s="84">
        <f>IF(O1094="","",Inputs!$C$5-O1094)</f>
        <v>2.4366999999999734</v>
      </c>
      <c r="Q1094" s="83">
        <f>IF(N1094="","",TS!J1094)</f>
        <v>2000</v>
      </c>
      <c r="R1094" s="83">
        <f>IF(N1094="","",TS!K1094)</f>
        <v>1825</v>
      </c>
      <c r="S1094" s="83">
        <f>Inputs!$H$5+TS!P1094*0.4333</f>
        <v>1876.02153856</v>
      </c>
      <c r="T1094" s="83">
        <f>Inputs!$G$5+TS!P1094*0.4333</f>
        <v>1891.02153856</v>
      </c>
      <c r="U1094" s="85">
        <f t="shared" si="312"/>
        <v>0.94551076928</v>
      </c>
      <c r="V1094" s="86">
        <f t="shared" si="300"/>
        <v>0</v>
      </c>
      <c r="W1094" s="86">
        <f t="shared" si="301"/>
        <v>0</v>
      </c>
      <c r="X1094" s="86" t="e">
        <f>((PI()*((42-2*'Gen Calcs'!$E$13)^2)/4)/144)*(A1137-#REF!)*(W1094+14.7)/14.7</f>
        <v>#REF!</v>
      </c>
      <c r="Y1094" s="86" t="e">
        <f t="shared" si="302"/>
        <v>#REF!</v>
      </c>
      <c r="Z1094" s="86" t="e">
        <f t="shared" si="303"/>
        <v>#REF!</v>
      </c>
      <c r="AA1094" s="83">
        <f>MAX(B$2:B1094)-B1094</f>
        <v>115.44320000000005</v>
      </c>
      <c r="AB1094" s="83">
        <f t="shared" si="304"/>
        <v>49.986905600000021</v>
      </c>
      <c r="AC1094" s="83">
        <f t="shared" si="306"/>
        <v>120</v>
      </c>
      <c r="AD1094" s="72">
        <v>120</v>
      </c>
      <c r="AE1094" s="73">
        <f t="shared" si="313"/>
        <v>907.92027688745009</v>
      </c>
      <c r="AF1094" s="73">
        <f>SUM(AE$2:AE1094)</f>
        <v>919701.43414197816</v>
      </c>
      <c r="AG1094" s="73">
        <f t="shared" si="314"/>
        <v>254028.46828513104</v>
      </c>
    </row>
    <row r="1095" spans="1:33" x14ac:dyDescent="0.25">
      <c r="A1095" s="99">
        <v>197399.92</v>
      </c>
      <c r="B1095" s="96">
        <v>816.91030000000001</v>
      </c>
      <c r="C1095" s="96">
        <v>0.6</v>
      </c>
      <c r="D1095" s="80">
        <f t="shared" si="299"/>
        <v>100</v>
      </c>
      <c r="E1095" s="81">
        <f t="shared" si="307"/>
        <v>6791.2436711181272</v>
      </c>
      <c r="F1095" s="81">
        <f>SUM(E$2:E1095)</f>
        <v>6881316.1178621529</v>
      </c>
      <c r="G1095" s="43">
        <f t="shared" si="305"/>
        <v>1</v>
      </c>
      <c r="H1095" s="78">
        <v>1</v>
      </c>
      <c r="I1095" s="15">
        <f t="shared" si="308"/>
        <v>0.6</v>
      </c>
      <c r="J1095" s="16">
        <f>VLOOKUP(G1095,Inputs!$L$3:$P$15,5,FALSE)</f>
        <v>2000</v>
      </c>
      <c r="K1095" s="16">
        <f t="shared" si="309"/>
        <v>1825</v>
      </c>
      <c r="L1095" s="79">
        <f>Inputs!$P$8-B1095</f>
        <v>121.28070000000002</v>
      </c>
      <c r="M1095" s="79">
        <f>Inputs!$Q$8+L1095*0.433</f>
        <v>1877.5145431000001</v>
      </c>
      <c r="N1095" s="82">
        <f t="shared" si="310"/>
        <v>197399.92</v>
      </c>
      <c r="O1095" s="83">
        <f t="shared" si="311"/>
        <v>816.91030000000001</v>
      </c>
      <c r="P1095" s="84">
        <f>IF(O1095="","",Inputs!$C$5-O1095)</f>
        <v>8.2741999999999507</v>
      </c>
      <c r="Q1095" s="83">
        <f>IF(N1095="","",TS!J1095)</f>
        <v>2000</v>
      </c>
      <c r="R1095" s="83">
        <f>IF(N1095="","",TS!K1095)</f>
        <v>1825</v>
      </c>
      <c r="S1095" s="83">
        <f>Inputs!$H$5+TS!P1095*0.4333</f>
        <v>1878.5509273099999</v>
      </c>
      <c r="T1095" s="83">
        <f>Inputs!$G$5+TS!P1095*0.4333</f>
        <v>1893.5509273099999</v>
      </c>
      <c r="U1095" s="85">
        <f t="shared" si="312"/>
        <v>0.94677546365499998</v>
      </c>
      <c r="V1095" s="86">
        <f t="shared" si="300"/>
        <v>0</v>
      </c>
      <c r="W1095" s="86">
        <f t="shared" si="301"/>
        <v>0</v>
      </c>
      <c r="X1095" s="86" t="e">
        <f>((PI()*((42-2*'Gen Calcs'!$E$13)^2)/4)/144)*(A1138-#REF!)*(W1095+14.7)/14.7</f>
        <v>#REF!</v>
      </c>
      <c r="Y1095" s="86" t="e">
        <f t="shared" si="302"/>
        <v>#REF!</v>
      </c>
      <c r="Z1095" s="86" t="e">
        <f t="shared" si="303"/>
        <v>#REF!</v>
      </c>
      <c r="AA1095" s="83">
        <f>MAX(B$2:B1095)-B1095</f>
        <v>121.28070000000002</v>
      </c>
      <c r="AB1095" s="83">
        <f t="shared" si="304"/>
        <v>52.514543100000012</v>
      </c>
      <c r="AC1095" s="83">
        <f t="shared" si="306"/>
        <v>120</v>
      </c>
      <c r="AD1095" s="72">
        <v>120</v>
      </c>
      <c r="AE1095" s="73">
        <f t="shared" si="313"/>
        <v>907.92027688745009</v>
      </c>
      <c r="AF1095" s="73">
        <f>SUM(AE$2:AE1095)</f>
        <v>920609.35441886564</v>
      </c>
      <c r="AG1095" s="73">
        <f t="shared" si="314"/>
        <v>253120.54800824355</v>
      </c>
    </row>
    <row r="1096" spans="1:33" x14ac:dyDescent="0.25">
      <c r="A1096" s="100">
        <v>197499.92</v>
      </c>
      <c r="B1096" s="97">
        <v>819.13819999999998</v>
      </c>
      <c r="C1096" s="97">
        <v>0.6</v>
      </c>
      <c r="D1096" s="80">
        <f t="shared" si="299"/>
        <v>100</v>
      </c>
      <c r="E1096" s="81">
        <f t="shared" si="307"/>
        <v>6791.2436711181272</v>
      </c>
      <c r="F1096" s="81">
        <f>SUM(E$2:E1096)</f>
        <v>6888107.3615332711</v>
      </c>
      <c r="G1096" s="43">
        <f t="shared" si="305"/>
        <v>1</v>
      </c>
      <c r="H1096" s="78">
        <v>1</v>
      </c>
      <c r="I1096" s="15">
        <f t="shared" si="308"/>
        <v>0.6</v>
      </c>
      <c r="J1096" s="16">
        <f>VLOOKUP(G1096,Inputs!$L$3:$P$15,5,FALSE)</f>
        <v>2000</v>
      </c>
      <c r="K1096" s="16">
        <f t="shared" si="309"/>
        <v>1825</v>
      </c>
      <c r="L1096" s="79">
        <f>Inputs!$P$8-B1096</f>
        <v>119.05280000000005</v>
      </c>
      <c r="M1096" s="79">
        <f>Inputs!$Q$8+L1096*0.433</f>
        <v>1876.5498623999999</v>
      </c>
      <c r="N1096" s="82">
        <f t="shared" si="310"/>
        <v>197499.92</v>
      </c>
      <c r="O1096" s="83">
        <f t="shared" si="311"/>
        <v>819.13819999999998</v>
      </c>
      <c r="P1096" s="84">
        <f>IF(O1096="","",Inputs!$C$5-O1096)</f>
        <v>6.0462999999999738</v>
      </c>
      <c r="Q1096" s="83">
        <f>IF(N1096="","",TS!J1096)</f>
        <v>2000</v>
      </c>
      <c r="R1096" s="83">
        <f>IF(N1096="","",TS!K1096)</f>
        <v>1825</v>
      </c>
      <c r="S1096" s="83">
        <f>Inputs!$H$5+TS!P1096*0.4333</f>
        <v>1877.5855782399999</v>
      </c>
      <c r="T1096" s="83">
        <f>Inputs!$G$5+TS!P1096*0.4333</f>
        <v>1892.5855782399999</v>
      </c>
      <c r="U1096" s="85">
        <f t="shared" si="312"/>
        <v>0.94629278911999992</v>
      </c>
      <c r="V1096" s="86">
        <f t="shared" si="300"/>
        <v>0</v>
      </c>
      <c r="W1096" s="86">
        <f t="shared" si="301"/>
        <v>0</v>
      </c>
      <c r="X1096" s="86" t="e">
        <f>((PI()*((42-2*'Gen Calcs'!$E$13)^2)/4)/144)*(A1139-#REF!)*(W1096+14.7)/14.7</f>
        <v>#REF!</v>
      </c>
      <c r="Y1096" s="86" t="e">
        <f t="shared" si="302"/>
        <v>#REF!</v>
      </c>
      <c r="Z1096" s="86" t="e">
        <f t="shared" si="303"/>
        <v>#REF!</v>
      </c>
      <c r="AA1096" s="83">
        <f>MAX(B$2:B1096)-B1096</f>
        <v>119.05280000000005</v>
      </c>
      <c r="AB1096" s="83">
        <f t="shared" si="304"/>
        <v>51.549862400000023</v>
      </c>
      <c r="AC1096" s="83">
        <f t="shared" si="306"/>
        <v>120</v>
      </c>
      <c r="AD1096" s="72">
        <v>120</v>
      </c>
      <c r="AE1096" s="73">
        <f t="shared" si="313"/>
        <v>907.92027688745009</v>
      </c>
      <c r="AF1096" s="73">
        <f>SUM(AE$2:AE1096)</f>
        <v>921517.27469575312</v>
      </c>
      <c r="AG1096" s="73">
        <f t="shared" si="314"/>
        <v>252212.62773135607</v>
      </c>
    </row>
    <row r="1097" spans="1:33" x14ac:dyDescent="0.25">
      <c r="A1097" s="99">
        <v>197599.92</v>
      </c>
      <c r="B1097" s="96">
        <v>820.72670000000005</v>
      </c>
      <c r="C1097" s="96">
        <v>0.6</v>
      </c>
      <c r="D1097" s="80">
        <f t="shared" si="299"/>
        <v>100</v>
      </c>
      <c r="E1097" s="81">
        <f t="shared" si="307"/>
        <v>6791.2436711181272</v>
      </c>
      <c r="F1097" s="81">
        <f>SUM(E$2:E1097)</f>
        <v>6894898.6052043894</v>
      </c>
      <c r="G1097" s="43">
        <f t="shared" si="305"/>
        <v>1</v>
      </c>
      <c r="H1097" s="78">
        <v>1</v>
      </c>
      <c r="I1097" s="15">
        <f t="shared" si="308"/>
        <v>0.6</v>
      </c>
      <c r="J1097" s="16">
        <f>VLOOKUP(G1097,Inputs!$L$3:$P$15,5,FALSE)</f>
        <v>2000</v>
      </c>
      <c r="K1097" s="16">
        <f t="shared" si="309"/>
        <v>1825</v>
      </c>
      <c r="L1097" s="79">
        <f>Inputs!$P$8-B1097</f>
        <v>117.46429999999998</v>
      </c>
      <c r="M1097" s="79">
        <f>Inputs!$Q$8+L1097*0.433</f>
        <v>1875.8620418999999</v>
      </c>
      <c r="N1097" s="82">
        <f t="shared" si="310"/>
        <v>197599.92</v>
      </c>
      <c r="O1097" s="83">
        <f t="shared" si="311"/>
        <v>820.72670000000005</v>
      </c>
      <c r="P1097" s="84">
        <f>IF(O1097="","",Inputs!$C$5-O1097)</f>
        <v>4.4577999999999065</v>
      </c>
      <c r="Q1097" s="83">
        <f>IF(N1097="","",TS!J1097)</f>
        <v>2000</v>
      </c>
      <c r="R1097" s="83">
        <f>IF(N1097="","",TS!K1097)</f>
        <v>1825</v>
      </c>
      <c r="S1097" s="83">
        <f>Inputs!$H$5+TS!P1097*0.4333</f>
        <v>1876.8972811899998</v>
      </c>
      <c r="T1097" s="83">
        <f>Inputs!$G$5+TS!P1097*0.4333</f>
        <v>1891.8972811899998</v>
      </c>
      <c r="U1097" s="85">
        <f t="shared" si="312"/>
        <v>0.94594864059499995</v>
      </c>
      <c r="V1097" s="86">
        <f t="shared" si="300"/>
        <v>0</v>
      </c>
      <c r="W1097" s="86">
        <f t="shared" si="301"/>
        <v>0</v>
      </c>
      <c r="X1097" s="86" t="e">
        <f>((PI()*((42-2*'Gen Calcs'!$E$13)^2)/4)/144)*(A1140-#REF!)*(W1097+14.7)/14.7</f>
        <v>#REF!</v>
      </c>
      <c r="Y1097" s="86" t="e">
        <f t="shared" si="302"/>
        <v>#REF!</v>
      </c>
      <c r="Z1097" s="86" t="e">
        <f t="shared" si="303"/>
        <v>#REF!</v>
      </c>
      <c r="AA1097" s="83">
        <f>MAX(B$2:B1097)-B1097</f>
        <v>117.46429999999998</v>
      </c>
      <c r="AB1097" s="83">
        <f t="shared" si="304"/>
        <v>50.862041899999994</v>
      </c>
      <c r="AC1097" s="83">
        <f t="shared" si="306"/>
        <v>120</v>
      </c>
      <c r="AD1097" s="72">
        <v>120</v>
      </c>
      <c r="AE1097" s="73">
        <f t="shared" si="313"/>
        <v>907.92027688745009</v>
      </c>
      <c r="AF1097" s="73">
        <f>SUM(AE$2:AE1097)</f>
        <v>922425.1949726406</v>
      </c>
      <c r="AG1097" s="73">
        <f t="shared" si="314"/>
        <v>251304.70745446859</v>
      </c>
    </row>
    <row r="1098" spans="1:33" x14ac:dyDescent="0.25">
      <c r="A1098" s="100">
        <v>197699.92</v>
      </c>
      <c r="B1098" s="97">
        <v>822.72019999999998</v>
      </c>
      <c r="C1098" s="97">
        <v>0.6</v>
      </c>
      <c r="D1098" s="80">
        <f t="shared" si="299"/>
        <v>100</v>
      </c>
      <c r="E1098" s="81">
        <f t="shared" si="307"/>
        <v>6791.2436711181272</v>
      </c>
      <c r="F1098" s="81">
        <f>SUM(E$2:E1098)</f>
        <v>6901689.8488755077</v>
      </c>
      <c r="G1098" s="43">
        <f t="shared" si="305"/>
        <v>1</v>
      </c>
      <c r="H1098" s="78">
        <v>1</v>
      </c>
      <c r="I1098" s="15">
        <f t="shared" si="308"/>
        <v>0.6</v>
      </c>
      <c r="J1098" s="16">
        <f>VLOOKUP(G1098,Inputs!$L$3:$P$15,5,FALSE)</f>
        <v>2000</v>
      </c>
      <c r="K1098" s="16">
        <f t="shared" si="309"/>
        <v>1825</v>
      </c>
      <c r="L1098" s="79">
        <f>Inputs!$P$8-B1098</f>
        <v>115.47080000000005</v>
      </c>
      <c r="M1098" s="79">
        <f>Inputs!$Q$8+L1098*0.433</f>
        <v>1874.9988564</v>
      </c>
      <c r="N1098" s="82">
        <f t="shared" si="310"/>
        <v>197699.92</v>
      </c>
      <c r="O1098" s="83">
        <f t="shared" si="311"/>
        <v>822.72019999999998</v>
      </c>
      <c r="P1098" s="84">
        <f>IF(O1098="","",Inputs!$C$5-O1098)</f>
        <v>2.4642999999999802</v>
      </c>
      <c r="Q1098" s="83">
        <f>IF(N1098="","",TS!J1098)</f>
        <v>2000</v>
      </c>
      <c r="R1098" s="83">
        <f>IF(N1098="","",TS!K1098)</f>
        <v>1825</v>
      </c>
      <c r="S1098" s="83">
        <f>Inputs!$H$5+TS!P1098*0.4333</f>
        <v>1876.03349764</v>
      </c>
      <c r="T1098" s="83">
        <f>Inputs!$G$5+TS!P1098*0.4333</f>
        <v>1891.03349764</v>
      </c>
      <c r="U1098" s="85">
        <f t="shared" si="312"/>
        <v>0.94551674882000003</v>
      </c>
      <c r="V1098" s="86">
        <f t="shared" si="300"/>
        <v>0</v>
      </c>
      <c r="W1098" s="86">
        <f t="shared" si="301"/>
        <v>0</v>
      </c>
      <c r="X1098" s="86" t="e">
        <f>((PI()*((42-2*'Gen Calcs'!$E$13)^2)/4)/144)*(A1141-#REF!)*(W1098+14.7)/14.7</f>
        <v>#REF!</v>
      </c>
      <c r="Y1098" s="86" t="e">
        <f t="shared" si="302"/>
        <v>#REF!</v>
      </c>
      <c r="Z1098" s="86" t="e">
        <f t="shared" si="303"/>
        <v>#REF!</v>
      </c>
      <c r="AA1098" s="83">
        <f>MAX(B$2:B1098)-B1098</f>
        <v>115.47080000000005</v>
      </c>
      <c r="AB1098" s="83">
        <f t="shared" si="304"/>
        <v>49.998856400000022</v>
      </c>
      <c r="AC1098" s="83">
        <f t="shared" si="306"/>
        <v>120</v>
      </c>
      <c r="AD1098" s="72">
        <v>120</v>
      </c>
      <c r="AE1098" s="73">
        <f t="shared" si="313"/>
        <v>907.92027688745009</v>
      </c>
      <c r="AF1098" s="73">
        <f>SUM(AE$2:AE1098)</f>
        <v>923333.11524952808</v>
      </c>
      <c r="AG1098" s="73">
        <f t="shared" si="314"/>
        <v>250396.78717758111</v>
      </c>
    </row>
    <row r="1099" spans="1:33" x14ac:dyDescent="0.25">
      <c r="A1099" s="99">
        <v>197799.92</v>
      </c>
      <c r="B1099" s="96">
        <v>825.74090000000001</v>
      </c>
      <c r="C1099" s="96">
        <v>0.6</v>
      </c>
      <c r="D1099" s="80">
        <f t="shared" si="299"/>
        <v>100</v>
      </c>
      <c r="E1099" s="81">
        <f t="shared" si="307"/>
        <v>6791.2436711181272</v>
      </c>
      <c r="F1099" s="81">
        <f>SUM(E$2:E1099)</f>
        <v>6908481.092546626</v>
      </c>
      <c r="G1099" s="43">
        <f t="shared" si="305"/>
        <v>1</v>
      </c>
      <c r="H1099" s="78">
        <v>1</v>
      </c>
      <c r="I1099" s="15">
        <f t="shared" si="308"/>
        <v>0.6</v>
      </c>
      <c r="J1099" s="16">
        <f>VLOOKUP(G1099,Inputs!$L$3:$P$15,5,FALSE)</f>
        <v>2000</v>
      </c>
      <c r="K1099" s="16">
        <f t="shared" si="309"/>
        <v>1825</v>
      </c>
      <c r="L1099" s="79">
        <f>Inputs!$P$8-B1099</f>
        <v>112.45010000000002</v>
      </c>
      <c r="M1099" s="79">
        <f>Inputs!$Q$8+L1099*0.433</f>
        <v>1873.6908933</v>
      </c>
      <c r="N1099" s="82">
        <f t="shared" si="310"/>
        <v>197799.92</v>
      </c>
      <c r="O1099" s="83">
        <f t="shared" si="311"/>
        <v>825.74090000000001</v>
      </c>
      <c r="P1099" s="84">
        <f>IF(O1099="","",Inputs!$C$5-O1099)</f>
        <v>-0.5564000000000533</v>
      </c>
      <c r="Q1099" s="83">
        <f>IF(N1099="","",TS!J1099)</f>
        <v>2000</v>
      </c>
      <c r="R1099" s="83">
        <f>IF(N1099="","",TS!K1099)</f>
        <v>1825</v>
      </c>
      <c r="S1099" s="83">
        <f>Inputs!$H$5+TS!P1099*0.4333</f>
        <v>1874.7246283299999</v>
      </c>
      <c r="T1099" s="83">
        <f>Inputs!$G$5+TS!P1099*0.4333</f>
        <v>1889.7246283299999</v>
      </c>
      <c r="U1099" s="85">
        <f t="shared" si="312"/>
        <v>0.94486231416499988</v>
      </c>
      <c r="V1099" s="86">
        <f t="shared" si="300"/>
        <v>0</v>
      </c>
      <c r="W1099" s="86">
        <f t="shared" si="301"/>
        <v>0</v>
      </c>
      <c r="X1099" s="86" t="e">
        <f>((PI()*((42-2*'Gen Calcs'!$E$13)^2)/4)/144)*(A1142-#REF!)*(W1099+14.7)/14.7</f>
        <v>#REF!</v>
      </c>
      <c r="Y1099" s="86" t="e">
        <f t="shared" si="302"/>
        <v>#REF!</v>
      </c>
      <c r="Z1099" s="86" t="e">
        <f t="shared" si="303"/>
        <v>#REF!</v>
      </c>
      <c r="AA1099" s="83">
        <f>MAX(B$2:B1099)-B1099</f>
        <v>112.45010000000002</v>
      </c>
      <c r="AB1099" s="83">
        <f t="shared" si="304"/>
        <v>48.690893300000006</v>
      </c>
      <c r="AC1099" s="83">
        <f t="shared" si="306"/>
        <v>120</v>
      </c>
      <c r="AD1099" s="72">
        <v>120</v>
      </c>
      <c r="AE1099" s="73">
        <f t="shared" si="313"/>
        <v>907.92027688745009</v>
      </c>
      <c r="AF1099" s="73">
        <f>SUM(AE$2:AE1099)</f>
        <v>924241.03552641557</v>
      </c>
      <c r="AG1099" s="73">
        <f t="shared" si="314"/>
        <v>249488.86690069363</v>
      </c>
    </row>
    <row r="1100" spans="1:33" x14ac:dyDescent="0.25">
      <c r="A1100" s="100">
        <v>197899.92</v>
      </c>
      <c r="B1100" s="97">
        <v>829.45619999999997</v>
      </c>
      <c r="C1100" s="97">
        <v>0.6</v>
      </c>
      <c r="D1100" s="80">
        <f t="shared" si="299"/>
        <v>100</v>
      </c>
      <c r="E1100" s="81">
        <f t="shared" si="307"/>
        <v>6791.2436711181272</v>
      </c>
      <c r="F1100" s="81">
        <f>SUM(E$2:E1100)</f>
        <v>6915272.3362177443</v>
      </c>
      <c r="G1100" s="43">
        <f t="shared" si="305"/>
        <v>1</v>
      </c>
      <c r="H1100" s="78">
        <v>1</v>
      </c>
      <c r="I1100" s="15">
        <f t="shared" si="308"/>
        <v>0.6</v>
      </c>
      <c r="J1100" s="16">
        <f>VLOOKUP(G1100,Inputs!$L$3:$P$15,5,FALSE)</f>
        <v>2000</v>
      </c>
      <c r="K1100" s="16">
        <f t="shared" si="309"/>
        <v>1825</v>
      </c>
      <c r="L1100" s="79">
        <f>Inputs!$P$8-B1100</f>
        <v>108.73480000000006</v>
      </c>
      <c r="M1100" s="79">
        <f>Inputs!$Q$8+L1100*0.433</f>
        <v>1872.0821684</v>
      </c>
      <c r="N1100" s="82">
        <f t="shared" si="310"/>
        <v>197899.92</v>
      </c>
      <c r="O1100" s="83">
        <f t="shared" si="311"/>
        <v>829.45619999999997</v>
      </c>
      <c r="P1100" s="84">
        <f>IF(O1100="","",Inputs!$C$5-O1100)</f>
        <v>-4.2717000000000098</v>
      </c>
      <c r="Q1100" s="83">
        <f>IF(N1100="","",TS!J1100)</f>
        <v>2000</v>
      </c>
      <c r="R1100" s="83">
        <f>IF(N1100="","",TS!K1100)</f>
        <v>1825</v>
      </c>
      <c r="S1100" s="83">
        <f>Inputs!$H$5+TS!P1100*0.4333</f>
        <v>1873.1147888399998</v>
      </c>
      <c r="T1100" s="83">
        <f>Inputs!$G$5+TS!P1100*0.4333</f>
        <v>1888.1147888399998</v>
      </c>
      <c r="U1100" s="85">
        <f t="shared" si="312"/>
        <v>0.94405739441999992</v>
      </c>
      <c r="V1100" s="86">
        <f t="shared" si="300"/>
        <v>0</v>
      </c>
      <c r="W1100" s="86">
        <f t="shared" si="301"/>
        <v>0</v>
      </c>
      <c r="X1100" s="86" t="e">
        <f>((PI()*((42-2*'Gen Calcs'!$E$13)^2)/4)/144)*(A1143-#REF!)*(W1100+14.7)/14.7</f>
        <v>#REF!</v>
      </c>
      <c r="Y1100" s="86" t="e">
        <f t="shared" si="302"/>
        <v>#REF!</v>
      </c>
      <c r="Z1100" s="86" t="e">
        <f t="shared" si="303"/>
        <v>#REF!</v>
      </c>
      <c r="AA1100" s="83">
        <f>MAX(B$2:B1100)-B1100</f>
        <v>108.73480000000006</v>
      </c>
      <c r="AB1100" s="83">
        <f t="shared" si="304"/>
        <v>47.082168400000029</v>
      </c>
      <c r="AC1100" s="83">
        <f t="shared" si="306"/>
        <v>120</v>
      </c>
      <c r="AD1100" s="72">
        <v>120</v>
      </c>
      <c r="AE1100" s="73">
        <f t="shared" si="313"/>
        <v>907.92027688745009</v>
      </c>
      <c r="AF1100" s="73">
        <f>SUM(AE$2:AE1100)</f>
        <v>925148.95580330305</v>
      </c>
      <c r="AG1100" s="73">
        <f t="shared" si="314"/>
        <v>248580.94662380614</v>
      </c>
    </row>
    <row r="1101" spans="1:33" x14ac:dyDescent="0.25">
      <c r="A1101" s="99">
        <v>197999.92</v>
      </c>
      <c r="B1101" s="96">
        <v>833.06679999999994</v>
      </c>
      <c r="C1101" s="96">
        <v>0.6</v>
      </c>
      <c r="D1101" s="80">
        <f t="shared" si="299"/>
        <v>100</v>
      </c>
      <c r="E1101" s="81">
        <f t="shared" si="307"/>
        <v>6791.2436711181272</v>
      </c>
      <c r="F1101" s="81">
        <f>SUM(E$2:E1101)</f>
        <v>6922063.5798888626</v>
      </c>
      <c r="G1101" s="43">
        <f t="shared" si="305"/>
        <v>1</v>
      </c>
      <c r="H1101" s="78">
        <v>1</v>
      </c>
      <c r="I1101" s="15">
        <f t="shared" si="308"/>
        <v>0.6</v>
      </c>
      <c r="J1101" s="16">
        <f>VLOOKUP(G1101,Inputs!$L$3:$P$15,5,FALSE)</f>
        <v>2000</v>
      </c>
      <c r="K1101" s="16">
        <f t="shared" si="309"/>
        <v>1825</v>
      </c>
      <c r="L1101" s="79">
        <f>Inputs!$P$8-B1101</f>
        <v>105.12420000000009</v>
      </c>
      <c r="M1101" s="79">
        <f>Inputs!$Q$8+L1101*0.433</f>
        <v>1870.5187786000001</v>
      </c>
      <c r="N1101" s="82">
        <f t="shared" si="310"/>
        <v>197999.92</v>
      </c>
      <c r="O1101" s="83">
        <f t="shared" si="311"/>
        <v>833.06679999999994</v>
      </c>
      <c r="P1101" s="84">
        <f>IF(O1101="","",Inputs!$C$5-O1101)</f>
        <v>-7.8822999999999865</v>
      </c>
      <c r="Q1101" s="83">
        <f>IF(N1101="","",TS!J1101)</f>
        <v>2000</v>
      </c>
      <c r="R1101" s="83">
        <f>IF(N1101="","",TS!K1101)</f>
        <v>1825</v>
      </c>
      <c r="S1101" s="83">
        <f>Inputs!$H$5+TS!P1101*0.4333</f>
        <v>1871.55031586</v>
      </c>
      <c r="T1101" s="83">
        <f>Inputs!$G$5+TS!P1101*0.4333</f>
        <v>1886.55031586</v>
      </c>
      <c r="U1101" s="85">
        <f t="shared" si="312"/>
        <v>0.94327515792999994</v>
      </c>
      <c r="V1101" s="86">
        <f t="shared" si="300"/>
        <v>0</v>
      </c>
      <c r="W1101" s="86">
        <f t="shared" si="301"/>
        <v>0</v>
      </c>
      <c r="X1101" s="86" t="e">
        <f>((PI()*((42-2*'Gen Calcs'!$E$13)^2)/4)/144)*(A1144-#REF!)*(W1101+14.7)/14.7</f>
        <v>#REF!</v>
      </c>
      <c r="Y1101" s="86" t="e">
        <f t="shared" si="302"/>
        <v>#REF!</v>
      </c>
      <c r="Z1101" s="86" t="e">
        <f t="shared" si="303"/>
        <v>#REF!</v>
      </c>
      <c r="AA1101" s="83">
        <f>MAX(B$2:B1101)-B1101</f>
        <v>105.12420000000009</v>
      </c>
      <c r="AB1101" s="83">
        <f t="shared" si="304"/>
        <v>45.51877860000004</v>
      </c>
      <c r="AC1101" s="83">
        <f t="shared" si="306"/>
        <v>120</v>
      </c>
      <c r="AD1101" s="72">
        <v>120</v>
      </c>
      <c r="AE1101" s="73">
        <f t="shared" si="313"/>
        <v>907.92027688745009</v>
      </c>
      <c r="AF1101" s="73">
        <f>SUM(AE$2:AE1101)</f>
        <v>926056.87608019053</v>
      </c>
      <c r="AG1101" s="73">
        <f t="shared" si="314"/>
        <v>247673.02634691866</v>
      </c>
    </row>
    <row r="1102" spans="1:33" x14ac:dyDescent="0.25">
      <c r="A1102" s="100">
        <v>198099.92</v>
      </c>
      <c r="B1102" s="97">
        <v>836.43089999999995</v>
      </c>
      <c r="C1102" s="97">
        <v>0.6</v>
      </c>
      <c r="D1102" s="80">
        <f t="shared" si="299"/>
        <v>100</v>
      </c>
      <c r="E1102" s="81">
        <f t="shared" si="307"/>
        <v>6791.2436711181272</v>
      </c>
      <c r="F1102" s="81">
        <f>SUM(E$2:E1102)</f>
        <v>6928854.8235599808</v>
      </c>
      <c r="G1102" s="43">
        <f t="shared" si="305"/>
        <v>1</v>
      </c>
      <c r="H1102" s="78">
        <v>1</v>
      </c>
      <c r="I1102" s="15">
        <f t="shared" si="308"/>
        <v>0.6</v>
      </c>
      <c r="J1102" s="16">
        <f>VLOOKUP(G1102,Inputs!$L$3:$P$15,5,FALSE)</f>
        <v>2000</v>
      </c>
      <c r="K1102" s="16">
        <f t="shared" si="309"/>
        <v>1825</v>
      </c>
      <c r="L1102" s="79">
        <f>Inputs!$P$8-B1102</f>
        <v>101.76010000000008</v>
      </c>
      <c r="M1102" s="79">
        <f>Inputs!$Q$8+L1102*0.433</f>
        <v>1869.0621232999999</v>
      </c>
      <c r="N1102" s="82">
        <f t="shared" si="310"/>
        <v>198099.92</v>
      </c>
      <c r="O1102" s="83">
        <f t="shared" si="311"/>
        <v>836.43089999999995</v>
      </c>
      <c r="P1102" s="84">
        <f>IF(O1102="","",Inputs!$C$5-O1102)</f>
        <v>-11.246399999999994</v>
      </c>
      <c r="Q1102" s="83">
        <f>IF(N1102="","",TS!J1102)</f>
        <v>2000</v>
      </c>
      <c r="R1102" s="83">
        <f>IF(N1102="","",TS!K1102)</f>
        <v>1825</v>
      </c>
      <c r="S1102" s="83">
        <f>Inputs!$H$5+TS!P1102*0.4333</f>
        <v>1870.0926513299999</v>
      </c>
      <c r="T1102" s="83">
        <f>Inputs!$G$5+TS!P1102*0.4333</f>
        <v>1885.0926513299999</v>
      </c>
      <c r="U1102" s="85">
        <f t="shared" si="312"/>
        <v>0.94254632566499996</v>
      </c>
      <c r="V1102" s="86">
        <f t="shared" si="300"/>
        <v>0</v>
      </c>
      <c r="W1102" s="86">
        <f t="shared" si="301"/>
        <v>0</v>
      </c>
      <c r="X1102" s="86" t="e">
        <f>((PI()*((42-2*'Gen Calcs'!$E$13)^2)/4)/144)*(A1145-#REF!)*(W1102+14.7)/14.7</f>
        <v>#REF!</v>
      </c>
      <c r="Y1102" s="86" t="e">
        <f t="shared" si="302"/>
        <v>#REF!</v>
      </c>
      <c r="Z1102" s="86" t="e">
        <f t="shared" si="303"/>
        <v>#REF!</v>
      </c>
      <c r="AA1102" s="83">
        <f>MAX(B$2:B1102)-B1102</f>
        <v>101.76010000000008</v>
      </c>
      <c r="AB1102" s="83">
        <f t="shared" si="304"/>
        <v>44.062123300000032</v>
      </c>
      <c r="AC1102" s="83">
        <f t="shared" si="306"/>
        <v>120</v>
      </c>
      <c r="AD1102" s="72">
        <v>120</v>
      </c>
      <c r="AE1102" s="73">
        <f t="shared" si="313"/>
        <v>907.92027688745009</v>
      </c>
      <c r="AF1102" s="73">
        <f>SUM(AE$2:AE1102)</f>
        <v>926964.79635707801</v>
      </c>
      <c r="AG1102" s="73">
        <f t="shared" si="314"/>
        <v>246765.10607003118</v>
      </c>
    </row>
    <row r="1103" spans="1:33" x14ac:dyDescent="0.25">
      <c r="A1103" s="99">
        <v>198199.92</v>
      </c>
      <c r="B1103" s="96">
        <v>838.82349999999997</v>
      </c>
      <c r="C1103" s="96">
        <v>0.6</v>
      </c>
      <c r="D1103" s="80">
        <f t="shared" si="299"/>
        <v>100</v>
      </c>
      <c r="E1103" s="81">
        <f t="shared" si="307"/>
        <v>6791.2436711181272</v>
      </c>
      <c r="F1103" s="81">
        <f>SUM(E$2:E1103)</f>
        <v>6935646.0672310991</v>
      </c>
      <c r="G1103" s="43">
        <f t="shared" si="305"/>
        <v>1</v>
      </c>
      <c r="H1103" s="78">
        <v>1</v>
      </c>
      <c r="I1103" s="15">
        <f t="shared" si="308"/>
        <v>0.6</v>
      </c>
      <c r="J1103" s="16">
        <f>VLOOKUP(G1103,Inputs!$L$3:$P$15,5,FALSE)</f>
        <v>2000</v>
      </c>
      <c r="K1103" s="16">
        <f t="shared" si="309"/>
        <v>1825</v>
      </c>
      <c r="L1103" s="79">
        <f>Inputs!$P$8-B1103</f>
        <v>99.367500000000064</v>
      </c>
      <c r="M1103" s="79">
        <f>Inputs!$Q$8+L1103*0.433</f>
        <v>1868.0261275</v>
      </c>
      <c r="N1103" s="82">
        <f t="shared" si="310"/>
        <v>198199.92</v>
      </c>
      <c r="O1103" s="83">
        <f t="shared" si="311"/>
        <v>838.82349999999997</v>
      </c>
      <c r="P1103" s="84">
        <f>IF(O1103="","",Inputs!$C$5-O1103)</f>
        <v>-13.63900000000001</v>
      </c>
      <c r="Q1103" s="83">
        <f>IF(N1103="","",TS!J1103)</f>
        <v>2000</v>
      </c>
      <c r="R1103" s="83">
        <f>IF(N1103="","",TS!K1103)</f>
        <v>1825</v>
      </c>
      <c r="S1103" s="83">
        <f>Inputs!$H$5+TS!P1103*0.4333</f>
        <v>1869.0559377499999</v>
      </c>
      <c r="T1103" s="83">
        <f>Inputs!$G$5+TS!P1103*0.4333</f>
        <v>1884.0559377499999</v>
      </c>
      <c r="U1103" s="85">
        <f t="shared" si="312"/>
        <v>0.94202796887499995</v>
      </c>
      <c r="V1103" s="86">
        <f t="shared" si="300"/>
        <v>0</v>
      </c>
      <c r="W1103" s="86">
        <f t="shared" si="301"/>
        <v>0</v>
      </c>
      <c r="X1103" s="86" t="e">
        <f>((PI()*((42-2*'Gen Calcs'!$E$13)^2)/4)/144)*(A1146-#REF!)*(W1103+14.7)/14.7</f>
        <v>#REF!</v>
      </c>
      <c r="Y1103" s="86" t="e">
        <f t="shared" si="302"/>
        <v>#REF!</v>
      </c>
      <c r="Z1103" s="86" t="e">
        <f t="shared" si="303"/>
        <v>#REF!</v>
      </c>
      <c r="AA1103" s="83">
        <f>MAX(B$2:B1103)-B1103</f>
        <v>99.367500000000064</v>
      </c>
      <c r="AB1103" s="83">
        <f t="shared" si="304"/>
        <v>43.02612750000003</v>
      </c>
      <c r="AC1103" s="83">
        <f t="shared" si="306"/>
        <v>120</v>
      </c>
      <c r="AD1103" s="72">
        <v>120</v>
      </c>
      <c r="AE1103" s="73">
        <f t="shared" si="313"/>
        <v>907.92027688745009</v>
      </c>
      <c r="AF1103" s="73">
        <f>SUM(AE$2:AE1103)</f>
        <v>927872.71663396549</v>
      </c>
      <c r="AG1103" s="73">
        <f t="shared" si="314"/>
        <v>245857.1857931437</v>
      </c>
    </row>
    <row r="1104" spans="1:33" x14ac:dyDescent="0.25">
      <c r="A1104" s="100">
        <v>198299.92</v>
      </c>
      <c r="B1104" s="97">
        <v>838.93079999999998</v>
      </c>
      <c r="C1104" s="97">
        <v>0.6</v>
      </c>
      <c r="D1104" s="80">
        <f t="shared" si="299"/>
        <v>100</v>
      </c>
      <c r="E1104" s="81">
        <f t="shared" si="307"/>
        <v>6791.2436711181272</v>
      </c>
      <c r="F1104" s="81">
        <f>SUM(E$2:E1104)</f>
        <v>6942437.3109022174</v>
      </c>
      <c r="G1104" s="43">
        <f t="shared" si="305"/>
        <v>1</v>
      </c>
      <c r="H1104" s="78">
        <v>1</v>
      </c>
      <c r="I1104" s="15">
        <f t="shared" si="308"/>
        <v>0.6</v>
      </c>
      <c r="J1104" s="16">
        <f>VLOOKUP(G1104,Inputs!$L$3:$P$15,5,FALSE)</f>
        <v>2000</v>
      </c>
      <c r="K1104" s="16">
        <f t="shared" si="309"/>
        <v>1825</v>
      </c>
      <c r="L1104" s="79">
        <f>Inputs!$P$8-B1104</f>
        <v>99.260200000000054</v>
      </c>
      <c r="M1104" s="79">
        <f>Inputs!$Q$8+L1104*0.433</f>
        <v>1867.9796666</v>
      </c>
      <c r="N1104" s="82">
        <f t="shared" si="310"/>
        <v>198299.92</v>
      </c>
      <c r="O1104" s="83">
        <f t="shared" si="311"/>
        <v>838.93079999999998</v>
      </c>
      <c r="P1104" s="84">
        <f>IF(O1104="","",Inputs!$C$5-O1104)</f>
        <v>-13.746300000000019</v>
      </c>
      <c r="Q1104" s="83">
        <f>IF(N1104="","",TS!J1104)</f>
        <v>2000</v>
      </c>
      <c r="R1104" s="83">
        <f>IF(N1104="","",TS!K1104)</f>
        <v>1825</v>
      </c>
      <c r="S1104" s="83">
        <f>Inputs!$H$5+TS!P1104*0.4333</f>
        <v>1869.0094446599999</v>
      </c>
      <c r="T1104" s="83">
        <f>Inputs!$G$5+TS!P1104*0.4333</f>
        <v>1884.0094446599999</v>
      </c>
      <c r="U1104" s="85">
        <f t="shared" si="312"/>
        <v>0.94200472232999999</v>
      </c>
      <c r="V1104" s="86">
        <f t="shared" si="300"/>
        <v>0</v>
      </c>
      <c r="W1104" s="86">
        <f t="shared" si="301"/>
        <v>0</v>
      </c>
      <c r="X1104" s="86" t="e">
        <f>((PI()*((42-2*'Gen Calcs'!$E$13)^2)/4)/144)*(A1147-#REF!)*(W1104+14.7)/14.7</f>
        <v>#REF!</v>
      </c>
      <c r="Y1104" s="86" t="e">
        <f t="shared" si="302"/>
        <v>#REF!</v>
      </c>
      <c r="Z1104" s="86" t="e">
        <f t="shared" si="303"/>
        <v>#REF!</v>
      </c>
      <c r="AA1104" s="83">
        <f>MAX(B$2:B1104)-B1104</f>
        <v>99.260200000000054</v>
      </c>
      <c r="AB1104" s="83">
        <f t="shared" si="304"/>
        <v>42.979666600000023</v>
      </c>
      <c r="AC1104" s="83">
        <f t="shared" si="306"/>
        <v>120</v>
      </c>
      <c r="AD1104" s="72">
        <v>120</v>
      </c>
      <c r="AE1104" s="73">
        <f t="shared" si="313"/>
        <v>907.92027688745009</v>
      </c>
      <c r="AF1104" s="73">
        <f>SUM(AE$2:AE1104)</f>
        <v>928780.63691085298</v>
      </c>
      <c r="AG1104" s="73">
        <f t="shared" si="314"/>
        <v>244949.26551625622</v>
      </c>
    </row>
    <row r="1105" spans="1:33" x14ac:dyDescent="0.25">
      <c r="A1105" s="99">
        <v>198399.92</v>
      </c>
      <c r="B1105" s="96">
        <v>838.07680000000005</v>
      </c>
      <c r="C1105" s="96">
        <v>0.6</v>
      </c>
      <c r="D1105" s="80">
        <f t="shared" si="299"/>
        <v>100</v>
      </c>
      <c r="E1105" s="81">
        <f t="shared" si="307"/>
        <v>6791.2436711181272</v>
      </c>
      <c r="F1105" s="81">
        <f>SUM(E$2:E1105)</f>
        <v>6949228.5545733357</v>
      </c>
      <c r="G1105" s="43">
        <f t="shared" si="305"/>
        <v>1</v>
      </c>
      <c r="H1105" s="78">
        <v>1</v>
      </c>
      <c r="I1105" s="15">
        <f t="shared" si="308"/>
        <v>0.6</v>
      </c>
      <c r="J1105" s="16">
        <f>VLOOKUP(G1105,Inputs!$L$3:$P$15,5,FALSE)</f>
        <v>2000</v>
      </c>
      <c r="K1105" s="16">
        <f t="shared" si="309"/>
        <v>1825</v>
      </c>
      <c r="L1105" s="79">
        <f>Inputs!$P$8-B1105</f>
        <v>100.11419999999998</v>
      </c>
      <c r="M1105" s="79">
        <f>Inputs!$Q$8+L1105*0.433</f>
        <v>1868.3494486</v>
      </c>
      <c r="N1105" s="82">
        <f t="shared" si="310"/>
        <v>198399.92</v>
      </c>
      <c r="O1105" s="83">
        <f t="shared" si="311"/>
        <v>838.07680000000005</v>
      </c>
      <c r="P1105" s="84">
        <f>IF(O1105="","",Inputs!$C$5-O1105)</f>
        <v>-12.892300000000091</v>
      </c>
      <c r="Q1105" s="83">
        <f>IF(N1105="","",TS!J1105)</f>
        <v>2000</v>
      </c>
      <c r="R1105" s="83">
        <f>IF(N1105="","",TS!K1105)</f>
        <v>1825</v>
      </c>
      <c r="S1105" s="83">
        <f>Inputs!$H$5+TS!P1105*0.4333</f>
        <v>1869.3794828599998</v>
      </c>
      <c r="T1105" s="83">
        <f>Inputs!$G$5+TS!P1105*0.4333</f>
        <v>1884.3794828599998</v>
      </c>
      <c r="U1105" s="85">
        <f t="shared" si="312"/>
        <v>0.94218974142999989</v>
      </c>
      <c r="V1105" s="86">
        <f t="shared" si="300"/>
        <v>0</v>
      </c>
      <c r="W1105" s="86">
        <f t="shared" si="301"/>
        <v>0</v>
      </c>
      <c r="X1105" s="86" t="e">
        <f>((PI()*((42-2*'Gen Calcs'!$E$13)^2)/4)/144)*(A1148-#REF!)*(W1105+14.7)/14.7</f>
        <v>#REF!</v>
      </c>
      <c r="Y1105" s="86" t="e">
        <f t="shared" si="302"/>
        <v>#REF!</v>
      </c>
      <c r="Z1105" s="86" t="e">
        <f t="shared" si="303"/>
        <v>#REF!</v>
      </c>
      <c r="AA1105" s="83">
        <f>MAX(B$2:B1105)-B1105</f>
        <v>100.11419999999998</v>
      </c>
      <c r="AB1105" s="83">
        <f t="shared" si="304"/>
        <v>43.349448599999995</v>
      </c>
      <c r="AC1105" s="83">
        <f t="shared" si="306"/>
        <v>120</v>
      </c>
      <c r="AD1105" s="72">
        <v>120</v>
      </c>
      <c r="AE1105" s="73">
        <f t="shared" si="313"/>
        <v>907.92027688745009</v>
      </c>
      <c r="AF1105" s="73">
        <f>SUM(AE$2:AE1105)</f>
        <v>929688.55718774046</v>
      </c>
      <c r="AG1105" s="73">
        <f t="shared" si="314"/>
        <v>244041.34523936873</v>
      </c>
    </row>
    <row r="1106" spans="1:33" x14ac:dyDescent="0.25">
      <c r="A1106" s="100">
        <v>198499.92</v>
      </c>
      <c r="B1106" s="97">
        <v>836.04110000000003</v>
      </c>
      <c r="C1106" s="97">
        <v>0.6</v>
      </c>
      <c r="D1106" s="80">
        <f t="shared" si="299"/>
        <v>100</v>
      </c>
      <c r="E1106" s="81">
        <f t="shared" si="307"/>
        <v>6791.2436711181272</v>
      </c>
      <c r="F1106" s="81">
        <f>SUM(E$2:E1106)</f>
        <v>6956019.798244454</v>
      </c>
      <c r="G1106" s="43">
        <f t="shared" si="305"/>
        <v>1</v>
      </c>
      <c r="H1106" s="78">
        <v>1</v>
      </c>
      <c r="I1106" s="15">
        <f t="shared" si="308"/>
        <v>0.6</v>
      </c>
      <c r="J1106" s="16">
        <f>VLOOKUP(G1106,Inputs!$L$3:$P$15,5,FALSE)</f>
        <v>2000</v>
      </c>
      <c r="K1106" s="16">
        <f t="shared" si="309"/>
        <v>1825</v>
      </c>
      <c r="L1106" s="79">
        <f>Inputs!$P$8-B1106</f>
        <v>102.1499</v>
      </c>
      <c r="M1106" s="79">
        <f>Inputs!$Q$8+L1106*0.433</f>
        <v>1869.2309067000001</v>
      </c>
      <c r="N1106" s="82">
        <f t="shared" si="310"/>
        <v>198499.92</v>
      </c>
      <c r="O1106" s="83">
        <f t="shared" si="311"/>
        <v>836.04110000000003</v>
      </c>
      <c r="P1106" s="84">
        <f>IF(O1106="","",Inputs!$C$5-O1106)</f>
        <v>-10.856600000000071</v>
      </c>
      <c r="Q1106" s="83">
        <f>IF(N1106="","",TS!J1106)</f>
        <v>2000</v>
      </c>
      <c r="R1106" s="83">
        <f>IF(N1106="","",TS!K1106)</f>
        <v>1825</v>
      </c>
      <c r="S1106" s="83">
        <f>Inputs!$H$5+TS!P1106*0.4333</f>
        <v>1870.26155167</v>
      </c>
      <c r="T1106" s="83">
        <f>Inputs!$G$5+TS!P1106*0.4333</f>
        <v>1885.26155167</v>
      </c>
      <c r="U1106" s="85">
        <f t="shared" si="312"/>
        <v>0.94263077583499999</v>
      </c>
      <c r="V1106" s="86">
        <f t="shared" si="300"/>
        <v>0</v>
      </c>
      <c r="W1106" s="86">
        <f t="shared" si="301"/>
        <v>0</v>
      </c>
      <c r="X1106" s="86" t="e">
        <f>((PI()*((42-2*'Gen Calcs'!$E$13)^2)/4)/144)*(A1149-#REF!)*(W1106+14.7)/14.7</f>
        <v>#REF!</v>
      </c>
      <c r="Y1106" s="86" t="e">
        <f t="shared" si="302"/>
        <v>#REF!</v>
      </c>
      <c r="Z1106" s="86" t="e">
        <f t="shared" si="303"/>
        <v>#REF!</v>
      </c>
      <c r="AA1106" s="83">
        <f>MAX(B$2:B1106)-B1106</f>
        <v>102.1499</v>
      </c>
      <c r="AB1106" s="83">
        <f t="shared" si="304"/>
        <v>44.230906699999998</v>
      </c>
      <c r="AC1106" s="83">
        <f t="shared" si="306"/>
        <v>120</v>
      </c>
      <c r="AD1106" s="72">
        <v>120</v>
      </c>
      <c r="AE1106" s="73">
        <f t="shared" si="313"/>
        <v>907.92027688745009</v>
      </c>
      <c r="AF1106" s="73">
        <f>SUM(AE$2:AE1106)</f>
        <v>930596.47746462794</v>
      </c>
      <c r="AG1106" s="73">
        <f t="shared" si="314"/>
        <v>243133.42496248125</v>
      </c>
    </row>
    <row r="1107" spans="1:33" x14ac:dyDescent="0.25">
      <c r="A1107" s="99">
        <v>198599.92</v>
      </c>
      <c r="B1107" s="96">
        <v>834.51089999999999</v>
      </c>
      <c r="C1107" s="96">
        <v>0.6</v>
      </c>
      <c r="D1107" s="80">
        <f t="shared" si="299"/>
        <v>100</v>
      </c>
      <c r="E1107" s="81">
        <f t="shared" si="307"/>
        <v>6791.2436711181272</v>
      </c>
      <c r="F1107" s="81">
        <f>SUM(E$2:E1107)</f>
        <v>6962811.0419155722</v>
      </c>
      <c r="G1107" s="43">
        <f t="shared" si="305"/>
        <v>1</v>
      </c>
      <c r="H1107" s="78">
        <v>1</v>
      </c>
      <c r="I1107" s="15">
        <f t="shared" si="308"/>
        <v>0.6</v>
      </c>
      <c r="J1107" s="16">
        <f>VLOOKUP(G1107,Inputs!$L$3:$P$15,5,FALSE)</f>
        <v>2000</v>
      </c>
      <c r="K1107" s="16">
        <f t="shared" si="309"/>
        <v>1825</v>
      </c>
      <c r="L1107" s="79">
        <f>Inputs!$P$8-B1107</f>
        <v>103.68010000000004</v>
      </c>
      <c r="M1107" s="79">
        <f>Inputs!$Q$8+L1107*0.433</f>
        <v>1869.8934833000001</v>
      </c>
      <c r="N1107" s="82">
        <f t="shared" si="310"/>
        <v>198599.92</v>
      </c>
      <c r="O1107" s="83">
        <f t="shared" si="311"/>
        <v>834.51089999999999</v>
      </c>
      <c r="P1107" s="84">
        <f>IF(O1107="","",Inputs!$C$5-O1107)</f>
        <v>-9.3264000000000351</v>
      </c>
      <c r="Q1107" s="83">
        <f>IF(N1107="","",TS!J1107)</f>
        <v>2000</v>
      </c>
      <c r="R1107" s="83">
        <f>IF(N1107="","",TS!K1107)</f>
        <v>1825</v>
      </c>
      <c r="S1107" s="83">
        <f>Inputs!$H$5+TS!P1107*0.4333</f>
        <v>1870.9245873299999</v>
      </c>
      <c r="T1107" s="83">
        <f>Inputs!$G$5+TS!P1107*0.4333</f>
        <v>1885.9245873299999</v>
      </c>
      <c r="U1107" s="85">
        <f t="shared" si="312"/>
        <v>0.94296229366499995</v>
      </c>
      <c r="V1107" s="86">
        <f t="shared" si="300"/>
        <v>0</v>
      </c>
      <c r="W1107" s="86">
        <f t="shared" si="301"/>
        <v>0</v>
      </c>
      <c r="X1107" s="86" t="e">
        <f>((PI()*((42-2*'Gen Calcs'!$E$13)^2)/4)/144)*(A1150-#REF!)*(W1107+14.7)/14.7</f>
        <v>#REF!</v>
      </c>
      <c r="Y1107" s="86" t="e">
        <f t="shared" si="302"/>
        <v>#REF!</v>
      </c>
      <c r="Z1107" s="86" t="e">
        <f t="shared" si="303"/>
        <v>#REF!</v>
      </c>
      <c r="AA1107" s="83">
        <f>MAX(B$2:B1107)-B1107</f>
        <v>103.68010000000004</v>
      </c>
      <c r="AB1107" s="83">
        <f t="shared" si="304"/>
        <v>44.893483300000014</v>
      </c>
      <c r="AC1107" s="83">
        <f t="shared" si="306"/>
        <v>120</v>
      </c>
      <c r="AD1107" s="72">
        <v>120</v>
      </c>
      <c r="AE1107" s="73">
        <f t="shared" si="313"/>
        <v>907.92027688745009</v>
      </c>
      <c r="AF1107" s="73">
        <f>SUM(AE$2:AE1107)</f>
        <v>931504.39774151542</v>
      </c>
      <c r="AG1107" s="73">
        <f t="shared" si="314"/>
        <v>242225.50468559377</v>
      </c>
    </row>
    <row r="1108" spans="1:33" x14ac:dyDescent="0.25">
      <c r="A1108" s="100">
        <v>198699.92</v>
      </c>
      <c r="B1108" s="97">
        <v>833.18190000000004</v>
      </c>
      <c r="C1108" s="97">
        <v>0.6</v>
      </c>
      <c r="D1108" s="80">
        <f t="shared" si="299"/>
        <v>100</v>
      </c>
      <c r="E1108" s="81">
        <f t="shared" si="307"/>
        <v>6791.2436711181272</v>
      </c>
      <c r="F1108" s="81">
        <f>SUM(E$2:E1108)</f>
        <v>6969602.2855866905</v>
      </c>
      <c r="G1108" s="43">
        <f t="shared" si="305"/>
        <v>1</v>
      </c>
      <c r="H1108" s="78">
        <v>1</v>
      </c>
      <c r="I1108" s="15">
        <f t="shared" si="308"/>
        <v>0.6</v>
      </c>
      <c r="J1108" s="16">
        <f>VLOOKUP(G1108,Inputs!$L$3:$P$15,5,FALSE)</f>
        <v>2000</v>
      </c>
      <c r="K1108" s="16">
        <f t="shared" si="309"/>
        <v>1825</v>
      </c>
      <c r="L1108" s="79">
        <f>Inputs!$P$8-B1108</f>
        <v>105.00909999999999</v>
      </c>
      <c r="M1108" s="79">
        <f>Inputs!$Q$8+L1108*0.433</f>
        <v>1870.4689403</v>
      </c>
      <c r="N1108" s="82">
        <f t="shared" si="310"/>
        <v>198699.92</v>
      </c>
      <c r="O1108" s="83">
        <f t="shared" si="311"/>
        <v>833.18190000000004</v>
      </c>
      <c r="P1108" s="84">
        <f>IF(O1108="","",Inputs!$C$5-O1108)</f>
        <v>-7.9974000000000842</v>
      </c>
      <c r="Q1108" s="83">
        <f>IF(N1108="","",TS!J1108)</f>
        <v>2000</v>
      </c>
      <c r="R1108" s="83">
        <f>IF(N1108="","",TS!K1108)</f>
        <v>1825</v>
      </c>
      <c r="S1108" s="83">
        <f>Inputs!$H$5+TS!P1108*0.4333</f>
        <v>1871.5004430299998</v>
      </c>
      <c r="T1108" s="83">
        <f>Inputs!$G$5+TS!P1108*0.4333</f>
        <v>1886.5004430299998</v>
      </c>
      <c r="U1108" s="85">
        <f t="shared" si="312"/>
        <v>0.94325022151499993</v>
      </c>
      <c r="V1108" s="86">
        <f t="shared" si="300"/>
        <v>0</v>
      </c>
      <c r="W1108" s="86">
        <f t="shared" si="301"/>
        <v>0</v>
      </c>
      <c r="X1108" s="86" t="e">
        <f>((PI()*((42-2*'Gen Calcs'!$E$13)^2)/4)/144)*(A1151-#REF!)*(W1108+14.7)/14.7</f>
        <v>#REF!</v>
      </c>
      <c r="Y1108" s="86" t="e">
        <f t="shared" si="302"/>
        <v>#REF!</v>
      </c>
      <c r="Z1108" s="86" t="e">
        <f t="shared" si="303"/>
        <v>#REF!</v>
      </c>
      <c r="AA1108" s="83">
        <f>MAX(B$2:B1108)-B1108</f>
        <v>105.00909999999999</v>
      </c>
      <c r="AB1108" s="83">
        <f t="shared" si="304"/>
        <v>45.468940299999993</v>
      </c>
      <c r="AC1108" s="83">
        <f t="shared" si="306"/>
        <v>120</v>
      </c>
      <c r="AD1108" s="72">
        <v>120</v>
      </c>
      <c r="AE1108" s="73">
        <f t="shared" si="313"/>
        <v>907.92027688745009</v>
      </c>
      <c r="AF1108" s="73">
        <f>SUM(AE$2:AE1108)</f>
        <v>932412.3180184029</v>
      </c>
      <c r="AG1108" s="73">
        <f t="shared" si="314"/>
        <v>241317.58440870629</v>
      </c>
    </row>
    <row r="1109" spans="1:33" x14ac:dyDescent="0.25">
      <c r="A1109" s="99">
        <v>198799.92</v>
      </c>
      <c r="B1109" s="96">
        <v>832.87199999999996</v>
      </c>
      <c r="C1109" s="96">
        <v>0.6</v>
      </c>
      <c r="D1109" s="80">
        <f t="shared" si="299"/>
        <v>100</v>
      </c>
      <c r="E1109" s="81">
        <f t="shared" si="307"/>
        <v>6791.2436711181272</v>
      </c>
      <c r="F1109" s="81">
        <f>SUM(E$2:E1109)</f>
        <v>6976393.5292578088</v>
      </c>
      <c r="G1109" s="43">
        <f t="shared" si="305"/>
        <v>1</v>
      </c>
      <c r="H1109" s="78">
        <v>1</v>
      </c>
      <c r="I1109" s="15">
        <f t="shared" si="308"/>
        <v>0.6</v>
      </c>
      <c r="J1109" s="16">
        <f>VLOOKUP(G1109,Inputs!$L$3:$P$15,5,FALSE)</f>
        <v>2000</v>
      </c>
      <c r="K1109" s="16">
        <f t="shared" si="309"/>
        <v>1825</v>
      </c>
      <c r="L1109" s="79">
        <f>Inputs!$P$8-B1109</f>
        <v>105.31900000000007</v>
      </c>
      <c r="M1109" s="79">
        <f>Inputs!$Q$8+L1109*0.433</f>
        <v>1870.6031270000001</v>
      </c>
      <c r="N1109" s="82">
        <f t="shared" si="310"/>
        <v>198799.92</v>
      </c>
      <c r="O1109" s="83">
        <f t="shared" si="311"/>
        <v>832.87199999999996</v>
      </c>
      <c r="P1109" s="84">
        <f>IF(O1109="","",Inputs!$C$5-O1109)</f>
        <v>-7.6875</v>
      </c>
      <c r="Q1109" s="83">
        <f>IF(N1109="","",TS!J1109)</f>
        <v>2000</v>
      </c>
      <c r="R1109" s="83">
        <f>IF(N1109="","",TS!K1109)</f>
        <v>1825</v>
      </c>
      <c r="S1109" s="83">
        <f>Inputs!$H$5+TS!P1109*0.4333</f>
        <v>1871.6347226999999</v>
      </c>
      <c r="T1109" s="83">
        <f>Inputs!$G$5+TS!P1109*0.4333</f>
        <v>1886.6347226999999</v>
      </c>
      <c r="U1109" s="85">
        <f t="shared" si="312"/>
        <v>0.94331736134999999</v>
      </c>
      <c r="V1109" s="86">
        <f t="shared" si="300"/>
        <v>0</v>
      </c>
      <c r="W1109" s="86">
        <f t="shared" si="301"/>
        <v>0</v>
      </c>
      <c r="X1109" s="86" t="e">
        <f>((PI()*((42-2*'Gen Calcs'!$E$13)^2)/4)/144)*(A1152-#REF!)*(W1109+14.7)/14.7</f>
        <v>#REF!</v>
      </c>
      <c r="Y1109" s="86" t="e">
        <f t="shared" si="302"/>
        <v>#REF!</v>
      </c>
      <c r="Z1109" s="86" t="e">
        <f t="shared" si="303"/>
        <v>#REF!</v>
      </c>
      <c r="AA1109" s="83">
        <f>MAX(B$2:B1109)-B1109</f>
        <v>105.31900000000007</v>
      </c>
      <c r="AB1109" s="83">
        <f t="shared" si="304"/>
        <v>45.603127000000029</v>
      </c>
      <c r="AC1109" s="83">
        <f t="shared" si="306"/>
        <v>120</v>
      </c>
      <c r="AD1109" s="72">
        <v>120</v>
      </c>
      <c r="AE1109" s="73">
        <f t="shared" si="313"/>
        <v>907.92027688745009</v>
      </c>
      <c r="AF1109" s="73">
        <f>SUM(AE$2:AE1109)</f>
        <v>933320.23829529039</v>
      </c>
      <c r="AG1109" s="73">
        <f t="shared" si="314"/>
        <v>240409.6641318188</v>
      </c>
    </row>
    <row r="1110" spans="1:33" x14ac:dyDescent="0.25">
      <c r="A1110" s="100">
        <v>198899.92</v>
      </c>
      <c r="B1110" s="97">
        <v>832.37639999999999</v>
      </c>
      <c r="C1110" s="97">
        <v>0.6</v>
      </c>
      <c r="D1110" s="80">
        <f t="shared" si="299"/>
        <v>100</v>
      </c>
      <c r="E1110" s="81">
        <f t="shared" si="307"/>
        <v>6791.2436711181272</v>
      </c>
      <c r="F1110" s="81">
        <f>SUM(E$2:E1110)</f>
        <v>6983184.7729289271</v>
      </c>
      <c r="G1110" s="43">
        <f t="shared" si="305"/>
        <v>1</v>
      </c>
      <c r="H1110" s="78">
        <v>1</v>
      </c>
      <c r="I1110" s="15">
        <f t="shared" si="308"/>
        <v>0.6</v>
      </c>
      <c r="J1110" s="16">
        <f>VLOOKUP(G1110,Inputs!$L$3:$P$15,5,FALSE)</f>
        <v>2000</v>
      </c>
      <c r="K1110" s="16">
        <f t="shared" si="309"/>
        <v>1825</v>
      </c>
      <c r="L1110" s="79">
        <f>Inputs!$P$8-B1110</f>
        <v>105.81460000000004</v>
      </c>
      <c r="M1110" s="79">
        <f>Inputs!$Q$8+L1110*0.433</f>
        <v>1870.8177218000001</v>
      </c>
      <c r="N1110" s="82">
        <f t="shared" si="310"/>
        <v>198899.92</v>
      </c>
      <c r="O1110" s="83">
        <f t="shared" si="311"/>
        <v>832.37639999999999</v>
      </c>
      <c r="P1110" s="84">
        <f>IF(O1110="","",Inputs!$C$5-O1110)</f>
        <v>-7.1919000000000324</v>
      </c>
      <c r="Q1110" s="83">
        <f>IF(N1110="","",TS!J1110)</f>
        <v>2000</v>
      </c>
      <c r="R1110" s="83">
        <f>IF(N1110="","",TS!K1110)</f>
        <v>1825</v>
      </c>
      <c r="S1110" s="83">
        <f>Inputs!$H$5+TS!P1110*0.4333</f>
        <v>1871.84946618</v>
      </c>
      <c r="T1110" s="83">
        <f>Inputs!$G$5+TS!P1110*0.4333</f>
        <v>1886.84946618</v>
      </c>
      <c r="U1110" s="85">
        <f t="shared" si="312"/>
        <v>0.94342473308999997</v>
      </c>
      <c r="V1110" s="86">
        <f t="shared" si="300"/>
        <v>0</v>
      </c>
      <c r="W1110" s="86">
        <f t="shared" si="301"/>
        <v>0</v>
      </c>
      <c r="X1110" s="86" t="e">
        <f>((PI()*((42-2*'Gen Calcs'!$E$13)^2)/4)/144)*(A1153-#REF!)*(W1110+14.7)/14.7</f>
        <v>#REF!</v>
      </c>
      <c r="Y1110" s="86" t="e">
        <f t="shared" si="302"/>
        <v>#REF!</v>
      </c>
      <c r="Z1110" s="86" t="e">
        <f t="shared" si="303"/>
        <v>#REF!</v>
      </c>
      <c r="AA1110" s="83">
        <f>MAX(B$2:B1110)-B1110</f>
        <v>105.81460000000004</v>
      </c>
      <c r="AB1110" s="83">
        <f t="shared" si="304"/>
        <v>45.817721800000015</v>
      </c>
      <c r="AC1110" s="83">
        <f t="shared" si="306"/>
        <v>120</v>
      </c>
      <c r="AD1110" s="72">
        <v>120</v>
      </c>
      <c r="AE1110" s="73">
        <f t="shared" si="313"/>
        <v>907.92027688745009</v>
      </c>
      <c r="AF1110" s="73">
        <f>SUM(AE$2:AE1110)</f>
        <v>934228.15857217787</v>
      </c>
      <c r="AG1110" s="73">
        <f t="shared" si="314"/>
        <v>239501.74385493132</v>
      </c>
    </row>
    <row r="1111" spans="1:33" x14ac:dyDescent="0.25">
      <c r="A1111" s="99">
        <v>198999.92</v>
      </c>
      <c r="B1111" s="96">
        <v>830.92930000000001</v>
      </c>
      <c r="C1111" s="96">
        <v>0.6</v>
      </c>
      <c r="D1111" s="80">
        <f t="shared" si="299"/>
        <v>100</v>
      </c>
      <c r="E1111" s="81">
        <f t="shared" si="307"/>
        <v>6791.2436711181272</v>
      </c>
      <c r="F1111" s="81">
        <f>SUM(E$2:E1111)</f>
        <v>6989976.0166000454</v>
      </c>
      <c r="G1111" s="43">
        <f t="shared" si="305"/>
        <v>1</v>
      </c>
      <c r="H1111" s="78">
        <v>1</v>
      </c>
      <c r="I1111" s="15">
        <f t="shared" si="308"/>
        <v>0.6</v>
      </c>
      <c r="J1111" s="16">
        <f>VLOOKUP(G1111,Inputs!$L$3:$P$15,5,FALSE)</f>
        <v>2000</v>
      </c>
      <c r="K1111" s="16">
        <f t="shared" si="309"/>
        <v>1825</v>
      </c>
      <c r="L1111" s="79">
        <f>Inputs!$P$8-B1111</f>
        <v>107.26170000000002</v>
      </c>
      <c r="M1111" s="79">
        <f>Inputs!$Q$8+L1111*0.433</f>
        <v>1871.4443160999999</v>
      </c>
      <c r="N1111" s="82">
        <f t="shared" si="310"/>
        <v>198999.92</v>
      </c>
      <c r="O1111" s="83">
        <f t="shared" si="311"/>
        <v>830.92930000000001</v>
      </c>
      <c r="P1111" s="84">
        <f>IF(O1111="","",Inputs!$C$5-O1111)</f>
        <v>-5.7448000000000548</v>
      </c>
      <c r="Q1111" s="83">
        <f>IF(N1111="","",TS!J1111)</f>
        <v>2000</v>
      </c>
      <c r="R1111" s="83">
        <f>IF(N1111="","",TS!K1111)</f>
        <v>1825</v>
      </c>
      <c r="S1111" s="83">
        <f>Inputs!$H$5+TS!P1111*0.4333</f>
        <v>1872.4764946099999</v>
      </c>
      <c r="T1111" s="83">
        <f>Inputs!$G$5+TS!P1111*0.4333</f>
        <v>1887.4764946099999</v>
      </c>
      <c r="U1111" s="85">
        <f t="shared" si="312"/>
        <v>0.943738247305</v>
      </c>
      <c r="V1111" s="86">
        <f t="shared" si="300"/>
        <v>0</v>
      </c>
      <c r="W1111" s="86">
        <f t="shared" si="301"/>
        <v>0</v>
      </c>
      <c r="X1111" s="86" t="e">
        <f>((PI()*((42-2*'Gen Calcs'!$E$13)^2)/4)/144)*(A1154-#REF!)*(W1111+14.7)/14.7</f>
        <v>#REF!</v>
      </c>
      <c r="Y1111" s="86" t="e">
        <f t="shared" si="302"/>
        <v>#REF!</v>
      </c>
      <c r="Z1111" s="86" t="e">
        <f t="shared" si="303"/>
        <v>#REF!</v>
      </c>
      <c r="AA1111" s="83">
        <f>MAX(B$2:B1111)-B1111</f>
        <v>107.26170000000002</v>
      </c>
      <c r="AB1111" s="83">
        <f t="shared" si="304"/>
        <v>46.444316100000009</v>
      </c>
      <c r="AC1111" s="83">
        <f t="shared" si="306"/>
        <v>120</v>
      </c>
      <c r="AD1111" s="72">
        <v>120</v>
      </c>
      <c r="AE1111" s="73">
        <f t="shared" si="313"/>
        <v>907.92027688745009</v>
      </c>
      <c r="AF1111" s="73">
        <f>SUM(AE$2:AE1111)</f>
        <v>935136.07884906535</v>
      </c>
      <c r="AG1111" s="73">
        <f t="shared" si="314"/>
        <v>238593.82357804384</v>
      </c>
    </row>
    <row r="1112" spans="1:33" x14ac:dyDescent="0.25">
      <c r="A1112" s="100">
        <v>199096.21</v>
      </c>
      <c r="B1112" s="97">
        <v>830.92930000000001</v>
      </c>
      <c r="C1112" s="97">
        <v>0.86399999999999999</v>
      </c>
      <c r="D1112" s="80">
        <f t="shared" si="299"/>
        <v>96.289999999979045</v>
      </c>
      <c r="E1112" s="81">
        <f t="shared" si="307"/>
        <v>6539.2885309182211</v>
      </c>
      <c r="F1112" s="81">
        <f>SUM(E$2:E1112)</f>
        <v>6996515.3051309632</v>
      </c>
      <c r="G1112" s="43">
        <f t="shared" si="305"/>
        <v>2</v>
      </c>
      <c r="H1112" s="78">
        <v>1</v>
      </c>
      <c r="I1112" s="15">
        <f t="shared" si="308"/>
        <v>0.86399999999999999</v>
      </c>
      <c r="J1112" s="16">
        <f>VLOOKUP(G1112,Inputs!$L$3:$P$15,5,FALSE)</f>
        <v>2880</v>
      </c>
      <c r="K1112" s="16">
        <f t="shared" si="309"/>
        <v>1825</v>
      </c>
      <c r="L1112" s="79">
        <f>Inputs!$P$8-B1112</f>
        <v>107.26170000000002</v>
      </c>
      <c r="M1112" s="79">
        <f>Inputs!$Q$8+L1112*0.433</f>
        <v>1871.4443160999999</v>
      </c>
      <c r="N1112" s="82">
        <f t="shared" si="310"/>
        <v>199096.21</v>
      </c>
      <c r="O1112" s="83">
        <f t="shared" si="311"/>
        <v>830.92930000000001</v>
      </c>
      <c r="P1112" s="84">
        <f>IF(O1112="","",Inputs!$C$5-O1112)</f>
        <v>-5.7448000000000548</v>
      </c>
      <c r="Q1112" s="83">
        <f>IF(N1112="","",TS!J1112)</f>
        <v>2880</v>
      </c>
      <c r="R1112" s="83">
        <f>IF(N1112="","",TS!K1112)</f>
        <v>1825</v>
      </c>
      <c r="S1112" s="83">
        <f>Inputs!$H$5+TS!P1112*0.4333</f>
        <v>1872.4764946099999</v>
      </c>
      <c r="T1112" s="83">
        <f>Inputs!$G$5+TS!P1112*0.4333</f>
        <v>1887.4764946099999</v>
      </c>
      <c r="U1112" s="85">
        <f t="shared" si="312"/>
        <v>0.65537378285069436</v>
      </c>
      <c r="V1112" s="86">
        <f t="shared" si="300"/>
        <v>0</v>
      </c>
      <c r="W1112" s="86">
        <f t="shared" si="301"/>
        <v>0</v>
      </c>
      <c r="X1112" s="86" t="e">
        <f>((PI()*((42-2*'Gen Calcs'!$E$13)^2)/4)/144)*(A1155-#REF!)*(W1112+14.7)/14.7</f>
        <v>#REF!</v>
      </c>
      <c r="Y1112" s="86" t="e">
        <f t="shared" si="302"/>
        <v>#REF!</v>
      </c>
      <c r="Z1112" s="86" t="e">
        <f t="shared" si="303"/>
        <v>#REF!</v>
      </c>
      <c r="AA1112" s="83">
        <f>MAX(B$2:B1112)-B1112</f>
        <v>107.26170000000002</v>
      </c>
      <c r="AB1112" s="83">
        <f t="shared" si="304"/>
        <v>46.444316100000009</v>
      </c>
      <c r="AC1112" s="83">
        <f t="shared" si="306"/>
        <v>120</v>
      </c>
      <c r="AD1112" s="72">
        <v>120</v>
      </c>
      <c r="AE1112" s="73">
        <f t="shared" si="313"/>
        <v>851.7555505750023</v>
      </c>
      <c r="AF1112" s="73">
        <f>SUM(AE$2:AE1112)</f>
        <v>935987.83439964033</v>
      </c>
      <c r="AG1112" s="73">
        <f t="shared" si="314"/>
        <v>237742.06802746886</v>
      </c>
    </row>
    <row r="1113" spans="1:33" x14ac:dyDescent="0.25">
      <c r="A1113" s="99">
        <v>199099.92</v>
      </c>
      <c r="B1113" s="96">
        <v>828.92669999999998</v>
      </c>
      <c r="C1113" s="96">
        <v>0.6</v>
      </c>
      <c r="D1113" s="80">
        <f t="shared" si="299"/>
        <v>3.7100000000209548</v>
      </c>
      <c r="E1113" s="81">
        <f t="shared" si="307"/>
        <v>251.9551401999056</v>
      </c>
      <c r="F1113" s="81">
        <f>SUM(E$2:E1113)</f>
        <v>6996767.2602711627</v>
      </c>
      <c r="G1113" s="43">
        <f t="shared" si="305"/>
        <v>1</v>
      </c>
      <c r="H1113" s="78">
        <v>1</v>
      </c>
      <c r="I1113" s="15">
        <f t="shared" si="308"/>
        <v>0.6</v>
      </c>
      <c r="J1113" s="16">
        <f>VLOOKUP(G1113,Inputs!$L$3:$P$15,5,FALSE)</f>
        <v>2000</v>
      </c>
      <c r="K1113" s="16">
        <f t="shared" si="309"/>
        <v>1825</v>
      </c>
      <c r="L1113" s="79">
        <f>Inputs!$P$8-B1113</f>
        <v>109.26430000000005</v>
      </c>
      <c r="M1113" s="79">
        <f>Inputs!$Q$8+L1113*0.433</f>
        <v>1872.3114419000001</v>
      </c>
      <c r="N1113" s="82">
        <f t="shared" si="310"/>
        <v>199099.92</v>
      </c>
      <c r="O1113" s="83">
        <f t="shared" si="311"/>
        <v>828.92669999999998</v>
      </c>
      <c r="P1113" s="84">
        <f>IF(O1113="","",Inputs!$C$5-O1113)</f>
        <v>-3.7422000000000253</v>
      </c>
      <c r="Q1113" s="83">
        <f>IF(N1113="","",TS!J1113)</f>
        <v>2000</v>
      </c>
      <c r="R1113" s="83">
        <f>IF(N1113="","",TS!K1113)</f>
        <v>1825</v>
      </c>
      <c r="S1113" s="83">
        <f>Inputs!$H$5+TS!P1113*0.4333</f>
        <v>1873.3442211899999</v>
      </c>
      <c r="T1113" s="83">
        <f>Inputs!$G$5+TS!P1113*0.4333</f>
        <v>1888.3442211899999</v>
      </c>
      <c r="U1113" s="85">
        <f t="shared" si="312"/>
        <v>0.94417211059499995</v>
      </c>
      <c r="V1113" s="86">
        <f t="shared" si="300"/>
        <v>0</v>
      </c>
      <c r="W1113" s="86">
        <f t="shared" si="301"/>
        <v>0</v>
      </c>
      <c r="X1113" s="86" t="e">
        <f>((PI()*((42-2*'Gen Calcs'!$E$13)^2)/4)/144)*(A1156-#REF!)*(W1113+14.7)/14.7</f>
        <v>#REF!</v>
      </c>
      <c r="Y1113" s="86" t="e">
        <f t="shared" si="302"/>
        <v>#REF!</v>
      </c>
      <c r="Z1113" s="86" t="e">
        <f t="shared" si="303"/>
        <v>#REF!</v>
      </c>
      <c r="AA1113" s="83">
        <f>MAX(B$2:B1113)-B1113</f>
        <v>109.26430000000005</v>
      </c>
      <c r="AB1113" s="83">
        <f t="shared" si="304"/>
        <v>47.31144190000002</v>
      </c>
      <c r="AC1113" s="83">
        <f t="shared" si="306"/>
        <v>120</v>
      </c>
      <c r="AD1113" s="72">
        <v>120</v>
      </c>
      <c r="AE1113" s="73">
        <f t="shared" si="313"/>
        <v>33.683842272714649</v>
      </c>
      <c r="AF1113" s="73">
        <f>SUM(AE$2:AE1113)</f>
        <v>936021.51824191306</v>
      </c>
      <c r="AG1113" s="73">
        <f t="shared" si="314"/>
        <v>237708.38418519613</v>
      </c>
    </row>
    <row r="1114" spans="1:33" x14ac:dyDescent="0.25">
      <c r="A1114" s="100">
        <v>199176.21</v>
      </c>
      <c r="B1114" s="97">
        <v>828.92669999999998</v>
      </c>
      <c r="C1114" s="97">
        <v>0.86399999999999999</v>
      </c>
      <c r="D1114" s="80">
        <f t="shared" si="299"/>
        <v>76.289999999979045</v>
      </c>
      <c r="E1114" s="81">
        <f t="shared" si="307"/>
        <v>5181.0397966945966</v>
      </c>
      <c r="F1114" s="81">
        <f>SUM(E$2:E1114)</f>
        <v>7001948.3000678569</v>
      </c>
      <c r="G1114" s="43">
        <f t="shared" si="305"/>
        <v>2</v>
      </c>
      <c r="H1114" s="78">
        <v>1</v>
      </c>
      <c r="I1114" s="15">
        <f t="shared" si="308"/>
        <v>0.86399999999999999</v>
      </c>
      <c r="J1114" s="16">
        <f>VLOOKUP(G1114,Inputs!$L$3:$P$15,5,FALSE)</f>
        <v>2880</v>
      </c>
      <c r="K1114" s="16">
        <f t="shared" si="309"/>
        <v>1825</v>
      </c>
      <c r="L1114" s="79">
        <f>Inputs!$P$8-B1114</f>
        <v>109.26430000000005</v>
      </c>
      <c r="M1114" s="79">
        <f>Inputs!$Q$8+L1114*0.433</f>
        <v>1872.3114419000001</v>
      </c>
      <c r="N1114" s="82">
        <f t="shared" si="310"/>
        <v>199176.21</v>
      </c>
      <c r="O1114" s="83">
        <f t="shared" si="311"/>
        <v>828.92669999999998</v>
      </c>
      <c r="P1114" s="84">
        <f>IF(O1114="","",Inputs!$C$5-O1114)</f>
        <v>-3.7422000000000253</v>
      </c>
      <c r="Q1114" s="83">
        <f>IF(N1114="","",TS!J1114)</f>
        <v>2880</v>
      </c>
      <c r="R1114" s="83">
        <f>IF(N1114="","",TS!K1114)</f>
        <v>1825</v>
      </c>
      <c r="S1114" s="83">
        <f>Inputs!$H$5+TS!P1114*0.4333</f>
        <v>1873.3442211899999</v>
      </c>
      <c r="T1114" s="83">
        <f>Inputs!$G$5+TS!P1114*0.4333</f>
        <v>1888.3442211899999</v>
      </c>
      <c r="U1114" s="85">
        <f t="shared" si="312"/>
        <v>0.65567507680208326</v>
      </c>
      <c r="V1114" s="86">
        <f t="shared" si="300"/>
        <v>0</v>
      </c>
      <c r="W1114" s="86">
        <f t="shared" si="301"/>
        <v>0</v>
      </c>
      <c r="X1114" s="86" t="e">
        <f>((PI()*((42-2*'Gen Calcs'!$E$13)^2)/4)/144)*(A1157-#REF!)*(W1114+14.7)/14.7</f>
        <v>#REF!</v>
      </c>
      <c r="Y1114" s="86" t="e">
        <f t="shared" si="302"/>
        <v>#REF!</v>
      </c>
      <c r="Z1114" s="86" t="e">
        <f t="shared" si="303"/>
        <v>#REF!</v>
      </c>
      <c r="AA1114" s="83">
        <f>MAX(B$2:B1114)-B1114</f>
        <v>109.26430000000005</v>
      </c>
      <c r="AB1114" s="83">
        <f t="shared" si="304"/>
        <v>47.31144190000002</v>
      </c>
      <c r="AC1114" s="83">
        <f t="shared" si="306"/>
        <v>120</v>
      </c>
      <c r="AD1114" s="72">
        <v>120</v>
      </c>
      <c r="AE1114" s="73">
        <f t="shared" si="313"/>
        <v>674.84090719039591</v>
      </c>
      <c r="AF1114" s="73">
        <f>SUM(AE$2:AE1114)</f>
        <v>936696.3591491034</v>
      </c>
      <c r="AG1114" s="73">
        <f t="shared" si="314"/>
        <v>237033.54327800579</v>
      </c>
    </row>
    <row r="1115" spans="1:33" x14ac:dyDescent="0.25">
      <c r="A1115" s="99">
        <v>199199.92</v>
      </c>
      <c r="B1115" s="96">
        <v>828.23540000000003</v>
      </c>
      <c r="C1115" s="96">
        <v>0.6</v>
      </c>
      <c r="D1115" s="80">
        <f t="shared" si="299"/>
        <v>23.710000000020955</v>
      </c>
      <c r="E1115" s="81">
        <f t="shared" si="307"/>
        <v>1610.2038744235308</v>
      </c>
      <c r="F1115" s="81">
        <f>SUM(E$2:E1115)</f>
        <v>7003558.5039422801</v>
      </c>
      <c r="G1115" s="43">
        <f t="shared" si="305"/>
        <v>1</v>
      </c>
      <c r="H1115" s="78">
        <v>1</v>
      </c>
      <c r="I1115" s="15">
        <f t="shared" si="308"/>
        <v>0.6</v>
      </c>
      <c r="J1115" s="16">
        <f>VLOOKUP(G1115,Inputs!$L$3:$P$15,5,FALSE)</f>
        <v>2000</v>
      </c>
      <c r="K1115" s="16">
        <f t="shared" si="309"/>
        <v>1825</v>
      </c>
      <c r="L1115" s="79">
        <f>Inputs!$P$8-B1115</f>
        <v>109.9556</v>
      </c>
      <c r="M1115" s="79">
        <f>Inputs!$Q$8+L1115*0.433</f>
        <v>1872.6107747999999</v>
      </c>
      <c r="N1115" s="82">
        <f t="shared" si="310"/>
        <v>199199.92</v>
      </c>
      <c r="O1115" s="83">
        <f t="shared" si="311"/>
        <v>828.23540000000003</v>
      </c>
      <c r="P1115" s="84">
        <f>IF(O1115="","",Inputs!$C$5-O1115)</f>
        <v>-3.0509000000000697</v>
      </c>
      <c r="Q1115" s="83">
        <f>IF(N1115="","",TS!J1115)</f>
        <v>2000</v>
      </c>
      <c r="R1115" s="83">
        <f>IF(N1115="","",TS!K1115)</f>
        <v>1825</v>
      </c>
      <c r="S1115" s="83">
        <f>Inputs!$H$5+TS!P1115*0.4333</f>
        <v>1873.64376148</v>
      </c>
      <c r="T1115" s="83">
        <f>Inputs!$G$5+TS!P1115*0.4333</f>
        <v>1888.64376148</v>
      </c>
      <c r="U1115" s="85">
        <f t="shared" si="312"/>
        <v>0.94432188074000001</v>
      </c>
      <c r="V1115" s="86">
        <f t="shared" si="300"/>
        <v>0</v>
      </c>
      <c r="W1115" s="86">
        <f t="shared" si="301"/>
        <v>0</v>
      </c>
      <c r="X1115" s="86" t="e">
        <f>((PI()*((42-2*'Gen Calcs'!$E$13)^2)/4)/144)*(A1158-#REF!)*(W1115+14.7)/14.7</f>
        <v>#REF!</v>
      </c>
      <c r="Y1115" s="86" t="e">
        <f t="shared" si="302"/>
        <v>#REF!</v>
      </c>
      <c r="Z1115" s="86" t="e">
        <f t="shared" si="303"/>
        <v>#REF!</v>
      </c>
      <c r="AA1115" s="83">
        <f>MAX(B$2:B1115)-B1115</f>
        <v>109.9556</v>
      </c>
      <c r="AB1115" s="83">
        <f t="shared" si="304"/>
        <v>47.610774800000002</v>
      </c>
      <c r="AC1115" s="83">
        <f t="shared" si="306"/>
        <v>120</v>
      </c>
      <c r="AD1115" s="72">
        <v>120</v>
      </c>
      <c r="AE1115" s="73">
        <f t="shared" si="313"/>
        <v>215.26789765020465</v>
      </c>
      <c r="AF1115" s="73">
        <f>SUM(AE$2:AE1115)</f>
        <v>936911.62704675365</v>
      </c>
      <c r="AG1115" s="73">
        <f t="shared" si="314"/>
        <v>236818.27538035554</v>
      </c>
    </row>
    <row r="1116" spans="1:33" x14ac:dyDescent="0.25">
      <c r="A1116" s="100">
        <v>199299.92</v>
      </c>
      <c r="B1116" s="97">
        <v>827.05039999999997</v>
      </c>
      <c r="C1116" s="97">
        <v>0.6</v>
      </c>
      <c r="D1116" s="80">
        <f t="shared" si="299"/>
        <v>100</v>
      </c>
      <c r="E1116" s="81">
        <f t="shared" si="307"/>
        <v>6791.2436711181272</v>
      </c>
      <c r="F1116" s="81">
        <f>SUM(E$2:E1116)</f>
        <v>7010349.7476133984</v>
      </c>
      <c r="G1116" s="43">
        <f t="shared" si="305"/>
        <v>1</v>
      </c>
      <c r="H1116" s="78">
        <v>1</v>
      </c>
      <c r="I1116" s="15">
        <f t="shared" si="308"/>
        <v>0.6</v>
      </c>
      <c r="J1116" s="16">
        <f>VLOOKUP(G1116,Inputs!$L$3:$P$15,5,FALSE)</f>
        <v>2000</v>
      </c>
      <c r="K1116" s="16">
        <f t="shared" si="309"/>
        <v>1825</v>
      </c>
      <c r="L1116" s="79">
        <f>Inputs!$P$8-B1116</f>
        <v>111.14060000000006</v>
      </c>
      <c r="M1116" s="79">
        <f>Inputs!$Q$8+L1116*0.433</f>
        <v>1873.1238797999999</v>
      </c>
      <c r="N1116" s="82">
        <f t="shared" si="310"/>
        <v>199299.92</v>
      </c>
      <c r="O1116" s="83">
        <f t="shared" si="311"/>
        <v>827.05039999999997</v>
      </c>
      <c r="P1116" s="84">
        <f>IF(O1116="","",Inputs!$C$5-O1116)</f>
        <v>-1.8659000000000106</v>
      </c>
      <c r="Q1116" s="83">
        <f>IF(N1116="","",TS!J1116)</f>
        <v>2000</v>
      </c>
      <c r="R1116" s="83">
        <f>IF(N1116="","",TS!K1116)</f>
        <v>1825</v>
      </c>
      <c r="S1116" s="83">
        <f>Inputs!$H$5+TS!P1116*0.4333</f>
        <v>1874.15722198</v>
      </c>
      <c r="T1116" s="83">
        <f>Inputs!$G$5+TS!P1116*0.4333</f>
        <v>1889.15722198</v>
      </c>
      <c r="U1116" s="85">
        <f t="shared" si="312"/>
        <v>0.94457861099000007</v>
      </c>
      <c r="V1116" s="86">
        <f t="shared" si="300"/>
        <v>0</v>
      </c>
      <c r="W1116" s="86">
        <f t="shared" si="301"/>
        <v>0</v>
      </c>
      <c r="X1116" s="86" t="e">
        <f>((PI()*((42-2*'Gen Calcs'!$E$13)^2)/4)/144)*(A1159-#REF!)*(W1116+14.7)/14.7</f>
        <v>#REF!</v>
      </c>
      <c r="Y1116" s="86" t="e">
        <f t="shared" si="302"/>
        <v>#REF!</v>
      </c>
      <c r="Z1116" s="86" t="e">
        <f t="shared" si="303"/>
        <v>#REF!</v>
      </c>
      <c r="AA1116" s="83">
        <f>MAX(B$2:B1116)-B1116</f>
        <v>111.14060000000006</v>
      </c>
      <c r="AB1116" s="83">
        <f t="shared" si="304"/>
        <v>48.123879800000026</v>
      </c>
      <c r="AC1116" s="83">
        <f t="shared" si="306"/>
        <v>120</v>
      </c>
      <c r="AD1116" s="72">
        <v>120</v>
      </c>
      <c r="AE1116" s="73">
        <f t="shared" si="313"/>
        <v>907.92027688745009</v>
      </c>
      <c r="AF1116" s="73">
        <f>SUM(AE$2:AE1116)</f>
        <v>937819.54732364113</v>
      </c>
      <c r="AG1116" s="73">
        <f t="shared" si="314"/>
        <v>235910.35510346806</v>
      </c>
    </row>
    <row r="1117" spans="1:33" x14ac:dyDescent="0.25">
      <c r="A1117" s="99">
        <v>199399.92</v>
      </c>
      <c r="B1117" s="96">
        <v>823.76829999999995</v>
      </c>
      <c r="C1117" s="96">
        <v>0.6</v>
      </c>
      <c r="D1117" s="80">
        <f t="shared" si="299"/>
        <v>100</v>
      </c>
      <c r="E1117" s="81">
        <f t="shared" si="307"/>
        <v>6791.2436711181272</v>
      </c>
      <c r="F1117" s="81">
        <f>SUM(E$2:E1117)</f>
        <v>7017140.9912845166</v>
      </c>
      <c r="G1117" s="43">
        <f t="shared" si="305"/>
        <v>1</v>
      </c>
      <c r="H1117" s="78">
        <v>1</v>
      </c>
      <c r="I1117" s="15">
        <f t="shared" si="308"/>
        <v>0.6</v>
      </c>
      <c r="J1117" s="16">
        <f>VLOOKUP(G1117,Inputs!$L$3:$P$15,5,FALSE)</f>
        <v>2000</v>
      </c>
      <c r="K1117" s="16">
        <f t="shared" si="309"/>
        <v>1825</v>
      </c>
      <c r="L1117" s="79">
        <f>Inputs!$P$8-B1117</f>
        <v>114.42270000000008</v>
      </c>
      <c r="M1117" s="79">
        <f>Inputs!$Q$8+L1117*0.433</f>
        <v>1874.5450291</v>
      </c>
      <c r="N1117" s="82">
        <f t="shared" si="310"/>
        <v>199399.92</v>
      </c>
      <c r="O1117" s="83">
        <f t="shared" si="311"/>
        <v>823.76829999999995</v>
      </c>
      <c r="P1117" s="84">
        <f>IF(O1117="","",Inputs!$C$5-O1117)</f>
        <v>1.4162000000000035</v>
      </c>
      <c r="Q1117" s="83">
        <f>IF(N1117="","",TS!J1117)</f>
        <v>2000</v>
      </c>
      <c r="R1117" s="83">
        <f>IF(N1117="","",TS!K1117)</f>
        <v>1825</v>
      </c>
      <c r="S1117" s="83">
        <f>Inputs!$H$5+TS!P1117*0.4333</f>
        <v>1875.57935591</v>
      </c>
      <c r="T1117" s="83">
        <f>Inputs!$G$5+TS!P1117*0.4333</f>
        <v>1890.57935591</v>
      </c>
      <c r="U1117" s="85">
        <f t="shared" si="312"/>
        <v>0.94528967795499996</v>
      </c>
      <c r="V1117" s="86">
        <f t="shared" si="300"/>
        <v>0</v>
      </c>
      <c r="W1117" s="86">
        <f t="shared" si="301"/>
        <v>0</v>
      </c>
      <c r="X1117" s="86" t="e">
        <f>((PI()*((42-2*'Gen Calcs'!$E$13)^2)/4)/144)*(A1160-#REF!)*(W1117+14.7)/14.7</f>
        <v>#REF!</v>
      </c>
      <c r="Y1117" s="86" t="e">
        <f t="shared" si="302"/>
        <v>#REF!</v>
      </c>
      <c r="Z1117" s="86" t="e">
        <f t="shared" si="303"/>
        <v>#REF!</v>
      </c>
      <c r="AA1117" s="83">
        <f>MAX(B$2:B1117)-B1117</f>
        <v>114.42270000000008</v>
      </c>
      <c r="AB1117" s="83">
        <f t="shared" si="304"/>
        <v>49.545029100000036</v>
      </c>
      <c r="AC1117" s="83">
        <f t="shared" si="306"/>
        <v>120</v>
      </c>
      <c r="AD1117" s="72">
        <v>120</v>
      </c>
      <c r="AE1117" s="73">
        <f t="shared" si="313"/>
        <v>907.92027688745009</v>
      </c>
      <c r="AF1117" s="73">
        <f>SUM(AE$2:AE1117)</f>
        <v>938727.46760052862</v>
      </c>
      <c r="AG1117" s="73">
        <f t="shared" si="314"/>
        <v>235002.43482658057</v>
      </c>
    </row>
    <row r="1118" spans="1:33" x14ac:dyDescent="0.25">
      <c r="A1118" s="100">
        <v>199499.92</v>
      </c>
      <c r="B1118" s="97">
        <v>827.69359999999995</v>
      </c>
      <c r="C1118" s="97">
        <v>0.6</v>
      </c>
      <c r="D1118" s="80">
        <f t="shared" si="299"/>
        <v>100</v>
      </c>
      <c r="E1118" s="81">
        <f t="shared" si="307"/>
        <v>6791.2436711181272</v>
      </c>
      <c r="F1118" s="81">
        <f>SUM(E$2:E1118)</f>
        <v>7023932.2349556349</v>
      </c>
      <c r="G1118" s="43">
        <f t="shared" si="305"/>
        <v>1</v>
      </c>
      <c r="H1118" s="78">
        <v>1</v>
      </c>
      <c r="I1118" s="15">
        <f t="shared" si="308"/>
        <v>0.6</v>
      </c>
      <c r="J1118" s="16">
        <f>VLOOKUP(G1118,Inputs!$L$3:$P$15,5,FALSE)</f>
        <v>2000</v>
      </c>
      <c r="K1118" s="16">
        <f t="shared" si="309"/>
        <v>1825</v>
      </c>
      <c r="L1118" s="79">
        <f>Inputs!$P$8-B1118</f>
        <v>110.49740000000008</v>
      </c>
      <c r="M1118" s="79">
        <f>Inputs!$Q$8+L1118*0.433</f>
        <v>1872.8453742000002</v>
      </c>
      <c r="N1118" s="82">
        <f t="shared" si="310"/>
        <v>199499.92</v>
      </c>
      <c r="O1118" s="83">
        <f t="shared" si="311"/>
        <v>827.69359999999995</v>
      </c>
      <c r="P1118" s="84">
        <f>IF(O1118="","",Inputs!$C$5-O1118)</f>
        <v>-2.5090999999999894</v>
      </c>
      <c r="Q1118" s="83">
        <f>IF(N1118="","",TS!J1118)</f>
        <v>2000</v>
      </c>
      <c r="R1118" s="83">
        <f>IF(N1118="","",TS!K1118)</f>
        <v>1825</v>
      </c>
      <c r="S1118" s="83">
        <f>Inputs!$H$5+TS!P1118*0.4333</f>
        <v>1873.87852342</v>
      </c>
      <c r="T1118" s="83">
        <f>Inputs!$G$5+TS!P1118*0.4333</f>
        <v>1888.87852342</v>
      </c>
      <c r="U1118" s="85">
        <f t="shared" si="312"/>
        <v>0.94443926171000003</v>
      </c>
      <c r="V1118" s="86">
        <f t="shared" si="300"/>
        <v>0</v>
      </c>
      <c r="W1118" s="86">
        <f t="shared" si="301"/>
        <v>0</v>
      </c>
      <c r="X1118" s="86" t="e">
        <f>((PI()*((42-2*'Gen Calcs'!$E$13)^2)/4)/144)*(A1161-#REF!)*(W1118+14.7)/14.7</f>
        <v>#REF!</v>
      </c>
      <c r="Y1118" s="86" t="e">
        <f t="shared" si="302"/>
        <v>#REF!</v>
      </c>
      <c r="Z1118" s="86" t="e">
        <f t="shared" si="303"/>
        <v>#REF!</v>
      </c>
      <c r="AA1118" s="83">
        <f>MAX(B$2:B1118)-B1118</f>
        <v>110.49740000000008</v>
      </c>
      <c r="AB1118" s="83">
        <f t="shared" si="304"/>
        <v>47.845374200000037</v>
      </c>
      <c r="AC1118" s="83">
        <f t="shared" si="306"/>
        <v>120</v>
      </c>
      <c r="AD1118" s="72">
        <v>120</v>
      </c>
      <c r="AE1118" s="73">
        <f t="shared" si="313"/>
        <v>907.92027688745009</v>
      </c>
      <c r="AF1118" s="73">
        <f>SUM(AE$2:AE1118)</f>
        <v>939635.3878774161</v>
      </c>
      <c r="AG1118" s="73">
        <f t="shared" si="314"/>
        <v>234094.51454969309</v>
      </c>
    </row>
    <row r="1119" spans="1:33" x14ac:dyDescent="0.25">
      <c r="A1119" s="99">
        <v>199599.92</v>
      </c>
      <c r="B1119" s="96">
        <v>829.42250000000001</v>
      </c>
      <c r="C1119" s="96">
        <v>0.6</v>
      </c>
      <c r="D1119" s="80">
        <f t="shared" si="299"/>
        <v>100</v>
      </c>
      <c r="E1119" s="81">
        <f t="shared" si="307"/>
        <v>6791.2436711181272</v>
      </c>
      <c r="F1119" s="81">
        <f>SUM(E$2:E1119)</f>
        <v>7030723.4786267532</v>
      </c>
      <c r="G1119" s="43">
        <f t="shared" si="305"/>
        <v>1</v>
      </c>
      <c r="H1119" s="78">
        <v>1</v>
      </c>
      <c r="I1119" s="15">
        <f t="shared" si="308"/>
        <v>0.6</v>
      </c>
      <c r="J1119" s="16">
        <f>VLOOKUP(G1119,Inputs!$L$3:$P$15,5,FALSE)</f>
        <v>2000</v>
      </c>
      <c r="K1119" s="16">
        <f t="shared" si="309"/>
        <v>1825</v>
      </c>
      <c r="L1119" s="79">
        <f>Inputs!$P$8-B1119</f>
        <v>108.76850000000002</v>
      </c>
      <c r="M1119" s="79">
        <f>Inputs!$Q$8+L1119*0.433</f>
        <v>1872.0967605000001</v>
      </c>
      <c r="N1119" s="82">
        <f t="shared" si="310"/>
        <v>199599.92</v>
      </c>
      <c r="O1119" s="83">
        <f t="shared" si="311"/>
        <v>829.42250000000001</v>
      </c>
      <c r="P1119" s="84">
        <f>IF(O1119="","",Inputs!$C$5-O1119)</f>
        <v>-4.2380000000000564</v>
      </c>
      <c r="Q1119" s="83">
        <f>IF(N1119="","",TS!J1119)</f>
        <v>2000</v>
      </c>
      <c r="R1119" s="83">
        <f>IF(N1119="","",TS!K1119)</f>
        <v>1825</v>
      </c>
      <c r="S1119" s="83">
        <f>Inputs!$H$5+TS!P1119*0.4333</f>
        <v>1873.1293910499999</v>
      </c>
      <c r="T1119" s="83">
        <f>Inputs!$G$5+TS!P1119*0.4333</f>
        <v>1888.1293910499999</v>
      </c>
      <c r="U1119" s="85">
        <f t="shared" si="312"/>
        <v>0.94406469552499994</v>
      </c>
      <c r="V1119" s="86">
        <f t="shared" si="300"/>
        <v>0</v>
      </c>
      <c r="W1119" s="86">
        <f t="shared" si="301"/>
        <v>0</v>
      </c>
      <c r="X1119" s="86" t="e">
        <f>((PI()*((42-2*'Gen Calcs'!$E$13)^2)/4)/144)*(A1162-#REF!)*(W1119+14.7)/14.7</f>
        <v>#REF!</v>
      </c>
      <c r="Y1119" s="86" t="e">
        <f t="shared" si="302"/>
        <v>#REF!</v>
      </c>
      <c r="Z1119" s="86" t="e">
        <f t="shared" si="303"/>
        <v>#REF!</v>
      </c>
      <c r="AA1119" s="83">
        <f>MAX(B$2:B1119)-B1119</f>
        <v>108.76850000000002</v>
      </c>
      <c r="AB1119" s="83">
        <f t="shared" si="304"/>
        <v>47.096760500000009</v>
      </c>
      <c r="AC1119" s="83">
        <f t="shared" si="306"/>
        <v>120</v>
      </c>
      <c r="AD1119" s="72">
        <v>120</v>
      </c>
      <c r="AE1119" s="73">
        <f t="shared" si="313"/>
        <v>907.92027688745009</v>
      </c>
      <c r="AF1119" s="73">
        <f>SUM(AE$2:AE1119)</f>
        <v>940543.30815430358</v>
      </c>
      <c r="AG1119" s="73">
        <f t="shared" si="314"/>
        <v>233186.59427280561</v>
      </c>
    </row>
    <row r="1120" spans="1:33" x14ac:dyDescent="0.25">
      <c r="A1120" s="100">
        <v>199699.92</v>
      </c>
      <c r="B1120" s="97">
        <v>832.02560000000005</v>
      </c>
      <c r="C1120" s="97">
        <v>0.6</v>
      </c>
      <c r="D1120" s="80">
        <f t="shared" si="299"/>
        <v>100</v>
      </c>
      <c r="E1120" s="81">
        <f t="shared" si="307"/>
        <v>6791.2436711181272</v>
      </c>
      <c r="F1120" s="81">
        <f>SUM(E$2:E1120)</f>
        <v>7037514.7222978715</v>
      </c>
      <c r="G1120" s="43">
        <f t="shared" si="305"/>
        <v>1</v>
      </c>
      <c r="H1120" s="78">
        <v>1</v>
      </c>
      <c r="I1120" s="15">
        <f t="shared" si="308"/>
        <v>0.6</v>
      </c>
      <c r="J1120" s="16">
        <f>VLOOKUP(G1120,Inputs!$L$3:$P$15,5,FALSE)</f>
        <v>2000</v>
      </c>
      <c r="K1120" s="16">
        <f t="shared" si="309"/>
        <v>1825</v>
      </c>
      <c r="L1120" s="79">
        <f>Inputs!$P$8-B1120</f>
        <v>106.16539999999998</v>
      </c>
      <c r="M1120" s="79">
        <f>Inputs!$Q$8+L1120*0.433</f>
        <v>1870.9696182</v>
      </c>
      <c r="N1120" s="82">
        <f t="shared" si="310"/>
        <v>199699.92</v>
      </c>
      <c r="O1120" s="83">
        <f t="shared" si="311"/>
        <v>832.02560000000005</v>
      </c>
      <c r="P1120" s="84">
        <f>IF(O1120="","",Inputs!$C$5-O1120)</f>
        <v>-6.8411000000000968</v>
      </c>
      <c r="Q1120" s="83">
        <f>IF(N1120="","",TS!J1120)</f>
        <v>2000</v>
      </c>
      <c r="R1120" s="83">
        <f>IF(N1120="","",TS!K1120)</f>
        <v>1825</v>
      </c>
      <c r="S1120" s="83">
        <f>Inputs!$H$5+TS!P1120*0.4333</f>
        <v>1872.00146782</v>
      </c>
      <c r="T1120" s="83">
        <f>Inputs!$G$5+TS!P1120*0.4333</f>
        <v>1887.00146782</v>
      </c>
      <c r="U1120" s="85">
        <f t="shared" si="312"/>
        <v>0.94350073391</v>
      </c>
      <c r="V1120" s="86">
        <f t="shared" si="300"/>
        <v>0</v>
      </c>
      <c r="W1120" s="86">
        <f t="shared" si="301"/>
        <v>0</v>
      </c>
      <c r="X1120" s="86" t="e">
        <f>((PI()*((42-2*'Gen Calcs'!$E$13)^2)/4)/144)*(A1163-#REF!)*(W1120+14.7)/14.7</f>
        <v>#REF!</v>
      </c>
      <c r="Y1120" s="86" t="e">
        <f t="shared" si="302"/>
        <v>#REF!</v>
      </c>
      <c r="Z1120" s="86" t="e">
        <f t="shared" si="303"/>
        <v>#REF!</v>
      </c>
      <c r="AA1120" s="83">
        <f>MAX(B$2:B1120)-B1120</f>
        <v>106.16539999999998</v>
      </c>
      <c r="AB1120" s="83">
        <f t="shared" si="304"/>
        <v>45.969618199999992</v>
      </c>
      <c r="AC1120" s="83">
        <f t="shared" si="306"/>
        <v>120</v>
      </c>
      <c r="AD1120" s="72">
        <v>120</v>
      </c>
      <c r="AE1120" s="73">
        <f t="shared" si="313"/>
        <v>907.92027688745009</v>
      </c>
      <c r="AF1120" s="73">
        <f>SUM(AE$2:AE1120)</f>
        <v>941451.22843119106</v>
      </c>
      <c r="AG1120" s="73">
        <f t="shared" si="314"/>
        <v>232278.67399591813</v>
      </c>
    </row>
    <row r="1121" spans="1:33" x14ac:dyDescent="0.25">
      <c r="A1121" s="99">
        <v>199799.92</v>
      </c>
      <c r="B1121" s="96">
        <v>835.38289999999995</v>
      </c>
      <c r="C1121" s="96">
        <v>0.6</v>
      </c>
      <c r="D1121" s="80">
        <f t="shared" ref="D1121:D1184" si="315">A1121-A1120</f>
        <v>100</v>
      </c>
      <c r="E1121" s="81">
        <f t="shared" si="307"/>
        <v>6791.2436711181272</v>
      </c>
      <c r="F1121" s="81">
        <f>SUM(E$2:E1121)</f>
        <v>7044305.9659689898</v>
      </c>
      <c r="G1121" s="43">
        <f t="shared" si="305"/>
        <v>1</v>
      </c>
      <c r="H1121" s="78">
        <v>1</v>
      </c>
      <c r="I1121" s="15">
        <f t="shared" si="308"/>
        <v>0.6</v>
      </c>
      <c r="J1121" s="16">
        <f>VLOOKUP(G1121,Inputs!$L$3:$P$15,5,FALSE)</f>
        <v>2000</v>
      </c>
      <c r="K1121" s="16">
        <f t="shared" si="309"/>
        <v>1825</v>
      </c>
      <c r="L1121" s="79">
        <f>Inputs!$P$8-B1121</f>
        <v>102.80810000000008</v>
      </c>
      <c r="M1121" s="79">
        <f>Inputs!$Q$8+L1121*0.433</f>
        <v>1869.5159073</v>
      </c>
      <c r="N1121" s="82">
        <f t="shared" si="310"/>
        <v>199799.92</v>
      </c>
      <c r="O1121" s="83">
        <f t="shared" si="311"/>
        <v>835.38289999999995</v>
      </c>
      <c r="P1121" s="84">
        <f>IF(O1121="","",Inputs!$C$5-O1121)</f>
        <v>-10.198399999999992</v>
      </c>
      <c r="Q1121" s="83">
        <f>IF(N1121="","",TS!J1121)</f>
        <v>2000</v>
      </c>
      <c r="R1121" s="83">
        <f>IF(N1121="","",TS!K1121)</f>
        <v>1825</v>
      </c>
      <c r="S1121" s="83">
        <f>Inputs!$H$5+TS!P1121*0.4333</f>
        <v>1870.5467497299999</v>
      </c>
      <c r="T1121" s="83">
        <f>Inputs!$G$5+TS!P1121*0.4333</f>
        <v>1885.5467497299999</v>
      </c>
      <c r="U1121" s="85">
        <f t="shared" si="312"/>
        <v>0.9427733748649999</v>
      </c>
      <c r="V1121" s="86">
        <f t="shared" si="300"/>
        <v>0</v>
      </c>
      <c r="W1121" s="86">
        <f t="shared" si="301"/>
        <v>0</v>
      </c>
      <c r="X1121" s="86" t="e">
        <f>((PI()*((42-2*'Gen Calcs'!$E$13)^2)/4)/144)*(A1164-#REF!)*(W1121+14.7)/14.7</f>
        <v>#REF!</v>
      </c>
      <c r="Y1121" s="86" t="e">
        <f t="shared" si="302"/>
        <v>#REF!</v>
      </c>
      <c r="Z1121" s="86" t="e">
        <f t="shared" si="303"/>
        <v>#REF!</v>
      </c>
      <c r="AA1121" s="83">
        <f>MAX(B$2:B1121)-B1121</f>
        <v>102.80810000000008</v>
      </c>
      <c r="AB1121" s="83">
        <f t="shared" si="304"/>
        <v>44.515907300000038</v>
      </c>
      <c r="AC1121" s="83">
        <f t="shared" si="306"/>
        <v>120</v>
      </c>
      <c r="AD1121" s="72">
        <v>120</v>
      </c>
      <c r="AE1121" s="73">
        <f t="shared" si="313"/>
        <v>907.92027688745009</v>
      </c>
      <c r="AF1121" s="73">
        <f>SUM(AE$2:AE1121)</f>
        <v>942359.14870807854</v>
      </c>
      <c r="AG1121" s="73">
        <f t="shared" si="314"/>
        <v>231370.75371903065</v>
      </c>
    </row>
    <row r="1122" spans="1:33" x14ac:dyDescent="0.25">
      <c r="A1122" s="100">
        <v>199899.92</v>
      </c>
      <c r="B1122" s="97">
        <v>839.04390000000001</v>
      </c>
      <c r="C1122" s="97">
        <v>0.6</v>
      </c>
      <c r="D1122" s="80">
        <f t="shared" si="315"/>
        <v>100</v>
      </c>
      <c r="E1122" s="81">
        <f t="shared" si="307"/>
        <v>6791.2436711181272</v>
      </c>
      <c r="F1122" s="81">
        <f>SUM(E$2:E1122)</f>
        <v>7051097.209640108</v>
      </c>
      <c r="G1122" s="43">
        <f t="shared" si="305"/>
        <v>1</v>
      </c>
      <c r="H1122" s="78">
        <v>1</v>
      </c>
      <c r="I1122" s="15">
        <f t="shared" si="308"/>
        <v>0.6</v>
      </c>
      <c r="J1122" s="16">
        <f>VLOOKUP(G1122,Inputs!$L$3:$P$15,5,FALSE)</f>
        <v>2000</v>
      </c>
      <c r="K1122" s="16">
        <f t="shared" si="309"/>
        <v>1825</v>
      </c>
      <c r="L1122" s="79">
        <f>Inputs!$P$8-B1122</f>
        <v>99.147100000000023</v>
      </c>
      <c r="M1122" s="79">
        <f>Inputs!$Q$8+L1122*0.433</f>
        <v>1867.9306942999999</v>
      </c>
      <c r="N1122" s="82">
        <f t="shared" si="310"/>
        <v>199899.92</v>
      </c>
      <c r="O1122" s="83">
        <f t="shared" si="311"/>
        <v>839.04390000000001</v>
      </c>
      <c r="P1122" s="84">
        <f>IF(O1122="","",Inputs!$C$5-O1122)</f>
        <v>-13.859400000000051</v>
      </c>
      <c r="Q1122" s="83">
        <f>IF(N1122="","",TS!J1122)</f>
        <v>2000</v>
      </c>
      <c r="R1122" s="83">
        <f>IF(N1122="","",TS!K1122)</f>
        <v>1825</v>
      </c>
      <c r="S1122" s="83">
        <f>Inputs!$H$5+TS!P1122*0.4333</f>
        <v>1868.9604384299998</v>
      </c>
      <c r="T1122" s="83">
        <f>Inputs!$G$5+TS!P1122*0.4333</f>
        <v>1883.9604384299998</v>
      </c>
      <c r="U1122" s="85">
        <f t="shared" si="312"/>
        <v>0.94198021921499997</v>
      </c>
      <c r="V1122" s="86">
        <f t="shared" si="300"/>
        <v>0</v>
      </c>
      <c r="W1122" s="86">
        <f t="shared" si="301"/>
        <v>0</v>
      </c>
      <c r="X1122" s="86" t="e">
        <f>((PI()*((42-2*'Gen Calcs'!$E$13)^2)/4)/144)*(A1165-#REF!)*(W1122+14.7)/14.7</f>
        <v>#REF!</v>
      </c>
      <c r="Y1122" s="86" t="e">
        <f t="shared" si="302"/>
        <v>#REF!</v>
      </c>
      <c r="Z1122" s="86" t="e">
        <f t="shared" si="303"/>
        <v>#REF!</v>
      </c>
      <c r="AA1122" s="83">
        <f>MAX(B$2:B1122)-B1122</f>
        <v>99.147100000000023</v>
      </c>
      <c r="AB1122" s="83">
        <f t="shared" si="304"/>
        <v>42.930694300000006</v>
      </c>
      <c r="AC1122" s="83">
        <f t="shared" si="306"/>
        <v>120</v>
      </c>
      <c r="AD1122" s="72">
        <v>120</v>
      </c>
      <c r="AE1122" s="73">
        <f t="shared" si="313"/>
        <v>907.92027688745009</v>
      </c>
      <c r="AF1122" s="73">
        <f>SUM(AE$2:AE1122)</f>
        <v>943267.06898496603</v>
      </c>
      <c r="AG1122" s="73">
        <f t="shared" si="314"/>
        <v>230462.83344214316</v>
      </c>
    </row>
    <row r="1123" spans="1:33" x14ac:dyDescent="0.25">
      <c r="A1123" s="99">
        <v>199999.92</v>
      </c>
      <c r="B1123" s="96">
        <v>842.81309999999996</v>
      </c>
      <c r="C1123" s="96">
        <v>0.6</v>
      </c>
      <c r="D1123" s="80">
        <f t="shared" si="315"/>
        <v>100</v>
      </c>
      <c r="E1123" s="81">
        <f t="shared" si="307"/>
        <v>6791.2436711181272</v>
      </c>
      <c r="F1123" s="81">
        <f>SUM(E$2:E1123)</f>
        <v>7057888.4533112263</v>
      </c>
      <c r="G1123" s="43">
        <f t="shared" si="305"/>
        <v>1</v>
      </c>
      <c r="H1123" s="78">
        <v>1</v>
      </c>
      <c r="I1123" s="15">
        <f t="shared" si="308"/>
        <v>0.6</v>
      </c>
      <c r="J1123" s="16">
        <f>VLOOKUP(G1123,Inputs!$L$3:$P$15,5,FALSE)</f>
        <v>2000</v>
      </c>
      <c r="K1123" s="16">
        <f t="shared" si="309"/>
        <v>1825</v>
      </c>
      <c r="L1123" s="79">
        <f>Inputs!$P$8-B1123</f>
        <v>95.377900000000068</v>
      </c>
      <c r="M1123" s="79">
        <f>Inputs!$Q$8+L1123*0.433</f>
        <v>1866.2986307000001</v>
      </c>
      <c r="N1123" s="82">
        <f t="shared" si="310"/>
        <v>199999.92</v>
      </c>
      <c r="O1123" s="83">
        <f t="shared" si="311"/>
        <v>842.81309999999996</v>
      </c>
      <c r="P1123" s="84">
        <f>IF(O1123="","",Inputs!$C$5-O1123)</f>
        <v>-17.628600000000006</v>
      </c>
      <c r="Q1123" s="83">
        <f>IF(N1123="","",TS!J1123)</f>
        <v>2000</v>
      </c>
      <c r="R1123" s="83">
        <f>IF(N1123="","",TS!K1123)</f>
        <v>1825</v>
      </c>
      <c r="S1123" s="83">
        <f>Inputs!$H$5+TS!P1123*0.4333</f>
        <v>1867.32724407</v>
      </c>
      <c r="T1123" s="83">
        <f>Inputs!$G$5+TS!P1123*0.4333</f>
        <v>1882.32724407</v>
      </c>
      <c r="U1123" s="85">
        <f t="shared" si="312"/>
        <v>0.94116362203500004</v>
      </c>
      <c r="V1123" s="86">
        <f t="shared" si="300"/>
        <v>0</v>
      </c>
      <c r="W1123" s="86">
        <f t="shared" si="301"/>
        <v>0</v>
      </c>
      <c r="X1123" s="86" t="e">
        <f>((PI()*((42-2*'Gen Calcs'!$E$13)^2)/4)/144)*(A1166-#REF!)*(W1123+14.7)/14.7</f>
        <v>#REF!</v>
      </c>
      <c r="Y1123" s="86" t="e">
        <f t="shared" si="302"/>
        <v>#REF!</v>
      </c>
      <c r="Z1123" s="86" t="e">
        <f t="shared" si="303"/>
        <v>#REF!</v>
      </c>
      <c r="AA1123" s="83">
        <f>MAX(B$2:B1123)-B1123</f>
        <v>95.377900000000068</v>
      </c>
      <c r="AB1123" s="83">
        <f t="shared" si="304"/>
        <v>41.298630700000032</v>
      </c>
      <c r="AC1123" s="83">
        <f t="shared" si="306"/>
        <v>120</v>
      </c>
      <c r="AD1123" s="72">
        <v>120</v>
      </c>
      <c r="AE1123" s="73">
        <f t="shared" si="313"/>
        <v>907.92027688745009</v>
      </c>
      <c r="AF1123" s="73">
        <f>SUM(AE$2:AE1123)</f>
        <v>944174.98926185351</v>
      </c>
      <c r="AG1123" s="73">
        <f t="shared" si="314"/>
        <v>229554.91316525568</v>
      </c>
    </row>
    <row r="1124" spans="1:33" x14ac:dyDescent="0.25">
      <c r="A1124" s="100">
        <v>200099.92</v>
      </c>
      <c r="B1124" s="97">
        <v>846.38959999999997</v>
      </c>
      <c r="C1124" s="97">
        <v>0.6</v>
      </c>
      <c r="D1124" s="80">
        <f t="shared" si="315"/>
        <v>100</v>
      </c>
      <c r="E1124" s="81">
        <f t="shared" si="307"/>
        <v>6791.2436711181272</v>
      </c>
      <c r="F1124" s="81">
        <f>SUM(E$2:E1124)</f>
        <v>7064679.6969823446</v>
      </c>
      <c r="G1124" s="43">
        <f t="shared" si="305"/>
        <v>1</v>
      </c>
      <c r="H1124" s="78">
        <v>1</v>
      </c>
      <c r="I1124" s="15">
        <f t="shared" si="308"/>
        <v>0.6</v>
      </c>
      <c r="J1124" s="16">
        <f>VLOOKUP(G1124,Inputs!$L$3:$P$15,5,FALSE)</f>
        <v>2000</v>
      </c>
      <c r="K1124" s="16">
        <f t="shared" si="309"/>
        <v>1825</v>
      </c>
      <c r="L1124" s="79">
        <f>Inputs!$P$8-B1124</f>
        <v>91.801400000000058</v>
      </c>
      <c r="M1124" s="79">
        <f>Inputs!$Q$8+L1124*0.433</f>
        <v>1864.7500061999999</v>
      </c>
      <c r="N1124" s="82">
        <f t="shared" si="310"/>
        <v>200099.92</v>
      </c>
      <c r="O1124" s="83">
        <f t="shared" si="311"/>
        <v>846.38959999999997</v>
      </c>
      <c r="P1124" s="84">
        <f>IF(O1124="","",Inputs!$C$5-O1124)</f>
        <v>-21.205100000000016</v>
      </c>
      <c r="Q1124" s="83">
        <f>IF(N1124="","",TS!J1124)</f>
        <v>2000</v>
      </c>
      <c r="R1124" s="83">
        <f>IF(N1124="","",TS!K1124)</f>
        <v>1825</v>
      </c>
      <c r="S1124" s="83">
        <f>Inputs!$H$5+TS!P1124*0.4333</f>
        <v>1865.7775466199998</v>
      </c>
      <c r="T1124" s="83">
        <f>Inputs!$G$5+TS!P1124*0.4333</f>
        <v>1880.7775466199998</v>
      </c>
      <c r="U1124" s="85">
        <f t="shared" si="312"/>
        <v>0.94038877330999993</v>
      </c>
      <c r="V1124" s="86">
        <f t="shared" si="300"/>
        <v>0</v>
      </c>
      <c r="W1124" s="86">
        <f t="shared" si="301"/>
        <v>0</v>
      </c>
      <c r="X1124" s="86" t="e">
        <f>((PI()*((42-2*'Gen Calcs'!$E$13)^2)/4)/144)*(A1167-#REF!)*(W1124+14.7)/14.7</f>
        <v>#REF!</v>
      </c>
      <c r="Y1124" s="86" t="e">
        <f t="shared" si="302"/>
        <v>#REF!</v>
      </c>
      <c r="Z1124" s="86" t="e">
        <f t="shared" si="303"/>
        <v>#REF!</v>
      </c>
      <c r="AA1124" s="83">
        <f>MAX(B$2:B1124)-B1124</f>
        <v>91.801400000000058</v>
      </c>
      <c r="AB1124" s="83">
        <f t="shared" si="304"/>
        <v>39.750006200000023</v>
      </c>
      <c r="AC1124" s="83">
        <f t="shared" si="306"/>
        <v>120</v>
      </c>
      <c r="AD1124" s="72">
        <v>120</v>
      </c>
      <c r="AE1124" s="73">
        <f t="shared" si="313"/>
        <v>907.92027688745009</v>
      </c>
      <c r="AF1124" s="73">
        <f>SUM(AE$2:AE1124)</f>
        <v>945082.90953874099</v>
      </c>
      <c r="AG1124" s="73">
        <f t="shared" si="314"/>
        <v>228646.9928883682</v>
      </c>
    </row>
    <row r="1125" spans="1:33" x14ac:dyDescent="0.25">
      <c r="A1125" s="99">
        <v>200199.92</v>
      </c>
      <c r="B1125" s="96">
        <v>848.95230000000004</v>
      </c>
      <c r="C1125" s="96">
        <v>0.6</v>
      </c>
      <c r="D1125" s="80">
        <f t="shared" si="315"/>
        <v>100</v>
      </c>
      <c r="E1125" s="81">
        <f t="shared" si="307"/>
        <v>6791.2436711181272</v>
      </c>
      <c r="F1125" s="81">
        <f>SUM(E$2:E1125)</f>
        <v>7071470.9406534629</v>
      </c>
      <c r="G1125" s="43">
        <f t="shared" si="305"/>
        <v>1</v>
      </c>
      <c r="H1125" s="78">
        <v>1</v>
      </c>
      <c r="I1125" s="15">
        <f t="shared" si="308"/>
        <v>0.6</v>
      </c>
      <c r="J1125" s="16">
        <f>VLOOKUP(G1125,Inputs!$L$3:$P$15,5,FALSE)</f>
        <v>2000</v>
      </c>
      <c r="K1125" s="16">
        <f t="shared" si="309"/>
        <v>1825</v>
      </c>
      <c r="L1125" s="79">
        <f>Inputs!$P$8-B1125</f>
        <v>89.238699999999994</v>
      </c>
      <c r="M1125" s="79">
        <f>Inputs!$Q$8+L1125*0.433</f>
        <v>1863.6403571000001</v>
      </c>
      <c r="N1125" s="82">
        <f t="shared" si="310"/>
        <v>200199.92</v>
      </c>
      <c r="O1125" s="83">
        <f t="shared" si="311"/>
        <v>848.95230000000004</v>
      </c>
      <c r="P1125" s="84">
        <f>IF(O1125="","",Inputs!$C$5-O1125)</f>
        <v>-23.767800000000079</v>
      </c>
      <c r="Q1125" s="83">
        <f>IF(N1125="","",TS!J1125)</f>
        <v>2000</v>
      </c>
      <c r="R1125" s="83">
        <f>IF(N1125="","",TS!K1125)</f>
        <v>1825</v>
      </c>
      <c r="S1125" s="83">
        <f>Inputs!$H$5+TS!P1125*0.4333</f>
        <v>1864.6671287099998</v>
      </c>
      <c r="T1125" s="83">
        <f>Inputs!$G$5+TS!P1125*0.4333</f>
        <v>1879.6671287099998</v>
      </c>
      <c r="U1125" s="85">
        <f t="shared" si="312"/>
        <v>0.93983356435499987</v>
      </c>
      <c r="V1125" s="86">
        <f t="shared" si="300"/>
        <v>0</v>
      </c>
      <c r="W1125" s="86">
        <f t="shared" si="301"/>
        <v>0</v>
      </c>
      <c r="X1125" s="86" t="e">
        <f>((PI()*((42-2*'Gen Calcs'!$E$13)^2)/4)/144)*(A1168-#REF!)*(W1125+14.7)/14.7</f>
        <v>#REF!</v>
      </c>
      <c r="Y1125" s="86" t="e">
        <f t="shared" si="302"/>
        <v>#REF!</v>
      </c>
      <c r="Z1125" s="86" t="e">
        <f t="shared" si="303"/>
        <v>#REF!</v>
      </c>
      <c r="AA1125" s="83">
        <f>MAX(B$2:B1125)-B1125</f>
        <v>89.238699999999994</v>
      </c>
      <c r="AB1125" s="83">
        <f t="shared" si="304"/>
        <v>38.640357099999996</v>
      </c>
      <c r="AC1125" s="83">
        <f t="shared" si="306"/>
        <v>120</v>
      </c>
      <c r="AD1125" s="72">
        <v>120</v>
      </c>
      <c r="AE1125" s="73">
        <f t="shared" si="313"/>
        <v>907.92027688745009</v>
      </c>
      <c r="AF1125" s="73">
        <f>SUM(AE$2:AE1125)</f>
        <v>945990.82981562847</v>
      </c>
      <c r="AG1125" s="73">
        <f t="shared" si="314"/>
        <v>227739.07261148072</v>
      </c>
    </row>
    <row r="1126" spans="1:33" x14ac:dyDescent="0.25">
      <c r="A1126" s="100">
        <v>200299.92</v>
      </c>
      <c r="B1126" s="97">
        <v>849.73400000000004</v>
      </c>
      <c r="C1126" s="97">
        <v>0.6</v>
      </c>
      <c r="D1126" s="80">
        <f t="shared" si="315"/>
        <v>100</v>
      </c>
      <c r="E1126" s="81">
        <f t="shared" si="307"/>
        <v>6791.2436711181272</v>
      </c>
      <c r="F1126" s="81">
        <f>SUM(E$2:E1126)</f>
        <v>7078262.1843245812</v>
      </c>
      <c r="G1126" s="43">
        <f t="shared" si="305"/>
        <v>1</v>
      </c>
      <c r="H1126" s="78">
        <v>1</v>
      </c>
      <c r="I1126" s="15">
        <f t="shared" si="308"/>
        <v>0.6</v>
      </c>
      <c r="J1126" s="16">
        <f>VLOOKUP(G1126,Inputs!$L$3:$P$15,5,FALSE)</f>
        <v>2000</v>
      </c>
      <c r="K1126" s="16">
        <f t="shared" si="309"/>
        <v>1825</v>
      </c>
      <c r="L1126" s="79">
        <f>Inputs!$P$8-B1126</f>
        <v>88.456999999999994</v>
      </c>
      <c r="M1126" s="79">
        <f>Inputs!$Q$8+L1126*0.433</f>
        <v>1863.3018810000001</v>
      </c>
      <c r="N1126" s="82">
        <f t="shared" si="310"/>
        <v>200299.92</v>
      </c>
      <c r="O1126" s="83">
        <f t="shared" si="311"/>
        <v>849.73400000000004</v>
      </c>
      <c r="P1126" s="84">
        <f>IF(O1126="","",Inputs!$C$5-O1126)</f>
        <v>-24.54950000000008</v>
      </c>
      <c r="Q1126" s="83">
        <f>IF(N1126="","",TS!J1126)</f>
        <v>2000</v>
      </c>
      <c r="R1126" s="83">
        <f>IF(N1126="","",TS!K1126)</f>
        <v>1825</v>
      </c>
      <c r="S1126" s="83">
        <f>Inputs!$H$5+TS!P1126*0.4333</f>
        <v>1864.3284180999999</v>
      </c>
      <c r="T1126" s="83">
        <f>Inputs!$G$5+TS!P1126*0.4333</f>
        <v>1879.3284180999999</v>
      </c>
      <c r="U1126" s="85">
        <f t="shared" si="312"/>
        <v>0.93966420904999992</v>
      </c>
      <c r="V1126" s="86">
        <f t="shared" si="300"/>
        <v>0</v>
      </c>
      <c r="W1126" s="86">
        <f t="shared" si="301"/>
        <v>0</v>
      </c>
      <c r="X1126" s="86" t="e">
        <f>((PI()*((42-2*'Gen Calcs'!$E$13)^2)/4)/144)*(A1169-#REF!)*(W1126+14.7)/14.7</f>
        <v>#REF!</v>
      </c>
      <c r="Y1126" s="86" t="e">
        <f t="shared" si="302"/>
        <v>#REF!</v>
      </c>
      <c r="Z1126" s="86" t="e">
        <f t="shared" si="303"/>
        <v>#REF!</v>
      </c>
      <c r="AA1126" s="83">
        <f>MAX(B$2:B1126)-B1126</f>
        <v>88.456999999999994</v>
      </c>
      <c r="AB1126" s="83">
        <f t="shared" si="304"/>
        <v>38.301880999999995</v>
      </c>
      <c r="AC1126" s="83">
        <f t="shared" si="306"/>
        <v>120</v>
      </c>
      <c r="AD1126" s="72">
        <v>120</v>
      </c>
      <c r="AE1126" s="73">
        <f t="shared" si="313"/>
        <v>907.92027688745009</v>
      </c>
      <c r="AF1126" s="73">
        <f>SUM(AE$2:AE1126)</f>
        <v>946898.75009251595</v>
      </c>
      <c r="AG1126" s="73">
        <f t="shared" si="314"/>
        <v>226831.15233459324</v>
      </c>
    </row>
    <row r="1127" spans="1:33" x14ac:dyDescent="0.25">
      <c r="A1127" s="99">
        <v>200399.92</v>
      </c>
      <c r="B1127" s="96">
        <v>847.31560000000002</v>
      </c>
      <c r="C1127" s="96">
        <v>0.6</v>
      </c>
      <c r="D1127" s="80">
        <f t="shared" si="315"/>
        <v>100</v>
      </c>
      <c r="E1127" s="81">
        <f t="shared" si="307"/>
        <v>6791.2436711181272</v>
      </c>
      <c r="F1127" s="81">
        <f>SUM(E$2:E1127)</f>
        <v>7085053.4279956995</v>
      </c>
      <c r="G1127" s="43">
        <f t="shared" si="305"/>
        <v>1</v>
      </c>
      <c r="H1127" s="78">
        <v>1</v>
      </c>
      <c r="I1127" s="15">
        <f t="shared" si="308"/>
        <v>0.6</v>
      </c>
      <c r="J1127" s="16">
        <f>VLOOKUP(G1127,Inputs!$L$3:$P$15,5,FALSE)</f>
        <v>2000</v>
      </c>
      <c r="K1127" s="16">
        <f t="shared" si="309"/>
        <v>1825</v>
      </c>
      <c r="L1127" s="79">
        <f>Inputs!$P$8-B1127</f>
        <v>90.875400000000013</v>
      </c>
      <c r="M1127" s="79">
        <f>Inputs!$Q$8+L1127*0.433</f>
        <v>1864.3490482</v>
      </c>
      <c r="N1127" s="82">
        <f t="shared" si="310"/>
        <v>200399.92</v>
      </c>
      <c r="O1127" s="83">
        <f t="shared" si="311"/>
        <v>847.31560000000002</v>
      </c>
      <c r="P1127" s="84">
        <f>IF(O1127="","",Inputs!$C$5-O1127)</f>
        <v>-22.13110000000006</v>
      </c>
      <c r="Q1127" s="83">
        <f>IF(N1127="","",TS!J1127)</f>
        <v>2000</v>
      </c>
      <c r="R1127" s="83">
        <f>IF(N1127="","",TS!K1127)</f>
        <v>1825</v>
      </c>
      <c r="S1127" s="83">
        <f>Inputs!$H$5+TS!P1127*0.4333</f>
        <v>1865.3763108199998</v>
      </c>
      <c r="T1127" s="83">
        <f>Inputs!$G$5+TS!P1127*0.4333</f>
        <v>1880.3763108199998</v>
      </c>
      <c r="U1127" s="85">
        <f t="shared" si="312"/>
        <v>0.94018815540999989</v>
      </c>
      <c r="V1127" s="86">
        <f t="shared" si="300"/>
        <v>0</v>
      </c>
      <c r="W1127" s="86">
        <f t="shared" si="301"/>
        <v>0</v>
      </c>
      <c r="X1127" s="86" t="e">
        <f>((PI()*((42-2*'Gen Calcs'!$E$13)^2)/4)/144)*(A1170-#REF!)*(W1127+14.7)/14.7</f>
        <v>#REF!</v>
      </c>
      <c r="Y1127" s="86" t="e">
        <f t="shared" si="302"/>
        <v>#REF!</v>
      </c>
      <c r="Z1127" s="86" t="e">
        <f t="shared" si="303"/>
        <v>#REF!</v>
      </c>
      <c r="AA1127" s="83">
        <f>MAX(B$2:B1127)-B1127</f>
        <v>90.875400000000013</v>
      </c>
      <c r="AB1127" s="83">
        <f t="shared" si="304"/>
        <v>39.349048200000006</v>
      </c>
      <c r="AC1127" s="83">
        <f t="shared" si="306"/>
        <v>120</v>
      </c>
      <c r="AD1127" s="72">
        <v>120</v>
      </c>
      <c r="AE1127" s="73">
        <f t="shared" si="313"/>
        <v>907.92027688745009</v>
      </c>
      <c r="AF1127" s="73">
        <f>SUM(AE$2:AE1127)</f>
        <v>947806.67036940344</v>
      </c>
      <c r="AG1127" s="73">
        <f t="shared" si="314"/>
        <v>225923.23205770575</v>
      </c>
    </row>
    <row r="1128" spans="1:33" x14ac:dyDescent="0.25">
      <c r="A1128" s="100">
        <v>200499.92</v>
      </c>
      <c r="B1128" s="97">
        <v>844.13869999999997</v>
      </c>
      <c r="C1128" s="97">
        <v>0.6</v>
      </c>
      <c r="D1128" s="80">
        <f t="shared" si="315"/>
        <v>100</v>
      </c>
      <c r="E1128" s="81">
        <f t="shared" si="307"/>
        <v>6791.2436711181272</v>
      </c>
      <c r="F1128" s="81">
        <f>SUM(E$2:E1128)</f>
        <v>7091844.6716668177</v>
      </c>
      <c r="G1128" s="43">
        <f t="shared" si="305"/>
        <v>1</v>
      </c>
      <c r="H1128" s="78">
        <v>1</v>
      </c>
      <c r="I1128" s="15">
        <f t="shared" si="308"/>
        <v>0.6</v>
      </c>
      <c r="J1128" s="16">
        <f>VLOOKUP(G1128,Inputs!$L$3:$P$15,5,FALSE)</f>
        <v>2000</v>
      </c>
      <c r="K1128" s="16">
        <f t="shared" si="309"/>
        <v>1825</v>
      </c>
      <c r="L1128" s="79">
        <f>Inputs!$P$8-B1128</f>
        <v>94.052300000000059</v>
      </c>
      <c r="M1128" s="79">
        <f>Inputs!$Q$8+L1128*0.433</f>
        <v>1865.7246459</v>
      </c>
      <c r="N1128" s="82">
        <f t="shared" si="310"/>
        <v>200499.92</v>
      </c>
      <c r="O1128" s="83">
        <f t="shared" si="311"/>
        <v>844.13869999999997</v>
      </c>
      <c r="P1128" s="84">
        <f>IF(O1128="","",Inputs!$C$5-O1128)</f>
        <v>-18.954200000000014</v>
      </c>
      <c r="Q1128" s="83">
        <f>IF(N1128="","",TS!J1128)</f>
        <v>2000</v>
      </c>
      <c r="R1128" s="83">
        <f>IF(N1128="","",TS!K1128)</f>
        <v>1825</v>
      </c>
      <c r="S1128" s="83">
        <f>Inputs!$H$5+TS!P1128*0.4333</f>
        <v>1866.7528615899998</v>
      </c>
      <c r="T1128" s="83">
        <f>Inputs!$G$5+TS!P1128*0.4333</f>
        <v>1881.7528615899998</v>
      </c>
      <c r="U1128" s="85">
        <f t="shared" si="312"/>
        <v>0.94087643079499994</v>
      </c>
      <c r="V1128" s="86">
        <f t="shared" si="300"/>
        <v>0</v>
      </c>
      <c r="W1128" s="86">
        <f t="shared" si="301"/>
        <v>0</v>
      </c>
      <c r="X1128" s="86" t="e">
        <f>((PI()*((42-2*'Gen Calcs'!$E$13)^2)/4)/144)*(A1171-#REF!)*(W1128+14.7)/14.7</f>
        <v>#REF!</v>
      </c>
      <c r="Y1128" s="86" t="e">
        <f t="shared" si="302"/>
        <v>#REF!</v>
      </c>
      <c r="Z1128" s="86" t="e">
        <f t="shared" si="303"/>
        <v>#REF!</v>
      </c>
      <c r="AA1128" s="83">
        <f>MAX(B$2:B1128)-B1128</f>
        <v>94.052300000000059</v>
      </c>
      <c r="AB1128" s="83">
        <f t="shared" si="304"/>
        <v>40.724645900000027</v>
      </c>
      <c r="AC1128" s="83">
        <f t="shared" si="306"/>
        <v>120</v>
      </c>
      <c r="AD1128" s="72">
        <v>120</v>
      </c>
      <c r="AE1128" s="73">
        <f t="shared" si="313"/>
        <v>907.92027688745009</v>
      </c>
      <c r="AF1128" s="73">
        <f>SUM(AE$2:AE1128)</f>
        <v>948714.59064629092</v>
      </c>
      <c r="AG1128" s="73">
        <f t="shared" si="314"/>
        <v>225015.31178081827</v>
      </c>
    </row>
    <row r="1129" spans="1:33" x14ac:dyDescent="0.25">
      <c r="A1129" s="99">
        <v>200599.92</v>
      </c>
      <c r="B1129" s="96">
        <v>840.78390000000002</v>
      </c>
      <c r="C1129" s="96">
        <v>0.6</v>
      </c>
      <c r="D1129" s="80">
        <f t="shared" si="315"/>
        <v>100</v>
      </c>
      <c r="E1129" s="81">
        <f t="shared" si="307"/>
        <v>6791.2436711181272</v>
      </c>
      <c r="F1129" s="81">
        <f>SUM(E$2:E1129)</f>
        <v>7098635.915337936</v>
      </c>
      <c r="G1129" s="43">
        <f t="shared" si="305"/>
        <v>1</v>
      </c>
      <c r="H1129" s="78">
        <v>1</v>
      </c>
      <c r="I1129" s="15">
        <f t="shared" si="308"/>
        <v>0.6</v>
      </c>
      <c r="J1129" s="16">
        <f>VLOOKUP(G1129,Inputs!$L$3:$P$15,5,FALSE)</f>
        <v>2000</v>
      </c>
      <c r="K1129" s="16">
        <f t="shared" si="309"/>
        <v>1825</v>
      </c>
      <c r="L1129" s="79">
        <f>Inputs!$P$8-B1129</f>
        <v>97.407100000000014</v>
      </c>
      <c r="M1129" s="79">
        <f>Inputs!$Q$8+L1129*0.433</f>
        <v>1867.1772742999999</v>
      </c>
      <c r="N1129" s="82">
        <f t="shared" si="310"/>
        <v>200599.92</v>
      </c>
      <c r="O1129" s="83">
        <f t="shared" si="311"/>
        <v>840.78390000000002</v>
      </c>
      <c r="P1129" s="84">
        <f>IF(O1129="","",Inputs!$C$5-O1129)</f>
        <v>-15.59940000000006</v>
      </c>
      <c r="Q1129" s="83">
        <f>IF(N1129="","",TS!J1129)</f>
        <v>2000</v>
      </c>
      <c r="R1129" s="83">
        <f>IF(N1129="","",TS!K1129)</f>
        <v>1825</v>
      </c>
      <c r="S1129" s="83">
        <f>Inputs!$H$5+TS!P1129*0.4333</f>
        <v>1868.20649643</v>
      </c>
      <c r="T1129" s="83">
        <f>Inputs!$G$5+TS!P1129*0.4333</f>
        <v>1883.20649643</v>
      </c>
      <c r="U1129" s="85">
        <f t="shared" si="312"/>
        <v>0.94160324821499997</v>
      </c>
      <c r="V1129" s="86">
        <f t="shared" si="300"/>
        <v>0</v>
      </c>
      <c r="W1129" s="86">
        <f t="shared" si="301"/>
        <v>0</v>
      </c>
      <c r="X1129" s="86" t="e">
        <f>((PI()*((42-2*'Gen Calcs'!$E$13)^2)/4)/144)*(A1172-#REF!)*(W1129+14.7)/14.7</f>
        <v>#REF!</v>
      </c>
      <c r="Y1129" s="86" t="e">
        <f t="shared" si="302"/>
        <v>#REF!</v>
      </c>
      <c r="Z1129" s="86" t="e">
        <f t="shared" si="303"/>
        <v>#REF!</v>
      </c>
      <c r="AA1129" s="83">
        <f>MAX(B$2:B1129)-B1129</f>
        <v>97.407100000000014</v>
      </c>
      <c r="AB1129" s="83">
        <f t="shared" si="304"/>
        <v>42.177274300000008</v>
      </c>
      <c r="AC1129" s="83">
        <f t="shared" si="306"/>
        <v>120</v>
      </c>
      <c r="AD1129" s="72">
        <v>120</v>
      </c>
      <c r="AE1129" s="73">
        <f t="shared" si="313"/>
        <v>907.92027688745009</v>
      </c>
      <c r="AF1129" s="73">
        <f>SUM(AE$2:AE1129)</f>
        <v>949622.5109231784</v>
      </c>
      <c r="AG1129" s="73">
        <f t="shared" si="314"/>
        <v>224107.39150393079</v>
      </c>
    </row>
    <row r="1130" spans="1:33" x14ac:dyDescent="0.25">
      <c r="A1130" s="100">
        <v>200699.92</v>
      </c>
      <c r="B1130" s="97">
        <v>837.52940000000001</v>
      </c>
      <c r="C1130" s="97">
        <v>0.6</v>
      </c>
      <c r="D1130" s="80">
        <f t="shared" si="315"/>
        <v>100</v>
      </c>
      <c r="E1130" s="81">
        <f t="shared" si="307"/>
        <v>6791.2436711181272</v>
      </c>
      <c r="F1130" s="81">
        <f>SUM(E$2:E1130)</f>
        <v>7105427.1590090543</v>
      </c>
      <c r="G1130" s="43">
        <f t="shared" si="305"/>
        <v>1</v>
      </c>
      <c r="H1130" s="78">
        <v>1</v>
      </c>
      <c r="I1130" s="15">
        <f t="shared" si="308"/>
        <v>0.6</v>
      </c>
      <c r="J1130" s="16">
        <f>VLOOKUP(G1130,Inputs!$L$3:$P$15,5,FALSE)</f>
        <v>2000</v>
      </c>
      <c r="K1130" s="16">
        <f t="shared" si="309"/>
        <v>1825</v>
      </c>
      <c r="L1130" s="79">
        <f>Inputs!$P$8-B1130</f>
        <v>100.66160000000002</v>
      </c>
      <c r="M1130" s="79">
        <f>Inputs!$Q$8+L1130*0.433</f>
        <v>1868.5864727999999</v>
      </c>
      <c r="N1130" s="82">
        <f t="shared" si="310"/>
        <v>200699.92</v>
      </c>
      <c r="O1130" s="83">
        <f t="shared" si="311"/>
        <v>837.52940000000001</v>
      </c>
      <c r="P1130" s="84">
        <f>IF(O1130="","",Inputs!$C$5-O1130)</f>
        <v>-12.344900000000052</v>
      </c>
      <c r="Q1130" s="83">
        <f>IF(N1130="","",TS!J1130)</f>
        <v>2000</v>
      </c>
      <c r="R1130" s="83">
        <f>IF(N1130="","",TS!K1130)</f>
        <v>1825</v>
      </c>
      <c r="S1130" s="83">
        <f>Inputs!$H$5+TS!P1130*0.4333</f>
        <v>1869.61667128</v>
      </c>
      <c r="T1130" s="83">
        <f>Inputs!$G$5+TS!P1130*0.4333</f>
        <v>1884.61667128</v>
      </c>
      <c r="U1130" s="85">
        <f t="shared" si="312"/>
        <v>0.94230833564000005</v>
      </c>
      <c r="V1130" s="86">
        <f t="shared" si="300"/>
        <v>0</v>
      </c>
      <c r="W1130" s="86">
        <f t="shared" si="301"/>
        <v>0</v>
      </c>
      <c r="X1130" s="86" t="e">
        <f>((PI()*((42-2*'Gen Calcs'!$E$13)^2)/4)/144)*(A1173-#REF!)*(W1130+14.7)/14.7</f>
        <v>#REF!</v>
      </c>
      <c r="Y1130" s="86" t="e">
        <f t="shared" si="302"/>
        <v>#REF!</v>
      </c>
      <c r="Z1130" s="86" t="e">
        <f t="shared" si="303"/>
        <v>#REF!</v>
      </c>
      <c r="AA1130" s="83">
        <f>MAX(B$2:B1130)-B1130</f>
        <v>100.66160000000002</v>
      </c>
      <c r="AB1130" s="83">
        <f t="shared" si="304"/>
        <v>43.58647280000001</v>
      </c>
      <c r="AC1130" s="83">
        <f t="shared" si="306"/>
        <v>120</v>
      </c>
      <c r="AD1130" s="72">
        <v>120</v>
      </c>
      <c r="AE1130" s="73">
        <f t="shared" si="313"/>
        <v>907.92027688745009</v>
      </c>
      <c r="AF1130" s="73">
        <f>SUM(AE$2:AE1130)</f>
        <v>950530.43120006588</v>
      </c>
      <c r="AG1130" s="73">
        <f t="shared" si="314"/>
        <v>223199.47122704331</v>
      </c>
    </row>
    <row r="1131" spans="1:33" x14ac:dyDescent="0.25">
      <c r="A1131" s="99">
        <v>200799.92</v>
      </c>
      <c r="B1131" s="96">
        <v>834.4914</v>
      </c>
      <c r="C1131" s="96">
        <v>0.6</v>
      </c>
      <c r="D1131" s="80">
        <f t="shared" si="315"/>
        <v>100</v>
      </c>
      <c r="E1131" s="81">
        <f t="shared" si="307"/>
        <v>6791.2436711181272</v>
      </c>
      <c r="F1131" s="81">
        <f>SUM(E$2:E1131)</f>
        <v>7112218.4026801726</v>
      </c>
      <c r="G1131" s="43">
        <f t="shared" si="305"/>
        <v>1</v>
      </c>
      <c r="H1131" s="78">
        <v>1</v>
      </c>
      <c r="I1131" s="15">
        <f t="shared" si="308"/>
        <v>0.6</v>
      </c>
      <c r="J1131" s="16">
        <f>VLOOKUP(G1131,Inputs!$L$3:$P$15,5,FALSE)</f>
        <v>2000</v>
      </c>
      <c r="K1131" s="16">
        <f t="shared" si="309"/>
        <v>1825</v>
      </c>
      <c r="L1131" s="79">
        <f>Inputs!$P$8-B1131</f>
        <v>103.69960000000003</v>
      </c>
      <c r="M1131" s="79">
        <f>Inputs!$Q$8+L1131*0.433</f>
        <v>1869.9019268</v>
      </c>
      <c r="N1131" s="82">
        <f t="shared" si="310"/>
        <v>200799.92</v>
      </c>
      <c r="O1131" s="83">
        <f t="shared" si="311"/>
        <v>834.4914</v>
      </c>
      <c r="P1131" s="84">
        <f>IF(O1131="","",Inputs!$C$5-O1131)</f>
        <v>-9.3069000000000415</v>
      </c>
      <c r="Q1131" s="83">
        <f>IF(N1131="","",TS!J1131)</f>
        <v>2000</v>
      </c>
      <c r="R1131" s="83">
        <f>IF(N1131="","",TS!K1131)</f>
        <v>1825</v>
      </c>
      <c r="S1131" s="83">
        <f>Inputs!$H$5+TS!P1131*0.4333</f>
        <v>1870.93303668</v>
      </c>
      <c r="T1131" s="83">
        <f>Inputs!$G$5+TS!P1131*0.4333</f>
        <v>1885.93303668</v>
      </c>
      <c r="U1131" s="85">
        <f t="shared" si="312"/>
        <v>0.94296651834</v>
      </c>
      <c r="V1131" s="86">
        <f t="shared" si="300"/>
        <v>0</v>
      </c>
      <c r="W1131" s="86">
        <f t="shared" si="301"/>
        <v>0</v>
      </c>
      <c r="X1131" s="86" t="e">
        <f>((PI()*((42-2*'Gen Calcs'!$E$13)^2)/4)/144)*(A1174-#REF!)*(W1131+14.7)/14.7</f>
        <v>#REF!</v>
      </c>
      <c r="Y1131" s="86" t="e">
        <f t="shared" si="302"/>
        <v>#REF!</v>
      </c>
      <c r="Z1131" s="86" t="e">
        <f t="shared" si="303"/>
        <v>#REF!</v>
      </c>
      <c r="AA1131" s="83">
        <f>MAX(B$2:B1131)-B1131</f>
        <v>103.69960000000003</v>
      </c>
      <c r="AB1131" s="83">
        <f t="shared" si="304"/>
        <v>44.901926800000012</v>
      </c>
      <c r="AC1131" s="83">
        <f t="shared" si="306"/>
        <v>120</v>
      </c>
      <c r="AD1131" s="72">
        <v>120</v>
      </c>
      <c r="AE1131" s="73">
        <f t="shared" si="313"/>
        <v>907.92027688745009</v>
      </c>
      <c r="AF1131" s="73">
        <f>SUM(AE$2:AE1131)</f>
        <v>951438.35147695336</v>
      </c>
      <c r="AG1131" s="73">
        <f t="shared" si="314"/>
        <v>222291.55095015583</v>
      </c>
    </row>
    <row r="1132" spans="1:33" x14ac:dyDescent="0.25">
      <c r="A1132" s="100">
        <v>200899.92</v>
      </c>
      <c r="B1132" s="97">
        <v>832.62</v>
      </c>
      <c r="C1132" s="97">
        <v>0.6</v>
      </c>
      <c r="D1132" s="80">
        <f t="shared" si="315"/>
        <v>100</v>
      </c>
      <c r="E1132" s="81">
        <f t="shared" si="307"/>
        <v>6791.2436711181272</v>
      </c>
      <c r="F1132" s="81">
        <f>SUM(E$2:E1132)</f>
        <v>7119009.6463512909</v>
      </c>
      <c r="G1132" s="43">
        <f t="shared" si="305"/>
        <v>1</v>
      </c>
      <c r="H1132" s="78">
        <v>1</v>
      </c>
      <c r="I1132" s="15">
        <f t="shared" si="308"/>
        <v>0.6</v>
      </c>
      <c r="J1132" s="16">
        <f>VLOOKUP(G1132,Inputs!$L$3:$P$15,5,FALSE)</f>
        <v>2000</v>
      </c>
      <c r="K1132" s="16">
        <f t="shared" si="309"/>
        <v>1825</v>
      </c>
      <c r="L1132" s="79">
        <f>Inputs!$P$8-B1132</f>
        <v>105.57100000000003</v>
      </c>
      <c r="M1132" s="79">
        <f>Inputs!$Q$8+L1132*0.433</f>
        <v>1870.7122429999999</v>
      </c>
      <c r="N1132" s="82">
        <f t="shared" si="310"/>
        <v>200899.92</v>
      </c>
      <c r="O1132" s="83">
        <f t="shared" si="311"/>
        <v>832.62</v>
      </c>
      <c r="P1132" s="84">
        <f>IF(O1132="","",Inputs!$C$5-O1132)</f>
        <v>-7.4355000000000473</v>
      </c>
      <c r="Q1132" s="83">
        <f>IF(N1132="","",TS!J1132)</f>
        <v>2000</v>
      </c>
      <c r="R1132" s="83">
        <f>IF(N1132="","",TS!K1132)</f>
        <v>1825</v>
      </c>
      <c r="S1132" s="83">
        <f>Inputs!$H$5+TS!P1132*0.4333</f>
        <v>1871.7439142999999</v>
      </c>
      <c r="T1132" s="83">
        <f>Inputs!$G$5+TS!P1132*0.4333</f>
        <v>1886.7439142999999</v>
      </c>
      <c r="U1132" s="85">
        <f t="shared" si="312"/>
        <v>0.94337195715</v>
      </c>
      <c r="V1132" s="86">
        <f t="shared" si="300"/>
        <v>0</v>
      </c>
      <c r="W1132" s="86">
        <f t="shared" si="301"/>
        <v>0</v>
      </c>
      <c r="X1132" s="86" t="e">
        <f>((PI()*((42-2*'Gen Calcs'!$E$13)^2)/4)/144)*(A1175-#REF!)*(W1132+14.7)/14.7</f>
        <v>#REF!</v>
      </c>
      <c r="Y1132" s="86" t="e">
        <f t="shared" si="302"/>
        <v>#REF!</v>
      </c>
      <c r="Z1132" s="86" t="e">
        <f t="shared" si="303"/>
        <v>#REF!</v>
      </c>
      <c r="AA1132" s="83">
        <f>MAX(B$2:B1132)-B1132</f>
        <v>105.57100000000003</v>
      </c>
      <c r="AB1132" s="83">
        <f t="shared" si="304"/>
        <v>45.712243000000008</v>
      </c>
      <c r="AC1132" s="83">
        <f t="shared" si="306"/>
        <v>120</v>
      </c>
      <c r="AD1132" s="72">
        <v>120</v>
      </c>
      <c r="AE1132" s="73">
        <f t="shared" si="313"/>
        <v>907.92027688745009</v>
      </c>
      <c r="AF1132" s="73">
        <f>SUM(AE$2:AE1132)</f>
        <v>952346.27175384085</v>
      </c>
      <c r="AG1132" s="73">
        <f t="shared" si="314"/>
        <v>221383.63067326834</v>
      </c>
    </row>
    <row r="1133" spans="1:33" x14ac:dyDescent="0.25">
      <c r="A1133" s="99">
        <v>200999.92</v>
      </c>
      <c r="B1133" s="96">
        <v>834.80269999999996</v>
      </c>
      <c r="C1133" s="96">
        <v>0.6</v>
      </c>
      <c r="D1133" s="80">
        <f t="shared" si="315"/>
        <v>100</v>
      </c>
      <c r="E1133" s="81">
        <f t="shared" si="307"/>
        <v>6791.2436711181272</v>
      </c>
      <c r="F1133" s="81">
        <f>SUM(E$2:E1133)</f>
        <v>7125800.8900224091</v>
      </c>
      <c r="G1133" s="43">
        <f t="shared" si="305"/>
        <v>1</v>
      </c>
      <c r="H1133" s="78">
        <v>1</v>
      </c>
      <c r="I1133" s="15">
        <f t="shared" si="308"/>
        <v>0.6</v>
      </c>
      <c r="J1133" s="16">
        <f>VLOOKUP(G1133,Inputs!$L$3:$P$15,5,FALSE)</f>
        <v>2000</v>
      </c>
      <c r="K1133" s="16">
        <f t="shared" si="309"/>
        <v>1825</v>
      </c>
      <c r="L1133" s="79">
        <f>Inputs!$P$8-B1133</f>
        <v>103.38830000000007</v>
      </c>
      <c r="M1133" s="79">
        <f>Inputs!$Q$8+L1133*0.433</f>
        <v>1869.7671339000001</v>
      </c>
      <c r="N1133" s="82">
        <f t="shared" si="310"/>
        <v>200999.92</v>
      </c>
      <c r="O1133" s="83">
        <f t="shared" si="311"/>
        <v>834.80269999999996</v>
      </c>
      <c r="P1133" s="84">
        <f>IF(O1133="","",Inputs!$C$5-O1133)</f>
        <v>-9.6182000000000016</v>
      </c>
      <c r="Q1133" s="83">
        <f>IF(N1133="","",TS!J1133)</f>
        <v>2000</v>
      </c>
      <c r="R1133" s="83">
        <f>IF(N1133="","",TS!K1133)</f>
        <v>1825</v>
      </c>
      <c r="S1133" s="83">
        <f>Inputs!$H$5+TS!P1133*0.4333</f>
        <v>1870.79815039</v>
      </c>
      <c r="T1133" s="83">
        <f>Inputs!$G$5+TS!P1133*0.4333</f>
        <v>1885.79815039</v>
      </c>
      <c r="U1133" s="85">
        <f t="shared" si="312"/>
        <v>0.94289907519500005</v>
      </c>
      <c r="V1133" s="86">
        <f t="shared" si="300"/>
        <v>0</v>
      </c>
      <c r="W1133" s="86">
        <f t="shared" si="301"/>
        <v>0</v>
      </c>
      <c r="X1133" s="86" t="e">
        <f>((PI()*((42-2*'Gen Calcs'!$E$13)^2)/4)/144)*(A1176-#REF!)*(W1133+14.7)/14.7</f>
        <v>#REF!</v>
      </c>
      <c r="Y1133" s="86" t="e">
        <f t="shared" si="302"/>
        <v>#REF!</v>
      </c>
      <c r="Z1133" s="86" t="e">
        <f t="shared" si="303"/>
        <v>#REF!</v>
      </c>
      <c r="AA1133" s="83">
        <f>MAX(B$2:B1133)-B1133</f>
        <v>103.38830000000007</v>
      </c>
      <c r="AB1133" s="83">
        <f t="shared" si="304"/>
        <v>44.767133900000033</v>
      </c>
      <c r="AC1133" s="83">
        <f t="shared" si="306"/>
        <v>120</v>
      </c>
      <c r="AD1133" s="72">
        <v>120</v>
      </c>
      <c r="AE1133" s="73">
        <f t="shared" si="313"/>
        <v>907.92027688745009</v>
      </c>
      <c r="AF1133" s="73">
        <f>SUM(AE$2:AE1133)</f>
        <v>953254.19203072833</v>
      </c>
      <c r="AG1133" s="73">
        <f t="shared" si="314"/>
        <v>220475.71039638086</v>
      </c>
    </row>
    <row r="1134" spans="1:33" x14ac:dyDescent="0.25">
      <c r="A1134" s="100">
        <v>201099.92</v>
      </c>
      <c r="B1134" s="97">
        <v>838.09119999999996</v>
      </c>
      <c r="C1134" s="97">
        <v>0.6</v>
      </c>
      <c r="D1134" s="80">
        <f t="shared" si="315"/>
        <v>100</v>
      </c>
      <c r="E1134" s="81">
        <f t="shared" si="307"/>
        <v>6791.2436711181272</v>
      </c>
      <c r="F1134" s="81">
        <f>SUM(E$2:E1134)</f>
        <v>7132592.1336935274</v>
      </c>
      <c r="G1134" s="43">
        <f t="shared" si="305"/>
        <v>1</v>
      </c>
      <c r="H1134" s="78">
        <v>1</v>
      </c>
      <c r="I1134" s="15">
        <f t="shared" si="308"/>
        <v>0.6</v>
      </c>
      <c r="J1134" s="16">
        <f>VLOOKUP(G1134,Inputs!$L$3:$P$15,5,FALSE)</f>
        <v>2000</v>
      </c>
      <c r="K1134" s="16">
        <f t="shared" si="309"/>
        <v>1825</v>
      </c>
      <c r="L1134" s="79">
        <f>Inputs!$P$8-B1134</f>
        <v>100.09980000000007</v>
      </c>
      <c r="M1134" s="79">
        <f>Inputs!$Q$8+L1134*0.433</f>
        <v>1868.3432134</v>
      </c>
      <c r="N1134" s="82">
        <f t="shared" si="310"/>
        <v>201099.92</v>
      </c>
      <c r="O1134" s="83">
        <f t="shared" si="311"/>
        <v>838.09119999999996</v>
      </c>
      <c r="P1134" s="84">
        <f>IF(O1134="","",Inputs!$C$5-O1134)</f>
        <v>-12.906700000000001</v>
      </c>
      <c r="Q1134" s="83">
        <f>IF(N1134="","",TS!J1134)</f>
        <v>2000</v>
      </c>
      <c r="R1134" s="83">
        <f>IF(N1134="","",TS!K1134)</f>
        <v>1825</v>
      </c>
      <c r="S1134" s="83">
        <f>Inputs!$H$5+TS!P1134*0.4333</f>
        <v>1869.37324334</v>
      </c>
      <c r="T1134" s="83">
        <f>Inputs!$G$5+TS!P1134*0.4333</f>
        <v>1884.37324334</v>
      </c>
      <c r="U1134" s="85">
        <f t="shared" si="312"/>
        <v>0.94218662167</v>
      </c>
      <c r="V1134" s="86">
        <f t="shared" si="300"/>
        <v>0</v>
      </c>
      <c r="W1134" s="86">
        <f t="shared" si="301"/>
        <v>0</v>
      </c>
      <c r="X1134" s="86" t="e">
        <f>((PI()*((42-2*'Gen Calcs'!$E$13)^2)/4)/144)*(A1177-#REF!)*(W1134+14.7)/14.7</f>
        <v>#REF!</v>
      </c>
      <c r="Y1134" s="86" t="e">
        <f t="shared" si="302"/>
        <v>#REF!</v>
      </c>
      <c r="Z1134" s="86" t="e">
        <f t="shared" si="303"/>
        <v>#REF!</v>
      </c>
      <c r="AA1134" s="83">
        <f>MAX(B$2:B1134)-B1134</f>
        <v>100.09980000000007</v>
      </c>
      <c r="AB1134" s="83">
        <f t="shared" si="304"/>
        <v>43.343213400000032</v>
      </c>
      <c r="AC1134" s="83">
        <f t="shared" si="306"/>
        <v>120</v>
      </c>
      <c r="AD1134" s="72">
        <v>120</v>
      </c>
      <c r="AE1134" s="73">
        <f t="shared" si="313"/>
        <v>907.92027688745009</v>
      </c>
      <c r="AF1134" s="73">
        <f>SUM(AE$2:AE1134)</f>
        <v>954162.11230761581</v>
      </c>
      <c r="AG1134" s="73">
        <f t="shared" si="314"/>
        <v>219567.79011949338</v>
      </c>
    </row>
    <row r="1135" spans="1:33" x14ac:dyDescent="0.25">
      <c r="A1135" s="99">
        <v>201199.92</v>
      </c>
      <c r="B1135" s="96">
        <v>840.85789999999997</v>
      </c>
      <c r="C1135" s="96">
        <v>0.6</v>
      </c>
      <c r="D1135" s="80">
        <f t="shared" si="315"/>
        <v>100</v>
      </c>
      <c r="E1135" s="81">
        <f t="shared" si="307"/>
        <v>6791.2436711181272</v>
      </c>
      <c r="F1135" s="81">
        <f>SUM(E$2:E1135)</f>
        <v>7139383.3773646457</v>
      </c>
      <c r="G1135" s="43">
        <f t="shared" si="305"/>
        <v>1</v>
      </c>
      <c r="H1135" s="78">
        <v>1</v>
      </c>
      <c r="I1135" s="15">
        <f t="shared" si="308"/>
        <v>0.6</v>
      </c>
      <c r="J1135" s="16">
        <f>VLOOKUP(G1135,Inputs!$L$3:$P$15,5,FALSE)</f>
        <v>2000</v>
      </c>
      <c r="K1135" s="16">
        <f t="shared" si="309"/>
        <v>1825</v>
      </c>
      <c r="L1135" s="79">
        <f>Inputs!$P$8-B1135</f>
        <v>97.333100000000059</v>
      </c>
      <c r="M1135" s="79">
        <f>Inputs!$Q$8+L1135*0.433</f>
        <v>1867.1452323000001</v>
      </c>
      <c r="N1135" s="82">
        <f t="shared" si="310"/>
        <v>201199.92</v>
      </c>
      <c r="O1135" s="83">
        <f t="shared" si="311"/>
        <v>840.85789999999997</v>
      </c>
      <c r="P1135" s="84">
        <f>IF(O1135="","",Inputs!$C$5-O1135)</f>
        <v>-15.673400000000015</v>
      </c>
      <c r="Q1135" s="83">
        <f>IF(N1135="","",TS!J1135)</f>
        <v>2000</v>
      </c>
      <c r="R1135" s="83">
        <f>IF(N1135="","",TS!K1135)</f>
        <v>1825</v>
      </c>
      <c r="S1135" s="83">
        <f>Inputs!$H$5+TS!P1135*0.4333</f>
        <v>1868.1744322299999</v>
      </c>
      <c r="T1135" s="83">
        <f>Inputs!$G$5+TS!P1135*0.4333</f>
        <v>1883.1744322299999</v>
      </c>
      <c r="U1135" s="85">
        <f t="shared" si="312"/>
        <v>0.94158721611499996</v>
      </c>
      <c r="V1135" s="86">
        <f t="shared" si="300"/>
        <v>0</v>
      </c>
      <c r="W1135" s="86">
        <f t="shared" si="301"/>
        <v>0</v>
      </c>
      <c r="X1135" s="86" t="e">
        <f>((PI()*((42-2*'Gen Calcs'!$E$13)^2)/4)/144)*(A1178-#REF!)*(W1135+14.7)/14.7</f>
        <v>#REF!</v>
      </c>
      <c r="Y1135" s="86" t="e">
        <f t="shared" si="302"/>
        <v>#REF!</v>
      </c>
      <c r="Z1135" s="86" t="e">
        <f t="shared" si="303"/>
        <v>#REF!</v>
      </c>
      <c r="AA1135" s="83">
        <f>MAX(B$2:B1135)-B1135</f>
        <v>97.333100000000059</v>
      </c>
      <c r="AB1135" s="83">
        <f t="shared" si="304"/>
        <v>42.145232300000025</v>
      </c>
      <c r="AC1135" s="83">
        <f t="shared" si="306"/>
        <v>120</v>
      </c>
      <c r="AD1135" s="72">
        <v>120</v>
      </c>
      <c r="AE1135" s="73">
        <f t="shared" si="313"/>
        <v>907.92027688745009</v>
      </c>
      <c r="AF1135" s="73">
        <f>SUM(AE$2:AE1135)</f>
        <v>955070.03258450329</v>
      </c>
      <c r="AG1135" s="73">
        <f t="shared" si="314"/>
        <v>218659.8698426059</v>
      </c>
    </row>
    <row r="1136" spans="1:33" x14ac:dyDescent="0.25">
      <c r="A1136" s="100">
        <v>201299.92</v>
      </c>
      <c r="B1136" s="97">
        <v>844.69709999999998</v>
      </c>
      <c r="C1136" s="97">
        <v>0.6</v>
      </c>
      <c r="D1136" s="80">
        <f t="shared" si="315"/>
        <v>100</v>
      </c>
      <c r="E1136" s="81">
        <f t="shared" si="307"/>
        <v>6616.6076625842816</v>
      </c>
      <c r="F1136" s="81">
        <f>SUM(E$2:E1136)</f>
        <v>7145999.9850272303</v>
      </c>
      <c r="G1136" s="43">
        <f t="shared" si="305"/>
        <v>1</v>
      </c>
      <c r="H1136" s="78">
        <v>1</v>
      </c>
      <c r="I1136" s="15">
        <f t="shared" si="308"/>
        <v>0.6</v>
      </c>
      <c r="J1136" s="16">
        <f>VLOOKUP(G1136,Inputs!$L$3:$P$15,5,FALSE)</f>
        <v>2000</v>
      </c>
      <c r="K1136" s="16">
        <f t="shared" si="309"/>
        <v>1825</v>
      </c>
      <c r="L1136" s="79">
        <f>Inputs!$P$8-B1136</f>
        <v>93.493900000000053</v>
      </c>
      <c r="M1136" s="79">
        <f>Inputs!$Q$8+L1136*0.433</f>
        <v>1865.4828587</v>
      </c>
      <c r="N1136" s="82">
        <f t="shared" si="310"/>
        <v>201299.92</v>
      </c>
      <c r="O1136" s="83">
        <f t="shared" si="311"/>
        <v>844.69709999999998</v>
      </c>
      <c r="P1136" s="84">
        <f>IF(O1136="","",Inputs!$C$5-O1136)</f>
        <v>-19.51260000000002</v>
      </c>
      <c r="Q1136" s="83">
        <f>IF(N1136="","",TS!J1136)</f>
        <v>2000</v>
      </c>
      <c r="R1136" s="83">
        <f>IF(N1136="","",TS!K1136)</f>
        <v>1825</v>
      </c>
      <c r="S1136" s="83">
        <f>Inputs!$H$5+TS!P1136*0.4333</f>
        <v>1866.5109068699999</v>
      </c>
      <c r="T1136" s="83">
        <f>Inputs!$G$5+TS!P1136*0.4333</f>
        <v>1881.5109068699999</v>
      </c>
      <c r="U1136" s="85">
        <f t="shared" si="312"/>
        <v>0.94075545343499989</v>
      </c>
      <c r="V1136" s="86">
        <f t="shared" si="300"/>
        <v>0</v>
      </c>
      <c r="W1136" s="86">
        <f t="shared" si="301"/>
        <v>0</v>
      </c>
      <c r="X1136" s="86" t="e">
        <f>((PI()*((42-2*'Gen Calcs'!$E$13)^2)/4)/144)*(A1179-#REF!)*(W1136+14.7)/14.7</f>
        <v>#REF!</v>
      </c>
      <c r="Y1136" s="86" t="e">
        <f t="shared" si="302"/>
        <v>#REF!</v>
      </c>
      <c r="Z1136" s="86" t="e">
        <f t="shared" si="303"/>
        <v>#REF!</v>
      </c>
      <c r="AA1136" s="83">
        <f>MAX(B$2:B1136)-B1136</f>
        <v>93.493900000000053</v>
      </c>
      <c r="AB1136" s="83">
        <f t="shared" si="304"/>
        <v>40.482858700000023</v>
      </c>
      <c r="AC1136" s="83">
        <f t="shared" si="306"/>
        <v>120</v>
      </c>
      <c r="AD1136" s="72">
        <v>120</v>
      </c>
      <c r="AE1136" s="73">
        <f t="shared" si="313"/>
        <v>907.92027688745009</v>
      </c>
      <c r="AF1136" s="73">
        <f>SUM(AE$2:AE1136)</f>
        <v>955977.95286139078</v>
      </c>
      <c r="AG1136" s="73">
        <f t="shared" si="314"/>
        <v>217751.94956571842</v>
      </c>
    </row>
    <row r="1137" spans="1:33" x14ac:dyDescent="0.25">
      <c r="A1137" s="99">
        <v>201399.92</v>
      </c>
      <c r="B1137" s="96">
        <v>849.34190000000001</v>
      </c>
      <c r="C1137" s="96">
        <v>0.6</v>
      </c>
      <c r="D1137" s="80">
        <f t="shared" si="315"/>
        <v>100</v>
      </c>
      <c r="E1137" s="81">
        <f t="shared" si="307"/>
        <v>6791.2436711181272</v>
      </c>
      <c r="F1137" s="81">
        <f>SUM(E$2:E1137)</f>
        <v>7152791.2286983486</v>
      </c>
      <c r="G1137" s="43">
        <f t="shared" si="305"/>
        <v>1</v>
      </c>
      <c r="H1137" s="78">
        <v>1</v>
      </c>
      <c r="I1137" s="15">
        <f t="shared" si="308"/>
        <v>0.6</v>
      </c>
      <c r="J1137" s="16">
        <f>VLOOKUP(G1137,Inputs!$L$3:$P$15,5,FALSE)</f>
        <v>2000</v>
      </c>
      <c r="K1137" s="16">
        <f t="shared" si="309"/>
        <v>1825</v>
      </c>
      <c r="L1137" s="79">
        <f>Inputs!$P$8-B1137</f>
        <v>88.849100000000021</v>
      </c>
      <c r="M1137" s="79">
        <f>Inputs!$Q$8+L1137*0.433</f>
        <v>1863.4716602999999</v>
      </c>
      <c r="N1137" s="82">
        <f t="shared" si="310"/>
        <v>201399.92</v>
      </c>
      <c r="O1137" s="83">
        <f t="shared" si="311"/>
        <v>849.34190000000001</v>
      </c>
      <c r="P1137" s="84">
        <f>IF(O1137="","",Inputs!$C$5-O1137)</f>
        <v>-24.157400000000052</v>
      </c>
      <c r="Q1137" s="83">
        <f>IF(N1137="","",TS!J1137)</f>
        <v>2000</v>
      </c>
      <c r="R1137" s="83">
        <f>IF(N1137="","",TS!K1137)</f>
        <v>1825</v>
      </c>
      <c r="S1137" s="83">
        <f>Inputs!$H$5+TS!P1137*0.4333</f>
        <v>1864.49831503</v>
      </c>
      <c r="T1137" s="83">
        <f>Inputs!$G$5+TS!P1137*0.4333</f>
        <v>1879.49831503</v>
      </c>
      <c r="U1137" s="85">
        <f t="shared" si="312"/>
        <v>0.93974915751499999</v>
      </c>
      <c r="V1137" s="86">
        <f t="shared" si="300"/>
        <v>0</v>
      </c>
      <c r="W1137" s="86">
        <f t="shared" si="301"/>
        <v>0</v>
      </c>
      <c r="X1137" s="86" t="e">
        <f>((PI()*((42-2*'Gen Calcs'!$E$13)^2)/4)/144)*(A1180-#REF!)*(W1137+14.7)/14.7</f>
        <v>#REF!</v>
      </c>
      <c r="Y1137" s="86" t="e">
        <f t="shared" si="302"/>
        <v>#REF!</v>
      </c>
      <c r="Z1137" s="86" t="e">
        <f t="shared" si="303"/>
        <v>#REF!</v>
      </c>
      <c r="AA1137" s="83">
        <f>MAX(B$2:B1137)-B1137</f>
        <v>88.849100000000021</v>
      </c>
      <c r="AB1137" s="83">
        <f t="shared" si="304"/>
        <v>38.471660300000011</v>
      </c>
      <c r="AC1137" s="83">
        <f t="shared" si="306"/>
        <v>120</v>
      </c>
      <c r="AD1137" s="72">
        <v>120</v>
      </c>
      <c r="AE1137" s="73">
        <f t="shared" si="313"/>
        <v>907.92027688745009</v>
      </c>
      <c r="AF1137" s="73">
        <f>SUM(AE$2:AE1137)</f>
        <v>956885.87313827826</v>
      </c>
      <c r="AG1137" s="73">
        <f t="shared" si="314"/>
        <v>216844.02928883093</v>
      </c>
    </row>
    <row r="1138" spans="1:33" x14ac:dyDescent="0.25">
      <c r="A1138" s="100">
        <v>201499.92</v>
      </c>
      <c r="B1138" s="97">
        <v>854.91489999999999</v>
      </c>
      <c r="C1138" s="97">
        <v>0.6</v>
      </c>
      <c r="D1138" s="80">
        <f t="shared" si="315"/>
        <v>100</v>
      </c>
      <c r="E1138" s="81">
        <f t="shared" si="307"/>
        <v>6616.6076625842816</v>
      </c>
      <c r="F1138" s="81">
        <f>SUM(E$2:E1138)</f>
        <v>7159407.8363609333</v>
      </c>
      <c r="G1138" s="43">
        <f t="shared" si="305"/>
        <v>1</v>
      </c>
      <c r="H1138" s="78">
        <v>1</v>
      </c>
      <c r="I1138" s="15">
        <f t="shared" si="308"/>
        <v>0.6</v>
      </c>
      <c r="J1138" s="16">
        <f>VLOOKUP(G1138,Inputs!$L$3:$P$15,5,FALSE)</f>
        <v>2000</v>
      </c>
      <c r="K1138" s="16">
        <f t="shared" si="309"/>
        <v>1825</v>
      </c>
      <c r="L1138" s="79">
        <f>Inputs!$P$8-B1138</f>
        <v>83.276100000000042</v>
      </c>
      <c r="M1138" s="79">
        <f>Inputs!$Q$8+L1138*0.433</f>
        <v>1861.0585513000001</v>
      </c>
      <c r="N1138" s="82">
        <f t="shared" si="310"/>
        <v>201499.92</v>
      </c>
      <c r="O1138" s="83">
        <f t="shared" si="311"/>
        <v>854.91489999999999</v>
      </c>
      <c r="P1138" s="84">
        <f>IF(O1138="","",Inputs!$C$5-O1138)</f>
        <v>-29.730400000000031</v>
      </c>
      <c r="Q1138" s="83">
        <f>IF(N1138="","",TS!J1138)</f>
        <v>2000</v>
      </c>
      <c r="R1138" s="83">
        <f>IF(N1138="","",TS!K1138)</f>
        <v>1825</v>
      </c>
      <c r="S1138" s="83">
        <f>Inputs!$H$5+TS!P1138*0.4333</f>
        <v>1862.0835341299999</v>
      </c>
      <c r="T1138" s="83">
        <f>Inputs!$G$5+TS!P1138*0.4333</f>
        <v>1877.0835341299999</v>
      </c>
      <c r="U1138" s="85">
        <f t="shared" si="312"/>
        <v>0.93854176706499992</v>
      </c>
      <c r="V1138" s="86">
        <f t="shared" si="300"/>
        <v>0</v>
      </c>
      <c r="W1138" s="86">
        <f t="shared" si="301"/>
        <v>0</v>
      </c>
      <c r="X1138" s="86" t="e">
        <f>((PI()*((42-2*'Gen Calcs'!$E$13)^2)/4)/144)*(A1181-#REF!)*(W1138+14.7)/14.7</f>
        <v>#REF!</v>
      </c>
      <c r="Y1138" s="86" t="e">
        <f t="shared" si="302"/>
        <v>#REF!</v>
      </c>
      <c r="Z1138" s="86" t="e">
        <f t="shared" si="303"/>
        <v>#REF!</v>
      </c>
      <c r="AA1138" s="83">
        <f>MAX(B$2:B1138)-B1138</f>
        <v>83.276100000000042</v>
      </c>
      <c r="AB1138" s="83">
        <f t="shared" si="304"/>
        <v>36.058551300000019</v>
      </c>
      <c r="AC1138" s="83">
        <f t="shared" si="306"/>
        <v>120</v>
      </c>
      <c r="AD1138" s="72">
        <v>120</v>
      </c>
      <c r="AE1138" s="73">
        <f t="shared" si="313"/>
        <v>907.92027688745009</v>
      </c>
      <c r="AF1138" s="73">
        <f>SUM(AE$2:AE1138)</f>
        <v>957793.79341516574</v>
      </c>
      <c r="AG1138" s="73">
        <f t="shared" si="314"/>
        <v>215936.10901194345</v>
      </c>
    </row>
    <row r="1139" spans="1:33" x14ac:dyDescent="0.25">
      <c r="A1139" s="99">
        <v>201599.92</v>
      </c>
      <c r="B1139" s="96">
        <v>858.24760000000003</v>
      </c>
      <c r="C1139" s="96">
        <v>0.6</v>
      </c>
      <c r="D1139" s="80">
        <f t="shared" si="315"/>
        <v>100</v>
      </c>
      <c r="E1139" s="81">
        <f t="shared" si="307"/>
        <v>6791.2436711181272</v>
      </c>
      <c r="F1139" s="81">
        <f>SUM(E$2:E1139)</f>
        <v>7166199.0800320515</v>
      </c>
      <c r="G1139" s="43">
        <f t="shared" si="305"/>
        <v>1</v>
      </c>
      <c r="H1139" s="78">
        <v>1</v>
      </c>
      <c r="I1139" s="15">
        <f t="shared" si="308"/>
        <v>0.6</v>
      </c>
      <c r="J1139" s="16">
        <f>VLOOKUP(G1139,Inputs!$L$3:$P$15,5,FALSE)</f>
        <v>2000</v>
      </c>
      <c r="K1139" s="16">
        <f t="shared" si="309"/>
        <v>1825</v>
      </c>
      <c r="L1139" s="79">
        <f>Inputs!$P$8-B1139</f>
        <v>79.943399999999997</v>
      </c>
      <c r="M1139" s="79">
        <f>Inputs!$Q$8+L1139*0.433</f>
        <v>1859.6154922000001</v>
      </c>
      <c r="N1139" s="82">
        <f t="shared" si="310"/>
        <v>201599.92</v>
      </c>
      <c r="O1139" s="83">
        <f t="shared" si="311"/>
        <v>858.24760000000003</v>
      </c>
      <c r="P1139" s="84">
        <f>IF(O1139="","",Inputs!$C$5-O1139)</f>
        <v>-33.063100000000077</v>
      </c>
      <c r="Q1139" s="83">
        <f>IF(N1139="","",TS!J1139)</f>
        <v>2000</v>
      </c>
      <c r="R1139" s="83">
        <f>IF(N1139="","",TS!K1139)</f>
        <v>1825</v>
      </c>
      <c r="S1139" s="83">
        <f>Inputs!$H$5+TS!P1139*0.4333</f>
        <v>1860.6394752199999</v>
      </c>
      <c r="T1139" s="83">
        <f>Inputs!$G$5+TS!P1139*0.4333</f>
        <v>1875.6394752199999</v>
      </c>
      <c r="U1139" s="85">
        <f t="shared" si="312"/>
        <v>0.93781973760999993</v>
      </c>
      <c r="V1139" s="86">
        <f t="shared" si="300"/>
        <v>0</v>
      </c>
      <c r="W1139" s="86">
        <f t="shared" si="301"/>
        <v>0</v>
      </c>
      <c r="X1139" s="86" t="e">
        <f>((PI()*((42-2*'Gen Calcs'!$E$13)^2)/4)/144)*(A1182-#REF!)*(W1139+14.7)/14.7</f>
        <v>#REF!</v>
      </c>
      <c r="Y1139" s="86" t="e">
        <f t="shared" si="302"/>
        <v>#REF!</v>
      </c>
      <c r="Z1139" s="86" t="e">
        <f t="shared" si="303"/>
        <v>#REF!</v>
      </c>
      <c r="AA1139" s="83">
        <f>MAX(B$2:B1139)-B1139</f>
        <v>79.943399999999997</v>
      </c>
      <c r="AB1139" s="83">
        <f t="shared" si="304"/>
        <v>34.615492199999998</v>
      </c>
      <c r="AC1139" s="83">
        <f t="shared" si="306"/>
        <v>120</v>
      </c>
      <c r="AD1139" s="72">
        <v>120</v>
      </c>
      <c r="AE1139" s="73">
        <f t="shared" si="313"/>
        <v>907.92027688745009</v>
      </c>
      <c r="AF1139" s="73">
        <f>SUM(AE$2:AE1139)</f>
        <v>958701.71369205322</v>
      </c>
      <c r="AG1139" s="73">
        <f t="shared" si="314"/>
        <v>215028.18873505597</v>
      </c>
    </row>
    <row r="1140" spans="1:33" x14ac:dyDescent="0.25">
      <c r="A1140" s="100">
        <v>201699.92</v>
      </c>
      <c r="B1140" s="97">
        <v>859.38369999999998</v>
      </c>
      <c r="C1140" s="97">
        <v>0.6</v>
      </c>
      <c r="D1140" s="80">
        <f t="shared" si="315"/>
        <v>100</v>
      </c>
      <c r="E1140" s="81">
        <f t="shared" si="307"/>
        <v>6791.2436711181272</v>
      </c>
      <c r="F1140" s="81">
        <f>SUM(E$2:E1140)</f>
        <v>7172990.3237031698</v>
      </c>
      <c r="G1140" s="43">
        <f t="shared" si="305"/>
        <v>1</v>
      </c>
      <c r="H1140" s="78">
        <v>1</v>
      </c>
      <c r="I1140" s="15">
        <f t="shared" si="308"/>
        <v>0.6</v>
      </c>
      <c r="J1140" s="16">
        <f>VLOOKUP(G1140,Inputs!$L$3:$P$15,5,FALSE)</f>
        <v>2000</v>
      </c>
      <c r="K1140" s="16">
        <f t="shared" si="309"/>
        <v>1825</v>
      </c>
      <c r="L1140" s="79">
        <f>Inputs!$P$8-B1140</f>
        <v>78.807300000000055</v>
      </c>
      <c r="M1140" s="79">
        <f>Inputs!$Q$8+L1140*0.433</f>
        <v>1859.1235609</v>
      </c>
      <c r="N1140" s="82">
        <f t="shared" si="310"/>
        <v>201699.92</v>
      </c>
      <c r="O1140" s="83">
        <f t="shared" si="311"/>
        <v>859.38369999999998</v>
      </c>
      <c r="P1140" s="84">
        <f>IF(O1140="","",Inputs!$C$5-O1140)</f>
        <v>-34.199200000000019</v>
      </c>
      <c r="Q1140" s="83">
        <f>IF(N1140="","",TS!J1140)</f>
        <v>2000</v>
      </c>
      <c r="R1140" s="83">
        <f>IF(N1140="","",TS!K1140)</f>
        <v>1825</v>
      </c>
      <c r="S1140" s="83">
        <f>Inputs!$H$5+TS!P1140*0.4333</f>
        <v>1860.1472030899999</v>
      </c>
      <c r="T1140" s="83">
        <f>Inputs!$G$5+TS!P1140*0.4333</f>
        <v>1875.1472030899999</v>
      </c>
      <c r="U1140" s="85">
        <f t="shared" si="312"/>
        <v>0.93757360154500002</v>
      </c>
      <c r="V1140" s="86">
        <f t="shared" si="300"/>
        <v>0</v>
      </c>
      <c r="W1140" s="86">
        <f t="shared" si="301"/>
        <v>0</v>
      </c>
      <c r="X1140" s="86" t="e">
        <f>((PI()*((42-2*'Gen Calcs'!$E$13)^2)/4)/144)*(A1183-#REF!)*(W1140+14.7)/14.7</f>
        <v>#REF!</v>
      </c>
      <c r="Y1140" s="86" t="e">
        <f t="shared" si="302"/>
        <v>#REF!</v>
      </c>
      <c r="Z1140" s="86" t="e">
        <f t="shared" si="303"/>
        <v>#REF!</v>
      </c>
      <c r="AA1140" s="83">
        <f>MAX(B$2:B1140)-B1140</f>
        <v>78.807300000000055</v>
      </c>
      <c r="AB1140" s="83">
        <f t="shared" si="304"/>
        <v>34.123560900000022</v>
      </c>
      <c r="AC1140" s="83">
        <f t="shared" si="306"/>
        <v>120</v>
      </c>
      <c r="AD1140" s="72">
        <v>120</v>
      </c>
      <c r="AE1140" s="73">
        <f t="shared" si="313"/>
        <v>907.92027688745009</v>
      </c>
      <c r="AF1140" s="73">
        <f>SUM(AE$2:AE1140)</f>
        <v>959609.6339689407</v>
      </c>
      <c r="AG1140" s="73">
        <f t="shared" si="314"/>
        <v>214120.26845816849</v>
      </c>
    </row>
    <row r="1141" spans="1:33" x14ac:dyDescent="0.25">
      <c r="A1141" s="99">
        <v>201799.92</v>
      </c>
      <c r="B1141" s="96">
        <v>859.91470000000004</v>
      </c>
      <c r="C1141" s="96">
        <v>0.6</v>
      </c>
      <c r="D1141" s="80">
        <f t="shared" si="315"/>
        <v>100</v>
      </c>
      <c r="E1141" s="81">
        <f t="shared" si="307"/>
        <v>6791.2436711181272</v>
      </c>
      <c r="F1141" s="81">
        <f>SUM(E$2:E1141)</f>
        <v>7179781.5673742881</v>
      </c>
      <c r="G1141" s="43">
        <f t="shared" si="305"/>
        <v>1</v>
      </c>
      <c r="H1141" s="78">
        <v>1</v>
      </c>
      <c r="I1141" s="15">
        <f t="shared" si="308"/>
        <v>0.6</v>
      </c>
      <c r="J1141" s="16">
        <f>VLOOKUP(G1141,Inputs!$L$3:$P$15,5,FALSE)</f>
        <v>2000</v>
      </c>
      <c r="K1141" s="16">
        <f t="shared" si="309"/>
        <v>1825</v>
      </c>
      <c r="L1141" s="79">
        <f>Inputs!$P$8-B1141</f>
        <v>78.276299999999992</v>
      </c>
      <c r="M1141" s="79">
        <f>Inputs!$Q$8+L1141*0.433</f>
        <v>1858.8936378999999</v>
      </c>
      <c r="N1141" s="82">
        <f t="shared" si="310"/>
        <v>201799.92</v>
      </c>
      <c r="O1141" s="83">
        <f t="shared" si="311"/>
        <v>859.91470000000004</v>
      </c>
      <c r="P1141" s="84">
        <f>IF(O1141="","",Inputs!$C$5-O1141)</f>
        <v>-34.730200000000082</v>
      </c>
      <c r="Q1141" s="83">
        <f>IF(N1141="","",TS!J1141)</f>
        <v>2000</v>
      </c>
      <c r="R1141" s="83">
        <f>IF(N1141="","",TS!K1141)</f>
        <v>1825</v>
      </c>
      <c r="S1141" s="83">
        <f>Inputs!$H$5+TS!P1141*0.4333</f>
        <v>1859.9171207899999</v>
      </c>
      <c r="T1141" s="83">
        <f>Inputs!$G$5+TS!P1141*0.4333</f>
        <v>1874.9171207899999</v>
      </c>
      <c r="U1141" s="85">
        <f t="shared" si="312"/>
        <v>0.93745856039499997</v>
      </c>
      <c r="V1141" s="86">
        <f t="shared" si="300"/>
        <v>0</v>
      </c>
      <c r="W1141" s="86">
        <f t="shared" si="301"/>
        <v>0</v>
      </c>
      <c r="X1141" s="86" t="e">
        <f>((PI()*((42-2*'Gen Calcs'!$E$13)^2)/4)/144)*(A1184-#REF!)*(W1141+14.7)/14.7</f>
        <v>#REF!</v>
      </c>
      <c r="Y1141" s="86" t="e">
        <f t="shared" si="302"/>
        <v>#REF!</v>
      </c>
      <c r="Z1141" s="86" t="e">
        <f t="shared" si="303"/>
        <v>#REF!</v>
      </c>
      <c r="AA1141" s="83">
        <f>MAX(B$2:B1141)-B1141</f>
        <v>78.276299999999992</v>
      </c>
      <c r="AB1141" s="83">
        <f t="shared" si="304"/>
        <v>33.893637899999995</v>
      </c>
      <c r="AC1141" s="83">
        <f t="shared" si="306"/>
        <v>120</v>
      </c>
      <c r="AD1141" s="72">
        <v>120</v>
      </c>
      <c r="AE1141" s="73">
        <f t="shared" si="313"/>
        <v>907.92027688745009</v>
      </c>
      <c r="AF1141" s="73">
        <f>SUM(AE$2:AE1141)</f>
        <v>960517.55424582819</v>
      </c>
      <c r="AG1141" s="73">
        <f t="shared" si="314"/>
        <v>213212.34818128101</v>
      </c>
    </row>
    <row r="1142" spans="1:33" x14ac:dyDescent="0.25">
      <c r="A1142" s="100">
        <v>201899.92</v>
      </c>
      <c r="B1142" s="97">
        <v>859.92849999999999</v>
      </c>
      <c r="C1142" s="97">
        <v>0.6</v>
      </c>
      <c r="D1142" s="80">
        <f t="shared" si="315"/>
        <v>100</v>
      </c>
      <c r="E1142" s="81">
        <f t="shared" si="307"/>
        <v>6791.2436711181272</v>
      </c>
      <c r="F1142" s="81">
        <f>SUM(E$2:E1142)</f>
        <v>7186572.8110454064</v>
      </c>
      <c r="G1142" s="43">
        <f t="shared" si="305"/>
        <v>1</v>
      </c>
      <c r="H1142" s="78">
        <v>1</v>
      </c>
      <c r="I1142" s="15">
        <f t="shared" si="308"/>
        <v>0.6</v>
      </c>
      <c r="J1142" s="16">
        <f>VLOOKUP(G1142,Inputs!$L$3:$P$15,5,FALSE)</f>
        <v>2000</v>
      </c>
      <c r="K1142" s="16">
        <f t="shared" si="309"/>
        <v>1825</v>
      </c>
      <c r="L1142" s="79">
        <f>Inputs!$P$8-B1142</f>
        <v>78.262500000000045</v>
      </c>
      <c r="M1142" s="79">
        <f>Inputs!$Q$8+L1142*0.433</f>
        <v>1858.8876625</v>
      </c>
      <c r="N1142" s="82">
        <f t="shared" si="310"/>
        <v>201899.92</v>
      </c>
      <c r="O1142" s="83">
        <f t="shared" si="311"/>
        <v>859.92849999999999</v>
      </c>
      <c r="P1142" s="84">
        <f>IF(O1142="","",Inputs!$C$5-O1142)</f>
        <v>-34.744000000000028</v>
      </c>
      <c r="Q1142" s="83">
        <f>IF(N1142="","",TS!J1142)</f>
        <v>2000</v>
      </c>
      <c r="R1142" s="83">
        <f>IF(N1142="","",TS!K1142)</f>
        <v>1825</v>
      </c>
      <c r="S1142" s="83">
        <f>Inputs!$H$5+TS!P1142*0.4333</f>
        <v>1859.9111412499999</v>
      </c>
      <c r="T1142" s="83">
        <f>Inputs!$G$5+TS!P1142*0.4333</f>
        <v>1874.9111412499999</v>
      </c>
      <c r="U1142" s="85">
        <f t="shared" si="312"/>
        <v>0.93745557062499996</v>
      </c>
      <c r="V1142" s="86">
        <f t="shared" ref="V1142:V1205" si="316">O1142-MAX(O1142:O1142)</f>
        <v>0</v>
      </c>
      <c r="W1142" s="86">
        <f t="shared" ref="W1142:W1205" si="317">-(V1142)*0.433</f>
        <v>0</v>
      </c>
      <c r="X1142" s="86" t="e">
        <f>((PI()*((42-2*'Gen Calcs'!$E$13)^2)/4)/144)*(A1185-#REF!)*(W1142+14.7)/14.7</f>
        <v>#REF!</v>
      </c>
      <c r="Y1142" s="86" t="e">
        <f t="shared" ref="Y1142:Y1205" si="318">X1142/1000</f>
        <v>#REF!</v>
      </c>
      <c r="Z1142" s="86" t="e">
        <f t="shared" ref="Z1142:Z1205" si="319">IF(Y1142&gt;Z1141,Y1142,Z1141)</f>
        <v>#REF!</v>
      </c>
      <c r="AA1142" s="83">
        <f>MAX(B$2:B1142)-B1142</f>
        <v>78.262500000000045</v>
      </c>
      <c r="AB1142" s="83">
        <f t="shared" ref="AB1142:AB1205" si="320">AA1142*0.433</f>
        <v>33.887662500000019</v>
      </c>
      <c r="AC1142" s="83">
        <f t="shared" si="306"/>
        <v>120</v>
      </c>
      <c r="AD1142" s="72">
        <v>120</v>
      </c>
      <c r="AE1142" s="73">
        <f t="shared" si="313"/>
        <v>907.92027688745009</v>
      </c>
      <c r="AF1142" s="73">
        <f>SUM(AE$2:AE1142)</f>
        <v>961425.47452271567</v>
      </c>
      <c r="AG1142" s="73">
        <f t="shared" si="314"/>
        <v>212304.42790439352</v>
      </c>
    </row>
    <row r="1143" spans="1:33" x14ac:dyDescent="0.25">
      <c r="A1143" s="99">
        <v>201999.92</v>
      </c>
      <c r="B1143" s="96">
        <v>859.07690000000002</v>
      </c>
      <c r="C1143" s="96">
        <v>0.6</v>
      </c>
      <c r="D1143" s="80">
        <f t="shared" si="315"/>
        <v>100</v>
      </c>
      <c r="E1143" s="81">
        <f t="shared" si="307"/>
        <v>6791.2436711181272</v>
      </c>
      <c r="F1143" s="81">
        <f>SUM(E$2:E1143)</f>
        <v>7193364.0547165247</v>
      </c>
      <c r="G1143" s="43">
        <f t="shared" si="305"/>
        <v>1</v>
      </c>
      <c r="H1143" s="78">
        <v>1</v>
      </c>
      <c r="I1143" s="15">
        <f t="shared" si="308"/>
        <v>0.6</v>
      </c>
      <c r="J1143" s="16">
        <f>VLOOKUP(G1143,Inputs!$L$3:$P$15,5,FALSE)</f>
        <v>2000</v>
      </c>
      <c r="K1143" s="16">
        <f t="shared" si="309"/>
        <v>1825</v>
      </c>
      <c r="L1143" s="79">
        <f>Inputs!$P$8-B1143</f>
        <v>79.114100000000008</v>
      </c>
      <c r="M1143" s="79">
        <f>Inputs!$Q$8+L1143*0.433</f>
        <v>1859.2564053000001</v>
      </c>
      <c r="N1143" s="82">
        <f t="shared" si="310"/>
        <v>201999.92</v>
      </c>
      <c r="O1143" s="83">
        <f t="shared" si="311"/>
        <v>859.07690000000002</v>
      </c>
      <c r="P1143" s="84">
        <f>IF(O1143="","",Inputs!$C$5-O1143)</f>
        <v>-33.892400000000066</v>
      </c>
      <c r="Q1143" s="83">
        <f>IF(N1143="","",TS!J1143)</f>
        <v>2000</v>
      </c>
      <c r="R1143" s="83">
        <f>IF(N1143="","",TS!K1143)</f>
        <v>1825</v>
      </c>
      <c r="S1143" s="83">
        <f>Inputs!$H$5+TS!P1143*0.4333</f>
        <v>1860.2801395299998</v>
      </c>
      <c r="T1143" s="83">
        <f>Inputs!$G$5+TS!P1143*0.4333</f>
        <v>1875.2801395299998</v>
      </c>
      <c r="U1143" s="85">
        <f t="shared" si="312"/>
        <v>0.93764006976499992</v>
      </c>
      <c r="V1143" s="86">
        <f t="shared" si="316"/>
        <v>0</v>
      </c>
      <c r="W1143" s="86">
        <f t="shared" si="317"/>
        <v>0</v>
      </c>
      <c r="X1143" s="86" t="e">
        <f>((PI()*((42-2*'Gen Calcs'!$E$13)^2)/4)/144)*(A1186-#REF!)*(W1143+14.7)/14.7</f>
        <v>#REF!</v>
      </c>
      <c r="Y1143" s="86" t="e">
        <f t="shared" si="318"/>
        <v>#REF!</v>
      </c>
      <c r="Z1143" s="86" t="e">
        <f t="shared" si="319"/>
        <v>#REF!</v>
      </c>
      <c r="AA1143" s="83">
        <f>MAX(B$2:B1143)-B1143</f>
        <v>79.114100000000008</v>
      </c>
      <c r="AB1143" s="83">
        <f t="shared" si="320"/>
        <v>34.256405300000004</v>
      </c>
      <c r="AC1143" s="83">
        <f t="shared" si="306"/>
        <v>120</v>
      </c>
      <c r="AD1143" s="72">
        <v>120</v>
      </c>
      <c r="AE1143" s="73">
        <f t="shared" si="313"/>
        <v>907.92027688745009</v>
      </c>
      <c r="AF1143" s="73">
        <f>SUM(AE$2:AE1143)</f>
        <v>962333.39479960315</v>
      </c>
      <c r="AG1143" s="73">
        <f t="shared" si="314"/>
        <v>211396.50762750604</v>
      </c>
    </row>
    <row r="1144" spans="1:33" x14ac:dyDescent="0.25">
      <c r="A1144" s="100">
        <v>202099.92</v>
      </c>
      <c r="B1144" s="97">
        <v>857.31790000000001</v>
      </c>
      <c r="C1144" s="97">
        <v>0.6</v>
      </c>
      <c r="D1144" s="80">
        <f t="shared" si="315"/>
        <v>100</v>
      </c>
      <c r="E1144" s="81">
        <f t="shared" si="307"/>
        <v>6791.2436711181272</v>
      </c>
      <c r="F1144" s="81">
        <f>SUM(E$2:E1144)</f>
        <v>7200155.2983876429</v>
      </c>
      <c r="G1144" s="43">
        <f t="shared" si="305"/>
        <v>1</v>
      </c>
      <c r="H1144" s="78">
        <v>1</v>
      </c>
      <c r="I1144" s="15">
        <f t="shared" si="308"/>
        <v>0.6</v>
      </c>
      <c r="J1144" s="16">
        <f>VLOOKUP(G1144,Inputs!$L$3:$P$15,5,FALSE)</f>
        <v>2000</v>
      </c>
      <c r="K1144" s="16">
        <f t="shared" si="309"/>
        <v>1825</v>
      </c>
      <c r="L1144" s="79">
        <f>Inputs!$P$8-B1144</f>
        <v>80.873100000000022</v>
      </c>
      <c r="M1144" s="79">
        <f>Inputs!$Q$8+L1144*0.433</f>
        <v>1860.0180522999999</v>
      </c>
      <c r="N1144" s="82">
        <f t="shared" si="310"/>
        <v>202099.92</v>
      </c>
      <c r="O1144" s="83">
        <f t="shared" si="311"/>
        <v>857.31790000000001</v>
      </c>
      <c r="P1144" s="84">
        <f>IF(O1144="","",Inputs!$C$5-O1144)</f>
        <v>-32.133400000000051</v>
      </c>
      <c r="Q1144" s="83">
        <f>IF(N1144="","",TS!J1144)</f>
        <v>2000</v>
      </c>
      <c r="R1144" s="83">
        <f>IF(N1144="","",TS!K1144)</f>
        <v>1825</v>
      </c>
      <c r="S1144" s="83">
        <f>Inputs!$H$5+TS!P1144*0.4333</f>
        <v>1861.0423142299999</v>
      </c>
      <c r="T1144" s="83">
        <f>Inputs!$G$5+TS!P1144*0.4333</f>
        <v>1876.0423142299999</v>
      </c>
      <c r="U1144" s="85">
        <f t="shared" si="312"/>
        <v>0.93802115711499989</v>
      </c>
      <c r="V1144" s="86">
        <f t="shared" si="316"/>
        <v>0</v>
      </c>
      <c r="W1144" s="86">
        <f t="shared" si="317"/>
        <v>0</v>
      </c>
      <c r="X1144" s="86" t="e">
        <f>((PI()*((42-2*'Gen Calcs'!$E$13)^2)/4)/144)*(A1187-#REF!)*(W1144+14.7)/14.7</f>
        <v>#REF!</v>
      </c>
      <c r="Y1144" s="86" t="e">
        <f t="shared" si="318"/>
        <v>#REF!</v>
      </c>
      <c r="Z1144" s="86" t="e">
        <f t="shared" si="319"/>
        <v>#REF!</v>
      </c>
      <c r="AA1144" s="83">
        <f>MAX(B$2:B1144)-B1144</f>
        <v>80.873100000000022</v>
      </c>
      <c r="AB1144" s="83">
        <f t="shared" si="320"/>
        <v>35.018052300000008</v>
      </c>
      <c r="AC1144" s="83">
        <f t="shared" si="306"/>
        <v>120</v>
      </c>
      <c r="AD1144" s="72">
        <v>120</v>
      </c>
      <c r="AE1144" s="73">
        <f t="shared" si="313"/>
        <v>907.92027688745009</v>
      </c>
      <c r="AF1144" s="73">
        <f>SUM(AE$2:AE1144)</f>
        <v>963241.31507649063</v>
      </c>
      <c r="AG1144" s="73">
        <f t="shared" si="314"/>
        <v>210488.58735061856</v>
      </c>
    </row>
    <row r="1145" spans="1:33" x14ac:dyDescent="0.25">
      <c r="A1145" s="99">
        <v>202199.92</v>
      </c>
      <c r="B1145" s="96">
        <v>854.75080000000003</v>
      </c>
      <c r="C1145" s="96">
        <v>0.6</v>
      </c>
      <c r="D1145" s="80">
        <f t="shared" si="315"/>
        <v>100</v>
      </c>
      <c r="E1145" s="81">
        <f t="shared" si="307"/>
        <v>6791.2436711181272</v>
      </c>
      <c r="F1145" s="81">
        <f>SUM(E$2:E1145)</f>
        <v>7206946.5420587612</v>
      </c>
      <c r="G1145" s="43">
        <f t="shared" si="305"/>
        <v>1</v>
      </c>
      <c r="H1145" s="78">
        <v>1</v>
      </c>
      <c r="I1145" s="15">
        <f t="shared" si="308"/>
        <v>0.6</v>
      </c>
      <c r="J1145" s="16">
        <f>VLOOKUP(G1145,Inputs!$L$3:$P$15,5,FALSE)</f>
        <v>2000</v>
      </c>
      <c r="K1145" s="16">
        <f t="shared" si="309"/>
        <v>1825</v>
      </c>
      <c r="L1145" s="79">
        <f>Inputs!$P$8-B1145</f>
        <v>83.440200000000004</v>
      </c>
      <c r="M1145" s="79">
        <f>Inputs!$Q$8+L1145*0.433</f>
        <v>1861.1296066</v>
      </c>
      <c r="N1145" s="82">
        <f t="shared" si="310"/>
        <v>202199.92</v>
      </c>
      <c r="O1145" s="83">
        <f t="shared" si="311"/>
        <v>854.75080000000003</v>
      </c>
      <c r="P1145" s="84">
        <f>IF(O1145="","",Inputs!$C$5-O1145)</f>
        <v>-29.566300000000069</v>
      </c>
      <c r="Q1145" s="83">
        <f>IF(N1145="","",TS!J1145)</f>
        <v>2000</v>
      </c>
      <c r="R1145" s="83">
        <f>IF(N1145="","",TS!K1145)</f>
        <v>1825</v>
      </c>
      <c r="S1145" s="83">
        <f>Inputs!$H$5+TS!P1145*0.4333</f>
        <v>1862.1546386599998</v>
      </c>
      <c r="T1145" s="83">
        <f>Inputs!$G$5+TS!P1145*0.4333</f>
        <v>1877.1546386599998</v>
      </c>
      <c r="U1145" s="85">
        <f t="shared" si="312"/>
        <v>0.93857731932999988</v>
      </c>
      <c r="V1145" s="86">
        <f t="shared" si="316"/>
        <v>0</v>
      </c>
      <c r="W1145" s="86">
        <f t="shared" si="317"/>
        <v>0</v>
      </c>
      <c r="X1145" s="86" t="e">
        <f>((PI()*((42-2*'Gen Calcs'!$E$13)^2)/4)/144)*(A1188-#REF!)*(W1145+14.7)/14.7</f>
        <v>#REF!</v>
      </c>
      <c r="Y1145" s="86" t="e">
        <f t="shared" si="318"/>
        <v>#REF!</v>
      </c>
      <c r="Z1145" s="86" t="e">
        <f t="shared" si="319"/>
        <v>#REF!</v>
      </c>
      <c r="AA1145" s="83">
        <f>MAX(B$2:B1145)-B1145</f>
        <v>83.440200000000004</v>
      </c>
      <c r="AB1145" s="83">
        <f t="shared" si="320"/>
        <v>36.129606600000002</v>
      </c>
      <c r="AC1145" s="83">
        <f t="shared" si="306"/>
        <v>120</v>
      </c>
      <c r="AD1145" s="72">
        <v>120</v>
      </c>
      <c r="AE1145" s="73">
        <f t="shared" si="313"/>
        <v>907.92027688745009</v>
      </c>
      <c r="AF1145" s="73">
        <f>SUM(AE$2:AE1145)</f>
        <v>964149.23535337811</v>
      </c>
      <c r="AG1145" s="73">
        <f t="shared" si="314"/>
        <v>209580.66707373108</v>
      </c>
    </row>
    <row r="1146" spans="1:33" x14ac:dyDescent="0.25">
      <c r="A1146" s="100">
        <v>202299.92</v>
      </c>
      <c r="B1146" s="97">
        <v>851.62279999999998</v>
      </c>
      <c r="C1146" s="97">
        <v>0.6</v>
      </c>
      <c r="D1146" s="80">
        <f t="shared" si="315"/>
        <v>100</v>
      </c>
      <c r="E1146" s="81">
        <f t="shared" si="307"/>
        <v>6791.2436711181272</v>
      </c>
      <c r="F1146" s="81">
        <f>SUM(E$2:E1146)</f>
        <v>7213737.7857298795</v>
      </c>
      <c r="G1146" s="43">
        <f t="shared" si="305"/>
        <v>1</v>
      </c>
      <c r="H1146" s="78">
        <v>1</v>
      </c>
      <c r="I1146" s="15">
        <f t="shared" si="308"/>
        <v>0.6</v>
      </c>
      <c r="J1146" s="16">
        <f>VLOOKUP(G1146,Inputs!$L$3:$P$15,5,FALSE)</f>
        <v>2000</v>
      </c>
      <c r="K1146" s="16">
        <f t="shared" si="309"/>
        <v>1825</v>
      </c>
      <c r="L1146" s="79">
        <f>Inputs!$P$8-B1146</f>
        <v>86.568200000000047</v>
      </c>
      <c r="M1146" s="79">
        <f>Inputs!$Q$8+L1146*0.433</f>
        <v>1862.4840306000001</v>
      </c>
      <c r="N1146" s="82">
        <f t="shared" si="310"/>
        <v>202299.92</v>
      </c>
      <c r="O1146" s="83">
        <f t="shared" si="311"/>
        <v>851.62279999999998</v>
      </c>
      <c r="P1146" s="84">
        <f>IF(O1146="","",Inputs!$C$5-O1146)</f>
        <v>-26.438300000000027</v>
      </c>
      <c r="Q1146" s="83">
        <f>IF(N1146="","",TS!J1146)</f>
        <v>2000</v>
      </c>
      <c r="R1146" s="83">
        <f>IF(N1146="","",TS!K1146)</f>
        <v>1825</v>
      </c>
      <c r="S1146" s="83">
        <f>Inputs!$H$5+TS!P1146*0.4333</f>
        <v>1863.5100010599999</v>
      </c>
      <c r="T1146" s="83">
        <f>Inputs!$G$5+TS!P1146*0.4333</f>
        <v>1878.5100010599999</v>
      </c>
      <c r="U1146" s="85">
        <f t="shared" si="312"/>
        <v>0.93925500052999999</v>
      </c>
      <c r="V1146" s="86">
        <f t="shared" si="316"/>
        <v>0</v>
      </c>
      <c r="W1146" s="86">
        <f t="shared" si="317"/>
        <v>0</v>
      </c>
      <c r="X1146" s="86" t="e">
        <f>((PI()*((42-2*'Gen Calcs'!$E$13)^2)/4)/144)*(A1189-#REF!)*(W1146+14.7)/14.7</f>
        <v>#REF!</v>
      </c>
      <c r="Y1146" s="86" t="e">
        <f t="shared" si="318"/>
        <v>#REF!</v>
      </c>
      <c r="Z1146" s="86" t="e">
        <f t="shared" si="319"/>
        <v>#REF!</v>
      </c>
      <c r="AA1146" s="83">
        <f>MAX(B$2:B1146)-B1146</f>
        <v>86.568200000000047</v>
      </c>
      <c r="AB1146" s="83">
        <f t="shared" si="320"/>
        <v>37.484030600000018</v>
      </c>
      <c r="AC1146" s="83">
        <f t="shared" si="306"/>
        <v>120</v>
      </c>
      <c r="AD1146" s="72">
        <v>120</v>
      </c>
      <c r="AE1146" s="73">
        <f t="shared" si="313"/>
        <v>907.92027688745009</v>
      </c>
      <c r="AF1146" s="73">
        <f>SUM(AE$2:AE1146)</f>
        <v>965057.1556302656</v>
      </c>
      <c r="AG1146" s="73">
        <f t="shared" si="314"/>
        <v>208672.7467968436</v>
      </c>
    </row>
    <row r="1147" spans="1:33" x14ac:dyDescent="0.25">
      <c r="A1147" s="99">
        <v>202399.92</v>
      </c>
      <c r="B1147" s="96">
        <v>848.76030000000003</v>
      </c>
      <c r="C1147" s="96">
        <v>0.6</v>
      </c>
      <c r="D1147" s="80">
        <f t="shared" si="315"/>
        <v>100</v>
      </c>
      <c r="E1147" s="81">
        <f t="shared" si="307"/>
        <v>6791.2436711181272</v>
      </c>
      <c r="F1147" s="81">
        <f>SUM(E$2:E1147)</f>
        <v>7220529.0294009978</v>
      </c>
      <c r="G1147" s="43">
        <f t="shared" si="305"/>
        <v>1</v>
      </c>
      <c r="H1147" s="78">
        <v>1</v>
      </c>
      <c r="I1147" s="15">
        <f t="shared" si="308"/>
        <v>0.6</v>
      </c>
      <c r="J1147" s="16">
        <f>VLOOKUP(G1147,Inputs!$L$3:$P$15,5,FALSE)</f>
        <v>2000</v>
      </c>
      <c r="K1147" s="16">
        <f t="shared" si="309"/>
        <v>1825</v>
      </c>
      <c r="L1147" s="79">
        <f>Inputs!$P$8-B1147</f>
        <v>89.430700000000002</v>
      </c>
      <c r="M1147" s="79">
        <f>Inputs!$Q$8+L1147*0.433</f>
        <v>1863.7234931</v>
      </c>
      <c r="N1147" s="82">
        <f t="shared" si="310"/>
        <v>202399.92</v>
      </c>
      <c r="O1147" s="83">
        <f t="shared" si="311"/>
        <v>848.76030000000003</v>
      </c>
      <c r="P1147" s="84">
        <f>IF(O1147="","",Inputs!$C$5-O1147)</f>
        <v>-23.575800000000072</v>
      </c>
      <c r="Q1147" s="83">
        <f>IF(N1147="","",TS!J1147)</f>
        <v>2000</v>
      </c>
      <c r="R1147" s="83">
        <f>IF(N1147="","",TS!K1147)</f>
        <v>1825</v>
      </c>
      <c r="S1147" s="83">
        <f>Inputs!$H$5+TS!P1147*0.4333</f>
        <v>1864.75032231</v>
      </c>
      <c r="T1147" s="83">
        <f>Inputs!$G$5+TS!P1147*0.4333</f>
        <v>1879.75032231</v>
      </c>
      <c r="U1147" s="85">
        <f t="shared" si="312"/>
        <v>0.93987516115500003</v>
      </c>
      <c r="V1147" s="86">
        <f t="shared" si="316"/>
        <v>0</v>
      </c>
      <c r="W1147" s="86">
        <f t="shared" si="317"/>
        <v>0</v>
      </c>
      <c r="X1147" s="86" t="e">
        <f>((PI()*((42-2*'Gen Calcs'!$E$13)^2)/4)/144)*(A1190-#REF!)*(W1147+14.7)/14.7</f>
        <v>#REF!</v>
      </c>
      <c r="Y1147" s="86" t="e">
        <f t="shared" si="318"/>
        <v>#REF!</v>
      </c>
      <c r="Z1147" s="86" t="e">
        <f t="shared" si="319"/>
        <v>#REF!</v>
      </c>
      <c r="AA1147" s="83">
        <f>MAX(B$2:B1147)-B1147</f>
        <v>89.430700000000002</v>
      </c>
      <c r="AB1147" s="83">
        <f t="shared" si="320"/>
        <v>38.723493099999999</v>
      </c>
      <c r="AC1147" s="83">
        <f t="shared" si="306"/>
        <v>120</v>
      </c>
      <c r="AD1147" s="72">
        <v>120</v>
      </c>
      <c r="AE1147" s="73">
        <f t="shared" si="313"/>
        <v>907.92027688745009</v>
      </c>
      <c r="AF1147" s="73">
        <f>SUM(AE$2:AE1147)</f>
        <v>965965.07590715308</v>
      </c>
      <c r="AG1147" s="73">
        <f t="shared" si="314"/>
        <v>207764.82651995611</v>
      </c>
    </row>
    <row r="1148" spans="1:33" x14ac:dyDescent="0.25">
      <c r="A1148" s="100">
        <v>202499.92</v>
      </c>
      <c r="B1148" s="97">
        <v>846.65520000000004</v>
      </c>
      <c r="C1148" s="97">
        <v>0.6</v>
      </c>
      <c r="D1148" s="80">
        <f t="shared" si="315"/>
        <v>100</v>
      </c>
      <c r="E1148" s="81">
        <f t="shared" si="307"/>
        <v>6791.2436711181272</v>
      </c>
      <c r="F1148" s="81">
        <f>SUM(E$2:E1148)</f>
        <v>7227320.2730721161</v>
      </c>
      <c r="G1148" s="43">
        <f t="shared" si="305"/>
        <v>1</v>
      </c>
      <c r="H1148" s="78">
        <v>1</v>
      </c>
      <c r="I1148" s="15">
        <f t="shared" si="308"/>
        <v>0.6</v>
      </c>
      <c r="J1148" s="16">
        <f>VLOOKUP(G1148,Inputs!$L$3:$P$15,5,FALSE)</f>
        <v>2000</v>
      </c>
      <c r="K1148" s="16">
        <f t="shared" si="309"/>
        <v>1825</v>
      </c>
      <c r="L1148" s="79">
        <f>Inputs!$P$8-B1148</f>
        <v>91.535799999999995</v>
      </c>
      <c r="M1148" s="79">
        <f>Inputs!$Q$8+L1148*0.433</f>
        <v>1864.6350014</v>
      </c>
      <c r="N1148" s="82">
        <f t="shared" si="310"/>
        <v>202499.92</v>
      </c>
      <c r="O1148" s="83">
        <f t="shared" si="311"/>
        <v>846.65520000000004</v>
      </c>
      <c r="P1148" s="84">
        <f>IF(O1148="","",Inputs!$C$5-O1148)</f>
        <v>-21.470700000000079</v>
      </c>
      <c r="Q1148" s="83">
        <f>IF(N1148="","",TS!J1148)</f>
        <v>2000</v>
      </c>
      <c r="R1148" s="83">
        <f>IF(N1148="","",TS!K1148)</f>
        <v>1825</v>
      </c>
      <c r="S1148" s="83">
        <f>Inputs!$H$5+TS!P1148*0.4333</f>
        <v>1865.6624621399999</v>
      </c>
      <c r="T1148" s="83">
        <f>Inputs!$G$5+TS!P1148*0.4333</f>
        <v>1880.6624621399999</v>
      </c>
      <c r="U1148" s="85">
        <f t="shared" si="312"/>
        <v>0.94033123106999994</v>
      </c>
      <c r="V1148" s="86">
        <f t="shared" si="316"/>
        <v>0</v>
      </c>
      <c r="W1148" s="86">
        <f t="shared" si="317"/>
        <v>0</v>
      </c>
      <c r="X1148" s="86" t="e">
        <f>((PI()*((42-2*'Gen Calcs'!$E$13)^2)/4)/144)*(A1191-#REF!)*(W1148+14.7)/14.7</f>
        <v>#REF!</v>
      </c>
      <c r="Y1148" s="86" t="e">
        <f t="shared" si="318"/>
        <v>#REF!</v>
      </c>
      <c r="Z1148" s="86" t="e">
        <f t="shared" si="319"/>
        <v>#REF!</v>
      </c>
      <c r="AA1148" s="83">
        <f>MAX(B$2:B1148)-B1148</f>
        <v>91.535799999999995</v>
      </c>
      <c r="AB1148" s="83">
        <f t="shared" si="320"/>
        <v>39.6350014</v>
      </c>
      <c r="AC1148" s="83">
        <f t="shared" si="306"/>
        <v>120</v>
      </c>
      <c r="AD1148" s="72">
        <v>120</v>
      </c>
      <c r="AE1148" s="73">
        <f t="shared" si="313"/>
        <v>907.92027688745009</v>
      </c>
      <c r="AF1148" s="73">
        <f>SUM(AE$2:AE1148)</f>
        <v>966872.99618404056</v>
      </c>
      <c r="AG1148" s="73">
        <f t="shared" si="314"/>
        <v>206856.90624306863</v>
      </c>
    </row>
    <row r="1149" spans="1:33" x14ac:dyDescent="0.25">
      <c r="A1149" s="99">
        <v>202599.92</v>
      </c>
      <c r="B1149" s="96">
        <v>844.48659999999995</v>
      </c>
      <c r="C1149" s="96">
        <v>0.6</v>
      </c>
      <c r="D1149" s="80">
        <f t="shared" si="315"/>
        <v>100</v>
      </c>
      <c r="E1149" s="81">
        <f t="shared" si="307"/>
        <v>6791.2436711181272</v>
      </c>
      <c r="F1149" s="81">
        <f>SUM(E$2:E1149)</f>
        <v>7234111.5167432344</v>
      </c>
      <c r="G1149" s="43">
        <f t="shared" si="305"/>
        <v>1</v>
      </c>
      <c r="H1149" s="78">
        <v>1</v>
      </c>
      <c r="I1149" s="15">
        <f t="shared" si="308"/>
        <v>0.6</v>
      </c>
      <c r="J1149" s="16">
        <f>VLOOKUP(G1149,Inputs!$L$3:$P$15,5,FALSE)</f>
        <v>2000</v>
      </c>
      <c r="K1149" s="16">
        <f t="shared" si="309"/>
        <v>1825</v>
      </c>
      <c r="L1149" s="79">
        <f>Inputs!$P$8-B1149</f>
        <v>93.704400000000078</v>
      </c>
      <c r="M1149" s="79">
        <f>Inputs!$Q$8+L1149*0.433</f>
        <v>1865.5740052000001</v>
      </c>
      <c r="N1149" s="82">
        <f t="shared" si="310"/>
        <v>202599.92</v>
      </c>
      <c r="O1149" s="83">
        <f t="shared" si="311"/>
        <v>844.48659999999995</v>
      </c>
      <c r="P1149" s="84">
        <f>IF(O1149="","",Inputs!$C$5-O1149)</f>
        <v>-19.302099999999996</v>
      </c>
      <c r="Q1149" s="83">
        <f>IF(N1149="","",TS!J1149)</f>
        <v>2000</v>
      </c>
      <c r="R1149" s="83">
        <f>IF(N1149="","",TS!K1149)</f>
        <v>1825</v>
      </c>
      <c r="S1149" s="83">
        <f>Inputs!$H$5+TS!P1149*0.4333</f>
        <v>1866.60211652</v>
      </c>
      <c r="T1149" s="83">
        <f>Inputs!$G$5+TS!P1149*0.4333</f>
        <v>1881.60211652</v>
      </c>
      <c r="U1149" s="85">
        <f t="shared" si="312"/>
        <v>0.94080105826000004</v>
      </c>
      <c r="V1149" s="86">
        <f t="shared" si="316"/>
        <v>0</v>
      </c>
      <c r="W1149" s="86">
        <f t="shared" si="317"/>
        <v>0</v>
      </c>
      <c r="X1149" s="86" t="e">
        <f>((PI()*((42-2*'Gen Calcs'!$E$13)^2)/4)/144)*(A1192-#REF!)*(W1149+14.7)/14.7</f>
        <v>#REF!</v>
      </c>
      <c r="Y1149" s="86" t="e">
        <f t="shared" si="318"/>
        <v>#REF!</v>
      </c>
      <c r="Z1149" s="86" t="e">
        <f t="shared" si="319"/>
        <v>#REF!</v>
      </c>
      <c r="AA1149" s="83">
        <f>MAX(B$2:B1149)-B1149</f>
        <v>93.704400000000078</v>
      </c>
      <c r="AB1149" s="83">
        <f t="shared" si="320"/>
        <v>40.57400520000003</v>
      </c>
      <c r="AC1149" s="83">
        <f t="shared" si="306"/>
        <v>120</v>
      </c>
      <c r="AD1149" s="72">
        <v>120</v>
      </c>
      <c r="AE1149" s="73">
        <f t="shared" si="313"/>
        <v>907.92027688745009</v>
      </c>
      <c r="AF1149" s="73">
        <f>SUM(AE$2:AE1149)</f>
        <v>967780.91646092804</v>
      </c>
      <c r="AG1149" s="73">
        <f t="shared" si="314"/>
        <v>205948.98596618115</v>
      </c>
    </row>
    <row r="1150" spans="1:33" x14ac:dyDescent="0.25">
      <c r="A1150" s="100">
        <v>202699.92</v>
      </c>
      <c r="B1150" s="97">
        <v>842.23040000000003</v>
      </c>
      <c r="C1150" s="97">
        <v>0.6</v>
      </c>
      <c r="D1150" s="80">
        <f t="shared" si="315"/>
        <v>100</v>
      </c>
      <c r="E1150" s="81">
        <f t="shared" si="307"/>
        <v>6791.2436711181272</v>
      </c>
      <c r="F1150" s="81">
        <f>SUM(E$2:E1150)</f>
        <v>7240902.7604143526</v>
      </c>
      <c r="G1150" s="43">
        <f t="shared" si="305"/>
        <v>1</v>
      </c>
      <c r="H1150" s="78">
        <v>1</v>
      </c>
      <c r="I1150" s="15">
        <f t="shared" si="308"/>
        <v>0.6</v>
      </c>
      <c r="J1150" s="16">
        <f>VLOOKUP(G1150,Inputs!$L$3:$P$15,5,FALSE)</f>
        <v>2000</v>
      </c>
      <c r="K1150" s="16">
        <f t="shared" si="309"/>
        <v>1825</v>
      </c>
      <c r="L1150" s="79">
        <f>Inputs!$P$8-B1150</f>
        <v>95.960599999999999</v>
      </c>
      <c r="M1150" s="79">
        <f>Inputs!$Q$8+L1150*0.433</f>
        <v>1866.5509397999999</v>
      </c>
      <c r="N1150" s="82">
        <f t="shared" si="310"/>
        <v>202699.92</v>
      </c>
      <c r="O1150" s="83">
        <f t="shared" si="311"/>
        <v>842.23040000000003</v>
      </c>
      <c r="P1150" s="84">
        <f>IF(O1150="","",Inputs!$C$5-O1150)</f>
        <v>-17.045900000000074</v>
      </c>
      <c r="Q1150" s="83">
        <f>IF(N1150="","",TS!J1150)</f>
        <v>2000</v>
      </c>
      <c r="R1150" s="83">
        <f>IF(N1150="","",TS!K1150)</f>
        <v>1825</v>
      </c>
      <c r="S1150" s="83">
        <f>Inputs!$H$5+TS!P1150*0.4333</f>
        <v>1867.5797279799999</v>
      </c>
      <c r="T1150" s="83">
        <f>Inputs!$G$5+TS!P1150*0.4333</f>
        <v>1882.5797279799999</v>
      </c>
      <c r="U1150" s="85">
        <f t="shared" si="312"/>
        <v>0.94128986398999992</v>
      </c>
      <c r="V1150" s="86">
        <f t="shared" si="316"/>
        <v>0</v>
      </c>
      <c r="W1150" s="86">
        <f t="shared" si="317"/>
        <v>0</v>
      </c>
      <c r="X1150" s="86" t="e">
        <f>((PI()*((42-2*'Gen Calcs'!$E$13)^2)/4)/144)*(A1193-#REF!)*(W1150+14.7)/14.7</f>
        <v>#REF!</v>
      </c>
      <c r="Y1150" s="86" t="e">
        <f t="shared" si="318"/>
        <v>#REF!</v>
      </c>
      <c r="Z1150" s="86" t="e">
        <f t="shared" si="319"/>
        <v>#REF!</v>
      </c>
      <c r="AA1150" s="83">
        <f>MAX(B$2:B1150)-B1150</f>
        <v>95.960599999999999</v>
      </c>
      <c r="AB1150" s="83">
        <f t="shared" si="320"/>
        <v>41.550939800000002</v>
      </c>
      <c r="AC1150" s="83">
        <f t="shared" si="306"/>
        <v>120</v>
      </c>
      <c r="AD1150" s="72">
        <v>120</v>
      </c>
      <c r="AE1150" s="73">
        <f t="shared" si="313"/>
        <v>907.92027688745009</v>
      </c>
      <c r="AF1150" s="73">
        <f>SUM(AE$2:AE1150)</f>
        <v>968688.83673781552</v>
      </c>
      <c r="AG1150" s="73">
        <f t="shared" si="314"/>
        <v>205041.06568929367</v>
      </c>
    </row>
    <row r="1151" spans="1:33" x14ac:dyDescent="0.25">
      <c r="A1151" s="99">
        <v>202799.92</v>
      </c>
      <c r="B1151" s="96">
        <v>839.73059999999998</v>
      </c>
      <c r="C1151" s="96">
        <v>0.6</v>
      </c>
      <c r="D1151" s="80">
        <f t="shared" si="315"/>
        <v>100</v>
      </c>
      <c r="E1151" s="81">
        <f t="shared" si="307"/>
        <v>6791.2436711181272</v>
      </c>
      <c r="F1151" s="81">
        <f>SUM(E$2:E1151)</f>
        <v>7247694.0040854709</v>
      </c>
      <c r="G1151" s="43">
        <f t="shared" si="305"/>
        <v>1</v>
      </c>
      <c r="H1151" s="78">
        <v>1</v>
      </c>
      <c r="I1151" s="15">
        <f t="shared" si="308"/>
        <v>0.6</v>
      </c>
      <c r="J1151" s="16">
        <f>VLOOKUP(G1151,Inputs!$L$3:$P$15,5,FALSE)</f>
        <v>2000</v>
      </c>
      <c r="K1151" s="16">
        <f t="shared" si="309"/>
        <v>1825</v>
      </c>
      <c r="L1151" s="79">
        <f>Inputs!$P$8-B1151</f>
        <v>98.46040000000005</v>
      </c>
      <c r="M1151" s="79">
        <f>Inputs!$Q$8+L1151*0.433</f>
        <v>1867.6333532000001</v>
      </c>
      <c r="N1151" s="82">
        <f t="shared" si="310"/>
        <v>202799.92</v>
      </c>
      <c r="O1151" s="83">
        <f t="shared" si="311"/>
        <v>839.73059999999998</v>
      </c>
      <c r="P1151" s="84">
        <f>IF(O1151="","",Inputs!$C$5-O1151)</f>
        <v>-14.546100000000024</v>
      </c>
      <c r="Q1151" s="83">
        <f>IF(N1151="","",TS!J1151)</f>
        <v>2000</v>
      </c>
      <c r="R1151" s="83">
        <f>IF(N1151="","",TS!K1151)</f>
        <v>1825</v>
      </c>
      <c r="S1151" s="83">
        <f>Inputs!$H$5+TS!P1151*0.4333</f>
        <v>1868.66289132</v>
      </c>
      <c r="T1151" s="83">
        <f>Inputs!$G$5+TS!P1151*0.4333</f>
        <v>1883.66289132</v>
      </c>
      <c r="U1151" s="85">
        <f t="shared" si="312"/>
        <v>0.94183144565999999</v>
      </c>
      <c r="V1151" s="86">
        <f t="shared" si="316"/>
        <v>0</v>
      </c>
      <c r="W1151" s="86">
        <f t="shared" si="317"/>
        <v>0</v>
      </c>
      <c r="X1151" s="86" t="e">
        <f>((PI()*((42-2*'Gen Calcs'!$E$13)^2)/4)/144)*(A1194-#REF!)*(W1151+14.7)/14.7</f>
        <v>#REF!</v>
      </c>
      <c r="Y1151" s="86" t="e">
        <f t="shared" si="318"/>
        <v>#REF!</v>
      </c>
      <c r="Z1151" s="86" t="e">
        <f t="shared" si="319"/>
        <v>#REF!</v>
      </c>
      <c r="AA1151" s="83">
        <f>MAX(B$2:B1151)-B1151</f>
        <v>98.46040000000005</v>
      </c>
      <c r="AB1151" s="83">
        <f t="shared" si="320"/>
        <v>42.633353200000023</v>
      </c>
      <c r="AC1151" s="83">
        <f t="shared" si="306"/>
        <v>120</v>
      </c>
      <c r="AD1151" s="72">
        <v>120</v>
      </c>
      <c r="AE1151" s="73">
        <f t="shared" si="313"/>
        <v>907.92027688745009</v>
      </c>
      <c r="AF1151" s="73">
        <f>SUM(AE$2:AE1151)</f>
        <v>969596.75701470301</v>
      </c>
      <c r="AG1151" s="73">
        <f t="shared" si="314"/>
        <v>204133.14541240619</v>
      </c>
    </row>
    <row r="1152" spans="1:33" x14ac:dyDescent="0.25">
      <c r="A1152" s="100">
        <v>202899.92</v>
      </c>
      <c r="B1152" s="97">
        <v>838.71849999999995</v>
      </c>
      <c r="C1152" s="97">
        <v>0.6</v>
      </c>
      <c r="D1152" s="80">
        <f t="shared" si="315"/>
        <v>100</v>
      </c>
      <c r="E1152" s="81">
        <f t="shared" si="307"/>
        <v>6791.2436711181272</v>
      </c>
      <c r="F1152" s="81">
        <f>SUM(E$2:E1152)</f>
        <v>7254485.2477565892</v>
      </c>
      <c r="G1152" s="43">
        <f t="shared" si="305"/>
        <v>1</v>
      </c>
      <c r="H1152" s="78">
        <v>1</v>
      </c>
      <c r="I1152" s="15">
        <f t="shared" si="308"/>
        <v>0.6</v>
      </c>
      <c r="J1152" s="16">
        <f>VLOOKUP(G1152,Inputs!$L$3:$P$15,5,FALSE)</f>
        <v>2000</v>
      </c>
      <c r="K1152" s="16">
        <f t="shared" si="309"/>
        <v>1825</v>
      </c>
      <c r="L1152" s="79">
        <f>Inputs!$P$8-B1152</f>
        <v>99.472500000000082</v>
      </c>
      <c r="M1152" s="79">
        <f>Inputs!$Q$8+L1152*0.433</f>
        <v>1868.0715925</v>
      </c>
      <c r="N1152" s="82">
        <f t="shared" si="310"/>
        <v>202899.92</v>
      </c>
      <c r="O1152" s="83">
        <f t="shared" si="311"/>
        <v>838.71849999999995</v>
      </c>
      <c r="P1152" s="84">
        <f>IF(O1152="","",Inputs!$C$5-O1152)</f>
        <v>-13.533999999999992</v>
      </c>
      <c r="Q1152" s="83">
        <f>IF(N1152="","",TS!J1152)</f>
        <v>2000</v>
      </c>
      <c r="R1152" s="83">
        <f>IF(N1152="","",TS!K1152)</f>
        <v>1825</v>
      </c>
      <c r="S1152" s="83">
        <f>Inputs!$H$5+TS!P1152*0.4333</f>
        <v>1869.10143425</v>
      </c>
      <c r="T1152" s="83">
        <f>Inputs!$G$5+TS!P1152*0.4333</f>
        <v>1884.10143425</v>
      </c>
      <c r="U1152" s="85">
        <f t="shared" si="312"/>
        <v>0.94205071712499999</v>
      </c>
      <c r="V1152" s="86">
        <f t="shared" si="316"/>
        <v>0</v>
      </c>
      <c r="W1152" s="86">
        <f t="shared" si="317"/>
        <v>0</v>
      </c>
      <c r="X1152" s="86" t="e">
        <f>((PI()*((42-2*'Gen Calcs'!$E$13)^2)/4)/144)*(A1195-#REF!)*(W1152+14.7)/14.7</f>
        <v>#REF!</v>
      </c>
      <c r="Y1152" s="86" t="e">
        <f t="shared" si="318"/>
        <v>#REF!</v>
      </c>
      <c r="Z1152" s="86" t="e">
        <f t="shared" si="319"/>
        <v>#REF!</v>
      </c>
      <c r="AA1152" s="83">
        <f>MAX(B$2:B1152)-B1152</f>
        <v>99.472500000000082</v>
      </c>
      <c r="AB1152" s="83">
        <f t="shared" si="320"/>
        <v>43.071592500000037</v>
      </c>
      <c r="AC1152" s="83">
        <f t="shared" si="306"/>
        <v>120</v>
      </c>
      <c r="AD1152" s="72">
        <v>120</v>
      </c>
      <c r="AE1152" s="73">
        <f t="shared" si="313"/>
        <v>907.92027688745009</v>
      </c>
      <c r="AF1152" s="73">
        <f>SUM(AE$2:AE1152)</f>
        <v>970504.67729159049</v>
      </c>
      <c r="AG1152" s="73">
        <f t="shared" si="314"/>
        <v>203225.2251355187</v>
      </c>
    </row>
    <row r="1153" spans="1:33" x14ac:dyDescent="0.25">
      <c r="A1153" s="99">
        <v>202999.92</v>
      </c>
      <c r="B1153" s="96">
        <v>837.74400000000003</v>
      </c>
      <c r="C1153" s="96">
        <v>0.6</v>
      </c>
      <c r="D1153" s="80">
        <f t="shared" si="315"/>
        <v>100</v>
      </c>
      <c r="E1153" s="81">
        <f t="shared" si="307"/>
        <v>6791.2436711181272</v>
      </c>
      <c r="F1153" s="81">
        <f>SUM(E$2:E1153)</f>
        <v>7261276.4914277075</v>
      </c>
      <c r="G1153" s="43">
        <f t="shared" si="305"/>
        <v>1</v>
      </c>
      <c r="H1153" s="78">
        <v>1</v>
      </c>
      <c r="I1153" s="15">
        <f t="shared" si="308"/>
        <v>0.6</v>
      </c>
      <c r="J1153" s="16">
        <f>VLOOKUP(G1153,Inputs!$L$3:$P$15,5,FALSE)</f>
        <v>2000</v>
      </c>
      <c r="K1153" s="16">
        <f t="shared" si="309"/>
        <v>1825</v>
      </c>
      <c r="L1153" s="79">
        <f>Inputs!$P$8-B1153</f>
        <v>100.447</v>
      </c>
      <c r="M1153" s="79">
        <f>Inputs!$Q$8+L1153*0.433</f>
        <v>1868.493551</v>
      </c>
      <c r="N1153" s="82">
        <f t="shared" si="310"/>
        <v>202999.92</v>
      </c>
      <c r="O1153" s="83">
        <f t="shared" si="311"/>
        <v>837.74400000000003</v>
      </c>
      <c r="P1153" s="84">
        <f>IF(O1153="","",Inputs!$C$5-O1153)</f>
        <v>-12.559500000000071</v>
      </c>
      <c r="Q1153" s="83">
        <f>IF(N1153="","",TS!J1153)</f>
        <v>2000</v>
      </c>
      <c r="R1153" s="83">
        <f>IF(N1153="","",TS!K1153)</f>
        <v>1825</v>
      </c>
      <c r="S1153" s="83">
        <f>Inputs!$H$5+TS!P1153*0.4333</f>
        <v>1869.5236851</v>
      </c>
      <c r="T1153" s="83">
        <f>Inputs!$G$5+TS!P1153*0.4333</f>
        <v>1884.5236851</v>
      </c>
      <c r="U1153" s="85">
        <f t="shared" si="312"/>
        <v>0.94226184255000001</v>
      </c>
      <c r="V1153" s="86">
        <f t="shared" si="316"/>
        <v>0</v>
      </c>
      <c r="W1153" s="86">
        <f t="shared" si="317"/>
        <v>0</v>
      </c>
      <c r="X1153" s="86" t="e">
        <f>((PI()*((42-2*'Gen Calcs'!$E$13)^2)/4)/144)*(A1196-#REF!)*(W1153+14.7)/14.7</f>
        <v>#REF!</v>
      </c>
      <c r="Y1153" s="86" t="e">
        <f t="shared" si="318"/>
        <v>#REF!</v>
      </c>
      <c r="Z1153" s="86" t="e">
        <f t="shared" si="319"/>
        <v>#REF!</v>
      </c>
      <c r="AA1153" s="83">
        <f>MAX(B$2:B1153)-B1153</f>
        <v>100.447</v>
      </c>
      <c r="AB1153" s="83">
        <f t="shared" si="320"/>
        <v>43.493551000000004</v>
      </c>
      <c r="AC1153" s="83">
        <f t="shared" si="306"/>
        <v>120</v>
      </c>
      <c r="AD1153" s="72">
        <v>120</v>
      </c>
      <c r="AE1153" s="73">
        <f t="shared" si="313"/>
        <v>907.92027688745009</v>
      </c>
      <c r="AF1153" s="73">
        <f>SUM(AE$2:AE1153)</f>
        <v>971412.59756847797</v>
      </c>
      <c r="AG1153" s="73">
        <f t="shared" si="314"/>
        <v>202317.30485863122</v>
      </c>
    </row>
    <row r="1154" spans="1:33" x14ac:dyDescent="0.25">
      <c r="A1154" s="100">
        <v>203099.92</v>
      </c>
      <c r="B1154" s="97">
        <v>837.29250000000002</v>
      </c>
      <c r="C1154" s="97">
        <v>0.6</v>
      </c>
      <c r="D1154" s="80">
        <f t="shared" si="315"/>
        <v>100</v>
      </c>
      <c r="E1154" s="81">
        <f t="shared" si="307"/>
        <v>6791.2436711181272</v>
      </c>
      <c r="F1154" s="81">
        <f>SUM(E$2:E1154)</f>
        <v>7268067.7350988258</v>
      </c>
      <c r="G1154" s="43">
        <f t="shared" si="305"/>
        <v>1</v>
      </c>
      <c r="H1154" s="78">
        <v>1</v>
      </c>
      <c r="I1154" s="15">
        <f t="shared" si="308"/>
        <v>0.6</v>
      </c>
      <c r="J1154" s="16">
        <f>VLOOKUP(G1154,Inputs!$L$3:$P$15,5,FALSE)</f>
        <v>2000</v>
      </c>
      <c r="K1154" s="16">
        <f t="shared" si="309"/>
        <v>1825</v>
      </c>
      <c r="L1154" s="79">
        <f>Inputs!$P$8-B1154</f>
        <v>100.89850000000001</v>
      </c>
      <c r="M1154" s="79">
        <f>Inputs!$Q$8+L1154*0.433</f>
        <v>1868.6890505000001</v>
      </c>
      <c r="N1154" s="82">
        <f t="shared" si="310"/>
        <v>203099.92</v>
      </c>
      <c r="O1154" s="83">
        <f t="shared" si="311"/>
        <v>837.29250000000002</v>
      </c>
      <c r="P1154" s="84">
        <f>IF(O1154="","",Inputs!$C$5-O1154)</f>
        <v>-12.108000000000061</v>
      </c>
      <c r="Q1154" s="83">
        <f>IF(N1154="","",TS!J1154)</f>
        <v>2000</v>
      </c>
      <c r="R1154" s="83">
        <f>IF(N1154="","",TS!K1154)</f>
        <v>1825</v>
      </c>
      <c r="S1154" s="83">
        <f>Inputs!$H$5+TS!P1154*0.4333</f>
        <v>1869.7193200499999</v>
      </c>
      <c r="T1154" s="83">
        <f>Inputs!$G$5+TS!P1154*0.4333</f>
        <v>1884.7193200499999</v>
      </c>
      <c r="U1154" s="85">
        <f t="shared" si="312"/>
        <v>0.94235966002499993</v>
      </c>
      <c r="V1154" s="86">
        <f t="shared" si="316"/>
        <v>0</v>
      </c>
      <c r="W1154" s="86">
        <f t="shared" si="317"/>
        <v>0</v>
      </c>
      <c r="X1154" s="86" t="e">
        <f>((PI()*((42-2*'Gen Calcs'!$E$13)^2)/4)/144)*(A1197-#REF!)*(W1154+14.7)/14.7</f>
        <v>#REF!</v>
      </c>
      <c r="Y1154" s="86" t="e">
        <f t="shared" si="318"/>
        <v>#REF!</v>
      </c>
      <c r="Z1154" s="86" t="e">
        <f t="shared" si="319"/>
        <v>#REF!</v>
      </c>
      <c r="AA1154" s="83">
        <f>MAX(B$2:B1154)-B1154</f>
        <v>100.89850000000001</v>
      </c>
      <c r="AB1154" s="83">
        <f t="shared" si="320"/>
        <v>43.689050500000008</v>
      </c>
      <c r="AC1154" s="83">
        <f t="shared" si="306"/>
        <v>120</v>
      </c>
      <c r="AD1154" s="72">
        <v>120</v>
      </c>
      <c r="AE1154" s="73">
        <f t="shared" si="313"/>
        <v>907.92027688745009</v>
      </c>
      <c r="AF1154" s="73">
        <f>SUM(AE$2:AE1154)</f>
        <v>972320.51784536545</v>
      </c>
      <c r="AG1154" s="73">
        <f t="shared" si="314"/>
        <v>201409.38458174374</v>
      </c>
    </row>
    <row r="1155" spans="1:33" x14ac:dyDescent="0.25">
      <c r="A1155" s="99">
        <v>203199.92</v>
      </c>
      <c r="B1155" s="96">
        <v>837.04449999999997</v>
      </c>
      <c r="C1155" s="96">
        <v>0.6</v>
      </c>
      <c r="D1155" s="80">
        <f t="shared" si="315"/>
        <v>100</v>
      </c>
      <c r="E1155" s="81">
        <f t="shared" si="307"/>
        <v>6791.2436711181272</v>
      </c>
      <c r="F1155" s="81">
        <f>SUM(E$2:E1155)</f>
        <v>7274858.978769944</v>
      </c>
      <c r="G1155" s="43">
        <f t="shared" ref="G1155:G1218" si="321">IF(C1155=0.72,12,IF(C1155=1,11,IF(C1155=0.825,10,IF(C1155=0.6,1,IF(C1155=0.864,2,IF(C1155=0.888,3))))))</f>
        <v>1</v>
      </c>
      <c r="H1155" s="78">
        <v>1</v>
      </c>
      <c r="I1155" s="15">
        <f t="shared" si="308"/>
        <v>0.6</v>
      </c>
      <c r="J1155" s="16">
        <f>VLOOKUP(G1155,Inputs!$L$3:$P$15,5,FALSE)</f>
        <v>2000</v>
      </c>
      <c r="K1155" s="16">
        <f t="shared" si="309"/>
        <v>1825</v>
      </c>
      <c r="L1155" s="79">
        <f>Inputs!$P$8-B1155</f>
        <v>101.14650000000006</v>
      </c>
      <c r="M1155" s="79">
        <f>Inputs!$Q$8+L1155*0.433</f>
        <v>1868.7964345</v>
      </c>
      <c r="N1155" s="82">
        <f t="shared" si="310"/>
        <v>203199.92</v>
      </c>
      <c r="O1155" s="83">
        <f t="shared" si="311"/>
        <v>837.04449999999997</v>
      </c>
      <c r="P1155" s="84">
        <f>IF(O1155="","",Inputs!$C$5-O1155)</f>
        <v>-11.860000000000014</v>
      </c>
      <c r="Q1155" s="83">
        <f>IF(N1155="","",TS!J1155)</f>
        <v>2000</v>
      </c>
      <c r="R1155" s="83">
        <f>IF(N1155="","",TS!K1155)</f>
        <v>1825</v>
      </c>
      <c r="S1155" s="83">
        <f>Inputs!$H$5+TS!P1155*0.4333</f>
        <v>1869.8267784499999</v>
      </c>
      <c r="T1155" s="83">
        <f>Inputs!$G$5+TS!P1155*0.4333</f>
        <v>1884.8267784499999</v>
      </c>
      <c r="U1155" s="85">
        <f t="shared" si="312"/>
        <v>0.94241338922499995</v>
      </c>
      <c r="V1155" s="86">
        <f t="shared" si="316"/>
        <v>0</v>
      </c>
      <c r="W1155" s="86">
        <f t="shared" si="317"/>
        <v>0</v>
      </c>
      <c r="X1155" s="86" t="e">
        <f>((PI()*((42-2*'Gen Calcs'!$E$13)^2)/4)/144)*(A1198-#REF!)*(W1155+14.7)/14.7</f>
        <v>#REF!</v>
      </c>
      <c r="Y1155" s="86" t="e">
        <f t="shared" si="318"/>
        <v>#REF!</v>
      </c>
      <c r="Z1155" s="86" t="e">
        <f t="shared" si="319"/>
        <v>#REF!</v>
      </c>
      <c r="AA1155" s="83">
        <f>MAX(B$2:B1155)-B1155</f>
        <v>101.14650000000006</v>
      </c>
      <c r="AB1155" s="83">
        <f t="shared" si="320"/>
        <v>43.796434500000025</v>
      </c>
      <c r="AC1155" s="83">
        <f t="shared" ref="AC1155:AC1218" si="322">((MAX(O$2:O$1348)-O1155)-(MAX(O$2:O$1348)-O1155))*0.433+AD1155</f>
        <v>120</v>
      </c>
      <c r="AD1155" s="72">
        <v>120</v>
      </c>
      <c r="AE1155" s="73">
        <f t="shared" si="313"/>
        <v>907.92027688745009</v>
      </c>
      <c r="AF1155" s="73">
        <f>SUM(AE$2:AE1155)</f>
        <v>973228.43812225293</v>
      </c>
      <c r="AG1155" s="73">
        <f t="shared" si="314"/>
        <v>200501.46430485626</v>
      </c>
    </row>
    <row r="1156" spans="1:33" x14ac:dyDescent="0.25">
      <c r="A1156" s="100">
        <v>203299.92</v>
      </c>
      <c r="B1156" s="97">
        <v>837.34270000000004</v>
      </c>
      <c r="C1156" s="97">
        <v>0.6</v>
      </c>
      <c r="D1156" s="80">
        <f t="shared" si="315"/>
        <v>100</v>
      </c>
      <c r="E1156" s="81">
        <f t="shared" si="307"/>
        <v>6791.2436711181272</v>
      </c>
      <c r="F1156" s="81">
        <f>SUM(E$2:E1156)</f>
        <v>7281650.2224410623</v>
      </c>
      <c r="G1156" s="43">
        <f t="shared" si="321"/>
        <v>1</v>
      </c>
      <c r="H1156" s="78">
        <v>1</v>
      </c>
      <c r="I1156" s="15">
        <f t="shared" si="308"/>
        <v>0.6</v>
      </c>
      <c r="J1156" s="16">
        <f>VLOOKUP(G1156,Inputs!$L$3:$P$15,5,FALSE)</f>
        <v>2000</v>
      </c>
      <c r="K1156" s="16">
        <f t="shared" si="309"/>
        <v>1825</v>
      </c>
      <c r="L1156" s="79">
        <f>Inputs!$P$8-B1156</f>
        <v>100.84829999999999</v>
      </c>
      <c r="M1156" s="79">
        <f>Inputs!$Q$8+L1156*0.433</f>
        <v>1868.6673139</v>
      </c>
      <c r="N1156" s="82">
        <f t="shared" si="310"/>
        <v>203299.92</v>
      </c>
      <c r="O1156" s="83">
        <f t="shared" si="311"/>
        <v>837.34270000000004</v>
      </c>
      <c r="P1156" s="84">
        <f>IF(O1156="","",Inputs!$C$5-O1156)</f>
        <v>-12.158200000000079</v>
      </c>
      <c r="Q1156" s="83">
        <f>IF(N1156="","",TS!J1156)</f>
        <v>2000</v>
      </c>
      <c r="R1156" s="83">
        <f>IF(N1156="","",TS!K1156)</f>
        <v>1825</v>
      </c>
      <c r="S1156" s="83">
        <f>Inputs!$H$5+TS!P1156*0.4333</f>
        <v>1869.69756839</v>
      </c>
      <c r="T1156" s="83">
        <f>Inputs!$G$5+TS!P1156*0.4333</f>
        <v>1884.69756839</v>
      </c>
      <c r="U1156" s="85">
        <f t="shared" si="312"/>
        <v>0.94234878419500001</v>
      </c>
      <c r="V1156" s="86">
        <f t="shared" si="316"/>
        <v>0</v>
      </c>
      <c r="W1156" s="86">
        <f t="shared" si="317"/>
        <v>0</v>
      </c>
      <c r="X1156" s="86" t="e">
        <f>((PI()*((42-2*'Gen Calcs'!$E$13)^2)/4)/144)*(A1199-#REF!)*(W1156+14.7)/14.7</f>
        <v>#REF!</v>
      </c>
      <c r="Y1156" s="86" t="e">
        <f t="shared" si="318"/>
        <v>#REF!</v>
      </c>
      <c r="Z1156" s="86" t="e">
        <f t="shared" si="319"/>
        <v>#REF!</v>
      </c>
      <c r="AA1156" s="83">
        <f>MAX(B$2:B1156)-B1156</f>
        <v>100.84829999999999</v>
      </c>
      <c r="AB1156" s="83">
        <f t="shared" si="320"/>
        <v>43.667313899999996</v>
      </c>
      <c r="AC1156" s="83">
        <f t="shared" si="322"/>
        <v>120</v>
      </c>
      <c r="AD1156" s="72">
        <v>120</v>
      </c>
      <c r="AE1156" s="73">
        <f t="shared" si="313"/>
        <v>907.92027688745009</v>
      </c>
      <c r="AF1156" s="73">
        <f>SUM(AE$2:AE1156)</f>
        <v>974136.35839914042</v>
      </c>
      <c r="AG1156" s="73">
        <f t="shared" si="314"/>
        <v>199593.54402796878</v>
      </c>
    </row>
    <row r="1157" spans="1:33" x14ac:dyDescent="0.25">
      <c r="A1157" s="99">
        <v>203399.92</v>
      </c>
      <c r="B1157" s="96">
        <v>838.32</v>
      </c>
      <c r="C1157" s="96">
        <v>0.6</v>
      </c>
      <c r="D1157" s="80">
        <f t="shared" si="315"/>
        <v>100</v>
      </c>
      <c r="E1157" s="81">
        <f t="shared" ref="E1157:E1220" si="323">(PI()/4*(42/12-(2*C1199/12))^2)*(D1157)*7.48</f>
        <v>6791.2436711181272</v>
      </c>
      <c r="F1157" s="81">
        <f>SUM(E$2:E1157)</f>
        <v>7288441.4661121806</v>
      </c>
      <c r="G1157" s="43">
        <f t="shared" si="321"/>
        <v>1</v>
      </c>
      <c r="H1157" s="78">
        <v>1</v>
      </c>
      <c r="I1157" s="15">
        <f t="shared" ref="I1157:I1220" si="324">C1157</f>
        <v>0.6</v>
      </c>
      <c r="J1157" s="16">
        <f>VLOOKUP(G1157,Inputs!$L$3:$P$15,5,FALSE)</f>
        <v>2000</v>
      </c>
      <c r="K1157" s="16">
        <f t="shared" ref="K1157:K1220" si="325">IF(H1157=1,1825,IF(H1157=2,1825,2220))</f>
        <v>1825</v>
      </c>
      <c r="L1157" s="79">
        <f>Inputs!$P$8-B1157</f>
        <v>99.870999999999981</v>
      </c>
      <c r="M1157" s="79">
        <f>Inputs!$Q$8+L1157*0.433</f>
        <v>1868.2441429999999</v>
      </c>
      <c r="N1157" s="82">
        <f t="shared" ref="N1157:N1220" si="326">A1157</f>
        <v>203399.92</v>
      </c>
      <c r="O1157" s="83">
        <f t="shared" ref="O1157:O1220" si="327">B1157</f>
        <v>838.32</v>
      </c>
      <c r="P1157" s="84">
        <f>IF(O1157="","",Inputs!$C$5-O1157)</f>
        <v>-13.135500000000093</v>
      </c>
      <c r="Q1157" s="83">
        <f>IF(N1157="","",TS!J1157)</f>
        <v>2000</v>
      </c>
      <c r="R1157" s="83">
        <f>IF(N1157="","",TS!K1157)</f>
        <v>1825</v>
      </c>
      <c r="S1157" s="83">
        <f>Inputs!$H$5+TS!P1157*0.4333</f>
        <v>1869.2741042999999</v>
      </c>
      <c r="T1157" s="83">
        <f>Inputs!$G$5+TS!P1157*0.4333</f>
        <v>1884.2741042999999</v>
      </c>
      <c r="U1157" s="85">
        <f t="shared" ref="U1157:U1220" si="328">T1157/(140000*C1157/42)</f>
        <v>0.94213705214999988</v>
      </c>
      <c r="V1157" s="86">
        <f t="shared" si="316"/>
        <v>0</v>
      </c>
      <c r="W1157" s="86">
        <f t="shared" si="317"/>
        <v>0</v>
      </c>
      <c r="X1157" s="86" t="e">
        <f>((PI()*((42-2*'Gen Calcs'!$E$13)^2)/4)/144)*(A1200-#REF!)*(W1157+14.7)/14.7</f>
        <v>#REF!</v>
      </c>
      <c r="Y1157" s="86" t="e">
        <f t="shared" si="318"/>
        <v>#REF!</v>
      </c>
      <c r="Z1157" s="86" t="e">
        <f t="shared" si="319"/>
        <v>#REF!</v>
      </c>
      <c r="AA1157" s="83">
        <f>MAX(B$2:B1157)-B1157</f>
        <v>99.870999999999981</v>
      </c>
      <c r="AB1157" s="83">
        <f t="shared" si="320"/>
        <v>43.244142999999994</v>
      </c>
      <c r="AC1157" s="83">
        <f t="shared" si="322"/>
        <v>120</v>
      </c>
      <c r="AD1157" s="72">
        <v>120</v>
      </c>
      <c r="AE1157" s="73">
        <f t="shared" ref="AE1157:AE1220" si="329">PI()*(((42-2*C1157)/12)^2/4)*D1157</f>
        <v>907.92027688745009</v>
      </c>
      <c r="AF1157" s="73">
        <f>SUM(AE$2:AE1157)</f>
        <v>975044.2786760279</v>
      </c>
      <c r="AG1157" s="73">
        <f t="shared" ref="AG1157:AG1220" si="330">AF$1391-AF1157</f>
        <v>198685.62375108129</v>
      </c>
    </row>
    <row r="1158" spans="1:33" x14ac:dyDescent="0.25">
      <c r="A1158" s="100">
        <v>203499.92</v>
      </c>
      <c r="B1158" s="97">
        <v>839.71090000000004</v>
      </c>
      <c r="C1158" s="97">
        <v>0.6</v>
      </c>
      <c r="D1158" s="80">
        <f t="shared" si="315"/>
        <v>100</v>
      </c>
      <c r="E1158" s="81">
        <f t="shared" si="323"/>
        <v>6791.2436711181272</v>
      </c>
      <c r="F1158" s="81">
        <f>SUM(E$2:E1158)</f>
        <v>7295232.7097832989</v>
      </c>
      <c r="G1158" s="43">
        <f t="shared" si="321"/>
        <v>1</v>
      </c>
      <c r="H1158" s="78">
        <v>1</v>
      </c>
      <c r="I1158" s="15">
        <f t="shared" si="324"/>
        <v>0.6</v>
      </c>
      <c r="J1158" s="16">
        <f>VLOOKUP(G1158,Inputs!$L$3:$P$15,5,FALSE)</f>
        <v>2000</v>
      </c>
      <c r="K1158" s="16">
        <f t="shared" si="325"/>
        <v>1825</v>
      </c>
      <c r="L1158" s="79">
        <f>Inputs!$P$8-B1158</f>
        <v>98.480099999999993</v>
      </c>
      <c r="M1158" s="79">
        <f>Inputs!$Q$8+L1158*0.433</f>
        <v>1867.6418833</v>
      </c>
      <c r="N1158" s="82">
        <f t="shared" si="326"/>
        <v>203499.92</v>
      </c>
      <c r="O1158" s="83">
        <f t="shared" si="327"/>
        <v>839.71090000000004</v>
      </c>
      <c r="P1158" s="84">
        <f>IF(O1158="","",Inputs!$C$5-O1158)</f>
        <v>-14.526400000000081</v>
      </c>
      <c r="Q1158" s="83">
        <f>IF(N1158="","",TS!J1158)</f>
        <v>2000</v>
      </c>
      <c r="R1158" s="83">
        <f>IF(N1158="","",TS!K1158)</f>
        <v>1825</v>
      </c>
      <c r="S1158" s="83">
        <f>Inputs!$H$5+TS!P1158*0.4333</f>
        <v>1868.6714273299999</v>
      </c>
      <c r="T1158" s="83">
        <f>Inputs!$G$5+TS!P1158*0.4333</f>
        <v>1883.6714273299999</v>
      </c>
      <c r="U1158" s="85">
        <f t="shared" si="328"/>
        <v>0.94183571366499996</v>
      </c>
      <c r="V1158" s="86">
        <f t="shared" si="316"/>
        <v>0</v>
      </c>
      <c r="W1158" s="86">
        <f t="shared" si="317"/>
        <v>0</v>
      </c>
      <c r="X1158" s="86" t="e">
        <f>((PI()*((42-2*'Gen Calcs'!$E$13)^2)/4)/144)*(A1201-#REF!)*(W1158+14.7)/14.7</f>
        <v>#REF!</v>
      </c>
      <c r="Y1158" s="86" t="e">
        <f t="shared" si="318"/>
        <v>#REF!</v>
      </c>
      <c r="Z1158" s="86" t="e">
        <f t="shared" si="319"/>
        <v>#REF!</v>
      </c>
      <c r="AA1158" s="83">
        <f>MAX(B$2:B1158)-B1158</f>
        <v>98.480099999999993</v>
      </c>
      <c r="AB1158" s="83">
        <f t="shared" si="320"/>
        <v>42.641883299999996</v>
      </c>
      <c r="AC1158" s="83">
        <f t="shared" si="322"/>
        <v>120</v>
      </c>
      <c r="AD1158" s="72">
        <v>120</v>
      </c>
      <c r="AE1158" s="73">
        <f t="shared" si="329"/>
        <v>907.92027688745009</v>
      </c>
      <c r="AF1158" s="73">
        <f>SUM(AE$2:AE1158)</f>
        <v>975952.19895291538</v>
      </c>
      <c r="AG1158" s="73">
        <f t="shared" si="330"/>
        <v>197777.70347419381</v>
      </c>
    </row>
    <row r="1159" spans="1:33" x14ac:dyDescent="0.25">
      <c r="A1159" s="99">
        <v>203599.92</v>
      </c>
      <c r="B1159" s="96">
        <v>841.09529999999995</v>
      </c>
      <c r="C1159" s="96">
        <v>0.6</v>
      </c>
      <c r="D1159" s="80">
        <f t="shared" si="315"/>
        <v>100</v>
      </c>
      <c r="E1159" s="81">
        <f t="shared" si="323"/>
        <v>6791.2436711181272</v>
      </c>
      <c r="F1159" s="81">
        <f>SUM(E$2:E1159)</f>
        <v>7302023.9534544172</v>
      </c>
      <c r="G1159" s="43">
        <f t="shared" si="321"/>
        <v>1</v>
      </c>
      <c r="H1159" s="78">
        <v>1</v>
      </c>
      <c r="I1159" s="15">
        <f t="shared" si="324"/>
        <v>0.6</v>
      </c>
      <c r="J1159" s="16">
        <f>VLOOKUP(G1159,Inputs!$L$3:$P$15,5,FALSE)</f>
        <v>2000</v>
      </c>
      <c r="K1159" s="16">
        <f t="shared" si="325"/>
        <v>1825</v>
      </c>
      <c r="L1159" s="79">
        <f>Inputs!$P$8-B1159</f>
        <v>97.095700000000079</v>
      </c>
      <c r="M1159" s="79">
        <f>Inputs!$Q$8+L1159*0.433</f>
        <v>1867.0424381</v>
      </c>
      <c r="N1159" s="82">
        <f t="shared" si="326"/>
        <v>203599.92</v>
      </c>
      <c r="O1159" s="83">
        <f t="shared" si="327"/>
        <v>841.09529999999995</v>
      </c>
      <c r="P1159" s="84">
        <f>IF(O1159="","",Inputs!$C$5-O1159)</f>
        <v>-15.910799999999995</v>
      </c>
      <c r="Q1159" s="83">
        <f>IF(N1159="","",TS!J1159)</f>
        <v>2000</v>
      </c>
      <c r="R1159" s="83">
        <f>IF(N1159="","",TS!K1159)</f>
        <v>1825</v>
      </c>
      <c r="S1159" s="83">
        <f>Inputs!$H$5+TS!P1159*0.4333</f>
        <v>1868.0715668099999</v>
      </c>
      <c r="T1159" s="83">
        <f>Inputs!$G$5+TS!P1159*0.4333</f>
        <v>1883.0715668099999</v>
      </c>
      <c r="U1159" s="85">
        <f t="shared" si="328"/>
        <v>0.94153578340499999</v>
      </c>
      <c r="V1159" s="86">
        <f t="shared" si="316"/>
        <v>0</v>
      </c>
      <c r="W1159" s="86">
        <f t="shared" si="317"/>
        <v>0</v>
      </c>
      <c r="X1159" s="86" t="e">
        <f>((PI()*((42-2*'Gen Calcs'!$E$13)^2)/4)/144)*(A1202-#REF!)*(W1159+14.7)/14.7</f>
        <v>#REF!</v>
      </c>
      <c r="Y1159" s="86" t="e">
        <f t="shared" si="318"/>
        <v>#REF!</v>
      </c>
      <c r="Z1159" s="86" t="e">
        <f t="shared" si="319"/>
        <v>#REF!</v>
      </c>
      <c r="AA1159" s="83">
        <f>MAX(B$2:B1159)-B1159</f>
        <v>97.095700000000079</v>
      </c>
      <c r="AB1159" s="83">
        <f t="shared" si="320"/>
        <v>42.042438100000034</v>
      </c>
      <c r="AC1159" s="83">
        <f t="shared" si="322"/>
        <v>120</v>
      </c>
      <c r="AD1159" s="72">
        <v>120</v>
      </c>
      <c r="AE1159" s="73">
        <f t="shared" si="329"/>
        <v>907.92027688745009</v>
      </c>
      <c r="AF1159" s="73">
        <f>SUM(AE$2:AE1159)</f>
        <v>976860.11922980286</v>
      </c>
      <c r="AG1159" s="73">
        <f t="shared" si="330"/>
        <v>196869.78319730633</v>
      </c>
    </row>
    <row r="1160" spans="1:33" x14ac:dyDescent="0.25">
      <c r="A1160" s="100">
        <v>203699.92</v>
      </c>
      <c r="B1160" s="97">
        <v>841.49860000000001</v>
      </c>
      <c r="C1160" s="97">
        <v>0.6</v>
      </c>
      <c r="D1160" s="80">
        <f t="shared" si="315"/>
        <v>100</v>
      </c>
      <c r="E1160" s="81">
        <f t="shared" si="323"/>
        <v>6791.2436711181272</v>
      </c>
      <c r="F1160" s="81">
        <f>SUM(E$2:E1160)</f>
        <v>7308815.1971255355</v>
      </c>
      <c r="G1160" s="43">
        <f t="shared" si="321"/>
        <v>1</v>
      </c>
      <c r="H1160" s="78">
        <v>1</v>
      </c>
      <c r="I1160" s="15">
        <f t="shared" si="324"/>
        <v>0.6</v>
      </c>
      <c r="J1160" s="16">
        <f>VLOOKUP(G1160,Inputs!$L$3:$P$15,5,FALSE)</f>
        <v>2000</v>
      </c>
      <c r="K1160" s="16">
        <f t="shared" si="325"/>
        <v>1825</v>
      </c>
      <c r="L1160" s="79">
        <f>Inputs!$P$8-B1160</f>
        <v>96.692400000000021</v>
      </c>
      <c r="M1160" s="79">
        <f>Inputs!$Q$8+L1160*0.433</f>
        <v>1866.8678092</v>
      </c>
      <c r="N1160" s="82">
        <f t="shared" si="326"/>
        <v>203699.92</v>
      </c>
      <c r="O1160" s="83">
        <f t="shared" si="327"/>
        <v>841.49860000000001</v>
      </c>
      <c r="P1160" s="84">
        <f>IF(O1160="","",Inputs!$C$5-O1160)</f>
        <v>-16.314100000000053</v>
      </c>
      <c r="Q1160" s="83">
        <f>IF(N1160="","",TS!J1160)</f>
        <v>2000</v>
      </c>
      <c r="R1160" s="83">
        <f>IF(N1160="","",TS!K1160)</f>
        <v>1825</v>
      </c>
      <c r="S1160" s="83">
        <f>Inputs!$H$5+TS!P1160*0.4333</f>
        <v>1867.89681692</v>
      </c>
      <c r="T1160" s="83">
        <f>Inputs!$G$5+TS!P1160*0.4333</f>
        <v>1882.89681692</v>
      </c>
      <c r="U1160" s="85">
        <f t="shared" si="328"/>
        <v>0.94144840846</v>
      </c>
      <c r="V1160" s="86">
        <f t="shared" si="316"/>
        <v>0</v>
      </c>
      <c r="W1160" s="86">
        <f t="shared" si="317"/>
        <v>0</v>
      </c>
      <c r="X1160" s="86" t="e">
        <f>((PI()*((42-2*'Gen Calcs'!$E$13)^2)/4)/144)*(A1203-#REF!)*(W1160+14.7)/14.7</f>
        <v>#REF!</v>
      </c>
      <c r="Y1160" s="86" t="e">
        <f t="shared" si="318"/>
        <v>#REF!</v>
      </c>
      <c r="Z1160" s="86" t="e">
        <f t="shared" si="319"/>
        <v>#REF!</v>
      </c>
      <c r="AA1160" s="83">
        <f>MAX(B$2:B1160)-B1160</f>
        <v>96.692400000000021</v>
      </c>
      <c r="AB1160" s="83">
        <f t="shared" si="320"/>
        <v>41.867809200000011</v>
      </c>
      <c r="AC1160" s="83">
        <f t="shared" si="322"/>
        <v>120</v>
      </c>
      <c r="AD1160" s="72">
        <v>120</v>
      </c>
      <c r="AE1160" s="73">
        <f t="shared" si="329"/>
        <v>907.92027688745009</v>
      </c>
      <c r="AF1160" s="73">
        <f>SUM(AE$2:AE1160)</f>
        <v>977768.03950669034</v>
      </c>
      <c r="AG1160" s="73">
        <f t="shared" si="330"/>
        <v>195961.86292041885</v>
      </c>
    </row>
    <row r="1161" spans="1:33" x14ac:dyDescent="0.25">
      <c r="A1161" s="99">
        <v>203799.92</v>
      </c>
      <c r="B1161" s="96">
        <v>840.03800000000001</v>
      </c>
      <c r="C1161" s="96">
        <v>0.6</v>
      </c>
      <c r="D1161" s="80">
        <f t="shared" si="315"/>
        <v>100</v>
      </c>
      <c r="E1161" s="81">
        <f t="shared" si="323"/>
        <v>6791.2436711181272</v>
      </c>
      <c r="F1161" s="81">
        <f>SUM(E$2:E1161)</f>
        <v>7315606.4407966537</v>
      </c>
      <c r="G1161" s="43">
        <f t="shared" si="321"/>
        <v>1</v>
      </c>
      <c r="H1161" s="78">
        <v>1</v>
      </c>
      <c r="I1161" s="15">
        <f t="shared" si="324"/>
        <v>0.6</v>
      </c>
      <c r="J1161" s="16">
        <f>VLOOKUP(G1161,Inputs!$L$3:$P$15,5,FALSE)</f>
        <v>2000</v>
      </c>
      <c r="K1161" s="16">
        <f t="shared" si="325"/>
        <v>1825</v>
      </c>
      <c r="L1161" s="79">
        <f>Inputs!$P$8-B1161</f>
        <v>98.15300000000002</v>
      </c>
      <c r="M1161" s="79">
        <f>Inputs!$Q$8+L1161*0.433</f>
        <v>1867.5002489999999</v>
      </c>
      <c r="N1161" s="82">
        <f t="shared" si="326"/>
        <v>203799.92</v>
      </c>
      <c r="O1161" s="83">
        <f t="shared" si="327"/>
        <v>840.03800000000001</v>
      </c>
      <c r="P1161" s="84">
        <f>IF(O1161="","",Inputs!$C$5-O1161)</f>
        <v>-14.853500000000054</v>
      </c>
      <c r="Q1161" s="83">
        <f>IF(N1161="","",TS!J1161)</f>
        <v>2000</v>
      </c>
      <c r="R1161" s="83">
        <f>IF(N1161="","",TS!K1161)</f>
        <v>1825</v>
      </c>
      <c r="S1161" s="83">
        <f>Inputs!$H$5+TS!P1161*0.4333</f>
        <v>1868.5296948999999</v>
      </c>
      <c r="T1161" s="83">
        <f>Inputs!$G$5+TS!P1161*0.4333</f>
        <v>1883.5296948999999</v>
      </c>
      <c r="U1161" s="85">
        <f t="shared" si="328"/>
        <v>0.94176484744999989</v>
      </c>
      <c r="V1161" s="86">
        <f t="shared" si="316"/>
        <v>0</v>
      </c>
      <c r="W1161" s="86">
        <f t="shared" si="317"/>
        <v>0</v>
      </c>
      <c r="X1161" s="86" t="e">
        <f>((PI()*((42-2*'Gen Calcs'!$E$13)^2)/4)/144)*(A1204-#REF!)*(W1161+14.7)/14.7</f>
        <v>#REF!</v>
      </c>
      <c r="Y1161" s="86" t="e">
        <f t="shared" si="318"/>
        <v>#REF!</v>
      </c>
      <c r="Z1161" s="86" t="e">
        <f t="shared" si="319"/>
        <v>#REF!</v>
      </c>
      <c r="AA1161" s="83">
        <f>MAX(B$2:B1161)-B1161</f>
        <v>98.15300000000002</v>
      </c>
      <c r="AB1161" s="83">
        <f t="shared" si="320"/>
        <v>42.500249000000011</v>
      </c>
      <c r="AC1161" s="83">
        <f t="shared" si="322"/>
        <v>120</v>
      </c>
      <c r="AD1161" s="72">
        <v>120</v>
      </c>
      <c r="AE1161" s="73">
        <f t="shared" si="329"/>
        <v>907.92027688745009</v>
      </c>
      <c r="AF1161" s="73">
        <f>SUM(AE$2:AE1161)</f>
        <v>978675.95978357783</v>
      </c>
      <c r="AG1161" s="73">
        <f t="shared" si="330"/>
        <v>195053.94264353137</v>
      </c>
    </row>
    <row r="1162" spans="1:33" x14ac:dyDescent="0.25">
      <c r="A1162" s="100">
        <v>203899.92</v>
      </c>
      <c r="B1162" s="97">
        <v>839.23059999999998</v>
      </c>
      <c r="C1162" s="97">
        <v>0.6</v>
      </c>
      <c r="D1162" s="80">
        <f t="shared" si="315"/>
        <v>100</v>
      </c>
      <c r="E1162" s="81">
        <f t="shared" si="323"/>
        <v>6791.2436711181272</v>
      </c>
      <c r="F1162" s="81">
        <f>SUM(E$2:E1162)</f>
        <v>7322397.684467772</v>
      </c>
      <c r="G1162" s="43">
        <f t="shared" si="321"/>
        <v>1</v>
      </c>
      <c r="H1162" s="78">
        <v>1</v>
      </c>
      <c r="I1162" s="15">
        <f t="shared" si="324"/>
        <v>0.6</v>
      </c>
      <c r="J1162" s="16">
        <f>VLOOKUP(G1162,Inputs!$L$3:$P$15,5,FALSE)</f>
        <v>2000</v>
      </c>
      <c r="K1162" s="16">
        <f t="shared" si="325"/>
        <v>1825</v>
      </c>
      <c r="L1162" s="79">
        <f>Inputs!$P$8-B1162</f>
        <v>98.96040000000005</v>
      </c>
      <c r="M1162" s="79">
        <f>Inputs!$Q$8+L1162*0.433</f>
        <v>1867.8498532000001</v>
      </c>
      <c r="N1162" s="82">
        <f t="shared" si="326"/>
        <v>203899.92</v>
      </c>
      <c r="O1162" s="83">
        <f t="shared" si="327"/>
        <v>839.23059999999998</v>
      </c>
      <c r="P1162" s="84">
        <f>IF(O1162="","",Inputs!$C$5-O1162)</f>
        <v>-14.046100000000024</v>
      </c>
      <c r="Q1162" s="83">
        <f>IF(N1162="","",TS!J1162)</f>
        <v>2000</v>
      </c>
      <c r="R1162" s="83">
        <f>IF(N1162="","",TS!K1162)</f>
        <v>1825</v>
      </c>
      <c r="S1162" s="83">
        <f>Inputs!$H$5+TS!P1162*0.4333</f>
        <v>1868.87954132</v>
      </c>
      <c r="T1162" s="83">
        <f>Inputs!$G$5+TS!P1162*0.4333</f>
        <v>1883.87954132</v>
      </c>
      <c r="U1162" s="85">
        <f t="shared" si="328"/>
        <v>0.94193977066000001</v>
      </c>
      <c r="V1162" s="86">
        <f t="shared" si="316"/>
        <v>0</v>
      </c>
      <c r="W1162" s="86">
        <f t="shared" si="317"/>
        <v>0</v>
      </c>
      <c r="X1162" s="86" t="e">
        <f>((PI()*((42-2*'Gen Calcs'!$E$13)^2)/4)/144)*(A1205-#REF!)*(W1162+14.7)/14.7</f>
        <v>#REF!</v>
      </c>
      <c r="Y1162" s="86" t="e">
        <f t="shared" si="318"/>
        <v>#REF!</v>
      </c>
      <c r="Z1162" s="86" t="e">
        <f t="shared" si="319"/>
        <v>#REF!</v>
      </c>
      <c r="AA1162" s="83">
        <f>MAX(B$2:B1162)-B1162</f>
        <v>98.96040000000005</v>
      </c>
      <c r="AB1162" s="83">
        <f t="shared" si="320"/>
        <v>42.84985320000002</v>
      </c>
      <c r="AC1162" s="83">
        <f t="shared" si="322"/>
        <v>120</v>
      </c>
      <c r="AD1162" s="72">
        <v>120</v>
      </c>
      <c r="AE1162" s="73">
        <f t="shared" si="329"/>
        <v>907.92027688745009</v>
      </c>
      <c r="AF1162" s="73">
        <f>SUM(AE$2:AE1162)</f>
        <v>979583.88006046531</v>
      </c>
      <c r="AG1162" s="73">
        <f t="shared" si="330"/>
        <v>194146.02236664388</v>
      </c>
    </row>
    <row r="1163" spans="1:33" x14ac:dyDescent="0.25">
      <c r="A1163" s="99">
        <v>203999.92</v>
      </c>
      <c r="B1163" s="96">
        <v>837.58720000000005</v>
      </c>
      <c r="C1163" s="96">
        <v>0.6</v>
      </c>
      <c r="D1163" s="80">
        <f t="shared" si="315"/>
        <v>100</v>
      </c>
      <c r="E1163" s="81">
        <f t="shared" si="323"/>
        <v>6791.2436711181272</v>
      </c>
      <c r="F1163" s="81">
        <f>SUM(E$2:E1163)</f>
        <v>7329188.9281388903</v>
      </c>
      <c r="G1163" s="43">
        <f t="shared" si="321"/>
        <v>1</v>
      </c>
      <c r="H1163" s="78">
        <v>1</v>
      </c>
      <c r="I1163" s="15">
        <f t="shared" si="324"/>
        <v>0.6</v>
      </c>
      <c r="J1163" s="16">
        <f>VLOOKUP(G1163,Inputs!$L$3:$P$15,5,FALSE)</f>
        <v>2000</v>
      </c>
      <c r="K1163" s="16">
        <f t="shared" si="325"/>
        <v>1825</v>
      </c>
      <c r="L1163" s="79">
        <f>Inputs!$P$8-B1163</f>
        <v>100.60379999999998</v>
      </c>
      <c r="M1163" s="79">
        <f>Inputs!$Q$8+L1163*0.433</f>
        <v>1868.5614453999999</v>
      </c>
      <c r="N1163" s="82">
        <f t="shared" si="326"/>
        <v>203999.92</v>
      </c>
      <c r="O1163" s="83">
        <f t="shared" si="327"/>
        <v>837.58720000000005</v>
      </c>
      <c r="P1163" s="84">
        <f>IF(O1163="","",Inputs!$C$5-O1163)</f>
        <v>-12.402700000000095</v>
      </c>
      <c r="Q1163" s="83">
        <f>IF(N1163="","",TS!J1163)</f>
        <v>2000</v>
      </c>
      <c r="R1163" s="83">
        <f>IF(N1163="","",TS!K1163)</f>
        <v>1825</v>
      </c>
      <c r="S1163" s="83">
        <f>Inputs!$H$5+TS!P1163*0.4333</f>
        <v>1869.5916265399999</v>
      </c>
      <c r="T1163" s="83">
        <f>Inputs!$G$5+TS!P1163*0.4333</f>
        <v>1884.5916265399999</v>
      </c>
      <c r="U1163" s="85">
        <f t="shared" si="328"/>
        <v>0.94229581326999989</v>
      </c>
      <c r="V1163" s="86">
        <f t="shared" si="316"/>
        <v>0</v>
      </c>
      <c r="W1163" s="86">
        <f t="shared" si="317"/>
        <v>0</v>
      </c>
      <c r="X1163" s="86" t="e">
        <f>((PI()*((42-2*'Gen Calcs'!$E$13)^2)/4)/144)*(A1206-#REF!)*(W1163+14.7)/14.7</f>
        <v>#REF!</v>
      </c>
      <c r="Y1163" s="86" t="e">
        <f t="shared" si="318"/>
        <v>#REF!</v>
      </c>
      <c r="Z1163" s="86" t="e">
        <f t="shared" si="319"/>
        <v>#REF!</v>
      </c>
      <c r="AA1163" s="83">
        <f>MAX(B$2:B1163)-B1163</f>
        <v>100.60379999999998</v>
      </c>
      <c r="AB1163" s="83">
        <f t="shared" si="320"/>
        <v>43.56144539999999</v>
      </c>
      <c r="AC1163" s="83">
        <f t="shared" si="322"/>
        <v>120</v>
      </c>
      <c r="AD1163" s="72">
        <v>120</v>
      </c>
      <c r="AE1163" s="73">
        <f t="shared" si="329"/>
        <v>907.92027688745009</v>
      </c>
      <c r="AF1163" s="73">
        <f>SUM(AE$2:AE1163)</f>
        <v>980491.80033735279</v>
      </c>
      <c r="AG1163" s="73">
        <f t="shared" si="330"/>
        <v>193238.1020897564</v>
      </c>
    </row>
    <row r="1164" spans="1:33" x14ac:dyDescent="0.25">
      <c r="A1164" s="100">
        <v>204099.92</v>
      </c>
      <c r="B1164" s="97">
        <v>833.72080000000005</v>
      </c>
      <c r="C1164" s="97">
        <v>0.6</v>
      </c>
      <c r="D1164" s="80">
        <f t="shared" si="315"/>
        <v>100</v>
      </c>
      <c r="E1164" s="81">
        <f t="shared" si="323"/>
        <v>6791.2436711181272</v>
      </c>
      <c r="F1164" s="81">
        <f>SUM(E$2:E1164)</f>
        <v>7335980.1718100086</v>
      </c>
      <c r="G1164" s="43">
        <f t="shared" si="321"/>
        <v>1</v>
      </c>
      <c r="H1164" s="78">
        <v>1</v>
      </c>
      <c r="I1164" s="15">
        <f t="shared" si="324"/>
        <v>0.6</v>
      </c>
      <c r="J1164" s="16">
        <f>VLOOKUP(G1164,Inputs!$L$3:$P$15,5,FALSE)</f>
        <v>2000</v>
      </c>
      <c r="K1164" s="16">
        <f t="shared" si="325"/>
        <v>1825</v>
      </c>
      <c r="L1164" s="79">
        <f>Inputs!$P$8-B1164</f>
        <v>104.47019999999998</v>
      </c>
      <c r="M1164" s="79">
        <f>Inputs!$Q$8+L1164*0.433</f>
        <v>1870.2355966</v>
      </c>
      <c r="N1164" s="82">
        <f t="shared" si="326"/>
        <v>204099.92</v>
      </c>
      <c r="O1164" s="83">
        <f t="shared" si="327"/>
        <v>833.72080000000005</v>
      </c>
      <c r="P1164" s="84">
        <f>IF(O1164="","",Inputs!$C$5-O1164)</f>
        <v>-8.5363000000000966</v>
      </c>
      <c r="Q1164" s="83">
        <f>IF(N1164="","",TS!J1164)</f>
        <v>2000</v>
      </c>
      <c r="R1164" s="83">
        <f>IF(N1164="","",TS!K1164)</f>
        <v>1825</v>
      </c>
      <c r="S1164" s="83">
        <f>Inputs!$H$5+TS!P1164*0.4333</f>
        <v>1871.2669376599999</v>
      </c>
      <c r="T1164" s="83">
        <f>Inputs!$G$5+TS!P1164*0.4333</f>
        <v>1886.2669376599999</v>
      </c>
      <c r="U1164" s="85">
        <f t="shared" si="328"/>
        <v>0.94313346882999993</v>
      </c>
      <c r="V1164" s="86">
        <f t="shared" si="316"/>
        <v>0</v>
      </c>
      <c r="W1164" s="86">
        <f t="shared" si="317"/>
        <v>0</v>
      </c>
      <c r="X1164" s="86" t="e">
        <f>((PI()*((42-2*'Gen Calcs'!$E$13)^2)/4)/144)*(A1207-#REF!)*(W1164+14.7)/14.7</f>
        <v>#REF!</v>
      </c>
      <c r="Y1164" s="86" t="e">
        <f t="shared" si="318"/>
        <v>#REF!</v>
      </c>
      <c r="Z1164" s="86" t="e">
        <f t="shared" si="319"/>
        <v>#REF!</v>
      </c>
      <c r="AA1164" s="83">
        <f>MAX(B$2:B1164)-B1164</f>
        <v>104.47019999999998</v>
      </c>
      <c r="AB1164" s="83">
        <f t="shared" si="320"/>
        <v>45.235596599999987</v>
      </c>
      <c r="AC1164" s="83">
        <f t="shared" si="322"/>
        <v>120</v>
      </c>
      <c r="AD1164" s="72">
        <v>120</v>
      </c>
      <c r="AE1164" s="73">
        <f t="shared" si="329"/>
        <v>907.92027688745009</v>
      </c>
      <c r="AF1164" s="73">
        <f>SUM(AE$2:AE1164)</f>
        <v>981399.72061424027</v>
      </c>
      <c r="AG1164" s="73">
        <f t="shared" si="330"/>
        <v>192330.18181286892</v>
      </c>
    </row>
    <row r="1165" spans="1:33" x14ac:dyDescent="0.25">
      <c r="A1165" s="99">
        <v>204199.92</v>
      </c>
      <c r="B1165" s="96">
        <v>829.89530000000002</v>
      </c>
      <c r="C1165" s="96">
        <v>0.6</v>
      </c>
      <c r="D1165" s="80">
        <f t="shared" si="315"/>
        <v>100</v>
      </c>
      <c r="E1165" s="81">
        <f t="shared" si="323"/>
        <v>6791.2436711181272</v>
      </c>
      <c r="F1165" s="81">
        <f>SUM(E$2:E1165)</f>
        <v>7342771.4154811269</v>
      </c>
      <c r="G1165" s="43">
        <f t="shared" si="321"/>
        <v>1</v>
      </c>
      <c r="H1165" s="78">
        <v>1</v>
      </c>
      <c r="I1165" s="15">
        <f t="shared" si="324"/>
        <v>0.6</v>
      </c>
      <c r="J1165" s="16">
        <f>VLOOKUP(G1165,Inputs!$L$3:$P$15,5,FALSE)</f>
        <v>2000</v>
      </c>
      <c r="K1165" s="16">
        <f t="shared" si="325"/>
        <v>1825</v>
      </c>
      <c r="L1165" s="79">
        <f>Inputs!$P$8-B1165</f>
        <v>108.29570000000001</v>
      </c>
      <c r="M1165" s="79">
        <f>Inputs!$Q$8+L1165*0.433</f>
        <v>1871.8920381</v>
      </c>
      <c r="N1165" s="82">
        <f t="shared" si="326"/>
        <v>204199.92</v>
      </c>
      <c r="O1165" s="83">
        <f t="shared" si="327"/>
        <v>829.89530000000002</v>
      </c>
      <c r="P1165" s="84">
        <f>IF(O1165="","",Inputs!$C$5-O1165)</f>
        <v>-4.7108000000000629</v>
      </c>
      <c r="Q1165" s="83">
        <f>IF(N1165="","",TS!J1165)</f>
        <v>2000</v>
      </c>
      <c r="R1165" s="83">
        <f>IF(N1165="","",TS!K1165)</f>
        <v>1825</v>
      </c>
      <c r="S1165" s="83">
        <f>Inputs!$H$5+TS!P1165*0.4333</f>
        <v>1872.9245268099999</v>
      </c>
      <c r="T1165" s="83">
        <f>Inputs!$G$5+TS!P1165*0.4333</f>
        <v>1887.9245268099999</v>
      </c>
      <c r="U1165" s="85">
        <f t="shared" si="328"/>
        <v>0.94396226340499989</v>
      </c>
      <c r="V1165" s="86">
        <f t="shared" si="316"/>
        <v>0</v>
      </c>
      <c r="W1165" s="86">
        <f t="shared" si="317"/>
        <v>0</v>
      </c>
      <c r="X1165" s="86" t="e">
        <f>((PI()*((42-2*'Gen Calcs'!$E$13)^2)/4)/144)*(A1208-#REF!)*(W1165+14.7)/14.7</f>
        <v>#REF!</v>
      </c>
      <c r="Y1165" s="86" t="e">
        <f t="shared" si="318"/>
        <v>#REF!</v>
      </c>
      <c r="Z1165" s="86" t="e">
        <f t="shared" si="319"/>
        <v>#REF!</v>
      </c>
      <c r="AA1165" s="83">
        <f>MAX(B$2:B1165)-B1165</f>
        <v>108.29570000000001</v>
      </c>
      <c r="AB1165" s="83">
        <f t="shared" si="320"/>
        <v>46.892038100000008</v>
      </c>
      <c r="AC1165" s="83">
        <f t="shared" si="322"/>
        <v>120</v>
      </c>
      <c r="AD1165" s="72">
        <v>120</v>
      </c>
      <c r="AE1165" s="73">
        <f t="shared" si="329"/>
        <v>907.92027688745009</v>
      </c>
      <c r="AF1165" s="73">
        <f>SUM(AE$2:AE1165)</f>
        <v>982307.64089112775</v>
      </c>
      <c r="AG1165" s="73">
        <f t="shared" si="330"/>
        <v>191422.26153598144</v>
      </c>
    </row>
    <row r="1166" spans="1:33" x14ac:dyDescent="0.25">
      <c r="A1166" s="100">
        <v>204299.92</v>
      </c>
      <c r="B1166" s="97">
        <v>828.85289999999998</v>
      </c>
      <c r="C1166" s="97">
        <v>0.6</v>
      </c>
      <c r="D1166" s="80">
        <f t="shared" si="315"/>
        <v>100</v>
      </c>
      <c r="E1166" s="81">
        <f t="shared" si="323"/>
        <v>6791.2436711181272</v>
      </c>
      <c r="F1166" s="81">
        <f>SUM(E$2:E1166)</f>
        <v>7349562.6591522451</v>
      </c>
      <c r="G1166" s="43">
        <f t="shared" si="321"/>
        <v>1</v>
      </c>
      <c r="H1166" s="78">
        <v>1</v>
      </c>
      <c r="I1166" s="15">
        <f t="shared" si="324"/>
        <v>0.6</v>
      </c>
      <c r="J1166" s="16">
        <f>VLOOKUP(G1166,Inputs!$L$3:$P$15,5,FALSE)</f>
        <v>2000</v>
      </c>
      <c r="K1166" s="16">
        <f t="shared" si="325"/>
        <v>1825</v>
      </c>
      <c r="L1166" s="79">
        <f>Inputs!$P$8-B1166</f>
        <v>109.33810000000005</v>
      </c>
      <c r="M1166" s="79">
        <f>Inputs!$Q$8+L1166*0.433</f>
        <v>1872.3433973000001</v>
      </c>
      <c r="N1166" s="82">
        <f t="shared" si="326"/>
        <v>204299.92</v>
      </c>
      <c r="O1166" s="83">
        <f t="shared" si="327"/>
        <v>828.85289999999998</v>
      </c>
      <c r="P1166" s="84">
        <f>IF(O1166="","",Inputs!$C$5-O1166)</f>
        <v>-3.6684000000000196</v>
      </c>
      <c r="Q1166" s="83">
        <f>IF(N1166="","",TS!J1166)</f>
        <v>2000</v>
      </c>
      <c r="R1166" s="83">
        <f>IF(N1166="","",TS!K1166)</f>
        <v>1825</v>
      </c>
      <c r="S1166" s="83">
        <f>Inputs!$H$5+TS!P1166*0.4333</f>
        <v>1873.3761987299999</v>
      </c>
      <c r="T1166" s="83">
        <f>Inputs!$G$5+TS!P1166*0.4333</f>
        <v>1888.3761987299999</v>
      </c>
      <c r="U1166" s="85">
        <f t="shared" si="328"/>
        <v>0.94418809936499992</v>
      </c>
      <c r="V1166" s="86">
        <f t="shared" si="316"/>
        <v>0</v>
      </c>
      <c r="W1166" s="86">
        <f t="shared" si="317"/>
        <v>0</v>
      </c>
      <c r="X1166" s="86" t="e">
        <f>((PI()*((42-2*'Gen Calcs'!$E$13)^2)/4)/144)*(A1209-#REF!)*(W1166+14.7)/14.7</f>
        <v>#REF!</v>
      </c>
      <c r="Y1166" s="86" t="e">
        <f t="shared" si="318"/>
        <v>#REF!</v>
      </c>
      <c r="Z1166" s="86" t="e">
        <f t="shared" si="319"/>
        <v>#REF!</v>
      </c>
      <c r="AA1166" s="83">
        <f>MAX(B$2:B1166)-B1166</f>
        <v>109.33810000000005</v>
      </c>
      <c r="AB1166" s="83">
        <f t="shared" si="320"/>
        <v>47.343397300000021</v>
      </c>
      <c r="AC1166" s="83">
        <f t="shared" si="322"/>
        <v>120</v>
      </c>
      <c r="AD1166" s="72">
        <v>120</v>
      </c>
      <c r="AE1166" s="73">
        <f t="shared" si="329"/>
        <v>907.92027688745009</v>
      </c>
      <c r="AF1166" s="73">
        <f>SUM(AE$2:AE1166)</f>
        <v>983215.56116801524</v>
      </c>
      <c r="AG1166" s="73">
        <f t="shared" si="330"/>
        <v>190514.34125909396</v>
      </c>
    </row>
    <row r="1167" spans="1:33" x14ac:dyDescent="0.25">
      <c r="A1167" s="99">
        <v>204399.92</v>
      </c>
      <c r="B1167" s="96">
        <v>828.88400000000001</v>
      </c>
      <c r="C1167" s="96">
        <v>0.6</v>
      </c>
      <c r="D1167" s="80">
        <f t="shared" si="315"/>
        <v>100</v>
      </c>
      <c r="E1167" s="81">
        <f t="shared" si="323"/>
        <v>6791.2436711181272</v>
      </c>
      <c r="F1167" s="81">
        <f>SUM(E$2:E1167)</f>
        <v>7356353.9028233634</v>
      </c>
      <c r="G1167" s="43">
        <f t="shared" si="321"/>
        <v>1</v>
      </c>
      <c r="H1167" s="78">
        <v>1</v>
      </c>
      <c r="I1167" s="15">
        <f t="shared" si="324"/>
        <v>0.6</v>
      </c>
      <c r="J1167" s="16">
        <f>VLOOKUP(G1167,Inputs!$L$3:$P$15,5,FALSE)</f>
        <v>2000</v>
      </c>
      <c r="K1167" s="16">
        <f t="shared" si="325"/>
        <v>1825</v>
      </c>
      <c r="L1167" s="79">
        <f>Inputs!$P$8-B1167</f>
        <v>109.30700000000002</v>
      </c>
      <c r="M1167" s="79">
        <f>Inputs!$Q$8+L1167*0.433</f>
        <v>1872.329931</v>
      </c>
      <c r="N1167" s="82">
        <f t="shared" si="326"/>
        <v>204399.92</v>
      </c>
      <c r="O1167" s="83">
        <f t="shared" si="327"/>
        <v>828.88400000000001</v>
      </c>
      <c r="P1167" s="84">
        <f>IF(O1167="","",Inputs!$C$5-O1167)</f>
        <v>-3.6995000000000573</v>
      </c>
      <c r="Q1167" s="83">
        <f>IF(N1167="","",TS!J1167)</f>
        <v>2000</v>
      </c>
      <c r="R1167" s="83">
        <f>IF(N1167="","",TS!K1167)</f>
        <v>1825</v>
      </c>
      <c r="S1167" s="83">
        <f>Inputs!$H$5+TS!P1167*0.4333</f>
        <v>1873.3627230999998</v>
      </c>
      <c r="T1167" s="83">
        <f>Inputs!$G$5+TS!P1167*0.4333</f>
        <v>1888.3627230999998</v>
      </c>
      <c r="U1167" s="85">
        <f t="shared" si="328"/>
        <v>0.94418136154999988</v>
      </c>
      <c r="V1167" s="86">
        <f t="shared" si="316"/>
        <v>0</v>
      </c>
      <c r="W1167" s="86">
        <f t="shared" si="317"/>
        <v>0</v>
      </c>
      <c r="X1167" s="86" t="e">
        <f>((PI()*((42-2*'Gen Calcs'!$E$13)^2)/4)/144)*(A1210-#REF!)*(W1167+14.7)/14.7</f>
        <v>#REF!</v>
      </c>
      <c r="Y1167" s="86" t="e">
        <f t="shared" si="318"/>
        <v>#REF!</v>
      </c>
      <c r="Z1167" s="86" t="e">
        <f t="shared" si="319"/>
        <v>#REF!</v>
      </c>
      <c r="AA1167" s="83">
        <f>MAX(B$2:B1167)-B1167</f>
        <v>109.30700000000002</v>
      </c>
      <c r="AB1167" s="83">
        <f t="shared" si="320"/>
        <v>47.329931000000009</v>
      </c>
      <c r="AC1167" s="83">
        <f t="shared" si="322"/>
        <v>120</v>
      </c>
      <c r="AD1167" s="72">
        <v>120</v>
      </c>
      <c r="AE1167" s="73">
        <f t="shared" si="329"/>
        <v>907.92027688745009</v>
      </c>
      <c r="AF1167" s="73">
        <f>SUM(AE$2:AE1167)</f>
        <v>984123.48144490272</v>
      </c>
      <c r="AG1167" s="73">
        <f t="shared" si="330"/>
        <v>189606.42098220647</v>
      </c>
    </row>
    <row r="1168" spans="1:33" x14ac:dyDescent="0.25">
      <c r="A1168" s="100">
        <v>204499.92</v>
      </c>
      <c r="B1168" s="97">
        <v>829.38900000000001</v>
      </c>
      <c r="C1168" s="97">
        <v>0.6</v>
      </c>
      <c r="D1168" s="80">
        <f t="shared" si="315"/>
        <v>100</v>
      </c>
      <c r="E1168" s="81">
        <f t="shared" si="323"/>
        <v>6791.2436711181272</v>
      </c>
      <c r="F1168" s="81">
        <f>SUM(E$2:E1168)</f>
        <v>7363145.1464944817</v>
      </c>
      <c r="G1168" s="43">
        <f t="shared" si="321"/>
        <v>1</v>
      </c>
      <c r="H1168" s="78">
        <v>1</v>
      </c>
      <c r="I1168" s="15">
        <f t="shared" si="324"/>
        <v>0.6</v>
      </c>
      <c r="J1168" s="16">
        <f>VLOOKUP(G1168,Inputs!$L$3:$P$15,5,FALSE)</f>
        <v>2000</v>
      </c>
      <c r="K1168" s="16">
        <f t="shared" si="325"/>
        <v>1825</v>
      </c>
      <c r="L1168" s="79">
        <f>Inputs!$P$8-B1168</f>
        <v>108.80200000000002</v>
      </c>
      <c r="M1168" s="79">
        <f>Inputs!$Q$8+L1168*0.433</f>
        <v>1872.1112660000001</v>
      </c>
      <c r="N1168" s="82">
        <f t="shared" si="326"/>
        <v>204499.92</v>
      </c>
      <c r="O1168" s="83">
        <f t="shared" si="327"/>
        <v>829.38900000000001</v>
      </c>
      <c r="P1168" s="84">
        <f>IF(O1168="","",Inputs!$C$5-O1168)</f>
        <v>-4.2045000000000528</v>
      </c>
      <c r="Q1168" s="83">
        <f>IF(N1168="","",TS!J1168)</f>
        <v>2000</v>
      </c>
      <c r="R1168" s="83">
        <f>IF(N1168="","",TS!K1168)</f>
        <v>1825</v>
      </c>
      <c r="S1168" s="83">
        <f>Inputs!$H$5+TS!P1168*0.4333</f>
        <v>1873.1439065999998</v>
      </c>
      <c r="T1168" s="83">
        <f>Inputs!$G$5+TS!P1168*0.4333</f>
        <v>1888.1439065999998</v>
      </c>
      <c r="U1168" s="85">
        <f t="shared" si="328"/>
        <v>0.94407195329999993</v>
      </c>
      <c r="V1168" s="86">
        <f t="shared" si="316"/>
        <v>0</v>
      </c>
      <c r="W1168" s="86">
        <f t="shared" si="317"/>
        <v>0</v>
      </c>
      <c r="X1168" s="86" t="e">
        <f>((PI()*((42-2*'Gen Calcs'!$E$13)^2)/4)/144)*(A1211-#REF!)*(W1168+14.7)/14.7</f>
        <v>#REF!</v>
      </c>
      <c r="Y1168" s="86" t="e">
        <f t="shared" si="318"/>
        <v>#REF!</v>
      </c>
      <c r="Z1168" s="86" t="e">
        <f t="shared" si="319"/>
        <v>#REF!</v>
      </c>
      <c r="AA1168" s="83">
        <f>MAX(B$2:B1168)-B1168</f>
        <v>108.80200000000002</v>
      </c>
      <c r="AB1168" s="83">
        <f t="shared" si="320"/>
        <v>47.111266000000008</v>
      </c>
      <c r="AC1168" s="83">
        <f t="shared" si="322"/>
        <v>120</v>
      </c>
      <c r="AD1168" s="72">
        <v>120</v>
      </c>
      <c r="AE1168" s="73">
        <f t="shared" si="329"/>
        <v>907.92027688745009</v>
      </c>
      <c r="AF1168" s="73">
        <f>SUM(AE$2:AE1168)</f>
        <v>985031.4017217902</v>
      </c>
      <c r="AG1168" s="73">
        <f t="shared" si="330"/>
        <v>188698.50070531899</v>
      </c>
    </row>
    <row r="1169" spans="1:33" x14ac:dyDescent="0.25">
      <c r="A1169" s="99">
        <v>204599.92</v>
      </c>
      <c r="B1169" s="96">
        <v>830.35029999999995</v>
      </c>
      <c r="C1169" s="96">
        <v>0.6</v>
      </c>
      <c r="D1169" s="80">
        <f t="shared" si="315"/>
        <v>100</v>
      </c>
      <c r="E1169" s="81">
        <f t="shared" si="323"/>
        <v>6791.2436711181272</v>
      </c>
      <c r="F1169" s="81">
        <f>SUM(E$2:E1169)</f>
        <v>7369936.3901656</v>
      </c>
      <c r="G1169" s="43">
        <f t="shared" si="321"/>
        <v>1</v>
      </c>
      <c r="H1169" s="78">
        <v>1</v>
      </c>
      <c r="I1169" s="15">
        <f t="shared" si="324"/>
        <v>0.6</v>
      </c>
      <c r="J1169" s="16">
        <f>VLOOKUP(G1169,Inputs!$L$3:$P$15,5,FALSE)</f>
        <v>2000</v>
      </c>
      <c r="K1169" s="16">
        <f t="shared" si="325"/>
        <v>1825</v>
      </c>
      <c r="L1169" s="79">
        <f>Inputs!$P$8-B1169</f>
        <v>107.84070000000008</v>
      </c>
      <c r="M1169" s="79">
        <f>Inputs!$Q$8+L1169*0.433</f>
        <v>1871.6950231000001</v>
      </c>
      <c r="N1169" s="82">
        <f t="shared" si="326"/>
        <v>204599.92</v>
      </c>
      <c r="O1169" s="83">
        <f t="shared" si="327"/>
        <v>830.35029999999995</v>
      </c>
      <c r="P1169" s="84">
        <f>IF(O1169="","",Inputs!$C$5-O1169)</f>
        <v>-5.1657999999999902</v>
      </c>
      <c r="Q1169" s="83">
        <f>IF(N1169="","",TS!J1169)</f>
        <v>2000</v>
      </c>
      <c r="R1169" s="83">
        <f>IF(N1169="","",TS!K1169)</f>
        <v>1825</v>
      </c>
      <c r="S1169" s="83">
        <f>Inputs!$H$5+TS!P1169*0.4333</f>
        <v>1872.7273753099998</v>
      </c>
      <c r="T1169" s="83">
        <f>Inputs!$G$5+TS!P1169*0.4333</f>
        <v>1887.7273753099998</v>
      </c>
      <c r="U1169" s="85">
        <f t="shared" si="328"/>
        <v>0.94386368765499995</v>
      </c>
      <c r="V1169" s="86">
        <f t="shared" si="316"/>
        <v>0</v>
      </c>
      <c r="W1169" s="86">
        <f t="shared" si="317"/>
        <v>0</v>
      </c>
      <c r="X1169" s="86" t="e">
        <f>((PI()*((42-2*'Gen Calcs'!$E$13)^2)/4)/144)*(A1212-#REF!)*(W1169+14.7)/14.7</f>
        <v>#REF!</v>
      </c>
      <c r="Y1169" s="86" t="e">
        <f t="shared" si="318"/>
        <v>#REF!</v>
      </c>
      <c r="Z1169" s="86" t="e">
        <f t="shared" si="319"/>
        <v>#REF!</v>
      </c>
      <c r="AA1169" s="83">
        <f>MAX(B$2:B1169)-B1169</f>
        <v>107.84070000000008</v>
      </c>
      <c r="AB1169" s="83">
        <f t="shared" si="320"/>
        <v>46.695023100000036</v>
      </c>
      <c r="AC1169" s="83">
        <f t="shared" si="322"/>
        <v>120</v>
      </c>
      <c r="AD1169" s="72">
        <v>120</v>
      </c>
      <c r="AE1169" s="73">
        <f t="shared" si="329"/>
        <v>907.92027688745009</v>
      </c>
      <c r="AF1169" s="73">
        <f>SUM(AE$2:AE1169)</f>
        <v>985939.32199867768</v>
      </c>
      <c r="AG1169" s="73">
        <f t="shared" si="330"/>
        <v>187790.58042843151</v>
      </c>
    </row>
    <row r="1170" spans="1:33" x14ac:dyDescent="0.25">
      <c r="A1170" s="100">
        <v>204699.92</v>
      </c>
      <c r="B1170" s="97">
        <v>829.06299999999999</v>
      </c>
      <c r="C1170" s="97">
        <v>0.6</v>
      </c>
      <c r="D1170" s="80">
        <f t="shared" si="315"/>
        <v>100</v>
      </c>
      <c r="E1170" s="81">
        <f t="shared" si="323"/>
        <v>6791.2436711181272</v>
      </c>
      <c r="F1170" s="81">
        <f>SUM(E$2:E1170)</f>
        <v>7376727.6338367183</v>
      </c>
      <c r="G1170" s="43">
        <f t="shared" si="321"/>
        <v>1</v>
      </c>
      <c r="H1170" s="78">
        <v>1</v>
      </c>
      <c r="I1170" s="15">
        <f t="shared" si="324"/>
        <v>0.6</v>
      </c>
      <c r="J1170" s="16">
        <f>VLOOKUP(G1170,Inputs!$L$3:$P$15,5,FALSE)</f>
        <v>2000</v>
      </c>
      <c r="K1170" s="16">
        <f t="shared" si="325"/>
        <v>1825</v>
      </c>
      <c r="L1170" s="79">
        <f>Inputs!$P$8-B1170</f>
        <v>109.12800000000004</v>
      </c>
      <c r="M1170" s="79">
        <f>Inputs!$Q$8+L1170*0.433</f>
        <v>1872.252424</v>
      </c>
      <c r="N1170" s="82">
        <f t="shared" si="326"/>
        <v>204699.92</v>
      </c>
      <c r="O1170" s="83">
        <f t="shared" si="327"/>
        <v>829.06299999999999</v>
      </c>
      <c r="P1170" s="84">
        <f>IF(O1170="","",Inputs!$C$5-O1170)</f>
        <v>-3.8785000000000309</v>
      </c>
      <c r="Q1170" s="83">
        <f>IF(N1170="","",TS!J1170)</f>
        <v>2000</v>
      </c>
      <c r="R1170" s="83">
        <f>IF(N1170="","",TS!K1170)</f>
        <v>1825</v>
      </c>
      <c r="S1170" s="83">
        <f>Inputs!$H$5+TS!P1170*0.4333</f>
        <v>1873.2851624</v>
      </c>
      <c r="T1170" s="83">
        <f>Inputs!$G$5+TS!P1170*0.4333</f>
        <v>1888.2851624</v>
      </c>
      <c r="U1170" s="85">
        <f t="shared" si="328"/>
        <v>0.94414258119999994</v>
      </c>
      <c r="V1170" s="86">
        <f t="shared" si="316"/>
        <v>0</v>
      </c>
      <c r="W1170" s="86">
        <f t="shared" si="317"/>
        <v>0</v>
      </c>
      <c r="X1170" s="86" t="e">
        <f>((PI()*((42-2*'Gen Calcs'!$E$13)^2)/4)/144)*(A1213-#REF!)*(W1170+14.7)/14.7</f>
        <v>#REF!</v>
      </c>
      <c r="Y1170" s="86" t="e">
        <f t="shared" si="318"/>
        <v>#REF!</v>
      </c>
      <c r="Z1170" s="86" t="e">
        <f t="shared" si="319"/>
        <v>#REF!</v>
      </c>
      <c r="AA1170" s="83">
        <f>MAX(B$2:B1170)-B1170</f>
        <v>109.12800000000004</v>
      </c>
      <c r="AB1170" s="83">
        <f t="shared" si="320"/>
        <v>47.252424000000019</v>
      </c>
      <c r="AC1170" s="83">
        <f t="shared" si="322"/>
        <v>120</v>
      </c>
      <c r="AD1170" s="72">
        <v>120</v>
      </c>
      <c r="AE1170" s="73">
        <f t="shared" si="329"/>
        <v>907.92027688745009</v>
      </c>
      <c r="AF1170" s="73">
        <f>SUM(AE$2:AE1170)</f>
        <v>986847.24227556516</v>
      </c>
      <c r="AG1170" s="73">
        <f t="shared" si="330"/>
        <v>186882.66015154403</v>
      </c>
    </row>
    <row r="1171" spans="1:33" x14ac:dyDescent="0.25">
      <c r="A1171" s="99">
        <v>204799.92</v>
      </c>
      <c r="B1171" s="96">
        <v>828.96699999999998</v>
      </c>
      <c r="C1171" s="96">
        <v>0.6</v>
      </c>
      <c r="D1171" s="80">
        <f t="shared" si="315"/>
        <v>100</v>
      </c>
      <c r="E1171" s="81">
        <f t="shared" si="323"/>
        <v>6791.2436711181272</v>
      </c>
      <c r="F1171" s="81">
        <f>SUM(E$2:E1171)</f>
        <v>7383518.8775078366</v>
      </c>
      <c r="G1171" s="43">
        <f t="shared" si="321"/>
        <v>1</v>
      </c>
      <c r="H1171" s="78">
        <v>1</v>
      </c>
      <c r="I1171" s="15">
        <f t="shared" si="324"/>
        <v>0.6</v>
      </c>
      <c r="J1171" s="16">
        <f>VLOOKUP(G1171,Inputs!$L$3:$P$15,5,FALSE)</f>
        <v>2000</v>
      </c>
      <c r="K1171" s="16">
        <f t="shared" si="325"/>
        <v>1825</v>
      </c>
      <c r="L1171" s="79">
        <f>Inputs!$P$8-B1171</f>
        <v>109.22400000000005</v>
      </c>
      <c r="M1171" s="79">
        <f>Inputs!$Q$8+L1171*0.433</f>
        <v>1872.2939920000001</v>
      </c>
      <c r="N1171" s="82">
        <f t="shared" si="326"/>
        <v>204799.92</v>
      </c>
      <c r="O1171" s="83">
        <f t="shared" si="327"/>
        <v>828.96699999999998</v>
      </c>
      <c r="P1171" s="84">
        <f>IF(O1171="","",Inputs!$C$5-O1171)</f>
        <v>-3.7825000000000273</v>
      </c>
      <c r="Q1171" s="83">
        <f>IF(N1171="","",TS!J1171)</f>
        <v>2000</v>
      </c>
      <c r="R1171" s="83">
        <f>IF(N1171="","",TS!K1171)</f>
        <v>1825</v>
      </c>
      <c r="S1171" s="83">
        <f>Inputs!$H$5+TS!P1171*0.4333</f>
        <v>1873.3267592</v>
      </c>
      <c r="T1171" s="83">
        <f>Inputs!$G$5+TS!P1171*0.4333</f>
        <v>1888.3267592</v>
      </c>
      <c r="U1171" s="85">
        <f t="shared" si="328"/>
        <v>0.94416337959999996</v>
      </c>
      <c r="V1171" s="86">
        <f t="shared" si="316"/>
        <v>0</v>
      </c>
      <c r="W1171" s="86">
        <f t="shared" si="317"/>
        <v>0</v>
      </c>
      <c r="X1171" s="86" t="e">
        <f>((PI()*((42-2*'Gen Calcs'!$E$13)^2)/4)/144)*(A1214-#REF!)*(W1171+14.7)/14.7</f>
        <v>#REF!</v>
      </c>
      <c r="Y1171" s="86" t="e">
        <f t="shared" si="318"/>
        <v>#REF!</v>
      </c>
      <c r="Z1171" s="86" t="e">
        <f t="shared" si="319"/>
        <v>#REF!</v>
      </c>
      <c r="AA1171" s="83">
        <f>MAX(B$2:B1171)-B1171</f>
        <v>109.22400000000005</v>
      </c>
      <c r="AB1171" s="83">
        <f t="shared" si="320"/>
        <v>47.293992000000017</v>
      </c>
      <c r="AC1171" s="83">
        <f t="shared" si="322"/>
        <v>120</v>
      </c>
      <c r="AD1171" s="72">
        <v>120</v>
      </c>
      <c r="AE1171" s="73">
        <f t="shared" si="329"/>
        <v>907.92027688745009</v>
      </c>
      <c r="AF1171" s="73">
        <f>SUM(AE$2:AE1171)</f>
        <v>987755.16255245265</v>
      </c>
      <c r="AG1171" s="73">
        <f t="shared" si="330"/>
        <v>185974.73987465654</v>
      </c>
    </row>
    <row r="1172" spans="1:33" x14ac:dyDescent="0.25">
      <c r="A1172" s="100">
        <v>204899.92</v>
      </c>
      <c r="B1172" s="97">
        <v>827.80250000000001</v>
      </c>
      <c r="C1172" s="97">
        <v>0.6</v>
      </c>
      <c r="D1172" s="80">
        <f t="shared" si="315"/>
        <v>100</v>
      </c>
      <c r="E1172" s="81">
        <f t="shared" si="323"/>
        <v>6791.2436711181272</v>
      </c>
      <c r="F1172" s="81">
        <f>SUM(E$2:E1172)</f>
        <v>7390310.1211789548</v>
      </c>
      <c r="G1172" s="43">
        <f t="shared" si="321"/>
        <v>1</v>
      </c>
      <c r="H1172" s="78">
        <v>1</v>
      </c>
      <c r="I1172" s="15">
        <f t="shared" si="324"/>
        <v>0.6</v>
      </c>
      <c r="J1172" s="16">
        <f>VLOOKUP(G1172,Inputs!$L$3:$P$15,5,FALSE)</f>
        <v>2000</v>
      </c>
      <c r="K1172" s="16">
        <f t="shared" si="325"/>
        <v>1825</v>
      </c>
      <c r="L1172" s="79">
        <f>Inputs!$P$8-B1172</f>
        <v>110.38850000000002</v>
      </c>
      <c r="M1172" s="79">
        <f>Inputs!$Q$8+L1172*0.433</f>
        <v>1872.7982205000001</v>
      </c>
      <c r="N1172" s="82">
        <f t="shared" si="326"/>
        <v>204899.92</v>
      </c>
      <c r="O1172" s="83">
        <f t="shared" si="327"/>
        <v>827.80250000000001</v>
      </c>
      <c r="P1172" s="84">
        <f>IF(O1172="","",Inputs!$C$5-O1172)</f>
        <v>-2.6180000000000518</v>
      </c>
      <c r="Q1172" s="83">
        <f>IF(N1172="","",TS!J1172)</f>
        <v>2000</v>
      </c>
      <c r="R1172" s="83">
        <f>IF(N1172="","",TS!K1172)</f>
        <v>1825</v>
      </c>
      <c r="S1172" s="83">
        <f>Inputs!$H$5+TS!P1172*0.4333</f>
        <v>1873.83133705</v>
      </c>
      <c r="T1172" s="83">
        <f>Inputs!$G$5+TS!P1172*0.4333</f>
        <v>1888.83133705</v>
      </c>
      <c r="U1172" s="85">
        <f t="shared" si="328"/>
        <v>0.94441566852500003</v>
      </c>
      <c r="V1172" s="86">
        <f t="shared" si="316"/>
        <v>0</v>
      </c>
      <c r="W1172" s="86">
        <f t="shared" si="317"/>
        <v>0</v>
      </c>
      <c r="X1172" s="86" t="e">
        <f>((PI()*((42-2*'Gen Calcs'!$E$13)^2)/4)/144)*(A1215-#REF!)*(W1172+14.7)/14.7</f>
        <v>#REF!</v>
      </c>
      <c r="Y1172" s="86" t="e">
        <f t="shared" si="318"/>
        <v>#REF!</v>
      </c>
      <c r="Z1172" s="86" t="e">
        <f t="shared" si="319"/>
        <v>#REF!</v>
      </c>
      <c r="AA1172" s="83">
        <f>MAX(B$2:B1172)-B1172</f>
        <v>110.38850000000002</v>
      </c>
      <c r="AB1172" s="83">
        <f t="shared" si="320"/>
        <v>47.798220500000006</v>
      </c>
      <c r="AC1172" s="83">
        <f t="shared" si="322"/>
        <v>120</v>
      </c>
      <c r="AD1172" s="72">
        <v>120</v>
      </c>
      <c r="AE1172" s="73">
        <f t="shared" si="329"/>
        <v>907.92027688745009</v>
      </c>
      <c r="AF1172" s="73">
        <f>SUM(AE$2:AE1172)</f>
        <v>988663.08282934013</v>
      </c>
      <c r="AG1172" s="73">
        <f t="shared" si="330"/>
        <v>185066.81959776906</v>
      </c>
    </row>
    <row r="1173" spans="1:33" x14ac:dyDescent="0.25">
      <c r="A1173" s="99">
        <v>204999.92</v>
      </c>
      <c r="B1173" s="96">
        <v>824.63019999999995</v>
      </c>
      <c r="C1173" s="96">
        <v>0.6</v>
      </c>
      <c r="D1173" s="80">
        <f t="shared" si="315"/>
        <v>100</v>
      </c>
      <c r="E1173" s="81">
        <f t="shared" si="323"/>
        <v>6791.2436711181272</v>
      </c>
      <c r="F1173" s="81">
        <f>SUM(E$2:E1173)</f>
        <v>7397101.3648500731</v>
      </c>
      <c r="G1173" s="43">
        <f t="shared" si="321"/>
        <v>1</v>
      </c>
      <c r="H1173" s="78">
        <v>1</v>
      </c>
      <c r="I1173" s="15">
        <f t="shared" si="324"/>
        <v>0.6</v>
      </c>
      <c r="J1173" s="16">
        <f>VLOOKUP(G1173,Inputs!$L$3:$P$15,5,FALSE)</f>
        <v>2000</v>
      </c>
      <c r="K1173" s="16">
        <f t="shared" si="325"/>
        <v>1825</v>
      </c>
      <c r="L1173" s="79">
        <f>Inputs!$P$8-B1173</f>
        <v>113.56080000000009</v>
      </c>
      <c r="M1173" s="79">
        <f>Inputs!$Q$8+L1173*0.433</f>
        <v>1874.1718264000001</v>
      </c>
      <c r="N1173" s="82">
        <f t="shared" si="326"/>
        <v>204999.92</v>
      </c>
      <c r="O1173" s="83">
        <f t="shared" si="327"/>
        <v>824.63019999999995</v>
      </c>
      <c r="P1173" s="84">
        <f>IF(O1173="","",Inputs!$C$5-O1173)</f>
        <v>0.55430000000001201</v>
      </c>
      <c r="Q1173" s="83">
        <f>IF(N1173="","",TS!J1173)</f>
        <v>2000</v>
      </c>
      <c r="R1173" s="83">
        <f>IF(N1173="","",TS!K1173)</f>
        <v>1825</v>
      </c>
      <c r="S1173" s="83">
        <f>Inputs!$H$5+TS!P1173*0.4333</f>
        <v>1875.20589464</v>
      </c>
      <c r="T1173" s="83">
        <f>Inputs!$G$5+TS!P1173*0.4333</f>
        <v>1890.20589464</v>
      </c>
      <c r="U1173" s="85">
        <f t="shared" si="328"/>
        <v>0.94510294732</v>
      </c>
      <c r="V1173" s="86">
        <f t="shared" si="316"/>
        <v>0</v>
      </c>
      <c r="W1173" s="86">
        <f t="shared" si="317"/>
        <v>0</v>
      </c>
      <c r="X1173" s="86" t="e">
        <f>((PI()*((42-2*'Gen Calcs'!$E$13)^2)/4)/144)*(A1216-#REF!)*(W1173+14.7)/14.7</f>
        <v>#REF!</v>
      </c>
      <c r="Y1173" s="86" t="e">
        <f t="shared" si="318"/>
        <v>#REF!</v>
      </c>
      <c r="Z1173" s="86" t="e">
        <f t="shared" si="319"/>
        <v>#REF!</v>
      </c>
      <c r="AA1173" s="83">
        <f>MAX(B$2:B1173)-B1173</f>
        <v>113.56080000000009</v>
      </c>
      <c r="AB1173" s="83">
        <f t="shared" si="320"/>
        <v>49.171826400000036</v>
      </c>
      <c r="AC1173" s="83">
        <f t="shared" si="322"/>
        <v>120</v>
      </c>
      <c r="AD1173" s="72">
        <v>120</v>
      </c>
      <c r="AE1173" s="73">
        <f t="shared" si="329"/>
        <v>907.92027688745009</v>
      </c>
      <c r="AF1173" s="73">
        <f>SUM(AE$2:AE1173)</f>
        <v>989571.00310622761</v>
      </c>
      <c r="AG1173" s="73">
        <f t="shared" si="330"/>
        <v>184158.89932088158</v>
      </c>
    </row>
    <row r="1174" spans="1:33" x14ac:dyDescent="0.25">
      <c r="A1174" s="100">
        <v>205048.5</v>
      </c>
      <c r="B1174" s="97">
        <v>824.63019999999995</v>
      </c>
      <c r="C1174" s="97">
        <v>0.6</v>
      </c>
      <c r="D1174" s="80">
        <f t="shared" si="315"/>
        <v>48.579999999987194</v>
      </c>
      <c r="E1174" s="81">
        <f t="shared" si="323"/>
        <v>3299.1861754283163</v>
      </c>
      <c r="F1174" s="81">
        <f>SUM(E$2:E1174)</f>
        <v>7400400.5510255015</v>
      </c>
      <c r="G1174" s="43">
        <f t="shared" si="321"/>
        <v>1</v>
      </c>
      <c r="H1174" s="78">
        <v>1</v>
      </c>
      <c r="I1174" s="15">
        <f t="shared" si="324"/>
        <v>0.6</v>
      </c>
      <c r="J1174" s="16">
        <f>VLOOKUP(G1174,Inputs!$L$3:$P$15,5,FALSE)</f>
        <v>2000</v>
      </c>
      <c r="K1174" s="16">
        <f t="shared" si="325"/>
        <v>1825</v>
      </c>
      <c r="L1174" s="79">
        <f>Inputs!$P$8-B1174</f>
        <v>113.56080000000009</v>
      </c>
      <c r="M1174" s="79">
        <f>Inputs!$Q$8+L1174*0.433</f>
        <v>1874.1718264000001</v>
      </c>
      <c r="N1174" s="82">
        <f t="shared" si="326"/>
        <v>205048.5</v>
      </c>
      <c r="O1174" s="83">
        <f t="shared" si="327"/>
        <v>824.63019999999995</v>
      </c>
      <c r="P1174" s="84">
        <f>IF(O1174="","",Inputs!$C$5-O1174)</f>
        <v>0.55430000000001201</v>
      </c>
      <c r="Q1174" s="83">
        <f>IF(N1174="","",TS!J1174)</f>
        <v>2000</v>
      </c>
      <c r="R1174" s="83">
        <f>IF(N1174="","",TS!K1174)</f>
        <v>1825</v>
      </c>
      <c r="S1174" s="83">
        <f>Inputs!$H$5+TS!P1174*0.4333</f>
        <v>1875.20589464</v>
      </c>
      <c r="T1174" s="83">
        <f>Inputs!$G$5+TS!P1174*0.4333</f>
        <v>1890.20589464</v>
      </c>
      <c r="U1174" s="85">
        <f t="shared" si="328"/>
        <v>0.94510294732</v>
      </c>
      <c r="V1174" s="86">
        <f t="shared" si="316"/>
        <v>0</v>
      </c>
      <c r="W1174" s="86">
        <f t="shared" si="317"/>
        <v>0</v>
      </c>
      <c r="X1174" s="86" t="e">
        <f>((PI()*((42-2*'Gen Calcs'!$E$13)^2)/4)/144)*(A1217-#REF!)*(W1174+14.7)/14.7</f>
        <v>#REF!</v>
      </c>
      <c r="Y1174" s="86" t="e">
        <f t="shared" si="318"/>
        <v>#REF!</v>
      </c>
      <c r="Z1174" s="86" t="e">
        <f t="shared" si="319"/>
        <v>#REF!</v>
      </c>
      <c r="AA1174" s="83">
        <f>MAX(B$2:B1174)-B1174</f>
        <v>113.56080000000009</v>
      </c>
      <c r="AB1174" s="83">
        <f t="shared" si="320"/>
        <v>49.171826400000036</v>
      </c>
      <c r="AC1174" s="83">
        <f t="shared" si="322"/>
        <v>120</v>
      </c>
      <c r="AD1174" s="72">
        <v>120</v>
      </c>
      <c r="AE1174" s="73">
        <f t="shared" si="329"/>
        <v>441.06767051180697</v>
      </c>
      <c r="AF1174" s="73">
        <f>SUM(AE$2:AE1174)</f>
        <v>990012.07077673939</v>
      </c>
      <c r="AG1174" s="73">
        <f t="shared" si="330"/>
        <v>183717.8316503698</v>
      </c>
    </row>
    <row r="1175" spans="1:33" x14ac:dyDescent="0.25">
      <c r="A1175" s="99">
        <v>205099.92</v>
      </c>
      <c r="B1175" s="96">
        <v>823.1549</v>
      </c>
      <c r="C1175" s="96">
        <v>0.6</v>
      </c>
      <c r="D1175" s="80">
        <f t="shared" si="315"/>
        <v>51.420000000012806</v>
      </c>
      <c r="E1175" s="81">
        <f t="shared" si="323"/>
        <v>3492.0574956898104</v>
      </c>
      <c r="F1175" s="81">
        <f>SUM(E$2:E1175)</f>
        <v>7403892.6085211914</v>
      </c>
      <c r="G1175" s="43">
        <f t="shared" si="321"/>
        <v>1</v>
      </c>
      <c r="H1175" s="78">
        <v>1</v>
      </c>
      <c r="I1175" s="15">
        <f t="shared" si="324"/>
        <v>0.6</v>
      </c>
      <c r="J1175" s="16">
        <f>VLOOKUP(G1175,Inputs!$L$3:$P$15,5,FALSE)</f>
        <v>2000</v>
      </c>
      <c r="K1175" s="16">
        <f t="shared" si="325"/>
        <v>1825</v>
      </c>
      <c r="L1175" s="79">
        <f>Inputs!$P$8-B1175</f>
        <v>115.03610000000003</v>
      </c>
      <c r="M1175" s="79">
        <f>Inputs!$Q$8+L1175*0.433</f>
        <v>1874.8106313000001</v>
      </c>
      <c r="N1175" s="82">
        <f t="shared" si="326"/>
        <v>205099.92</v>
      </c>
      <c r="O1175" s="83">
        <f t="shared" si="327"/>
        <v>823.1549</v>
      </c>
      <c r="P1175" s="84">
        <f>IF(O1175="","",Inputs!$C$5-O1175)</f>
        <v>2.0295999999999594</v>
      </c>
      <c r="Q1175" s="83">
        <f>IF(N1175="","",TS!J1175)</f>
        <v>2000</v>
      </c>
      <c r="R1175" s="83">
        <f>IF(N1175="","",TS!K1175)</f>
        <v>1825</v>
      </c>
      <c r="S1175" s="83">
        <f>Inputs!$H$5+TS!P1175*0.4333</f>
        <v>1875.8451421299999</v>
      </c>
      <c r="T1175" s="83">
        <f>Inputs!$G$5+TS!P1175*0.4333</f>
        <v>1890.8451421299999</v>
      </c>
      <c r="U1175" s="85">
        <f t="shared" si="328"/>
        <v>0.94542257106499994</v>
      </c>
      <c r="V1175" s="86">
        <f t="shared" si="316"/>
        <v>0</v>
      </c>
      <c r="W1175" s="86">
        <f t="shared" si="317"/>
        <v>0</v>
      </c>
      <c r="X1175" s="86" t="e">
        <f>((PI()*((42-2*'Gen Calcs'!$E$13)^2)/4)/144)*(A1218-#REF!)*(W1175+14.7)/14.7</f>
        <v>#REF!</v>
      </c>
      <c r="Y1175" s="86" t="e">
        <f t="shared" si="318"/>
        <v>#REF!</v>
      </c>
      <c r="Z1175" s="86" t="e">
        <f t="shared" si="319"/>
        <v>#REF!</v>
      </c>
      <c r="AA1175" s="83">
        <f>MAX(B$2:B1175)-B1175</f>
        <v>115.03610000000003</v>
      </c>
      <c r="AB1175" s="83">
        <f t="shared" si="320"/>
        <v>49.810631300000011</v>
      </c>
      <c r="AC1175" s="83">
        <f t="shared" si="322"/>
        <v>120</v>
      </c>
      <c r="AD1175" s="72">
        <v>120</v>
      </c>
      <c r="AE1175" s="73">
        <f t="shared" si="329"/>
        <v>466.85260637564306</v>
      </c>
      <c r="AF1175" s="73">
        <f>SUM(AE$2:AE1175)</f>
        <v>990478.92338311498</v>
      </c>
      <c r="AG1175" s="73">
        <f t="shared" si="330"/>
        <v>183250.97904399422</v>
      </c>
    </row>
    <row r="1176" spans="1:33" x14ac:dyDescent="0.25">
      <c r="A1176" s="100">
        <v>205123.5</v>
      </c>
      <c r="B1176" s="97">
        <v>823.1549</v>
      </c>
      <c r="C1176" s="97">
        <v>0.6</v>
      </c>
      <c r="D1176" s="80">
        <f t="shared" si="315"/>
        <v>23.579999999987194</v>
      </c>
      <c r="E1176" s="81">
        <f t="shared" si="323"/>
        <v>1601.3752576487846</v>
      </c>
      <c r="F1176" s="81">
        <f>SUM(E$2:E1176)</f>
        <v>7405493.9837788399</v>
      </c>
      <c r="G1176" s="43">
        <f t="shared" si="321"/>
        <v>1</v>
      </c>
      <c r="H1176" s="78">
        <v>1</v>
      </c>
      <c r="I1176" s="15">
        <f t="shared" si="324"/>
        <v>0.6</v>
      </c>
      <c r="J1176" s="16">
        <f>VLOOKUP(G1176,Inputs!$L$3:$P$15,5,FALSE)</f>
        <v>2000</v>
      </c>
      <c r="K1176" s="16">
        <f t="shared" si="325"/>
        <v>1825</v>
      </c>
      <c r="L1176" s="79">
        <f>Inputs!$P$8-B1176</f>
        <v>115.03610000000003</v>
      </c>
      <c r="M1176" s="79">
        <f>Inputs!$Q$8+L1176*0.433</f>
        <v>1874.8106313000001</v>
      </c>
      <c r="N1176" s="82">
        <f t="shared" si="326"/>
        <v>205123.5</v>
      </c>
      <c r="O1176" s="83">
        <f t="shared" si="327"/>
        <v>823.1549</v>
      </c>
      <c r="P1176" s="84">
        <f>IF(O1176="","",Inputs!$C$5-O1176)</f>
        <v>2.0295999999999594</v>
      </c>
      <c r="Q1176" s="83">
        <f>IF(N1176="","",TS!J1176)</f>
        <v>2000</v>
      </c>
      <c r="R1176" s="83">
        <f>IF(N1176="","",TS!K1176)</f>
        <v>1825</v>
      </c>
      <c r="S1176" s="83">
        <f>Inputs!$H$5+TS!P1176*0.4333</f>
        <v>1875.8451421299999</v>
      </c>
      <c r="T1176" s="83">
        <f>Inputs!$G$5+TS!P1176*0.4333</f>
        <v>1890.8451421299999</v>
      </c>
      <c r="U1176" s="85">
        <f t="shared" si="328"/>
        <v>0.94542257106499994</v>
      </c>
      <c r="V1176" s="86">
        <f t="shared" si="316"/>
        <v>0</v>
      </c>
      <c r="W1176" s="86">
        <f t="shared" si="317"/>
        <v>0</v>
      </c>
      <c r="X1176" s="86" t="e">
        <f>((PI()*((42-2*'Gen Calcs'!$E$13)^2)/4)/144)*(A1219-#REF!)*(W1176+14.7)/14.7</f>
        <v>#REF!</v>
      </c>
      <c r="Y1176" s="86" t="e">
        <f t="shared" si="318"/>
        <v>#REF!</v>
      </c>
      <c r="Z1176" s="86" t="e">
        <f t="shared" si="319"/>
        <v>#REF!</v>
      </c>
      <c r="AA1176" s="83">
        <f>MAX(B$2:B1176)-B1176</f>
        <v>115.03610000000003</v>
      </c>
      <c r="AB1176" s="83">
        <f t="shared" si="320"/>
        <v>49.810631300000011</v>
      </c>
      <c r="AC1176" s="83">
        <f t="shared" si="322"/>
        <v>120</v>
      </c>
      <c r="AD1176" s="72">
        <v>120</v>
      </c>
      <c r="AE1176" s="73">
        <f t="shared" si="329"/>
        <v>214.08760128994444</v>
      </c>
      <c r="AF1176" s="73">
        <f>SUM(AE$2:AE1176)</f>
        <v>990693.01098440494</v>
      </c>
      <c r="AG1176" s="73">
        <f t="shared" si="330"/>
        <v>183036.89144270425</v>
      </c>
    </row>
    <row r="1177" spans="1:33" x14ac:dyDescent="0.25">
      <c r="A1177" s="99">
        <v>205199.92</v>
      </c>
      <c r="B1177" s="96">
        <v>820.31849999999997</v>
      </c>
      <c r="C1177" s="96">
        <v>0.6</v>
      </c>
      <c r="D1177" s="80">
        <f t="shared" si="315"/>
        <v>76.420000000012806</v>
      </c>
      <c r="E1177" s="81">
        <f t="shared" si="323"/>
        <v>5189.8684134693422</v>
      </c>
      <c r="F1177" s="81">
        <f>SUM(E$2:E1177)</f>
        <v>7410683.8521923097</v>
      </c>
      <c r="G1177" s="43">
        <f t="shared" si="321"/>
        <v>1</v>
      </c>
      <c r="H1177" s="78">
        <v>1</v>
      </c>
      <c r="I1177" s="15">
        <f t="shared" si="324"/>
        <v>0.6</v>
      </c>
      <c r="J1177" s="16">
        <f>VLOOKUP(G1177,Inputs!$L$3:$P$15,5,FALSE)</f>
        <v>2000</v>
      </c>
      <c r="K1177" s="16">
        <f t="shared" si="325"/>
        <v>1825</v>
      </c>
      <c r="L1177" s="79">
        <f>Inputs!$P$8-B1177</f>
        <v>117.87250000000006</v>
      </c>
      <c r="M1177" s="79">
        <f>Inputs!$Q$8+L1177*0.433</f>
        <v>1876.0387925</v>
      </c>
      <c r="N1177" s="82">
        <f t="shared" si="326"/>
        <v>205199.92</v>
      </c>
      <c r="O1177" s="83">
        <f t="shared" si="327"/>
        <v>820.31849999999997</v>
      </c>
      <c r="P1177" s="84">
        <f>IF(O1177="","",Inputs!$C$5-O1177)</f>
        <v>4.8659999999999854</v>
      </c>
      <c r="Q1177" s="83">
        <f>IF(N1177="","",TS!J1177)</f>
        <v>2000</v>
      </c>
      <c r="R1177" s="83">
        <f>IF(N1177="","",TS!K1177)</f>
        <v>1825</v>
      </c>
      <c r="S1177" s="83">
        <f>Inputs!$H$5+TS!P1177*0.4333</f>
        <v>1877.07415425</v>
      </c>
      <c r="T1177" s="83">
        <f>Inputs!$G$5+TS!P1177*0.4333</f>
        <v>1892.07415425</v>
      </c>
      <c r="U1177" s="85">
        <f t="shared" si="328"/>
        <v>0.94603707712499996</v>
      </c>
      <c r="V1177" s="86">
        <f t="shared" si="316"/>
        <v>0</v>
      </c>
      <c r="W1177" s="86">
        <f t="shared" si="317"/>
        <v>0</v>
      </c>
      <c r="X1177" s="86" t="e">
        <f>((PI()*((42-2*'Gen Calcs'!$E$13)^2)/4)/144)*(A1220-#REF!)*(W1177+14.7)/14.7</f>
        <v>#REF!</v>
      </c>
      <c r="Y1177" s="86" t="e">
        <f t="shared" si="318"/>
        <v>#REF!</v>
      </c>
      <c r="Z1177" s="86" t="e">
        <f t="shared" si="319"/>
        <v>#REF!</v>
      </c>
      <c r="AA1177" s="83">
        <f>MAX(B$2:B1177)-B1177</f>
        <v>117.87250000000006</v>
      </c>
      <c r="AB1177" s="83">
        <f t="shared" si="320"/>
        <v>51.038792500000028</v>
      </c>
      <c r="AC1177" s="83">
        <f t="shared" si="322"/>
        <v>120</v>
      </c>
      <c r="AD1177" s="72">
        <v>120</v>
      </c>
      <c r="AE1177" s="73">
        <f t="shared" si="329"/>
        <v>693.83267559750561</v>
      </c>
      <c r="AF1177" s="73">
        <f>SUM(AE$2:AE1177)</f>
        <v>991386.84366000246</v>
      </c>
      <c r="AG1177" s="73">
        <f t="shared" si="330"/>
        <v>182343.05876710673</v>
      </c>
    </row>
    <row r="1178" spans="1:33" x14ac:dyDescent="0.25">
      <c r="A1178" s="100">
        <v>205209.4</v>
      </c>
      <c r="B1178" s="97">
        <v>820.31849999999997</v>
      </c>
      <c r="C1178" s="97">
        <v>0.86399999999999999</v>
      </c>
      <c r="D1178" s="80">
        <f t="shared" si="315"/>
        <v>9.4799999999813735</v>
      </c>
      <c r="E1178" s="81">
        <f t="shared" si="323"/>
        <v>643.80990002073349</v>
      </c>
      <c r="F1178" s="81">
        <f>SUM(E$2:E1178)</f>
        <v>7411327.6620923309</v>
      </c>
      <c r="G1178" s="43">
        <f t="shared" si="321"/>
        <v>2</v>
      </c>
      <c r="H1178" s="78">
        <v>1</v>
      </c>
      <c r="I1178" s="15">
        <f t="shared" si="324"/>
        <v>0.86399999999999999</v>
      </c>
      <c r="J1178" s="16">
        <f>VLOOKUP(G1178,Inputs!$L$3:$P$15,5,FALSE)</f>
        <v>2880</v>
      </c>
      <c r="K1178" s="16">
        <f t="shared" si="325"/>
        <v>1825</v>
      </c>
      <c r="L1178" s="79">
        <f>Inputs!$P$8-B1178</f>
        <v>117.87250000000006</v>
      </c>
      <c r="M1178" s="79">
        <f>Inputs!$Q$8+L1178*0.433</f>
        <v>1876.0387925</v>
      </c>
      <c r="N1178" s="82">
        <f t="shared" si="326"/>
        <v>205209.4</v>
      </c>
      <c r="O1178" s="83">
        <f t="shared" si="327"/>
        <v>820.31849999999997</v>
      </c>
      <c r="P1178" s="84">
        <f>IF(O1178="","",Inputs!$C$5-O1178)</f>
        <v>4.8659999999999854</v>
      </c>
      <c r="Q1178" s="83">
        <f>IF(N1178="","",TS!J1178)</f>
        <v>2880</v>
      </c>
      <c r="R1178" s="83">
        <f>IF(N1178="","",TS!K1178)</f>
        <v>1825</v>
      </c>
      <c r="S1178" s="83">
        <f>Inputs!$H$5+TS!P1178*0.4333</f>
        <v>1877.07415425</v>
      </c>
      <c r="T1178" s="83">
        <f>Inputs!$G$5+TS!P1178*0.4333</f>
        <v>1892.07415425</v>
      </c>
      <c r="U1178" s="85">
        <f t="shared" si="328"/>
        <v>0.65697019244791666</v>
      </c>
      <c r="V1178" s="86">
        <f t="shared" si="316"/>
        <v>0</v>
      </c>
      <c r="W1178" s="86">
        <f t="shared" si="317"/>
        <v>0</v>
      </c>
      <c r="X1178" s="86" t="e">
        <f>((PI()*((42-2*'Gen Calcs'!$E$13)^2)/4)/144)*(A1221-#REF!)*(W1178+14.7)/14.7</f>
        <v>#REF!</v>
      </c>
      <c r="Y1178" s="86" t="e">
        <f t="shared" si="318"/>
        <v>#REF!</v>
      </c>
      <c r="Z1178" s="86" t="e">
        <f t="shared" si="319"/>
        <v>#REF!</v>
      </c>
      <c r="AA1178" s="83">
        <f>MAX(B$2:B1178)-B1178</f>
        <v>117.87250000000006</v>
      </c>
      <c r="AB1178" s="83">
        <f t="shared" si="320"/>
        <v>51.038792500000028</v>
      </c>
      <c r="AC1178" s="83">
        <f t="shared" si="322"/>
        <v>120</v>
      </c>
      <c r="AD1178" s="72">
        <v>120</v>
      </c>
      <c r="AE1178" s="73">
        <f t="shared" si="329"/>
        <v>83.857540964138693</v>
      </c>
      <c r="AF1178" s="73">
        <f>SUM(AE$2:AE1178)</f>
        <v>991470.70120096661</v>
      </c>
      <c r="AG1178" s="73">
        <f t="shared" si="330"/>
        <v>182259.20122614258</v>
      </c>
    </row>
    <row r="1179" spans="1:33" x14ac:dyDescent="0.25">
      <c r="A1179" s="99">
        <v>205299.92</v>
      </c>
      <c r="B1179" s="96">
        <v>819.40480000000002</v>
      </c>
      <c r="C1179" s="96">
        <v>0.6</v>
      </c>
      <c r="D1179" s="80">
        <f t="shared" si="315"/>
        <v>90.520000000018626</v>
      </c>
      <c r="E1179" s="81">
        <f t="shared" si="323"/>
        <v>6147.4337710973932</v>
      </c>
      <c r="F1179" s="81">
        <f>SUM(E$2:E1179)</f>
        <v>7417475.095863428</v>
      </c>
      <c r="G1179" s="43">
        <f t="shared" si="321"/>
        <v>1</v>
      </c>
      <c r="H1179" s="78">
        <v>1</v>
      </c>
      <c r="I1179" s="15">
        <f t="shared" si="324"/>
        <v>0.6</v>
      </c>
      <c r="J1179" s="16">
        <f>VLOOKUP(G1179,Inputs!$L$3:$P$15,5,FALSE)</f>
        <v>2000</v>
      </c>
      <c r="K1179" s="16">
        <f t="shared" si="325"/>
        <v>1825</v>
      </c>
      <c r="L1179" s="79">
        <f>Inputs!$P$8-B1179</f>
        <v>118.78620000000001</v>
      </c>
      <c r="M1179" s="79">
        <f>Inputs!$Q$8+L1179*0.433</f>
        <v>1876.4344246000001</v>
      </c>
      <c r="N1179" s="82">
        <f t="shared" si="326"/>
        <v>205299.92</v>
      </c>
      <c r="O1179" s="83">
        <f t="shared" si="327"/>
        <v>819.40480000000002</v>
      </c>
      <c r="P1179" s="84">
        <f>IF(O1179="","",Inputs!$C$5-O1179)</f>
        <v>5.7796999999999343</v>
      </c>
      <c r="Q1179" s="83">
        <f>IF(N1179="","",TS!J1179)</f>
        <v>2000</v>
      </c>
      <c r="R1179" s="83">
        <f>IF(N1179="","",TS!K1179)</f>
        <v>1825</v>
      </c>
      <c r="S1179" s="83">
        <f>Inputs!$H$5+TS!P1179*0.4333</f>
        <v>1877.47006046</v>
      </c>
      <c r="T1179" s="83">
        <f>Inputs!$G$5+TS!P1179*0.4333</f>
        <v>1892.47006046</v>
      </c>
      <c r="U1179" s="85">
        <f t="shared" si="328"/>
        <v>0.94623503023</v>
      </c>
      <c r="V1179" s="86">
        <f t="shared" si="316"/>
        <v>0</v>
      </c>
      <c r="W1179" s="86">
        <f t="shared" si="317"/>
        <v>0</v>
      </c>
      <c r="X1179" s="86" t="e">
        <f>((PI()*((42-2*'Gen Calcs'!$E$13)^2)/4)/144)*(A1222-#REF!)*(W1179+14.7)/14.7</f>
        <v>#REF!</v>
      </c>
      <c r="Y1179" s="86" t="e">
        <f t="shared" si="318"/>
        <v>#REF!</v>
      </c>
      <c r="Z1179" s="86" t="e">
        <f t="shared" si="319"/>
        <v>#REF!</v>
      </c>
      <c r="AA1179" s="83">
        <f>MAX(B$2:B1179)-B1179</f>
        <v>118.78620000000001</v>
      </c>
      <c r="AB1179" s="83">
        <f t="shared" si="320"/>
        <v>51.4344246</v>
      </c>
      <c r="AC1179" s="83">
        <f t="shared" si="322"/>
        <v>120</v>
      </c>
      <c r="AD1179" s="72">
        <v>120</v>
      </c>
      <c r="AE1179" s="73">
        <f t="shared" si="329"/>
        <v>821.84943463868888</v>
      </c>
      <c r="AF1179" s="73">
        <f>SUM(AE$2:AE1179)</f>
        <v>992292.55063560535</v>
      </c>
      <c r="AG1179" s="73">
        <f t="shared" si="330"/>
        <v>181437.35179150384</v>
      </c>
    </row>
    <row r="1180" spans="1:33" x14ac:dyDescent="0.25">
      <c r="A1180" s="100">
        <v>205329.4</v>
      </c>
      <c r="B1180" s="97">
        <v>819.40480000000002</v>
      </c>
      <c r="C1180" s="97">
        <v>0.86399999999999999</v>
      </c>
      <c r="D1180" s="80">
        <f t="shared" si="315"/>
        <v>29.479999999981374</v>
      </c>
      <c r="E1180" s="81">
        <f t="shared" si="323"/>
        <v>2002.0586342443589</v>
      </c>
      <c r="F1180" s="81">
        <f>SUM(E$2:E1180)</f>
        <v>7419477.1544976719</v>
      </c>
      <c r="G1180" s="43">
        <f t="shared" si="321"/>
        <v>2</v>
      </c>
      <c r="H1180" s="78">
        <v>1</v>
      </c>
      <c r="I1180" s="15">
        <f t="shared" si="324"/>
        <v>0.86399999999999999</v>
      </c>
      <c r="J1180" s="16">
        <f>VLOOKUP(G1180,Inputs!$L$3:$P$15,5,FALSE)</f>
        <v>2880</v>
      </c>
      <c r="K1180" s="16">
        <f t="shared" si="325"/>
        <v>1825</v>
      </c>
      <c r="L1180" s="79">
        <f>Inputs!$P$8-B1180</f>
        <v>118.78620000000001</v>
      </c>
      <c r="M1180" s="79">
        <f>Inputs!$Q$8+L1180*0.433</f>
        <v>1876.4344246000001</v>
      </c>
      <c r="N1180" s="82">
        <f t="shared" si="326"/>
        <v>205329.4</v>
      </c>
      <c r="O1180" s="83">
        <f t="shared" si="327"/>
        <v>819.40480000000002</v>
      </c>
      <c r="P1180" s="84">
        <f>IF(O1180="","",Inputs!$C$5-O1180)</f>
        <v>5.7796999999999343</v>
      </c>
      <c r="Q1180" s="83">
        <f>IF(N1180="","",TS!J1180)</f>
        <v>2880</v>
      </c>
      <c r="R1180" s="83">
        <f>IF(N1180="","",TS!K1180)</f>
        <v>1825</v>
      </c>
      <c r="S1180" s="83">
        <f>Inputs!$H$5+TS!P1180*0.4333</f>
        <v>1877.47006046</v>
      </c>
      <c r="T1180" s="83">
        <f>Inputs!$G$5+TS!P1180*0.4333</f>
        <v>1892.47006046</v>
      </c>
      <c r="U1180" s="85">
        <f t="shared" si="328"/>
        <v>0.65710765988194442</v>
      </c>
      <c r="V1180" s="86">
        <f t="shared" si="316"/>
        <v>0</v>
      </c>
      <c r="W1180" s="86">
        <f t="shared" si="317"/>
        <v>0</v>
      </c>
      <c r="X1180" s="86" t="e">
        <f>((PI()*((42-2*'Gen Calcs'!$E$13)^2)/4)/144)*(A1223-#REF!)*(W1180+14.7)/14.7</f>
        <v>#REF!</v>
      </c>
      <c r="Y1180" s="86" t="e">
        <f t="shared" si="318"/>
        <v>#REF!</v>
      </c>
      <c r="Z1180" s="86" t="e">
        <f t="shared" si="319"/>
        <v>#REF!</v>
      </c>
      <c r="AA1180" s="83">
        <f>MAX(B$2:B1180)-B1180</f>
        <v>118.78620000000001</v>
      </c>
      <c r="AB1180" s="83">
        <f t="shared" si="320"/>
        <v>51.4344246</v>
      </c>
      <c r="AC1180" s="83">
        <f t="shared" si="322"/>
        <v>120</v>
      </c>
      <c r="AD1180" s="72">
        <v>120</v>
      </c>
      <c r="AE1180" s="73">
        <f t="shared" si="329"/>
        <v>260.77218434874516</v>
      </c>
      <c r="AF1180" s="73">
        <f>SUM(AE$2:AE1180)</f>
        <v>992553.32281995413</v>
      </c>
      <c r="AG1180" s="73">
        <f t="shared" si="330"/>
        <v>181176.57960715506</v>
      </c>
    </row>
    <row r="1181" spans="1:33" x14ac:dyDescent="0.25">
      <c r="A1181" s="99">
        <v>205399.92</v>
      </c>
      <c r="B1181" s="96">
        <v>816.79240000000004</v>
      </c>
      <c r="C1181" s="96">
        <v>0.6</v>
      </c>
      <c r="D1181" s="80">
        <f t="shared" si="315"/>
        <v>70.520000000018626</v>
      </c>
      <c r="E1181" s="81">
        <f t="shared" si="323"/>
        <v>4789.1850368737678</v>
      </c>
      <c r="F1181" s="81">
        <f>SUM(E$2:E1181)</f>
        <v>7424266.3395345453</v>
      </c>
      <c r="G1181" s="43">
        <f t="shared" si="321"/>
        <v>1</v>
      </c>
      <c r="H1181" s="78">
        <v>1</v>
      </c>
      <c r="I1181" s="15">
        <f t="shared" si="324"/>
        <v>0.6</v>
      </c>
      <c r="J1181" s="16">
        <f>VLOOKUP(G1181,Inputs!$L$3:$P$15,5,FALSE)</f>
        <v>2000</v>
      </c>
      <c r="K1181" s="16">
        <f t="shared" si="325"/>
        <v>1825</v>
      </c>
      <c r="L1181" s="79">
        <f>Inputs!$P$8-B1181</f>
        <v>121.39859999999999</v>
      </c>
      <c r="M1181" s="79">
        <f>Inputs!$Q$8+L1181*0.433</f>
        <v>1877.5655938</v>
      </c>
      <c r="N1181" s="82">
        <f t="shared" si="326"/>
        <v>205399.92</v>
      </c>
      <c r="O1181" s="83">
        <f t="shared" si="327"/>
        <v>816.79240000000004</v>
      </c>
      <c r="P1181" s="84">
        <f>IF(O1181="","",Inputs!$C$5-O1181)</f>
        <v>8.392099999999914</v>
      </c>
      <c r="Q1181" s="83">
        <f>IF(N1181="","",TS!J1181)</f>
        <v>2000</v>
      </c>
      <c r="R1181" s="83">
        <f>IF(N1181="","",TS!K1181)</f>
        <v>1825</v>
      </c>
      <c r="S1181" s="83">
        <f>Inputs!$H$5+TS!P1181*0.4333</f>
        <v>1878.60201338</v>
      </c>
      <c r="T1181" s="83">
        <f>Inputs!$G$5+TS!P1181*0.4333</f>
        <v>1893.60201338</v>
      </c>
      <c r="U1181" s="85">
        <f t="shared" si="328"/>
        <v>0.94680100669</v>
      </c>
      <c r="V1181" s="86">
        <f t="shared" si="316"/>
        <v>0</v>
      </c>
      <c r="W1181" s="86">
        <f t="shared" si="317"/>
        <v>0</v>
      </c>
      <c r="X1181" s="86" t="e">
        <f>((PI()*((42-2*'Gen Calcs'!$E$13)^2)/4)/144)*(A1224-#REF!)*(W1181+14.7)/14.7</f>
        <v>#REF!</v>
      </c>
      <c r="Y1181" s="86" t="e">
        <f t="shared" si="318"/>
        <v>#REF!</v>
      </c>
      <c r="Z1181" s="86" t="e">
        <f t="shared" si="319"/>
        <v>#REF!</v>
      </c>
      <c r="AA1181" s="83">
        <f>MAX(B$2:B1181)-B1181</f>
        <v>121.39859999999999</v>
      </c>
      <c r="AB1181" s="83">
        <f t="shared" si="320"/>
        <v>52.565593799999995</v>
      </c>
      <c r="AC1181" s="83">
        <f t="shared" si="322"/>
        <v>120</v>
      </c>
      <c r="AD1181" s="72">
        <v>120</v>
      </c>
      <c r="AE1181" s="73">
        <f t="shared" si="329"/>
        <v>640.26537926119886</v>
      </c>
      <c r="AF1181" s="73">
        <f>SUM(AE$2:AE1181)</f>
        <v>993193.58819921536</v>
      </c>
      <c r="AG1181" s="73">
        <f t="shared" si="330"/>
        <v>180536.31422789383</v>
      </c>
    </row>
    <row r="1182" spans="1:33" x14ac:dyDescent="0.25">
      <c r="A1182" s="100">
        <v>205499.92</v>
      </c>
      <c r="B1182" s="97">
        <v>812.65089999999998</v>
      </c>
      <c r="C1182" s="97">
        <v>0.6</v>
      </c>
      <c r="D1182" s="80">
        <f t="shared" si="315"/>
        <v>100</v>
      </c>
      <c r="E1182" s="81">
        <f t="shared" si="323"/>
        <v>6616.6076625842816</v>
      </c>
      <c r="F1182" s="81">
        <f>SUM(E$2:E1182)</f>
        <v>7430882.9471971299</v>
      </c>
      <c r="G1182" s="43">
        <f t="shared" si="321"/>
        <v>1</v>
      </c>
      <c r="H1182" s="78">
        <v>1</v>
      </c>
      <c r="I1182" s="15">
        <f t="shared" si="324"/>
        <v>0.6</v>
      </c>
      <c r="J1182" s="16">
        <f>VLOOKUP(G1182,Inputs!$L$3:$P$15,5,FALSE)</f>
        <v>2000</v>
      </c>
      <c r="K1182" s="16">
        <f t="shared" si="325"/>
        <v>1825</v>
      </c>
      <c r="L1182" s="79">
        <f>Inputs!$P$8-B1182</f>
        <v>125.54010000000005</v>
      </c>
      <c r="M1182" s="79">
        <f>Inputs!$Q$8+L1182*0.433</f>
        <v>1879.3588632999999</v>
      </c>
      <c r="N1182" s="82">
        <f t="shared" si="326"/>
        <v>205499.92</v>
      </c>
      <c r="O1182" s="83">
        <f t="shared" si="327"/>
        <v>812.65089999999998</v>
      </c>
      <c r="P1182" s="84">
        <f>IF(O1182="","",Inputs!$C$5-O1182)</f>
        <v>12.533599999999979</v>
      </c>
      <c r="Q1182" s="83">
        <f>IF(N1182="","",TS!J1182)</f>
        <v>2000</v>
      </c>
      <c r="R1182" s="83">
        <f>IF(N1182="","",TS!K1182)</f>
        <v>1825</v>
      </c>
      <c r="S1182" s="83">
        <f>Inputs!$H$5+TS!P1182*0.4333</f>
        <v>1880.39652533</v>
      </c>
      <c r="T1182" s="83">
        <f>Inputs!$G$5+TS!P1182*0.4333</f>
        <v>1895.39652533</v>
      </c>
      <c r="U1182" s="85">
        <f t="shared" si="328"/>
        <v>0.94769826266500001</v>
      </c>
      <c r="V1182" s="86">
        <f t="shared" si="316"/>
        <v>0</v>
      </c>
      <c r="W1182" s="86">
        <f t="shared" si="317"/>
        <v>0</v>
      </c>
      <c r="X1182" s="86" t="e">
        <f>((PI()*((42-2*'Gen Calcs'!$E$13)^2)/4)/144)*(A1225-#REF!)*(W1182+14.7)/14.7</f>
        <v>#REF!</v>
      </c>
      <c r="Y1182" s="86" t="e">
        <f t="shared" si="318"/>
        <v>#REF!</v>
      </c>
      <c r="Z1182" s="86" t="e">
        <f t="shared" si="319"/>
        <v>#REF!</v>
      </c>
      <c r="AA1182" s="83">
        <f>MAX(B$2:B1182)-B1182</f>
        <v>125.54010000000005</v>
      </c>
      <c r="AB1182" s="83">
        <f t="shared" si="320"/>
        <v>54.358863300000024</v>
      </c>
      <c r="AC1182" s="83">
        <f t="shared" si="322"/>
        <v>120</v>
      </c>
      <c r="AD1182" s="72">
        <v>120</v>
      </c>
      <c r="AE1182" s="73">
        <f t="shared" si="329"/>
        <v>907.92027688745009</v>
      </c>
      <c r="AF1182" s="73">
        <f>SUM(AE$2:AE1182)</f>
        <v>994101.50847610284</v>
      </c>
      <c r="AG1182" s="73">
        <f t="shared" si="330"/>
        <v>179628.39395100635</v>
      </c>
    </row>
    <row r="1183" spans="1:33" x14ac:dyDescent="0.25">
      <c r="A1183" s="99">
        <v>205599.92</v>
      </c>
      <c r="B1183" s="96">
        <v>808.56110000000001</v>
      </c>
      <c r="C1183" s="96">
        <v>0.6</v>
      </c>
      <c r="D1183" s="80">
        <f t="shared" si="315"/>
        <v>100</v>
      </c>
      <c r="E1183" s="81">
        <f t="shared" si="323"/>
        <v>6791.2436711181272</v>
      </c>
      <c r="F1183" s="81">
        <f>SUM(E$2:E1183)</f>
        <v>7437674.1908682482</v>
      </c>
      <c r="G1183" s="43">
        <f t="shared" si="321"/>
        <v>1</v>
      </c>
      <c r="H1183" s="78">
        <v>1</v>
      </c>
      <c r="I1183" s="15">
        <f t="shared" si="324"/>
        <v>0.6</v>
      </c>
      <c r="J1183" s="16">
        <f>VLOOKUP(G1183,Inputs!$L$3:$P$15,5,FALSE)</f>
        <v>2000</v>
      </c>
      <c r="K1183" s="16">
        <f t="shared" si="325"/>
        <v>1825</v>
      </c>
      <c r="L1183" s="79">
        <f>Inputs!$P$8-B1183</f>
        <v>129.62990000000002</v>
      </c>
      <c r="M1183" s="79">
        <f>Inputs!$Q$8+L1183*0.433</f>
        <v>1881.1297466999999</v>
      </c>
      <c r="N1183" s="82">
        <f t="shared" si="326"/>
        <v>205599.92</v>
      </c>
      <c r="O1183" s="83">
        <f t="shared" si="327"/>
        <v>808.56110000000001</v>
      </c>
      <c r="P1183" s="84">
        <f>IF(O1183="","",Inputs!$C$5-O1183)</f>
        <v>16.623399999999947</v>
      </c>
      <c r="Q1183" s="83">
        <f>IF(N1183="","",TS!J1183)</f>
        <v>2000</v>
      </c>
      <c r="R1183" s="83">
        <f>IF(N1183="","",TS!K1183)</f>
        <v>1825</v>
      </c>
      <c r="S1183" s="83">
        <f>Inputs!$H$5+TS!P1183*0.4333</f>
        <v>1882.16863567</v>
      </c>
      <c r="T1183" s="83">
        <f>Inputs!$G$5+TS!P1183*0.4333</f>
        <v>1897.16863567</v>
      </c>
      <c r="U1183" s="85">
        <f t="shared" si="328"/>
        <v>0.94858431783499997</v>
      </c>
      <c r="V1183" s="86">
        <f t="shared" si="316"/>
        <v>0</v>
      </c>
      <c r="W1183" s="86">
        <f t="shared" si="317"/>
        <v>0</v>
      </c>
      <c r="X1183" s="86" t="e">
        <f>((PI()*((42-2*'Gen Calcs'!$E$13)^2)/4)/144)*(A1226-#REF!)*(W1183+14.7)/14.7</f>
        <v>#REF!</v>
      </c>
      <c r="Y1183" s="86" t="e">
        <f t="shared" si="318"/>
        <v>#REF!</v>
      </c>
      <c r="Z1183" s="86" t="e">
        <f t="shared" si="319"/>
        <v>#REF!</v>
      </c>
      <c r="AA1183" s="83">
        <f>MAX(B$2:B1183)-B1183</f>
        <v>129.62990000000002</v>
      </c>
      <c r="AB1183" s="83">
        <f t="shared" si="320"/>
        <v>56.129746700000005</v>
      </c>
      <c r="AC1183" s="83">
        <f t="shared" si="322"/>
        <v>120</v>
      </c>
      <c r="AD1183" s="72">
        <v>120</v>
      </c>
      <c r="AE1183" s="73">
        <f t="shared" si="329"/>
        <v>907.92027688745009</v>
      </c>
      <c r="AF1183" s="73">
        <f>SUM(AE$2:AE1183)</f>
        <v>995009.42875299032</v>
      </c>
      <c r="AG1183" s="73">
        <f t="shared" si="330"/>
        <v>178720.47367411887</v>
      </c>
    </row>
    <row r="1184" spans="1:33" x14ac:dyDescent="0.25">
      <c r="A1184" s="100">
        <v>205699.92</v>
      </c>
      <c r="B1184" s="97">
        <v>805.64840000000004</v>
      </c>
      <c r="C1184" s="97">
        <v>0.6</v>
      </c>
      <c r="D1184" s="80">
        <f t="shared" si="315"/>
        <v>100</v>
      </c>
      <c r="E1184" s="81">
        <f t="shared" si="323"/>
        <v>6616.6076625842816</v>
      </c>
      <c r="F1184" s="81">
        <f>SUM(E$2:E1184)</f>
        <v>7444290.7985308329</v>
      </c>
      <c r="G1184" s="43">
        <f t="shared" si="321"/>
        <v>1</v>
      </c>
      <c r="H1184" s="78">
        <v>1</v>
      </c>
      <c r="I1184" s="15">
        <f t="shared" si="324"/>
        <v>0.6</v>
      </c>
      <c r="J1184" s="16">
        <f>VLOOKUP(G1184,Inputs!$L$3:$P$15,5,FALSE)</f>
        <v>2000</v>
      </c>
      <c r="K1184" s="16">
        <f t="shared" si="325"/>
        <v>1825</v>
      </c>
      <c r="L1184" s="79">
        <f>Inputs!$P$8-B1184</f>
        <v>132.54259999999999</v>
      </c>
      <c r="M1184" s="79">
        <f>Inputs!$Q$8+L1184*0.433</f>
        <v>1882.3909458000001</v>
      </c>
      <c r="N1184" s="82">
        <f t="shared" si="326"/>
        <v>205699.92</v>
      </c>
      <c r="O1184" s="83">
        <f t="shared" si="327"/>
        <v>805.64840000000004</v>
      </c>
      <c r="P1184" s="84">
        <f>IF(O1184="","",Inputs!$C$5-O1184)</f>
        <v>19.536099999999919</v>
      </c>
      <c r="Q1184" s="83">
        <f>IF(N1184="","",TS!J1184)</f>
        <v>2000</v>
      </c>
      <c r="R1184" s="83">
        <f>IF(N1184="","",TS!K1184)</f>
        <v>1825</v>
      </c>
      <c r="S1184" s="83">
        <f>Inputs!$H$5+TS!P1184*0.4333</f>
        <v>1883.4307085799999</v>
      </c>
      <c r="T1184" s="83">
        <f>Inputs!$G$5+TS!P1184*0.4333</f>
        <v>1898.4307085799999</v>
      </c>
      <c r="U1184" s="85">
        <f t="shared" si="328"/>
        <v>0.94921535428999992</v>
      </c>
      <c r="V1184" s="86">
        <f t="shared" si="316"/>
        <v>0</v>
      </c>
      <c r="W1184" s="86">
        <f t="shared" si="317"/>
        <v>0</v>
      </c>
      <c r="X1184" s="86" t="e">
        <f>((PI()*((42-2*'Gen Calcs'!$E$13)^2)/4)/144)*(A1227-#REF!)*(W1184+14.7)/14.7</f>
        <v>#REF!</v>
      </c>
      <c r="Y1184" s="86" t="e">
        <f t="shared" si="318"/>
        <v>#REF!</v>
      </c>
      <c r="Z1184" s="86" t="e">
        <f t="shared" si="319"/>
        <v>#REF!</v>
      </c>
      <c r="AA1184" s="83">
        <f>MAX(B$2:B1184)-B1184</f>
        <v>132.54259999999999</v>
      </c>
      <c r="AB1184" s="83">
        <f t="shared" si="320"/>
        <v>57.390945799999997</v>
      </c>
      <c r="AC1184" s="83">
        <f t="shared" si="322"/>
        <v>120</v>
      </c>
      <c r="AD1184" s="72">
        <v>120</v>
      </c>
      <c r="AE1184" s="73">
        <f t="shared" si="329"/>
        <v>907.92027688745009</v>
      </c>
      <c r="AF1184" s="73">
        <f>SUM(AE$2:AE1184)</f>
        <v>995917.34902987781</v>
      </c>
      <c r="AG1184" s="73">
        <f t="shared" si="330"/>
        <v>177812.55339723139</v>
      </c>
    </row>
    <row r="1185" spans="1:33" x14ac:dyDescent="0.25">
      <c r="A1185" s="99">
        <v>205799.92</v>
      </c>
      <c r="B1185" s="96">
        <v>800.80190000000005</v>
      </c>
      <c r="C1185" s="96">
        <v>0.6</v>
      </c>
      <c r="D1185" s="80">
        <f t="shared" ref="D1185:D1248" si="331">A1185-A1184</f>
        <v>100</v>
      </c>
      <c r="E1185" s="81">
        <f t="shared" si="323"/>
        <v>6791.2436711181272</v>
      </c>
      <c r="F1185" s="81">
        <f>SUM(E$2:E1185)</f>
        <v>7451082.0422019511</v>
      </c>
      <c r="G1185" s="43">
        <f t="shared" si="321"/>
        <v>1</v>
      </c>
      <c r="H1185" s="78">
        <v>1</v>
      </c>
      <c r="I1185" s="15">
        <f t="shared" si="324"/>
        <v>0.6</v>
      </c>
      <c r="J1185" s="16">
        <f>VLOOKUP(G1185,Inputs!$L$3:$P$15,5,FALSE)</f>
        <v>2000</v>
      </c>
      <c r="K1185" s="16">
        <f t="shared" si="325"/>
        <v>1825</v>
      </c>
      <c r="L1185" s="79">
        <f>Inputs!$P$8-B1185</f>
        <v>137.38909999999998</v>
      </c>
      <c r="M1185" s="79">
        <f>Inputs!$Q$8+L1185*0.433</f>
        <v>1884.4894803</v>
      </c>
      <c r="N1185" s="82">
        <f t="shared" si="326"/>
        <v>205799.92</v>
      </c>
      <c r="O1185" s="83">
        <f t="shared" si="327"/>
        <v>800.80190000000005</v>
      </c>
      <c r="P1185" s="84">
        <f>IF(O1185="","",Inputs!$C$5-O1185)</f>
        <v>24.382599999999911</v>
      </c>
      <c r="Q1185" s="83">
        <f>IF(N1185="","",TS!J1185)</f>
        <v>2000</v>
      </c>
      <c r="R1185" s="83">
        <f>IF(N1185="","",TS!K1185)</f>
        <v>1825</v>
      </c>
      <c r="S1185" s="83">
        <f>Inputs!$H$5+TS!P1185*0.4333</f>
        <v>1885.5306970299998</v>
      </c>
      <c r="T1185" s="83">
        <f>Inputs!$G$5+TS!P1185*0.4333</f>
        <v>1900.5306970299998</v>
      </c>
      <c r="U1185" s="85">
        <f t="shared" si="328"/>
        <v>0.95026534851499989</v>
      </c>
      <c r="V1185" s="86">
        <f t="shared" si="316"/>
        <v>0</v>
      </c>
      <c r="W1185" s="86">
        <f t="shared" si="317"/>
        <v>0</v>
      </c>
      <c r="X1185" s="86" t="e">
        <f>((PI()*((42-2*'Gen Calcs'!$E$13)^2)/4)/144)*(A1228-#REF!)*(W1185+14.7)/14.7</f>
        <v>#REF!</v>
      </c>
      <c r="Y1185" s="86" t="e">
        <f t="shared" si="318"/>
        <v>#REF!</v>
      </c>
      <c r="Z1185" s="86" t="e">
        <f t="shared" si="319"/>
        <v>#REF!</v>
      </c>
      <c r="AA1185" s="83">
        <f>MAX(B$2:B1185)-B1185</f>
        <v>137.38909999999998</v>
      </c>
      <c r="AB1185" s="83">
        <f t="shared" si="320"/>
        <v>59.48948029999999</v>
      </c>
      <c r="AC1185" s="83">
        <f t="shared" si="322"/>
        <v>120</v>
      </c>
      <c r="AD1185" s="72">
        <v>120</v>
      </c>
      <c r="AE1185" s="73">
        <f t="shared" si="329"/>
        <v>907.92027688745009</v>
      </c>
      <c r="AF1185" s="73">
        <f>SUM(AE$2:AE1185)</f>
        <v>996825.26930676529</v>
      </c>
      <c r="AG1185" s="73">
        <f t="shared" si="330"/>
        <v>176904.6331203439</v>
      </c>
    </row>
    <row r="1186" spans="1:33" x14ac:dyDescent="0.25">
      <c r="A1186" s="100">
        <v>205899.92</v>
      </c>
      <c r="B1186" s="97">
        <v>796.02049999999997</v>
      </c>
      <c r="C1186" s="97">
        <v>0.6</v>
      </c>
      <c r="D1186" s="80">
        <f t="shared" si="331"/>
        <v>100</v>
      </c>
      <c r="E1186" s="81">
        <f t="shared" si="323"/>
        <v>6791.2436711181272</v>
      </c>
      <c r="F1186" s="81">
        <f>SUM(E$2:E1186)</f>
        <v>7457873.2858730694</v>
      </c>
      <c r="G1186" s="43">
        <f t="shared" si="321"/>
        <v>1</v>
      </c>
      <c r="H1186" s="78">
        <v>1</v>
      </c>
      <c r="I1186" s="15">
        <f t="shared" si="324"/>
        <v>0.6</v>
      </c>
      <c r="J1186" s="16">
        <f>VLOOKUP(G1186,Inputs!$L$3:$P$15,5,FALSE)</f>
        <v>2000</v>
      </c>
      <c r="K1186" s="16">
        <f t="shared" si="325"/>
        <v>1825</v>
      </c>
      <c r="L1186" s="79">
        <f>Inputs!$P$8-B1186</f>
        <v>142.17050000000006</v>
      </c>
      <c r="M1186" s="79">
        <f>Inputs!$Q$8+L1186*0.433</f>
        <v>1886.5598265000001</v>
      </c>
      <c r="N1186" s="82">
        <f t="shared" si="326"/>
        <v>205899.92</v>
      </c>
      <c r="O1186" s="83">
        <f t="shared" si="327"/>
        <v>796.02049999999997</v>
      </c>
      <c r="P1186" s="84">
        <f>IF(O1186="","",Inputs!$C$5-O1186)</f>
        <v>29.163999999999987</v>
      </c>
      <c r="Q1186" s="83">
        <f>IF(N1186="","",TS!J1186)</f>
        <v>2000</v>
      </c>
      <c r="R1186" s="83">
        <f>IF(N1186="","",TS!K1186)</f>
        <v>1825</v>
      </c>
      <c r="S1186" s="83">
        <f>Inputs!$H$5+TS!P1186*0.4333</f>
        <v>1887.6024776499999</v>
      </c>
      <c r="T1186" s="83">
        <f>Inputs!$G$5+TS!P1186*0.4333</f>
        <v>1902.6024776499999</v>
      </c>
      <c r="U1186" s="85">
        <f t="shared" si="328"/>
        <v>0.95130123882499995</v>
      </c>
      <c r="V1186" s="86">
        <f t="shared" si="316"/>
        <v>0</v>
      </c>
      <c r="W1186" s="86">
        <f t="shared" si="317"/>
        <v>0</v>
      </c>
      <c r="X1186" s="86" t="e">
        <f>((PI()*((42-2*'Gen Calcs'!$E$13)^2)/4)/144)*(A1229-#REF!)*(W1186+14.7)/14.7</f>
        <v>#REF!</v>
      </c>
      <c r="Y1186" s="86" t="e">
        <f t="shared" si="318"/>
        <v>#REF!</v>
      </c>
      <c r="Z1186" s="86" t="e">
        <f t="shared" si="319"/>
        <v>#REF!</v>
      </c>
      <c r="AA1186" s="83">
        <f>MAX(B$2:B1186)-B1186</f>
        <v>142.17050000000006</v>
      </c>
      <c r="AB1186" s="83">
        <f t="shared" si="320"/>
        <v>61.559826500000028</v>
      </c>
      <c r="AC1186" s="83">
        <f t="shared" si="322"/>
        <v>120</v>
      </c>
      <c r="AD1186" s="72">
        <v>120</v>
      </c>
      <c r="AE1186" s="73">
        <f t="shared" si="329"/>
        <v>907.92027688745009</v>
      </c>
      <c r="AF1186" s="73">
        <f>SUM(AE$2:AE1186)</f>
        <v>997733.18958365277</v>
      </c>
      <c r="AG1186" s="73">
        <f t="shared" si="330"/>
        <v>175996.71284345642</v>
      </c>
    </row>
    <row r="1187" spans="1:33" x14ac:dyDescent="0.25">
      <c r="A1187" s="99">
        <v>205999.92</v>
      </c>
      <c r="B1187" s="96">
        <v>791.09040000000005</v>
      </c>
      <c r="C1187" s="96">
        <v>0.6</v>
      </c>
      <c r="D1187" s="80">
        <f t="shared" si="331"/>
        <v>100</v>
      </c>
      <c r="E1187" s="81">
        <f t="shared" si="323"/>
        <v>6791.2436711181272</v>
      </c>
      <c r="F1187" s="81">
        <f>SUM(E$2:E1187)</f>
        <v>7464664.5295441877</v>
      </c>
      <c r="G1187" s="43">
        <f t="shared" si="321"/>
        <v>1</v>
      </c>
      <c r="H1187" s="78">
        <v>1</v>
      </c>
      <c r="I1187" s="15">
        <f t="shared" si="324"/>
        <v>0.6</v>
      </c>
      <c r="J1187" s="16">
        <f>VLOOKUP(G1187,Inputs!$L$3:$P$15,5,FALSE)</f>
        <v>2000</v>
      </c>
      <c r="K1187" s="16">
        <f t="shared" si="325"/>
        <v>1825</v>
      </c>
      <c r="L1187" s="79">
        <f>Inputs!$P$8-B1187</f>
        <v>147.10059999999999</v>
      </c>
      <c r="M1187" s="79">
        <f>Inputs!$Q$8+L1187*0.433</f>
        <v>1888.6945598</v>
      </c>
      <c r="N1187" s="82">
        <f t="shared" si="326"/>
        <v>205999.92</v>
      </c>
      <c r="O1187" s="83">
        <f t="shared" si="327"/>
        <v>791.09040000000005</v>
      </c>
      <c r="P1187" s="84">
        <f>IF(O1187="","",Inputs!$C$5-O1187)</f>
        <v>34.094099999999912</v>
      </c>
      <c r="Q1187" s="83">
        <f>IF(N1187="","",TS!J1187)</f>
        <v>2000</v>
      </c>
      <c r="R1187" s="83">
        <f>IF(N1187="","",TS!K1187)</f>
        <v>1825</v>
      </c>
      <c r="S1187" s="83">
        <f>Inputs!$H$5+TS!P1187*0.4333</f>
        <v>1889.7386899799999</v>
      </c>
      <c r="T1187" s="83">
        <f>Inputs!$G$5+TS!P1187*0.4333</f>
        <v>1904.7386899799999</v>
      </c>
      <c r="U1187" s="85">
        <f t="shared" si="328"/>
        <v>0.95236934498999992</v>
      </c>
      <c r="V1187" s="86">
        <f t="shared" si="316"/>
        <v>0</v>
      </c>
      <c r="W1187" s="86">
        <f t="shared" si="317"/>
        <v>0</v>
      </c>
      <c r="X1187" s="86" t="e">
        <f>((PI()*((42-2*'Gen Calcs'!$E$13)^2)/4)/144)*(A1230-#REF!)*(W1187+14.7)/14.7</f>
        <v>#REF!</v>
      </c>
      <c r="Y1187" s="86" t="e">
        <f t="shared" si="318"/>
        <v>#REF!</v>
      </c>
      <c r="Z1187" s="86" t="e">
        <f t="shared" si="319"/>
        <v>#REF!</v>
      </c>
      <c r="AA1187" s="83">
        <f>MAX(B$2:B1187)-B1187</f>
        <v>147.10059999999999</v>
      </c>
      <c r="AB1187" s="83">
        <f t="shared" si="320"/>
        <v>63.694559799999993</v>
      </c>
      <c r="AC1187" s="83">
        <f t="shared" si="322"/>
        <v>120</v>
      </c>
      <c r="AD1187" s="72">
        <v>120</v>
      </c>
      <c r="AE1187" s="73">
        <f t="shared" si="329"/>
        <v>907.92027688745009</v>
      </c>
      <c r="AF1187" s="73">
        <f>SUM(AE$2:AE1187)</f>
        <v>998641.10986054025</v>
      </c>
      <c r="AG1187" s="73">
        <f t="shared" si="330"/>
        <v>175088.79256656894</v>
      </c>
    </row>
    <row r="1188" spans="1:33" x14ac:dyDescent="0.25">
      <c r="A1188" s="100">
        <v>206099.92</v>
      </c>
      <c r="B1188" s="97">
        <v>787.31679999999994</v>
      </c>
      <c r="C1188" s="97">
        <v>0.6</v>
      </c>
      <c r="D1188" s="80">
        <f t="shared" si="331"/>
        <v>100</v>
      </c>
      <c r="E1188" s="81">
        <f t="shared" si="323"/>
        <v>6791.2436711181272</v>
      </c>
      <c r="F1188" s="81">
        <f>SUM(E$2:E1188)</f>
        <v>7471455.773215306</v>
      </c>
      <c r="G1188" s="43">
        <f t="shared" si="321"/>
        <v>1</v>
      </c>
      <c r="H1188" s="78">
        <v>1</v>
      </c>
      <c r="I1188" s="15">
        <f t="shared" si="324"/>
        <v>0.6</v>
      </c>
      <c r="J1188" s="16">
        <f>VLOOKUP(G1188,Inputs!$L$3:$P$15,5,FALSE)</f>
        <v>2000</v>
      </c>
      <c r="K1188" s="16">
        <f t="shared" si="325"/>
        <v>1825</v>
      </c>
      <c r="L1188" s="79">
        <f>Inputs!$P$8-B1188</f>
        <v>150.87420000000009</v>
      </c>
      <c r="M1188" s="79">
        <f>Inputs!$Q$8+L1188*0.433</f>
        <v>1890.3285286</v>
      </c>
      <c r="N1188" s="82">
        <f t="shared" si="326"/>
        <v>206099.92</v>
      </c>
      <c r="O1188" s="83">
        <f t="shared" si="327"/>
        <v>787.31679999999994</v>
      </c>
      <c r="P1188" s="84">
        <f>IF(O1188="","",Inputs!$C$5-O1188)</f>
        <v>37.867700000000013</v>
      </c>
      <c r="Q1188" s="83">
        <f>IF(N1188="","",TS!J1188)</f>
        <v>2000</v>
      </c>
      <c r="R1188" s="83">
        <f>IF(N1188="","",TS!K1188)</f>
        <v>1825</v>
      </c>
      <c r="S1188" s="83">
        <f>Inputs!$H$5+TS!P1188*0.4333</f>
        <v>1891.3737908599999</v>
      </c>
      <c r="T1188" s="83">
        <f>Inputs!$G$5+TS!P1188*0.4333</f>
        <v>1906.3737908599999</v>
      </c>
      <c r="U1188" s="85">
        <f t="shared" si="328"/>
        <v>0.9531868954299999</v>
      </c>
      <c r="V1188" s="86">
        <f t="shared" si="316"/>
        <v>0</v>
      </c>
      <c r="W1188" s="86">
        <f t="shared" si="317"/>
        <v>0</v>
      </c>
      <c r="X1188" s="86" t="e">
        <f>((PI()*((42-2*'Gen Calcs'!$E$13)^2)/4)/144)*(A1231-#REF!)*(W1188+14.7)/14.7</f>
        <v>#REF!</v>
      </c>
      <c r="Y1188" s="86" t="e">
        <f t="shared" si="318"/>
        <v>#REF!</v>
      </c>
      <c r="Z1188" s="86" t="e">
        <f t="shared" si="319"/>
        <v>#REF!</v>
      </c>
      <c r="AA1188" s="83">
        <f>MAX(B$2:B1188)-B1188</f>
        <v>150.87420000000009</v>
      </c>
      <c r="AB1188" s="83">
        <f t="shared" si="320"/>
        <v>65.328528600000041</v>
      </c>
      <c r="AC1188" s="83">
        <f t="shared" si="322"/>
        <v>120</v>
      </c>
      <c r="AD1188" s="72">
        <v>120</v>
      </c>
      <c r="AE1188" s="73">
        <f t="shared" si="329"/>
        <v>907.92027688745009</v>
      </c>
      <c r="AF1188" s="73">
        <f>SUM(AE$2:AE1188)</f>
        <v>999549.03013742773</v>
      </c>
      <c r="AG1188" s="73">
        <f t="shared" si="330"/>
        <v>174180.87228968146</v>
      </c>
    </row>
    <row r="1189" spans="1:33" x14ac:dyDescent="0.25">
      <c r="A1189" s="99">
        <v>206199.92</v>
      </c>
      <c r="B1189" s="96">
        <v>782.36630000000002</v>
      </c>
      <c r="C1189" s="96">
        <v>0.6</v>
      </c>
      <c r="D1189" s="80">
        <f t="shared" si="331"/>
        <v>100</v>
      </c>
      <c r="E1189" s="81">
        <f t="shared" si="323"/>
        <v>6616.6076625842816</v>
      </c>
      <c r="F1189" s="81">
        <f>SUM(E$2:E1189)</f>
        <v>7478072.3808778906</v>
      </c>
      <c r="G1189" s="43">
        <f t="shared" si="321"/>
        <v>1</v>
      </c>
      <c r="H1189" s="78">
        <v>1</v>
      </c>
      <c r="I1189" s="15">
        <f t="shared" si="324"/>
        <v>0.6</v>
      </c>
      <c r="J1189" s="16">
        <f>VLOOKUP(G1189,Inputs!$L$3:$P$15,5,FALSE)</f>
        <v>2000</v>
      </c>
      <c r="K1189" s="16">
        <f t="shared" si="325"/>
        <v>1825</v>
      </c>
      <c r="L1189" s="79">
        <f>Inputs!$P$8-B1189</f>
        <v>155.82470000000001</v>
      </c>
      <c r="M1189" s="79">
        <f>Inputs!$Q$8+L1189*0.433</f>
        <v>1892.4720950999999</v>
      </c>
      <c r="N1189" s="82">
        <f t="shared" si="326"/>
        <v>206199.92</v>
      </c>
      <c r="O1189" s="83">
        <f t="shared" si="327"/>
        <v>782.36630000000002</v>
      </c>
      <c r="P1189" s="84">
        <f>IF(O1189="","",Inputs!$C$5-O1189)</f>
        <v>42.818199999999933</v>
      </c>
      <c r="Q1189" s="83">
        <f>IF(N1189="","",TS!J1189)</f>
        <v>2000</v>
      </c>
      <c r="R1189" s="83">
        <f>IF(N1189="","",TS!K1189)</f>
        <v>1825</v>
      </c>
      <c r="S1189" s="83">
        <f>Inputs!$H$5+TS!P1189*0.4333</f>
        <v>1893.51884251</v>
      </c>
      <c r="T1189" s="83">
        <f>Inputs!$G$5+TS!P1189*0.4333</f>
        <v>1908.51884251</v>
      </c>
      <c r="U1189" s="85">
        <f t="shared" si="328"/>
        <v>0.95425942125499996</v>
      </c>
      <c r="V1189" s="86">
        <f t="shared" si="316"/>
        <v>0</v>
      </c>
      <c r="W1189" s="86">
        <f t="shared" si="317"/>
        <v>0</v>
      </c>
      <c r="X1189" s="86" t="e">
        <f>((PI()*((42-2*'Gen Calcs'!$E$13)^2)/4)/144)*(A1232-#REF!)*(W1189+14.7)/14.7</f>
        <v>#REF!</v>
      </c>
      <c r="Y1189" s="86" t="e">
        <f t="shared" si="318"/>
        <v>#REF!</v>
      </c>
      <c r="Z1189" s="86" t="e">
        <f t="shared" si="319"/>
        <v>#REF!</v>
      </c>
      <c r="AA1189" s="83">
        <f>MAX(B$2:B1189)-B1189</f>
        <v>155.82470000000001</v>
      </c>
      <c r="AB1189" s="83">
        <f t="shared" si="320"/>
        <v>67.472095100000004</v>
      </c>
      <c r="AC1189" s="83">
        <f t="shared" si="322"/>
        <v>120</v>
      </c>
      <c r="AD1189" s="72">
        <v>120</v>
      </c>
      <c r="AE1189" s="73">
        <f t="shared" si="329"/>
        <v>907.92027688745009</v>
      </c>
      <c r="AF1189" s="73">
        <f>SUM(AE$2:AE1189)</f>
        <v>1000456.9504143152</v>
      </c>
      <c r="AG1189" s="73">
        <f t="shared" si="330"/>
        <v>173272.95201279398</v>
      </c>
    </row>
    <row r="1190" spans="1:33" x14ac:dyDescent="0.25">
      <c r="A1190" s="100">
        <v>206299.92</v>
      </c>
      <c r="B1190" s="97">
        <v>788.44770000000005</v>
      </c>
      <c r="C1190" s="97">
        <v>0.6</v>
      </c>
      <c r="D1190" s="80">
        <f t="shared" si="331"/>
        <v>100</v>
      </c>
      <c r="E1190" s="81">
        <f t="shared" si="323"/>
        <v>6791.2436711181272</v>
      </c>
      <c r="F1190" s="81">
        <f>SUM(E$2:E1190)</f>
        <v>7484863.6245490089</v>
      </c>
      <c r="G1190" s="43">
        <f t="shared" si="321"/>
        <v>1</v>
      </c>
      <c r="H1190" s="78">
        <v>1</v>
      </c>
      <c r="I1190" s="15">
        <f t="shared" si="324"/>
        <v>0.6</v>
      </c>
      <c r="J1190" s="16">
        <f>VLOOKUP(G1190,Inputs!$L$3:$P$15,5,FALSE)</f>
        <v>2000</v>
      </c>
      <c r="K1190" s="16">
        <f t="shared" si="325"/>
        <v>1825</v>
      </c>
      <c r="L1190" s="79">
        <f>Inputs!$P$8-B1190</f>
        <v>149.74329999999998</v>
      </c>
      <c r="M1190" s="79">
        <f>Inputs!$Q$8+L1190*0.433</f>
        <v>1889.8388488999999</v>
      </c>
      <c r="N1190" s="82">
        <f t="shared" si="326"/>
        <v>206299.92</v>
      </c>
      <c r="O1190" s="83">
        <f t="shared" si="327"/>
        <v>788.44770000000005</v>
      </c>
      <c r="P1190" s="84">
        <f>IF(O1190="","",Inputs!$C$5-O1190)</f>
        <v>36.736799999999903</v>
      </c>
      <c r="Q1190" s="83">
        <f>IF(N1190="","",TS!J1190)</f>
        <v>2000</v>
      </c>
      <c r="R1190" s="83">
        <f>IF(N1190="","",TS!K1190)</f>
        <v>1825</v>
      </c>
      <c r="S1190" s="83">
        <f>Inputs!$H$5+TS!P1190*0.4333</f>
        <v>1890.8837718899999</v>
      </c>
      <c r="T1190" s="83">
        <f>Inputs!$G$5+TS!P1190*0.4333</f>
        <v>1905.8837718899999</v>
      </c>
      <c r="U1190" s="85">
        <f t="shared" si="328"/>
        <v>0.95294188594499996</v>
      </c>
      <c r="V1190" s="86">
        <f t="shared" si="316"/>
        <v>0</v>
      </c>
      <c r="W1190" s="86">
        <f t="shared" si="317"/>
        <v>0</v>
      </c>
      <c r="X1190" s="86" t="e">
        <f>((PI()*((42-2*'Gen Calcs'!$E$13)^2)/4)/144)*(A1233-#REF!)*(W1190+14.7)/14.7</f>
        <v>#REF!</v>
      </c>
      <c r="Y1190" s="86" t="e">
        <f t="shared" si="318"/>
        <v>#REF!</v>
      </c>
      <c r="Z1190" s="86" t="e">
        <f t="shared" si="319"/>
        <v>#REF!</v>
      </c>
      <c r="AA1190" s="83">
        <f>MAX(B$2:B1190)-B1190</f>
        <v>149.74329999999998</v>
      </c>
      <c r="AB1190" s="83">
        <f t="shared" si="320"/>
        <v>64.838848899999988</v>
      </c>
      <c r="AC1190" s="83">
        <f t="shared" si="322"/>
        <v>120</v>
      </c>
      <c r="AD1190" s="72">
        <v>120</v>
      </c>
      <c r="AE1190" s="73">
        <f t="shared" si="329"/>
        <v>907.92027688745009</v>
      </c>
      <c r="AF1190" s="73">
        <f>SUM(AE$2:AE1190)</f>
        <v>1001364.8706912027</v>
      </c>
      <c r="AG1190" s="73">
        <f t="shared" si="330"/>
        <v>172365.03173590649</v>
      </c>
    </row>
    <row r="1191" spans="1:33" x14ac:dyDescent="0.25">
      <c r="A1191" s="99">
        <v>206399.92</v>
      </c>
      <c r="B1191" s="96">
        <v>794.33479999999997</v>
      </c>
      <c r="C1191" s="96">
        <v>0.6</v>
      </c>
      <c r="D1191" s="80">
        <f t="shared" si="331"/>
        <v>100</v>
      </c>
      <c r="E1191" s="81">
        <f t="shared" si="323"/>
        <v>6791.2436711181272</v>
      </c>
      <c r="F1191" s="81">
        <f>SUM(E$2:E1191)</f>
        <v>7491654.8682201272</v>
      </c>
      <c r="G1191" s="43">
        <f t="shared" si="321"/>
        <v>1</v>
      </c>
      <c r="H1191" s="78">
        <v>1</v>
      </c>
      <c r="I1191" s="15">
        <f t="shared" si="324"/>
        <v>0.6</v>
      </c>
      <c r="J1191" s="16">
        <f>VLOOKUP(G1191,Inputs!$L$3:$P$15,5,FALSE)</f>
        <v>2000</v>
      </c>
      <c r="K1191" s="16">
        <f t="shared" si="325"/>
        <v>1825</v>
      </c>
      <c r="L1191" s="79">
        <f>Inputs!$P$8-B1191</f>
        <v>143.85620000000006</v>
      </c>
      <c r="M1191" s="79">
        <f>Inputs!$Q$8+L1191*0.433</f>
        <v>1887.2897346</v>
      </c>
      <c r="N1191" s="82">
        <f t="shared" si="326"/>
        <v>206399.92</v>
      </c>
      <c r="O1191" s="83">
        <f t="shared" si="327"/>
        <v>794.33479999999997</v>
      </c>
      <c r="P1191" s="84">
        <f>IF(O1191="","",Inputs!$C$5-O1191)</f>
        <v>30.849699999999984</v>
      </c>
      <c r="Q1191" s="83">
        <f>IF(N1191="","",TS!J1191)</f>
        <v>2000</v>
      </c>
      <c r="R1191" s="83">
        <f>IF(N1191="","",TS!K1191)</f>
        <v>1825</v>
      </c>
      <c r="S1191" s="83">
        <f>Inputs!$H$5+TS!P1191*0.4333</f>
        <v>1888.3328914599999</v>
      </c>
      <c r="T1191" s="83">
        <f>Inputs!$G$5+TS!P1191*0.4333</f>
        <v>1903.3328914599999</v>
      </c>
      <c r="U1191" s="85">
        <f t="shared" si="328"/>
        <v>0.95166644572999992</v>
      </c>
      <c r="V1191" s="86">
        <f t="shared" si="316"/>
        <v>0</v>
      </c>
      <c r="W1191" s="86">
        <f t="shared" si="317"/>
        <v>0</v>
      </c>
      <c r="X1191" s="86" t="e">
        <f>((PI()*((42-2*'Gen Calcs'!$E$13)^2)/4)/144)*(A1234-#REF!)*(W1191+14.7)/14.7</f>
        <v>#REF!</v>
      </c>
      <c r="Y1191" s="86" t="e">
        <f t="shared" si="318"/>
        <v>#REF!</v>
      </c>
      <c r="Z1191" s="86" t="e">
        <f t="shared" si="319"/>
        <v>#REF!</v>
      </c>
      <c r="AA1191" s="83">
        <f>MAX(B$2:B1191)-B1191</f>
        <v>143.85620000000006</v>
      </c>
      <c r="AB1191" s="83">
        <f t="shared" si="320"/>
        <v>62.289734600000024</v>
      </c>
      <c r="AC1191" s="83">
        <f t="shared" si="322"/>
        <v>120</v>
      </c>
      <c r="AD1191" s="72">
        <v>120</v>
      </c>
      <c r="AE1191" s="73">
        <f t="shared" si="329"/>
        <v>907.92027688745009</v>
      </c>
      <c r="AF1191" s="73">
        <f>SUM(AE$2:AE1191)</f>
        <v>1002272.7909680902</v>
      </c>
      <c r="AG1191" s="73">
        <f t="shared" si="330"/>
        <v>171457.11145901901</v>
      </c>
    </row>
    <row r="1192" spans="1:33" x14ac:dyDescent="0.25">
      <c r="A1192" s="100">
        <v>206499.92</v>
      </c>
      <c r="B1192" s="97">
        <v>800.67499999999995</v>
      </c>
      <c r="C1192" s="97">
        <v>0.6</v>
      </c>
      <c r="D1192" s="80">
        <f t="shared" si="331"/>
        <v>100</v>
      </c>
      <c r="E1192" s="81">
        <f t="shared" si="323"/>
        <v>6791.2436711181272</v>
      </c>
      <c r="F1192" s="81">
        <f>SUM(E$2:E1192)</f>
        <v>7498446.1118912455</v>
      </c>
      <c r="G1192" s="43">
        <f t="shared" si="321"/>
        <v>1</v>
      </c>
      <c r="H1192" s="78">
        <v>1</v>
      </c>
      <c r="I1192" s="15">
        <f t="shared" si="324"/>
        <v>0.6</v>
      </c>
      <c r="J1192" s="16">
        <f>VLOOKUP(G1192,Inputs!$L$3:$P$15,5,FALSE)</f>
        <v>2000</v>
      </c>
      <c r="K1192" s="16">
        <f t="shared" si="325"/>
        <v>1825</v>
      </c>
      <c r="L1192" s="79">
        <f>Inputs!$P$8-B1192</f>
        <v>137.51600000000008</v>
      </c>
      <c r="M1192" s="79">
        <f>Inputs!$Q$8+L1192*0.433</f>
        <v>1884.5444279999999</v>
      </c>
      <c r="N1192" s="82">
        <f t="shared" si="326"/>
        <v>206499.92</v>
      </c>
      <c r="O1192" s="83">
        <f t="shared" si="327"/>
        <v>800.67499999999995</v>
      </c>
      <c r="P1192" s="84">
        <f>IF(O1192="","",Inputs!$C$5-O1192)</f>
        <v>24.509500000000003</v>
      </c>
      <c r="Q1192" s="83">
        <f>IF(N1192="","",TS!J1192)</f>
        <v>2000</v>
      </c>
      <c r="R1192" s="83">
        <f>IF(N1192="","",TS!K1192)</f>
        <v>1825</v>
      </c>
      <c r="S1192" s="83">
        <f>Inputs!$H$5+TS!P1192*0.4333</f>
        <v>1885.5856827999999</v>
      </c>
      <c r="T1192" s="83">
        <f>Inputs!$G$5+TS!P1192*0.4333</f>
        <v>1900.5856827999999</v>
      </c>
      <c r="U1192" s="85">
        <f t="shared" si="328"/>
        <v>0.95029284139999992</v>
      </c>
      <c r="V1192" s="86">
        <f t="shared" si="316"/>
        <v>0</v>
      </c>
      <c r="W1192" s="86">
        <f t="shared" si="317"/>
        <v>0</v>
      </c>
      <c r="X1192" s="86" t="e">
        <f>((PI()*((42-2*'Gen Calcs'!$E$13)^2)/4)/144)*(A1235-#REF!)*(W1192+14.7)/14.7</f>
        <v>#REF!</v>
      </c>
      <c r="Y1192" s="86" t="e">
        <f t="shared" si="318"/>
        <v>#REF!</v>
      </c>
      <c r="Z1192" s="86" t="e">
        <f t="shared" si="319"/>
        <v>#REF!</v>
      </c>
      <c r="AA1192" s="83">
        <f>MAX(B$2:B1192)-B1192</f>
        <v>137.51600000000008</v>
      </c>
      <c r="AB1192" s="83">
        <f t="shared" si="320"/>
        <v>59.544428000000032</v>
      </c>
      <c r="AC1192" s="83">
        <f t="shared" si="322"/>
        <v>120</v>
      </c>
      <c r="AD1192" s="72">
        <v>120</v>
      </c>
      <c r="AE1192" s="73">
        <f t="shared" si="329"/>
        <v>907.92027688745009</v>
      </c>
      <c r="AF1192" s="73">
        <f>SUM(AE$2:AE1192)</f>
        <v>1003180.7112449777</v>
      </c>
      <c r="AG1192" s="73">
        <f t="shared" si="330"/>
        <v>170549.19118213153</v>
      </c>
    </row>
    <row r="1193" spans="1:33" x14ac:dyDescent="0.25">
      <c r="A1193" s="99">
        <v>206599.92</v>
      </c>
      <c r="B1193" s="96">
        <v>802.56949999999995</v>
      </c>
      <c r="C1193" s="96">
        <v>0.6</v>
      </c>
      <c r="D1193" s="80">
        <f t="shared" si="331"/>
        <v>100</v>
      </c>
      <c r="E1193" s="81">
        <f t="shared" si="323"/>
        <v>6616.6076625842816</v>
      </c>
      <c r="F1193" s="81">
        <f>SUM(E$2:E1193)</f>
        <v>7505062.7195538301</v>
      </c>
      <c r="G1193" s="43">
        <f t="shared" si="321"/>
        <v>1</v>
      </c>
      <c r="H1193" s="78">
        <v>1</v>
      </c>
      <c r="I1193" s="15">
        <f t="shared" si="324"/>
        <v>0.6</v>
      </c>
      <c r="J1193" s="16">
        <f>VLOOKUP(G1193,Inputs!$L$3:$P$15,5,FALSE)</f>
        <v>2000</v>
      </c>
      <c r="K1193" s="16">
        <f t="shared" si="325"/>
        <v>1825</v>
      </c>
      <c r="L1193" s="79">
        <f>Inputs!$P$8-B1193</f>
        <v>135.62150000000008</v>
      </c>
      <c r="M1193" s="79">
        <f>Inputs!$Q$8+L1193*0.433</f>
        <v>1883.7241094999999</v>
      </c>
      <c r="N1193" s="82">
        <f t="shared" si="326"/>
        <v>206599.92</v>
      </c>
      <c r="O1193" s="83">
        <f t="shared" si="327"/>
        <v>802.56949999999995</v>
      </c>
      <c r="P1193" s="84">
        <f>IF(O1193="","",Inputs!$C$5-O1193)</f>
        <v>22.615000000000009</v>
      </c>
      <c r="Q1193" s="83">
        <f>IF(N1193="","",TS!J1193)</f>
        <v>2000</v>
      </c>
      <c r="R1193" s="83">
        <f>IF(N1193="","",TS!K1193)</f>
        <v>1825</v>
      </c>
      <c r="S1193" s="83">
        <f>Inputs!$H$5+TS!P1193*0.4333</f>
        <v>1884.76479595</v>
      </c>
      <c r="T1193" s="83">
        <f>Inputs!$G$5+TS!P1193*0.4333</f>
        <v>1899.76479595</v>
      </c>
      <c r="U1193" s="85">
        <f t="shared" si="328"/>
        <v>0.94988239797499996</v>
      </c>
      <c r="V1193" s="86">
        <f t="shared" si="316"/>
        <v>0</v>
      </c>
      <c r="W1193" s="86">
        <f t="shared" si="317"/>
        <v>0</v>
      </c>
      <c r="X1193" s="86" t="e">
        <f>((PI()*((42-2*'Gen Calcs'!$E$13)^2)/4)/144)*(A1236-#REF!)*(W1193+14.7)/14.7</f>
        <v>#REF!</v>
      </c>
      <c r="Y1193" s="86" t="e">
        <f t="shared" si="318"/>
        <v>#REF!</v>
      </c>
      <c r="Z1193" s="86" t="e">
        <f t="shared" si="319"/>
        <v>#REF!</v>
      </c>
      <c r="AA1193" s="83">
        <f>MAX(B$2:B1193)-B1193</f>
        <v>135.62150000000008</v>
      </c>
      <c r="AB1193" s="83">
        <f t="shared" si="320"/>
        <v>58.724109500000033</v>
      </c>
      <c r="AC1193" s="83">
        <f t="shared" si="322"/>
        <v>120</v>
      </c>
      <c r="AD1193" s="72">
        <v>120</v>
      </c>
      <c r="AE1193" s="73">
        <f t="shared" si="329"/>
        <v>907.92027688745009</v>
      </c>
      <c r="AF1193" s="73">
        <f>SUM(AE$2:AE1193)</f>
        <v>1004088.6315218651</v>
      </c>
      <c r="AG1193" s="73">
        <f t="shared" si="330"/>
        <v>169641.27090524405</v>
      </c>
    </row>
    <row r="1194" spans="1:33" x14ac:dyDescent="0.25">
      <c r="A1194" s="100">
        <v>206699.92</v>
      </c>
      <c r="B1194" s="97">
        <v>801.60810000000004</v>
      </c>
      <c r="C1194" s="97">
        <v>0.6</v>
      </c>
      <c r="D1194" s="80">
        <f t="shared" si="331"/>
        <v>100</v>
      </c>
      <c r="E1194" s="81">
        <f t="shared" si="323"/>
        <v>6791.2436711181272</v>
      </c>
      <c r="F1194" s="81">
        <f>SUM(E$2:E1194)</f>
        <v>7511853.9632249484</v>
      </c>
      <c r="G1194" s="43">
        <f t="shared" si="321"/>
        <v>1</v>
      </c>
      <c r="H1194" s="78">
        <v>1</v>
      </c>
      <c r="I1194" s="15">
        <f t="shared" si="324"/>
        <v>0.6</v>
      </c>
      <c r="J1194" s="16">
        <f>VLOOKUP(G1194,Inputs!$L$3:$P$15,5,FALSE)</f>
        <v>2000</v>
      </c>
      <c r="K1194" s="16">
        <f t="shared" si="325"/>
        <v>1825</v>
      </c>
      <c r="L1194" s="79">
        <f>Inputs!$P$8-B1194</f>
        <v>136.5829</v>
      </c>
      <c r="M1194" s="79">
        <f>Inputs!$Q$8+L1194*0.433</f>
        <v>1884.1403957</v>
      </c>
      <c r="N1194" s="82">
        <f t="shared" si="326"/>
        <v>206699.92</v>
      </c>
      <c r="O1194" s="83">
        <f t="shared" si="327"/>
        <v>801.60810000000004</v>
      </c>
      <c r="P1194" s="84">
        <f>IF(O1194="","",Inputs!$C$5-O1194)</f>
        <v>23.576399999999921</v>
      </c>
      <c r="Q1194" s="83">
        <f>IF(N1194="","",TS!J1194)</f>
        <v>2000</v>
      </c>
      <c r="R1194" s="83">
        <f>IF(N1194="","",TS!K1194)</f>
        <v>1825</v>
      </c>
      <c r="S1194" s="83">
        <f>Inputs!$H$5+TS!P1194*0.4333</f>
        <v>1885.1813705699999</v>
      </c>
      <c r="T1194" s="83">
        <f>Inputs!$G$5+TS!P1194*0.4333</f>
        <v>1900.1813705699999</v>
      </c>
      <c r="U1194" s="85">
        <f t="shared" si="328"/>
        <v>0.95009068528499996</v>
      </c>
      <c r="V1194" s="86">
        <f t="shared" si="316"/>
        <v>0</v>
      </c>
      <c r="W1194" s="86">
        <f t="shared" si="317"/>
        <v>0</v>
      </c>
      <c r="X1194" s="86" t="e">
        <f>((PI()*((42-2*'Gen Calcs'!$E$13)^2)/4)/144)*(A1237-#REF!)*(W1194+14.7)/14.7</f>
        <v>#REF!</v>
      </c>
      <c r="Y1194" s="86" t="e">
        <f t="shared" si="318"/>
        <v>#REF!</v>
      </c>
      <c r="Z1194" s="86" t="e">
        <f t="shared" si="319"/>
        <v>#REF!</v>
      </c>
      <c r="AA1194" s="83">
        <f>MAX(B$2:B1194)-B1194</f>
        <v>136.5829</v>
      </c>
      <c r="AB1194" s="83">
        <f t="shared" si="320"/>
        <v>59.140395699999999</v>
      </c>
      <c r="AC1194" s="83">
        <f t="shared" si="322"/>
        <v>120</v>
      </c>
      <c r="AD1194" s="72">
        <v>120</v>
      </c>
      <c r="AE1194" s="73">
        <f t="shared" si="329"/>
        <v>907.92027688745009</v>
      </c>
      <c r="AF1194" s="73">
        <f>SUM(AE$2:AE1194)</f>
        <v>1004996.5517987526</v>
      </c>
      <c r="AG1194" s="73">
        <f t="shared" si="330"/>
        <v>168733.35062835657</v>
      </c>
    </row>
    <row r="1195" spans="1:33" x14ac:dyDescent="0.25">
      <c r="A1195" s="99">
        <v>206799.92</v>
      </c>
      <c r="B1195" s="96">
        <v>799.23469999999998</v>
      </c>
      <c r="C1195" s="96">
        <v>0.6</v>
      </c>
      <c r="D1195" s="80">
        <f t="shared" si="331"/>
        <v>100</v>
      </c>
      <c r="E1195" s="81">
        <f t="shared" si="323"/>
        <v>6791.2436711181272</v>
      </c>
      <c r="F1195" s="81">
        <f>SUM(E$2:E1195)</f>
        <v>7518645.2068960667</v>
      </c>
      <c r="G1195" s="43">
        <f t="shared" si="321"/>
        <v>1</v>
      </c>
      <c r="H1195" s="78">
        <v>1</v>
      </c>
      <c r="I1195" s="15">
        <f t="shared" si="324"/>
        <v>0.6</v>
      </c>
      <c r="J1195" s="16">
        <f>VLOOKUP(G1195,Inputs!$L$3:$P$15,5,FALSE)</f>
        <v>2000</v>
      </c>
      <c r="K1195" s="16">
        <f t="shared" si="325"/>
        <v>1825</v>
      </c>
      <c r="L1195" s="79">
        <f>Inputs!$P$8-B1195</f>
        <v>138.95630000000006</v>
      </c>
      <c r="M1195" s="79">
        <f>Inputs!$Q$8+L1195*0.433</f>
        <v>1885.1680779000001</v>
      </c>
      <c r="N1195" s="82">
        <f t="shared" si="326"/>
        <v>206799.92</v>
      </c>
      <c r="O1195" s="83">
        <f t="shared" si="327"/>
        <v>799.23469999999998</v>
      </c>
      <c r="P1195" s="84">
        <f>IF(O1195="","",Inputs!$C$5-O1195)</f>
        <v>25.949799999999982</v>
      </c>
      <c r="Q1195" s="83">
        <f>IF(N1195="","",TS!J1195)</f>
        <v>2000</v>
      </c>
      <c r="R1195" s="83">
        <f>IF(N1195="","",TS!K1195)</f>
        <v>1825</v>
      </c>
      <c r="S1195" s="83">
        <f>Inputs!$H$5+TS!P1195*0.4333</f>
        <v>1886.20976479</v>
      </c>
      <c r="T1195" s="83">
        <f>Inputs!$G$5+TS!P1195*0.4333</f>
        <v>1901.20976479</v>
      </c>
      <c r="U1195" s="85">
        <f t="shared" si="328"/>
        <v>0.95060488239499996</v>
      </c>
      <c r="V1195" s="86">
        <f t="shared" si="316"/>
        <v>0</v>
      </c>
      <c r="W1195" s="86">
        <f t="shared" si="317"/>
        <v>0</v>
      </c>
      <c r="X1195" s="86" t="e">
        <f>((PI()*((42-2*'Gen Calcs'!$E$13)^2)/4)/144)*(A1238-#REF!)*(W1195+14.7)/14.7</f>
        <v>#REF!</v>
      </c>
      <c r="Y1195" s="86" t="e">
        <f t="shared" si="318"/>
        <v>#REF!</v>
      </c>
      <c r="Z1195" s="86" t="e">
        <f t="shared" si="319"/>
        <v>#REF!</v>
      </c>
      <c r="AA1195" s="83">
        <f>MAX(B$2:B1195)-B1195</f>
        <v>138.95630000000006</v>
      </c>
      <c r="AB1195" s="83">
        <f t="shared" si="320"/>
        <v>60.168077900000021</v>
      </c>
      <c r="AC1195" s="83">
        <f t="shared" si="322"/>
        <v>120</v>
      </c>
      <c r="AD1195" s="72">
        <v>120</v>
      </c>
      <c r="AE1195" s="73">
        <f t="shared" si="329"/>
        <v>907.92027688745009</v>
      </c>
      <c r="AF1195" s="73">
        <f>SUM(AE$2:AE1195)</f>
        <v>1005904.4720756401</v>
      </c>
      <c r="AG1195" s="73">
        <f t="shared" si="330"/>
        <v>167825.43035146908</v>
      </c>
    </row>
    <row r="1196" spans="1:33" x14ac:dyDescent="0.25">
      <c r="A1196" s="100">
        <v>206899.92</v>
      </c>
      <c r="B1196" s="97">
        <v>794.81849999999997</v>
      </c>
      <c r="C1196" s="97">
        <v>0.6</v>
      </c>
      <c r="D1196" s="80">
        <f t="shared" si="331"/>
        <v>100</v>
      </c>
      <c r="E1196" s="81">
        <f t="shared" si="323"/>
        <v>6791.2436711181272</v>
      </c>
      <c r="F1196" s="81">
        <f>SUM(E$2:E1196)</f>
        <v>7525436.4505671849</v>
      </c>
      <c r="G1196" s="43">
        <f t="shared" si="321"/>
        <v>1</v>
      </c>
      <c r="H1196" s="78">
        <v>1</v>
      </c>
      <c r="I1196" s="15">
        <f t="shared" si="324"/>
        <v>0.6</v>
      </c>
      <c r="J1196" s="16">
        <f>VLOOKUP(G1196,Inputs!$L$3:$P$15,5,FALSE)</f>
        <v>2000</v>
      </c>
      <c r="K1196" s="16">
        <f t="shared" si="325"/>
        <v>1825</v>
      </c>
      <c r="L1196" s="79">
        <f>Inputs!$P$8-B1196</f>
        <v>143.37250000000006</v>
      </c>
      <c r="M1196" s="79">
        <f>Inputs!$Q$8+L1196*0.433</f>
        <v>1887.0802925</v>
      </c>
      <c r="N1196" s="82">
        <f t="shared" si="326"/>
        <v>206899.92</v>
      </c>
      <c r="O1196" s="83">
        <f t="shared" si="327"/>
        <v>794.81849999999997</v>
      </c>
      <c r="P1196" s="84">
        <f>IF(O1196="","",Inputs!$C$5-O1196)</f>
        <v>30.365999999999985</v>
      </c>
      <c r="Q1196" s="83">
        <f>IF(N1196="","",TS!J1196)</f>
        <v>2000</v>
      </c>
      <c r="R1196" s="83">
        <f>IF(N1196="","",TS!K1196)</f>
        <v>1825</v>
      </c>
      <c r="S1196" s="83">
        <f>Inputs!$H$5+TS!P1196*0.4333</f>
        <v>1888.12330425</v>
      </c>
      <c r="T1196" s="83">
        <f>Inputs!$G$5+TS!P1196*0.4333</f>
        <v>1903.12330425</v>
      </c>
      <c r="U1196" s="85">
        <f t="shared" si="328"/>
        <v>0.95156165212499999</v>
      </c>
      <c r="V1196" s="86">
        <f t="shared" si="316"/>
        <v>0</v>
      </c>
      <c r="W1196" s="86">
        <f t="shared" si="317"/>
        <v>0</v>
      </c>
      <c r="X1196" s="86" t="e">
        <f>((PI()*((42-2*'Gen Calcs'!$E$13)^2)/4)/144)*(A1239-#REF!)*(W1196+14.7)/14.7</f>
        <v>#REF!</v>
      </c>
      <c r="Y1196" s="86" t="e">
        <f t="shared" si="318"/>
        <v>#REF!</v>
      </c>
      <c r="Z1196" s="86" t="e">
        <f t="shared" si="319"/>
        <v>#REF!</v>
      </c>
      <c r="AA1196" s="83">
        <f>MAX(B$2:B1196)-B1196</f>
        <v>143.37250000000006</v>
      </c>
      <c r="AB1196" s="83">
        <f t="shared" si="320"/>
        <v>62.080292500000027</v>
      </c>
      <c r="AC1196" s="83">
        <f t="shared" si="322"/>
        <v>120</v>
      </c>
      <c r="AD1196" s="72">
        <v>120</v>
      </c>
      <c r="AE1196" s="73">
        <f t="shared" si="329"/>
        <v>907.92027688745009</v>
      </c>
      <c r="AF1196" s="73">
        <f>SUM(AE$2:AE1196)</f>
        <v>1006812.3923525276</v>
      </c>
      <c r="AG1196" s="73">
        <f t="shared" si="330"/>
        <v>166917.5100745816</v>
      </c>
    </row>
    <row r="1197" spans="1:33" x14ac:dyDescent="0.25">
      <c r="A1197" s="99">
        <v>206999.92</v>
      </c>
      <c r="B1197" s="96">
        <v>787.19730000000004</v>
      </c>
      <c r="C1197" s="96">
        <v>0.6</v>
      </c>
      <c r="D1197" s="80">
        <f t="shared" si="331"/>
        <v>100</v>
      </c>
      <c r="E1197" s="81">
        <f t="shared" si="323"/>
        <v>6791.2436711181272</v>
      </c>
      <c r="F1197" s="81">
        <f>SUM(E$2:E1197)</f>
        <v>7532227.6942383032</v>
      </c>
      <c r="G1197" s="43">
        <f t="shared" si="321"/>
        <v>1</v>
      </c>
      <c r="H1197" s="78">
        <v>1</v>
      </c>
      <c r="I1197" s="15">
        <f t="shared" si="324"/>
        <v>0.6</v>
      </c>
      <c r="J1197" s="16">
        <f>VLOOKUP(G1197,Inputs!$L$3:$P$15,5,FALSE)</f>
        <v>2000</v>
      </c>
      <c r="K1197" s="16">
        <f t="shared" si="325"/>
        <v>1825</v>
      </c>
      <c r="L1197" s="79">
        <f>Inputs!$P$8-B1197</f>
        <v>150.99369999999999</v>
      </c>
      <c r="M1197" s="79">
        <f>Inputs!$Q$8+L1197*0.433</f>
        <v>1890.3802721</v>
      </c>
      <c r="N1197" s="82">
        <f t="shared" si="326"/>
        <v>206999.92</v>
      </c>
      <c r="O1197" s="83">
        <f t="shared" si="327"/>
        <v>787.19730000000004</v>
      </c>
      <c r="P1197" s="84">
        <f>IF(O1197="","",Inputs!$C$5-O1197)</f>
        <v>37.987199999999916</v>
      </c>
      <c r="Q1197" s="83">
        <f>IF(N1197="","",TS!J1197)</f>
        <v>2000</v>
      </c>
      <c r="R1197" s="83">
        <f>IF(N1197="","",TS!K1197)</f>
        <v>1825</v>
      </c>
      <c r="S1197" s="83">
        <f>Inputs!$H$5+TS!P1197*0.4333</f>
        <v>1891.4255702099999</v>
      </c>
      <c r="T1197" s="83">
        <f>Inputs!$G$5+TS!P1197*0.4333</f>
        <v>1906.4255702099999</v>
      </c>
      <c r="U1197" s="85">
        <f t="shared" si="328"/>
        <v>0.95321278510499996</v>
      </c>
      <c r="V1197" s="86">
        <f t="shared" si="316"/>
        <v>0</v>
      </c>
      <c r="W1197" s="86">
        <f t="shared" si="317"/>
        <v>0</v>
      </c>
      <c r="X1197" s="86" t="e">
        <f>((PI()*((42-2*'Gen Calcs'!$E$13)^2)/4)/144)*(A1240-#REF!)*(W1197+14.7)/14.7</f>
        <v>#REF!</v>
      </c>
      <c r="Y1197" s="86" t="e">
        <f t="shared" si="318"/>
        <v>#REF!</v>
      </c>
      <c r="Z1197" s="86" t="e">
        <f t="shared" si="319"/>
        <v>#REF!</v>
      </c>
      <c r="AA1197" s="83">
        <f>MAX(B$2:B1197)-B1197</f>
        <v>150.99369999999999</v>
      </c>
      <c r="AB1197" s="83">
        <f t="shared" si="320"/>
        <v>65.380272099999999</v>
      </c>
      <c r="AC1197" s="83">
        <f t="shared" si="322"/>
        <v>120</v>
      </c>
      <c r="AD1197" s="72">
        <v>120</v>
      </c>
      <c r="AE1197" s="73">
        <f t="shared" si="329"/>
        <v>907.92027688745009</v>
      </c>
      <c r="AF1197" s="73">
        <f>SUM(AE$2:AE1197)</f>
        <v>1007720.3126294151</v>
      </c>
      <c r="AG1197" s="73">
        <f t="shared" si="330"/>
        <v>166009.58979769412</v>
      </c>
    </row>
    <row r="1198" spans="1:33" x14ac:dyDescent="0.25">
      <c r="A1198" s="100">
        <v>207099.92</v>
      </c>
      <c r="B1198" s="97">
        <v>780.71410000000003</v>
      </c>
      <c r="C1198" s="97">
        <v>0.6</v>
      </c>
      <c r="D1198" s="80">
        <f t="shared" si="331"/>
        <v>100</v>
      </c>
      <c r="E1198" s="81">
        <f t="shared" si="323"/>
        <v>6791.2436711181272</v>
      </c>
      <c r="F1198" s="81">
        <f>SUM(E$2:E1198)</f>
        <v>7539018.9379094215</v>
      </c>
      <c r="G1198" s="43">
        <f t="shared" si="321"/>
        <v>1</v>
      </c>
      <c r="H1198" s="78">
        <v>1</v>
      </c>
      <c r="I1198" s="15">
        <f t="shared" si="324"/>
        <v>0.6</v>
      </c>
      <c r="J1198" s="16">
        <f>VLOOKUP(G1198,Inputs!$L$3:$P$15,5,FALSE)</f>
        <v>2000</v>
      </c>
      <c r="K1198" s="16">
        <f t="shared" si="325"/>
        <v>1825</v>
      </c>
      <c r="L1198" s="79">
        <f>Inputs!$P$8-B1198</f>
        <v>157.4769</v>
      </c>
      <c r="M1198" s="79">
        <f>Inputs!$Q$8+L1198*0.433</f>
        <v>1893.1874977</v>
      </c>
      <c r="N1198" s="82">
        <f t="shared" si="326"/>
        <v>207099.92</v>
      </c>
      <c r="O1198" s="83">
        <f t="shared" si="327"/>
        <v>780.71410000000003</v>
      </c>
      <c r="P1198" s="84">
        <f>IF(O1198="","",Inputs!$C$5-O1198)</f>
        <v>44.470399999999927</v>
      </c>
      <c r="Q1198" s="83">
        <f>IF(N1198="","",TS!J1198)</f>
        <v>2000</v>
      </c>
      <c r="R1198" s="83">
        <f>IF(N1198="","",TS!K1198)</f>
        <v>1825</v>
      </c>
      <c r="S1198" s="83">
        <f>Inputs!$H$5+TS!P1198*0.4333</f>
        <v>1894.2347407699999</v>
      </c>
      <c r="T1198" s="83">
        <f>Inputs!$G$5+TS!P1198*0.4333</f>
        <v>1909.2347407699999</v>
      </c>
      <c r="U1198" s="85">
        <f t="shared" si="328"/>
        <v>0.95461737038499994</v>
      </c>
      <c r="V1198" s="86">
        <f t="shared" si="316"/>
        <v>0</v>
      </c>
      <c r="W1198" s="86">
        <f t="shared" si="317"/>
        <v>0</v>
      </c>
      <c r="X1198" s="86" t="e">
        <f>((PI()*((42-2*'Gen Calcs'!$E$13)^2)/4)/144)*(A1241-#REF!)*(W1198+14.7)/14.7</f>
        <v>#REF!</v>
      </c>
      <c r="Y1198" s="86" t="e">
        <f t="shared" si="318"/>
        <v>#REF!</v>
      </c>
      <c r="Z1198" s="86" t="e">
        <f t="shared" si="319"/>
        <v>#REF!</v>
      </c>
      <c r="AA1198" s="83">
        <f>MAX(B$2:B1198)-B1198</f>
        <v>157.4769</v>
      </c>
      <c r="AB1198" s="83">
        <f t="shared" si="320"/>
        <v>68.187497699999994</v>
      </c>
      <c r="AC1198" s="83">
        <f t="shared" si="322"/>
        <v>120</v>
      </c>
      <c r="AD1198" s="72">
        <v>120</v>
      </c>
      <c r="AE1198" s="73">
        <f t="shared" si="329"/>
        <v>907.92027688745009</v>
      </c>
      <c r="AF1198" s="73">
        <f>SUM(AE$2:AE1198)</f>
        <v>1008628.2329063026</v>
      </c>
      <c r="AG1198" s="73">
        <f t="shared" si="330"/>
        <v>165101.66952080664</v>
      </c>
    </row>
    <row r="1199" spans="1:33" x14ac:dyDescent="0.25">
      <c r="A1199" s="99">
        <v>207199.92</v>
      </c>
      <c r="B1199" s="96">
        <v>776.3587</v>
      </c>
      <c r="C1199" s="96">
        <v>0.6</v>
      </c>
      <c r="D1199" s="80">
        <f t="shared" si="331"/>
        <v>100</v>
      </c>
      <c r="E1199" s="81">
        <f t="shared" si="323"/>
        <v>6791.2436711181272</v>
      </c>
      <c r="F1199" s="81">
        <f>SUM(E$2:E1199)</f>
        <v>7545810.1815805398</v>
      </c>
      <c r="G1199" s="43">
        <f t="shared" si="321"/>
        <v>1</v>
      </c>
      <c r="H1199" s="78">
        <v>1</v>
      </c>
      <c r="I1199" s="15">
        <f t="shared" si="324"/>
        <v>0.6</v>
      </c>
      <c r="J1199" s="16">
        <f>VLOOKUP(G1199,Inputs!$L$3:$P$15,5,FALSE)</f>
        <v>2000</v>
      </c>
      <c r="K1199" s="16">
        <f t="shared" si="325"/>
        <v>1825</v>
      </c>
      <c r="L1199" s="79">
        <f>Inputs!$P$8-B1199</f>
        <v>161.83230000000003</v>
      </c>
      <c r="M1199" s="79">
        <f>Inputs!$Q$8+L1199*0.433</f>
        <v>1895.0733858999999</v>
      </c>
      <c r="N1199" s="82">
        <f t="shared" si="326"/>
        <v>207199.92</v>
      </c>
      <c r="O1199" s="83">
        <f t="shared" si="327"/>
        <v>776.3587</v>
      </c>
      <c r="P1199" s="84">
        <f>IF(O1199="","",Inputs!$C$5-O1199)</f>
        <v>48.825799999999958</v>
      </c>
      <c r="Q1199" s="83">
        <f>IF(N1199="","",TS!J1199)</f>
        <v>2000</v>
      </c>
      <c r="R1199" s="83">
        <f>IF(N1199="","",TS!K1199)</f>
        <v>1825</v>
      </c>
      <c r="S1199" s="83">
        <f>Inputs!$H$5+TS!P1199*0.4333</f>
        <v>1896.12193559</v>
      </c>
      <c r="T1199" s="83">
        <f>Inputs!$G$5+TS!P1199*0.4333</f>
        <v>1911.12193559</v>
      </c>
      <c r="U1199" s="85">
        <f t="shared" si="328"/>
        <v>0.95556096779499999</v>
      </c>
      <c r="V1199" s="86">
        <f t="shared" si="316"/>
        <v>0</v>
      </c>
      <c r="W1199" s="86">
        <f t="shared" si="317"/>
        <v>0</v>
      </c>
      <c r="X1199" s="86" t="e">
        <f>((PI()*((42-2*'Gen Calcs'!$E$13)^2)/4)/144)*(A1242-#REF!)*(W1199+14.7)/14.7</f>
        <v>#REF!</v>
      </c>
      <c r="Y1199" s="86" t="e">
        <f t="shared" si="318"/>
        <v>#REF!</v>
      </c>
      <c r="Z1199" s="86" t="e">
        <f t="shared" si="319"/>
        <v>#REF!</v>
      </c>
      <c r="AA1199" s="83">
        <f>MAX(B$2:B1199)-B1199</f>
        <v>161.83230000000003</v>
      </c>
      <c r="AB1199" s="83">
        <f t="shared" si="320"/>
        <v>70.073385900000019</v>
      </c>
      <c r="AC1199" s="83">
        <f t="shared" si="322"/>
        <v>120</v>
      </c>
      <c r="AD1199" s="72">
        <v>120</v>
      </c>
      <c r="AE1199" s="73">
        <f t="shared" si="329"/>
        <v>907.92027688745009</v>
      </c>
      <c r="AF1199" s="73">
        <f>SUM(AE$2:AE1199)</f>
        <v>1009536.15318319</v>
      </c>
      <c r="AG1199" s="73">
        <f t="shared" si="330"/>
        <v>164193.74924391916</v>
      </c>
    </row>
    <row r="1200" spans="1:33" x14ac:dyDescent="0.25">
      <c r="A1200" s="100">
        <v>207299.92</v>
      </c>
      <c r="B1200" s="97">
        <v>772.57309999999995</v>
      </c>
      <c r="C1200" s="97">
        <v>0.6</v>
      </c>
      <c r="D1200" s="80">
        <f t="shared" si="331"/>
        <v>100</v>
      </c>
      <c r="E1200" s="81">
        <f t="shared" si="323"/>
        <v>6791.2436711181272</v>
      </c>
      <c r="F1200" s="81">
        <f>SUM(E$2:E1200)</f>
        <v>7552601.4252516581</v>
      </c>
      <c r="G1200" s="43">
        <f t="shared" si="321"/>
        <v>1</v>
      </c>
      <c r="H1200" s="78">
        <v>1</v>
      </c>
      <c r="I1200" s="15">
        <f t="shared" si="324"/>
        <v>0.6</v>
      </c>
      <c r="J1200" s="16">
        <f>VLOOKUP(G1200,Inputs!$L$3:$P$15,5,FALSE)</f>
        <v>2000</v>
      </c>
      <c r="K1200" s="16">
        <f t="shared" si="325"/>
        <v>1825</v>
      </c>
      <c r="L1200" s="79">
        <f>Inputs!$P$8-B1200</f>
        <v>165.61790000000008</v>
      </c>
      <c r="M1200" s="79">
        <f>Inputs!$Q$8+L1200*0.433</f>
        <v>1896.7125507000001</v>
      </c>
      <c r="N1200" s="82">
        <f t="shared" si="326"/>
        <v>207299.92</v>
      </c>
      <c r="O1200" s="83">
        <f t="shared" si="327"/>
        <v>772.57309999999995</v>
      </c>
      <c r="P1200" s="84">
        <f>IF(O1200="","",Inputs!$C$5-O1200)</f>
        <v>52.611400000000003</v>
      </c>
      <c r="Q1200" s="83">
        <f>IF(N1200="","",TS!J1200)</f>
        <v>2000</v>
      </c>
      <c r="R1200" s="83">
        <f>IF(N1200="","",TS!K1200)</f>
        <v>1825</v>
      </c>
      <c r="S1200" s="83">
        <f>Inputs!$H$5+TS!P1200*0.4333</f>
        <v>1897.76223607</v>
      </c>
      <c r="T1200" s="83">
        <f>Inputs!$G$5+TS!P1200*0.4333</f>
        <v>1912.76223607</v>
      </c>
      <c r="U1200" s="85">
        <f t="shared" si="328"/>
        <v>0.95638111803500003</v>
      </c>
      <c r="V1200" s="86">
        <f t="shared" si="316"/>
        <v>0</v>
      </c>
      <c r="W1200" s="86">
        <f t="shared" si="317"/>
        <v>0</v>
      </c>
      <c r="X1200" s="86" t="e">
        <f>((PI()*((42-2*'Gen Calcs'!$E$13)^2)/4)/144)*(A1243-#REF!)*(W1200+14.7)/14.7</f>
        <v>#REF!</v>
      </c>
      <c r="Y1200" s="86" t="e">
        <f t="shared" si="318"/>
        <v>#REF!</v>
      </c>
      <c r="Z1200" s="86" t="e">
        <f t="shared" si="319"/>
        <v>#REF!</v>
      </c>
      <c r="AA1200" s="83">
        <f>MAX(B$2:B1200)-B1200</f>
        <v>165.61790000000008</v>
      </c>
      <c r="AB1200" s="83">
        <f t="shared" si="320"/>
        <v>71.712550700000037</v>
      </c>
      <c r="AC1200" s="83">
        <f t="shared" si="322"/>
        <v>120</v>
      </c>
      <c r="AD1200" s="72">
        <v>120</v>
      </c>
      <c r="AE1200" s="73">
        <f t="shared" si="329"/>
        <v>907.92027688745009</v>
      </c>
      <c r="AF1200" s="73">
        <f>SUM(AE$2:AE1200)</f>
        <v>1010444.0734600775</v>
      </c>
      <c r="AG1200" s="73">
        <f t="shared" si="330"/>
        <v>163285.82896703167</v>
      </c>
    </row>
    <row r="1201" spans="1:33" x14ac:dyDescent="0.25">
      <c r="A1201" s="99">
        <v>207399.92</v>
      </c>
      <c r="B1201" s="96">
        <v>769.30259999999998</v>
      </c>
      <c r="C1201" s="96">
        <v>0.6</v>
      </c>
      <c r="D1201" s="80">
        <f t="shared" si="331"/>
        <v>100</v>
      </c>
      <c r="E1201" s="81">
        <f t="shared" si="323"/>
        <v>6791.2436711181272</v>
      </c>
      <c r="F1201" s="81">
        <f>SUM(E$2:E1201)</f>
        <v>7559392.6689227764</v>
      </c>
      <c r="G1201" s="43">
        <f t="shared" si="321"/>
        <v>1</v>
      </c>
      <c r="H1201" s="78">
        <v>1</v>
      </c>
      <c r="I1201" s="15">
        <f t="shared" si="324"/>
        <v>0.6</v>
      </c>
      <c r="J1201" s="16">
        <f>VLOOKUP(G1201,Inputs!$L$3:$P$15,5,FALSE)</f>
        <v>2000</v>
      </c>
      <c r="K1201" s="16">
        <f t="shared" si="325"/>
        <v>1825</v>
      </c>
      <c r="L1201" s="79">
        <f>Inputs!$P$8-B1201</f>
        <v>168.88840000000005</v>
      </c>
      <c r="M1201" s="79">
        <f>Inputs!$Q$8+L1201*0.433</f>
        <v>1898.1286772000001</v>
      </c>
      <c r="N1201" s="82">
        <f t="shared" si="326"/>
        <v>207399.92</v>
      </c>
      <c r="O1201" s="83">
        <f t="shared" si="327"/>
        <v>769.30259999999998</v>
      </c>
      <c r="P1201" s="84">
        <f>IF(O1201="","",Inputs!$C$5-O1201)</f>
        <v>55.881899999999973</v>
      </c>
      <c r="Q1201" s="83">
        <f>IF(N1201="","",TS!J1201)</f>
        <v>2000</v>
      </c>
      <c r="R1201" s="83">
        <f>IF(N1201="","",TS!K1201)</f>
        <v>1825</v>
      </c>
      <c r="S1201" s="83">
        <f>Inputs!$H$5+TS!P1201*0.4333</f>
        <v>1899.1793437199999</v>
      </c>
      <c r="T1201" s="83">
        <f>Inputs!$G$5+TS!P1201*0.4333</f>
        <v>1914.1793437199999</v>
      </c>
      <c r="U1201" s="85">
        <f t="shared" si="328"/>
        <v>0.95708967185999994</v>
      </c>
      <c r="V1201" s="86">
        <f t="shared" si="316"/>
        <v>0</v>
      </c>
      <c r="W1201" s="86">
        <f t="shared" si="317"/>
        <v>0</v>
      </c>
      <c r="X1201" s="86" t="e">
        <f>((PI()*((42-2*'Gen Calcs'!$E$13)^2)/4)/144)*(A1244-#REF!)*(W1201+14.7)/14.7</f>
        <v>#REF!</v>
      </c>
      <c r="Y1201" s="86" t="e">
        <f t="shared" si="318"/>
        <v>#REF!</v>
      </c>
      <c r="Z1201" s="86" t="e">
        <f t="shared" si="319"/>
        <v>#REF!</v>
      </c>
      <c r="AA1201" s="83">
        <f>MAX(B$2:B1201)-B1201</f>
        <v>168.88840000000005</v>
      </c>
      <c r="AB1201" s="83">
        <f t="shared" si="320"/>
        <v>73.128677200000013</v>
      </c>
      <c r="AC1201" s="83">
        <f t="shared" si="322"/>
        <v>120</v>
      </c>
      <c r="AD1201" s="72">
        <v>120</v>
      </c>
      <c r="AE1201" s="73">
        <f t="shared" si="329"/>
        <v>907.92027688745009</v>
      </c>
      <c r="AF1201" s="73">
        <f>SUM(AE$2:AE1201)</f>
        <v>1011351.993736965</v>
      </c>
      <c r="AG1201" s="73">
        <f t="shared" si="330"/>
        <v>162377.90869014419</v>
      </c>
    </row>
    <row r="1202" spans="1:33" x14ac:dyDescent="0.25">
      <c r="A1202" s="100">
        <v>207499.92</v>
      </c>
      <c r="B1202" s="97">
        <v>766.1626</v>
      </c>
      <c r="C1202" s="97">
        <v>0.6</v>
      </c>
      <c r="D1202" s="80">
        <f t="shared" si="331"/>
        <v>100</v>
      </c>
      <c r="E1202" s="81">
        <f t="shared" si="323"/>
        <v>6791.2436711181272</v>
      </c>
      <c r="F1202" s="81">
        <f>SUM(E$2:E1202)</f>
        <v>7566183.9125938946</v>
      </c>
      <c r="G1202" s="43">
        <f t="shared" si="321"/>
        <v>1</v>
      </c>
      <c r="H1202" s="78">
        <v>1</v>
      </c>
      <c r="I1202" s="15">
        <f t="shared" si="324"/>
        <v>0.6</v>
      </c>
      <c r="J1202" s="16">
        <f>VLOOKUP(G1202,Inputs!$L$3:$P$15,5,FALSE)</f>
        <v>2000</v>
      </c>
      <c r="K1202" s="16">
        <f t="shared" si="325"/>
        <v>1825</v>
      </c>
      <c r="L1202" s="79">
        <f>Inputs!$P$8-B1202</f>
        <v>172.02840000000003</v>
      </c>
      <c r="M1202" s="79">
        <f>Inputs!$Q$8+L1202*0.433</f>
        <v>1899.4882972</v>
      </c>
      <c r="N1202" s="82">
        <f t="shared" si="326"/>
        <v>207499.92</v>
      </c>
      <c r="O1202" s="83">
        <f t="shared" si="327"/>
        <v>766.1626</v>
      </c>
      <c r="P1202" s="84">
        <f>IF(O1202="","",Inputs!$C$5-O1202)</f>
        <v>59.02189999999996</v>
      </c>
      <c r="Q1202" s="83">
        <f>IF(N1202="","",TS!J1202)</f>
        <v>2000</v>
      </c>
      <c r="R1202" s="83">
        <f>IF(N1202="","",TS!K1202)</f>
        <v>1825</v>
      </c>
      <c r="S1202" s="83">
        <f>Inputs!$H$5+TS!P1202*0.4333</f>
        <v>1900.53990572</v>
      </c>
      <c r="T1202" s="83">
        <f>Inputs!$G$5+TS!P1202*0.4333</f>
        <v>1915.53990572</v>
      </c>
      <c r="U1202" s="85">
        <f t="shared" si="328"/>
        <v>0.95776995286</v>
      </c>
      <c r="V1202" s="86">
        <f t="shared" si="316"/>
        <v>0</v>
      </c>
      <c r="W1202" s="86">
        <f t="shared" si="317"/>
        <v>0</v>
      </c>
      <c r="X1202" s="86" t="e">
        <f>((PI()*((42-2*'Gen Calcs'!$E$13)^2)/4)/144)*(A1245-#REF!)*(W1202+14.7)/14.7</f>
        <v>#REF!</v>
      </c>
      <c r="Y1202" s="86" t="e">
        <f t="shared" si="318"/>
        <v>#REF!</v>
      </c>
      <c r="Z1202" s="86" t="e">
        <f t="shared" si="319"/>
        <v>#REF!</v>
      </c>
      <c r="AA1202" s="83">
        <f>MAX(B$2:B1202)-B1202</f>
        <v>172.02840000000003</v>
      </c>
      <c r="AB1202" s="83">
        <f t="shared" si="320"/>
        <v>74.488297200000019</v>
      </c>
      <c r="AC1202" s="83">
        <f t="shared" si="322"/>
        <v>120</v>
      </c>
      <c r="AD1202" s="72">
        <v>120</v>
      </c>
      <c r="AE1202" s="73">
        <f t="shared" si="329"/>
        <v>907.92027688745009</v>
      </c>
      <c r="AF1202" s="73">
        <f>SUM(AE$2:AE1202)</f>
        <v>1012259.9140138525</v>
      </c>
      <c r="AG1202" s="73">
        <f t="shared" si="330"/>
        <v>161469.98841325671</v>
      </c>
    </row>
    <row r="1203" spans="1:33" x14ac:dyDescent="0.25">
      <c r="A1203" s="99">
        <v>207599.92</v>
      </c>
      <c r="B1203" s="96">
        <v>762.78060000000005</v>
      </c>
      <c r="C1203" s="96">
        <v>0.6</v>
      </c>
      <c r="D1203" s="80">
        <f t="shared" si="331"/>
        <v>100</v>
      </c>
      <c r="E1203" s="81">
        <f t="shared" si="323"/>
        <v>6791.2436711181272</v>
      </c>
      <c r="F1203" s="81">
        <f>SUM(E$2:E1203)</f>
        <v>7572975.1562650129</v>
      </c>
      <c r="G1203" s="43">
        <f t="shared" si="321"/>
        <v>1</v>
      </c>
      <c r="H1203" s="78">
        <v>1</v>
      </c>
      <c r="I1203" s="15">
        <f t="shared" si="324"/>
        <v>0.6</v>
      </c>
      <c r="J1203" s="16">
        <f>VLOOKUP(G1203,Inputs!$L$3:$P$15,5,FALSE)</f>
        <v>2000</v>
      </c>
      <c r="K1203" s="16">
        <f t="shared" si="325"/>
        <v>1825</v>
      </c>
      <c r="L1203" s="79">
        <f>Inputs!$P$8-B1203</f>
        <v>175.41039999999998</v>
      </c>
      <c r="M1203" s="79">
        <f>Inputs!$Q$8+L1203*0.433</f>
        <v>1900.9527032000001</v>
      </c>
      <c r="N1203" s="82">
        <f t="shared" si="326"/>
        <v>207599.92</v>
      </c>
      <c r="O1203" s="83">
        <f t="shared" si="327"/>
        <v>762.78060000000005</v>
      </c>
      <c r="P1203" s="84">
        <f>IF(O1203="","",Inputs!$C$5-O1203)</f>
        <v>62.403899999999908</v>
      </c>
      <c r="Q1203" s="83">
        <f>IF(N1203="","",TS!J1203)</f>
        <v>2000</v>
      </c>
      <c r="R1203" s="83">
        <f>IF(N1203="","",TS!K1203)</f>
        <v>1825</v>
      </c>
      <c r="S1203" s="83">
        <f>Inputs!$H$5+TS!P1203*0.4333</f>
        <v>1902.00532632</v>
      </c>
      <c r="T1203" s="83">
        <f>Inputs!$G$5+TS!P1203*0.4333</f>
        <v>1917.00532632</v>
      </c>
      <c r="U1203" s="85">
        <f t="shared" si="328"/>
        <v>0.95850266315999999</v>
      </c>
      <c r="V1203" s="86">
        <f t="shared" si="316"/>
        <v>0</v>
      </c>
      <c r="W1203" s="86">
        <f t="shared" si="317"/>
        <v>0</v>
      </c>
      <c r="X1203" s="86" t="e">
        <f>((PI()*((42-2*'Gen Calcs'!$E$13)^2)/4)/144)*(A1246-#REF!)*(W1203+14.7)/14.7</f>
        <v>#REF!</v>
      </c>
      <c r="Y1203" s="86" t="e">
        <f t="shared" si="318"/>
        <v>#REF!</v>
      </c>
      <c r="Z1203" s="86" t="e">
        <f t="shared" si="319"/>
        <v>#REF!</v>
      </c>
      <c r="AA1203" s="83">
        <f>MAX(B$2:B1203)-B1203</f>
        <v>175.41039999999998</v>
      </c>
      <c r="AB1203" s="83">
        <f t="shared" si="320"/>
        <v>75.952703199999988</v>
      </c>
      <c r="AC1203" s="83">
        <f t="shared" si="322"/>
        <v>120</v>
      </c>
      <c r="AD1203" s="72">
        <v>120</v>
      </c>
      <c r="AE1203" s="73">
        <f t="shared" si="329"/>
        <v>907.92027688745009</v>
      </c>
      <c r="AF1203" s="73">
        <f>SUM(AE$2:AE1203)</f>
        <v>1013167.83429074</v>
      </c>
      <c r="AG1203" s="73">
        <f t="shared" si="330"/>
        <v>160562.06813636923</v>
      </c>
    </row>
    <row r="1204" spans="1:33" x14ac:dyDescent="0.25">
      <c r="A1204" s="100">
        <v>207699.92</v>
      </c>
      <c r="B1204" s="97">
        <v>759.41330000000005</v>
      </c>
      <c r="C1204" s="97">
        <v>0.6</v>
      </c>
      <c r="D1204" s="80">
        <f t="shared" si="331"/>
        <v>100</v>
      </c>
      <c r="E1204" s="81">
        <f t="shared" si="323"/>
        <v>6791.2436711181272</v>
      </c>
      <c r="F1204" s="81">
        <f>SUM(E$2:E1204)</f>
        <v>7579766.3999361312</v>
      </c>
      <c r="G1204" s="43">
        <f t="shared" si="321"/>
        <v>1</v>
      </c>
      <c r="H1204" s="78">
        <v>1</v>
      </c>
      <c r="I1204" s="15">
        <f t="shared" si="324"/>
        <v>0.6</v>
      </c>
      <c r="J1204" s="16">
        <f>VLOOKUP(G1204,Inputs!$L$3:$P$15,5,FALSE)</f>
        <v>2000</v>
      </c>
      <c r="K1204" s="16">
        <f t="shared" si="325"/>
        <v>1825</v>
      </c>
      <c r="L1204" s="79">
        <f>Inputs!$P$8-B1204</f>
        <v>178.77769999999998</v>
      </c>
      <c r="M1204" s="79">
        <f>Inputs!$Q$8+L1204*0.433</f>
        <v>1902.4107441000001</v>
      </c>
      <c r="N1204" s="82">
        <f t="shared" si="326"/>
        <v>207699.92</v>
      </c>
      <c r="O1204" s="83">
        <f t="shared" si="327"/>
        <v>759.41330000000005</v>
      </c>
      <c r="P1204" s="84">
        <f>IF(O1204="","",Inputs!$C$5-O1204)</f>
        <v>65.771199999999908</v>
      </c>
      <c r="Q1204" s="83">
        <f>IF(N1204="","",TS!J1204)</f>
        <v>2000</v>
      </c>
      <c r="R1204" s="83">
        <f>IF(N1204="","",TS!K1204)</f>
        <v>1825</v>
      </c>
      <c r="S1204" s="83">
        <f>Inputs!$H$5+TS!P1204*0.4333</f>
        <v>1903.46437741</v>
      </c>
      <c r="T1204" s="83">
        <f>Inputs!$G$5+TS!P1204*0.4333</f>
        <v>1918.46437741</v>
      </c>
      <c r="U1204" s="85">
        <f t="shared" si="328"/>
        <v>0.95923218870500004</v>
      </c>
      <c r="V1204" s="86">
        <f t="shared" si="316"/>
        <v>0</v>
      </c>
      <c r="W1204" s="86">
        <f t="shared" si="317"/>
        <v>0</v>
      </c>
      <c r="X1204" s="86" t="e">
        <f>((PI()*((42-2*'Gen Calcs'!$E$13)^2)/4)/144)*(A1247-#REF!)*(W1204+14.7)/14.7</f>
        <v>#REF!</v>
      </c>
      <c r="Y1204" s="86" t="e">
        <f t="shared" si="318"/>
        <v>#REF!</v>
      </c>
      <c r="Z1204" s="86" t="e">
        <f t="shared" si="319"/>
        <v>#REF!</v>
      </c>
      <c r="AA1204" s="83">
        <f>MAX(B$2:B1204)-B1204</f>
        <v>178.77769999999998</v>
      </c>
      <c r="AB1204" s="83">
        <f t="shared" si="320"/>
        <v>77.410744099999988</v>
      </c>
      <c r="AC1204" s="83">
        <f t="shared" si="322"/>
        <v>120</v>
      </c>
      <c r="AD1204" s="72">
        <v>120</v>
      </c>
      <c r="AE1204" s="73">
        <f t="shared" si="329"/>
        <v>907.92027688745009</v>
      </c>
      <c r="AF1204" s="73">
        <f>SUM(AE$2:AE1204)</f>
        <v>1014075.7545676274</v>
      </c>
      <c r="AG1204" s="73">
        <f t="shared" si="330"/>
        <v>159654.14785948175</v>
      </c>
    </row>
    <row r="1205" spans="1:33" x14ac:dyDescent="0.25">
      <c r="A1205" s="99">
        <v>207799.92</v>
      </c>
      <c r="B1205" s="96">
        <v>761.10080000000005</v>
      </c>
      <c r="C1205" s="96">
        <v>0.6</v>
      </c>
      <c r="D1205" s="80">
        <f t="shared" si="331"/>
        <v>100</v>
      </c>
      <c r="E1205" s="81">
        <f t="shared" si="323"/>
        <v>6791.2436711181272</v>
      </c>
      <c r="F1205" s="81">
        <f>SUM(E$2:E1205)</f>
        <v>7586557.6436072495</v>
      </c>
      <c r="G1205" s="43">
        <f t="shared" si="321"/>
        <v>1</v>
      </c>
      <c r="H1205" s="78">
        <v>1</v>
      </c>
      <c r="I1205" s="15">
        <f t="shared" si="324"/>
        <v>0.6</v>
      </c>
      <c r="J1205" s="16">
        <f>VLOOKUP(G1205,Inputs!$L$3:$P$15,5,FALSE)</f>
        <v>2000</v>
      </c>
      <c r="K1205" s="16">
        <f t="shared" si="325"/>
        <v>1825</v>
      </c>
      <c r="L1205" s="79">
        <f>Inputs!$P$8-B1205</f>
        <v>177.09019999999998</v>
      </c>
      <c r="M1205" s="79">
        <f>Inputs!$Q$8+L1205*0.433</f>
        <v>1901.6800565999999</v>
      </c>
      <c r="N1205" s="82">
        <f t="shared" si="326"/>
        <v>207799.92</v>
      </c>
      <c r="O1205" s="83">
        <f t="shared" si="327"/>
        <v>761.10080000000005</v>
      </c>
      <c r="P1205" s="84">
        <f>IF(O1205="","",Inputs!$C$5-O1205)</f>
        <v>64.083699999999908</v>
      </c>
      <c r="Q1205" s="83">
        <f>IF(N1205="","",TS!J1205)</f>
        <v>2000</v>
      </c>
      <c r="R1205" s="83">
        <f>IF(N1205="","",TS!K1205)</f>
        <v>1825</v>
      </c>
      <c r="S1205" s="83">
        <f>Inputs!$H$5+TS!P1205*0.4333</f>
        <v>1902.7331836599999</v>
      </c>
      <c r="T1205" s="83">
        <f>Inputs!$G$5+TS!P1205*0.4333</f>
        <v>1917.7331836599999</v>
      </c>
      <c r="U1205" s="85">
        <f t="shared" si="328"/>
        <v>0.95886659182999989</v>
      </c>
      <c r="V1205" s="86">
        <f t="shared" si="316"/>
        <v>0</v>
      </c>
      <c r="W1205" s="86">
        <f t="shared" si="317"/>
        <v>0</v>
      </c>
      <c r="X1205" s="86" t="e">
        <f>((PI()*((42-2*'Gen Calcs'!$E$13)^2)/4)/144)*(A1248-#REF!)*(W1205+14.7)/14.7</f>
        <v>#REF!</v>
      </c>
      <c r="Y1205" s="86" t="e">
        <f t="shared" si="318"/>
        <v>#REF!</v>
      </c>
      <c r="Z1205" s="86" t="e">
        <f t="shared" si="319"/>
        <v>#REF!</v>
      </c>
      <c r="AA1205" s="83">
        <f>MAX(B$2:B1205)-B1205</f>
        <v>177.09019999999998</v>
      </c>
      <c r="AB1205" s="83">
        <f t="shared" si="320"/>
        <v>76.680056599999986</v>
      </c>
      <c r="AC1205" s="83">
        <f t="shared" si="322"/>
        <v>120</v>
      </c>
      <c r="AD1205" s="72">
        <v>120</v>
      </c>
      <c r="AE1205" s="73">
        <f t="shared" si="329"/>
        <v>907.92027688745009</v>
      </c>
      <c r="AF1205" s="73">
        <f>SUM(AE$2:AE1205)</f>
        <v>1014983.6748445149</v>
      </c>
      <c r="AG1205" s="73">
        <f t="shared" si="330"/>
        <v>158746.22758259426</v>
      </c>
    </row>
    <row r="1206" spans="1:33" x14ac:dyDescent="0.25">
      <c r="A1206" s="100">
        <v>207899.92</v>
      </c>
      <c r="B1206" s="97">
        <v>765.33330000000001</v>
      </c>
      <c r="C1206" s="97">
        <v>0.6</v>
      </c>
      <c r="D1206" s="80">
        <f t="shared" si="331"/>
        <v>100</v>
      </c>
      <c r="E1206" s="81">
        <f t="shared" si="323"/>
        <v>6791.2436711181272</v>
      </c>
      <c r="F1206" s="81">
        <f>SUM(E$2:E1206)</f>
        <v>7593348.8872783678</v>
      </c>
      <c r="G1206" s="43">
        <f t="shared" si="321"/>
        <v>1</v>
      </c>
      <c r="H1206" s="78">
        <v>1</v>
      </c>
      <c r="I1206" s="15">
        <f t="shared" si="324"/>
        <v>0.6</v>
      </c>
      <c r="J1206" s="16">
        <f>VLOOKUP(G1206,Inputs!$L$3:$P$15,5,FALSE)</f>
        <v>2000</v>
      </c>
      <c r="K1206" s="16">
        <f t="shared" si="325"/>
        <v>1825</v>
      </c>
      <c r="L1206" s="79">
        <f>Inputs!$P$8-B1206</f>
        <v>172.85770000000002</v>
      </c>
      <c r="M1206" s="79">
        <f>Inputs!$Q$8+L1206*0.433</f>
        <v>1899.8473841</v>
      </c>
      <c r="N1206" s="82">
        <f t="shared" si="326"/>
        <v>207899.92</v>
      </c>
      <c r="O1206" s="83">
        <f t="shared" si="327"/>
        <v>765.33330000000001</v>
      </c>
      <c r="P1206" s="84">
        <f>IF(O1206="","",Inputs!$C$5-O1206)</f>
        <v>59.851199999999949</v>
      </c>
      <c r="Q1206" s="83">
        <f>IF(N1206="","",TS!J1206)</f>
        <v>2000</v>
      </c>
      <c r="R1206" s="83">
        <f>IF(N1206="","",TS!K1206)</f>
        <v>1825</v>
      </c>
      <c r="S1206" s="83">
        <f>Inputs!$H$5+TS!P1206*0.4333</f>
        <v>1900.8992414099998</v>
      </c>
      <c r="T1206" s="83">
        <f>Inputs!$G$5+TS!P1206*0.4333</f>
        <v>1915.8992414099998</v>
      </c>
      <c r="U1206" s="85">
        <f t="shared" si="328"/>
        <v>0.95794962070499989</v>
      </c>
      <c r="V1206" s="86">
        <f t="shared" ref="V1206:V1243" si="332">O1206-MAX(O1206:O1206)</f>
        <v>0</v>
      </c>
      <c r="W1206" s="86">
        <f t="shared" ref="W1206:W1243" si="333">-(V1206)*0.433</f>
        <v>0</v>
      </c>
      <c r="X1206" s="86" t="e">
        <f>((PI()*((42-2*'Gen Calcs'!$E$13)^2)/4)/144)*(A1249-#REF!)*(W1206+14.7)/14.7</f>
        <v>#REF!</v>
      </c>
      <c r="Y1206" s="86" t="e">
        <f t="shared" ref="Y1206:Y1243" si="334">X1206/1000</f>
        <v>#REF!</v>
      </c>
      <c r="Z1206" s="86" t="e">
        <f t="shared" ref="Z1206:Z1243" si="335">IF(Y1206&gt;Z1205,Y1206,Z1205)</f>
        <v>#REF!</v>
      </c>
      <c r="AA1206" s="83">
        <f>MAX(B$2:B1206)-B1206</f>
        <v>172.85770000000002</v>
      </c>
      <c r="AB1206" s="83">
        <f t="shared" ref="AB1206:AB1243" si="336">AA1206*0.433</f>
        <v>74.847384100000014</v>
      </c>
      <c r="AC1206" s="83">
        <f t="shared" si="322"/>
        <v>120</v>
      </c>
      <c r="AD1206" s="72">
        <v>120</v>
      </c>
      <c r="AE1206" s="73">
        <f t="shared" si="329"/>
        <v>907.92027688745009</v>
      </c>
      <c r="AF1206" s="73">
        <f>SUM(AE$2:AE1206)</f>
        <v>1015891.5951214024</v>
      </c>
      <c r="AG1206" s="73">
        <f t="shared" si="330"/>
        <v>157838.30730570678</v>
      </c>
    </row>
    <row r="1207" spans="1:33" x14ac:dyDescent="0.25">
      <c r="A1207" s="99">
        <v>207999.92</v>
      </c>
      <c r="B1207" s="96">
        <v>765.99339999999995</v>
      </c>
      <c r="C1207" s="96">
        <v>0.6</v>
      </c>
      <c r="D1207" s="80">
        <f t="shared" si="331"/>
        <v>100</v>
      </c>
      <c r="E1207" s="81">
        <f t="shared" si="323"/>
        <v>6791.2436711181272</v>
      </c>
      <c r="F1207" s="81">
        <f>SUM(E$2:E1207)</f>
        <v>7600140.130949486</v>
      </c>
      <c r="G1207" s="43">
        <f t="shared" si="321"/>
        <v>1</v>
      </c>
      <c r="H1207" s="78">
        <v>1</v>
      </c>
      <c r="I1207" s="15">
        <f t="shared" si="324"/>
        <v>0.6</v>
      </c>
      <c r="J1207" s="16">
        <f>VLOOKUP(G1207,Inputs!$L$3:$P$15,5,FALSE)</f>
        <v>2000</v>
      </c>
      <c r="K1207" s="16">
        <f t="shared" si="325"/>
        <v>1825</v>
      </c>
      <c r="L1207" s="79">
        <f>Inputs!$P$8-B1207</f>
        <v>172.19760000000008</v>
      </c>
      <c r="M1207" s="79">
        <f>Inputs!$Q$8+L1207*0.433</f>
        <v>1899.5615608000001</v>
      </c>
      <c r="N1207" s="82">
        <f t="shared" si="326"/>
        <v>207999.92</v>
      </c>
      <c r="O1207" s="83">
        <f t="shared" si="327"/>
        <v>765.99339999999995</v>
      </c>
      <c r="P1207" s="84">
        <f>IF(O1207="","",Inputs!$C$5-O1207)</f>
        <v>59.191100000000006</v>
      </c>
      <c r="Q1207" s="83">
        <f>IF(N1207="","",TS!J1207)</f>
        <v>2000</v>
      </c>
      <c r="R1207" s="83">
        <f>IF(N1207="","",TS!K1207)</f>
        <v>1825</v>
      </c>
      <c r="S1207" s="83">
        <f>Inputs!$H$5+TS!P1207*0.4333</f>
        <v>1900.61322008</v>
      </c>
      <c r="T1207" s="83">
        <f>Inputs!$G$5+TS!P1207*0.4333</f>
        <v>1915.61322008</v>
      </c>
      <c r="U1207" s="85">
        <f t="shared" si="328"/>
        <v>0.95780661004000001</v>
      </c>
      <c r="V1207" s="86">
        <f t="shared" si="332"/>
        <v>0</v>
      </c>
      <c r="W1207" s="86">
        <f t="shared" si="333"/>
        <v>0</v>
      </c>
      <c r="X1207" s="86" t="e">
        <f>((PI()*((42-2*'Gen Calcs'!$E$13)^2)/4)/144)*(A1250-#REF!)*(W1207+14.7)/14.7</f>
        <v>#REF!</v>
      </c>
      <c r="Y1207" s="86" t="e">
        <f t="shared" si="334"/>
        <v>#REF!</v>
      </c>
      <c r="Z1207" s="86" t="e">
        <f t="shared" si="335"/>
        <v>#REF!</v>
      </c>
      <c r="AA1207" s="83">
        <f>MAX(B$2:B1207)-B1207</f>
        <v>172.19760000000008</v>
      </c>
      <c r="AB1207" s="83">
        <f t="shared" si="336"/>
        <v>74.561560800000038</v>
      </c>
      <c r="AC1207" s="83">
        <f t="shared" si="322"/>
        <v>120</v>
      </c>
      <c r="AD1207" s="72">
        <v>120</v>
      </c>
      <c r="AE1207" s="73">
        <f t="shared" si="329"/>
        <v>907.92027688745009</v>
      </c>
      <c r="AF1207" s="73">
        <f>SUM(AE$2:AE1207)</f>
        <v>1016799.5153982899</v>
      </c>
      <c r="AG1207" s="73">
        <f t="shared" si="330"/>
        <v>156930.3870288193</v>
      </c>
    </row>
    <row r="1208" spans="1:33" x14ac:dyDescent="0.25">
      <c r="A1208" s="100">
        <v>208099.92</v>
      </c>
      <c r="B1208" s="97">
        <v>766.23710000000005</v>
      </c>
      <c r="C1208" s="97">
        <v>0.6</v>
      </c>
      <c r="D1208" s="80">
        <f t="shared" si="331"/>
        <v>100</v>
      </c>
      <c r="E1208" s="81">
        <f t="shared" si="323"/>
        <v>6791.2436711181272</v>
      </c>
      <c r="F1208" s="81">
        <f>SUM(E$2:E1208)</f>
        <v>7606931.3746206043</v>
      </c>
      <c r="G1208" s="43">
        <f t="shared" si="321"/>
        <v>1</v>
      </c>
      <c r="H1208" s="78">
        <v>1</v>
      </c>
      <c r="I1208" s="15">
        <f t="shared" si="324"/>
        <v>0.6</v>
      </c>
      <c r="J1208" s="16">
        <f>VLOOKUP(G1208,Inputs!$L$3:$P$15,5,FALSE)</f>
        <v>2000</v>
      </c>
      <c r="K1208" s="16">
        <f t="shared" si="325"/>
        <v>1825</v>
      </c>
      <c r="L1208" s="79">
        <f>Inputs!$P$8-B1208</f>
        <v>171.95389999999998</v>
      </c>
      <c r="M1208" s="79">
        <f>Inputs!$Q$8+L1208*0.433</f>
        <v>1899.4560386999999</v>
      </c>
      <c r="N1208" s="82">
        <f t="shared" si="326"/>
        <v>208099.92</v>
      </c>
      <c r="O1208" s="83">
        <f t="shared" si="327"/>
        <v>766.23710000000005</v>
      </c>
      <c r="P1208" s="84">
        <f>IF(O1208="","",Inputs!$C$5-O1208)</f>
        <v>58.947399999999902</v>
      </c>
      <c r="Q1208" s="83">
        <f>IF(N1208="","",TS!J1208)</f>
        <v>2000</v>
      </c>
      <c r="R1208" s="83">
        <f>IF(N1208="","",TS!K1208)</f>
        <v>1825</v>
      </c>
      <c r="S1208" s="83">
        <f>Inputs!$H$5+TS!P1208*0.4333</f>
        <v>1900.50762487</v>
      </c>
      <c r="T1208" s="83">
        <f>Inputs!$G$5+TS!P1208*0.4333</f>
        <v>1915.50762487</v>
      </c>
      <c r="U1208" s="85">
        <f t="shared" si="328"/>
        <v>0.95775381243500002</v>
      </c>
      <c r="V1208" s="86">
        <f t="shared" si="332"/>
        <v>0</v>
      </c>
      <c r="W1208" s="86">
        <f t="shared" si="333"/>
        <v>0</v>
      </c>
      <c r="X1208" s="86" t="e">
        <f>((PI()*((42-2*'Gen Calcs'!$E$13)^2)/4)/144)*(A1251-#REF!)*(W1208+14.7)/14.7</f>
        <v>#REF!</v>
      </c>
      <c r="Y1208" s="86" t="e">
        <f t="shared" si="334"/>
        <v>#REF!</v>
      </c>
      <c r="Z1208" s="86" t="e">
        <f t="shared" si="335"/>
        <v>#REF!</v>
      </c>
      <c r="AA1208" s="83">
        <f>MAX(B$2:B1208)-B1208</f>
        <v>171.95389999999998</v>
      </c>
      <c r="AB1208" s="83">
        <f t="shared" si="336"/>
        <v>74.456038699999993</v>
      </c>
      <c r="AC1208" s="83">
        <f t="shared" si="322"/>
        <v>120</v>
      </c>
      <c r="AD1208" s="72">
        <v>120</v>
      </c>
      <c r="AE1208" s="73">
        <f t="shared" si="329"/>
        <v>907.92027688745009</v>
      </c>
      <c r="AF1208" s="73">
        <f>SUM(AE$2:AE1208)</f>
        <v>1017707.4356751774</v>
      </c>
      <c r="AG1208" s="73">
        <f t="shared" si="330"/>
        <v>156022.46675193182</v>
      </c>
    </row>
    <row r="1209" spans="1:33" x14ac:dyDescent="0.25">
      <c r="A1209" s="99">
        <v>208199.92</v>
      </c>
      <c r="B1209" s="96">
        <v>765.46019999999999</v>
      </c>
      <c r="C1209" s="96">
        <v>0.6</v>
      </c>
      <c r="D1209" s="80">
        <f t="shared" si="331"/>
        <v>100</v>
      </c>
      <c r="E1209" s="81">
        <f t="shared" si="323"/>
        <v>6791.2436711181272</v>
      </c>
      <c r="F1209" s="81">
        <f>SUM(E$2:E1209)</f>
        <v>7613722.6182917226</v>
      </c>
      <c r="G1209" s="43">
        <f t="shared" si="321"/>
        <v>1</v>
      </c>
      <c r="H1209" s="78">
        <v>1</v>
      </c>
      <c r="I1209" s="15">
        <f t="shared" si="324"/>
        <v>0.6</v>
      </c>
      <c r="J1209" s="16">
        <f>VLOOKUP(G1209,Inputs!$L$3:$P$15,5,FALSE)</f>
        <v>2000</v>
      </c>
      <c r="K1209" s="16">
        <f t="shared" si="325"/>
        <v>1825</v>
      </c>
      <c r="L1209" s="79">
        <f>Inputs!$P$8-B1209</f>
        <v>172.73080000000004</v>
      </c>
      <c r="M1209" s="79">
        <f>Inputs!$Q$8+L1209*0.433</f>
        <v>1899.7924364</v>
      </c>
      <c r="N1209" s="82">
        <f t="shared" si="326"/>
        <v>208199.92</v>
      </c>
      <c r="O1209" s="83">
        <f t="shared" si="327"/>
        <v>765.46019999999999</v>
      </c>
      <c r="P1209" s="84">
        <f>IF(O1209="","",Inputs!$C$5-O1209)</f>
        <v>59.724299999999971</v>
      </c>
      <c r="Q1209" s="83">
        <f>IF(N1209="","",TS!J1209)</f>
        <v>2000</v>
      </c>
      <c r="R1209" s="83">
        <f>IF(N1209="","",TS!K1209)</f>
        <v>1825</v>
      </c>
      <c r="S1209" s="83">
        <f>Inputs!$H$5+TS!P1209*0.4333</f>
        <v>1900.84425564</v>
      </c>
      <c r="T1209" s="83">
        <f>Inputs!$G$5+TS!P1209*0.4333</f>
        <v>1915.84425564</v>
      </c>
      <c r="U1209" s="85">
        <f t="shared" si="328"/>
        <v>0.95792212781999997</v>
      </c>
      <c r="V1209" s="86">
        <f t="shared" si="332"/>
        <v>0</v>
      </c>
      <c r="W1209" s="86">
        <f t="shared" si="333"/>
        <v>0</v>
      </c>
      <c r="X1209" s="86" t="e">
        <f>((PI()*((42-2*'Gen Calcs'!$E$13)^2)/4)/144)*(A1252-#REF!)*(W1209+14.7)/14.7</f>
        <v>#REF!</v>
      </c>
      <c r="Y1209" s="86" t="e">
        <f t="shared" si="334"/>
        <v>#REF!</v>
      </c>
      <c r="Z1209" s="86" t="e">
        <f t="shared" si="335"/>
        <v>#REF!</v>
      </c>
      <c r="AA1209" s="83">
        <f>MAX(B$2:B1209)-B1209</f>
        <v>172.73080000000004</v>
      </c>
      <c r="AB1209" s="83">
        <f t="shared" si="336"/>
        <v>74.792436400000014</v>
      </c>
      <c r="AC1209" s="83">
        <f t="shared" si="322"/>
        <v>120</v>
      </c>
      <c r="AD1209" s="72">
        <v>120</v>
      </c>
      <c r="AE1209" s="73">
        <f t="shared" si="329"/>
        <v>907.92027688745009</v>
      </c>
      <c r="AF1209" s="73">
        <f>SUM(AE$2:AE1209)</f>
        <v>1018615.3559520649</v>
      </c>
      <c r="AG1209" s="73">
        <f t="shared" si="330"/>
        <v>155114.54647504434</v>
      </c>
    </row>
    <row r="1210" spans="1:33" x14ac:dyDescent="0.25">
      <c r="A1210" s="100">
        <v>208299.92</v>
      </c>
      <c r="B1210" s="97">
        <v>766.98950000000002</v>
      </c>
      <c r="C1210" s="97">
        <v>0.6</v>
      </c>
      <c r="D1210" s="80">
        <f t="shared" si="331"/>
        <v>100</v>
      </c>
      <c r="E1210" s="81">
        <f t="shared" si="323"/>
        <v>6791.2436711181272</v>
      </c>
      <c r="F1210" s="81">
        <f>SUM(E$2:E1210)</f>
        <v>7620513.8619628409</v>
      </c>
      <c r="G1210" s="43">
        <f t="shared" si="321"/>
        <v>1</v>
      </c>
      <c r="H1210" s="78">
        <v>1</v>
      </c>
      <c r="I1210" s="15">
        <f t="shared" si="324"/>
        <v>0.6</v>
      </c>
      <c r="J1210" s="16">
        <f>VLOOKUP(G1210,Inputs!$L$3:$P$15,5,FALSE)</f>
        <v>2000</v>
      </c>
      <c r="K1210" s="16">
        <f t="shared" si="325"/>
        <v>1825</v>
      </c>
      <c r="L1210" s="79">
        <f>Inputs!$P$8-B1210</f>
        <v>171.20150000000001</v>
      </c>
      <c r="M1210" s="79">
        <f>Inputs!$Q$8+L1210*0.433</f>
        <v>1899.1302495</v>
      </c>
      <c r="N1210" s="82">
        <f t="shared" si="326"/>
        <v>208299.92</v>
      </c>
      <c r="O1210" s="83">
        <f t="shared" si="327"/>
        <v>766.98950000000002</v>
      </c>
      <c r="P1210" s="84">
        <f>IF(O1210="","",Inputs!$C$5-O1210)</f>
        <v>58.194999999999936</v>
      </c>
      <c r="Q1210" s="83">
        <f>IF(N1210="","",TS!J1210)</f>
        <v>2000</v>
      </c>
      <c r="R1210" s="83">
        <f>IF(N1210="","",TS!K1210)</f>
        <v>1825</v>
      </c>
      <c r="S1210" s="83">
        <f>Inputs!$H$5+TS!P1210*0.4333</f>
        <v>1900.1816099499999</v>
      </c>
      <c r="T1210" s="83">
        <f>Inputs!$G$5+TS!P1210*0.4333</f>
        <v>1915.1816099499999</v>
      </c>
      <c r="U1210" s="85">
        <f t="shared" si="328"/>
        <v>0.95759080497499993</v>
      </c>
      <c r="V1210" s="86">
        <f t="shared" si="332"/>
        <v>0</v>
      </c>
      <c r="W1210" s="86">
        <f t="shared" si="333"/>
        <v>0</v>
      </c>
      <c r="X1210" s="86" t="e">
        <f>((PI()*((42-2*'Gen Calcs'!$E$13)^2)/4)/144)*(A1253-#REF!)*(W1210+14.7)/14.7</f>
        <v>#REF!</v>
      </c>
      <c r="Y1210" s="86" t="e">
        <f t="shared" si="334"/>
        <v>#REF!</v>
      </c>
      <c r="Z1210" s="86" t="e">
        <f t="shared" si="335"/>
        <v>#REF!</v>
      </c>
      <c r="AA1210" s="83">
        <f>MAX(B$2:B1210)-B1210</f>
        <v>171.20150000000001</v>
      </c>
      <c r="AB1210" s="83">
        <f t="shared" si="336"/>
        <v>74.130249500000005</v>
      </c>
      <c r="AC1210" s="83">
        <f t="shared" si="322"/>
        <v>120</v>
      </c>
      <c r="AD1210" s="72">
        <v>120</v>
      </c>
      <c r="AE1210" s="73">
        <f t="shared" si="329"/>
        <v>907.92027688745009</v>
      </c>
      <c r="AF1210" s="73">
        <f>SUM(AE$2:AE1210)</f>
        <v>1019523.2762289523</v>
      </c>
      <c r="AG1210" s="73">
        <f t="shared" si="330"/>
        <v>154206.62619815685</v>
      </c>
    </row>
    <row r="1211" spans="1:33" x14ac:dyDescent="0.25">
      <c r="A1211" s="99">
        <v>208399.92</v>
      </c>
      <c r="B1211" s="96">
        <v>769.60670000000005</v>
      </c>
      <c r="C1211" s="96">
        <v>0.6</v>
      </c>
      <c r="D1211" s="80">
        <f t="shared" si="331"/>
        <v>100</v>
      </c>
      <c r="E1211" s="81">
        <f t="shared" si="323"/>
        <v>6791.2436711181272</v>
      </c>
      <c r="F1211" s="81">
        <f>SUM(E$2:E1211)</f>
        <v>7627305.1056339592</v>
      </c>
      <c r="G1211" s="43">
        <f t="shared" si="321"/>
        <v>1</v>
      </c>
      <c r="H1211" s="78">
        <v>1</v>
      </c>
      <c r="I1211" s="15">
        <f t="shared" si="324"/>
        <v>0.6</v>
      </c>
      <c r="J1211" s="16">
        <f>VLOOKUP(G1211,Inputs!$L$3:$P$15,5,FALSE)</f>
        <v>2000</v>
      </c>
      <c r="K1211" s="16">
        <f t="shared" si="325"/>
        <v>1825</v>
      </c>
      <c r="L1211" s="79">
        <f>Inputs!$P$8-B1211</f>
        <v>168.58429999999998</v>
      </c>
      <c r="M1211" s="79">
        <f>Inputs!$Q$8+L1211*0.433</f>
        <v>1897.9970019</v>
      </c>
      <c r="N1211" s="82">
        <f t="shared" si="326"/>
        <v>208399.92</v>
      </c>
      <c r="O1211" s="83">
        <f t="shared" si="327"/>
        <v>769.60670000000005</v>
      </c>
      <c r="P1211" s="84">
        <f>IF(O1211="","",Inputs!$C$5-O1211)</f>
        <v>55.577799999999911</v>
      </c>
      <c r="Q1211" s="83">
        <f>IF(N1211="","",TS!J1211)</f>
        <v>2000</v>
      </c>
      <c r="R1211" s="83">
        <f>IF(N1211="","",TS!K1211)</f>
        <v>1825</v>
      </c>
      <c r="S1211" s="83">
        <f>Inputs!$H$5+TS!P1211*0.4333</f>
        <v>1899.0475771899999</v>
      </c>
      <c r="T1211" s="83">
        <f>Inputs!$G$5+TS!P1211*0.4333</f>
        <v>1914.0475771899999</v>
      </c>
      <c r="U1211" s="85">
        <f t="shared" si="328"/>
        <v>0.95702378859499992</v>
      </c>
      <c r="V1211" s="86">
        <f t="shared" si="332"/>
        <v>0</v>
      </c>
      <c r="W1211" s="86">
        <f t="shared" si="333"/>
        <v>0</v>
      </c>
      <c r="X1211" s="86" t="e">
        <f>((PI()*((42-2*'Gen Calcs'!$E$13)^2)/4)/144)*(A1254-#REF!)*(W1211+14.7)/14.7</f>
        <v>#REF!</v>
      </c>
      <c r="Y1211" s="86" t="e">
        <f t="shared" si="334"/>
        <v>#REF!</v>
      </c>
      <c r="Z1211" s="86" t="e">
        <f t="shared" si="335"/>
        <v>#REF!</v>
      </c>
      <c r="AA1211" s="83">
        <f>MAX(B$2:B1211)-B1211</f>
        <v>168.58429999999998</v>
      </c>
      <c r="AB1211" s="83">
        <f t="shared" si="336"/>
        <v>72.997001899999987</v>
      </c>
      <c r="AC1211" s="83">
        <f t="shared" si="322"/>
        <v>120</v>
      </c>
      <c r="AD1211" s="72">
        <v>120</v>
      </c>
      <c r="AE1211" s="73">
        <f t="shared" si="329"/>
        <v>907.92027688745009</v>
      </c>
      <c r="AF1211" s="73">
        <f>SUM(AE$2:AE1211)</f>
        <v>1020431.1965058398</v>
      </c>
      <c r="AG1211" s="73">
        <f t="shared" si="330"/>
        <v>153298.70592126937</v>
      </c>
    </row>
    <row r="1212" spans="1:33" x14ac:dyDescent="0.25">
      <c r="A1212" s="100">
        <v>208499.92</v>
      </c>
      <c r="B1212" s="97">
        <v>771.47080000000005</v>
      </c>
      <c r="C1212" s="97">
        <v>0.6</v>
      </c>
      <c r="D1212" s="80">
        <f t="shared" si="331"/>
        <v>100</v>
      </c>
      <c r="E1212" s="81">
        <f t="shared" si="323"/>
        <v>6791.2436711181272</v>
      </c>
      <c r="F1212" s="81">
        <f>SUM(E$2:E1212)</f>
        <v>7634096.3493050775</v>
      </c>
      <c r="G1212" s="43">
        <f t="shared" si="321"/>
        <v>1</v>
      </c>
      <c r="H1212" s="78">
        <v>1</v>
      </c>
      <c r="I1212" s="15">
        <f t="shared" si="324"/>
        <v>0.6</v>
      </c>
      <c r="J1212" s="16">
        <f>VLOOKUP(G1212,Inputs!$L$3:$P$15,5,FALSE)</f>
        <v>2000</v>
      </c>
      <c r="K1212" s="16">
        <f t="shared" si="325"/>
        <v>1825</v>
      </c>
      <c r="L1212" s="79">
        <f>Inputs!$P$8-B1212</f>
        <v>166.72019999999998</v>
      </c>
      <c r="M1212" s="79">
        <f>Inputs!$Q$8+L1212*0.433</f>
        <v>1897.1898466</v>
      </c>
      <c r="N1212" s="82">
        <f t="shared" si="326"/>
        <v>208499.92</v>
      </c>
      <c r="O1212" s="83">
        <f t="shared" si="327"/>
        <v>771.47080000000005</v>
      </c>
      <c r="P1212" s="84">
        <f>IF(O1212="","",Inputs!$C$5-O1212)</f>
        <v>53.713699999999903</v>
      </c>
      <c r="Q1212" s="83">
        <f>IF(N1212="","",TS!J1212)</f>
        <v>2000</v>
      </c>
      <c r="R1212" s="83">
        <f>IF(N1212="","",TS!K1212)</f>
        <v>1825</v>
      </c>
      <c r="S1212" s="83">
        <f>Inputs!$H$5+TS!P1212*0.4333</f>
        <v>1898.23986266</v>
      </c>
      <c r="T1212" s="83">
        <f>Inputs!$G$5+TS!P1212*0.4333</f>
        <v>1913.23986266</v>
      </c>
      <c r="U1212" s="85">
        <f t="shared" si="328"/>
        <v>0.95661993133000001</v>
      </c>
      <c r="V1212" s="86">
        <f t="shared" si="332"/>
        <v>0</v>
      </c>
      <c r="W1212" s="86">
        <f t="shared" si="333"/>
        <v>0</v>
      </c>
      <c r="X1212" s="86" t="e">
        <f>((PI()*((42-2*'Gen Calcs'!$E$13)^2)/4)/144)*(A1255-#REF!)*(W1212+14.7)/14.7</f>
        <v>#REF!</v>
      </c>
      <c r="Y1212" s="86" t="e">
        <f t="shared" si="334"/>
        <v>#REF!</v>
      </c>
      <c r="Z1212" s="86" t="e">
        <f t="shared" si="335"/>
        <v>#REF!</v>
      </c>
      <c r="AA1212" s="83">
        <f>MAX(B$2:B1212)-B1212</f>
        <v>166.72019999999998</v>
      </c>
      <c r="AB1212" s="83">
        <f t="shared" si="336"/>
        <v>72.189846599999996</v>
      </c>
      <c r="AC1212" s="83">
        <f t="shared" si="322"/>
        <v>120</v>
      </c>
      <c r="AD1212" s="72">
        <v>120</v>
      </c>
      <c r="AE1212" s="73">
        <f t="shared" si="329"/>
        <v>907.92027688745009</v>
      </c>
      <c r="AF1212" s="73">
        <f>SUM(AE$2:AE1212)</f>
        <v>1021339.1167827273</v>
      </c>
      <c r="AG1212" s="73">
        <f t="shared" si="330"/>
        <v>152390.78564438189</v>
      </c>
    </row>
    <row r="1213" spans="1:33" x14ac:dyDescent="0.25">
      <c r="A1213" s="99">
        <v>208599.92</v>
      </c>
      <c r="B1213" s="96">
        <v>773.33320000000003</v>
      </c>
      <c r="C1213" s="96">
        <v>0.6</v>
      </c>
      <c r="D1213" s="80">
        <f t="shared" si="331"/>
        <v>100</v>
      </c>
      <c r="E1213" s="81">
        <f t="shared" si="323"/>
        <v>6791.2436711181272</v>
      </c>
      <c r="F1213" s="81">
        <f>SUM(E$2:E1213)</f>
        <v>7640887.5929761957</v>
      </c>
      <c r="G1213" s="43">
        <f t="shared" si="321"/>
        <v>1</v>
      </c>
      <c r="H1213" s="78">
        <v>1</v>
      </c>
      <c r="I1213" s="15">
        <f t="shared" si="324"/>
        <v>0.6</v>
      </c>
      <c r="J1213" s="16">
        <f>VLOOKUP(G1213,Inputs!$L$3:$P$15,5,FALSE)</f>
        <v>2000</v>
      </c>
      <c r="K1213" s="16">
        <f t="shared" si="325"/>
        <v>1825</v>
      </c>
      <c r="L1213" s="79">
        <f>Inputs!$P$8-B1213</f>
        <v>164.8578</v>
      </c>
      <c r="M1213" s="79">
        <f>Inputs!$Q$8+L1213*0.433</f>
        <v>1896.3834274000001</v>
      </c>
      <c r="N1213" s="82">
        <f t="shared" si="326"/>
        <v>208599.92</v>
      </c>
      <c r="O1213" s="83">
        <f t="shared" si="327"/>
        <v>773.33320000000003</v>
      </c>
      <c r="P1213" s="84">
        <f>IF(O1213="","",Inputs!$C$5-O1213)</f>
        <v>51.851299999999924</v>
      </c>
      <c r="Q1213" s="83">
        <f>IF(N1213="","",TS!J1213)</f>
        <v>2000</v>
      </c>
      <c r="R1213" s="83">
        <f>IF(N1213="","",TS!K1213)</f>
        <v>1825</v>
      </c>
      <c r="S1213" s="83">
        <f>Inputs!$H$5+TS!P1213*0.4333</f>
        <v>1897.43288474</v>
      </c>
      <c r="T1213" s="83">
        <f>Inputs!$G$5+TS!P1213*0.4333</f>
        <v>1912.43288474</v>
      </c>
      <c r="U1213" s="85">
        <f t="shared" si="328"/>
        <v>0.95621644237000003</v>
      </c>
      <c r="V1213" s="86">
        <f t="shared" si="332"/>
        <v>0</v>
      </c>
      <c r="W1213" s="86">
        <f t="shared" si="333"/>
        <v>0</v>
      </c>
      <c r="X1213" s="86" t="e">
        <f>((PI()*((42-2*'Gen Calcs'!$E$13)^2)/4)/144)*(A1256-#REF!)*(W1213+14.7)/14.7</f>
        <v>#REF!</v>
      </c>
      <c r="Y1213" s="86" t="e">
        <f t="shared" si="334"/>
        <v>#REF!</v>
      </c>
      <c r="Z1213" s="86" t="e">
        <f t="shared" si="335"/>
        <v>#REF!</v>
      </c>
      <c r="AA1213" s="83">
        <f>MAX(B$2:B1213)-B1213</f>
        <v>164.8578</v>
      </c>
      <c r="AB1213" s="83">
        <f t="shared" si="336"/>
        <v>71.383427400000002</v>
      </c>
      <c r="AC1213" s="83">
        <f t="shared" si="322"/>
        <v>120</v>
      </c>
      <c r="AD1213" s="72">
        <v>120</v>
      </c>
      <c r="AE1213" s="73">
        <f t="shared" si="329"/>
        <v>907.92027688745009</v>
      </c>
      <c r="AF1213" s="73">
        <f>SUM(AE$2:AE1213)</f>
        <v>1022247.0370596148</v>
      </c>
      <c r="AG1213" s="73">
        <f t="shared" si="330"/>
        <v>151482.86536749441</v>
      </c>
    </row>
    <row r="1214" spans="1:33" x14ac:dyDescent="0.25">
      <c r="A1214" s="100">
        <v>208699.92</v>
      </c>
      <c r="B1214" s="97">
        <v>775.06460000000004</v>
      </c>
      <c r="C1214" s="97">
        <v>0.6</v>
      </c>
      <c r="D1214" s="80">
        <f t="shared" si="331"/>
        <v>100</v>
      </c>
      <c r="E1214" s="81">
        <f t="shared" si="323"/>
        <v>6791.2436711181272</v>
      </c>
      <c r="F1214" s="81">
        <f>SUM(E$2:E1214)</f>
        <v>7647678.836647314</v>
      </c>
      <c r="G1214" s="43">
        <f t="shared" si="321"/>
        <v>1</v>
      </c>
      <c r="H1214" s="78">
        <v>1</v>
      </c>
      <c r="I1214" s="15">
        <f t="shared" si="324"/>
        <v>0.6</v>
      </c>
      <c r="J1214" s="16">
        <f>VLOOKUP(G1214,Inputs!$L$3:$P$15,5,FALSE)</f>
        <v>2000</v>
      </c>
      <c r="K1214" s="16">
        <f t="shared" si="325"/>
        <v>1825</v>
      </c>
      <c r="L1214" s="79">
        <f>Inputs!$P$8-B1214</f>
        <v>163.12639999999999</v>
      </c>
      <c r="M1214" s="79">
        <f>Inputs!$Q$8+L1214*0.433</f>
        <v>1895.6337312000001</v>
      </c>
      <c r="N1214" s="82">
        <f t="shared" si="326"/>
        <v>208699.92</v>
      </c>
      <c r="O1214" s="83">
        <f t="shared" si="327"/>
        <v>775.06460000000004</v>
      </c>
      <c r="P1214" s="84">
        <f>IF(O1214="","",Inputs!$C$5-O1214)</f>
        <v>50.119899999999916</v>
      </c>
      <c r="Q1214" s="83">
        <f>IF(N1214="","",TS!J1214)</f>
        <v>2000</v>
      </c>
      <c r="R1214" s="83">
        <f>IF(N1214="","",TS!K1214)</f>
        <v>1825</v>
      </c>
      <c r="S1214" s="83">
        <f>Inputs!$H$5+TS!P1214*0.4333</f>
        <v>1896.6826691199999</v>
      </c>
      <c r="T1214" s="83">
        <f>Inputs!$G$5+TS!P1214*0.4333</f>
        <v>1911.6826691199999</v>
      </c>
      <c r="U1214" s="85">
        <f t="shared" si="328"/>
        <v>0.95584133455999998</v>
      </c>
      <c r="V1214" s="86">
        <f t="shared" si="332"/>
        <v>0</v>
      </c>
      <c r="W1214" s="86">
        <f t="shared" si="333"/>
        <v>0</v>
      </c>
      <c r="X1214" s="86" t="e">
        <f>((PI()*((42-2*'Gen Calcs'!$E$13)^2)/4)/144)*(A1257-#REF!)*(W1214+14.7)/14.7</f>
        <v>#REF!</v>
      </c>
      <c r="Y1214" s="86" t="e">
        <f t="shared" si="334"/>
        <v>#REF!</v>
      </c>
      <c r="Z1214" s="86" t="e">
        <f t="shared" si="335"/>
        <v>#REF!</v>
      </c>
      <c r="AA1214" s="83">
        <f>MAX(B$2:B1214)-B1214</f>
        <v>163.12639999999999</v>
      </c>
      <c r="AB1214" s="83">
        <f t="shared" si="336"/>
        <v>70.6337312</v>
      </c>
      <c r="AC1214" s="83">
        <f t="shared" si="322"/>
        <v>120</v>
      </c>
      <c r="AD1214" s="72">
        <v>120</v>
      </c>
      <c r="AE1214" s="73">
        <f t="shared" si="329"/>
        <v>907.92027688745009</v>
      </c>
      <c r="AF1214" s="73">
        <f>SUM(AE$2:AE1214)</f>
        <v>1023154.9573365023</v>
      </c>
      <c r="AG1214" s="73">
        <f t="shared" si="330"/>
        <v>150574.94509060693</v>
      </c>
    </row>
    <row r="1215" spans="1:33" x14ac:dyDescent="0.25">
      <c r="A1215" s="99">
        <v>208799.92</v>
      </c>
      <c r="B1215" s="96">
        <v>779.39469999999994</v>
      </c>
      <c r="C1215" s="96">
        <v>0.6</v>
      </c>
      <c r="D1215" s="80">
        <f t="shared" si="331"/>
        <v>100</v>
      </c>
      <c r="E1215" s="81">
        <f t="shared" si="323"/>
        <v>6791.2436711181272</v>
      </c>
      <c r="F1215" s="81">
        <f>SUM(E$2:E1215)</f>
        <v>7654470.0803184323</v>
      </c>
      <c r="G1215" s="43">
        <f t="shared" si="321"/>
        <v>1</v>
      </c>
      <c r="H1215" s="78">
        <v>1</v>
      </c>
      <c r="I1215" s="15">
        <f t="shared" si="324"/>
        <v>0.6</v>
      </c>
      <c r="J1215" s="16">
        <f>VLOOKUP(G1215,Inputs!$L$3:$P$15,5,FALSE)</f>
        <v>2000</v>
      </c>
      <c r="K1215" s="16">
        <f t="shared" si="325"/>
        <v>1825</v>
      </c>
      <c r="L1215" s="79">
        <f>Inputs!$P$8-B1215</f>
        <v>158.79630000000009</v>
      </c>
      <c r="M1215" s="79">
        <f>Inputs!$Q$8+L1215*0.433</f>
        <v>1893.7587979</v>
      </c>
      <c r="N1215" s="82">
        <f t="shared" si="326"/>
        <v>208799.92</v>
      </c>
      <c r="O1215" s="83">
        <f t="shared" si="327"/>
        <v>779.39469999999994</v>
      </c>
      <c r="P1215" s="84">
        <f>IF(O1215="","",Inputs!$C$5-O1215)</f>
        <v>45.789800000000014</v>
      </c>
      <c r="Q1215" s="83">
        <f>IF(N1215="","",TS!J1215)</f>
        <v>2000</v>
      </c>
      <c r="R1215" s="83">
        <f>IF(N1215="","",TS!K1215)</f>
        <v>1825</v>
      </c>
      <c r="S1215" s="83">
        <f>Inputs!$H$5+TS!P1215*0.4333</f>
        <v>1894.8064367899999</v>
      </c>
      <c r="T1215" s="83">
        <f>Inputs!$G$5+TS!P1215*0.4333</f>
        <v>1909.8064367899999</v>
      </c>
      <c r="U1215" s="85">
        <f t="shared" si="328"/>
        <v>0.95490321839499992</v>
      </c>
      <c r="V1215" s="86">
        <f t="shared" si="332"/>
        <v>0</v>
      </c>
      <c r="W1215" s="86">
        <f t="shared" si="333"/>
        <v>0</v>
      </c>
      <c r="X1215" s="86" t="e">
        <f>((PI()*((42-2*'Gen Calcs'!$E$13)^2)/4)/144)*(A1258-#REF!)*(W1215+14.7)/14.7</f>
        <v>#REF!</v>
      </c>
      <c r="Y1215" s="86" t="e">
        <f t="shared" si="334"/>
        <v>#REF!</v>
      </c>
      <c r="Z1215" s="86" t="e">
        <f t="shared" si="335"/>
        <v>#REF!</v>
      </c>
      <c r="AA1215" s="83">
        <f>MAX(B$2:B1215)-B1215</f>
        <v>158.79630000000009</v>
      </c>
      <c r="AB1215" s="83">
        <f t="shared" si="336"/>
        <v>68.758797900000033</v>
      </c>
      <c r="AC1215" s="83">
        <f t="shared" si="322"/>
        <v>120</v>
      </c>
      <c r="AD1215" s="72">
        <v>120</v>
      </c>
      <c r="AE1215" s="73">
        <f t="shared" si="329"/>
        <v>907.92027688745009</v>
      </c>
      <c r="AF1215" s="73">
        <f>SUM(AE$2:AE1215)</f>
        <v>1024062.8776133897</v>
      </c>
      <c r="AG1215" s="73">
        <f t="shared" si="330"/>
        <v>149667.02481371944</v>
      </c>
    </row>
    <row r="1216" spans="1:33" x14ac:dyDescent="0.25">
      <c r="A1216" s="100">
        <v>208899.92</v>
      </c>
      <c r="B1216" s="97">
        <v>783.35429999999997</v>
      </c>
      <c r="C1216" s="97">
        <v>0.6</v>
      </c>
      <c r="D1216" s="80">
        <f t="shared" si="331"/>
        <v>100</v>
      </c>
      <c r="E1216" s="81">
        <f t="shared" si="323"/>
        <v>6791.2436711181272</v>
      </c>
      <c r="F1216" s="81">
        <f>SUM(E$2:E1216)</f>
        <v>7661261.3239895506</v>
      </c>
      <c r="G1216" s="43">
        <f t="shared" si="321"/>
        <v>1</v>
      </c>
      <c r="H1216" s="78">
        <v>1</v>
      </c>
      <c r="I1216" s="15">
        <f t="shared" si="324"/>
        <v>0.6</v>
      </c>
      <c r="J1216" s="16">
        <f>VLOOKUP(G1216,Inputs!$L$3:$P$15,5,FALSE)</f>
        <v>2000</v>
      </c>
      <c r="K1216" s="16">
        <f t="shared" si="325"/>
        <v>1825</v>
      </c>
      <c r="L1216" s="79">
        <f>Inputs!$P$8-B1216</f>
        <v>154.83670000000006</v>
      </c>
      <c r="M1216" s="79">
        <f>Inputs!$Q$8+L1216*0.433</f>
        <v>1892.0442911</v>
      </c>
      <c r="N1216" s="82">
        <f t="shared" si="326"/>
        <v>208899.92</v>
      </c>
      <c r="O1216" s="83">
        <f t="shared" si="327"/>
        <v>783.35429999999997</v>
      </c>
      <c r="P1216" s="84">
        <f>IF(O1216="","",Inputs!$C$5-O1216)</f>
        <v>41.830199999999991</v>
      </c>
      <c r="Q1216" s="83">
        <f>IF(N1216="","",TS!J1216)</f>
        <v>2000</v>
      </c>
      <c r="R1216" s="83">
        <f>IF(N1216="","",TS!K1216)</f>
        <v>1825</v>
      </c>
      <c r="S1216" s="83">
        <f>Inputs!$H$5+TS!P1216*0.4333</f>
        <v>1893.0907421099998</v>
      </c>
      <c r="T1216" s="83">
        <f>Inputs!$G$5+TS!P1216*0.4333</f>
        <v>1908.0907421099998</v>
      </c>
      <c r="U1216" s="85">
        <f t="shared" si="328"/>
        <v>0.95404537105499987</v>
      </c>
      <c r="V1216" s="86">
        <f t="shared" si="332"/>
        <v>0</v>
      </c>
      <c r="W1216" s="86">
        <f t="shared" si="333"/>
        <v>0</v>
      </c>
      <c r="X1216" s="86" t="e">
        <f>((PI()*((42-2*'Gen Calcs'!$E$13)^2)/4)/144)*(A1259-#REF!)*(W1216+14.7)/14.7</f>
        <v>#REF!</v>
      </c>
      <c r="Y1216" s="86" t="e">
        <f t="shared" si="334"/>
        <v>#REF!</v>
      </c>
      <c r="Z1216" s="86" t="e">
        <f t="shared" si="335"/>
        <v>#REF!</v>
      </c>
      <c r="AA1216" s="83">
        <f>MAX(B$2:B1216)-B1216</f>
        <v>154.83670000000006</v>
      </c>
      <c r="AB1216" s="83">
        <f t="shared" si="336"/>
        <v>67.044291100000024</v>
      </c>
      <c r="AC1216" s="83">
        <f t="shared" si="322"/>
        <v>120</v>
      </c>
      <c r="AD1216" s="72">
        <v>120</v>
      </c>
      <c r="AE1216" s="73">
        <f t="shared" si="329"/>
        <v>907.92027688745009</v>
      </c>
      <c r="AF1216" s="73">
        <f>SUM(AE$2:AE1216)</f>
        <v>1024970.7978902772</v>
      </c>
      <c r="AG1216" s="73">
        <f t="shared" si="330"/>
        <v>148759.10453683196</v>
      </c>
    </row>
    <row r="1217" spans="1:33" x14ac:dyDescent="0.25">
      <c r="A1217" s="99">
        <v>208999.92</v>
      </c>
      <c r="B1217" s="96">
        <v>783.94110000000001</v>
      </c>
      <c r="C1217" s="96">
        <v>0.6</v>
      </c>
      <c r="D1217" s="80">
        <f t="shared" si="331"/>
        <v>100</v>
      </c>
      <c r="E1217" s="81">
        <f t="shared" si="323"/>
        <v>6791.2436711181272</v>
      </c>
      <c r="F1217" s="81">
        <f>SUM(E$2:E1217)</f>
        <v>7668052.5676606689</v>
      </c>
      <c r="G1217" s="43">
        <f t="shared" si="321"/>
        <v>1</v>
      </c>
      <c r="H1217" s="78">
        <v>1</v>
      </c>
      <c r="I1217" s="15">
        <f t="shared" si="324"/>
        <v>0.6</v>
      </c>
      <c r="J1217" s="16">
        <f>VLOOKUP(G1217,Inputs!$L$3:$P$15,5,FALSE)</f>
        <v>2000</v>
      </c>
      <c r="K1217" s="16">
        <f t="shared" si="325"/>
        <v>1825</v>
      </c>
      <c r="L1217" s="79">
        <f>Inputs!$P$8-B1217</f>
        <v>154.24990000000003</v>
      </c>
      <c r="M1217" s="79">
        <f>Inputs!$Q$8+L1217*0.433</f>
        <v>1891.7902067</v>
      </c>
      <c r="N1217" s="82">
        <f t="shared" si="326"/>
        <v>208999.92</v>
      </c>
      <c r="O1217" s="83">
        <f t="shared" si="327"/>
        <v>783.94110000000001</v>
      </c>
      <c r="P1217" s="84">
        <f>IF(O1217="","",Inputs!$C$5-O1217)</f>
        <v>41.243399999999951</v>
      </c>
      <c r="Q1217" s="83">
        <f>IF(N1217="","",TS!J1217)</f>
        <v>2000</v>
      </c>
      <c r="R1217" s="83">
        <f>IF(N1217="","",TS!K1217)</f>
        <v>1825</v>
      </c>
      <c r="S1217" s="83">
        <f>Inputs!$H$5+TS!P1217*0.4333</f>
        <v>1892.83648167</v>
      </c>
      <c r="T1217" s="83">
        <f>Inputs!$G$5+TS!P1217*0.4333</f>
        <v>1907.83648167</v>
      </c>
      <c r="U1217" s="85">
        <f t="shared" si="328"/>
        <v>0.95391824083499999</v>
      </c>
      <c r="V1217" s="86">
        <f t="shared" si="332"/>
        <v>0</v>
      </c>
      <c r="W1217" s="86">
        <f t="shared" si="333"/>
        <v>0</v>
      </c>
      <c r="X1217" s="86" t="e">
        <f>((PI()*((42-2*'Gen Calcs'!$E$13)^2)/4)/144)*(A1260-#REF!)*(W1217+14.7)/14.7</f>
        <v>#REF!</v>
      </c>
      <c r="Y1217" s="86" t="e">
        <f t="shared" si="334"/>
        <v>#REF!</v>
      </c>
      <c r="Z1217" s="86" t="e">
        <f t="shared" si="335"/>
        <v>#REF!</v>
      </c>
      <c r="AA1217" s="83">
        <f>MAX(B$2:B1217)-B1217</f>
        <v>154.24990000000003</v>
      </c>
      <c r="AB1217" s="83">
        <f t="shared" si="336"/>
        <v>66.790206700000013</v>
      </c>
      <c r="AC1217" s="83">
        <f t="shared" si="322"/>
        <v>120</v>
      </c>
      <c r="AD1217" s="72">
        <v>120</v>
      </c>
      <c r="AE1217" s="73">
        <f t="shared" si="329"/>
        <v>907.92027688745009</v>
      </c>
      <c r="AF1217" s="73">
        <f>SUM(AE$2:AE1217)</f>
        <v>1025878.7181671647</v>
      </c>
      <c r="AG1217" s="73">
        <f t="shared" si="330"/>
        <v>147851.18425994448</v>
      </c>
    </row>
    <row r="1218" spans="1:33" x14ac:dyDescent="0.25">
      <c r="A1218" s="100">
        <v>209099.92</v>
      </c>
      <c r="B1218" s="97">
        <v>781.49959999999999</v>
      </c>
      <c r="C1218" s="97">
        <v>0.6</v>
      </c>
      <c r="D1218" s="80">
        <f t="shared" si="331"/>
        <v>100</v>
      </c>
      <c r="E1218" s="81">
        <f t="shared" si="323"/>
        <v>6791.2436711181272</v>
      </c>
      <c r="F1218" s="81">
        <f>SUM(E$2:E1218)</f>
        <v>7674843.8113317871</v>
      </c>
      <c r="G1218" s="43">
        <f t="shared" si="321"/>
        <v>1</v>
      </c>
      <c r="H1218" s="78">
        <v>1</v>
      </c>
      <c r="I1218" s="15">
        <f t="shared" si="324"/>
        <v>0.6</v>
      </c>
      <c r="J1218" s="16">
        <f>VLOOKUP(G1218,Inputs!$L$3:$P$15,5,FALSE)</f>
        <v>2000</v>
      </c>
      <c r="K1218" s="16">
        <f t="shared" si="325"/>
        <v>1825</v>
      </c>
      <c r="L1218" s="79">
        <f>Inputs!$P$8-B1218</f>
        <v>156.69140000000004</v>
      </c>
      <c r="M1218" s="79">
        <f>Inputs!$Q$8+L1218*0.433</f>
        <v>1892.8473762000001</v>
      </c>
      <c r="N1218" s="82">
        <f t="shared" si="326"/>
        <v>209099.92</v>
      </c>
      <c r="O1218" s="83">
        <f t="shared" si="327"/>
        <v>781.49959999999999</v>
      </c>
      <c r="P1218" s="84">
        <f>IF(O1218="","",Inputs!$C$5-O1218)</f>
        <v>43.684899999999971</v>
      </c>
      <c r="Q1218" s="83">
        <f>IF(N1218="","",TS!J1218)</f>
        <v>2000</v>
      </c>
      <c r="R1218" s="83">
        <f>IF(N1218="","",TS!K1218)</f>
        <v>1825</v>
      </c>
      <c r="S1218" s="83">
        <f>Inputs!$H$5+TS!P1218*0.4333</f>
        <v>1893.8943836199999</v>
      </c>
      <c r="T1218" s="83">
        <f>Inputs!$G$5+TS!P1218*0.4333</f>
        <v>1908.8943836199999</v>
      </c>
      <c r="U1218" s="85">
        <f t="shared" si="328"/>
        <v>0.95444719180999993</v>
      </c>
      <c r="V1218" s="86">
        <f t="shared" si="332"/>
        <v>0</v>
      </c>
      <c r="W1218" s="86">
        <f t="shared" si="333"/>
        <v>0</v>
      </c>
      <c r="X1218" s="86" t="e">
        <f>((PI()*((42-2*'Gen Calcs'!$E$13)^2)/4)/144)*(A1261-#REF!)*(W1218+14.7)/14.7</f>
        <v>#REF!</v>
      </c>
      <c r="Y1218" s="86" t="e">
        <f t="shared" si="334"/>
        <v>#REF!</v>
      </c>
      <c r="Z1218" s="86" t="e">
        <f t="shared" si="335"/>
        <v>#REF!</v>
      </c>
      <c r="AA1218" s="83">
        <f>MAX(B$2:B1218)-B1218</f>
        <v>156.69140000000004</v>
      </c>
      <c r="AB1218" s="83">
        <f t="shared" si="336"/>
        <v>67.847376200000014</v>
      </c>
      <c r="AC1218" s="83">
        <f t="shared" si="322"/>
        <v>120</v>
      </c>
      <c r="AD1218" s="72">
        <v>120</v>
      </c>
      <c r="AE1218" s="73">
        <f t="shared" si="329"/>
        <v>907.92027688745009</v>
      </c>
      <c r="AF1218" s="73">
        <f>SUM(AE$2:AE1218)</f>
        <v>1026786.6384440522</v>
      </c>
      <c r="AG1218" s="73">
        <f t="shared" si="330"/>
        <v>146943.263983057</v>
      </c>
    </row>
    <row r="1219" spans="1:33" x14ac:dyDescent="0.25">
      <c r="A1219" s="99">
        <v>209199.92</v>
      </c>
      <c r="B1219" s="96">
        <v>780.10550000000001</v>
      </c>
      <c r="C1219" s="96">
        <v>0.6</v>
      </c>
      <c r="D1219" s="80">
        <f t="shared" si="331"/>
        <v>100</v>
      </c>
      <c r="E1219" s="81">
        <f t="shared" si="323"/>
        <v>6791.2436711181272</v>
      </c>
      <c r="F1219" s="81">
        <f>SUM(E$2:E1219)</f>
        <v>7681635.0550029054</v>
      </c>
      <c r="G1219" s="43">
        <f t="shared" ref="G1219:G1282" si="337">IF(C1219=0.72,12,IF(C1219=1,11,IF(C1219=0.825,10,IF(C1219=0.6,1,IF(C1219=0.864,2,IF(C1219=0.888,3))))))</f>
        <v>1</v>
      </c>
      <c r="H1219" s="78">
        <v>1</v>
      </c>
      <c r="I1219" s="15">
        <f t="shared" si="324"/>
        <v>0.6</v>
      </c>
      <c r="J1219" s="16">
        <f>VLOOKUP(G1219,Inputs!$L$3:$P$15,5,FALSE)</f>
        <v>2000</v>
      </c>
      <c r="K1219" s="16">
        <f t="shared" si="325"/>
        <v>1825</v>
      </c>
      <c r="L1219" s="79">
        <f>Inputs!$P$8-B1219</f>
        <v>158.08550000000002</v>
      </c>
      <c r="M1219" s="79">
        <f>Inputs!$Q$8+L1219*0.433</f>
        <v>1893.4510215</v>
      </c>
      <c r="N1219" s="82">
        <f t="shared" si="326"/>
        <v>209199.92</v>
      </c>
      <c r="O1219" s="83">
        <f t="shared" si="327"/>
        <v>780.10550000000001</v>
      </c>
      <c r="P1219" s="84">
        <f>IF(O1219="","",Inputs!$C$5-O1219)</f>
        <v>45.078999999999951</v>
      </c>
      <c r="Q1219" s="83">
        <f>IF(N1219="","",TS!J1219)</f>
        <v>2000</v>
      </c>
      <c r="R1219" s="83">
        <f>IF(N1219="","",TS!K1219)</f>
        <v>1825</v>
      </c>
      <c r="S1219" s="83">
        <f>Inputs!$H$5+TS!P1219*0.4333</f>
        <v>1894.4984471499999</v>
      </c>
      <c r="T1219" s="83">
        <f>Inputs!$G$5+TS!P1219*0.4333</f>
        <v>1909.4984471499999</v>
      </c>
      <c r="U1219" s="85">
        <f t="shared" si="328"/>
        <v>0.95474922357500003</v>
      </c>
      <c r="V1219" s="86">
        <f t="shared" si="332"/>
        <v>0</v>
      </c>
      <c r="W1219" s="86">
        <f t="shared" si="333"/>
        <v>0</v>
      </c>
      <c r="X1219" s="86" t="e">
        <f>((PI()*((42-2*'Gen Calcs'!$E$13)^2)/4)/144)*(A1262-#REF!)*(W1219+14.7)/14.7</f>
        <v>#REF!</v>
      </c>
      <c r="Y1219" s="86" t="e">
        <f t="shared" si="334"/>
        <v>#REF!</v>
      </c>
      <c r="Z1219" s="86" t="e">
        <f t="shared" si="335"/>
        <v>#REF!</v>
      </c>
      <c r="AA1219" s="83">
        <f>MAX(B$2:B1219)-B1219</f>
        <v>158.08550000000002</v>
      </c>
      <c r="AB1219" s="83">
        <f t="shared" si="336"/>
        <v>68.45102150000001</v>
      </c>
      <c r="AC1219" s="83">
        <f t="shared" ref="AC1219:AC1282" si="338">((MAX(O$2:O$1348)-O1219)-(MAX(O$2:O$1348)-O1219))*0.433+AD1219</f>
        <v>120</v>
      </c>
      <c r="AD1219" s="72">
        <v>120</v>
      </c>
      <c r="AE1219" s="73">
        <f t="shared" si="329"/>
        <v>907.92027688745009</v>
      </c>
      <c r="AF1219" s="73">
        <f>SUM(AE$2:AE1219)</f>
        <v>1027694.5587209397</v>
      </c>
      <c r="AG1219" s="73">
        <f t="shared" si="330"/>
        <v>146035.34370616951</v>
      </c>
    </row>
    <row r="1220" spans="1:33" x14ac:dyDescent="0.25">
      <c r="A1220" s="100">
        <v>209299.92</v>
      </c>
      <c r="B1220" s="97">
        <v>778.971</v>
      </c>
      <c r="C1220" s="97">
        <v>0.6</v>
      </c>
      <c r="D1220" s="80">
        <f t="shared" si="331"/>
        <v>100</v>
      </c>
      <c r="E1220" s="81">
        <f t="shared" si="323"/>
        <v>6791.2436711181272</v>
      </c>
      <c r="F1220" s="81">
        <f>SUM(E$2:E1220)</f>
        <v>7688426.2986740237</v>
      </c>
      <c r="G1220" s="43">
        <f t="shared" si="337"/>
        <v>1</v>
      </c>
      <c r="H1220" s="78">
        <v>1</v>
      </c>
      <c r="I1220" s="15">
        <f t="shared" si="324"/>
        <v>0.6</v>
      </c>
      <c r="J1220" s="16">
        <f>VLOOKUP(G1220,Inputs!$L$3:$P$15,5,FALSE)</f>
        <v>2000</v>
      </c>
      <c r="K1220" s="16">
        <f t="shared" si="325"/>
        <v>1825</v>
      </c>
      <c r="L1220" s="79">
        <f>Inputs!$P$8-B1220</f>
        <v>159.22000000000003</v>
      </c>
      <c r="M1220" s="79">
        <f>Inputs!$Q$8+L1220*0.433</f>
        <v>1893.94226</v>
      </c>
      <c r="N1220" s="82">
        <f t="shared" si="326"/>
        <v>209299.92</v>
      </c>
      <c r="O1220" s="83">
        <f t="shared" si="327"/>
        <v>778.971</v>
      </c>
      <c r="P1220" s="84">
        <f>IF(O1220="","",Inputs!$C$5-O1220)</f>
        <v>46.213499999999954</v>
      </c>
      <c r="Q1220" s="83">
        <f>IF(N1220="","",TS!J1220)</f>
        <v>2000</v>
      </c>
      <c r="R1220" s="83">
        <f>IF(N1220="","",TS!K1220)</f>
        <v>1825</v>
      </c>
      <c r="S1220" s="83">
        <f>Inputs!$H$5+TS!P1220*0.4333</f>
        <v>1894.9900259999999</v>
      </c>
      <c r="T1220" s="83">
        <f>Inputs!$G$5+TS!P1220*0.4333</f>
        <v>1909.9900259999999</v>
      </c>
      <c r="U1220" s="85">
        <f t="shared" si="328"/>
        <v>0.954995013</v>
      </c>
      <c r="V1220" s="86">
        <f t="shared" si="332"/>
        <v>0</v>
      </c>
      <c r="W1220" s="86">
        <f t="shared" si="333"/>
        <v>0</v>
      </c>
      <c r="X1220" s="86" t="e">
        <f>((PI()*((42-2*'Gen Calcs'!$E$13)^2)/4)/144)*(A1263-#REF!)*(W1220+14.7)/14.7</f>
        <v>#REF!</v>
      </c>
      <c r="Y1220" s="86" t="e">
        <f t="shared" si="334"/>
        <v>#REF!</v>
      </c>
      <c r="Z1220" s="86" t="e">
        <f t="shared" si="335"/>
        <v>#REF!</v>
      </c>
      <c r="AA1220" s="83">
        <f>MAX(B$2:B1220)-B1220</f>
        <v>159.22000000000003</v>
      </c>
      <c r="AB1220" s="83">
        <f t="shared" si="336"/>
        <v>68.942260000000005</v>
      </c>
      <c r="AC1220" s="83">
        <f t="shared" si="338"/>
        <v>120</v>
      </c>
      <c r="AD1220" s="72">
        <v>120</v>
      </c>
      <c r="AE1220" s="73">
        <f t="shared" si="329"/>
        <v>907.92027688745009</v>
      </c>
      <c r="AF1220" s="73">
        <f>SUM(AE$2:AE1220)</f>
        <v>1028602.4789978272</v>
      </c>
      <c r="AG1220" s="73">
        <f t="shared" si="330"/>
        <v>145127.42342928203</v>
      </c>
    </row>
    <row r="1221" spans="1:33" x14ac:dyDescent="0.25">
      <c r="A1221" s="99">
        <v>209399.92</v>
      </c>
      <c r="B1221" s="96">
        <v>779.36220000000003</v>
      </c>
      <c r="C1221" s="96">
        <v>0.6</v>
      </c>
      <c r="D1221" s="80">
        <f t="shared" si="331"/>
        <v>100</v>
      </c>
      <c r="E1221" s="81">
        <f t="shared" ref="E1221:E1284" si="339">(PI()/4*(42/12-(2*C1263/12))^2)*(D1221)*7.48</f>
        <v>6791.2436711181272</v>
      </c>
      <c r="F1221" s="81">
        <f>SUM(E$2:E1221)</f>
        <v>7695217.542345142</v>
      </c>
      <c r="G1221" s="43">
        <f t="shared" si="337"/>
        <v>1</v>
      </c>
      <c r="H1221" s="78">
        <v>1</v>
      </c>
      <c r="I1221" s="15">
        <f t="shared" ref="I1221:I1284" si="340">C1221</f>
        <v>0.6</v>
      </c>
      <c r="J1221" s="16">
        <f>VLOOKUP(G1221,Inputs!$L$3:$P$15,5,FALSE)</f>
        <v>2000</v>
      </c>
      <c r="K1221" s="16">
        <f t="shared" ref="K1221:K1284" si="341">IF(H1221=1,1825,IF(H1221=2,1825,2220))</f>
        <v>1825</v>
      </c>
      <c r="L1221" s="79">
        <f>Inputs!$P$8-B1221</f>
        <v>158.8288</v>
      </c>
      <c r="M1221" s="79">
        <f>Inputs!$Q$8+L1221*0.433</f>
        <v>1893.7728704000001</v>
      </c>
      <c r="N1221" s="82">
        <f t="shared" ref="N1221:N1284" si="342">A1221</f>
        <v>209399.92</v>
      </c>
      <c r="O1221" s="83">
        <f t="shared" ref="O1221:O1284" si="343">B1221</f>
        <v>779.36220000000003</v>
      </c>
      <c r="P1221" s="84">
        <f>IF(O1221="","",Inputs!$C$5-O1221)</f>
        <v>45.822299999999927</v>
      </c>
      <c r="Q1221" s="83">
        <f>IF(N1221="","",TS!J1221)</f>
        <v>2000</v>
      </c>
      <c r="R1221" s="83">
        <f>IF(N1221="","",TS!K1221)</f>
        <v>1825</v>
      </c>
      <c r="S1221" s="83">
        <f>Inputs!$H$5+TS!P1221*0.4333</f>
        <v>1894.8205190399999</v>
      </c>
      <c r="T1221" s="83">
        <f>Inputs!$G$5+TS!P1221*0.4333</f>
        <v>1909.8205190399999</v>
      </c>
      <c r="U1221" s="85">
        <f t="shared" ref="U1221:U1284" si="344">T1221/(140000*C1221/42)</f>
        <v>0.95491025951999997</v>
      </c>
      <c r="V1221" s="86">
        <f t="shared" si="332"/>
        <v>0</v>
      </c>
      <c r="W1221" s="86">
        <f t="shared" si="333"/>
        <v>0</v>
      </c>
      <c r="X1221" s="86" t="e">
        <f>((PI()*((42-2*'Gen Calcs'!$E$13)^2)/4)/144)*(A1264-#REF!)*(W1221+14.7)/14.7</f>
        <v>#REF!</v>
      </c>
      <c r="Y1221" s="86" t="e">
        <f t="shared" si="334"/>
        <v>#REF!</v>
      </c>
      <c r="Z1221" s="86" t="e">
        <f t="shared" si="335"/>
        <v>#REF!</v>
      </c>
      <c r="AA1221" s="83">
        <f>MAX(B$2:B1221)-B1221</f>
        <v>158.8288</v>
      </c>
      <c r="AB1221" s="83">
        <f t="shared" si="336"/>
        <v>68.772870400000002</v>
      </c>
      <c r="AC1221" s="83">
        <f t="shared" si="338"/>
        <v>120</v>
      </c>
      <c r="AD1221" s="72">
        <v>120</v>
      </c>
      <c r="AE1221" s="73">
        <f t="shared" ref="AE1221:AE1284" si="345">PI()*(((42-2*C1221)/12)^2/4)*D1221</f>
        <v>907.92027688745009</v>
      </c>
      <c r="AF1221" s="73">
        <f>SUM(AE$2:AE1221)</f>
        <v>1029510.3992747146</v>
      </c>
      <c r="AG1221" s="73">
        <f t="shared" ref="AG1221:AG1284" si="346">AF$1391-AF1221</f>
        <v>144219.50315239455</v>
      </c>
    </row>
    <row r="1222" spans="1:33" x14ac:dyDescent="0.25">
      <c r="A1222" s="100">
        <v>209499.92</v>
      </c>
      <c r="B1222" s="97">
        <v>781.07510000000002</v>
      </c>
      <c r="C1222" s="97">
        <v>0.6</v>
      </c>
      <c r="D1222" s="80">
        <f t="shared" si="331"/>
        <v>100</v>
      </c>
      <c r="E1222" s="81">
        <f t="shared" si="339"/>
        <v>6791.2436711181272</v>
      </c>
      <c r="F1222" s="81">
        <f>SUM(E$2:E1222)</f>
        <v>7702008.7860162603</v>
      </c>
      <c r="G1222" s="43">
        <f t="shared" si="337"/>
        <v>1</v>
      </c>
      <c r="H1222" s="78">
        <v>1</v>
      </c>
      <c r="I1222" s="15">
        <f t="shared" si="340"/>
        <v>0.6</v>
      </c>
      <c r="J1222" s="16">
        <f>VLOOKUP(G1222,Inputs!$L$3:$P$15,5,FALSE)</f>
        <v>2000</v>
      </c>
      <c r="K1222" s="16">
        <f t="shared" si="341"/>
        <v>1825</v>
      </c>
      <c r="L1222" s="79">
        <f>Inputs!$P$8-B1222</f>
        <v>157.11590000000001</v>
      </c>
      <c r="M1222" s="79">
        <f>Inputs!$Q$8+L1222*0.433</f>
        <v>1893.0311847</v>
      </c>
      <c r="N1222" s="82">
        <f t="shared" si="342"/>
        <v>209499.92</v>
      </c>
      <c r="O1222" s="83">
        <f t="shared" si="343"/>
        <v>781.07510000000002</v>
      </c>
      <c r="P1222" s="84">
        <f>IF(O1222="","",Inputs!$C$5-O1222)</f>
        <v>44.109399999999937</v>
      </c>
      <c r="Q1222" s="83">
        <f>IF(N1222="","",TS!J1222)</f>
        <v>2000</v>
      </c>
      <c r="R1222" s="83">
        <f>IF(N1222="","",TS!K1222)</f>
        <v>1825</v>
      </c>
      <c r="S1222" s="83">
        <f>Inputs!$H$5+TS!P1222*0.4333</f>
        <v>1894.07831947</v>
      </c>
      <c r="T1222" s="83">
        <f>Inputs!$G$5+TS!P1222*0.4333</f>
        <v>1909.07831947</v>
      </c>
      <c r="U1222" s="85">
        <f t="shared" si="344"/>
        <v>0.95453915973500003</v>
      </c>
      <c r="V1222" s="86">
        <f t="shared" si="332"/>
        <v>0</v>
      </c>
      <c r="W1222" s="86">
        <f t="shared" si="333"/>
        <v>0</v>
      </c>
      <c r="X1222" s="86" t="e">
        <f>((PI()*((42-2*'Gen Calcs'!$E$13)^2)/4)/144)*(A1265-#REF!)*(W1222+14.7)/14.7</f>
        <v>#REF!</v>
      </c>
      <c r="Y1222" s="86" t="e">
        <f t="shared" si="334"/>
        <v>#REF!</v>
      </c>
      <c r="Z1222" s="86" t="e">
        <f t="shared" si="335"/>
        <v>#REF!</v>
      </c>
      <c r="AA1222" s="83">
        <f>MAX(B$2:B1222)-B1222</f>
        <v>157.11590000000001</v>
      </c>
      <c r="AB1222" s="83">
        <f t="shared" si="336"/>
        <v>68.031184699999997</v>
      </c>
      <c r="AC1222" s="83">
        <f t="shared" si="338"/>
        <v>120</v>
      </c>
      <c r="AD1222" s="72">
        <v>120</v>
      </c>
      <c r="AE1222" s="73">
        <f t="shared" si="345"/>
        <v>907.92027688745009</v>
      </c>
      <c r="AF1222" s="73">
        <f>SUM(AE$2:AE1222)</f>
        <v>1030418.3195516021</v>
      </c>
      <c r="AG1222" s="73">
        <f t="shared" si="346"/>
        <v>143311.58287550707</v>
      </c>
    </row>
    <row r="1223" spans="1:33" x14ac:dyDescent="0.25">
      <c r="A1223" s="99">
        <v>209599.92</v>
      </c>
      <c r="B1223" s="96">
        <v>782.41489999999999</v>
      </c>
      <c r="C1223" s="96">
        <v>0.6</v>
      </c>
      <c r="D1223" s="80">
        <f t="shared" si="331"/>
        <v>100</v>
      </c>
      <c r="E1223" s="81">
        <f t="shared" si="339"/>
        <v>6791.2436711181272</v>
      </c>
      <c r="F1223" s="81">
        <f>SUM(E$2:E1223)</f>
        <v>7708800.0296873786</v>
      </c>
      <c r="G1223" s="43">
        <f t="shared" si="337"/>
        <v>1</v>
      </c>
      <c r="H1223" s="78">
        <v>1</v>
      </c>
      <c r="I1223" s="15">
        <f t="shared" si="340"/>
        <v>0.6</v>
      </c>
      <c r="J1223" s="16">
        <f>VLOOKUP(G1223,Inputs!$L$3:$P$15,5,FALSE)</f>
        <v>2000</v>
      </c>
      <c r="K1223" s="16">
        <f t="shared" si="341"/>
        <v>1825</v>
      </c>
      <c r="L1223" s="79">
        <f>Inputs!$P$8-B1223</f>
        <v>155.77610000000004</v>
      </c>
      <c r="M1223" s="79">
        <f>Inputs!$Q$8+L1223*0.433</f>
        <v>1892.4510513</v>
      </c>
      <c r="N1223" s="82">
        <f t="shared" si="342"/>
        <v>209599.92</v>
      </c>
      <c r="O1223" s="83">
        <f t="shared" si="343"/>
        <v>782.41489999999999</v>
      </c>
      <c r="P1223" s="84">
        <f>IF(O1223="","",Inputs!$C$5-O1223)</f>
        <v>42.769599999999969</v>
      </c>
      <c r="Q1223" s="83">
        <f>IF(N1223="","",TS!J1223)</f>
        <v>2000</v>
      </c>
      <c r="R1223" s="83">
        <f>IF(N1223="","",TS!K1223)</f>
        <v>1825</v>
      </c>
      <c r="S1223" s="83">
        <f>Inputs!$H$5+TS!P1223*0.4333</f>
        <v>1893.4977841299999</v>
      </c>
      <c r="T1223" s="83">
        <f>Inputs!$G$5+TS!P1223*0.4333</f>
        <v>1908.4977841299999</v>
      </c>
      <c r="U1223" s="85">
        <f t="shared" si="344"/>
        <v>0.95424889206499997</v>
      </c>
      <c r="V1223" s="86">
        <f t="shared" si="332"/>
        <v>0</v>
      </c>
      <c r="W1223" s="86">
        <f t="shared" si="333"/>
        <v>0</v>
      </c>
      <c r="X1223" s="86" t="e">
        <f>((PI()*((42-2*'Gen Calcs'!$E$13)^2)/4)/144)*(A1266-#REF!)*(W1223+14.7)/14.7</f>
        <v>#REF!</v>
      </c>
      <c r="Y1223" s="86" t="e">
        <f t="shared" si="334"/>
        <v>#REF!</v>
      </c>
      <c r="Z1223" s="86" t="e">
        <f t="shared" si="335"/>
        <v>#REF!</v>
      </c>
      <c r="AA1223" s="83">
        <f>MAX(B$2:B1223)-B1223</f>
        <v>155.77610000000004</v>
      </c>
      <c r="AB1223" s="83">
        <f t="shared" si="336"/>
        <v>67.451051300000017</v>
      </c>
      <c r="AC1223" s="83">
        <f t="shared" si="338"/>
        <v>120</v>
      </c>
      <c r="AD1223" s="72">
        <v>120</v>
      </c>
      <c r="AE1223" s="73">
        <f t="shared" si="345"/>
        <v>907.92027688745009</v>
      </c>
      <c r="AF1223" s="73">
        <f>SUM(AE$2:AE1223)</f>
        <v>1031326.2398284896</v>
      </c>
      <c r="AG1223" s="73">
        <f t="shared" si="346"/>
        <v>142403.66259861959</v>
      </c>
    </row>
    <row r="1224" spans="1:33" x14ac:dyDescent="0.25">
      <c r="A1224" s="100">
        <v>209635</v>
      </c>
      <c r="B1224" s="97">
        <v>782.41489999999999</v>
      </c>
      <c r="C1224" s="97">
        <v>0.86399999999999999</v>
      </c>
      <c r="D1224" s="80">
        <f t="shared" si="331"/>
        <v>35.079999999987194</v>
      </c>
      <c r="E1224" s="81">
        <f t="shared" si="339"/>
        <v>2382.368279827369</v>
      </c>
      <c r="F1224" s="81">
        <f>SUM(E$2:E1224)</f>
        <v>7711182.3979672063</v>
      </c>
      <c r="G1224" s="43">
        <f t="shared" si="337"/>
        <v>2</v>
      </c>
      <c r="H1224" s="78">
        <v>1</v>
      </c>
      <c r="I1224" s="15">
        <f t="shared" si="340"/>
        <v>0.86399999999999999</v>
      </c>
      <c r="J1224" s="16">
        <f>VLOOKUP(G1224,Inputs!$L$3:$P$15,5,FALSE)</f>
        <v>2880</v>
      </c>
      <c r="K1224" s="16">
        <f t="shared" si="341"/>
        <v>1825</v>
      </c>
      <c r="L1224" s="79">
        <f>Inputs!$P$8-B1224</f>
        <v>155.77610000000004</v>
      </c>
      <c r="M1224" s="79">
        <f>Inputs!$Q$8+L1224*0.433</f>
        <v>1892.4510513</v>
      </c>
      <c r="N1224" s="82">
        <f t="shared" si="342"/>
        <v>209635</v>
      </c>
      <c r="O1224" s="83">
        <f t="shared" si="343"/>
        <v>782.41489999999999</v>
      </c>
      <c r="P1224" s="84">
        <f>IF(O1224="","",Inputs!$C$5-O1224)</f>
        <v>42.769599999999969</v>
      </c>
      <c r="Q1224" s="83">
        <f>IF(N1224="","",TS!J1224)</f>
        <v>2880</v>
      </c>
      <c r="R1224" s="83">
        <f>IF(N1224="","",TS!K1224)</f>
        <v>1825</v>
      </c>
      <c r="S1224" s="83">
        <f>Inputs!$H$5+TS!P1224*0.4333</f>
        <v>1893.4977841299999</v>
      </c>
      <c r="T1224" s="83">
        <f>Inputs!$G$5+TS!P1224*0.4333</f>
        <v>1908.4977841299999</v>
      </c>
      <c r="U1224" s="85">
        <f t="shared" si="344"/>
        <v>0.66267284171180552</v>
      </c>
      <c r="V1224" s="86">
        <f t="shared" si="332"/>
        <v>0</v>
      </c>
      <c r="W1224" s="86">
        <f t="shared" si="333"/>
        <v>0</v>
      </c>
      <c r="X1224" s="86" t="e">
        <f>((PI()*((42-2*'Gen Calcs'!$E$13)^2)/4)/144)*(A1267-#REF!)*(W1224+14.7)/14.7</f>
        <v>#REF!</v>
      </c>
      <c r="Y1224" s="86" t="e">
        <f t="shared" si="334"/>
        <v>#REF!</v>
      </c>
      <c r="Z1224" s="86" t="e">
        <f t="shared" si="335"/>
        <v>#REF!</v>
      </c>
      <c r="AA1224" s="83">
        <f>MAX(B$2:B1224)-B1224</f>
        <v>155.77610000000004</v>
      </c>
      <c r="AB1224" s="83">
        <f t="shared" si="336"/>
        <v>67.451051300000017</v>
      </c>
      <c r="AC1224" s="83">
        <f t="shared" si="338"/>
        <v>120</v>
      </c>
      <c r="AD1224" s="72">
        <v>120</v>
      </c>
      <c r="AE1224" s="73">
        <f t="shared" si="345"/>
        <v>310.30828449648641</v>
      </c>
      <c r="AF1224" s="73">
        <f>SUM(AE$2:AE1224)</f>
        <v>1031636.5481129861</v>
      </c>
      <c r="AG1224" s="73">
        <f t="shared" si="346"/>
        <v>142093.35431412305</v>
      </c>
    </row>
    <row r="1225" spans="1:33" x14ac:dyDescent="0.25">
      <c r="A1225" s="99">
        <v>209699.92</v>
      </c>
      <c r="B1225" s="96">
        <v>780.91079999999999</v>
      </c>
      <c r="C1225" s="96">
        <v>0.6</v>
      </c>
      <c r="D1225" s="80">
        <f t="shared" si="331"/>
        <v>64.920000000012806</v>
      </c>
      <c r="E1225" s="81">
        <f t="shared" si="339"/>
        <v>4408.8753912907578</v>
      </c>
      <c r="F1225" s="81">
        <f>SUM(E$2:E1225)</f>
        <v>7715591.2733584968</v>
      </c>
      <c r="G1225" s="43">
        <f t="shared" si="337"/>
        <v>1</v>
      </c>
      <c r="H1225" s="78">
        <v>1</v>
      </c>
      <c r="I1225" s="15">
        <f t="shared" si="340"/>
        <v>0.6</v>
      </c>
      <c r="J1225" s="16">
        <f>VLOOKUP(G1225,Inputs!$L$3:$P$15,5,FALSE)</f>
        <v>2000</v>
      </c>
      <c r="K1225" s="16">
        <f t="shared" si="341"/>
        <v>1825</v>
      </c>
      <c r="L1225" s="79">
        <f>Inputs!$P$8-B1225</f>
        <v>157.28020000000004</v>
      </c>
      <c r="M1225" s="79">
        <f>Inputs!$Q$8+L1225*0.433</f>
        <v>1893.1023266</v>
      </c>
      <c r="N1225" s="82">
        <f t="shared" si="342"/>
        <v>209699.92</v>
      </c>
      <c r="O1225" s="83">
        <f t="shared" si="343"/>
        <v>780.91079999999999</v>
      </c>
      <c r="P1225" s="84">
        <f>IF(O1225="","",Inputs!$C$5-O1225)</f>
        <v>44.273699999999963</v>
      </c>
      <c r="Q1225" s="83">
        <f>IF(N1225="","",TS!J1225)</f>
        <v>2000</v>
      </c>
      <c r="R1225" s="83">
        <f>IF(N1225="","",TS!K1225)</f>
        <v>1825</v>
      </c>
      <c r="S1225" s="83">
        <f>Inputs!$H$5+TS!P1225*0.4333</f>
        <v>1894.14951066</v>
      </c>
      <c r="T1225" s="83">
        <f>Inputs!$G$5+TS!P1225*0.4333</f>
        <v>1909.14951066</v>
      </c>
      <c r="U1225" s="85">
        <f t="shared" si="344"/>
        <v>0.95457475533000002</v>
      </c>
      <c r="V1225" s="86">
        <f t="shared" si="332"/>
        <v>0</v>
      </c>
      <c r="W1225" s="86">
        <f t="shared" si="333"/>
        <v>0</v>
      </c>
      <c r="X1225" s="86" t="e">
        <f>((PI()*((42-2*'Gen Calcs'!$E$13)^2)/4)/144)*(A1268-#REF!)*(W1225+14.7)/14.7</f>
        <v>#REF!</v>
      </c>
      <c r="Y1225" s="86" t="e">
        <f t="shared" si="334"/>
        <v>#REF!</v>
      </c>
      <c r="Z1225" s="86" t="e">
        <f t="shared" si="335"/>
        <v>#REF!</v>
      </c>
      <c r="AA1225" s="83">
        <f>MAX(B$2:B1225)-B1225</f>
        <v>157.28020000000004</v>
      </c>
      <c r="AB1225" s="83">
        <f t="shared" si="336"/>
        <v>68.102326600000012</v>
      </c>
      <c r="AC1225" s="83">
        <f t="shared" si="338"/>
        <v>120</v>
      </c>
      <c r="AD1225" s="72">
        <v>120</v>
      </c>
      <c r="AE1225" s="73">
        <f t="shared" si="345"/>
        <v>589.42184375544889</v>
      </c>
      <c r="AF1225" s="73">
        <f>SUM(AE$2:AE1225)</f>
        <v>1032225.9699567416</v>
      </c>
      <c r="AG1225" s="73">
        <f t="shared" si="346"/>
        <v>141503.93247036764</v>
      </c>
    </row>
    <row r="1226" spans="1:33" x14ac:dyDescent="0.25">
      <c r="A1226" s="100">
        <v>209715</v>
      </c>
      <c r="B1226" s="97">
        <v>780.91079999999999</v>
      </c>
      <c r="C1226" s="97">
        <v>0.86399999999999999</v>
      </c>
      <c r="D1226" s="80">
        <f t="shared" si="331"/>
        <v>15.079999999987194</v>
      </c>
      <c r="E1226" s="81">
        <f t="shared" si="339"/>
        <v>1024.119545603744</v>
      </c>
      <c r="F1226" s="81">
        <f>SUM(E$2:E1226)</f>
        <v>7716615.3929041009</v>
      </c>
      <c r="G1226" s="43">
        <f t="shared" si="337"/>
        <v>2</v>
      </c>
      <c r="H1226" s="78">
        <v>1</v>
      </c>
      <c r="I1226" s="15">
        <f t="shared" si="340"/>
        <v>0.86399999999999999</v>
      </c>
      <c r="J1226" s="16">
        <f>VLOOKUP(G1226,Inputs!$L$3:$P$15,5,FALSE)</f>
        <v>2880</v>
      </c>
      <c r="K1226" s="16">
        <f t="shared" si="341"/>
        <v>1825</v>
      </c>
      <c r="L1226" s="79">
        <f>Inputs!$P$8-B1226</f>
        <v>157.28020000000004</v>
      </c>
      <c r="M1226" s="79">
        <f>Inputs!$Q$8+L1226*0.433</f>
        <v>1893.1023266</v>
      </c>
      <c r="N1226" s="82">
        <f t="shared" si="342"/>
        <v>209715</v>
      </c>
      <c r="O1226" s="83">
        <f t="shared" si="343"/>
        <v>780.91079999999999</v>
      </c>
      <c r="P1226" s="84">
        <f>IF(O1226="","",Inputs!$C$5-O1226)</f>
        <v>44.273699999999963</v>
      </c>
      <c r="Q1226" s="83">
        <f>IF(N1226="","",TS!J1226)</f>
        <v>2880</v>
      </c>
      <c r="R1226" s="83">
        <f>IF(N1226="","",TS!K1226)</f>
        <v>1825</v>
      </c>
      <c r="S1226" s="83">
        <f>Inputs!$H$5+TS!P1226*0.4333</f>
        <v>1894.14951066</v>
      </c>
      <c r="T1226" s="83">
        <f>Inputs!$G$5+TS!P1226*0.4333</f>
        <v>1909.14951066</v>
      </c>
      <c r="U1226" s="85">
        <f t="shared" si="344"/>
        <v>0.66289913564583336</v>
      </c>
      <c r="V1226" s="86">
        <f t="shared" si="332"/>
        <v>0</v>
      </c>
      <c r="W1226" s="86">
        <f t="shared" si="333"/>
        <v>0</v>
      </c>
      <c r="X1226" s="86" t="e">
        <f>((PI()*((42-2*'Gen Calcs'!$E$13)^2)/4)/144)*(A1269-#REF!)*(W1226+14.7)/14.7</f>
        <v>#REF!</v>
      </c>
      <c r="Y1226" s="86" t="e">
        <f t="shared" si="334"/>
        <v>#REF!</v>
      </c>
      <c r="Z1226" s="86" t="e">
        <f t="shared" si="335"/>
        <v>#REF!</v>
      </c>
      <c r="AA1226" s="83">
        <f>MAX(B$2:B1226)-B1226</f>
        <v>157.28020000000004</v>
      </c>
      <c r="AB1226" s="83">
        <f t="shared" si="336"/>
        <v>68.102326600000012</v>
      </c>
      <c r="AC1226" s="83">
        <f t="shared" si="338"/>
        <v>120</v>
      </c>
      <c r="AD1226" s="72">
        <v>120</v>
      </c>
      <c r="AE1226" s="73">
        <f t="shared" si="345"/>
        <v>133.39364111187999</v>
      </c>
      <c r="AF1226" s="73">
        <f>SUM(AE$2:AE1226)</f>
        <v>1032359.3635978535</v>
      </c>
      <c r="AG1226" s="73">
        <f t="shared" si="346"/>
        <v>141370.53882925573</v>
      </c>
    </row>
    <row r="1227" spans="1:33" x14ac:dyDescent="0.25">
      <c r="A1227" s="99">
        <v>209799.92</v>
      </c>
      <c r="B1227" s="96">
        <v>779.63879999999995</v>
      </c>
      <c r="C1227" s="96">
        <v>0.6</v>
      </c>
      <c r="D1227" s="80">
        <f t="shared" si="331"/>
        <v>84.920000000012806</v>
      </c>
      <c r="E1227" s="81">
        <f t="shared" si="339"/>
        <v>5767.1241255143823</v>
      </c>
      <c r="F1227" s="81">
        <f>SUM(E$2:E1227)</f>
        <v>7722382.5170296151</v>
      </c>
      <c r="G1227" s="43">
        <f t="shared" si="337"/>
        <v>1</v>
      </c>
      <c r="H1227" s="78">
        <v>1</v>
      </c>
      <c r="I1227" s="15">
        <f t="shared" si="340"/>
        <v>0.6</v>
      </c>
      <c r="J1227" s="16">
        <f>VLOOKUP(G1227,Inputs!$L$3:$P$15,5,FALSE)</f>
        <v>2000</v>
      </c>
      <c r="K1227" s="16">
        <f t="shared" si="341"/>
        <v>1825</v>
      </c>
      <c r="L1227" s="79">
        <f>Inputs!$P$8-B1227</f>
        <v>158.55220000000008</v>
      </c>
      <c r="M1227" s="79">
        <f>Inputs!$Q$8+L1227*0.433</f>
        <v>1893.6531026</v>
      </c>
      <c r="N1227" s="82">
        <f t="shared" si="342"/>
        <v>209799.92</v>
      </c>
      <c r="O1227" s="83">
        <f t="shared" si="343"/>
        <v>779.63879999999995</v>
      </c>
      <c r="P1227" s="84">
        <f>IF(O1227="","",Inputs!$C$5-O1227)</f>
        <v>45.545700000000011</v>
      </c>
      <c r="Q1227" s="83">
        <f>IF(N1227="","",TS!J1227)</f>
        <v>2000</v>
      </c>
      <c r="R1227" s="83">
        <f>IF(N1227="","",TS!K1227)</f>
        <v>1825</v>
      </c>
      <c r="S1227" s="83">
        <f>Inputs!$H$5+TS!P1227*0.4333</f>
        <v>1894.7006682599999</v>
      </c>
      <c r="T1227" s="83">
        <f>Inputs!$G$5+TS!P1227*0.4333</f>
        <v>1909.7006682599999</v>
      </c>
      <c r="U1227" s="85">
        <f t="shared" si="344"/>
        <v>0.95485033412999998</v>
      </c>
      <c r="V1227" s="86">
        <f t="shared" si="332"/>
        <v>0</v>
      </c>
      <c r="W1227" s="86">
        <f t="shared" si="333"/>
        <v>0</v>
      </c>
      <c r="X1227" s="86" t="e">
        <f>((PI()*((42-2*'Gen Calcs'!$E$13)^2)/4)/144)*(A1270-#REF!)*(W1227+14.7)/14.7</f>
        <v>#REF!</v>
      </c>
      <c r="Y1227" s="86" t="e">
        <f t="shared" si="334"/>
        <v>#REF!</v>
      </c>
      <c r="Z1227" s="86" t="e">
        <f t="shared" si="335"/>
        <v>#REF!</v>
      </c>
      <c r="AA1227" s="83">
        <f>MAX(B$2:B1227)-B1227</f>
        <v>158.55220000000008</v>
      </c>
      <c r="AB1227" s="83">
        <f t="shared" si="336"/>
        <v>68.65310260000004</v>
      </c>
      <c r="AC1227" s="83">
        <f t="shared" si="338"/>
        <v>120</v>
      </c>
      <c r="AD1227" s="72">
        <v>120</v>
      </c>
      <c r="AE1227" s="73">
        <f t="shared" si="345"/>
        <v>771.00589913293879</v>
      </c>
      <c r="AF1227" s="73">
        <f>SUM(AE$2:AE1227)</f>
        <v>1033130.3694969864</v>
      </c>
      <c r="AG1227" s="73">
        <f t="shared" si="346"/>
        <v>140599.5329301228</v>
      </c>
    </row>
    <row r="1228" spans="1:33" x14ac:dyDescent="0.25">
      <c r="A1228" s="100">
        <v>209899.92</v>
      </c>
      <c r="B1228" s="97">
        <v>778.9289</v>
      </c>
      <c r="C1228" s="97">
        <v>0.6</v>
      </c>
      <c r="D1228" s="80">
        <f t="shared" si="331"/>
        <v>100</v>
      </c>
      <c r="E1228" s="81">
        <f t="shared" si="339"/>
        <v>6791.2436711181272</v>
      </c>
      <c r="F1228" s="81">
        <f>SUM(E$2:E1228)</f>
        <v>7729173.7607007334</v>
      </c>
      <c r="G1228" s="43">
        <f t="shared" si="337"/>
        <v>1</v>
      </c>
      <c r="H1228" s="78">
        <v>1</v>
      </c>
      <c r="I1228" s="15">
        <f t="shared" si="340"/>
        <v>0.6</v>
      </c>
      <c r="J1228" s="16">
        <f>VLOOKUP(G1228,Inputs!$L$3:$P$15,5,FALSE)</f>
        <v>2000</v>
      </c>
      <c r="K1228" s="16">
        <f t="shared" si="341"/>
        <v>1825</v>
      </c>
      <c r="L1228" s="79">
        <f>Inputs!$P$8-B1228</f>
        <v>159.26210000000003</v>
      </c>
      <c r="M1228" s="79">
        <f>Inputs!$Q$8+L1228*0.433</f>
        <v>1893.9604893000001</v>
      </c>
      <c r="N1228" s="82">
        <f t="shared" si="342"/>
        <v>209899.92</v>
      </c>
      <c r="O1228" s="83">
        <f t="shared" si="343"/>
        <v>778.9289</v>
      </c>
      <c r="P1228" s="84">
        <f>IF(O1228="","",Inputs!$C$5-O1228)</f>
        <v>46.255599999999959</v>
      </c>
      <c r="Q1228" s="83">
        <f>IF(N1228="","",TS!J1228)</f>
        <v>2000</v>
      </c>
      <c r="R1228" s="83">
        <f>IF(N1228="","",TS!K1228)</f>
        <v>1825</v>
      </c>
      <c r="S1228" s="83">
        <f>Inputs!$H$5+TS!P1228*0.4333</f>
        <v>1895.0082679299999</v>
      </c>
      <c r="T1228" s="83">
        <f>Inputs!$G$5+TS!P1228*0.4333</f>
        <v>1910.0082679299999</v>
      </c>
      <c r="U1228" s="85">
        <f t="shared" si="344"/>
        <v>0.95500413396499995</v>
      </c>
      <c r="V1228" s="86">
        <f t="shared" si="332"/>
        <v>0</v>
      </c>
      <c r="W1228" s="86">
        <f t="shared" si="333"/>
        <v>0</v>
      </c>
      <c r="X1228" s="86" t="e">
        <f>((PI()*((42-2*'Gen Calcs'!$E$13)^2)/4)/144)*(A1271-#REF!)*(W1228+14.7)/14.7</f>
        <v>#REF!</v>
      </c>
      <c r="Y1228" s="86" t="e">
        <f t="shared" si="334"/>
        <v>#REF!</v>
      </c>
      <c r="Z1228" s="86" t="e">
        <f t="shared" si="335"/>
        <v>#REF!</v>
      </c>
      <c r="AA1228" s="83">
        <f>MAX(B$2:B1228)-B1228</f>
        <v>159.26210000000003</v>
      </c>
      <c r="AB1228" s="83">
        <f t="shared" si="336"/>
        <v>68.96048930000002</v>
      </c>
      <c r="AC1228" s="83">
        <f t="shared" si="338"/>
        <v>120</v>
      </c>
      <c r="AD1228" s="72">
        <v>120</v>
      </c>
      <c r="AE1228" s="73">
        <f t="shared" si="345"/>
        <v>907.92027688745009</v>
      </c>
      <c r="AF1228" s="73">
        <f>SUM(AE$2:AE1228)</f>
        <v>1034038.2897738739</v>
      </c>
      <c r="AG1228" s="73">
        <f t="shared" si="346"/>
        <v>139691.61265323532</v>
      </c>
    </row>
    <row r="1229" spans="1:33" x14ac:dyDescent="0.25">
      <c r="A1229" s="99">
        <v>209999.92</v>
      </c>
      <c r="B1229" s="96">
        <v>777.00040000000001</v>
      </c>
      <c r="C1229" s="96">
        <v>0.6</v>
      </c>
      <c r="D1229" s="80">
        <f t="shared" si="331"/>
        <v>100</v>
      </c>
      <c r="E1229" s="81">
        <f t="shared" si="339"/>
        <v>6791.2436711181272</v>
      </c>
      <c r="F1229" s="81">
        <f>SUM(E$2:E1229)</f>
        <v>7735965.0043718517</v>
      </c>
      <c r="G1229" s="43">
        <f t="shared" si="337"/>
        <v>1</v>
      </c>
      <c r="H1229" s="78">
        <v>1</v>
      </c>
      <c r="I1229" s="15">
        <f t="shared" si="340"/>
        <v>0.6</v>
      </c>
      <c r="J1229" s="16">
        <f>VLOOKUP(G1229,Inputs!$L$3:$P$15,5,FALSE)</f>
        <v>2000</v>
      </c>
      <c r="K1229" s="16">
        <f t="shared" si="341"/>
        <v>1825</v>
      </c>
      <c r="L1229" s="79">
        <f>Inputs!$P$8-B1229</f>
        <v>161.19060000000002</v>
      </c>
      <c r="M1229" s="79">
        <f>Inputs!$Q$8+L1229*0.433</f>
        <v>1894.7955297999999</v>
      </c>
      <c r="N1229" s="82">
        <f t="shared" si="342"/>
        <v>209999.92</v>
      </c>
      <c r="O1229" s="83">
        <f t="shared" si="343"/>
        <v>777.00040000000001</v>
      </c>
      <c r="P1229" s="84">
        <f>IF(O1229="","",Inputs!$C$5-O1229)</f>
        <v>48.184099999999944</v>
      </c>
      <c r="Q1229" s="83">
        <f>IF(N1229="","",TS!J1229)</f>
        <v>2000</v>
      </c>
      <c r="R1229" s="83">
        <f>IF(N1229="","",TS!K1229)</f>
        <v>1825</v>
      </c>
      <c r="S1229" s="83">
        <f>Inputs!$H$5+TS!P1229*0.4333</f>
        <v>1895.84388698</v>
      </c>
      <c r="T1229" s="83">
        <f>Inputs!$G$5+TS!P1229*0.4333</f>
        <v>1910.84388698</v>
      </c>
      <c r="U1229" s="85">
        <f t="shared" si="344"/>
        <v>0.95542194348999998</v>
      </c>
      <c r="V1229" s="86">
        <f t="shared" si="332"/>
        <v>0</v>
      </c>
      <c r="W1229" s="86">
        <f t="shared" si="333"/>
        <v>0</v>
      </c>
      <c r="X1229" s="86" t="e">
        <f>((PI()*((42-2*'Gen Calcs'!$E$13)^2)/4)/144)*(A1272-#REF!)*(W1229+14.7)/14.7</f>
        <v>#REF!</v>
      </c>
      <c r="Y1229" s="86" t="e">
        <f t="shared" si="334"/>
        <v>#REF!</v>
      </c>
      <c r="Z1229" s="86" t="e">
        <f t="shared" si="335"/>
        <v>#REF!</v>
      </c>
      <c r="AA1229" s="83">
        <f>MAX(B$2:B1229)-B1229</f>
        <v>161.19060000000002</v>
      </c>
      <c r="AB1229" s="83">
        <f t="shared" si="336"/>
        <v>69.795529800000011</v>
      </c>
      <c r="AC1229" s="83">
        <f t="shared" si="338"/>
        <v>120</v>
      </c>
      <c r="AD1229" s="72">
        <v>120</v>
      </c>
      <c r="AE1229" s="73">
        <f t="shared" si="345"/>
        <v>907.92027688745009</v>
      </c>
      <c r="AF1229" s="73">
        <f>SUM(AE$2:AE1229)</f>
        <v>1034946.2100507614</v>
      </c>
      <c r="AG1229" s="73">
        <f t="shared" si="346"/>
        <v>138783.69237634784</v>
      </c>
    </row>
    <row r="1230" spans="1:33" x14ac:dyDescent="0.25">
      <c r="A1230" s="100">
        <v>210099.92</v>
      </c>
      <c r="B1230" s="97">
        <v>774.29960000000005</v>
      </c>
      <c r="C1230" s="97">
        <v>0.6</v>
      </c>
      <c r="D1230" s="80">
        <f t="shared" si="331"/>
        <v>100</v>
      </c>
      <c r="E1230" s="81">
        <f t="shared" si="339"/>
        <v>6791.2436711181272</v>
      </c>
      <c r="F1230" s="81">
        <f>SUM(E$2:E1230)</f>
        <v>7742756.24804297</v>
      </c>
      <c r="G1230" s="43">
        <f t="shared" si="337"/>
        <v>1</v>
      </c>
      <c r="H1230" s="78">
        <v>1</v>
      </c>
      <c r="I1230" s="15">
        <f t="shared" si="340"/>
        <v>0.6</v>
      </c>
      <c r="J1230" s="16">
        <f>VLOOKUP(G1230,Inputs!$L$3:$P$15,5,FALSE)</f>
        <v>2000</v>
      </c>
      <c r="K1230" s="16">
        <f t="shared" si="341"/>
        <v>1825</v>
      </c>
      <c r="L1230" s="79">
        <f>Inputs!$P$8-B1230</f>
        <v>163.89139999999998</v>
      </c>
      <c r="M1230" s="79">
        <f>Inputs!$Q$8+L1230*0.433</f>
        <v>1895.9649761999999</v>
      </c>
      <c r="N1230" s="82">
        <f t="shared" si="342"/>
        <v>210099.92</v>
      </c>
      <c r="O1230" s="83">
        <f t="shared" si="343"/>
        <v>774.29960000000005</v>
      </c>
      <c r="P1230" s="84">
        <f>IF(O1230="","",Inputs!$C$5-O1230)</f>
        <v>50.884899999999902</v>
      </c>
      <c r="Q1230" s="83">
        <f>IF(N1230="","",TS!J1230)</f>
        <v>2000</v>
      </c>
      <c r="R1230" s="83">
        <f>IF(N1230="","",TS!K1230)</f>
        <v>1825</v>
      </c>
      <c r="S1230" s="83">
        <f>Inputs!$H$5+TS!P1230*0.4333</f>
        <v>1897.0141436199999</v>
      </c>
      <c r="T1230" s="83">
        <f>Inputs!$G$5+TS!P1230*0.4333</f>
        <v>1912.0141436199999</v>
      </c>
      <c r="U1230" s="85">
        <f t="shared" si="344"/>
        <v>0.95600707181</v>
      </c>
      <c r="V1230" s="86">
        <f t="shared" si="332"/>
        <v>0</v>
      </c>
      <c r="W1230" s="86">
        <f t="shared" si="333"/>
        <v>0</v>
      </c>
      <c r="X1230" s="86" t="e">
        <f>((PI()*((42-2*'Gen Calcs'!$E$13)^2)/4)/144)*(A1273-#REF!)*(W1230+14.7)/14.7</f>
        <v>#REF!</v>
      </c>
      <c r="Y1230" s="86" t="e">
        <f t="shared" si="334"/>
        <v>#REF!</v>
      </c>
      <c r="Z1230" s="86" t="e">
        <f t="shared" si="335"/>
        <v>#REF!</v>
      </c>
      <c r="AA1230" s="83">
        <f>MAX(B$2:B1230)-B1230</f>
        <v>163.89139999999998</v>
      </c>
      <c r="AB1230" s="83">
        <f t="shared" si="336"/>
        <v>70.964976199999995</v>
      </c>
      <c r="AC1230" s="83">
        <f t="shared" si="338"/>
        <v>120</v>
      </c>
      <c r="AD1230" s="72">
        <v>120</v>
      </c>
      <c r="AE1230" s="73">
        <f t="shared" si="345"/>
        <v>907.92027688745009</v>
      </c>
      <c r="AF1230" s="73">
        <f>SUM(AE$2:AE1230)</f>
        <v>1035854.1303276488</v>
      </c>
      <c r="AG1230" s="73">
        <f t="shared" si="346"/>
        <v>137875.77209946036</v>
      </c>
    </row>
    <row r="1231" spans="1:33" x14ac:dyDescent="0.25">
      <c r="A1231" s="99">
        <v>210176.5</v>
      </c>
      <c r="B1231" s="96">
        <v>774.29960000000005</v>
      </c>
      <c r="C1231" s="96">
        <v>0.86399999999999999</v>
      </c>
      <c r="D1231" s="80">
        <f t="shared" si="331"/>
        <v>76.579999999987194</v>
      </c>
      <c r="E1231" s="81">
        <f t="shared" si="339"/>
        <v>5200.734403341392</v>
      </c>
      <c r="F1231" s="81">
        <f>SUM(E$2:E1231)</f>
        <v>7747956.982446311</v>
      </c>
      <c r="G1231" s="43">
        <f t="shared" si="337"/>
        <v>2</v>
      </c>
      <c r="H1231" s="78">
        <v>1</v>
      </c>
      <c r="I1231" s="15">
        <f t="shared" si="340"/>
        <v>0.86399999999999999</v>
      </c>
      <c r="J1231" s="16">
        <f>VLOOKUP(G1231,Inputs!$L$3:$P$15,5,FALSE)</f>
        <v>2880</v>
      </c>
      <c r="K1231" s="16">
        <f t="shared" si="341"/>
        <v>1825</v>
      </c>
      <c r="L1231" s="79">
        <f>Inputs!$P$8-B1231</f>
        <v>163.89139999999998</v>
      </c>
      <c r="M1231" s="79">
        <f>Inputs!$Q$8+L1231*0.433</f>
        <v>1895.9649761999999</v>
      </c>
      <c r="N1231" s="82">
        <f t="shared" si="342"/>
        <v>210176.5</v>
      </c>
      <c r="O1231" s="83">
        <f t="shared" si="343"/>
        <v>774.29960000000005</v>
      </c>
      <c r="P1231" s="84">
        <f>IF(O1231="","",Inputs!$C$5-O1231)</f>
        <v>50.884899999999902</v>
      </c>
      <c r="Q1231" s="83">
        <f>IF(N1231="","",TS!J1231)</f>
        <v>2880</v>
      </c>
      <c r="R1231" s="83">
        <f>IF(N1231="","",TS!K1231)</f>
        <v>1825</v>
      </c>
      <c r="S1231" s="83">
        <f>Inputs!$H$5+TS!P1231*0.4333</f>
        <v>1897.0141436199999</v>
      </c>
      <c r="T1231" s="83">
        <f>Inputs!$G$5+TS!P1231*0.4333</f>
        <v>1912.0141436199999</v>
      </c>
      <c r="U1231" s="85">
        <f t="shared" si="344"/>
        <v>0.66389379986805552</v>
      </c>
      <c r="V1231" s="86">
        <f t="shared" si="332"/>
        <v>0</v>
      </c>
      <c r="W1231" s="86">
        <f t="shared" si="333"/>
        <v>0</v>
      </c>
      <c r="X1231" s="86" t="e">
        <f>((PI()*((42-2*'Gen Calcs'!$E$13)^2)/4)/144)*(A1274-#REF!)*(W1231+14.7)/14.7</f>
        <v>#REF!</v>
      </c>
      <c r="Y1231" s="86" t="e">
        <f t="shared" si="334"/>
        <v>#REF!</v>
      </c>
      <c r="Z1231" s="86" t="e">
        <f t="shared" si="335"/>
        <v>#REF!</v>
      </c>
      <c r="AA1231" s="83">
        <f>MAX(B$2:B1231)-B1231</f>
        <v>163.89139999999998</v>
      </c>
      <c r="AB1231" s="83">
        <f t="shared" si="336"/>
        <v>70.964976199999995</v>
      </c>
      <c r="AC1231" s="83">
        <f t="shared" si="338"/>
        <v>120</v>
      </c>
      <c r="AD1231" s="72">
        <v>120</v>
      </c>
      <c r="AE1231" s="73">
        <f t="shared" si="345"/>
        <v>677.40616951954485</v>
      </c>
      <c r="AF1231" s="73">
        <f>SUM(AE$2:AE1231)</f>
        <v>1036531.5364971684</v>
      </c>
      <c r="AG1231" s="73">
        <f t="shared" si="346"/>
        <v>137198.36592994083</v>
      </c>
    </row>
    <row r="1232" spans="1:33" x14ac:dyDescent="0.25">
      <c r="A1232" s="100">
        <v>210199.92</v>
      </c>
      <c r="B1232" s="97">
        <v>768.29679999999996</v>
      </c>
      <c r="C1232" s="97">
        <v>0.6</v>
      </c>
      <c r="D1232" s="80">
        <f t="shared" si="331"/>
        <v>23.420000000012806</v>
      </c>
      <c r="E1232" s="81">
        <f t="shared" si="339"/>
        <v>1590.5092677767348</v>
      </c>
      <c r="F1232" s="81">
        <f>SUM(E$2:E1232)</f>
        <v>7749547.4917140873</v>
      </c>
      <c r="G1232" s="43">
        <f t="shared" si="337"/>
        <v>1</v>
      </c>
      <c r="H1232" s="78">
        <v>1</v>
      </c>
      <c r="I1232" s="15">
        <f t="shared" si="340"/>
        <v>0.6</v>
      </c>
      <c r="J1232" s="16">
        <f>VLOOKUP(G1232,Inputs!$L$3:$P$15,5,FALSE)</f>
        <v>2000</v>
      </c>
      <c r="K1232" s="16">
        <f t="shared" si="341"/>
        <v>1825</v>
      </c>
      <c r="L1232" s="79">
        <f>Inputs!$P$8-B1232</f>
        <v>169.89420000000007</v>
      </c>
      <c r="M1232" s="79">
        <f>Inputs!$Q$8+L1232*0.433</f>
        <v>1898.5641886000001</v>
      </c>
      <c r="N1232" s="82">
        <f t="shared" si="342"/>
        <v>210199.92</v>
      </c>
      <c r="O1232" s="83">
        <f t="shared" si="343"/>
        <v>768.29679999999996</v>
      </c>
      <c r="P1232" s="84">
        <f>IF(O1232="","",Inputs!$C$5-O1232)</f>
        <v>56.887699999999995</v>
      </c>
      <c r="Q1232" s="83">
        <f>IF(N1232="","",TS!J1232)</f>
        <v>2000</v>
      </c>
      <c r="R1232" s="83">
        <f>IF(N1232="","",TS!K1232)</f>
        <v>1825</v>
      </c>
      <c r="S1232" s="83">
        <f>Inputs!$H$5+TS!P1232*0.4333</f>
        <v>1899.6151568599998</v>
      </c>
      <c r="T1232" s="83">
        <f>Inputs!$G$5+TS!P1232*0.4333</f>
        <v>1914.6151568599998</v>
      </c>
      <c r="U1232" s="85">
        <f t="shared" si="344"/>
        <v>0.95730757842999992</v>
      </c>
      <c r="V1232" s="86">
        <f t="shared" si="332"/>
        <v>0</v>
      </c>
      <c r="W1232" s="86">
        <f t="shared" si="333"/>
        <v>0</v>
      </c>
      <c r="X1232" s="86" t="e">
        <f>((PI()*((42-2*'Gen Calcs'!$E$13)^2)/4)/144)*(A1275-#REF!)*(W1232+14.7)/14.7</f>
        <v>#REF!</v>
      </c>
      <c r="Y1232" s="86" t="e">
        <f t="shared" si="334"/>
        <v>#REF!</v>
      </c>
      <c r="Z1232" s="86" t="e">
        <f t="shared" si="335"/>
        <v>#REF!</v>
      </c>
      <c r="AA1232" s="83">
        <f>MAX(B$2:B1232)-B1232</f>
        <v>169.89420000000007</v>
      </c>
      <c r="AB1232" s="83">
        <f t="shared" si="336"/>
        <v>73.564188600000023</v>
      </c>
      <c r="AC1232" s="83">
        <f t="shared" si="338"/>
        <v>120</v>
      </c>
      <c r="AD1232" s="72">
        <v>120</v>
      </c>
      <c r="AE1232" s="73">
        <f t="shared" si="345"/>
        <v>212.63492884715706</v>
      </c>
      <c r="AF1232" s="73">
        <f>SUM(AE$2:AE1232)</f>
        <v>1036744.1714260156</v>
      </c>
      <c r="AG1232" s="73">
        <f t="shared" si="346"/>
        <v>136985.73100109363</v>
      </c>
    </row>
    <row r="1233" spans="1:33" x14ac:dyDescent="0.25">
      <c r="A1233" s="99">
        <v>210299.92</v>
      </c>
      <c r="B1233" s="96">
        <v>761.6268</v>
      </c>
      <c r="C1233" s="96">
        <v>0.6</v>
      </c>
      <c r="D1233" s="80">
        <f t="shared" si="331"/>
        <v>100</v>
      </c>
      <c r="E1233" s="81">
        <f t="shared" si="339"/>
        <v>6791.2436711181272</v>
      </c>
      <c r="F1233" s="81">
        <f>SUM(E$2:E1233)</f>
        <v>7756338.7353852056</v>
      </c>
      <c r="G1233" s="43">
        <f t="shared" si="337"/>
        <v>1</v>
      </c>
      <c r="H1233" s="78">
        <v>1</v>
      </c>
      <c r="I1233" s="15">
        <f t="shared" si="340"/>
        <v>0.6</v>
      </c>
      <c r="J1233" s="16">
        <f>VLOOKUP(G1233,Inputs!$L$3:$P$15,5,FALSE)</f>
        <v>2000</v>
      </c>
      <c r="K1233" s="16">
        <f t="shared" si="341"/>
        <v>1825</v>
      </c>
      <c r="L1233" s="79">
        <f>Inputs!$P$8-B1233</f>
        <v>176.56420000000003</v>
      </c>
      <c r="M1233" s="79">
        <f>Inputs!$Q$8+L1233*0.433</f>
        <v>1901.4522985999999</v>
      </c>
      <c r="N1233" s="82">
        <f t="shared" si="342"/>
        <v>210299.92</v>
      </c>
      <c r="O1233" s="83">
        <f t="shared" si="343"/>
        <v>761.6268</v>
      </c>
      <c r="P1233" s="84">
        <f>IF(O1233="","",Inputs!$C$5-O1233)</f>
        <v>63.557699999999954</v>
      </c>
      <c r="Q1233" s="83">
        <f>IF(N1233="","",TS!J1233)</f>
        <v>2000</v>
      </c>
      <c r="R1233" s="83">
        <f>IF(N1233="","",TS!K1233)</f>
        <v>1825</v>
      </c>
      <c r="S1233" s="83">
        <f>Inputs!$H$5+TS!P1233*0.4333</f>
        <v>1902.50526786</v>
      </c>
      <c r="T1233" s="83">
        <f>Inputs!$G$5+TS!P1233*0.4333</f>
        <v>1917.50526786</v>
      </c>
      <c r="U1233" s="85">
        <f t="shared" si="344"/>
        <v>0.95875263392999999</v>
      </c>
      <c r="V1233" s="86">
        <f t="shared" si="332"/>
        <v>0</v>
      </c>
      <c r="W1233" s="86">
        <f t="shared" si="333"/>
        <v>0</v>
      </c>
      <c r="X1233" s="86" t="e">
        <f>((PI()*((42-2*'Gen Calcs'!$E$13)^2)/4)/144)*(A1276-#REF!)*(W1233+14.7)/14.7</f>
        <v>#REF!</v>
      </c>
      <c r="Y1233" s="86" t="e">
        <f t="shared" si="334"/>
        <v>#REF!</v>
      </c>
      <c r="Z1233" s="86" t="e">
        <f t="shared" si="335"/>
        <v>#REF!</v>
      </c>
      <c r="AA1233" s="83">
        <f>MAX(B$2:B1233)-B1233</f>
        <v>176.56420000000003</v>
      </c>
      <c r="AB1233" s="83">
        <f t="shared" si="336"/>
        <v>76.452298600000006</v>
      </c>
      <c r="AC1233" s="83">
        <f t="shared" si="338"/>
        <v>120</v>
      </c>
      <c r="AD1233" s="72">
        <v>120</v>
      </c>
      <c r="AE1233" s="73">
        <f t="shared" si="345"/>
        <v>907.92027688745009</v>
      </c>
      <c r="AF1233" s="73">
        <f>SUM(AE$2:AE1233)</f>
        <v>1037652.091702903</v>
      </c>
      <c r="AG1233" s="73">
        <f t="shared" si="346"/>
        <v>136077.81072420615</v>
      </c>
    </row>
    <row r="1234" spans="1:33" x14ac:dyDescent="0.25">
      <c r="A1234" s="100">
        <v>210399.92</v>
      </c>
      <c r="B1234" s="97">
        <v>757.20740000000001</v>
      </c>
      <c r="C1234" s="97">
        <v>0.6</v>
      </c>
      <c r="D1234" s="80">
        <f t="shared" si="331"/>
        <v>100</v>
      </c>
      <c r="E1234" s="81">
        <f t="shared" si="339"/>
        <v>6791.2436711181272</v>
      </c>
      <c r="F1234" s="81">
        <f>SUM(E$2:E1234)</f>
        <v>7763129.9790563239</v>
      </c>
      <c r="G1234" s="43">
        <f t="shared" si="337"/>
        <v>1</v>
      </c>
      <c r="H1234" s="78">
        <v>1</v>
      </c>
      <c r="I1234" s="15">
        <f t="shared" si="340"/>
        <v>0.6</v>
      </c>
      <c r="J1234" s="16">
        <f>VLOOKUP(G1234,Inputs!$L$3:$P$15,5,FALSE)</f>
        <v>2000</v>
      </c>
      <c r="K1234" s="16">
        <f t="shared" si="341"/>
        <v>1825</v>
      </c>
      <c r="L1234" s="79">
        <f>Inputs!$P$8-B1234</f>
        <v>180.98360000000002</v>
      </c>
      <c r="M1234" s="79">
        <f>Inputs!$Q$8+L1234*0.433</f>
        <v>1903.3658988</v>
      </c>
      <c r="N1234" s="82">
        <f t="shared" si="342"/>
        <v>210399.92</v>
      </c>
      <c r="O1234" s="83">
        <f t="shared" si="343"/>
        <v>757.20740000000001</v>
      </c>
      <c r="P1234" s="84">
        <f>IF(O1234="","",Inputs!$C$5-O1234)</f>
        <v>67.97709999999995</v>
      </c>
      <c r="Q1234" s="83">
        <f>IF(N1234="","",TS!J1234)</f>
        <v>2000</v>
      </c>
      <c r="R1234" s="83">
        <f>IF(N1234="","",TS!K1234)</f>
        <v>1825</v>
      </c>
      <c r="S1234" s="83">
        <f>Inputs!$H$5+TS!P1234*0.4333</f>
        <v>1904.4201938799999</v>
      </c>
      <c r="T1234" s="83">
        <f>Inputs!$G$5+TS!P1234*0.4333</f>
        <v>1919.4201938799999</v>
      </c>
      <c r="U1234" s="85">
        <f t="shared" si="344"/>
        <v>0.95971009693999998</v>
      </c>
      <c r="V1234" s="86">
        <f t="shared" si="332"/>
        <v>0</v>
      </c>
      <c r="W1234" s="86">
        <f t="shared" si="333"/>
        <v>0</v>
      </c>
      <c r="X1234" s="86" t="e">
        <f>((PI()*((42-2*'Gen Calcs'!$E$13)^2)/4)/144)*(A1277-#REF!)*(W1234+14.7)/14.7</f>
        <v>#REF!</v>
      </c>
      <c r="Y1234" s="86" t="e">
        <f t="shared" si="334"/>
        <v>#REF!</v>
      </c>
      <c r="Z1234" s="86" t="e">
        <f t="shared" si="335"/>
        <v>#REF!</v>
      </c>
      <c r="AA1234" s="83">
        <f>MAX(B$2:B1234)-B1234</f>
        <v>180.98360000000002</v>
      </c>
      <c r="AB1234" s="83">
        <f t="shared" si="336"/>
        <v>78.365898800000011</v>
      </c>
      <c r="AC1234" s="83">
        <f t="shared" si="338"/>
        <v>120</v>
      </c>
      <c r="AD1234" s="72">
        <v>120</v>
      </c>
      <c r="AE1234" s="73">
        <f t="shared" si="345"/>
        <v>907.92027688745009</v>
      </c>
      <c r="AF1234" s="73">
        <f>SUM(AE$2:AE1234)</f>
        <v>1038560.0119797905</v>
      </c>
      <c r="AG1234" s="73">
        <f t="shared" si="346"/>
        <v>135169.89044731867</v>
      </c>
    </row>
    <row r="1235" spans="1:33" x14ac:dyDescent="0.25">
      <c r="A1235" s="99">
        <v>210456.5</v>
      </c>
      <c r="B1235" s="96">
        <v>757.20740000000001</v>
      </c>
      <c r="C1235" s="96">
        <v>0.86399999999999999</v>
      </c>
      <c r="D1235" s="80">
        <f t="shared" si="331"/>
        <v>56.579999999987194</v>
      </c>
      <c r="E1235" s="81">
        <f t="shared" si="339"/>
        <v>3842.4856691177665</v>
      </c>
      <c r="F1235" s="81">
        <f>SUM(E$2:E1235)</f>
        <v>7766972.4647254413</v>
      </c>
      <c r="G1235" s="43">
        <f t="shared" si="337"/>
        <v>2</v>
      </c>
      <c r="H1235" s="78">
        <v>1</v>
      </c>
      <c r="I1235" s="15">
        <f t="shared" si="340"/>
        <v>0.86399999999999999</v>
      </c>
      <c r="J1235" s="16">
        <f>VLOOKUP(G1235,Inputs!$L$3:$P$15,5,FALSE)</f>
        <v>2880</v>
      </c>
      <c r="K1235" s="16">
        <f t="shared" si="341"/>
        <v>1825</v>
      </c>
      <c r="L1235" s="79">
        <f>Inputs!$P$8-B1235</f>
        <v>180.98360000000002</v>
      </c>
      <c r="M1235" s="79">
        <f>Inputs!$Q$8+L1235*0.433</f>
        <v>1903.3658988</v>
      </c>
      <c r="N1235" s="82">
        <f t="shared" si="342"/>
        <v>210456.5</v>
      </c>
      <c r="O1235" s="83">
        <f t="shared" si="343"/>
        <v>757.20740000000001</v>
      </c>
      <c r="P1235" s="84">
        <f>IF(O1235="","",Inputs!$C$5-O1235)</f>
        <v>67.97709999999995</v>
      </c>
      <c r="Q1235" s="83">
        <f>IF(N1235="","",TS!J1235)</f>
        <v>2880</v>
      </c>
      <c r="R1235" s="83">
        <f>IF(N1235="","",TS!K1235)</f>
        <v>1825</v>
      </c>
      <c r="S1235" s="83">
        <f>Inputs!$H$5+TS!P1235*0.4333</f>
        <v>1904.4201938799999</v>
      </c>
      <c r="T1235" s="83">
        <f>Inputs!$G$5+TS!P1235*0.4333</f>
        <v>1919.4201938799999</v>
      </c>
      <c r="U1235" s="85">
        <f t="shared" si="344"/>
        <v>0.66646534509722222</v>
      </c>
      <c r="V1235" s="86">
        <f t="shared" si="332"/>
        <v>0</v>
      </c>
      <c r="W1235" s="86">
        <f t="shared" si="333"/>
        <v>0</v>
      </c>
      <c r="X1235" s="86" t="e">
        <f>((PI()*((42-2*'Gen Calcs'!$E$13)^2)/4)/144)*(A1278-#REF!)*(W1235+14.7)/14.7</f>
        <v>#REF!</v>
      </c>
      <c r="Y1235" s="86" t="e">
        <f t="shared" si="334"/>
        <v>#REF!</v>
      </c>
      <c r="Z1235" s="86" t="e">
        <f t="shared" si="335"/>
        <v>#REF!</v>
      </c>
      <c r="AA1235" s="83">
        <f>MAX(B$2:B1235)-B1235</f>
        <v>180.98360000000002</v>
      </c>
      <c r="AB1235" s="83">
        <f t="shared" si="336"/>
        <v>78.365898800000011</v>
      </c>
      <c r="AC1235" s="83">
        <f t="shared" si="338"/>
        <v>120</v>
      </c>
      <c r="AD1235" s="72">
        <v>120</v>
      </c>
      <c r="AE1235" s="73">
        <f t="shared" si="345"/>
        <v>500.49152613493834</v>
      </c>
      <c r="AF1235" s="73">
        <f>SUM(AE$2:AE1235)</f>
        <v>1039060.5035059254</v>
      </c>
      <c r="AG1235" s="73">
        <f t="shared" si="346"/>
        <v>134669.39892118378</v>
      </c>
    </row>
    <row r="1236" spans="1:33" x14ac:dyDescent="0.25">
      <c r="A1236" s="100">
        <v>210499.92</v>
      </c>
      <c r="B1236" s="97">
        <v>753.78449999999998</v>
      </c>
      <c r="C1236" s="97">
        <v>0.6</v>
      </c>
      <c r="D1236" s="80">
        <f t="shared" si="331"/>
        <v>43.420000000012806</v>
      </c>
      <c r="E1236" s="81">
        <f t="shared" si="339"/>
        <v>2948.7580020003606</v>
      </c>
      <c r="F1236" s="81">
        <f>SUM(E$2:E1236)</f>
        <v>7769921.2227274412</v>
      </c>
      <c r="G1236" s="43">
        <f t="shared" si="337"/>
        <v>1</v>
      </c>
      <c r="H1236" s="78">
        <v>1</v>
      </c>
      <c r="I1236" s="15">
        <f t="shared" si="340"/>
        <v>0.6</v>
      </c>
      <c r="J1236" s="16">
        <f>VLOOKUP(G1236,Inputs!$L$3:$P$15,5,FALSE)</f>
        <v>2000</v>
      </c>
      <c r="K1236" s="16">
        <f t="shared" si="341"/>
        <v>1825</v>
      </c>
      <c r="L1236" s="79">
        <f>Inputs!$P$8-B1236</f>
        <v>184.40650000000005</v>
      </c>
      <c r="M1236" s="79">
        <f>Inputs!$Q$8+L1236*0.433</f>
        <v>1904.8480145000001</v>
      </c>
      <c r="N1236" s="82">
        <f t="shared" si="342"/>
        <v>210499.92</v>
      </c>
      <c r="O1236" s="83">
        <f t="shared" si="343"/>
        <v>753.78449999999998</v>
      </c>
      <c r="P1236" s="84">
        <f>IF(O1236="","",Inputs!$C$5-O1236)</f>
        <v>71.399999999999977</v>
      </c>
      <c r="Q1236" s="83">
        <f>IF(N1236="","",TS!J1236)</f>
        <v>2000</v>
      </c>
      <c r="R1236" s="83">
        <f>IF(N1236="","",TS!K1236)</f>
        <v>1825</v>
      </c>
      <c r="S1236" s="83">
        <f>Inputs!$H$5+TS!P1236*0.4333</f>
        <v>1905.9033364499999</v>
      </c>
      <c r="T1236" s="83">
        <f>Inputs!$G$5+TS!P1236*0.4333</f>
        <v>1920.9033364499999</v>
      </c>
      <c r="U1236" s="85">
        <f t="shared" si="344"/>
        <v>0.96045166822499994</v>
      </c>
      <c r="V1236" s="86">
        <f t="shared" si="332"/>
        <v>0</v>
      </c>
      <c r="W1236" s="86">
        <f t="shared" si="333"/>
        <v>0</v>
      </c>
      <c r="X1236" s="86" t="e">
        <f>((PI()*((42-2*'Gen Calcs'!$E$13)^2)/4)/144)*(A1279-#REF!)*(W1236+14.7)/14.7</f>
        <v>#REF!</v>
      </c>
      <c r="Y1236" s="86" t="e">
        <f t="shared" si="334"/>
        <v>#REF!</v>
      </c>
      <c r="Z1236" s="86" t="e">
        <f t="shared" si="335"/>
        <v>#REF!</v>
      </c>
      <c r="AA1236" s="83">
        <f>MAX(B$2:B1236)-B1236</f>
        <v>184.40650000000005</v>
      </c>
      <c r="AB1236" s="83">
        <f t="shared" si="336"/>
        <v>79.848014500000019</v>
      </c>
      <c r="AC1236" s="83">
        <f t="shared" si="338"/>
        <v>120</v>
      </c>
      <c r="AD1236" s="72">
        <v>120</v>
      </c>
      <c r="AE1236" s="73">
        <f t="shared" si="345"/>
        <v>394.2189842246471</v>
      </c>
      <c r="AF1236" s="73">
        <f>SUM(AE$2:AE1236)</f>
        <v>1039454.72249015</v>
      </c>
      <c r="AG1236" s="73">
        <f t="shared" si="346"/>
        <v>134275.17993695918</v>
      </c>
    </row>
    <row r="1237" spans="1:33" x14ac:dyDescent="0.25">
      <c r="A1237" s="99">
        <v>210599.92</v>
      </c>
      <c r="B1237" s="96">
        <v>749.66</v>
      </c>
      <c r="C1237" s="96">
        <v>0.6</v>
      </c>
      <c r="D1237" s="80">
        <f t="shared" si="331"/>
        <v>100</v>
      </c>
      <c r="E1237" s="81">
        <f t="shared" si="339"/>
        <v>6791.2436711181272</v>
      </c>
      <c r="F1237" s="81">
        <f>SUM(E$2:E1237)</f>
        <v>7776712.4663985595</v>
      </c>
      <c r="G1237" s="43">
        <f t="shared" si="337"/>
        <v>1</v>
      </c>
      <c r="H1237" s="78">
        <v>1</v>
      </c>
      <c r="I1237" s="15">
        <f t="shared" si="340"/>
        <v>0.6</v>
      </c>
      <c r="J1237" s="16">
        <f>VLOOKUP(G1237,Inputs!$L$3:$P$15,5,FALSE)</f>
        <v>2000</v>
      </c>
      <c r="K1237" s="16">
        <f t="shared" si="341"/>
        <v>1825</v>
      </c>
      <c r="L1237" s="79">
        <f>Inputs!$P$8-B1237</f>
        <v>188.53100000000006</v>
      </c>
      <c r="M1237" s="79">
        <f>Inputs!$Q$8+L1237*0.433</f>
        <v>1906.6339230000001</v>
      </c>
      <c r="N1237" s="82">
        <f t="shared" si="342"/>
        <v>210599.92</v>
      </c>
      <c r="O1237" s="83">
        <f t="shared" si="343"/>
        <v>749.66</v>
      </c>
      <c r="P1237" s="84">
        <f>IF(O1237="","",Inputs!$C$5-O1237)</f>
        <v>75.524499999999989</v>
      </c>
      <c r="Q1237" s="83">
        <f>IF(N1237="","",TS!J1237)</f>
        <v>2000</v>
      </c>
      <c r="R1237" s="83">
        <f>IF(N1237="","",TS!K1237)</f>
        <v>1825</v>
      </c>
      <c r="S1237" s="83">
        <f>Inputs!$H$5+TS!P1237*0.4333</f>
        <v>1907.6904823</v>
      </c>
      <c r="T1237" s="83">
        <f>Inputs!$G$5+TS!P1237*0.4333</f>
        <v>1922.6904823</v>
      </c>
      <c r="U1237" s="85">
        <f t="shared" si="344"/>
        <v>0.96134524114999997</v>
      </c>
      <c r="V1237" s="86">
        <f t="shared" si="332"/>
        <v>0</v>
      </c>
      <c r="W1237" s="86">
        <f t="shared" si="333"/>
        <v>0</v>
      </c>
      <c r="X1237" s="86" t="e">
        <f>((PI()*((42-2*'Gen Calcs'!$E$13)^2)/4)/144)*(A1280-#REF!)*(W1237+14.7)/14.7</f>
        <v>#REF!</v>
      </c>
      <c r="Y1237" s="86" t="e">
        <f t="shared" si="334"/>
        <v>#REF!</v>
      </c>
      <c r="Z1237" s="86" t="e">
        <f t="shared" si="335"/>
        <v>#REF!</v>
      </c>
      <c r="AA1237" s="83">
        <f>MAX(B$2:B1237)-B1237</f>
        <v>188.53100000000006</v>
      </c>
      <c r="AB1237" s="83">
        <f t="shared" si="336"/>
        <v>81.633923000000024</v>
      </c>
      <c r="AC1237" s="83">
        <f t="shared" si="338"/>
        <v>120</v>
      </c>
      <c r="AD1237" s="72">
        <v>120</v>
      </c>
      <c r="AE1237" s="73">
        <f t="shared" si="345"/>
        <v>907.92027688745009</v>
      </c>
      <c r="AF1237" s="73">
        <f>SUM(AE$2:AE1237)</f>
        <v>1040362.6427670375</v>
      </c>
      <c r="AG1237" s="73">
        <f t="shared" si="346"/>
        <v>133367.25966007169</v>
      </c>
    </row>
    <row r="1238" spans="1:33" x14ac:dyDescent="0.25">
      <c r="A1238" s="100">
        <v>210699.92</v>
      </c>
      <c r="B1238" s="97">
        <v>747.12429999999995</v>
      </c>
      <c r="C1238" s="97">
        <v>0.6</v>
      </c>
      <c r="D1238" s="80">
        <f t="shared" si="331"/>
        <v>100</v>
      </c>
      <c r="E1238" s="81">
        <f t="shared" si="339"/>
        <v>6791.2436711181272</v>
      </c>
      <c r="F1238" s="81">
        <f>SUM(E$2:E1238)</f>
        <v>7783503.7100696778</v>
      </c>
      <c r="G1238" s="43">
        <f t="shared" si="337"/>
        <v>1</v>
      </c>
      <c r="H1238" s="78">
        <v>1</v>
      </c>
      <c r="I1238" s="15">
        <f t="shared" si="340"/>
        <v>0.6</v>
      </c>
      <c r="J1238" s="16">
        <f>VLOOKUP(G1238,Inputs!$L$3:$P$15,5,FALSE)</f>
        <v>2000</v>
      </c>
      <c r="K1238" s="16">
        <f t="shared" si="341"/>
        <v>1825</v>
      </c>
      <c r="L1238" s="79">
        <f>Inputs!$P$8-B1238</f>
        <v>191.06670000000008</v>
      </c>
      <c r="M1238" s="79">
        <f>Inputs!$Q$8+L1238*0.433</f>
        <v>1907.7318811</v>
      </c>
      <c r="N1238" s="82">
        <f t="shared" si="342"/>
        <v>210699.92</v>
      </c>
      <c r="O1238" s="83">
        <f t="shared" si="343"/>
        <v>747.12429999999995</v>
      </c>
      <c r="P1238" s="84">
        <f>IF(O1238="","",Inputs!$C$5-O1238)</f>
        <v>78.060200000000009</v>
      </c>
      <c r="Q1238" s="83">
        <f>IF(N1238="","",TS!J1238)</f>
        <v>2000</v>
      </c>
      <c r="R1238" s="83">
        <f>IF(N1238="","",TS!K1238)</f>
        <v>1825</v>
      </c>
      <c r="S1238" s="83">
        <f>Inputs!$H$5+TS!P1238*0.4333</f>
        <v>1908.78920111</v>
      </c>
      <c r="T1238" s="83">
        <f>Inputs!$G$5+TS!P1238*0.4333</f>
        <v>1923.78920111</v>
      </c>
      <c r="U1238" s="85">
        <f t="shared" si="344"/>
        <v>0.96189460055499998</v>
      </c>
      <c r="V1238" s="86">
        <f t="shared" si="332"/>
        <v>0</v>
      </c>
      <c r="W1238" s="86">
        <f t="shared" si="333"/>
        <v>0</v>
      </c>
      <c r="X1238" s="86" t="e">
        <f>((PI()*((42-2*'Gen Calcs'!$E$13)^2)/4)/144)*(A1281-#REF!)*(W1238+14.7)/14.7</f>
        <v>#REF!</v>
      </c>
      <c r="Y1238" s="86" t="e">
        <f t="shared" si="334"/>
        <v>#REF!</v>
      </c>
      <c r="Z1238" s="86" t="e">
        <f t="shared" si="335"/>
        <v>#REF!</v>
      </c>
      <c r="AA1238" s="83">
        <f>MAX(B$2:B1238)-B1238</f>
        <v>191.06670000000008</v>
      </c>
      <c r="AB1238" s="83">
        <f t="shared" si="336"/>
        <v>82.731881100000038</v>
      </c>
      <c r="AC1238" s="83">
        <f t="shared" si="338"/>
        <v>120</v>
      </c>
      <c r="AD1238" s="72">
        <v>120</v>
      </c>
      <c r="AE1238" s="73">
        <f t="shared" si="345"/>
        <v>907.92027688745009</v>
      </c>
      <c r="AF1238" s="73">
        <f>SUM(AE$2:AE1238)</f>
        <v>1041270.563043925</v>
      </c>
      <c r="AG1238" s="73">
        <f t="shared" si="346"/>
        <v>132459.33938318421</v>
      </c>
    </row>
    <row r="1239" spans="1:33" x14ac:dyDescent="0.25">
      <c r="A1239" s="99">
        <v>210799.92</v>
      </c>
      <c r="B1239" s="96">
        <v>745.47209999999995</v>
      </c>
      <c r="C1239" s="96">
        <v>0.6</v>
      </c>
      <c r="D1239" s="80">
        <f t="shared" si="331"/>
        <v>100</v>
      </c>
      <c r="E1239" s="81">
        <f t="shared" si="339"/>
        <v>6791.2436711181272</v>
      </c>
      <c r="F1239" s="81">
        <f>SUM(E$2:E1239)</f>
        <v>7790294.9537407961</v>
      </c>
      <c r="G1239" s="43">
        <f t="shared" si="337"/>
        <v>1</v>
      </c>
      <c r="H1239" s="78">
        <v>1</v>
      </c>
      <c r="I1239" s="15">
        <f t="shared" si="340"/>
        <v>0.6</v>
      </c>
      <c r="J1239" s="16">
        <f>VLOOKUP(G1239,Inputs!$L$3:$P$15,5,FALSE)</f>
        <v>2000</v>
      </c>
      <c r="K1239" s="16">
        <f t="shared" si="341"/>
        <v>1825</v>
      </c>
      <c r="L1239" s="79">
        <f>Inputs!$P$8-B1239</f>
        <v>192.71890000000008</v>
      </c>
      <c r="M1239" s="79">
        <f>Inputs!$Q$8+L1239*0.433</f>
        <v>1908.4472837000001</v>
      </c>
      <c r="N1239" s="82">
        <f t="shared" si="342"/>
        <v>210799.92</v>
      </c>
      <c r="O1239" s="83">
        <f t="shared" si="343"/>
        <v>745.47209999999995</v>
      </c>
      <c r="P1239" s="84">
        <f>IF(O1239="","",Inputs!$C$5-O1239)</f>
        <v>79.712400000000002</v>
      </c>
      <c r="Q1239" s="83">
        <f>IF(N1239="","",TS!J1239)</f>
        <v>2000</v>
      </c>
      <c r="R1239" s="83">
        <f>IF(N1239="","",TS!K1239)</f>
        <v>1825</v>
      </c>
      <c r="S1239" s="83">
        <f>Inputs!$H$5+TS!P1239*0.4333</f>
        <v>1909.5050993699999</v>
      </c>
      <c r="T1239" s="83">
        <f>Inputs!$G$5+TS!P1239*0.4333</f>
        <v>1924.5050993699999</v>
      </c>
      <c r="U1239" s="85">
        <f t="shared" si="344"/>
        <v>0.96225254968499996</v>
      </c>
      <c r="V1239" s="86">
        <f t="shared" si="332"/>
        <v>0</v>
      </c>
      <c r="W1239" s="86">
        <f t="shared" si="333"/>
        <v>0</v>
      </c>
      <c r="X1239" s="86" t="e">
        <f>((PI()*((42-2*'Gen Calcs'!$E$13)^2)/4)/144)*(A1282-#REF!)*(W1239+14.7)/14.7</f>
        <v>#REF!</v>
      </c>
      <c r="Y1239" s="86" t="e">
        <f t="shared" si="334"/>
        <v>#REF!</v>
      </c>
      <c r="Z1239" s="86" t="e">
        <f t="shared" si="335"/>
        <v>#REF!</v>
      </c>
      <c r="AA1239" s="83">
        <f>MAX(B$2:B1239)-B1239</f>
        <v>192.71890000000008</v>
      </c>
      <c r="AB1239" s="83">
        <f t="shared" si="336"/>
        <v>83.447283700000028</v>
      </c>
      <c r="AC1239" s="83">
        <f t="shared" si="338"/>
        <v>120</v>
      </c>
      <c r="AD1239" s="72">
        <v>120</v>
      </c>
      <c r="AE1239" s="73">
        <f t="shared" si="345"/>
        <v>907.92027688745009</v>
      </c>
      <c r="AF1239" s="73">
        <f>SUM(AE$2:AE1239)</f>
        <v>1042178.4833208125</v>
      </c>
      <c r="AG1239" s="73">
        <f t="shared" si="346"/>
        <v>131551.41910629673</v>
      </c>
    </row>
    <row r="1240" spans="1:33" x14ac:dyDescent="0.25">
      <c r="A1240" s="100">
        <v>210899.92</v>
      </c>
      <c r="B1240" s="97">
        <v>742.12980000000005</v>
      </c>
      <c r="C1240" s="97">
        <v>0.6</v>
      </c>
      <c r="D1240" s="80">
        <f t="shared" si="331"/>
        <v>100</v>
      </c>
      <c r="E1240" s="81">
        <f t="shared" si="339"/>
        <v>6791.2436711181272</v>
      </c>
      <c r="F1240" s="81">
        <f>SUM(E$2:E1240)</f>
        <v>7797086.1974119144</v>
      </c>
      <c r="G1240" s="43">
        <f t="shared" si="337"/>
        <v>1</v>
      </c>
      <c r="H1240" s="78">
        <v>1</v>
      </c>
      <c r="I1240" s="15">
        <f t="shared" si="340"/>
        <v>0.6</v>
      </c>
      <c r="J1240" s="16">
        <f>VLOOKUP(G1240,Inputs!$L$3:$P$15,5,FALSE)</f>
        <v>2000</v>
      </c>
      <c r="K1240" s="16">
        <f t="shared" si="341"/>
        <v>1825</v>
      </c>
      <c r="L1240" s="79">
        <f>Inputs!$P$8-B1240</f>
        <v>196.06119999999999</v>
      </c>
      <c r="M1240" s="79">
        <f>Inputs!$Q$8+L1240*0.433</f>
        <v>1909.8944996</v>
      </c>
      <c r="N1240" s="82">
        <f t="shared" si="342"/>
        <v>210899.92</v>
      </c>
      <c r="O1240" s="83">
        <f t="shared" si="343"/>
        <v>742.12980000000005</v>
      </c>
      <c r="P1240" s="84">
        <f>IF(O1240="","",Inputs!$C$5-O1240)</f>
        <v>83.054699999999912</v>
      </c>
      <c r="Q1240" s="83">
        <f>IF(N1240="","",TS!J1240)</f>
        <v>2000</v>
      </c>
      <c r="R1240" s="83">
        <f>IF(N1240="","",TS!K1240)</f>
        <v>1825</v>
      </c>
      <c r="S1240" s="83">
        <f>Inputs!$H$5+TS!P1240*0.4333</f>
        <v>1910.9533179599998</v>
      </c>
      <c r="T1240" s="83">
        <f>Inputs!$G$5+TS!P1240*0.4333</f>
        <v>1925.9533179599998</v>
      </c>
      <c r="U1240" s="85">
        <f t="shared" si="344"/>
        <v>0.96297665897999996</v>
      </c>
      <c r="V1240" s="86">
        <f t="shared" si="332"/>
        <v>0</v>
      </c>
      <c r="W1240" s="86">
        <f t="shared" si="333"/>
        <v>0</v>
      </c>
      <c r="X1240" s="86" t="e">
        <f>((PI()*((42-2*'Gen Calcs'!$E$13)^2)/4)/144)*(A1283-#REF!)*(W1240+14.7)/14.7</f>
        <v>#REF!</v>
      </c>
      <c r="Y1240" s="86" t="e">
        <f t="shared" si="334"/>
        <v>#REF!</v>
      </c>
      <c r="Z1240" s="86" t="e">
        <f t="shared" si="335"/>
        <v>#REF!</v>
      </c>
      <c r="AA1240" s="83">
        <f>MAX(B$2:B1240)-B1240</f>
        <v>196.06119999999999</v>
      </c>
      <c r="AB1240" s="83">
        <f t="shared" si="336"/>
        <v>84.894499599999989</v>
      </c>
      <c r="AC1240" s="83">
        <f t="shared" si="338"/>
        <v>120</v>
      </c>
      <c r="AD1240" s="72">
        <v>120</v>
      </c>
      <c r="AE1240" s="73">
        <f t="shared" si="345"/>
        <v>907.92027688745009</v>
      </c>
      <c r="AF1240" s="73">
        <f>SUM(AE$2:AE1240)</f>
        <v>1043086.4035976999</v>
      </c>
      <c r="AG1240" s="73">
        <f t="shared" si="346"/>
        <v>130643.49882940925</v>
      </c>
    </row>
    <row r="1241" spans="1:33" x14ac:dyDescent="0.25">
      <c r="A1241" s="99">
        <v>210999.92</v>
      </c>
      <c r="B1241" s="96">
        <v>736.62840000000006</v>
      </c>
      <c r="C1241" s="96">
        <v>0.6</v>
      </c>
      <c r="D1241" s="80">
        <f t="shared" si="331"/>
        <v>100</v>
      </c>
      <c r="E1241" s="81">
        <f t="shared" si="339"/>
        <v>6791.2436711181272</v>
      </c>
      <c r="F1241" s="81">
        <f>SUM(E$2:E1241)</f>
        <v>7803877.4410830326</v>
      </c>
      <c r="G1241" s="43">
        <f t="shared" si="337"/>
        <v>1</v>
      </c>
      <c r="H1241" s="78">
        <v>1</v>
      </c>
      <c r="I1241" s="15">
        <f t="shared" si="340"/>
        <v>0.6</v>
      </c>
      <c r="J1241" s="16">
        <f>VLOOKUP(G1241,Inputs!$L$3:$P$15,5,FALSE)</f>
        <v>2000</v>
      </c>
      <c r="K1241" s="16">
        <f t="shared" si="341"/>
        <v>1825</v>
      </c>
      <c r="L1241" s="79">
        <f>Inputs!$P$8-B1241</f>
        <v>201.56259999999997</v>
      </c>
      <c r="M1241" s="79">
        <f>Inputs!$Q$8+L1241*0.433</f>
        <v>1912.2766058</v>
      </c>
      <c r="N1241" s="82">
        <f t="shared" si="342"/>
        <v>210999.92</v>
      </c>
      <c r="O1241" s="83">
        <f t="shared" si="343"/>
        <v>736.62840000000006</v>
      </c>
      <c r="P1241" s="84">
        <f>IF(O1241="","",Inputs!$C$5-O1241)</f>
        <v>88.556099999999901</v>
      </c>
      <c r="Q1241" s="83">
        <f>IF(N1241="","",TS!J1241)</f>
        <v>2000</v>
      </c>
      <c r="R1241" s="83">
        <f>IF(N1241="","",TS!K1241)</f>
        <v>1825</v>
      </c>
      <c r="S1241" s="83">
        <f>Inputs!$H$5+TS!P1241*0.4333</f>
        <v>1913.3370745799998</v>
      </c>
      <c r="T1241" s="83">
        <f>Inputs!$G$5+TS!P1241*0.4333</f>
        <v>1928.3370745799998</v>
      </c>
      <c r="U1241" s="85">
        <f t="shared" si="344"/>
        <v>0.96416853728999985</v>
      </c>
      <c r="V1241" s="86">
        <f t="shared" si="332"/>
        <v>0</v>
      </c>
      <c r="W1241" s="86">
        <f t="shared" si="333"/>
        <v>0</v>
      </c>
      <c r="X1241" s="86" t="e">
        <f>((PI()*((42-2*'Gen Calcs'!$E$13)^2)/4)/144)*(A1284-#REF!)*(W1241+14.7)/14.7</f>
        <v>#REF!</v>
      </c>
      <c r="Y1241" s="86" t="e">
        <f t="shared" si="334"/>
        <v>#REF!</v>
      </c>
      <c r="Z1241" s="86" t="e">
        <f t="shared" si="335"/>
        <v>#REF!</v>
      </c>
      <c r="AA1241" s="83">
        <f>MAX(B$2:B1241)-B1241</f>
        <v>201.56259999999997</v>
      </c>
      <c r="AB1241" s="83">
        <f t="shared" si="336"/>
        <v>87.276605799999984</v>
      </c>
      <c r="AC1241" s="83">
        <f t="shared" si="338"/>
        <v>120</v>
      </c>
      <c r="AD1241" s="72">
        <v>120</v>
      </c>
      <c r="AE1241" s="73">
        <f t="shared" si="345"/>
        <v>907.92027688745009</v>
      </c>
      <c r="AF1241" s="73">
        <f>SUM(AE$2:AE1241)</f>
        <v>1043994.3238745874</v>
      </c>
      <c r="AG1241" s="73">
        <f t="shared" si="346"/>
        <v>129735.57855252177</v>
      </c>
    </row>
    <row r="1242" spans="1:33" x14ac:dyDescent="0.25">
      <c r="A1242" s="100">
        <v>211099.92</v>
      </c>
      <c r="B1242" s="97">
        <v>738.44970000000001</v>
      </c>
      <c r="C1242" s="97">
        <v>0.6</v>
      </c>
      <c r="D1242" s="80">
        <f t="shared" si="331"/>
        <v>100</v>
      </c>
      <c r="E1242" s="81">
        <f t="shared" si="339"/>
        <v>6791.2436711181272</v>
      </c>
      <c r="F1242" s="81">
        <f>SUM(E$2:E1242)</f>
        <v>7810668.6847541509</v>
      </c>
      <c r="G1242" s="43">
        <f t="shared" si="337"/>
        <v>1</v>
      </c>
      <c r="H1242" s="78">
        <v>1</v>
      </c>
      <c r="I1242" s="15">
        <f t="shared" si="340"/>
        <v>0.6</v>
      </c>
      <c r="J1242" s="16">
        <f>VLOOKUP(G1242,Inputs!$L$3:$P$15,5,FALSE)</f>
        <v>2000</v>
      </c>
      <c r="K1242" s="16">
        <f t="shared" si="341"/>
        <v>1825</v>
      </c>
      <c r="L1242" s="79">
        <f>Inputs!$P$8-B1242</f>
        <v>199.74130000000002</v>
      </c>
      <c r="M1242" s="79">
        <f>Inputs!$Q$8+L1242*0.433</f>
        <v>1911.4879828999999</v>
      </c>
      <c r="N1242" s="82">
        <f t="shared" si="342"/>
        <v>211099.92</v>
      </c>
      <c r="O1242" s="83">
        <f t="shared" si="343"/>
        <v>738.44970000000001</v>
      </c>
      <c r="P1242" s="84">
        <f>IF(O1242="","",Inputs!$C$5-O1242)</f>
        <v>86.73479999999995</v>
      </c>
      <c r="Q1242" s="83">
        <f>IF(N1242="","",TS!J1242)</f>
        <v>2000</v>
      </c>
      <c r="R1242" s="83">
        <f>IF(N1242="","",TS!K1242)</f>
        <v>1825</v>
      </c>
      <c r="S1242" s="83">
        <f>Inputs!$H$5+TS!P1242*0.4333</f>
        <v>1912.54790529</v>
      </c>
      <c r="T1242" s="83">
        <f>Inputs!$G$5+TS!P1242*0.4333</f>
        <v>1927.54790529</v>
      </c>
      <c r="U1242" s="85">
        <f t="shared" si="344"/>
        <v>0.96377395264499999</v>
      </c>
      <c r="V1242" s="86">
        <f t="shared" si="332"/>
        <v>0</v>
      </c>
      <c r="W1242" s="86">
        <f t="shared" si="333"/>
        <v>0</v>
      </c>
      <c r="X1242" s="86" t="e">
        <f>((PI()*((42-2*'Gen Calcs'!$E$13)^2)/4)/144)*(A1285-#REF!)*(W1242+14.7)/14.7</f>
        <v>#REF!</v>
      </c>
      <c r="Y1242" s="86" t="e">
        <f t="shared" si="334"/>
        <v>#REF!</v>
      </c>
      <c r="Z1242" s="86" t="e">
        <f t="shared" si="335"/>
        <v>#REF!</v>
      </c>
      <c r="AA1242" s="83">
        <f>MAX(B$2:B1242)-B1242</f>
        <v>199.74130000000002</v>
      </c>
      <c r="AB1242" s="83">
        <f t="shared" si="336"/>
        <v>86.487982900000006</v>
      </c>
      <c r="AC1242" s="83">
        <f t="shared" si="338"/>
        <v>120</v>
      </c>
      <c r="AD1242" s="72">
        <v>120</v>
      </c>
      <c r="AE1242" s="73">
        <f t="shared" si="345"/>
        <v>907.92027688745009</v>
      </c>
      <c r="AF1242" s="73">
        <f>SUM(AE$2:AE1242)</f>
        <v>1044902.2441514749</v>
      </c>
      <c r="AG1242" s="73">
        <f t="shared" si="346"/>
        <v>128827.65827563428</v>
      </c>
    </row>
    <row r="1243" spans="1:33" x14ac:dyDescent="0.25">
      <c r="A1243" s="99">
        <v>211199.92</v>
      </c>
      <c r="B1243" s="96">
        <v>740.8451</v>
      </c>
      <c r="C1243" s="96">
        <v>0.6</v>
      </c>
      <c r="D1243" s="80">
        <f t="shared" si="331"/>
        <v>100</v>
      </c>
      <c r="E1243" s="81">
        <f t="shared" si="339"/>
        <v>6791.2436711181272</v>
      </c>
      <c r="F1243" s="81">
        <f>SUM(E$2:E1243)</f>
        <v>7817459.9284252692</v>
      </c>
      <c r="G1243" s="43">
        <f t="shared" si="337"/>
        <v>1</v>
      </c>
      <c r="H1243" s="78">
        <v>1</v>
      </c>
      <c r="I1243" s="15">
        <f t="shared" si="340"/>
        <v>0.6</v>
      </c>
      <c r="J1243" s="16">
        <f>VLOOKUP(G1243,Inputs!$L$3:$P$15,5,FALSE)</f>
        <v>2000</v>
      </c>
      <c r="K1243" s="16">
        <f t="shared" si="341"/>
        <v>1825</v>
      </c>
      <c r="L1243" s="79">
        <f>Inputs!$P$8-B1243</f>
        <v>197.34590000000003</v>
      </c>
      <c r="M1243" s="79">
        <f>Inputs!$Q$8+L1243*0.433</f>
        <v>1910.4507747</v>
      </c>
      <c r="N1243" s="82">
        <f t="shared" si="342"/>
        <v>211199.92</v>
      </c>
      <c r="O1243" s="83">
        <f t="shared" si="343"/>
        <v>740.8451</v>
      </c>
      <c r="P1243" s="84">
        <f>IF(O1243="","",Inputs!$C$5-O1243)</f>
        <v>84.339399999999955</v>
      </c>
      <c r="Q1243" s="83">
        <f>IF(N1243="","",TS!J1243)</f>
        <v>2000</v>
      </c>
      <c r="R1243" s="83">
        <f>IF(N1243="","",TS!K1243)</f>
        <v>1825</v>
      </c>
      <c r="S1243" s="83">
        <f>Inputs!$H$5+TS!P1243*0.4333</f>
        <v>1911.5099784699999</v>
      </c>
      <c r="T1243" s="83">
        <f>Inputs!$G$5+TS!P1243*0.4333</f>
        <v>1926.5099784699999</v>
      </c>
      <c r="U1243" s="85">
        <f t="shared" si="344"/>
        <v>0.96325498923499997</v>
      </c>
      <c r="V1243" s="86">
        <f t="shared" si="332"/>
        <v>0</v>
      </c>
      <c r="W1243" s="86">
        <f t="shared" si="333"/>
        <v>0</v>
      </c>
      <c r="X1243" s="86" t="e">
        <f>((PI()*((42-2*'Gen Calcs'!$E$13)^2)/4)/144)*(A1286-#REF!)*(W1243+14.7)/14.7</f>
        <v>#REF!</v>
      </c>
      <c r="Y1243" s="86" t="e">
        <f t="shared" si="334"/>
        <v>#REF!</v>
      </c>
      <c r="Z1243" s="86" t="e">
        <f t="shared" si="335"/>
        <v>#REF!</v>
      </c>
      <c r="AA1243" s="83">
        <f>MAX(B$2:B1243)-B1243</f>
        <v>197.34590000000003</v>
      </c>
      <c r="AB1243" s="83">
        <f t="shared" si="336"/>
        <v>85.450774700000011</v>
      </c>
      <c r="AC1243" s="83">
        <f t="shared" si="338"/>
        <v>120</v>
      </c>
      <c r="AD1243" s="72">
        <v>120</v>
      </c>
      <c r="AE1243" s="73">
        <f t="shared" si="345"/>
        <v>907.92027688745009</v>
      </c>
      <c r="AF1243" s="73">
        <f>SUM(AE$2:AE1243)</f>
        <v>1045810.1644283624</v>
      </c>
      <c r="AG1243" s="73">
        <f t="shared" si="346"/>
        <v>127919.7379987468</v>
      </c>
    </row>
    <row r="1244" spans="1:33" x14ac:dyDescent="0.25">
      <c r="A1244" s="100">
        <v>211299.92</v>
      </c>
      <c r="B1244" s="97">
        <v>742.62400000000002</v>
      </c>
      <c r="C1244" s="97">
        <v>0.6</v>
      </c>
      <c r="D1244" s="80">
        <f t="shared" si="331"/>
        <v>100</v>
      </c>
      <c r="E1244" s="81">
        <f t="shared" si="339"/>
        <v>6791.2436711181272</v>
      </c>
      <c r="F1244" s="81">
        <f>SUM(E$2:E1244)</f>
        <v>7824251.1720963875</v>
      </c>
      <c r="G1244" s="43">
        <f t="shared" si="337"/>
        <v>1</v>
      </c>
      <c r="H1244" s="78">
        <v>1</v>
      </c>
      <c r="I1244" s="15">
        <f t="shared" si="340"/>
        <v>0.6</v>
      </c>
      <c r="J1244" s="16">
        <f>VLOOKUP(G1244,Inputs!$L$3:$P$15,5,FALSE)</f>
        <v>2000</v>
      </c>
      <c r="K1244" s="16">
        <f t="shared" si="341"/>
        <v>1825</v>
      </c>
      <c r="L1244" s="79">
        <f>Inputs!$P$8-B1244</f>
        <v>195.56700000000001</v>
      </c>
      <c r="M1244" s="79">
        <f>Inputs!$Q$8+L1244*0.433</f>
        <v>1909.680511</v>
      </c>
      <c r="N1244" s="82">
        <f t="shared" si="342"/>
        <v>211299.92</v>
      </c>
      <c r="O1244" s="83">
        <f t="shared" si="343"/>
        <v>742.62400000000002</v>
      </c>
      <c r="P1244" s="84">
        <f>IF(O1244="","",Inputs!$C$5-O1244)</f>
        <v>82.560499999999934</v>
      </c>
      <c r="Q1244" s="83">
        <f>IF(N1244="","",TS!J1244)</f>
        <v>2000</v>
      </c>
      <c r="R1244" s="83">
        <f>IF(N1244="","",TS!K1244)</f>
        <v>1825</v>
      </c>
      <c r="S1244" s="83">
        <f>Inputs!$H$5+TS!P1244*0.4333</f>
        <v>1910.7391811</v>
      </c>
      <c r="T1244" s="83">
        <f>Inputs!$G$5+TS!P1244*0.4333</f>
        <v>1925.7391811</v>
      </c>
      <c r="U1244" s="85">
        <f t="shared" si="344"/>
        <v>0.96286959054999999</v>
      </c>
      <c r="V1244" s="86">
        <f t="shared" ref="V1244:V1307" si="347">O1244-MAX(O1244:O1244)</f>
        <v>0</v>
      </c>
      <c r="W1244" s="86">
        <f t="shared" ref="W1244:W1307" si="348">-(V1244)*0.433</f>
        <v>0</v>
      </c>
      <c r="X1244" s="86" t="e">
        <f>((PI()*((42-2*'Gen Calcs'!$E$13)^2)/4)/144)*(A1287-#REF!)*(W1244+14.7)/14.7</f>
        <v>#REF!</v>
      </c>
      <c r="Y1244" s="86" t="e">
        <f t="shared" ref="Y1244:Y1307" si="349">X1244/1000</f>
        <v>#REF!</v>
      </c>
      <c r="Z1244" s="86" t="e">
        <f t="shared" ref="Z1244:Z1307" si="350">IF(Y1244&gt;Z1243,Y1244,Z1243)</f>
        <v>#REF!</v>
      </c>
      <c r="AA1244" s="83">
        <f>MAX(B$2:B1244)-B1244</f>
        <v>195.56700000000001</v>
      </c>
      <c r="AB1244" s="83">
        <f t="shared" ref="AB1244:AB1307" si="351">AA1244*0.433</f>
        <v>84.680510999999996</v>
      </c>
      <c r="AC1244" s="83">
        <f t="shared" si="338"/>
        <v>120</v>
      </c>
      <c r="AD1244" s="72">
        <v>120</v>
      </c>
      <c r="AE1244" s="73">
        <f t="shared" si="345"/>
        <v>907.92027688745009</v>
      </c>
      <c r="AF1244" s="73">
        <f>SUM(AE$2:AE1244)</f>
        <v>1046718.0847052499</v>
      </c>
      <c r="AG1244" s="73">
        <f t="shared" si="346"/>
        <v>127011.81772185932</v>
      </c>
    </row>
    <row r="1245" spans="1:33" x14ac:dyDescent="0.25">
      <c r="A1245" s="99">
        <v>211399.92</v>
      </c>
      <c r="B1245" s="96">
        <v>743.15740000000005</v>
      </c>
      <c r="C1245" s="96">
        <v>0.6</v>
      </c>
      <c r="D1245" s="80">
        <f t="shared" si="331"/>
        <v>100</v>
      </c>
      <c r="E1245" s="81">
        <f t="shared" si="339"/>
        <v>6791.2436711181272</v>
      </c>
      <c r="F1245" s="81">
        <f>SUM(E$2:E1245)</f>
        <v>7831042.4157675058</v>
      </c>
      <c r="G1245" s="43">
        <f t="shared" si="337"/>
        <v>1</v>
      </c>
      <c r="H1245" s="78">
        <v>1</v>
      </c>
      <c r="I1245" s="15">
        <f t="shared" si="340"/>
        <v>0.6</v>
      </c>
      <c r="J1245" s="16">
        <f>VLOOKUP(G1245,Inputs!$L$3:$P$15,5,FALSE)</f>
        <v>2000</v>
      </c>
      <c r="K1245" s="16">
        <f t="shared" si="341"/>
        <v>1825</v>
      </c>
      <c r="L1245" s="79">
        <f>Inputs!$P$8-B1245</f>
        <v>195.03359999999998</v>
      </c>
      <c r="M1245" s="79">
        <f>Inputs!$Q$8+L1245*0.433</f>
        <v>1909.4495488</v>
      </c>
      <c r="N1245" s="82">
        <f t="shared" si="342"/>
        <v>211399.92</v>
      </c>
      <c r="O1245" s="83">
        <f t="shared" si="343"/>
        <v>743.15740000000005</v>
      </c>
      <c r="P1245" s="84">
        <f>IF(O1245="","",Inputs!$C$5-O1245)</f>
        <v>82.027099999999905</v>
      </c>
      <c r="Q1245" s="83">
        <f>IF(N1245="","",TS!J1245)</f>
        <v>2000</v>
      </c>
      <c r="R1245" s="83">
        <f>IF(N1245="","",TS!K1245)</f>
        <v>1825</v>
      </c>
      <c r="S1245" s="83">
        <f>Inputs!$H$5+TS!P1245*0.4333</f>
        <v>1910.5080588799999</v>
      </c>
      <c r="T1245" s="83">
        <f>Inputs!$G$5+TS!P1245*0.4333</f>
        <v>1925.5080588799999</v>
      </c>
      <c r="U1245" s="85">
        <f t="shared" si="344"/>
        <v>0.96275402943999999</v>
      </c>
      <c r="V1245" s="86">
        <f t="shared" si="347"/>
        <v>0</v>
      </c>
      <c r="W1245" s="86">
        <f t="shared" si="348"/>
        <v>0</v>
      </c>
      <c r="X1245" s="86" t="e">
        <f>((PI()*((42-2*'Gen Calcs'!$E$13)^2)/4)/144)*(A1288-#REF!)*(W1245+14.7)/14.7</f>
        <v>#REF!</v>
      </c>
      <c r="Y1245" s="86" t="e">
        <f t="shared" si="349"/>
        <v>#REF!</v>
      </c>
      <c r="Z1245" s="86" t="e">
        <f t="shared" si="350"/>
        <v>#REF!</v>
      </c>
      <c r="AA1245" s="83">
        <f>MAX(B$2:B1245)-B1245</f>
        <v>195.03359999999998</v>
      </c>
      <c r="AB1245" s="83">
        <f t="shared" si="351"/>
        <v>84.449548799999988</v>
      </c>
      <c r="AC1245" s="83">
        <f t="shared" si="338"/>
        <v>120</v>
      </c>
      <c r="AD1245" s="72">
        <v>120</v>
      </c>
      <c r="AE1245" s="73">
        <f t="shared" si="345"/>
        <v>907.92027688745009</v>
      </c>
      <c r="AF1245" s="73">
        <f>SUM(AE$2:AE1245)</f>
        <v>1047626.0049821374</v>
      </c>
      <c r="AG1245" s="73">
        <f t="shared" si="346"/>
        <v>126103.89744497184</v>
      </c>
    </row>
    <row r="1246" spans="1:33" x14ac:dyDescent="0.25">
      <c r="A1246" s="100">
        <v>211499.92</v>
      </c>
      <c r="B1246" s="97">
        <v>741.43560000000002</v>
      </c>
      <c r="C1246" s="97">
        <v>0.6</v>
      </c>
      <c r="D1246" s="80">
        <f t="shared" si="331"/>
        <v>100</v>
      </c>
      <c r="E1246" s="81">
        <f t="shared" si="339"/>
        <v>6791.2436711181272</v>
      </c>
      <c r="F1246" s="81">
        <f>SUM(E$2:E1246)</f>
        <v>7837833.659438624</v>
      </c>
      <c r="G1246" s="43">
        <f t="shared" si="337"/>
        <v>1</v>
      </c>
      <c r="H1246" s="78">
        <v>1</v>
      </c>
      <c r="I1246" s="15">
        <f t="shared" si="340"/>
        <v>0.6</v>
      </c>
      <c r="J1246" s="16">
        <f>VLOOKUP(G1246,Inputs!$L$3:$P$15,5,FALSE)</f>
        <v>2000</v>
      </c>
      <c r="K1246" s="16">
        <f t="shared" si="341"/>
        <v>1825</v>
      </c>
      <c r="L1246" s="79">
        <f>Inputs!$P$8-B1246</f>
        <v>196.75540000000001</v>
      </c>
      <c r="M1246" s="79">
        <f>Inputs!$Q$8+L1246*0.433</f>
        <v>1910.1950882000001</v>
      </c>
      <c r="N1246" s="82">
        <f t="shared" si="342"/>
        <v>211499.92</v>
      </c>
      <c r="O1246" s="83">
        <f t="shared" si="343"/>
        <v>741.43560000000002</v>
      </c>
      <c r="P1246" s="84">
        <f>IF(O1246="","",Inputs!$C$5-O1246)</f>
        <v>83.748899999999935</v>
      </c>
      <c r="Q1246" s="83">
        <f>IF(N1246="","",TS!J1246)</f>
        <v>2000</v>
      </c>
      <c r="R1246" s="83">
        <f>IF(N1246="","",TS!K1246)</f>
        <v>1825</v>
      </c>
      <c r="S1246" s="83">
        <f>Inputs!$H$5+TS!P1246*0.4333</f>
        <v>1911.2541148199998</v>
      </c>
      <c r="T1246" s="83">
        <f>Inputs!$G$5+TS!P1246*0.4333</f>
        <v>1926.2541148199998</v>
      </c>
      <c r="U1246" s="85">
        <f t="shared" si="344"/>
        <v>0.96312705740999993</v>
      </c>
      <c r="V1246" s="86">
        <f t="shared" si="347"/>
        <v>0</v>
      </c>
      <c r="W1246" s="86">
        <f t="shared" si="348"/>
        <v>0</v>
      </c>
      <c r="X1246" s="86" t="e">
        <f>((PI()*((42-2*'Gen Calcs'!$E$13)^2)/4)/144)*(A1289-#REF!)*(W1246+14.7)/14.7</f>
        <v>#REF!</v>
      </c>
      <c r="Y1246" s="86" t="e">
        <f t="shared" si="349"/>
        <v>#REF!</v>
      </c>
      <c r="Z1246" s="86" t="e">
        <f t="shared" si="350"/>
        <v>#REF!</v>
      </c>
      <c r="AA1246" s="83">
        <f>MAX(B$2:B1246)-B1246</f>
        <v>196.75540000000001</v>
      </c>
      <c r="AB1246" s="83">
        <f t="shared" si="351"/>
        <v>85.195088200000001</v>
      </c>
      <c r="AC1246" s="83">
        <f t="shared" si="338"/>
        <v>120</v>
      </c>
      <c r="AD1246" s="72">
        <v>120</v>
      </c>
      <c r="AE1246" s="73">
        <f t="shared" si="345"/>
        <v>907.92027688745009</v>
      </c>
      <c r="AF1246" s="73">
        <f>SUM(AE$2:AE1246)</f>
        <v>1048533.9252590248</v>
      </c>
      <c r="AG1246" s="73">
        <f t="shared" si="346"/>
        <v>125195.97716808436</v>
      </c>
    </row>
    <row r="1247" spans="1:33" x14ac:dyDescent="0.25">
      <c r="A1247" s="99">
        <v>211599.92</v>
      </c>
      <c r="B1247" s="96">
        <v>739.25</v>
      </c>
      <c r="C1247" s="96">
        <v>0.6</v>
      </c>
      <c r="D1247" s="80">
        <f t="shared" si="331"/>
        <v>100</v>
      </c>
      <c r="E1247" s="81">
        <f t="shared" si="339"/>
        <v>6791.2436711181272</v>
      </c>
      <c r="F1247" s="81">
        <f>SUM(E$2:E1247)</f>
        <v>7844624.9031097423</v>
      </c>
      <c r="G1247" s="43">
        <f t="shared" si="337"/>
        <v>1</v>
      </c>
      <c r="H1247" s="78">
        <v>1</v>
      </c>
      <c r="I1247" s="15">
        <f t="shared" si="340"/>
        <v>0.6</v>
      </c>
      <c r="J1247" s="16">
        <f>VLOOKUP(G1247,Inputs!$L$3:$P$15,5,FALSE)</f>
        <v>2000</v>
      </c>
      <c r="K1247" s="16">
        <f t="shared" si="341"/>
        <v>1825</v>
      </c>
      <c r="L1247" s="79">
        <f>Inputs!$P$8-B1247</f>
        <v>198.94100000000003</v>
      </c>
      <c r="M1247" s="79">
        <f>Inputs!$Q$8+L1247*0.433</f>
        <v>1911.141453</v>
      </c>
      <c r="N1247" s="82">
        <f t="shared" si="342"/>
        <v>211599.92</v>
      </c>
      <c r="O1247" s="83">
        <f t="shared" si="343"/>
        <v>739.25</v>
      </c>
      <c r="P1247" s="84">
        <f>IF(O1247="","",Inputs!$C$5-O1247)</f>
        <v>85.934499999999957</v>
      </c>
      <c r="Q1247" s="83">
        <f>IF(N1247="","",TS!J1247)</f>
        <v>2000</v>
      </c>
      <c r="R1247" s="83">
        <f>IF(N1247="","",TS!K1247)</f>
        <v>1825</v>
      </c>
      <c r="S1247" s="83">
        <f>Inputs!$H$5+TS!P1247*0.4333</f>
        <v>1912.2011353</v>
      </c>
      <c r="T1247" s="83">
        <f>Inputs!$G$5+TS!P1247*0.4333</f>
        <v>1927.2011353</v>
      </c>
      <c r="U1247" s="85">
        <f t="shared" si="344"/>
        <v>0.96360056765000002</v>
      </c>
      <c r="V1247" s="86">
        <f t="shared" si="347"/>
        <v>0</v>
      </c>
      <c r="W1247" s="86">
        <f t="shared" si="348"/>
        <v>0</v>
      </c>
      <c r="X1247" s="86" t="e">
        <f>((PI()*((42-2*'Gen Calcs'!$E$13)^2)/4)/144)*(A1290-#REF!)*(W1247+14.7)/14.7</f>
        <v>#REF!</v>
      </c>
      <c r="Y1247" s="86" t="e">
        <f t="shared" si="349"/>
        <v>#REF!</v>
      </c>
      <c r="Z1247" s="86" t="e">
        <f t="shared" si="350"/>
        <v>#REF!</v>
      </c>
      <c r="AA1247" s="83">
        <f>MAX(B$2:B1247)-B1247</f>
        <v>198.94100000000003</v>
      </c>
      <c r="AB1247" s="83">
        <f t="shared" si="351"/>
        <v>86.141453000000013</v>
      </c>
      <c r="AC1247" s="83">
        <f t="shared" si="338"/>
        <v>120</v>
      </c>
      <c r="AD1247" s="72">
        <v>120</v>
      </c>
      <c r="AE1247" s="73">
        <f t="shared" si="345"/>
        <v>907.92027688745009</v>
      </c>
      <c r="AF1247" s="73">
        <f>SUM(AE$2:AE1247)</f>
        <v>1049441.8455359123</v>
      </c>
      <c r="AG1247" s="73">
        <f t="shared" si="346"/>
        <v>124288.05689119687</v>
      </c>
    </row>
    <row r="1248" spans="1:33" x14ac:dyDescent="0.25">
      <c r="A1248" s="100">
        <v>211699.92</v>
      </c>
      <c r="B1248" s="97">
        <v>734.4434</v>
      </c>
      <c r="C1248" s="97">
        <v>0.6</v>
      </c>
      <c r="D1248" s="80">
        <f t="shared" si="331"/>
        <v>100</v>
      </c>
      <c r="E1248" s="81">
        <f t="shared" si="339"/>
        <v>6791.2436711181272</v>
      </c>
      <c r="F1248" s="81">
        <f>SUM(E$2:E1248)</f>
        <v>7851416.1467808606</v>
      </c>
      <c r="G1248" s="43">
        <f t="shared" si="337"/>
        <v>1</v>
      </c>
      <c r="H1248" s="78">
        <v>1</v>
      </c>
      <c r="I1248" s="15">
        <f t="shared" si="340"/>
        <v>0.6</v>
      </c>
      <c r="J1248" s="16">
        <f>VLOOKUP(G1248,Inputs!$L$3:$P$15,5,FALSE)</f>
        <v>2000</v>
      </c>
      <c r="K1248" s="16">
        <f t="shared" si="341"/>
        <v>1825</v>
      </c>
      <c r="L1248" s="79">
        <f>Inputs!$P$8-B1248</f>
        <v>203.74760000000003</v>
      </c>
      <c r="M1248" s="79">
        <f>Inputs!$Q$8+L1248*0.433</f>
        <v>1913.2227108</v>
      </c>
      <c r="N1248" s="82">
        <f t="shared" si="342"/>
        <v>211699.92</v>
      </c>
      <c r="O1248" s="83">
        <f t="shared" si="343"/>
        <v>734.4434</v>
      </c>
      <c r="P1248" s="84">
        <f>IF(O1248="","",Inputs!$C$5-O1248)</f>
        <v>90.74109999999996</v>
      </c>
      <c r="Q1248" s="83">
        <f>IF(N1248="","",TS!J1248)</f>
        <v>2000</v>
      </c>
      <c r="R1248" s="83">
        <f>IF(N1248="","",TS!K1248)</f>
        <v>1825</v>
      </c>
      <c r="S1248" s="83">
        <f>Inputs!$H$5+TS!P1248*0.4333</f>
        <v>1914.28383508</v>
      </c>
      <c r="T1248" s="83">
        <f>Inputs!$G$5+TS!P1248*0.4333</f>
        <v>1929.28383508</v>
      </c>
      <c r="U1248" s="85">
        <f t="shared" si="344"/>
        <v>0.96464191754000006</v>
      </c>
      <c r="V1248" s="86">
        <f t="shared" si="347"/>
        <v>0</v>
      </c>
      <c r="W1248" s="86">
        <f t="shared" si="348"/>
        <v>0</v>
      </c>
      <c r="X1248" s="86" t="e">
        <f>((PI()*((42-2*'Gen Calcs'!$E$13)^2)/4)/144)*(A1291-#REF!)*(W1248+14.7)/14.7</f>
        <v>#REF!</v>
      </c>
      <c r="Y1248" s="86" t="e">
        <f t="shared" si="349"/>
        <v>#REF!</v>
      </c>
      <c r="Z1248" s="86" t="e">
        <f t="shared" si="350"/>
        <v>#REF!</v>
      </c>
      <c r="AA1248" s="83">
        <f>MAX(B$2:B1248)-B1248</f>
        <v>203.74760000000003</v>
      </c>
      <c r="AB1248" s="83">
        <f t="shared" si="351"/>
        <v>88.222710800000016</v>
      </c>
      <c r="AC1248" s="83">
        <f t="shared" si="338"/>
        <v>120</v>
      </c>
      <c r="AD1248" s="72">
        <v>120</v>
      </c>
      <c r="AE1248" s="73">
        <f t="shared" si="345"/>
        <v>907.92027688745009</v>
      </c>
      <c r="AF1248" s="73">
        <f>SUM(AE$2:AE1248)</f>
        <v>1050349.7658127998</v>
      </c>
      <c r="AG1248" s="73">
        <f t="shared" si="346"/>
        <v>123380.13661430939</v>
      </c>
    </row>
    <row r="1249" spans="1:33" x14ac:dyDescent="0.25">
      <c r="A1249" s="99">
        <v>211799.92</v>
      </c>
      <c r="B1249" s="96">
        <v>730.17470000000003</v>
      </c>
      <c r="C1249" s="96">
        <v>0.6</v>
      </c>
      <c r="D1249" s="80">
        <f t="shared" ref="D1249:D1286" si="352">A1249-A1248</f>
        <v>100</v>
      </c>
      <c r="E1249" s="81">
        <f t="shared" si="339"/>
        <v>6616.6076625842816</v>
      </c>
      <c r="F1249" s="81">
        <f>SUM(E$2:E1249)</f>
        <v>7858032.7544434452</v>
      </c>
      <c r="G1249" s="43">
        <f t="shared" si="337"/>
        <v>1</v>
      </c>
      <c r="H1249" s="78">
        <v>1</v>
      </c>
      <c r="I1249" s="15">
        <f t="shared" si="340"/>
        <v>0.6</v>
      </c>
      <c r="J1249" s="16">
        <f>VLOOKUP(G1249,Inputs!$L$3:$P$15,5,FALSE)</f>
        <v>2000</v>
      </c>
      <c r="K1249" s="16">
        <f t="shared" si="341"/>
        <v>1825</v>
      </c>
      <c r="L1249" s="79">
        <f>Inputs!$P$8-B1249</f>
        <v>208.0163</v>
      </c>
      <c r="M1249" s="79">
        <f>Inputs!$Q$8+L1249*0.433</f>
        <v>1915.0710578999999</v>
      </c>
      <c r="N1249" s="82">
        <f t="shared" si="342"/>
        <v>211799.92</v>
      </c>
      <c r="O1249" s="83">
        <f t="shared" si="343"/>
        <v>730.17470000000003</v>
      </c>
      <c r="P1249" s="84">
        <f>IF(O1249="","",Inputs!$C$5-O1249)</f>
        <v>95.009799999999927</v>
      </c>
      <c r="Q1249" s="83">
        <f>IF(N1249="","",TS!J1249)</f>
        <v>2000</v>
      </c>
      <c r="R1249" s="83">
        <f>IF(N1249="","",TS!K1249)</f>
        <v>1825</v>
      </c>
      <c r="S1249" s="83">
        <f>Inputs!$H$5+TS!P1249*0.4333</f>
        <v>1916.1334627899998</v>
      </c>
      <c r="T1249" s="83">
        <f>Inputs!$G$5+TS!P1249*0.4333</f>
        <v>1931.1334627899998</v>
      </c>
      <c r="U1249" s="85">
        <f t="shared" si="344"/>
        <v>0.96556673139499993</v>
      </c>
      <c r="V1249" s="86">
        <f t="shared" si="347"/>
        <v>0</v>
      </c>
      <c r="W1249" s="86">
        <f t="shared" si="348"/>
        <v>0</v>
      </c>
      <c r="X1249" s="86" t="e">
        <f>((PI()*((42-2*'Gen Calcs'!$E$13)^2)/4)/144)*(A1292-#REF!)*(W1249+14.7)/14.7</f>
        <v>#REF!</v>
      </c>
      <c r="Y1249" s="86" t="e">
        <f t="shared" si="349"/>
        <v>#REF!</v>
      </c>
      <c r="Z1249" s="86" t="e">
        <f t="shared" si="350"/>
        <v>#REF!</v>
      </c>
      <c r="AA1249" s="83">
        <f>MAX(B$2:B1249)-B1249</f>
        <v>208.0163</v>
      </c>
      <c r="AB1249" s="83">
        <f t="shared" si="351"/>
        <v>90.0710579</v>
      </c>
      <c r="AC1249" s="83">
        <f t="shared" si="338"/>
        <v>120</v>
      </c>
      <c r="AD1249" s="72">
        <v>120</v>
      </c>
      <c r="AE1249" s="73">
        <f t="shared" si="345"/>
        <v>907.92027688745009</v>
      </c>
      <c r="AF1249" s="73">
        <f>SUM(AE$2:AE1249)</f>
        <v>1051257.6860896873</v>
      </c>
      <c r="AG1249" s="73">
        <f t="shared" si="346"/>
        <v>122472.21633742191</v>
      </c>
    </row>
    <row r="1250" spans="1:33" x14ac:dyDescent="0.25">
      <c r="A1250" s="100">
        <v>211899.92</v>
      </c>
      <c r="B1250" s="97">
        <v>726.04880000000003</v>
      </c>
      <c r="C1250" s="97">
        <v>0.6</v>
      </c>
      <c r="D1250" s="80">
        <f t="shared" si="352"/>
        <v>100</v>
      </c>
      <c r="E1250" s="81">
        <f t="shared" si="339"/>
        <v>6791.2436711181272</v>
      </c>
      <c r="F1250" s="81">
        <f>SUM(E$2:E1250)</f>
        <v>7864823.9981145635</v>
      </c>
      <c r="G1250" s="43">
        <f t="shared" si="337"/>
        <v>1</v>
      </c>
      <c r="H1250" s="78">
        <v>1</v>
      </c>
      <c r="I1250" s="15">
        <f t="shared" si="340"/>
        <v>0.6</v>
      </c>
      <c r="J1250" s="16">
        <f>VLOOKUP(G1250,Inputs!$L$3:$P$15,5,FALSE)</f>
        <v>2000</v>
      </c>
      <c r="K1250" s="16">
        <f t="shared" si="341"/>
        <v>1825</v>
      </c>
      <c r="L1250" s="79">
        <f>Inputs!$P$8-B1250</f>
        <v>212.1422</v>
      </c>
      <c r="M1250" s="79">
        <f>Inputs!$Q$8+L1250*0.433</f>
        <v>1916.8575725999999</v>
      </c>
      <c r="N1250" s="82">
        <f t="shared" si="342"/>
        <v>211899.92</v>
      </c>
      <c r="O1250" s="83">
        <f t="shared" si="343"/>
        <v>726.04880000000003</v>
      </c>
      <c r="P1250" s="84">
        <f>IF(O1250="","",Inputs!$C$5-O1250)</f>
        <v>99.135699999999929</v>
      </c>
      <c r="Q1250" s="83">
        <f>IF(N1250="","",TS!J1250)</f>
        <v>2000</v>
      </c>
      <c r="R1250" s="83">
        <f>IF(N1250="","",TS!K1250)</f>
        <v>1825</v>
      </c>
      <c r="S1250" s="83">
        <f>Inputs!$H$5+TS!P1250*0.4333</f>
        <v>1917.9212152599998</v>
      </c>
      <c r="T1250" s="83">
        <f>Inputs!$G$5+TS!P1250*0.4333</f>
        <v>1932.9212152599998</v>
      </c>
      <c r="U1250" s="85">
        <f t="shared" si="344"/>
        <v>0.96646060762999997</v>
      </c>
      <c r="V1250" s="86">
        <f t="shared" si="347"/>
        <v>0</v>
      </c>
      <c r="W1250" s="86">
        <f t="shared" si="348"/>
        <v>0</v>
      </c>
      <c r="X1250" s="86" t="e">
        <f>((PI()*((42-2*'Gen Calcs'!$E$13)^2)/4)/144)*(A1293-#REF!)*(W1250+14.7)/14.7</f>
        <v>#REF!</v>
      </c>
      <c r="Y1250" s="86" t="e">
        <f t="shared" si="349"/>
        <v>#REF!</v>
      </c>
      <c r="Z1250" s="86" t="e">
        <f t="shared" si="350"/>
        <v>#REF!</v>
      </c>
      <c r="AA1250" s="83">
        <f>MAX(B$2:B1250)-B1250</f>
        <v>212.1422</v>
      </c>
      <c r="AB1250" s="83">
        <f t="shared" si="351"/>
        <v>91.857572599999997</v>
      </c>
      <c r="AC1250" s="83">
        <f t="shared" si="338"/>
        <v>120</v>
      </c>
      <c r="AD1250" s="72">
        <v>120</v>
      </c>
      <c r="AE1250" s="73">
        <f t="shared" si="345"/>
        <v>907.92027688745009</v>
      </c>
      <c r="AF1250" s="73">
        <f>SUM(AE$2:AE1250)</f>
        <v>1052165.6063665748</v>
      </c>
      <c r="AG1250" s="73">
        <f t="shared" si="346"/>
        <v>121564.29606053443</v>
      </c>
    </row>
    <row r="1251" spans="1:33" x14ac:dyDescent="0.25">
      <c r="A1251" s="99">
        <v>211999.92</v>
      </c>
      <c r="B1251" s="96">
        <v>722.34540000000004</v>
      </c>
      <c r="C1251" s="96">
        <v>0.6</v>
      </c>
      <c r="D1251" s="80">
        <f t="shared" si="352"/>
        <v>100</v>
      </c>
      <c r="E1251" s="81">
        <f t="shared" si="339"/>
        <v>6791.2436711181272</v>
      </c>
      <c r="F1251" s="81">
        <f>SUM(E$2:E1251)</f>
        <v>7871615.2417856818</v>
      </c>
      <c r="G1251" s="43">
        <f t="shared" si="337"/>
        <v>1</v>
      </c>
      <c r="H1251" s="78">
        <v>1</v>
      </c>
      <c r="I1251" s="15">
        <f t="shared" si="340"/>
        <v>0.6</v>
      </c>
      <c r="J1251" s="16">
        <f>VLOOKUP(G1251,Inputs!$L$3:$P$15,5,FALSE)</f>
        <v>2000</v>
      </c>
      <c r="K1251" s="16">
        <f t="shared" si="341"/>
        <v>1825</v>
      </c>
      <c r="L1251" s="79">
        <f>Inputs!$P$8-B1251</f>
        <v>215.84559999999999</v>
      </c>
      <c r="M1251" s="79">
        <f>Inputs!$Q$8+L1251*0.433</f>
        <v>1918.4611448000001</v>
      </c>
      <c r="N1251" s="82">
        <f t="shared" si="342"/>
        <v>211999.92</v>
      </c>
      <c r="O1251" s="83">
        <f t="shared" si="343"/>
        <v>722.34540000000004</v>
      </c>
      <c r="P1251" s="84">
        <f>IF(O1251="","",Inputs!$C$5-O1251)</f>
        <v>102.83909999999992</v>
      </c>
      <c r="Q1251" s="83">
        <f>IF(N1251="","",TS!J1251)</f>
        <v>2000</v>
      </c>
      <c r="R1251" s="83">
        <f>IF(N1251="","",TS!K1251)</f>
        <v>1825</v>
      </c>
      <c r="S1251" s="83">
        <f>Inputs!$H$5+TS!P1251*0.4333</f>
        <v>1919.5258984799998</v>
      </c>
      <c r="T1251" s="83">
        <f>Inputs!$G$5+TS!P1251*0.4333</f>
        <v>1934.5258984799998</v>
      </c>
      <c r="U1251" s="85">
        <f t="shared" si="344"/>
        <v>0.96726294923999989</v>
      </c>
      <c r="V1251" s="86">
        <f t="shared" si="347"/>
        <v>0</v>
      </c>
      <c r="W1251" s="86">
        <f t="shared" si="348"/>
        <v>0</v>
      </c>
      <c r="X1251" s="86" t="e">
        <f>((PI()*((42-2*'Gen Calcs'!$E$13)^2)/4)/144)*(A1294-#REF!)*(W1251+14.7)/14.7</f>
        <v>#REF!</v>
      </c>
      <c r="Y1251" s="86" t="e">
        <f t="shared" si="349"/>
        <v>#REF!</v>
      </c>
      <c r="Z1251" s="86" t="e">
        <f t="shared" si="350"/>
        <v>#REF!</v>
      </c>
      <c r="AA1251" s="83">
        <f>MAX(B$2:B1251)-B1251</f>
        <v>215.84559999999999</v>
      </c>
      <c r="AB1251" s="83">
        <f t="shared" si="351"/>
        <v>93.4611448</v>
      </c>
      <c r="AC1251" s="83">
        <f t="shared" si="338"/>
        <v>120</v>
      </c>
      <c r="AD1251" s="72">
        <v>120</v>
      </c>
      <c r="AE1251" s="73">
        <f t="shared" si="345"/>
        <v>907.92027688745009</v>
      </c>
      <c r="AF1251" s="73">
        <f>SUM(AE$2:AE1251)</f>
        <v>1053073.5266434622</v>
      </c>
      <c r="AG1251" s="73">
        <f t="shared" si="346"/>
        <v>120656.37578364694</v>
      </c>
    </row>
    <row r="1252" spans="1:33" x14ac:dyDescent="0.25">
      <c r="A1252" s="100">
        <v>212099.92</v>
      </c>
      <c r="B1252" s="97">
        <v>718.37469999999996</v>
      </c>
      <c r="C1252" s="97">
        <v>0.6</v>
      </c>
      <c r="D1252" s="80">
        <f t="shared" si="352"/>
        <v>100</v>
      </c>
      <c r="E1252" s="81">
        <f t="shared" si="339"/>
        <v>6616.6076625842816</v>
      </c>
      <c r="F1252" s="81">
        <f>SUM(E$2:E1252)</f>
        <v>7878231.8494482664</v>
      </c>
      <c r="G1252" s="43">
        <f t="shared" si="337"/>
        <v>1</v>
      </c>
      <c r="H1252" s="78">
        <v>1</v>
      </c>
      <c r="I1252" s="15">
        <f t="shared" si="340"/>
        <v>0.6</v>
      </c>
      <c r="J1252" s="16">
        <f>VLOOKUP(G1252,Inputs!$L$3:$P$15,5,FALSE)</f>
        <v>2000</v>
      </c>
      <c r="K1252" s="16">
        <f t="shared" si="341"/>
        <v>1825</v>
      </c>
      <c r="L1252" s="79">
        <f>Inputs!$P$8-B1252</f>
        <v>219.81630000000007</v>
      </c>
      <c r="M1252" s="79">
        <f>Inputs!$Q$8+L1252*0.433</f>
        <v>1920.1804579</v>
      </c>
      <c r="N1252" s="82">
        <f t="shared" si="342"/>
        <v>212099.92</v>
      </c>
      <c r="O1252" s="83">
        <f t="shared" si="343"/>
        <v>718.37469999999996</v>
      </c>
      <c r="P1252" s="84">
        <f>IF(O1252="","",Inputs!$C$5-O1252)</f>
        <v>106.8098</v>
      </c>
      <c r="Q1252" s="83">
        <f>IF(N1252="","",TS!J1252)</f>
        <v>2000</v>
      </c>
      <c r="R1252" s="83">
        <f>IF(N1252="","",TS!K1252)</f>
        <v>1825</v>
      </c>
      <c r="S1252" s="83">
        <f>Inputs!$H$5+TS!P1252*0.4333</f>
        <v>1921.24640279</v>
      </c>
      <c r="T1252" s="83">
        <f>Inputs!$G$5+TS!P1252*0.4333</f>
        <v>1936.24640279</v>
      </c>
      <c r="U1252" s="85">
        <f t="shared" si="344"/>
        <v>0.96812320139500008</v>
      </c>
      <c r="V1252" s="86">
        <f t="shared" si="347"/>
        <v>0</v>
      </c>
      <c r="W1252" s="86">
        <f t="shared" si="348"/>
        <v>0</v>
      </c>
      <c r="X1252" s="86" t="e">
        <f>((PI()*((42-2*'Gen Calcs'!$E$13)^2)/4)/144)*(A1295-#REF!)*(W1252+14.7)/14.7</f>
        <v>#REF!</v>
      </c>
      <c r="Y1252" s="86" t="e">
        <f t="shared" si="349"/>
        <v>#REF!</v>
      </c>
      <c r="Z1252" s="86" t="e">
        <f t="shared" si="350"/>
        <v>#REF!</v>
      </c>
      <c r="AA1252" s="83">
        <f>MAX(B$2:B1252)-B1252</f>
        <v>219.81630000000007</v>
      </c>
      <c r="AB1252" s="83">
        <f t="shared" si="351"/>
        <v>95.180457900000036</v>
      </c>
      <c r="AC1252" s="83">
        <f t="shared" si="338"/>
        <v>120</v>
      </c>
      <c r="AD1252" s="72">
        <v>120</v>
      </c>
      <c r="AE1252" s="73">
        <f t="shared" si="345"/>
        <v>907.92027688745009</v>
      </c>
      <c r="AF1252" s="73">
        <f>SUM(AE$2:AE1252)</f>
        <v>1053981.4469203497</v>
      </c>
      <c r="AG1252" s="73">
        <f t="shared" si="346"/>
        <v>119748.45550675946</v>
      </c>
    </row>
    <row r="1253" spans="1:33" x14ac:dyDescent="0.25">
      <c r="A1253" s="99">
        <v>212199.92</v>
      </c>
      <c r="B1253" s="96">
        <v>714.35490000000004</v>
      </c>
      <c r="C1253" s="96">
        <v>0.6</v>
      </c>
      <c r="D1253" s="80">
        <f t="shared" si="352"/>
        <v>100</v>
      </c>
      <c r="E1253" s="81">
        <f t="shared" si="339"/>
        <v>6791.2436711181272</v>
      </c>
      <c r="F1253" s="81">
        <f>SUM(E$2:E1253)</f>
        <v>7885023.0931193847</v>
      </c>
      <c r="G1253" s="43">
        <f t="shared" si="337"/>
        <v>1</v>
      </c>
      <c r="H1253" s="78">
        <v>1</v>
      </c>
      <c r="I1253" s="15">
        <f t="shared" si="340"/>
        <v>0.6</v>
      </c>
      <c r="J1253" s="16">
        <f>VLOOKUP(G1253,Inputs!$L$3:$P$15,5,FALSE)</f>
        <v>2000</v>
      </c>
      <c r="K1253" s="16">
        <f t="shared" si="341"/>
        <v>1825</v>
      </c>
      <c r="L1253" s="79">
        <f>Inputs!$P$8-B1253</f>
        <v>223.83609999999999</v>
      </c>
      <c r="M1253" s="79">
        <f>Inputs!$Q$8+L1253*0.433</f>
        <v>1921.9210313000001</v>
      </c>
      <c r="N1253" s="82">
        <f t="shared" si="342"/>
        <v>212199.92</v>
      </c>
      <c r="O1253" s="83">
        <f t="shared" si="343"/>
        <v>714.35490000000004</v>
      </c>
      <c r="P1253" s="84">
        <f>IF(O1253="","",Inputs!$C$5-O1253)</f>
        <v>110.82959999999991</v>
      </c>
      <c r="Q1253" s="83">
        <f>IF(N1253="","",TS!J1253)</f>
        <v>2000</v>
      </c>
      <c r="R1253" s="83">
        <f>IF(N1253="","",TS!K1253)</f>
        <v>1825</v>
      </c>
      <c r="S1253" s="83">
        <f>Inputs!$H$5+TS!P1253*0.4333</f>
        <v>1922.9881821299998</v>
      </c>
      <c r="T1253" s="83">
        <f>Inputs!$G$5+TS!P1253*0.4333</f>
        <v>1937.9881821299998</v>
      </c>
      <c r="U1253" s="85">
        <f t="shared" si="344"/>
        <v>0.9689940910649999</v>
      </c>
      <c r="V1253" s="86">
        <f t="shared" si="347"/>
        <v>0</v>
      </c>
      <c r="W1253" s="86">
        <f t="shared" si="348"/>
        <v>0</v>
      </c>
      <c r="X1253" s="86" t="e">
        <f>((PI()*((42-2*'Gen Calcs'!$E$13)^2)/4)/144)*(A1296-#REF!)*(W1253+14.7)/14.7</f>
        <v>#REF!</v>
      </c>
      <c r="Y1253" s="86" t="e">
        <f t="shared" si="349"/>
        <v>#REF!</v>
      </c>
      <c r="Z1253" s="86" t="e">
        <f t="shared" si="350"/>
        <v>#REF!</v>
      </c>
      <c r="AA1253" s="83">
        <f>MAX(B$2:B1253)-B1253</f>
        <v>223.83609999999999</v>
      </c>
      <c r="AB1253" s="83">
        <f t="shared" si="351"/>
        <v>96.921031299999996</v>
      </c>
      <c r="AC1253" s="83">
        <f t="shared" si="338"/>
        <v>120</v>
      </c>
      <c r="AD1253" s="72">
        <v>120</v>
      </c>
      <c r="AE1253" s="73">
        <f t="shared" si="345"/>
        <v>907.92027688745009</v>
      </c>
      <c r="AF1253" s="73">
        <f>SUM(AE$2:AE1253)</f>
        <v>1054889.3671972372</v>
      </c>
      <c r="AG1253" s="73">
        <f t="shared" si="346"/>
        <v>118840.53522987198</v>
      </c>
    </row>
    <row r="1254" spans="1:33" x14ac:dyDescent="0.25">
      <c r="A1254" s="100">
        <v>212299.92</v>
      </c>
      <c r="B1254" s="97">
        <v>710.5326</v>
      </c>
      <c r="C1254" s="97">
        <v>0.6</v>
      </c>
      <c r="D1254" s="80">
        <f t="shared" si="352"/>
        <v>100</v>
      </c>
      <c r="E1254" s="81">
        <f t="shared" si="339"/>
        <v>6791.2436711181272</v>
      </c>
      <c r="F1254" s="81">
        <f>SUM(E$2:E1254)</f>
        <v>7891814.336790503</v>
      </c>
      <c r="G1254" s="43">
        <f t="shared" si="337"/>
        <v>1</v>
      </c>
      <c r="H1254" s="78">
        <v>1</v>
      </c>
      <c r="I1254" s="15">
        <f t="shared" si="340"/>
        <v>0.6</v>
      </c>
      <c r="J1254" s="16">
        <f>VLOOKUP(G1254,Inputs!$L$3:$P$15,5,FALSE)</f>
        <v>2000</v>
      </c>
      <c r="K1254" s="16">
        <f t="shared" si="341"/>
        <v>1825</v>
      </c>
      <c r="L1254" s="79">
        <f>Inputs!$P$8-B1254</f>
        <v>227.65840000000003</v>
      </c>
      <c r="M1254" s="79">
        <f>Inputs!$Q$8+L1254*0.433</f>
        <v>1923.5760872000001</v>
      </c>
      <c r="N1254" s="82">
        <f t="shared" si="342"/>
        <v>212299.92</v>
      </c>
      <c r="O1254" s="83">
        <f t="shared" si="343"/>
        <v>710.5326</v>
      </c>
      <c r="P1254" s="84">
        <f>IF(O1254="","",Inputs!$C$5-O1254)</f>
        <v>114.65189999999996</v>
      </c>
      <c r="Q1254" s="83">
        <f>IF(N1254="","",TS!J1254)</f>
        <v>2000</v>
      </c>
      <c r="R1254" s="83">
        <f>IF(N1254="","",TS!K1254)</f>
        <v>1825</v>
      </c>
      <c r="S1254" s="83">
        <f>Inputs!$H$5+TS!P1254*0.4333</f>
        <v>1924.6443847199998</v>
      </c>
      <c r="T1254" s="83">
        <f>Inputs!$G$5+TS!P1254*0.4333</f>
        <v>1939.6443847199998</v>
      </c>
      <c r="U1254" s="85">
        <f t="shared" si="344"/>
        <v>0.96982219235999989</v>
      </c>
      <c r="V1254" s="86">
        <f t="shared" si="347"/>
        <v>0</v>
      </c>
      <c r="W1254" s="86">
        <f t="shared" si="348"/>
        <v>0</v>
      </c>
      <c r="X1254" s="86" t="e">
        <f>((PI()*((42-2*'Gen Calcs'!$E$13)^2)/4)/144)*(A1297-#REF!)*(W1254+14.7)/14.7</f>
        <v>#REF!</v>
      </c>
      <c r="Y1254" s="86" t="e">
        <f t="shared" si="349"/>
        <v>#REF!</v>
      </c>
      <c r="Z1254" s="86" t="e">
        <f t="shared" si="350"/>
        <v>#REF!</v>
      </c>
      <c r="AA1254" s="83">
        <f>MAX(B$2:B1254)-B1254</f>
        <v>227.65840000000003</v>
      </c>
      <c r="AB1254" s="83">
        <f t="shared" si="351"/>
        <v>98.576087200000018</v>
      </c>
      <c r="AC1254" s="83">
        <f t="shared" si="338"/>
        <v>120</v>
      </c>
      <c r="AD1254" s="72">
        <v>120</v>
      </c>
      <c r="AE1254" s="73">
        <f t="shared" si="345"/>
        <v>907.92027688745009</v>
      </c>
      <c r="AF1254" s="73">
        <f>SUM(AE$2:AE1254)</f>
        <v>1055797.2874741247</v>
      </c>
      <c r="AG1254" s="73">
        <f t="shared" si="346"/>
        <v>117932.6149529845</v>
      </c>
    </row>
    <row r="1255" spans="1:33" x14ac:dyDescent="0.25">
      <c r="A1255" s="99">
        <v>212399.92</v>
      </c>
      <c r="B1255" s="96">
        <v>707.18330000000003</v>
      </c>
      <c r="C1255" s="96">
        <v>0.6</v>
      </c>
      <c r="D1255" s="80">
        <f t="shared" si="352"/>
        <v>100</v>
      </c>
      <c r="E1255" s="81">
        <f t="shared" si="339"/>
        <v>6791.2436711181272</v>
      </c>
      <c r="F1255" s="81">
        <f>SUM(E$2:E1255)</f>
        <v>7898605.5804616213</v>
      </c>
      <c r="G1255" s="43">
        <f t="shared" si="337"/>
        <v>1</v>
      </c>
      <c r="H1255" s="78">
        <v>1</v>
      </c>
      <c r="I1255" s="15">
        <f t="shared" si="340"/>
        <v>0.6</v>
      </c>
      <c r="J1255" s="16">
        <f>VLOOKUP(G1255,Inputs!$L$3:$P$15,5,FALSE)</f>
        <v>2000</v>
      </c>
      <c r="K1255" s="16">
        <f t="shared" si="341"/>
        <v>1825</v>
      </c>
      <c r="L1255" s="79">
        <f>Inputs!$P$8-B1255</f>
        <v>231.0077</v>
      </c>
      <c r="M1255" s="79">
        <f>Inputs!$Q$8+L1255*0.433</f>
        <v>1925.0263341</v>
      </c>
      <c r="N1255" s="82">
        <f t="shared" si="342"/>
        <v>212399.92</v>
      </c>
      <c r="O1255" s="83">
        <f t="shared" si="343"/>
        <v>707.18330000000003</v>
      </c>
      <c r="P1255" s="84">
        <f>IF(O1255="","",Inputs!$C$5-O1255)</f>
        <v>118.00119999999993</v>
      </c>
      <c r="Q1255" s="83">
        <f>IF(N1255="","",TS!J1255)</f>
        <v>2000</v>
      </c>
      <c r="R1255" s="83">
        <f>IF(N1255="","",TS!K1255)</f>
        <v>1825</v>
      </c>
      <c r="S1255" s="83">
        <f>Inputs!$H$5+TS!P1255*0.4333</f>
        <v>1926.09563641</v>
      </c>
      <c r="T1255" s="83">
        <f>Inputs!$G$5+TS!P1255*0.4333</f>
        <v>1941.09563641</v>
      </c>
      <c r="U1255" s="85">
        <f t="shared" si="344"/>
        <v>0.97054781820500002</v>
      </c>
      <c r="V1255" s="86">
        <f t="shared" si="347"/>
        <v>0</v>
      </c>
      <c r="W1255" s="86">
        <f t="shared" si="348"/>
        <v>0</v>
      </c>
      <c r="X1255" s="86" t="e">
        <f>((PI()*((42-2*'Gen Calcs'!$E$13)^2)/4)/144)*(A1298-#REF!)*(W1255+14.7)/14.7</f>
        <v>#REF!</v>
      </c>
      <c r="Y1255" s="86" t="e">
        <f t="shared" si="349"/>
        <v>#REF!</v>
      </c>
      <c r="Z1255" s="86" t="e">
        <f t="shared" si="350"/>
        <v>#REF!</v>
      </c>
      <c r="AA1255" s="83">
        <f>MAX(B$2:B1255)-B1255</f>
        <v>231.0077</v>
      </c>
      <c r="AB1255" s="83">
        <f t="shared" si="351"/>
        <v>100.0263341</v>
      </c>
      <c r="AC1255" s="83">
        <f t="shared" si="338"/>
        <v>120</v>
      </c>
      <c r="AD1255" s="72">
        <v>120</v>
      </c>
      <c r="AE1255" s="73">
        <f t="shared" si="345"/>
        <v>907.92027688745009</v>
      </c>
      <c r="AF1255" s="73">
        <f>SUM(AE$2:AE1255)</f>
        <v>1056705.2077510122</v>
      </c>
      <c r="AG1255" s="73">
        <f t="shared" si="346"/>
        <v>117024.69467609702</v>
      </c>
    </row>
    <row r="1256" spans="1:33" x14ac:dyDescent="0.25">
      <c r="A1256" s="100">
        <v>212499.92</v>
      </c>
      <c r="B1256" s="97">
        <v>699.6748</v>
      </c>
      <c r="C1256" s="97">
        <v>0.6</v>
      </c>
      <c r="D1256" s="80">
        <f t="shared" si="352"/>
        <v>100</v>
      </c>
      <c r="E1256" s="81">
        <f t="shared" si="339"/>
        <v>6791.2436711181272</v>
      </c>
      <c r="F1256" s="81">
        <f>SUM(E$2:E1256)</f>
        <v>7905396.8241327396</v>
      </c>
      <c r="G1256" s="43">
        <f t="shared" si="337"/>
        <v>1</v>
      </c>
      <c r="H1256" s="78">
        <v>1</v>
      </c>
      <c r="I1256" s="15">
        <f t="shared" si="340"/>
        <v>0.6</v>
      </c>
      <c r="J1256" s="16">
        <f>VLOOKUP(G1256,Inputs!$L$3:$P$15,5,FALSE)</f>
        <v>2000</v>
      </c>
      <c r="K1256" s="16">
        <f t="shared" si="341"/>
        <v>1825</v>
      </c>
      <c r="L1256" s="79">
        <f>Inputs!$P$8-B1256</f>
        <v>238.51620000000003</v>
      </c>
      <c r="M1256" s="79">
        <f>Inputs!$Q$8+L1256*0.433</f>
        <v>1928.2775145999999</v>
      </c>
      <c r="N1256" s="82">
        <f t="shared" si="342"/>
        <v>212499.92</v>
      </c>
      <c r="O1256" s="83">
        <f t="shared" si="343"/>
        <v>699.6748</v>
      </c>
      <c r="P1256" s="84">
        <f>IF(O1256="","",Inputs!$C$5-O1256)</f>
        <v>125.50969999999995</v>
      </c>
      <c r="Q1256" s="83">
        <f>IF(N1256="","",TS!J1256)</f>
        <v>2000</v>
      </c>
      <c r="R1256" s="83">
        <f>IF(N1256="","",TS!K1256)</f>
        <v>1825</v>
      </c>
      <c r="S1256" s="83">
        <f>Inputs!$H$5+TS!P1256*0.4333</f>
        <v>1929.34906946</v>
      </c>
      <c r="T1256" s="83">
        <f>Inputs!$G$5+TS!P1256*0.4333</f>
        <v>1944.34906946</v>
      </c>
      <c r="U1256" s="85">
        <f t="shared" si="344"/>
        <v>0.97217453473000004</v>
      </c>
      <c r="V1256" s="86">
        <f t="shared" si="347"/>
        <v>0</v>
      </c>
      <c r="W1256" s="86">
        <f t="shared" si="348"/>
        <v>0</v>
      </c>
      <c r="X1256" s="86" t="e">
        <f>((PI()*((42-2*'Gen Calcs'!$E$13)^2)/4)/144)*(A1299-#REF!)*(W1256+14.7)/14.7</f>
        <v>#REF!</v>
      </c>
      <c r="Y1256" s="86" t="e">
        <f t="shared" si="349"/>
        <v>#REF!</v>
      </c>
      <c r="Z1256" s="86" t="e">
        <f t="shared" si="350"/>
        <v>#REF!</v>
      </c>
      <c r="AA1256" s="83">
        <f>MAX(B$2:B1256)-B1256</f>
        <v>238.51620000000003</v>
      </c>
      <c r="AB1256" s="83">
        <f t="shared" si="351"/>
        <v>103.2775146</v>
      </c>
      <c r="AC1256" s="83">
        <f t="shared" si="338"/>
        <v>120</v>
      </c>
      <c r="AD1256" s="72">
        <v>120</v>
      </c>
      <c r="AE1256" s="73">
        <f t="shared" si="345"/>
        <v>907.92027688745009</v>
      </c>
      <c r="AF1256" s="73">
        <f>SUM(AE$2:AE1256)</f>
        <v>1057613.1280278997</v>
      </c>
      <c r="AG1256" s="73">
        <f t="shared" si="346"/>
        <v>116116.77439920953</v>
      </c>
    </row>
    <row r="1257" spans="1:33" x14ac:dyDescent="0.25">
      <c r="A1257" s="99">
        <v>212599.92</v>
      </c>
      <c r="B1257" s="96">
        <v>700.77660000000003</v>
      </c>
      <c r="C1257" s="96">
        <v>0.6</v>
      </c>
      <c r="D1257" s="80">
        <f t="shared" si="352"/>
        <v>100</v>
      </c>
      <c r="E1257" s="81">
        <f t="shared" si="339"/>
        <v>6791.2436711181272</v>
      </c>
      <c r="F1257" s="81">
        <f>SUM(E$2:E1257)</f>
        <v>7912188.0678038578</v>
      </c>
      <c r="G1257" s="43">
        <f t="shared" si="337"/>
        <v>1</v>
      </c>
      <c r="H1257" s="78">
        <v>1</v>
      </c>
      <c r="I1257" s="15">
        <f t="shared" si="340"/>
        <v>0.6</v>
      </c>
      <c r="J1257" s="16">
        <f>VLOOKUP(G1257,Inputs!$L$3:$P$15,5,FALSE)</f>
        <v>2000</v>
      </c>
      <c r="K1257" s="16">
        <f t="shared" si="341"/>
        <v>1825</v>
      </c>
      <c r="L1257" s="79">
        <f>Inputs!$P$8-B1257</f>
        <v>237.4144</v>
      </c>
      <c r="M1257" s="79">
        <f>Inputs!$Q$8+L1257*0.433</f>
        <v>1927.8004352</v>
      </c>
      <c r="N1257" s="82">
        <f t="shared" si="342"/>
        <v>212599.92</v>
      </c>
      <c r="O1257" s="83">
        <f t="shared" si="343"/>
        <v>700.77660000000003</v>
      </c>
      <c r="P1257" s="84">
        <f>IF(O1257="","",Inputs!$C$5-O1257)</f>
        <v>124.40789999999993</v>
      </c>
      <c r="Q1257" s="83">
        <f>IF(N1257="","",TS!J1257)</f>
        <v>2000</v>
      </c>
      <c r="R1257" s="83">
        <f>IF(N1257="","",TS!K1257)</f>
        <v>1825</v>
      </c>
      <c r="S1257" s="83">
        <f>Inputs!$H$5+TS!P1257*0.4333</f>
        <v>1928.8716595199999</v>
      </c>
      <c r="T1257" s="83">
        <f>Inputs!$G$5+TS!P1257*0.4333</f>
        <v>1943.8716595199999</v>
      </c>
      <c r="U1257" s="85">
        <f t="shared" si="344"/>
        <v>0.97193582975999993</v>
      </c>
      <c r="V1257" s="86">
        <f t="shared" si="347"/>
        <v>0</v>
      </c>
      <c r="W1257" s="86">
        <f t="shared" si="348"/>
        <v>0</v>
      </c>
      <c r="X1257" s="86" t="e">
        <f>((PI()*((42-2*'Gen Calcs'!$E$13)^2)/4)/144)*(A1300-#REF!)*(W1257+14.7)/14.7</f>
        <v>#REF!</v>
      </c>
      <c r="Y1257" s="86" t="e">
        <f t="shared" si="349"/>
        <v>#REF!</v>
      </c>
      <c r="Z1257" s="86" t="e">
        <f t="shared" si="350"/>
        <v>#REF!</v>
      </c>
      <c r="AA1257" s="83">
        <f>MAX(B$2:B1257)-B1257</f>
        <v>237.4144</v>
      </c>
      <c r="AB1257" s="83">
        <f t="shared" si="351"/>
        <v>102.8004352</v>
      </c>
      <c r="AC1257" s="83">
        <f t="shared" si="338"/>
        <v>120</v>
      </c>
      <c r="AD1257" s="72">
        <v>120</v>
      </c>
      <c r="AE1257" s="73">
        <f t="shared" si="345"/>
        <v>907.92027688745009</v>
      </c>
      <c r="AF1257" s="73">
        <f>SUM(AE$2:AE1257)</f>
        <v>1058521.0483047871</v>
      </c>
      <c r="AG1257" s="73">
        <f t="shared" si="346"/>
        <v>115208.85412232205</v>
      </c>
    </row>
    <row r="1258" spans="1:33" x14ac:dyDescent="0.25">
      <c r="A1258" s="100">
        <v>212699.92</v>
      </c>
      <c r="B1258" s="97">
        <v>703.39419999999996</v>
      </c>
      <c r="C1258" s="97">
        <v>0.6</v>
      </c>
      <c r="D1258" s="80">
        <f t="shared" si="352"/>
        <v>100</v>
      </c>
      <c r="E1258" s="81">
        <f t="shared" si="339"/>
        <v>6791.2436711181272</v>
      </c>
      <c r="F1258" s="81">
        <f>SUM(E$2:E1258)</f>
        <v>7918979.3114749761</v>
      </c>
      <c r="G1258" s="43">
        <f t="shared" si="337"/>
        <v>1</v>
      </c>
      <c r="H1258" s="78">
        <v>1</v>
      </c>
      <c r="I1258" s="15">
        <f t="shared" si="340"/>
        <v>0.6</v>
      </c>
      <c r="J1258" s="16">
        <f>VLOOKUP(G1258,Inputs!$L$3:$P$15,5,FALSE)</f>
        <v>2000</v>
      </c>
      <c r="K1258" s="16">
        <f t="shared" si="341"/>
        <v>1825</v>
      </c>
      <c r="L1258" s="79">
        <f>Inputs!$P$8-B1258</f>
        <v>234.79680000000008</v>
      </c>
      <c r="M1258" s="79">
        <f>Inputs!$Q$8+L1258*0.433</f>
        <v>1926.6670144</v>
      </c>
      <c r="N1258" s="82">
        <f t="shared" si="342"/>
        <v>212699.92</v>
      </c>
      <c r="O1258" s="83">
        <f t="shared" si="343"/>
        <v>703.39419999999996</v>
      </c>
      <c r="P1258" s="84">
        <f>IF(O1258="","",Inputs!$C$5-O1258)</f>
        <v>121.7903</v>
      </c>
      <c r="Q1258" s="83">
        <f>IF(N1258="","",TS!J1258)</f>
        <v>2000</v>
      </c>
      <c r="R1258" s="83">
        <f>IF(N1258="","",TS!K1258)</f>
        <v>1825</v>
      </c>
      <c r="S1258" s="83">
        <f>Inputs!$H$5+TS!P1258*0.4333</f>
        <v>1927.7374534399999</v>
      </c>
      <c r="T1258" s="83">
        <f>Inputs!$G$5+TS!P1258*0.4333</f>
        <v>1942.7374534399999</v>
      </c>
      <c r="U1258" s="85">
        <f t="shared" si="344"/>
        <v>0.97136872671999996</v>
      </c>
      <c r="V1258" s="86">
        <f t="shared" si="347"/>
        <v>0</v>
      </c>
      <c r="W1258" s="86">
        <f t="shared" si="348"/>
        <v>0</v>
      </c>
      <c r="X1258" s="86" t="e">
        <f>((PI()*((42-2*'Gen Calcs'!$E$13)^2)/4)/144)*(A1301-#REF!)*(W1258+14.7)/14.7</f>
        <v>#REF!</v>
      </c>
      <c r="Y1258" s="86" t="e">
        <f t="shared" si="349"/>
        <v>#REF!</v>
      </c>
      <c r="Z1258" s="86" t="e">
        <f t="shared" si="350"/>
        <v>#REF!</v>
      </c>
      <c r="AA1258" s="83">
        <f>MAX(B$2:B1258)-B1258</f>
        <v>234.79680000000008</v>
      </c>
      <c r="AB1258" s="83">
        <f t="shared" si="351"/>
        <v>101.66701440000003</v>
      </c>
      <c r="AC1258" s="83">
        <f t="shared" si="338"/>
        <v>120</v>
      </c>
      <c r="AD1258" s="72">
        <v>120</v>
      </c>
      <c r="AE1258" s="73">
        <f t="shared" si="345"/>
        <v>907.92027688745009</v>
      </c>
      <c r="AF1258" s="73">
        <f>SUM(AE$2:AE1258)</f>
        <v>1059428.9685816746</v>
      </c>
      <c r="AG1258" s="73">
        <f t="shared" si="346"/>
        <v>114300.93384543457</v>
      </c>
    </row>
    <row r="1259" spans="1:33" x14ac:dyDescent="0.25">
      <c r="A1259" s="99">
        <v>212799.92</v>
      </c>
      <c r="B1259" s="96">
        <v>703.09389999999996</v>
      </c>
      <c r="C1259" s="96">
        <v>0.6</v>
      </c>
      <c r="D1259" s="80">
        <f t="shared" si="352"/>
        <v>100</v>
      </c>
      <c r="E1259" s="81">
        <f t="shared" si="339"/>
        <v>6791.2436711181272</v>
      </c>
      <c r="F1259" s="81">
        <f>SUM(E$2:E1259)</f>
        <v>7925770.5551460944</v>
      </c>
      <c r="G1259" s="43">
        <f t="shared" si="337"/>
        <v>1</v>
      </c>
      <c r="H1259" s="78">
        <v>1</v>
      </c>
      <c r="I1259" s="15">
        <f t="shared" si="340"/>
        <v>0.6</v>
      </c>
      <c r="J1259" s="16">
        <f>VLOOKUP(G1259,Inputs!$L$3:$P$15,5,FALSE)</f>
        <v>2000</v>
      </c>
      <c r="K1259" s="16">
        <f t="shared" si="341"/>
        <v>1825</v>
      </c>
      <c r="L1259" s="79">
        <f>Inputs!$P$8-B1259</f>
        <v>235.09710000000007</v>
      </c>
      <c r="M1259" s="79">
        <f>Inputs!$Q$8+L1259*0.433</f>
        <v>1926.7970442999999</v>
      </c>
      <c r="N1259" s="82">
        <f t="shared" si="342"/>
        <v>212799.92</v>
      </c>
      <c r="O1259" s="83">
        <f t="shared" si="343"/>
        <v>703.09389999999996</v>
      </c>
      <c r="P1259" s="84">
        <f>IF(O1259="","",Inputs!$C$5-O1259)</f>
        <v>122.09059999999999</v>
      </c>
      <c r="Q1259" s="83">
        <f>IF(N1259="","",TS!J1259)</f>
        <v>2000</v>
      </c>
      <c r="R1259" s="83">
        <f>IF(N1259="","",TS!K1259)</f>
        <v>1825</v>
      </c>
      <c r="S1259" s="83">
        <f>Inputs!$H$5+TS!P1259*0.4333</f>
        <v>1927.86757343</v>
      </c>
      <c r="T1259" s="83">
        <f>Inputs!$G$5+TS!P1259*0.4333</f>
        <v>1942.86757343</v>
      </c>
      <c r="U1259" s="85">
        <f t="shared" si="344"/>
        <v>0.97143378671500002</v>
      </c>
      <c r="V1259" s="86">
        <f t="shared" si="347"/>
        <v>0</v>
      </c>
      <c r="W1259" s="86">
        <f t="shared" si="348"/>
        <v>0</v>
      </c>
      <c r="X1259" s="86" t="e">
        <f>((PI()*((42-2*'Gen Calcs'!$E$13)^2)/4)/144)*(A1302-#REF!)*(W1259+14.7)/14.7</f>
        <v>#REF!</v>
      </c>
      <c r="Y1259" s="86" t="e">
        <f t="shared" si="349"/>
        <v>#REF!</v>
      </c>
      <c r="Z1259" s="86" t="e">
        <f t="shared" si="350"/>
        <v>#REF!</v>
      </c>
      <c r="AA1259" s="83">
        <f>MAX(B$2:B1259)-B1259</f>
        <v>235.09710000000007</v>
      </c>
      <c r="AB1259" s="83">
        <f t="shared" si="351"/>
        <v>101.79704430000002</v>
      </c>
      <c r="AC1259" s="83">
        <f t="shared" si="338"/>
        <v>120</v>
      </c>
      <c r="AD1259" s="72">
        <v>120</v>
      </c>
      <c r="AE1259" s="73">
        <f t="shared" si="345"/>
        <v>907.92027688745009</v>
      </c>
      <c r="AF1259" s="73">
        <f>SUM(AE$2:AE1259)</f>
        <v>1060336.8888585621</v>
      </c>
      <c r="AG1259" s="73">
        <f t="shared" si="346"/>
        <v>113393.01356854709</v>
      </c>
    </row>
    <row r="1260" spans="1:33" x14ac:dyDescent="0.25">
      <c r="A1260" s="100">
        <v>212899.92</v>
      </c>
      <c r="B1260" s="97">
        <v>702.13990000000001</v>
      </c>
      <c r="C1260" s="97">
        <v>0.6</v>
      </c>
      <c r="D1260" s="80">
        <f t="shared" si="352"/>
        <v>100</v>
      </c>
      <c r="E1260" s="81">
        <f t="shared" si="339"/>
        <v>6791.2436711181272</v>
      </c>
      <c r="F1260" s="81">
        <f>SUM(E$2:E1260)</f>
        <v>7932561.7988172127</v>
      </c>
      <c r="G1260" s="43">
        <f t="shared" si="337"/>
        <v>1</v>
      </c>
      <c r="H1260" s="78">
        <v>1</v>
      </c>
      <c r="I1260" s="15">
        <f t="shared" si="340"/>
        <v>0.6</v>
      </c>
      <c r="J1260" s="16">
        <f>VLOOKUP(G1260,Inputs!$L$3:$P$15,5,FALSE)</f>
        <v>2000</v>
      </c>
      <c r="K1260" s="16">
        <f t="shared" si="341"/>
        <v>1825</v>
      </c>
      <c r="L1260" s="79">
        <f>Inputs!$P$8-B1260</f>
        <v>236.05110000000002</v>
      </c>
      <c r="M1260" s="79">
        <f>Inputs!$Q$8+L1260*0.433</f>
        <v>1927.2101263</v>
      </c>
      <c r="N1260" s="82">
        <f t="shared" si="342"/>
        <v>212899.92</v>
      </c>
      <c r="O1260" s="83">
        <f t="shared" si="343"/>
        <v>702.13990000000001</v>
      </c>
      <c r="P1260" s="84">
        <f>IF(O1260="","",Inputs!$C$5-O1260)</f>
        <v>123.04459999999995</v>
      </c>
      <c r="Q1260" s="83">
        <f>IF(N1260="","",TS!J1260)</f>
        <v>2000</v>
      </c>
      <c r="R1260" s="83">
        <f>IF(N1260="","",TS!K1260)</f>
        <v>1825</v>
      </c>
      <c r="S1260" s="83">
        <f>Inputs!$H$5+TS!P1260*0.4333</f>
        <v>1928.2809416299999</v>
      </c>
      <c r="T1260" s="83">
        <f>Inputs!$G$5+TS!P1260*0.4333</f>
        <v>1943.2809416299999</v>
      </c>
      <c r="U1260" s="85">
        <f t="shared" si="344"/>
        <v>0.97164047081499993</v>
      </c>
      <c r="V1260" s="86">
        <f t="shared" si="347"/>
        <v>0</v>
      </c>
      <c r="W1260" s="86">
        <f t="shared" si="348"/>
        <v>0</v>
      </c>
      <c r="X1260" s="86" t="e">
        <f>((PI()*((42-2*'Gen Calcs'!$E$13)^2)/4)/144)*(A1303-#REF!)*(W1260+14.7)/14.7</f>
        <v>#REF!</v>
      </c>
      <c r="Y1260" s="86" t="e">
        <f t="shared" si="349"/>
        <v>#REF!</v>
      </c>
      <c r="Z1260" s="86" t="e">
        <f t="shared" si="350"/>
        <v>#REF!</v>
      </c>
      <c r="AA1260" s="83">
        <f>MAX(B$2:B1260)-B1260</f>
        <v>236.05110000000002</v>
      </c>
      <c r="AB1260" s="83">
        <f t="shared" si="351"/>
        <v>102.21012630000001</v>
      </c>
      <c r="AC1260" s="83">
        <f t="shared" si="338"/>
        <v>120</v>
      </c>
      <c r="AD1260" s="72">
        <v>120</v>
      </c>
      <c r="AE1260" s="73">
        <f t="shared" si="345"/>
        <v>907.92027688745009</v>
      </c>
      <c r="AF1260" s="73">
        <f>SUM(AE$2:AE1260)</f>
        <v>1061244.8091354496</v>
      </c>
      <c r="AG1260" s="73">
        <f t="shared" si="346"/>
        <v>112485.09329165961</v>
      </c>
    </row>
    <row r="1261" spans="1:33" x14ac:dyDescent="0.25">
      <c r="A1261" s="99">
        <v>212999.92</v>
      </c>
      <c r="B1261" s="96">
        <v>701.08259999999996</v>
      </c>
      <c r="C1261" s="96">
        <v>0.6</v>
      </c>
      <c r="D1261" s="80">
        <f t="shared" si="352"/>
        <v>100</v>
      </c>
      <c r="E1261" s="81">
        <f t="shared" si="339"/>
        <v>6791.2436711181272</v>
      </c>
      <c r="F1261" s="81">
        <f>SUM(E$2:E1261)</f>
        <v>7939353.042488331</v>
      </c>
      <c r="G1261" s="43">
        <f t="shared" si="337"/>
        <v>1</v>
      </c>
      <c r="H1261" s="78">
        <v>1</v>
      </c>
      <c r="I1261" s="15">
        <f t="shared" si="340"/>
        <v>0.6</v>
      </c>
      <c r="J1261" s="16">
        <f>VLOOKUP(G1261,Inputs!$L$3:$P$15,5,FALSE)</f>
        <v>2000</v>
      </c>
      <c r="K1261" s="16">
        <f t="shared" si="341"/>
        <v>1825</v>
      </c>
      <c r="L1261" s="79">
        <f>Inputs!$P$8-B1261</f>
        <v>237.10840000000007</v>
      </c>
      <c r="M1261" s="79">
        <f>Inputs!$Q$8+L1261*0.433</f>
        <v>1927.6679372000001</v>
      </c>
      <c r="N1261" s="82">
        <f t="shared" si="342"/>
        <v>212999.92</v>
      </c>
      <c r="O1261" s="83">
        <f t="shared" si="343"/>
        <v>701.08259999999996</v>
      </c>
      <c r="P1261" s="84">
        <f>IF(O1261="","",Inputs!$C$5-O1261)</f>
        <v>124.1019</v>
      </c>
      <c r="Q1261" s="83">
        <f>IF(N1261="","",TS!J1261)</f>
        <v>2000</v>
      </c>
      <c r="R1261" s="83">
        <f>IF(N1261="","",TS!K1261)</f>
        <v>1825</v>
      </c>
      <c r="S1261" s="83">
        <f>Inputs!$H$5+TS!P1261*0.4333</f>
        <v>1928.7390697199999</v>
      </c>
      <c r="T1261" s="83">
        <f>Inputs!$G$5+TS!P1261*0.4333</f>
        <v>1943.7390697199999</v>
      </c>
      <c r="U1261" s="85">
        <f t="shared" si="344"/>
        <v>0.97186953485999994</v>
      </c>
      <c r="V1261" s="86">
        <f t="shared" si="347"/>
        <v>0</v>
      </c>
      <c r="W1261" s="86">
        <f t="shared" si="348"/>
        <v>0</v>
      </c>
      <c r="X1261" s="86" t="e">
        <f>((PI()*((42-2*'Gen Calcs'!$E$13)^2)/4)/144)*(A1304-#REF!)*(W1261+14.7)/14.7</f>
        <v>#REF!</v>
      </c>
      <c r="Y1261" s="86" t="e">
        <f t="shared" si="349"/>
        <v>#REF!</v>
      </c>
      <c r="Z1261" s="86" t="e">
        <f t="shared" si="350"/>
        <v>#REF!</v>
      </c>
      <c r="AA1261" s="83">
        <f>MAX(B$2:B1261)-B1261</f>
        <v>237.10840000000007</v>
      </c>
      <c r="AB1261" s="83">
        <f t="shared" si="351"/>
        <v>102.66793720000003</v>
      </c>
      <c r="AC1261" s="83">
        <f t="shared" si="338"/>
        <v>120</v>
      </c>
      <c r="AD1261" s="72">
        <v>120</v>
      </c>
      <c r="AE1261" s="73">
        <f t="shared" si="345"/>
        <v>907.92027688745009</v>
      </c>
      <c r="AF1261" s="73">
        <f>SUM(AE$2:AE1261)</f>
        <v>1062152.7294123371</v>
      </c>
      <c r="AG1261" s="73">
        <f t="shared" si="346"/>
        <v>111577.17301477212</v>
      </c>
    </row>
    <row r="1262" spans="1:33" x14ac:dyDescent="0.25">
      <c r="A1262" s="100">
        <v>213099.92</v>
      </c>
      <c r="B1262" s="97">
        <v>701.17309999999998</v>
      </c>
      <c r="C1262" s="97">
        <v>0.6</v>
      </c>
      <c r="D1262" s="80">
        <f t="shared" si="352"/>
        <v>100</v>
      </c>
      <c r="E1262" s="81">
        <f t="shared" si="339"/>
        <v>6791.2436711181272</v>
      </c>
      <c r="F1262" s="81">
        <f>SUM(E$2:E1262)</f>
        <v>7946144.2861594493</v>
      </c>
      <c r="G1262" s="43">
        <f t="shared" si="337"/>
        <v>1</v>
      </c>
      <c r="H1262" s="78">
        <v>1</v>
      </c>
      <c r="I1262" s="15">
        <f t="shared" si="340"/>
        <v>0.6</v>
      </c>
      <c r="J1262" s="16">
        <f>VLOOKUP(G1262,Inputs!$L$3:$P$15,5,FALSE)</f>
        <v>2000</v>
      </c>
      <c r="K1262" s="16">
        <f t="shared" si="341"/>
        <v>1825</v>
      </c>
      <c r="L1262" s="79">
        <f>Inputs!$P$8-B1262</f>
        <v>237.01790000000005</v>
      </c>
      <c r="M1262" s="79">
        <f>Inputs!$Q$8+L1262*0.433</f>
        <v>1927.6287507</v>
      </c>
      <c r="N1262" s="82">
        <f t="shared" si="342"/>
        <v>213099.92</v>
      </c>
      <c r="O1262" s="83">
        <f t="shared" si="343"/>
        <v>701.17309999999998</v>
      </c>
      <c r="P1262" s="84">
        <f>IF(O1262="","",Inputs!$C$5-O1262)</f>
        <v>124.01139999999998</v>
      </c>
      <c r="Q1262" s="83">
        <f>IF(N1262="","",TS!J1262)</f>
        <v>2000</v>
      </c>
      <c r="R1262" s="83">
        <f>IF(N1262="","",TS!K1262)</f>
        <v>1825</v>
      </c>
      <c r="S1262" s="83">
        <f>Inputs!$H$5+TS!P1262*0.4333</f>
        <v>1928.6998560699999</v>
      </c>
      <c r="T1262" s="83">
        <f>Inputs!$G$5+TS!P1262*0.4333</f>
        <v>1943.6998560699999</v>
      </c>
      <c r="U1262" s="85">
        <f t="shared" si="344"/>
        <v>0.97184992803499992</v>
      </c>
      <c r="V1262" s="86">
        <f t="shared" si="347"/>
        <v>0</v>
      </c>
      <c r="W1262" s="86">
        <f t="shared" si="348"/>
        <v>0</v>
      </c>
      <c r="X1262" s="86" t="e">
        <f>((PI()*((42-2*'Gen Calcs'!$E$13)^2)/4)/144)*(A1305-#REF!)*(W1262+14.7)/14.7</f>
        <v>#REF!</v>
      </c>
      <c r="Y1262" s="86" t="e">
        <f t="shared" si="349"/>
        <v>#REF!</v>
      </c>
      <c r="Z1262" s="86" t="e">
        <f t="shared" si="350"/>
        <v>#REF!</v>
      </c>
      <c r="AA1262" s="83">
        <f>MAX(B$2:B1262)-B1262</f>
        <v>237.01790000000005</v>
      </c>
      <c r="AB1262" s="83">
        <f t="shared" si="351"/>
        <v>102.62875070000003</v>
      </c>
      <c r="AC1262" s="83">
        <f t="shared" si="338"/>
        <v>120</v>
      </c>
      <c r="AD1262" s="72">
        <v>120</v>
      </c>
      <c r="AE1262" s="73">
        <f t="shared" si="345"/>
        <v>907.92027688745009</v>
      </c>
      <c r="AF1262" s="73">
        <f>SUM(AE$2:AE1262)</f>
        <v>1063060.6496892245</v>
      </c>
      <c r="AG1262" s="73">
        <f t="shared" si="346"/>
        <v>110669.25273788464</v>
      </c>
    </row>
    <row r="1263" spans="1:33" x14ac:dyDescent="0.25">
      <c r="A1263" s="99">
        <v>213199.92</v>
      </c>
      <c r="B1263" s="96">
        <v>701.85490000000004</v>
      </c>
      <c r="C1263" s="96">
        <v>0.6</v>
      </c>
      <c r="D1263" s="80">
        <f t="shared" si="352"/>
        <v>100</v>
      </c>
      <c r="E1263" s="81">
        <f t="shared" si="339"/>
        <v>6616.6076625842816</v>
      </c>
      <c r="F1263" s="81">
        <f>SUM(E$2:E1263)</f>
        <v>7952760.8938220339</v>
      </c>
      <c r="G1263" s="43">
        <f t="shared" si="337"/>
        <v>1</v>
      </c>
      <c r="H1263" s="78">
        <v>1</v>
      </c>
      <c r="I1263" s="15">
        <f t="shared" si="340"/>
        <v>0.6</v>
      </c>
      <c r="J1263" s="16">
        <f>VLOOKUP(G1263,Inputs!$L$3:$P$15,5,FALSE)</f>
        <v>2000</v>
      </c>
      <c r="K1263" s="16">
        <f t="shared" si="341"/>
        <v>1825</v>
      </c>
      <c r="L1263" s="79">
        <f>Inputs!$P$8-B1263</f>
        <v>236.33609999999999</v>
      </c>
      <c r="M1263" s="79">
        <f>Inputs!$Q$8+L1263*0.433</f>
        <v>1927.3335313</v>
      </c>
      <c r="N1263" s="82">
        <f t="shared" si="342"/>
        <v>213199.92</v>
      </c>
      <c r="O1263" s="83">
        <f t="shared" si="343"/>
        <v>701.85490000000004</v>
      </c>
      <c r="P1263" s="84">
        <f>IF(O1263="","",Inputs!$C$5-O1263)</f>
        <v>123.32959999999991</v>
      </c>
      <c r="Q1263" s="83">
        <f>IF(N1263="","",TS!J1263)</f>
        <v>2000</v>
      </c>
      <c r="R1263" s="83">
        <f>IF(N1263="","",TS!K1263)</f>
        <v>1825</v>
      </c>
      <c r="S1263" s="83">
        <f>Inputs!$H$5+TS!P1263*0.4333</f>
        <v>1928.4044321299998</v>
      </c>
      <c r="T1263" s="83">
        <f>Inputs!$G$5+TS!P1263*0.4333</f>
        <v>1943.4044321299998</v>
      </c>
      <c r="U1263" s="85">
        <f t="shared" si="344"/>
        <v>0.97170221606499996</v>
      </c>
      <c r="V1263" s="86">
        <f t="shared" si="347"/>
        <v>0</v>
      </c>
      <c r="W1263" s="86">
        <f t="shared" si="348"/>
        <v>0</v>
      </c>
      <c r="X1263" s="86" t="e">
        <f>((PI()*((42-2*'Gen Calcs'!$E$13)^2)/4)/144)*(A1306-#REF!)*(W1263+14.7)/14.7</f>
        <v>#REF!</v>
      </c>
      <c r="Y1263" s="86" t="e">
        <f t="shared" si="349"/>
        <v>#REF!</v>
      </c>
      <c r="Z1263" s="86" t="e">
        <f t="shared" si="350"/>
        <v>#REF!</v>
      </c>
      <c r="AA1263" s="83">
        <f>MAX(B$2:B1263)-B1263</f>
        <v>236.33609999999999</v>
      </c>
      <c r="AB1263" s="83">
        <f t="shared" si="351"/>
        <v>102.33353129999999</v>
      </c>
      <c r="AC1263" s="83">
        <f t="shared" si="338"/>
        <v>120</v>
      </c>
      <c r="AD1263" s="72">
        <v>120</v>
      </c>
      <c r="AE1263" s="73">
        <f t="shared" si="345"/>
        <v>907.92027688745009</v>
      </c>
      <c r="AF1263" s="73">
        <f>SUM(AE$2:AE1263)</f>
        <v>1063968.569966112</v>
      </c>
      <c r="AG1263" s="73">
        <f t="shared" si="346"/>
        <v>109761.33246099716</v>
      </c>
    </row>
    <row r="1264" spans="1:33" x14ac:dyDescent="0.25">
      <c r="A1264" s="100">
        <v>213299.92</v>
      </c>
      <c r="B1264" s="97">
        <v>702.3229</v>
      </c>
      <c r="C1264" s="97">
        <v>0.6</v>
      </c>
      <c r="D1264" s="80">
        <f t="shared" si="352"/>
        <v>100</v>
      </c>
      <c r="E1264" s="81">
        <f t="shared" si="339"/>
        <v>6791.2436711181272</v>
      </c>
      <c r="F1264" s="81">
        <f>SUM(E$2:E1264)</f>
        <v>7959552.1374931522</v>
      </c>
      <c r="G1264" s="43">
        <f t="shared" si="337"/>
        <v>1</v>
      </c>
      <c r="H1264" s="78">
        <v>1</v>
      </c>
      <c r="I1264" s="15">
        <f t="shared" si="340"/>
        <v>0.6</v>
      </c>
      <c r="J1264" s="16">
        <f>VLOOKUP(G1264,Inputs!$L$3:$P$15,5,FALSE)</f>
        <v>2000</v>
      </c>
      <c r="K1264" s="16">
        <f t="shared" si="341"/>
        <v>1825</v>
      </c>
      <c r="L1264" s="79">
        <f>Inputs!$P$8-B1264</f>
        <v>235.86810000000003</v>
      </c>
      <c r="M1264" s="79">
        <f>Inputs!$Q$8+L1264*0.433</f>
        <v>1927.1308873</v>
      </c>
      <c r="N1264" s="82">
        <f t="shared" si="342"/>
        <v>213299.92</v>
      </c>
      <c r="O1264" s="83">
        <f t="shared" si="343"/>
        <v>702.3229</v>
      </c>
      <c r="P1264" s="84">
        <f>IF(O1264="","",Inputs!$C$5-O1264)</f>
        <v>122.86159999999995</v>
      </c>
      <c r="Q1264" s="83">
        <f>IF(N1264="","",TS!J1264)</f>
        <v>2000</v>
      </c>
      <c r="R1264" s="83">
        <f>IF(N1264="","",TS!K1264)</f>
        <v>1825</v>
      </c>
      <c r="S1264" s="83">
        <f>Inputs!$H$5+TS!P1264*0.4333</f>
        <v>1928.2016477299999</v>
      </c>
      <c r="T1264" s="83">
        <f>Inputs!$G$5+TS!P1264*0.4333</f>
        <v>1943.2016477299999</v>
      </c>
      <c r="U1264" s="85">
        <f t="shared" si="344"/>
        <v>0.97160082386499991</v>
      </c>
      <c r="V1264" s="86">
        <f t="shared" si="347"/>
        <v>0</v>
      </c>
      <c r="W1264" s="86">
        <f t="shared" si="348"/>
        <v>0</v>
      </c>
      <c r="X1264" s="86" t="e">
        <f>((PI()*((42-2*'Gen Calcs'!$E$13)^2)/4)/144)*(A1307-#REF!)*(W1264+14.7)/14.7</f>
        <v>#REF!</v>
      </c>
      <c r="Y1264" s="86" t="e">
        <f t="shared" si="349"/>
        <v>#REF!</v>
      </c>
      <c r="Z1264" s="86" t="e">
        <f t="shared" si="350"/>
        <v>#REF!</v>
      </c>
      <c r="AA1264" s="83">
        <f>MAX(B$2:B1264)-B1264</f>
        <v>235.86810000000003</v>
      </c>
      <c r="AB1264" s="83">
        <f t="shared" si="351"/>
        <v>102.13088730000001</v>
      </c>
      <c r="AC1264" s="83">
        <f t="shared" si="338"/>
        <v>120</v>
      </c>
      <c r="AD1264" s="72">
        <v>120</v>
      </c>
      <c r="AE1264" s="73">
        <f t="shared" si="345"/>
        <v>907.92027688745009</v>
      </c>
      <c r="AF1264" s="73">
        <f>SUM(AE$2:AE1264)</f>
        <v>1064876.4902429995</v>
      </c>
      <c r="AG1264" s="73">
        <f t="shared" si="346"/>
        <v>108853.41218410968</v>
      </c>
    </row>
    <row r="1265" spans="1:33" x14ac:dyDescent="0.25">
      <c r="A1265" s="99">
        <v>213399.92</v>
      </c>
      <c r="B1265" s="96">
        <v>702.42319999999995</v>
      </c>
      <c r="C1265" s="96">
        <v>0.6</v>
      </c>
      <c r="D1265" s="80">
        <f t="shared" si="352"/>
        <v>100</v>
      </c>
      <c r="E1265" s="81">
        <f t="shared" si="339"/>
        <v>6791.2436711181272</v>
      </c>
      <c r="F1265" s="81">
        <f>SUM(E$2:E1265)</f>
        <v>7966343.3811642705</v>
      </c>
      <c r="G1265" s="43">
        <f t="shared" si="337"/>
        <v>1</v>
      </c>
      <c r="H1265" s="78">
        <v>1</v>
      </c>
      <c r="I1265" s="15">
        <f t="shared" si="340"/>
        <v>0.6</v>
      </c>
      <c r="J1265" s="16">
        <f>VLOOKUP(G1265,Inputs!$L$3:$P$15,5,FALSE)</f>
        <v>2000</v>
      </c>
      <c r="K1265" s="16">
        <f t="shared" si="341"/>
        <v>1825</v>
      </c>
      <c r="L1265" s="79">
        <f>Inputs!$P$8-B1265</f>
        <v>235.76780000000008</v>
      </c>
      <c r="M1265" s="79">
        <f>Inputs!$Q$8+L1265*0.433</f>
        <v>1927.0874573999999</v>
      </c>
      <c r="N1265" s="82">
        <f t="shared" si="342"/>
        <v>213399.92</v>
      </c>
      <c r="O1265" s="83">
        <f t="shared" si="343"/>
        <v>702.42319999999995</v>
      </c>
      <c r="P1265" s="84">
        <f>IF(O1265="","",Inputs!$C$5-O1265)</f>
        <v>122.76130000000001</v>
      </c>
      <c r="Q1265" s="83">
        <f>IF(N1265="","",TS!J1265)</f>
        <v>2000</v>
      </c>
      <c r="R1265" s="83">
        <f>IF(N1265="","",TS!K1265)</f>
        <v>1825</v>
      </c>
      <c r="S1265" s="83">
        <f>Inputs!$H$5+TS!P1265*0.4333</f>
        <v>1928.1581877399999</v>
      </c>
      <c r="T1265" s="83">
        <f>Inputs!$G$5+TS!P1265*0.4333</f>
        <v>1943.1581877399999</v>
      </c>
      <c r="U1265" s="85">
        <f t="shared" si="344"/>
        <v>0.97157909386999997</v>
      </c>
      <c r="V1265" s="86">
        <f t="shared" si="347"/>
        <v>0</v>
      </c>
      <c r="W1265" s="86">
        <f t="shared" si="348"/>
        <v>0</v>
      </c>
      <c r="X1265" s="86" t="e">
        <f>((PI()*((42-2*'Gen Calcs'!$E$13)^2)/4)/144)*(A1308-#REF!)*(W1265+14.7)/14.7</f>
        <v>#REF!</v>
      </c>
      <c r="Y1265" s="86" t="e">
        <f t="shared" si="349"/>
        <v>#REF!</v>
      </c>
      <c r="Z1265" s="86" t="e">
        <f t="shared" si="350"/>
        <v>#REF!</v>
      </c>
      <c r="AA1265" s="83">
        <f>MAX(B$2:B1265)-B1265</f>
        <v>235.76780000000008</v>
      </c>
      <c r="AB1265" s="83">
        <f t="shared" si="351"/>
        <v>102.08745740000003</v>
      </c>
      <c r="AC1265" s="83">
        <f t="shared" si="338"/>
        <v>120</v>
      </c>
      <c r="AD1265" s="72">
        <v>120</v>
      </c>
      <c r="AE1265" s="73">
        <f t="shared" si="345"/>
        <v>907.92027688745009</v>
      </c>
      <c r="AF1265" s="73">
        <f>SUM(AE$2:AE1265)</f>
        <v>1065784.410519887</v>
      </c>
      <c r="AG1265" s="73">
        <f t="shared" si="346"/>
        <v>107945.4919072222</v>
      </c>
    </row>
    <row r="1266" spans="1:33" x14ac:dyDescent="0.25">
      <c r="A1266" s="100">
        <v>213499.92</v>
      </c>
      <c r="B1266" s="97">
        <v>702.43389999999999</v>
      </c>
      <c r="C1266" s="97">
        <v>0.6</v>
      </c>
      <c r="D1266" s="80">
        <f t="shared" si="352"/>
        <v>100</v>
      </c>
      <c r="E1266" s="81">
        <f t="shared" si="339"/>
        <v>6616.6076625842816</v>
      </c>
      <c r="F1266" s="81">
        <f>SUM(E$2:E1266)</f>
        <v>7972959.9888268551</v>
      </c>
      <c r="G1266" s="43">
        <f t="shared" si="337"/>
        <v>1</v>
      </c>
      <c r="H1266" s="78">
        <v>1</v>
      </c>
      <c r="I1266" s="15">
        <f t="shared" si="340"/>
        <v>0.6</v>
      </c>
      <c r="J1266" s="16">
        <f>VLOOKUP(G1266,Inputs!$L$3:$P$15,5,FALSE)</f>
        <v>2000</v>
      </c>
      <c r="K1266" s="16">
        <f t="shared" si="341"/>
        <v>1825</v>
      </c>
      <c r="L1266" s="79">
        <f>Inputs!$P$8-B1266</f>
        <v>235.75710000000004</v>
      </c>
      <c r="M1266" s="79">
        <f>Inputs!$Q$8+L1266*0.433</f>
        <v>1927.0828243000001</v>
      </c>
      <c r="N1266" s="82">
        <f t="shared" si="342"/>
        <v>213499.92</v>
      </c>
      <c r="O1266" s="83">
        <f t="shared" si="343"/>
        <v>702.43389999999999</v>
      </c>
      <c r="P1266" s="84">
        <f>IF(O1266="","",Inputs!$C$5-O1266)</f>
        <v>122.75059999999996</v>
      </c>
      <c r="Q1266" s="83">
        <f>IF(N1266="","",TS!J1266)</f>
        <v>2000</v>
      </c>
      <c r="R1266" s="83">
        <f>IF(N1266="","",TS!K1266)</f>
        <v>1825</v>
      </c>
      <c r="S1266" s="83">
        <f>Inputs!$H$5+TS!P1266*0.4333</f>
        <v>1928.1535514299999</v>
      </c>
      <c r="T1266" s="83">
        <f>Inputs!$G$5+TS!P1266*0.4333</f>
        <v>1943.1535514299999</v>
      </c>
      <c r="U1266" s="85">
        <f t="shared" si="344"/>
        <v>0.9715767757149999</v>
      </c>
      <c r="V1266" s="86">
        <f t="shared" si="347"/>
        <v>0</v>
      </c>
      <c r="W1266" s="86">
        <f t="shared" si="348"/>
        <v>0</v>
      </c>
      <c r="X1266" s="86" t="e">
        <f>((PI()*((42-2*'Gen Calcs'!$E$13)^2)/4)/144)*(A1309-#REF!)*(W1266+14.7)/14.7</f>
        <v>#REF!</v>
      </c>
      <c r="Y1266" s="86" t="e">
        <f t="shared" si="349"/>
        <v>#REF!</v>
      </c>
      <c r="Z1266" s="86" t="e">
        <f t="shared" si="350"/>
        <v>#REF!</v>
      </c>
      <c r="AA1266" s="83">
        <f>MAX(B$2:B1266)-B1266</f>
        <v>235.75710000000004</v>
      </c>
      <c r="AB1266" s="83">
        <f t="shared" si="351"/>
        <v>102.08282430000001</v>
      </c>
      <c r="AC1266" s="83">
        <f t="shared" si="338"/>
        <v>120</v>
      </c>
      <c r="AD1266" s="72">
        <v>120</v>
      </c>
      <c r="AE1266" s="73">
        <f t="shared" si="345"/>
        <v>907.92027688745009</v>
      </c>
      <c r="AF1266" s="73">
        <f>SUM(AE$2:AE1266)</f>
        <v>1066692.3307967745</v>
      </c>
      <c r="AG1266" s="73">
        <f t="shared" si="346"/>
        <v>107037.57163033471</v>
      </c>
    </row>
    <row r="1267" spans="1:33" x14ac:dyDescent="0.25">
      <c r="A1267" s="99">
        <v>213599.92</v>
      </c>
      <c r="B1267" s="96">
        <v>701.76850000000002</v>
      </c>
      <c r="C1267" s="96">
        <v>0.6</v>
      </c>
      <c r="D1267" s="80">
        <f t="shared" si="352"/>
        <v>100</v>
      </c>
      <c r="E1267" s="81">
        <f t="shared" si="339"/>
        <v>6791.2436711181272</v>
      </c>
      <c r="F1267" s="81">
        <f>SUM(E$2:E1267)</f>
        <v>7979751.2324979734</v>
      </c>
      <c r="G1267" s="43">
        <f t="shared" si="337"/>
        <v>1</v>
      </c>
      <c r="H1267" s="78">
        <v>1</v>
      </c>
      <c r="I1267" s="15">
        <f t="shared" si="340"/>
        <v>0.6</v>
      </c>
      <c r="J1267" s="16">
        <f>VLOOKUP(G1267,Inputs!$L$3:$P$15,5,FALSE)</f>
        <v>2000</v>
      </c>
      <c r="K1267" s="16">
        <f t="shared" si="341"/>
        <v>1825</v>
      </c>
      <c r="L1267" s="79">
        <f>Inputs!$P$8-B1267</f>
        <v>236.42250000000001</v>
      </c>
      <c r="M1267" s="79">
        <f>Inputs!$Q$8+L1267*0.433</f>
        <v>1927.3709425</v>
      </c>
      <c r="N1267" s="82">
        <f t="shared" si="342"/>
        <v>213599.92</v>
      </c>
      <c r="O1267" s="83">
        <f t="shared" si="343"/>
        <v>701.76850000000002</v>
      </c>
      <c r="P1267" s="84">
        <f>IF(O1267="","",Inputs!$C$5-O1267)</f>
        <v>123.41599999999994</v>
      </c>
      <c r="Q1267" s="83">
        <f>IF(N1267="","",TS!J1267)</f>
        <v>2000</v>
      </c>
      <c r="R1267" s="83">
        <f>IF(N1267="","",TS!K1267)</f>
        <v>1825</v>
      </c>
      <c r="S1267" s="83">
        <f>Inputs!$H$5+TS!P1267*0.4333</f>
        <v>1928.4418692499999</v>
      </c>
      <c r="T1267" s="83">
        <f>Inputs!$G$5+TS!P1267*0.4333</f>
        <v>1943.4418692499999</v>
      </c>
      <c r="U1267" s="85">
        <f t="shared" si="344"/>
        <v>0.97172093462499998</v>
      </c>
      <c r="V1267" s="86">
        <f t="shared" si="347"/>
        <v>0</v>
      </c>
      <c r="W1267" s="86">
        <f t="shared" si="348"/>
        <v>0</v>
      </c>
      <c r="X1267" s="86" t="e">
        <f>((PI()*((42-2*'Gen Calcs'!$E$13)^2)/4)/144)*(A1310-#REF!)*(W1267+14.7)/14.7</f>
        <v>#REF!</v>
      </c>
      <c r="Y1267" s="86" t="e">
        <f t="shared" si="349"/>
        <v>#REF!</v>
      </c>
      <c r="Z1267" s="86" t="e">
        <f t="shared" si="350"/>
        <v>#REF!</v>
      </c>
      <c r="AA1267" s="83">
        <f>MAX(B$2:B1267)-B1267</f>
        <v>236.42250000000001</v>
      </c>
      <c r="AB1267" s="83">
        <f t="shared" si="351"/>
        <v>102.3709425</v>
      </c>
      <c r="AC1267" s="83">
        <f t="shared" si="338"/>
        <v>120</v>
      </c>
      <c r="AD1267" s="72">
        <v>120</v>
      </c>
      <c r="AE1267" s="73">
        <f t="shared" si="345"/>
        <v>907.92027688745009</v>
      </c>
      <c r="AF1267" s="73">
        <f>SUM(AE$2:AE1267)</f>
        <v>1067600.251073662</v>
      </c>
      <c r="AG1267" s="73">
        <f t="shared" si="346"/>
        <v>106129.65135344723</v>
      </c>
    </row>
    <row r="1268" spans="1:33" x14ac:dyDescent="0.25">
      <c r="A1268" s="100">
        <v>213699.92</v>
      </c>
      <c r="B1268" s="97">
        <v>701.08130000000006</v>
      </c>
      <c r="C1268" s="97">
        <v>0.6</v>
      </c>
      <c r="D1268" s="80">
        <f t="shared" si="352"/>
        <v>100</v>
      </c>
      <c r="E1268" s="81">
        <f t="shared" si="339"/>
        <v>6791.2436711181272</v>
      </c>
      <c r="F1268" s="81">
        <f>SUM(E$2:E1268)</f>
        <v>7986542.4761690916</v>
      </c>
      <c r="G1268" s="43">
        <f t="shared" si="337"/>
        <v>1</v>
      </c>
      <c r="H1268" s="78">
        <v>1</v>
      </c>
      <c r="I1268" s="15">
        <f t="shared" si="340"/>
        <v>0.6</v>
      </c>
      <c r="J1268" s="16">
        <f>VLOOKUP(G1268,Inputs!$L$3:$P$15,5,FALSE)</f>
        <v>2000</v>
      </c>
      <c r="K1268" s="16">
        <f t="shared" si="341"/>
        <v>1825</v>
      </c>
      <c r="L1268" s="79">
        <f>Inputs!$P$8-B1268</f>
        <v>237.10969999999998</v>
      </c>
      <c r="M1268" s="79">
        <f>Inputs!$Q$8+L1268*0.433</f>
        <v>1927.6685001000001</v>
      </c>
      <c r="N1268" s="82">
        <f t="shared" si="342"/>
        <v>213699.92</v>
      </c>
      <c r="O1268" s="83">
        <f t="shared" si="343"/>
        <v>701.08130000000006</v>
      </c>
      <c r="P1268" s="84">
        <f>IF(O1268="","",Inputs!$C$5-O1268)</f>
        <v>124.1031999999999</v>
      </c>
      <c r="Q1268" s="83">
        <f>IF(N1268="","",TS!J1268)</f>
        <v>2000</v>
      </c>
      <c r="R1268" s="83">
        <f>IF(N1268="","",TS!K1268)</f>
        <v>1825</v>
      </c>
      <c r="S1268" s="83">
        <f>Inputs!$H$5+TS!P1268*0.4333</f>
        <v>1928.7396330099998</v>
      </c>
      <c r="T1268" s="83">
        <f>Inputs!$G$5+TS!P1268*0.4333</f>
        <v>1943.7396330099998</v>
      </c>
      <c r="U1268" s="85">
        <f t="shared" si="344"/>
        <v>0.97186981650499993</v>
      </c>
      <c r="V1268" s="86">
        <f t="shared" si="347"/>
        <v>0</v>
      </c>
      <c r="W1268" s="86">
        <f t="shared" si="348"/>
        <v>0</v>
      </c>
      <c r="X1268" s="86" t="e">
        <f>((PI()*((42-2*'Gen Calcs'!$E$13)^2)/4)/144)*(A1311-#REF!)*(W1268+14.7)/14.7</f>
        <v>#REF!</v>
      </c>
      <c r="Y1268" s="86" t="e">
        <f t="shared" si="349"/>
        <v>#REF!</v>
      </c>
      <c r="Z1268" s="86" t="e">
        <f t="shared" si="350"/>
        <v>#REF!</v>
      </c>
      <c r="AA1268" s="83">
        <f>MAX(B$2:B1268)-B1268</f>
        <v>237.10969999999998</v>
      </c>
      <c r="AB1268" s="83">
        <f t="shared" si="351"/>
        <v>102.66850009999999</v>
      </c>
      <c r="AC1268" s="83">
        <f t="shared" si="338"/>
        <v>120</v>
      </c>
      <c r="AD1268" s="72">
        <v>120</v>
      </c>
      <c r="AE1268" s="73">
        <f t="shared" si="345"/>
        <v>907.92027688745009</v>
      </c>
      <c r="AF1268" s="73">
        <f>SUM(AE$2:AE1268)</f>
        <v>1068508.1713505494</v>
      </c>
      <c r="AG1268" s="73">
        <f t="shared" si="346"/>
        <v>105221.73107655975</v>
      </c>
    </row>
    <row r="1269" spans="1:33" x14ac:dyDescent="0.25">
      <c r="A1269" s="99">
        <v>213799.92</v>
      </c>
      <c r="B1269" s="96">
        <v>700.65049999999997</v>
      </c>
      <c r="C1269" s="96">
        <v>0.6</v>
      </c>
      <c r="D1269" s="80">
        <f t="shared" si="352"/>
        <v>100</v>
      </c>
      <c r="E1269" s="81">
        <f t="shared" si="339"/>
        <v>6791.2436711181272</v>
      </c>
      <c r="F1269" s="81">
        <f>SUM(E$2:E1269)</f>
        <v>7993333.7198402099</v>
      </c>
      <c r="G1269" s="43">
        <f t="shared" si="337"/>
        <v>1</v>
      </c>
      <c r="H1269" s="78">
        <v>1</v>
      </c>
      <c r="I1269" s="15">
        <f t="shared" si="340"/>
        <v>0.6</v>
      </c>
      <c r="J1269" s="16">
        <f>VLOOKUP(G1269,Inputs!$L$3:$P$15,5,FALSE)</f>
        <v>2000</v>
      </c>
      <c r="K1269" s="16">
        <f t="shared" si="341"/>
        <v>1825</v>
      </c>
      <c r="L1269" s="79">
        <f>Inputs!$P$8-B1269</f>
        <v>237.54050000000007</v>
      </c>
      <c r="M1269" s="79">
        <f>Inputs!$Q$8+L1269*0.433</f>
        <v>1927.8550365000001</v>
      </c>
      <c r="N1269" s="82">
        <f t="shared" si="342"/>
        <v>213799.92</v>
      </c>
      <c r="O1269" s="83">
        <f t="shared" si="343"/>
        <v>700.65049999999997</v>
      </c>
      <c r="P1269" s="84">
        <f>IF(O1269="","",Inputs!$C$5-O1269)</f>
        <v>124.53399999999999</v>
      </c>
      <c r="Q1269" s="83">
        <f>IF(N1269="","",TS!J1269)</f>
        <v>2000</v>
      </c>
      <c r="R1269" s="83">
        <f>IF(N1269="","",TS!K1269)</f>
        <v>1825</v>
      </c>
      <c r="S1269" s="83">
        <f>Inputs!$H$5+TS!P1269*0.4333</f>
        <v>1928.92629865</v>
      </c>
      <c r="T1269" s="83">
        <f>Inputs!$G$5+TS!P1269*0.4333</f>
        <v>1943.92629865</v>
      </c>
      <c r="U1269" s="85">
        <f t="shared" si="344"/>
        <v>0.97196314932500005</v>
      </c>
      <c r="V1269" s="86">
        <f t="shared" si="347"/>
        <v>0</v>
      </c>
      <c r="W1269" s="86">
        <f t="shared" si="348"/>
        <v>0</v>
      </c>
      <c r="X1269" s="86" t="e">
        <f>((PI()*((42-2*'Gen Calcs'!$E$13)^2)/4)/144)*(A1312-#REF!)*(W1269+14.7)/14.7</f>
        <v>#REF!</v>
      </c>
      <c r="Y1269" s="86" t="e">
        <f t="shared" si="349"/>
        <v>#REF!</v>
      </c>
      <c r="Z1269" s="86" t="e">
        <f t="shared" si="350"/>
        <v>#REF!</v>
      </c>
      <c r="AA1269" s="83">
        <f>MAX(B$2:B1269)-B1269</f>
        <v>237.54050000000007</v>
      </c>
      <c r="AB1269" s="83">
        <f t="shared" si="351"/>
        <v>102.85503650000003</v>
      </c>
      <c r="AC1269" s="83">
        <f t="shared" si="338"/>
        <v>120</v>
      </c>
      <c r="AD1269" s="72">
        <v>120</v>
      </c>
      <c r="AE1269" s="73">
        <f t="shared" si="345"/>
        <v>907.92027688745009</v>
      </c>
      <c r="AF1269" s="73">
        <f>SUM(AE$2:AE1269)</f>
        <v>1069416.0916274369</v>
      </c>
      <c r="AG1269" s="73">
        <f t="shared" si="346"/>
        <v>104313.81079967227</v>
      </c>
    </row>
    <row r="1270" spans="1:33" x14ac:dyDescent="0.25">
      <c r="A1270" s="100">
        <v>213899.92</v>
      </c>
      <c r="B1270" s="97">
        <v>699.21889999999996</v>
      </c>
      <c r="C1270" s="97">
        <v>0.6</v>
      </c>
      <c r="D1270" s="80">
        <f t="shared" si="352"/>
        <v>100</v>
      </c>
      <c r="E1270" s="81">
        <f t="shared" si="339"/>
        <v>6791.2436711181272</v>
      </c>
      <c r="F1270" s="81">
        <f>SUM(E$2:E1270)</f>
        <v>8000124.9635113282</v>
      </c>
      <c r="G1270" s="43">
        <f t="shared" si="337"/>
        <v>1</v>
      </c>
      <c r="H1270" s="78">
        <v>1</v>
      </c>
      <c r="I1270" s="15">
        <f t="shared" si="340"/>
        <v>0.6</v>
      </c>
      <c r="J1270" s="16">
        <f>VLOOKUP(G1270,Inputs!$L$3:$P$15,5,FALSE)</f>
        <v>2000</v>
      </c>
      <c r="K1270" s="16">
        <f t="shared" si="341"/>
        <v>1825</v>
      </c>
      <c r="L1270" s="79">
        <f>Inputs!$P$8-B1270</f>
        <v>238.97210000000007</v>
      </c>
      <c r="M1270" s="79">
        <f>Inputs!$Q$8+L1270*0.433</f>
        <v>1928.4749193</v>
      </c>
      <c r="N1270" s="82">
        <f t="shared" si="342"/>
        <v>213899.92</v>
      </c>
      <c r="O1270" s="83">
        <f t="shared" si="343"/>
        <v>699.21889999999996</v>
      </c>
      <c r="P1270" s="84">
        <f>IF(O1270="","",Inputs!$C$5-O1270)</f>
        <v>125.96559999999999</v>
      </c>
      <c r="Q1270" s="83">
        <f>IF(N1270="","",TS!J1270)</f>
        <v>2000</v>
      </c>
      <c r="R1270" s="83">
        <f>IF(N1270="","",TS!K1270)</f>
        <v>1825</v>
      </c>
      <c r="S1270" s="83">
        <f>Inputs!$H$5+TS!P1270*0.4333</f>
        <v>1929.54661093</v>
      </c>
      <c r="T1270" s="83">
        <f>Inputs!$G$5+TS!P1270*0.4333</f>
        <v>1944.54661093</v>
      </c>
      <c r="U1270" s="85">
        <f t="shared" si="344"/>
        <v>0.97227330546500002</v>
      </c>
      <c r="V1270" s="86">
        <f t="shared" si="347"/>
        <v>0</v>
      </c>
      <c r="W1270" s="86">
        <f t="shared" si="348"/>
        <v>0</v>
      </c>
      <c r="X1270" s="86" t="e">
        <f>((PI()*((42-2*'Gen Calcs'!$E$13)^2)/4)/144)*(A1313-#REF!)*(W1270+14.7)/14.7</f>
        <v>#REF!</v>
      </c>
      <c r="Y1270" s="86" t="e">
        <f t="shared" si="349"/>
        <v>#REF!</v>
      </c>
      <c r="Z1270" s="86" t="e">
        <f t="shared" si="350"/>
        <v>#REF!</v>
      </c>
      <c r="AA1270" s="83">
        <f>MAX(B$2:B1270)-B1270</f>
        <v>238.97210000000007</v>
      </c>
      <c r="AB1270" s="83">
        <f t="shared" si="351"/>
        <v>103.47491930000002</v>
      </c>
      <c r="AC1270" s="83">
        <f t="shared" si="338"/>
        <v>120</v>
      </c>
      <c r="AD1270" s="72">
        <v>120</v>
      </c>
      <c r="AE1270" s="73">
        <f t="shared" si="345"/>
        <v>907.92027688745009</v>
      </c>
      <c r="AF1270" s="73">
        <f>SUM(AE$2:AE1270)</f>
        <v>1070324.0119043244</v>
      </c>
      <c r="AG1270" s="73">
        <f t="shared" si="346"/>
        <v>103405.89052278479</v>
      </c>
    </row>
    <row r="1271" spans="1:33" x14ac:dyDescent="0.25">
      <c r="A1271" s="99">
        <v>213999.92</v>
      </c>
      <c r="B1271" s="96">
        <v>696.5521</v>
      </c>
      <c r="C1271" s="96">
        <v>0.6</v>
      </c>
      <c r="D1271" s="80">
        <f t="shared" si="352"/>
        <v>100</v>
      </c>
      <c r="E1271" s="81">
        <f t="shared" si="339"/>
        <v>6791.2436711181272</v>
      </c>
      <c r="F1271" s="81">
        <f>SUM(E$2:E1271)</f>
        <v>8006916.2071824465</v>
      </c>
      <c r="G1271" s="43">
        <f t="shared" si="337"/>
        <v>1</v>
      </c>
      <c r="H1271" s="78">
        <v>1</v>
      </c>
      <c r="I1271" s="15">
        <f t="shared" si="340"/>
        <v>0.6</v>
      </c>
      <c r="J1271" s="16">
        <f>VLOOKUP(G1271,Inputs!$L$3:$P$15,5,FALSE)</f>
        <v>2000</v>
      </c>
      <c r="K1271" s="16">
        <f t="shared" si="341"/>
        <v>1825</v>
      </c>
      <c r="L1271" s="79">
        <f>Inputs!$P$8-B1271</f>
        <v>241.63890000000004</v>
      </c>
      <c r="M1271" s="79">
        <f>Inputs!$Q$8+L1271*0.433</f>
        <v>1929.6296437000001</v>
      </c>
      <c r="N1271" s="82">
        <f t="shared" si="342"/>
        <v>213999.92</v>
      </c>
      <c r="O1271" s="83">
        <f t="shared" si="343"/>
        <v>696.5521</v>
      </c>
      <c r="P1271" s="84">
        <f>IF(O1271="","",Inputs!$C$5-O1271)</f>
        <v>128.63239999999996</v>
      </c>
      <c r="Q1271" s="83">
        <f>IF(N1271="","",TS!J1271)</f>
        <v>2000</v>
      </c>
      <c r="R1271" s="83">
        <f>IF(N1271="","",TS!K1271)</f>
        <v>1825</v>
      </c>
      <c r="S1271" s="83">
        <f>Inputs!$H$5+TS!P1271*0.4333</f>
        <v>1930.70213537</v>
      </c>
      <c r="T1271" s="83">
        <f>Inputs!$G$5+TS!P1271*0.4333</f>
        <v>1945.70213537</v>
      </c>
      <c r="U1271" s="85">
        <f t="shared" si="344"/>
        <v>0.97285106768499996</v>
      </c>
      <c r="V1271" s="86">
        <f t="shared" si="347"/>
        <v>0</v>
      </c>
      <c r="W1271" s="86">
        <f t="shared" si="348"/>
        <v>0</v>
      </c>
      <c r="X1271" s="86" t="e">
        <f>((PI()*((42-2*'Gen Calcs'!$E$13)^2)/4)/144)*(A1314-#REF!)*(W1271+14.7)/14.7</f>
        <v>#REF!</v>
      </c>
      <c r="Y1271" s="86" t="e">
        <f t="shared" si="349"/>
        <v>#REF!</v>
      </c>
      <c r="Z1271" s="86" t="e">
        <f t="shared" si="350"/>
        <v>#REF!</v>
      </c>
      <c r="AA1271" s="83">
        <f>MAX(B$2:B1271)-B1271</f>
        <v>241.63890000000004</v>
      </c>
      <c r="AB1271" s="83">
        <f t="shared" si="351"/>
        <v>104.62964370000002</v>
      </c>
      <c r="AC1271" s="83">
        <f t="shared" si="338"/>
        <v>120</v>
      </c>
      <c r="AD1271" s="72">
        <v>120</v>
      </c>
      <c r="AE1271" s="73">
        <f t="shared" si="345"/>
        <v>907.92027688745009</v>
      </c>
      <c r="AF1271" s="73">
        <f>SUM(AE$2:AE1271)</f>
        <v>1071231.9321812119</v>
      </c>
      <c r="AG1271" s="73">
        <f t="shared" si="346"/>
        <v>102497.9702458973</v>
      </c>
    </row>
    <row r="1272" spans="1:33" x14ac:dyDescent="0.25">
      <c r="A1272" s="100">
        <v>214099.92</v>
      </c>
      <c r="B1272" s="97">
        <v>693.13289999999995</v>
      </c>
      <c r="C1272" s="97">
        <v>0.6</v>
      </c>
      <c r="D1272" s="80">
        <f t="shared" si="352"/>
        <v>100</v>
      </c>
      <c r="E1272" s="81">
        <f t="shared" si="339"/>
        <v>6791.2436711181272</v>
      </c>
      <c r="F1272" s="81">
        <f>SUM(E$2:E1272)</f>
        <v>8013707.4508535648</v>
      </c>
      <c r="G1272" s="43">
        <f t="shared" si="337"/>
        <v>1</v>
      </c>
      <c r="H1272" s="78">
        <v>1</v>
      </c>
      <c r="I1272" s="15">
        <f t="shared" si="340"/>
        <v>0.6</v>
      </c>
      <c r="J1272" s="16">
        <f>VLOOKUP(G1272,Inputs!$L$3:$P$15,5,FALSE)</f>
        <v>2000</v>
      </c>
      <c r="K1272" s="16">
        <f t="shared" si="341"/>
        <v>1825</v>
      </c>
      <c r="L1272" s="79">
        <f>Inputs!$P$8-B1272</f>
        <v>245.05810000000008</v>
      </c>
      <c r="M1272" s="79">
        <f>Inputs!$Q$8+L1272*0.433</f>
        <v>1931.1101573000001</v>
      </c>
      <c r="N1272" s="82">
        <f t="shared" si="342"/>
        <v>214099.92</v>
      </c>
      <c r="O1272" s="83">
        <f t="shared" si="343"/>
        <v>693.13289999999995</v>
      </c>
      <c r="P1272" s="84">
        <f>IF(O1272="","",Inputs!$C$5-O1272)</f>
        <v>132.05160000000001</v>
      </c>
      <c r="Q1272" s="83">
        <f>IF(N1272="","",TS!J1272)</f>
        <v>2000</v>
      </c>
      <c r="R1272" s="83">
        <f>IF(N1272="","",TS!K1272)</f>
        <v>1825</v>
      </c>
      <c r="S1272" s="83">
        <f>Inputs!$H$5+TS!P1272*0.4333</f>
        <v>1932.1836747299999</v>
      </c>
      <c r="T1272" s="83">
        <f>Inputs!$G$5+TS!P1272*0.4333</f>
        <v>1947.1836747299999</v>
      </c>
      <c r="U1272" s="85">
        <f t="shared" si="344"/>
        <v>0.97359183736499999</v>
      </c>
      <c r="V1272" s="86">
        <f t="shared" si="347"/>
        <v>0</v>
      </c>
      <c r="W1272" s="86">
        <f t="shared" si="348"/>
        <v>0</v>
      </c>
      <c r="X1272" s="86" t="e">
        <f>((PI()*((42-2*'Gen Calcs'!$E$13)^2)/4)/144)*(A1315-#REF!)*(W1272+14.7)/14.7</f>
        <v>#REF!</v>
      </c>
      <c r="Y1272" s="86" t="e">
        <f t="shared" si="349"/>
        <v>#REF!</v>
      </c>
      <c r="Z1272" s="86" t="e">
        <f t="shared" si="350"/>
        <v>#REF!</v>
      </c>
      <c r="AA1272" s="83">
        <f>MAX(B$2:B1272)-B1272</f>
        <v>245.05810000000008</v>
      </c>
      <c r="AB1272" s="83">
        <f t="shared" si="351"/>
        <v>106.11015730000004</v>
      </c>
      <c r="AC1272" s="83">
        <f t="shared" si="338"/>
        <v>120</v>
      </c>
      <c r="AD1272" s="72">
        <v>120</v>
      </c>
      <c r="AE1272" s="73">
        <f t="shared" si="345"/>
        <v>907.92027688745009</v>
      </c>
      <c r="AF1272" s="73">
        <f>SUM(AE$2:AE1272)</f>
        <v>1072139.8524580994</v>
      </c>
      <c r="AG1272" s="73">
        <f t="shared" si="346"/>
        <v>101590.04996900982</v>
      </c>
    </row>
    <row r="1273" spans="1:33" x14ac:dyDescent="0.25">
      <c r="A1273" s="99">
        <v>214199.92</v>
      </c>
      <c r="B1273" s="96">
        <v>689.4914</v>
      </c>
      <c r="C1273" s="96">
        <v>0.6</v>
      </c>
      <c r="D1273" s="80">
        <f t="shared" si="352"/>
        <v>100</v>
      </c>
      <c r="E1273" s="81">
        <f t="shared" si="339"/>
        <v>6791.2436711181272</v>
      </c>
      <c r="F1273" s="81">
        <f>SUM(E$2:E1273)</f>
        <v>8020498.6945246831</v>
      </c>
      <c r="G1273" s="43">
        <f t="shared" si="337"/>
        <v>1</v>
      </c>
      <c r="H1273" s="78">
        <v>1</v>
      </c>
      <c r="I1273" s="15">
        <f t="shared" si="340"/>
        <v>0.6</v>
      </c>
      <c r="J1273" s="16">
        <f>VLOOKUP(G1273,Inputs!$L$3:$P$15,5,FALSE)</f>
        <v>2000</v>
      </c>
      <c r="K1273" s="16">
        <f t="shared" si="341"/>
        <v>1825</v>
      </c>
      <c r="L1273" s="79">
        <f>Inputs!$P$8-B1273</f>
        <v>248.69960000000003</v>
      </c>
      <c r="M1273" s="79">
        <f>Inputs!$Q$8+L1273*0.433</f>
        <v>1932.6869268</v>
      </c>
      <c r="N1273" s="82">
        <f t="shared" si="342"/>
        <v>214199.92</v>
      </c>
      <c r="O1273" s="83">
        <f t="shared" si="343"/>
        <v>689.4914</v>
      </c>
      <c r="P1273" s="84">
        <f>IF(O1273="","",Inputs!$C$5-O1273)</f>
        <v>135.69309999999996</v>
      </c>
      <c r="Q1273" s="83">
        <f>IF(N1273="","",TS!J1273)</f>
        <v>2000</v>
      </c>
      <c r="R1273" s="83">
        <f>IF(N1273="","",TS!K1273)</f>
        <v>1825</v>
      </c>
      <c r="S1273" s="83">
        <f>Inputs!$H$5+TS!P1273*0.4333</f>
        <v>1933.7615366799998</v>
      </c>
      <c r="T1273" s="83">
        <f>Inputs!$G$5+TS!P1273*0.4333</f>
        <v>1948.7615366799998</v>
      </c>
      <c r="U1273" s="85">
        <f t="shared" si="344"/>
        <v>0.97438076833999987</v>
      </c>
      <c r="V1273" s="86">
        <f t="shared" si="347"/>
        <v>0</v>
      </c>
      <c r="W1273" s="86">
        <f t="shared" si="348"/>
        <v>0</v>
      </c>
      <c r="X1273" s="86" t="e">
        <f>((PI()*((42-2*'Gen Calcs'!$E$13)^2)/4)/144)*(A1316-#REF!)*(W1273+14.7)/14.7</f>
        <v>#REF!</v>
      </c>
      <c r="Y1273" s="86" t="e">
        <f t="shared" si="349"/>
        <v>#REF!</v>
      </c>
      <c r="Z1273" s="86" t="e">
        <f t="shared" si="350"/>
        <v>#REF!</v>
      </c>
      <c r="AA1273" s="83">
        <f>MAX(B$2:B1273)-B1273</f>
        <v>248.69960000000003</v>
      </c>
      <c r="AB1273" s="83">
        <f t="shared" si="351"/>
        <v>107.68692680000001</v>
      </c>
      <c r="AC1273" s="83">
        <f t="shared" si="338"/>
        <v>120</v>
      </c>
      <c r="AD1273" s="72">
        <v>120</v>
      </c>
      <c r="AE1273" s="73">
        <f t="shared" si="345"/>
        <v>907.92027688745009</v>
      </c>
      <c r="AF1273" s="73">
        <f>SUM(AE$2:AE1273)</f>
        <v>1073047.7727349869</v>
      </c>
      <c r="AG1273" s="73">
        <f t="shared" si="346"/>
        <v>100682.12969212234</v>
      </c>
    </row>
    <row r="1274" spans="1:33" x14ac:dyDescent="0.25">
      <c r="A1274" s="100">
        <v>214299.92</v>
      </c>
      <c r="B1274" s="97">
        <v>690.94770000000005</v>
      </c>
      <c r="C1274" s="97">
        <v>0.6</v>
      </c>
      <c r="D1274" s="80">
        <f t="shared" si="352"/>
        <v>100</v>
      </c>
      <c r="E1274" s="81">
        <f t="shared" si="339"/>
        <v>6791.2436711181272</v>
      </c>
      <c r="F1274" s="81">
        <f>SUM(E$2:E1274)</f>
        <v>8027289.9381958013</v>
      </c>
      <c r="G1274" s="43">
        <f t="shared" si="337"/>
        <v>1</v>
      </c>
      <c r="H1274" s="78">
        <v>1</v>
      </c>
      <c r="I1274" s="15">
        <f t="shared" si="340"/>
        <v>0.6</v>
      </c>
      <c r="J1274" s="16">
        <f>VLOOKUP(G1274,Inputs!$L$3:$P$15,5,FALSE)</f>
        <v>2000</v>
      </c>
      <c r="K1274" s="16">
        <f t="shared" si="341"/>
        <v>1825</v>
      </c>
      <c r="L1274" s="79">
        <f>Inputs!$P$8-B1274</f>
        <v>247.24329999999998</v>
      </c>
      <c r="M1274" s="79">
        <f>Inputs!$Q$8+L1274*0.433</f>
        <v>1932.0563489000001</v>
      </c>
      <c r="N1274" s="82">
        <f t="shared" si="342"/>
        <v>214299.92</v>
      </c>
      <c r="O1274" s="83">
        <f t="shared" si="343"/>
        <v>690.94770000000005</v>
      </c>
      <c r="P1274" s="84">
        <f>IF(O1274="","",Inputs!$C$5-O1274)</f>
        <v>134.2367999999999</v>
      </c>
      <c r="Q1274" s="83">
        <f>IF(N1274="","",TS!J1274)</f>
        <v>2000</v>
      </c>
      <c r="R1274" s="83">
        <f>IF(N1274="","",TS!K1274)</f>
        <v>1825</v>
      </c>
      <c r="S1274" s="83">
        <f>Inputs!$H$5+TS!P1274*0.4333</f>
        <v>1933.13052189</v>
      </c>
      <c r="T1274" s="83">
        <f>Inputs!$G$5+TS!P1274*0.4333</f>
        <v>1948.13052189</v>
      </c>
      <c r="U1274" s="85">
        <f t="shared" si="344"/>
        <v>0.97406526094500001</v>
      </c>
      <c r="V1274" s="86">
        <f t="shared" si="347"/>
        <v>0</v>
      </c>
      <c r="W1274" s="86">
        <f t="shared" si="348"/>
        <v>0</v>
      </c>
      <c r="X1274" s="86" t="e">
        <f>((PI()*((42-2*'Gen Calcs'!$E$13)^2)/4)/144)*(A1317-#REF!)*(W1274+14.7)/14.7</f>
        <v>#REF!</v>
      </c>
      <c r="Y1274" s="86" t="e">
        <f t="shared" si="349"/>
        <v>#REF!</v>
      </c>
      <c r="Z1274" s="86" t="e">
        <f t="shared" si="350"/>
        <v>#REF!</v>
      </c>
      <c r="AA1274" s="83">
        <f>MAX(B$2:B1274)-B1274</f>
        <v>247.24329999999998</v>
      </c>
      <c r="AB1274" s="83">
        <f t="shared" si="351"/>
        <v>107.05634889999999</v>
      </c>
      <c r="AC1274" s="83">
        <f t="shared" si="338"/>
        <v>120</v>
      </c>
      <c r="AD1274" s="72">
        <v>120</v>
      </c>
      <c r="AE1274" s="73">
        <f t="shared" si="345"/>
        <v>907.92027688745009</v>
      </c>
      <c r="AF1274" s="73">
        <f>SUM(AE$2:AE1274)</f>
        <v>1073955.6930118743</v>
      </c>
      <c r="AG1274" s="73">
        <f t="shared" si="346"/>
        <v>99774.209415234858</v>
      </c>
    </row>
    <row r="1275" spans="1:33" x14ac:dyDescent="0.25">
      <c r="A1275" s="99">
        <v>214399.92</v>
      </c>
      <c r="B1275" s="96">
        <v>687.78319999999997</v>
      </c>
      <c r="C1275" s="96">
        <v>0.6</v>
      </c>
      <c r="D1275" s="80">
        <f t="shared" si="352"/>
        <v>100</v>
      </c>
      <c r="E1275" s="81">
        <f t="shared" si="339"/>
        <v>6791.2436711181272</v>
      </c>
      <c r="F1275" s="81">
        <f>SUM(E$2:E1275)</f>
        <v>8034081.1818669196</v>
      </c>
      <c r="G1275" s="43">
        <f t="shared" si="337"/>
        <v>1</v>
      </c>
      <c r="H1275" s="78">
        <v>1</v>
      </c>
      <c r="I1275" s="15">
        <f t="shared" si="340"/>
        <v>0.6</v>
      </c>
      <c r="J1275" s="16">
        <f>VLOOKUP(G1275,Inputs!$L$3:$P$15,5,FALSE)</f>
        <v>2000</v>
      </c>
      <c r="K1275" s="16">
        <f t="shared" si="341"/>
        <v>1825</v>
      </c>
      <c r="L1275" s="79">
        <f>Inputs!$P$8-B1275</f>
        <v>250.40780000000007</v>
      </c>
      <c r="M1275" s="79">
        <f>Inputs!$Q$8+L1275*0.433</f>
        <v>1933.4265774</v>
      </c>
      <c r="N1275" s="82">
        <f t="shared" si="342"/>
        <v>214399.92</v>
      </c>
      <c r="O1275" s="83">
        <f t="shared" si="343"/>
        <v>687.78319999999997</v>
      </c>
      <c r="P1275" s="84">
        <f>IF(O1275="","",Inputs!$C$5-O1275)</f>
        <v>137.40129999999999</v>
      </c>
      <c r="Q1275" s="83">
        <f>IF(N1275="","",TS!J1275)</f>
        <v>2000</v>
      </c>
      <c r="R1275" s="83">
        <f>IF(N1275="","",TS!K1275)</f>
        <v>1825</v>
      </c>
      <c r="S1275" s="83">
        <f>Inputs!$H$5+TS!P1275*0.4333</f>
        <v>1934.50169974</v>
      </c>
      <c r="T1275" s="83">
        <f>Inputs!$G$5+TS!P1275*0.4333</f>
        <v>1949.50169974</v>
      </c>
      <c r="U1275" s="85">
        <f t="shared" si="344"/>
        <v>0.97475084987000005</v>
      </c>
      <c r="V1275" s="86">
        <f t="shared" si="347"/>
        <v>0</v>
      </c>
      <c r="W1275" s="86">
        <f t="shared" si="348"/>
        <v>0</v>
      </c>
      <c r="X1275" s="86" t="e">
        <f>((PI()*((42-2*'Gen Calcs'!$E$13)^2)/4)/144)*(A1318-#REF!)*(W1275+14.7)/14.7</f>
        <v>#REF!</v>
      </c>
      <c r="Y1275" s="86" t="e">
        <f t="shared" si="349"/>
        <v>#REF!</v>
      </c>
      <c r="Z1275" s="86" t="e">
        <f t="shared" si="350"/>
        <v>#REF!</v>
      </c>
      <c r="AA1275" s="83">
        <f>MAX(B$2:B1275)-B1275</f>
        <v>250.40780000000007</v>
      </c>
      <c r="AB1275" s="83">
        <f t="shared" si="351"/>
        <v>108.42657740000003</v>
      </c>
      <c r="AC1275" s="83">
        <f t="shared" si="338"/>
        <v>120</v>
      </c>
      <c r="AD1275" s="72">
        <v>120</v>
      </c>
      <c r="AE1275" s="73">
        <f t="shared" si="345"/>
        <v>907.92027688745009</v>
      </c>
      <c r="AF1275" s="73">
        <f>SUM(AE$2:AE1275)</f>
        <v>1074863.6132887618</v>
      </c>
      <c r="AG1275" s="73">
        <f t="shared" si="346"/>
        <v>98866.289138347376</v>
      </c>
    </row>
    <row r="1276" spans="1:33" x14ac:dyDescent="0.25">
      <c r="A1276" s="100">
        <v>214499.92</v>
      </c>
      <c r="B1276" s="97">
        <v>694.77880000000005</v>
      </c>
      <c r="C1276" s="97">
        <v>0.6</v>
      </c>
      <c r="D1276" s="80">
        <f t="shared" si="352"/>
        <v>100</v>
      </c>
      <c r="E1276" s="81">
        <f t="shared" si="339"/>
        <v>6791.2436711181272</v>
      </c>
      <c r="F1276" s="81">
        <f>SUM(E$2:E1276)</f>
        <v>8040872.4255380379</v>
      </c>
      <c r="G1276" s="43">
        <f t="shared" si="337"/>
        <v>1</v>
      </c>
      <c r="H1276" s="78">
        <v>1</v>
      </c>
      <c r="I1276" s="15">
        <f t="shared" si="340"/>
        <v>0.6</v>
      </c>
      <c r="J1276" s="16">
        <f>VLOOKUP(G1276,Inputs!$L$3:$P$15,5,FALSE)</f>
        <v>2000</v>
      </c>
      <c r="K1276" s="16">
        <f t="shared" si="341"/>
        <v>1825</v>
      </c>
      <c r="L1276" s="79">
        <f>Inputs!$P$8-B1276</f>
        <v>243.41219999999998</v>
      </c>
      <c r="M1276" s="79">
        <f>Inputs!$Q$8+L1276*0.433</f>
        <v>1930.3974825999999</v>
      </c>
      <c r="N1276" s="82">
        <f t="shared" si="342"/>
        <v>214499.92</v>
      </c>
      <c r="O1276" s="83">
        <f t="shared" si="343"/>
        <v>694.77880000000005</v>
      </c>
      <c r="P1276" s="84">
        <f>IF(O1276="","",Inputs!$C$5-O1276)</f>
        <v>130.40569999999991</v>
      </c>
      <c r="Q1276" s="83">
        <f>IF(N1276="","",TS!J1276)</f>
        <v>2000</v>
      </c>
      <c r="R1276" s="83">
        <f>IF(N1276="","",TS!K1276)</f>
        <v>1825</v>
      </c>
      <c r="S1276" s="83">
        <f>Inputs!$H$5+TS!P1276*0.4333</f>
        <v>1931.4705062599999</v>
      </c>
      <c r="T1276" s="83">
        <f>Inputs!$G$5+TS!P1276*0.4333</f>
        <v>1946.4705062599999</v>
      </c>
      <c r="U1276" s="85">
        <f t="shared" si="344"/>
        <v>0.97323525312999992</v>
      </c>
      <c r="V1276" s="86">
        <f t="shared" si="347"/>
        <v>0</v>
      </c>
      <c r="W1276" s="86">
        <f t="shared" si="348"/>
        <v>0</v>
      </c>
      <c r="X1276" s="86" t="e">
        <f>((PI()*((42-2*'Gen Calcs'!$E$13)^2)/4)/144)*(A1319-#REF!)*(W1276+14.7)/14.7</f>
        <v>#REF!</v>
      </c>
      <c r="Y1276" s="86" t="e">
        <f t="shared" si="349"/>
        <v>#REF!</v>
      </c>
      <c r="Z1276" s="86" t="e">
        <f t="shared" si="350"/>
        <v>#REF!</v>
      </c>
      <c r="AA1276" s="83">
        <f>MAX(B$2:B1276)-B1276</f>
        <v>243.41219999999998</v>
      </c>
      <c r="AB1276" s="83">
        <f t="shared" si="351"/>
        <v>105.39748259999999</v>
      </c>
      <c r="AC1276" s="83">
        <f t="shared" si="338"/>
        <v>120</v>
      </c>
      <c r="AD1276" s="72">
        <v>120</v>
      </c>
      <c r="AE1276" s="73">
        <f t="shared" si="345"/>
        <v>907.92027688745009</v>
      </c>
      <c r="AF1276" s="73">
        <f>SUM(AE$2:AE1276)</f>
        <v>1075771.5335656493</v>
      </c>
      <c r="AG1276" s="73">
        <f t="shared" si="346"/>
        <v>97958.368861459894</v>
      </c>
    </row>
    <row r="1277" spans="1:33" x14ac:dyDescent="0.25">
      <c r="A1277" s="99">
        <v>214599.92</v>
      </c>
      <c r="B1277" s="96">
        <v>696.01250000000005</v>
      </c>
      <c r="C1277" s="96">
        <v>0.6</v>
      </c>
      <c r="D1277" s="80">
        <f t="shared" si="352"/>
        <v>100</v>
      </c>
      <c r="E1277" s="81">
        <f t="shared" si="339"/>
        <v>6791.2436711181272</v>
      </c>
      <c r="F1277" s="81">
        <f>SUM(E$2:E1277)</f>
        <v>8047663.6692091562</v>
      </c>
      <c r="G1277" s="43">
        <f t="shared" si="337"/>
        <v>1</v>
      </c>
      <c r="H1277" s="78">
        <v>1</v>
      </c>
      <c r="I1277" s="15">
        <f t="shared" si="340"/>
        <v>0.6</v>
      </c>
      <c r="J1277" s="16">
        <f>VLOOKUP(G1277,Inputs!$L$3:$P$15,5,FALSE)</f>
        <v>2000</v>
      </c>
      <c r="K1277" s="16">
        <f t="shared" si="341"/>
        <v>1825</v>
      </c>
      <c r="L1277" s="79">
        <f>Inputs!$P$8-B1277</f>
        <v>242.17849999999999</v>
      </c>
      <c r="M1277" s="79">
        <f>Inputs!$Q$8+L1277*0.433</f>
        <v>1929.8632904999999</v>
      </c>
      <c r="N1277" s="82">
        <f t="shared" si="342"/>
        <v>214599.92</v>
      </c>
      <c r="O1277" s="83">
        <f t="shared" si="343"/>
        <v>696.01250000000005</v>
      </c>
      <c r="P1277" s="84">
        <f>IF(O1277="","",Inputs!$C$5-O1277)</f>
        <v>129.17199999999991</v>
      </c>
      <c r="Q1277" s="83">
        <f>IF(N1277="","",TS!J1277)</f>
        <v>2000</v>
      </c>
      <c r="R1277" s="83">
        <f>IF(N1277="","",TS!K1277)</f>
        <v>1825</v>
      </c>
      <c r="S1277" s="83">
        <f>Inputs!$H$5+TS!P1277*0.4333</f>
        <v>1930.93594405</v>
      </c>
      <c r="T1277" s="83">
        <f>Inputs!$G$5+TS!P1277*0.4333</f>
        <v>1945.93594405</v>
      </c>
      <c r="U1277" s="85">
        <f t="shared" si="344"/>
        <v>0.97296797202499996</v>
      </c>
      <c r="V1277" s="86">
        <f t="shared" si="347"/>
        <v>0</v>
      </c>
      <c r="W1277" s="86">
        <f t="shared" si="348"/>
        <v>0</v>
      </c>
      <c r="X1277" s="86" t="e">
        <f>((PI()*((42-2*'Gen Calcs'!$E$13)^2)/4)/144)*(A1320-#REF!)*(W1277+14.7)/14.7</f>
        <v>#REF!</v>
      </c>
      <c r="Y1277" s="86" t="e">
        <f t="shared" si="349"/>
        <v>#REF!</v>
      </c>
      <c r="Z1277" s="86" t="e">
        <f t="shared" si="350"/>
        <v>#REF!</v>
      </c>
      <c r="AA1277" s="83">
        <f>MAX(B$2:B1277)-B1277</f>
        <v>242.17849999999999</v>
      </c>
      <c r="AB1277" s="83">
        <f t="shared" si="351"/>
        <v>104.86329049999999</v>
      </c>
      <c r="AC1277" s="83">
        <f t="shared" si="338"/>
        <v>120</v>
      </c>
      <c r="AD1277" s="72">
        <v>120</v>
      </c>
      <c r="AE1277" s="73">
        <f t="shared" si="345"/>
        <v>907.92027688745009</v>
      </c>
      <c r="AF1277" s="73">
        <f>SUM(AE$2:AE1277)</f>
        <v>1076679.4538425368</v>
      </c>
      <c r="AG1277" s="73">
        <f t="shared" si="346"/>
        <v>97050.448584572412</v>
      </c>
    </row>
    <row r="1278" spans="1:33" x14ac:dyDescent="0.25">
      <c r="A1278" s="100">
        <v>214699.92</v>
      </c>
      <c r="B1278" s="97">
        <v>694.18420000000003</v>
      </c>
      <c r="C1278" s="97">
        <v>0.6</v>
      </c>
      <c r="D1278" s="80">
        <f t="shared" si="352"/>
        <v>100</v>
      </c>
      <c r="E1278" s="81">
        <f t="shared" si="339"/>
        <v>6791.2436711181272</v>
      </c>
      <c r="F1278" s="81">
        <f>SUM(E$2:E1278)</f>
        <v>8054454.9128802745</v>
      </c>
      <c r="G1278" s="43">
        <f t="shared" si="337"/>
        <v>1</v>
      </c>
      <c r="H1278" s="78">
        <v>1</v>
      </c>
      <c r="I1278" s="15">
        <f t="shared" si="340"/>
        <v>0.6</v>
      </c>
      <c r="J1278" s="16">
        <f>VLOOKUP(G1278,Inputs!$L$3:$P$15,5,FALSE)</f>
        <v>2000</v>
      </c>
      <c r="K1278" s="16">
        <f t="shared" si="341"/>
        <v>1825</v>
      </c>
      <c r="L1278" s="79">
        <f>Inputs!$P$8-B1278</f>
        <v>244.0068</v>
      </c>
      <c r="M1278" s="79">
        <f>Inputs!$Q$8+L1278*0.433</f>
        <v>1930.6549444</v>
      </c>
      <c r="N1278" s="82">
        <f t="shared" si="342"/>
        <v>214699.92</v>
      </c>
      <c r="O1278" s="83">
        <f t="shared" si="343"/>
        <v>694.18420000000003</v>
      </c>
      <c r="P1278" s="84">
        <f>IF(O1278="","",Inputs!$C$5-O1278)</f>
        <v>131.00029999999992</v>
      </c>
      <c r="Q1278" s="83">
        <f>IF(N1278="","",TS!J1278)</f>
        <v>2000</v>
      </c>
      <c r="R1278" s="83">
        <f>IF(N1278="","",TS!K1278)</f>
        <v>1825</v>
      </c>
      <c r="S1278" s="83">
        <f>Inputs!$H$5+TS!P1278*0.4333</f>
        <v>1931.7281464399998</v>
      </c>
      <c r="T1278" s="83">
        <f>Inputs!$G$5+TS!P1278*0.4333</f>
        <v>1946.7281464399998</v>
      </c>
      <c r="U1278" s="85">
        <f t="shared" si="344"/>
        <v>0.97336407321999996</v>
      </c>
      <c r="V1278" s="86">
        <f t="shared" si="347"/>
        <v>0</v>
      </c>
      <c r="W1278" s="86">
        <f t="shared" si="348"/>
        <v>0</v>
      </c>
      <c r="X1278" s="86" t="e">
        <f>((PI()*((42-2*'Gen Calcs'!$E$13)^2)/4)/144)*(A1321-#REF!)*(W1278+14.7)/14.7</f>
        <v>#REF!</v>
      </c>
      <c r="Y1278" s="86" t="e">
        <f t="shared" si="349"/>
        <v>#REF!</v>
      </c>
      <c r="Z1278" s="86" t="e">
        <f t="shared" si="350"/>
        <v>#REF!</v>
      </c>
      <c r="AA1278" s="83">
        <f>MAX(B$2:B1278)-B1278</f>
        <v>244.0068</v>
      </c>
      <c r="AB1278" s="83">
        <f t="shared" si="351"/>
        <v>105.65494440000001</v>
      </c>
      <c r="AC1278" s="83">
        <f t="shared" si="338"/>
        <v>120</v>
      </c>
      <c r="AD1278" s="72">
        <v>120</v>
      </c>
      <c r="AE1278" s="73">
        <f t="shared" si="345"/>
        <v>907.92027688745009</v>
      </c>
      <c r="AF1278" s="73">
        <f>SUM(AE$2:AE1278)</f>
        <v>1077587.3741194243</v>
      </c>
      <c r="AG1278" s="73">
        <f t="shared" si="346"/>
        <v>96142.52830768493</v>
      </c>
    </row>
    <row r="1279" spans="1:33" x14ac:dyDescent="0.25">
      <c r="A1279" s="99">
        <v>214799.92</v>
      </c>
      <c r="B1279" s="96">
        <v>692.29809999999998</v>
      </c>
      <c r="C1279" s="96">
        <v>0.6</v>
      </c>
      <c r="D1279" s="80">
        <f t="shared" si="352"/>
        <v>100</v>
      </c>
      <c r="E1279" s="81">
        <f t="shared" si="339"/>
        <v>6791.2436711181272</v>
      </c>
      <c r="F1279" s="81">
        <f>SUM(E$2:E1279)</f>
        <v>8061246.1565513927</v>
      </c>
      <c r="G1279" s="43">
        <f t="shared" si="337"/>
        <v>1</v>
      </c>
      <c r="H1279" s="78">
        <v>1</v>
      </c>
      <c r="I1279" s="15">
        <f t="shared" si="340"/>
        <v>0.6</v>
      </c>
      <c r="J1279" s="16">
        <f>VLOOKUP(G1279,Inputs!$L$3:$P$15,5,FALSE)</f>
        <v>2000</v>
      </c>
      <c r="K1279" s="16">
        <f t="shared" si="341"/>
        <v>1825</v>
      </c>
      <c r="L1279" s="79">
        <f>Inputs!$P$8-B1279</f>
        <v>245.89290000000005</v>
      </c>
      <c r="M1279" s="79">
        <f>Inputs!$Q$8+L1279*0.433</f>
        <v>1931.4716257</v>
      </c>
      <c r="N1279" s="82">
        <f t="shared" si="342"/>
        <v>214799.92</v>
      </c>
      <c r="O1279" s="83">
        <f t="shared" si="343"/>
        <v>692.29809999999998</v>
      </c>
      <c r="P1279" s="84">
        <f>IF(O1279="","",Inputs!$C$5-O1279)</f>
        <v>132.88639999999998</v>
      </c>
      <c r="Q1279" s="83">
        <f>IF(N1279="","",TS!J1279)</f>
        <v>2000</v>
      </c>
      <c r="R1279" s="83">
        <f>IF(N1279="","",TS!K1279)</f>
        <v>1825</v>
      </c>
      <c r="S1279" s="83">
        <f>Inputs!$H$5+TS!P1279*0.4333</f>
        <v>1932.54539357</v>
      </c>
      <c r="T1279" s="83">
        <f>Inputs!$G$5+TS!P1279*0.4333</f>
        <v>1947.54539357</v>
      </c>
      <c r="U1279" s="85">
        <f t="shared" si="344"/>
        <v>0.973772696785</v>
      </c>
      <c r="V1279" s="86">
        <f t="shared" si="347"/>
        <v>0</v>
      </c>
      <c r="W1279" s="86">
        <f t="shared" si="348"/>
        <v>0</v>
      </c>
      <c r="X1279" s="86" t="e">
        <f>((PI()*((42-2*'Gen Calcs'!$E$13)^2)/4)/144)*(A1322-#REF!)*(W1279+14.7)/14.7</f>
        <v>#REF!</v>
      </c>
      <c r="Y1279" s="86" t="e">
        <f t="shared" si="349"/>
        <v>#REF!</v>
      </c>
      <c r="Z1279" s="86" t="e">
        <f t="shared" si="350"/>
        <v>#REF!</v>
      </c>
      <c r="AA1279" s="83">
        <f>MAX(B$2:B1279)-B1279</f>
        <v>245.89290000000005</v>
      </c>
      <c r="AB1279" s="83">
        <f t="shared" si="351"/>
        <v>106.47162570000002</v>
      </c>
      <c r="AC1279" s="83">
        <f t="shared" si="338"/>
        <v>120</v>
      </c>
      <c r="AD1279" s="72">
        <v>120</v>
      </c>
      <c r="AE1279" s="73">
        <f t="shared" si="345"/>
        <v>907.92027688745009</v>
      </c>
      <c r="AF1279" s="73">
        <f>SUM(AE$2:AE1279)</f>
        <v>1078495.2943963117</v>
      </c>
      <c r="AG1279" s="73">
        <f t="shared" si="346"/>
        <v>95234.608030797448</v>
      </c>
    </row>
    <row r="1280" spans="1:33" x14ac:dyDescent="0.25">
      <c r="A1280" s="100">
        <v>214899.92</v>
      </c>
      <c r="B1280" s="97">
        <v>691.09259999999995</v>
      </c>
      <c r="C1280" s="97">
        <v>0.6</v>
      </c>
      <c r="D1280" s="80">
        <f t="shared" si="352"/>
        <v>100</v>
      </c>
      <c r="E1280" s="81">
        <f t="shared" si="339"/>
        <v>6791.2436711181272</v>
      </c>
      <c r="F1280" s="81">
        <f>SUM(E$2:E1280)</f>
        <v>8068037.400222511</v>
      </c>
      <c r="G1280" s="43">
        <f t="shared" si="337"/>
        <v>1</v>
      </c>
      <c r="H1280" s="78">
        <v>1</v>
      </c>
      <c r="I1280" s="15">
        <f t="shared" si="340"/>
        <v>0.6</v>
      </c>
      <c r="J1280" s="16">
        <f>VLOOKUP(G1280,Inputs!$L$3:$P$15,5,FALSE)</f>
        <v>2000</v>
      </c>
      <c r="K1280" s="16">
        <f t="shared" si="341"/>
        <v>1825</v>
      </c>
      <c r="L1280" s="79">
        <f>Inputs!$P$8-B1280</f>
        <v>247.09840000000008</v>
      </c>
      <c r="M1280" s="79">
        <f>Inputs!$Q$8+L1280*0.433</f>
        <v>1931.9936072</v>
      </c>
      <c r="N1280" s="82">
        <f t="shared" si="342"/>
        <v>214899.92</v>
      </c>
      <c r="O1280" s="83">
        <f t="shared" si="343"/>
        <v>691.09259999999995</v>
      </c>
      <c r="P1280" s="84">
        <f>IF(O1280="","",Inputs!$C$5-O1280)</f>
        <v>134.09190000000001</v>
      </c>
      <c r="Q1280" s="83">
        <f>IF(N1280="","",TS!J1280)</f>
        <v>2000</v>
      </c>
      <c r="R1280" s="83">
        <f>IF(N1280="","",TS!K1280)</f>
        <v>1825</v>
      </c>
      <c r="S1280" s="83">
        <f>Inputs!$H$5+TS!P1280*0.4333</f>
        <v>1933.0677367199999</v>
      </c>
      <c r="T1280" s="83">
        <f>Inputs!$G$5+TS!P1280*0.4333</f>
        <v>1948.0677367199999</v>
      </c>
      <c r="U1280" s="85">
        <f t="shared" si="344"/>
        <v>0.97403386835999994</v>
      </c>
      <c r="V1280" s="86">
        <f t="shared" si="347"/>
        <v>0</v>
      </c>
      <c r="W1280" s="86">
        <f t="shared" si="348"/>
        <v>0</v>
      </c>
      <c r="X1280" s="86" t="e">
        <f>((PI()*((42-2*'Gen Calcs'!$E$13)^2)/4)/144)*(A1323-#REF!)*(W1280+14.7)/14.7</f>
        <v>#REF!</v>
      </c>
      <c r="Y1280" s="86" t="e">
        <f t="shared" si="349"/>
        <v>#REF!</v>
      </c>
      <c r="Z1280" s="86" t="e">
        <f t="shared" si="350"/>
        <v>#REF!</v>
      </c>
      <c r="AA1280" s="83">
        <f>MAX(B$2:B1280)-B1280</f>
        <v>247.09840000000008</v>
      </c>
      <c r="AB1280" s="83">
        <f t="shared" si="351"/>
        <v>106.99360720000003</v>
      </c>
      <c r="AC1280" s="83">
        <f t="shared" si="338"/>
        <v>120</v>
      </c>
      <c r="AD1280" s="72">
        <v>120</v>
      </c>
      <c r="AE1280" s="73">
        <f t="shared" si="345"/>
        <v>907.92027688745009</v>
      </c>
      <c r="AF1280" s="73">
        <f>SUM(AE$2:AE1280)</f>
        <v>1079403.2146731992</v>
      </c>
      <c r="AG1280" s="73">
        <f t="shared" si="346"/>
        <v>94326.687753909966</v>
      </c>
    </row>
    <row r="1281" spans="1:33" x14ac:dyDescent="0.25">
      <c r="A1281" s="99">
        <v>214999.92</v>
      </c>
      <c r="B1281" s="96">
        <v>690.03359999999998</v>
      </c>
      <c r="C1281" s="96">
        <v>0.6</v>
      </c>
      <c r="D1281" s="80">
        <f t="shared" si="352"/>
        <v>100</v>
      </c>
      <c r="E1281" s="81">
        <f t="shared" si="339"/>
        <v>6791.2436711181272</v>
      </c>
      <c r="F1281" s="81">
        <f>SUM(E$2:E1281)</f>
        <v>8074828.6438936293</v>
      </c>
      <c r="G1281" s="43">
        <f t="shared" si="337"/>
        <v>1</v>
      </c>
      <c r="H1281" s="78">
        <v>1</v>
      </c>
      <c r="I1281" s="15">
        <f t="shared" si="340"/>
        <v>0.6</v>
      </c>
      <c r="J1281" s="16">
        <f>VLOOKUP(G1281,Inputs!$L$3:$P$15,5,FALSE)</f>
        <v>2000</v>
      </c>
      <c r="K1281" s="16">
        <f t="shared" si="341"/>
        <v>1825</v>
      </c>
      <c r="L1281" s="79">
        <f>Inputs!$P$8-B1281</f>
        <v>248.15740000000005</v>
      </c>
      <c r="M1281" s="79">
        <f>Inputs!$Q$8+L1281*0.433</f>
        <v>1932.4521542</v>
      </c>
      <c r="N1281" s="82">
        <f t="shared" si="342"/>
        <v>214999.92</v>
      </c>
      <c r="O1281" s="83">
        <f t="shared" si="343"/>
        <v>690.03359999999998</v>
      </c>
      <c r="P1281" s="84">
        <f>IF(O1281="","",Inputs!$C$5-O1281)</f>
        <v>135.15089999999998</v>
      </c>
      <c r="Q1281" s="83">
        <f>IF(N1281="","",TS!J1281)</f>
        <v>2000</v>
      </c>
      <c r="R1281" s="83">
        <f>IF(N1281="","",TS!K1281)</f>
        <v>1825</v>
      </c>
      <c r="S1281" s="83">
        <f>Inputs!$H$5+TS!P1281*0.4333</f>
        <v>1933.5266014199999</v>
      </c>
      <c r="T1281" s="83">
        <f>Inputs!$G$5+TS!P1281*0.4333</f>
        <v>1948.5266014199999</v>
      </c>
      <c r="U1281" s="85">
        <f t="shared" si="344"/>
        <v>0.97426330071</v>
      </c>
      <c r="V1281" s="86">
        <f t="shared" si="347"/>
        <v>0</v>
      </c>
      <c r="W1281" s="86">
        <f t="shared" si="348"/>
        <v>0</v>
      </c>
      <c r="X1281" s="86" t="e">
        <f>((PI()*((42-2*'Gen Calcs'!$E$13)^2)/4)/144)*(A1324-#REF!)*(W1281+14.7)/14.7</f>
        <v>#REF!</v>
      </c>
      <c r="Y1281" s="86" t="e">
        <f t="shared" si="349"/>
        <v>#REF!</v>
      </c>
      <c r="Z1281" s="86" t="e">
        <f t="shared" si="350"/>
        <v>#REF!</v>
      </c>
      <c r="AA1281" s="83">
        <f>MAX(B$2:B1281)-B1281</f>
        <v>248.15740000000005</v>
      </c>
      <c r="AB1281" s="83">
        <f t="shared" si="351"/>
        <v>107.45215420000002</v>
      </c>
      <c r="AC1281" s="83">
        <f t="shared" si="338"/>
        <v>120</v>
      </c>
      <c r="AD1281" s="72">
        <v>120</v>
      </c>
      <c r="AE1281" s="73">
        <f t="shared" si="345"/>
        <v>907.92027688745009</v>
      </c>
      <c r="AF1281" s="73">
        <f>SUM(AE$2:AE1281)</f>
        <v>1080311.1349500867</v>
      </c>
      <c r="AG1281" s="73">
        <f t="shared" si="346"/>
        <v>93418.767477022484</v>
      </c>
    </row>
    <row r="1282" spans="1:33" x14ac:dyDescent="0.25">
      <c r="A1282" s="100">
        <v>215099.92</v>
      </c>
      <c r="B1282" s="97">
        <v>689.27359999999999</v>
      </c>
      <c r="C1282" s="97">
        <v>0.6</v>
      </c>
      <c r="D1282" s="80">
        <f t="shared" si="352"/>
        <v>100</v>
      </c>
      <c r="E1282" s="81">
        <f t="shared" si="339"/>
        <v>6791.2436711181272</v>
      </c>
      <c r="F1282" s="81">
        <f>SUM(E$2:E1282)</f>
        <v>8081619.8875647476</v>
      </c>
      <c r="G1282" s="43">
        <f t="shared" si="337"/>
        <v>1</v>
      </c>
      <c r="H1282" s="78">
        <v>1</v>
      </c>
      <c r="I1282" s="15">
        <f t="shared" si="340"/>
        <v>0.6</v>
      </c>
      <c r="J1282" s="16">
        <f>VLOOKUP(G1282,Inputs!$L$3:$P$15,5,FALSE)</f>
        <v>2000</v>
      </c>
      <c r="K1282" s="16">
        <f t="shared" si="341"/>
        <v>1825</v>
      </c>
      <c r="L1282" s="79">
        <f>Inputs!$P$8-B1282</f>
        <v>248.91740000000004</v>
      </c>
      <c r="M1282" s="79">
        <f>Inputs!$Q$8+L1282*0.433</f>
        <v>1932.7812342</v>
      </c>
      <c r="N1282" s="82">
        <f t="shared" si="342"/>
        <v>215099.92</v>
      </c>
      <c r="O1282" s="83">
        <f t="shared" si="343"/>
        <v>689.27359999999999</v>
      </c>
      <c r="P1282" s="84">
        <f>IF(O1282="","",Inputs!$C$5-O1282)</f>
        <v>135.91089999999997</v>
      </c>
      <c r="Q1282" s="83">
        <f>IF(N1282="","",TS!J1282)</f>
        <v>2000</v>
      </c>
      <c r="R1282" s="83">
        <f>IF(N1282="","",TS!K1282)</f>
        <v>1825</v>
      </c>
      <c r="S1282" s="83">
        <f>Inputs!$H$5+TS!P1282*0.4333</f>
        <v>1933.85590942</v>
      </c>
      <c r="T1282" s="83">
        <f>Inputs!$G$5+TS!P1282*0.4333</f>
        <v>1948.85590942</v>
      </c>
      <c r="U1282" s="85">
        <f t="shared" si="344"/>
        <v>0.97442795470999999</v>
      </c>
      <c r="V1282" s="86">
        <f t="shared" si="347"/>
        <v>0</v>
      </c>
      <c r="W1282" s="86">
        <f t="shared" si="348"/>
        <v>0</v>
      </c>
      <c r="X1282" s="86" t="e">
        <f>((PI()*((42-2*'Gen Calcs'!$E$13)^2)/4)/144)*(A1325-#REF!)*(W1282+14.7)/14.7</f>
        <v>#REF!</v>
      </c>
      <c r="Y1282" s="86" t="e">
        <f t="shared" si="349"/>
        <v>#REF!</v>
      </c>
      <c r="Z1282" s="86" t="e">
        <f t="shared" si="350"/>
        <v>#REF!</v>
      </c>
      <c r="AA1282" s="83">
        <f>MAX(B$2:B1282)-B1282</f>
        <v>248.91740000000004</v>
      </c>
      <c r="AB1282" s="83">
        <f t="shared" si="351"/>
        <v>107.78123420000001</v>
      </c>
      <c r="AC1282" s="83">
        <f t="shared" si="338"/>
        <v>120</v>
      </c>
      <c r="AD1282" s="72">
        <v>120</v>
      </c>
      <c r="AE1282" s="73">
        <f t="shared" si="345"/>
        <v>907.92027688745009</v>
      </c>
      <c r="AF1282" s="73">
        <f>SUM(AE$2:AE1282)</f>
        <v>1081219.0552269742</v>
      </c>
      <c r="AG1282" s="73">
        <f t="shared" si="346"/>
        <v>92510.847200135002</v>
      </c>
    </row>
    <row r="1283" spans="1:33" x14ac:dyDescent="0.25">
      <c r="A1283" s="99">
        <v>215199.92</v>
      </c>
      <c r="B1283" s="96">
        <v>688.1893</v>
      </c>
      <c r="C1283" s="96">
        <v>0.6</v>
      </c>
      <c r="D1283" s="80">
        <f t="shared" si="352"/>
        <v>100</v>
      </c>
      <c r="E1283" s="81">
        <f t="shared" si="339"/>
        <v>6791.2436711181272</v>
      </c>
      <c r="F1283" s="81">
        <f>SUM(E$2:E1283)</f>
        <v>8088411.1312358659</v>
      </c>
      <c r="G1283" s="43">
        <f t="shared" ref="G1283:G1346" si="353">IF(C1283=0.72,12,IF(C1283=1,11,IF(C1283=0.825,10,IF(C1283=0.6,1,IF(C1283=0.864,2,IF(C1283=0.888,3))))))</f>
        <v>1</v>
      </c>
      <c r="H1283" s="78">
        <v>1</v>
      </c>
      <c r="I1283" s="15">
        <f t="shared" si="340"/>
        <v>0.6</v>
      </c>
      <c r="J1283" s="16">
        <f>VLOOKUP(G1283,Inputs!$L$3:$P$15,5,FALSE)</f>
        <v>2000</v>
      </c>
      <c r="K1283" s="16">
        <f t="shared" si="341"/>
        <v>1825</v>
      </c>
      <c r="L1283" s="79">
        <f>Inputs!$P$8-B1283</f>
        <v>250.00170000000003</v>
      </c>
      <c r="M1283" s="79">
        <f>Inputs!$Q$8+L1283*0.433</f>
        <v>1933.2507361</v>
      </c>
      <c r="N1283" s="82">
        <f t="shared" si="342"/>
        <v>215199.92</v>
      </c>
      <c r="O1283" s="83">
        <f t="shared" si="343"/>
        <v>688.1893</v>
      </c>
      <c r="P1283" s="84">
        <f>IF(O1283="","",Inputs!$C$5-O1283)</f>
        <v>136.99519999999995</v>
      </c>
      <c r="Q1283" s="83">
        <f>IF(N1283="","",TS!J1283)</f>
        <v>2000</v>
      </c>
      <c r="R1283" s="83">
        <f>IF(N1283="","",TS!K1283)</f>
        <v>1825</v>
      </c>
      <c r="S1283" s="83">
        <f>Inputs!$H$5+TS!P1283*0.4333</f>
        <v>1934.3257366099999</v>
      </c>
      <c r="T1283" s="83">
        <f>Inputs!$G$5+TS!P1283*0.4333</f>
        <v>1949.3257366099999</v>
      </c>
      <c r="U1283" s="85">
        <f t="shared" si="344"/>
        <v>0.97466286830499993</v>
      </c>
      <c r="V1283" s="86">
        <f t="shared" si="347"/>
        <v>0</v>
      </c>
      <c r="W1283" s="86">
        <f t="shared" si="348"/>
        <v>0</v>
      </c>
      <c r="X1283" s="86" t="e">
        <f>((PI()*((42-2*'Gen Calcs'!$E$13)^2)/4)/144)*(A1326-#REF!)*(W1283+14.7)/14.7</f>
        <v>#REF!</v>
      </c>
      <c r="Y1283" s="86" t="e">
        <f t="shared" si="349"/>
        <v>#REF!</v>
      </c>
      <c r="Z1283" s="86" t="e">
        <f t="shared" si="350"/>
        <v>#REF!</v>
      </c>
      <c r="AA1283" s="83">
        <f>MAX(B$2:B1283)-B1283</f>
        <v>250.00170000000003</v>
      </c>
      <c r="AB1283" s="83">
        <f t="shared" si="351"/>
        <v>108.25073610000001</v>
      </c>
      <c r="AC1283" s="83">
        <f t="shared" ref="AC1283:AC1346" si="354">((MAX(O$2:O$1348)-O1283)-(MAX(O$2:O$1348)-O1283))*0.433+AD1283</f>
        <v>120</v>
      </c>
      <c r="AD1283" s="72">
        <v>120</v>
      </c>
      <c r="AE1283" s="73">
        <f t="shared" si="345"/>
        <v>907.92027688745009</v>
      </c>
      <c r="AF1283" s="73">
        <f>SUM(AE$2:AE1283)</f>
        <v>1082126.9755038617</v>
      </c>
      <c r="AG1283" s="73">
        <f t="shared" si="346"/>
        <v>91602.92692324752</v>
      </c>
    </row>
    <row r="1284" spans="1:33" x14ac:dyDescent="0.25">
      <c r="A1284" s="100">
        <v>215299.92</v>
      </c>
      <c r="B1284" s="97">
        <v>687.09670000000006</v>
      </c>
      <c r="C1284" s="97">
        <v>0.6</v>
      </c>
      <c r="D1284" s="80">
        <f t="shared" si="352"/>
        <v>100</v>
      </c>
      <c r="E1284" s="81">
        <f t="shared" si="339"/>
        <v>6791.2436711181272</v>
      </c>
      <c r="F1284" s="81">
        <f>SUM(E$2:E1284)</f>
        <v>8095202.3749069842</v>
      </c>
      <c r="G1284" s="43">
        <f t="shared" si="353"/>
        <v>1</v>
      </c>
      <c r="H1284" s="78">
        <v>1</v>
      </c>
      <c r="I1284" s="15">
        <f t="shared" si="340"/>
        <v>0.6</v>
      </c>
      <c r="J1284" s="16">
        <f>VLOOKUP(G1284,Inputs!$L$3:$P$15,5,FALSE)</f>
        <v>2000</v>
      </c>
      <c r="K1284" s="16">
        <f t="shared" si="341"/>
        <v>1825</v>
      </c>
      <c r="L1284" s="79">
        <f>Inputs!$P$8-B1284</f>
        <v>251.09429999999998</v>
      </c>
      <c r="M1284" s="79">
        <f>Inputs!$Q$8+L1284*0.433</f>
        <v>1933.7238319000001</v>
      </c>
      <c r="N1284" s="82">
        <f t="shared" si="342"/>
        <v>215299.92</v>
      </c>
      <c r="O1284" s="83">
        <f t="shared" si="343"/>
        <v>687.09670000000006</v>
      </c>
      <c r="P1284" s="84">
        <f>IF(O1284="","",Inputs!$C$5-O1284)</f>
        <v>138.0877999999999</v>
      </c>
      <c r="Q1284" s="83">
        <f>IF(N1284="","",TS!J1284)</f>
        <v>2000</v>
      </c>
      <c r="R1284" s="83">
        <f>IF(N1284="","",TS!K1284)</f>
        <v>1825</v>
      </c>
      <c r="S1284" s="83">
        <f>Inputs!$H$5+TS!P1284*0.4333</f>
        <v>1934.7991601899998</v>
      </c>
      <c r="T1284" s="83">
        <f>Inputs!$G$5+TS!P1284*0.4333</f>
        <v>1949.7991601899998</v>
      </c>
      <c r="U1284" s="85">
        <f t="shared" si="344"/>
        <v>0.97489958009499988</v>
      </c>
      <c r="V1284" s="86">
        <f t="shared" si="347"/>
        <v>0</v>
      </c>
      <c r="W1284" s="86">
        <f t="shared" si="348"/>
        <v>0</v>
      </c>
      <c r="X1284" s="86" t="e">
        <f>((PI()*((42-2*'Gen Calcs'!$E$13)^2)/4)/144)*(A1327-#REF!)*(W1284+14.7)/14.7</f>
        <v>#REF!</v>
      </c>
      <c r="Y1284" s="86" t="e">
        <f t="shared" si="349"/>
        <v>#REF!</v>
      </c>
      <c r="Z1284" s="86" t="e">
        <f t="shared" si="350"/>
        <v>#REF!</v>
      </c>
      <c r="AA1284" s="83">
        <f>MAX(B$2:B1284)-B1284</f>
        <v>251.09429999999998</v>
      </c>
      <c r="AB1284" s="83">
        <f t="shared" si="351"/>
        <v>108.72383189999999</v>
      </c>
      <c r="AC1284" s="83">
        <f t="shared" si="354"/>
        <v>120</v>
      </c>
      <c r="AD1284" s="72">
        <v>120</v>
      </c>
      <c r="AE1284" s="73">
        <f t="shared" si="345"/>
        <v>907.92027688745009</v>
      </c>
      <c r="AF1284" s="73">
        <f>SUM(AE$2:AE1284)</f>
        <v>1083034.8957807492</v>
      </c>
      <c r="AG1284" s="73">
        <f t="shared" si="346"/>
        <v>90695.006646360038</v>
      </c>
    </row>
    <row r="1285" spans="1:33" x14ac:dyDescent="0.25">
      <c r="A1285" s="99">
        <v>215399.92</v>
      </c>
      <c r="B1285" s="96">
        <v>686.23609999999996</v>
      </c>
      <c r="C1285" s="96">
        <v>0.6</v>
      </c>
      <c r="D1285" s="80">
        <f t="shared" si="352"/>
        <v>100</v>
      </c>
      <c r="E1285" s="81">
        <f t="shared" ref="E1285:E1348" si="355">(PI()/4*(42/12-(2*C1327/12))^2)*(D1285)*7.48</f>
        <v>6791.2436711181272</v>
      </c>
      <c r="F1285" s="81">
        <f>SUM(E$2:E1285)</f>
        <v>8101993.6185781024</v>
      </c>
      <c r="G1285" s="43">
        <f t="shared" si="353"/>
        <v>1</v>
      </c>
      <c r="H1285" s="78">
        <v>1</v>
      </c>
      <c r="I1285" s="15">
        <f t="shared" ref="I1285:I1348" si="356">C1285</f>
        <v>0.6</v>
      </c>
      <c r="J1285" s="16">
        <f>VLOOKUP(G1285,Inputs!$L$3:$P$15,5,FALSE)</f>
        <v>2000</v>
      </c>
      <c r="K1285" s="16">
        <f t="shared" ref="K1285:K1348" si="357">IF(H1285=1,1825,IF(H1285=2,1825,2220))</f>
        <v>1825</v>
      </c>
      <c r="L1285" s="79">
        <f>Inputs!$P$8-B1285</f>
        <v>251.95490000000007</v>
      </c>
      <c r="M1285" s="79">
        <f>Inputs!$Q$8+L1285*0.433</f>
        <v>1934.0964716999999</v>
      </c>
      <c r="N1285" s="82">
        <f t="shared" ref="N1285:N1348" si="358">A1285</f>
        <v>215399.92</v>
      </c>
      <c r="O1285" s="83">
        <f t="shared" ref="O1285:O1348" si="359">B1285</f>
        <v>686.23609999999996</v>
      </c>
      <c r="P1285" s="84">
        <f>IF(O1285="","",Inputs!$C$5-O1285)</f>
        <v>138.94839999999999</v>
      </c>
      <c r="Q1285" s="83">
        <f>IF(N1285="","",TS!J1285)</f>
        <v>2000</v>
      </c>
      <c r="R1285" s="83">
        <f>IF(N1285="","",TS!K1285)</f>
        <v>1825</v>
      </c>
      <c r="S1285" s="83">
        <f>Inputs!$H$5+TS!P1285*0.4333</f>
        <v>1935.1720581699999</v>
      </c>
      <c r="T1285" s="83">
        <f>Inputs!$G$5+TS!P1285*0.4333</f>
        <v>1950.1720581699999</v>
      </c>
      <c r="U1285" s="85">
        <f t="shared" ref="U1285:U1348" si="360">T1285/(140000*C1285/42)</f>
        <v>0.97508602908499997</v>
      </c>
      <c r="V1285" s="86">
        <f t="shared" si="347"/>
        <v>0</v>
      </c>
      <c r="W1285" s="86">
        <f t="shared" si="348"/>
        <v>0</v>
      </c>
      <c r="X1285" s="86" t="e">
        <f>((PI()*((42-2*'Gen Calcs'!$E$13)^2)/4)/144)*(A1328-#REF!)*(W1285+14.7)/14.7</f>
        <v>#REF!</v>
      </c>
      <c r="Y1285" s="86" t="e">
        <f t="shared" si="349"/>
        <v>#REF!</v>
      </c>
      <c r="Z1285" s="86" t="e">
        <f t="shared" si="350"/>
        <v>#REF!</v>
      </c>
      <c r="AA1285" s="83">
        <f>MAX(B$2:B1285)-B1285</f>
        <v>251.95490000000007</v>
      </c>
      <c r="AB1285" s="83">
        <f t="shared" si="351"/>
        <v>109.09647170000002</v>
      </c>
      <c r="AC1285" s="83">
        <f t="shared" si="354"/>
        <v>120</v>
      </c>
      <c r="AD1285" s="72">
        <v>120</v>
      </c>
      <c r="AE1285" s="73">
        <f t="shared" ref="AE1285:AE1348" si="361">PI()*(((42-2*C1285)/12)^2/4)*D1285</f>
        <v>907.92027688745009</v>
      </c>
      <c r="AF1285" s="73">
        <f>SUM(AE$2:AE1285)</f>
        <v>1083942.8160576366</v>
      </c>
      <c r="AG1285" s="73">
        <f t="shared" ref="AG1285:AG1348" si="362">AF$1391-AF1285</f>
        <v>89787.086369472556</v>
      </c>
    </row>
    <row r="1286" spans="1:33" x14ac:dyDescent="0.25">
      <c r="A1286" s="100">
        <v>215499.92</v>
      </c>
      <c r="B1286" s="97">
        <v>685.45770000000005</v>
      </c>
      <c r="C1286" s="97">
        <v>0.6</v>
      </c>
      <c r="D1286" s="80">
        <f t="shared" si="352"/>
        <v>100</v>
      </c>
      <c r="E1286" s="81">
        <f t="shared" si="355"/>
        <v>6791.2436711181272</v>
      </c>
      <c r="F1286" s="81">
        <f>SUM(E$2:E1286)</f>
        <v>8108784.8622492207</v>
      </c>
      <c r="G1286" s="43">
        <f t="shared" si="353"/>
        <v>1</v>
      </c>
      <c r="H1286" s="78">
        <v>1</v>
      </c>
      <c r="I1286" s="15">
        <f t="shared" si="356"/>
        <v>0.6</v>
      </c>
      <c r="J1286" s="16">
        <f>VLOOKUP(G1286,Inputs!$L$3:$P$15,5,FALSE)</f>
        <v>2000</v>
      </c>
      <c r="K1286" s="16">
        <f t="shared" si="357"/>
        <v>1825</v>
      </c>
      <c r="L1286" s="79">
        <f>Inputs!$P$8-B1286</f>
        <v>252.73329999999999</v>
      </c>
      <c r="M1286" s="79">
        <f>Inputs!$Q$8+L1286*0.433</f>
        <v>1934.4335189000001</v>
      </c>
      <c r="N1286" s="82">
        <f t="shared" si="358"/>
        <v>215499.92</v>
      </c>
      <c r="O1286" s="83">
        <f t="shared" si="359"/>
        <v>685.45770000000005</v>
      </c>
      <c r="P1286" s="84">
        <f>IF(O1286="","",Inputs!$C$5-O1286)</f>
        <v>139.72679999999991</v>
      </c>
      <c r="Q1286" s="83">
        <f>IF(N1286="","",TS!J1286)</f>
        <v>2000</v>
      </c>
      <c r="R1286" s="83">
        <f>IF(N1286="","",TS!K1286)</f>
        <v>1825</v>
      </c>
      <c r="S1286" s="83">
        <f>Inputs!$H$5+TS!P1286*0.4333</f>
        <v>1935.50933889</v>
      </c>
      <c r="T1286" s="83">
        <f>Inputs!$G$5+TS!P1286*0.4333</f>
        <v>1950.50933889</v>
      </c>
      <c r="U1286" s="85">
        <f t="shared" si="360"/>
        <v>0.97525466944499994</v>
      </c>
      <c r="V1286" s="86">
        <f t="shared" si="347"/>
        <v>0</v>
      </c>
      <c r="W1286" s="86">
        <f t="shared" si="348"/>
        <v>0</v>
      </c>
      <c r="X1286" s="86" t="e">
        <f>((PI()*((42-2*'Gen Calcs'!$E$13)^2)/4)/144)*(A1329-#REF!)*(W1286+14.7)/14.7</f>
        <v>#REF!</v>
      </c>
      <c r="Y1286" s="86" t="e">
        <f t="shared" si="349"/>
        <v>#REF!</v>
      </c>
      <c r="Z1286" s="86" t="e">
        <f t="shared" si="350"/>
        <v>#REF!</v>
      </c>
      <c r="AA1286" s="83">
        <f>MAX(B$2:B1286)-B1286</f>
        <v>252.73329999999999</v>
      </c>
      <c r="AB1286" s="83">
        <f t="shared" si="351"/>
        <v>109.4335189</v>
      </c>
      <c r="AC1286" s="83">
        <f t="shared" si="354"/>
        <v>120</v>
      </c>
      <c r="AD1286" s="72">
        <v>120</v>
      </c>
      <c r="AE1286" s="73">
        <f t="shared" si="361"/>
        <v>907.92027688745009</v>
      </c>
      <c r="AF1286" s="73">
        <f>SUM(AE$2:AE1286)</f>
        <v>1084850.7363345241</v>
      </c>
      <c r="AG1286" s="73">
        <f t="shared" si="362"/>
        <v>88879.166092585074</v>
      </c>
    </row>
    <row r="1287" spans="1:33" x14ac:dyDescent="0.25">
      <c r="A1287" s="99">
        <v>215599.92</v>
      </c>
      <c r="B1287" s="96">
        <v>684.89509999999996</v>
      </c>
      <c r="C1287" s="96">
        <v>0.6</v>
      </c>
      <c r="D1287" s="80">
        <f t="shared" ref="D1287:D1350" si="363">A1287-A1286</f>
        <v>100</v>
      </c>
      <c r="E1287" s="81">
        <f t="shared" si="355"/>
        <v>6791.2436711181272</v>
      </c>
      <c r="F1287" s="81">
        <f>SUM(E$2:E1287)</f>
        <v>8115576.105920339</v>
      </c>
      <c r="G1287" s="43">
        <f t="shared" si="353"/>
        <v>1</v>
      </c>
      <c r="H1287" s="78">
        <v>1</v>
      </c>
      <c r="I1287" s="15">
        <f t="shared" si="356"/>
        <v>0.6</v>
      </c>
      <c r="J1287" s="16">
        <f>VLOOKUP(G1287,Inputs!$L$3:$P$15,5,FALSE)</f>
        <v>2000</v>
      </c>
      <c r="K1287" s="16">
        <f t="shared" si="357"/>
        <v>1825</v>
      </c>
      <c r="L1287" s="79">
        <f>Inputs!$P$8-B1287</f>
        <v>253.29590000000007</v>
      </c>
      <c r="M1287" s="79">
        <f>Inputs!$Q$8+L1287*0.433</f>
        <v>1934.6771247000001</v>
      </c>
      <c r="N1287" s="82">
        <f t="shared" si="358"/>
        <v>215599.92</v>
      </c>
      <c r="O1287" s="83">
        <f t="shared" si="359"/>
        <v>684.89509999999996</v>
      </c>
      <c r="P1287" s="84">
        <f>IF(O1287="","",Inputs!$C$5-O1287)</f>
        <v>140.2894</v>
      </c>
      <c r="Q1287" s="83">
        <f>IF(N1287="","",TS!J1287)</f>
        <v>2000</v>
      </c>
      <c r="R1287" s="83">
        <f>IF(N1287="","",TS!K1287)</f>
        <v>1825</v>
      </c>
      <c r="S1287" s="83">
        <f>Inputs!$H$5+TS!P1287*0.4333</f>
        <v>1935.75311347</v>
      </c>
      <c r="T1287" s="83">
        <f>Inputs!$G$5+TS!P1287*0.4333</f>
        <v>1950.75311347</v>
      </c>
      <c r="U1287" s="85">
        <f t="shared" si="360"/>
        <v>0.97537655673500001</v>
      </c>
      <c r="V1287" s="86">
        <f t="shared" si="347"/>
        <v>0</v>
      </c>
      <c r="W1287" s="86">
        <f t="shared" si="348"/>
        <v>0</v>
      </c>
      <c r="X1287" s="86" t="e">
        <f>((PI()*((42-2*'Gen Calcs'!$E$13)^2)/4)/144)*(A1330-#REF!)*(W1287+14.7)/14.7</f>
        <v>#REF!</v>
      </c>
      <c r="Y1287" s="86" t="e">
        <f t="shared" si="349"/>
        <v>#REF!</v>
      </c>
      <c r="Z1287" s="86" t="e">
        <f t="shared" si="350"/>
        <v>#REF!</v>
      </c>
      <c r="AA1287" s="83">
        <f>MAX(B$2:B1287)-B1287</f>
        <v>253.29590000000007</v>
      </c>
      <c r="AB1287" s="83">
        <f t="shared" si="351"/>
        <v>109.67712470000004</v>
      </c>
      <c r="AC1287" s="83">
        <f t="shared" si="354"/>
        <v>120</v>
      </c>
      <c r="AD1287" s="72">
        <v>120</v>
      </c>
      <c r="AE1287" s="73">
        <f t="shared" si="361"/>
        <v>907.92027688745009</v>
      </c>
      <c r="AF1287" s="73">
        <f>SUM(AE$2:AE1287)</f>
        <v>1085758.6566114116</v>
      </c>
      <c r="AG1287" s="73">
        <f t="shared" si="362"/>
        <v>87971.245815697592</v>
      </c>
    </row>
    <row r="1288" spans="1:33" x14ac:dyDescent="0.25">
      <c r="A1288" s="100">
        <v>215699.92</v>
      </c>
      <c r="B1288" s="97">
        <v>684.30029999999999</v>
      </c>
      <c r="C1288" s="97">
        <v>0.6</v>
      </c>
      <c r="D1288" s="80">
        <f t="shared" si="363"/>
        <v>100</v>
      </c>
      <c r="E1288" s="81">
        <f t="shared" si="355"/>
        <v>6791.2436711181272</v>
      </c>
      <c r="F1288" s="81">
        <f>SUM(E$2:E1288)</f>
        <v>8122367.3495914573</v>
      </c>
      <c r="G1288" s="43">
        <f t="shared" si="353"/>
        <v>1</v>
      </c>
      <c r="H1288" s="78">
        <v>1</v>
      </c>
      <c r="I1288" s="15">
        <f t="shared" si="356"/>
        <v>0.6</v>
      </c>
      <c r="J1288" s="16">
        <f>VLOOKUP(G1288,Inputs!$L$3:$P$15,5,FALSE)</f>
        <v>2000</v>
      </c>
      <c r="K1288" s="16">
        <f t="shared" si="357"/>
        <v>1825</v>
      </c>
      <c r="L1288" s="79">
        <f>Inputs!$P$8-B1288</f>
        <v>253.89070000000004</v>
      </c>
      <c r="M1288" s="79">
        <f>Inputs!$Q$8+L1288*0.433</f>
        <v>1934.9346731000001</v>
      </c>
      <c r="N1288" s="82">
        <f t="shared" si="358"/>
        <v>215699.92</v>
      </c>
      <c r="O1288" s="83">
        <f t="shared" si="359"/>
        <v>684.30029999999999</v>
      </c>
      <c r="P1288" s="84">
        <f>IF(O1288="","",Inputs!$C$5-O1288)</f>
        <v>140.88419999999996</v>
      </c>
      <c r="Q1288" s="83">
        <f>IF(N1288="","",TS!J1288)</f>
        <v>2000</v>
      </c>
      <c r="R1288" s="83">
        <f>IF(N1288="","",TS!K1288)</f>
        <v>1825</v>
      </c>
      <c r="S1288" s="83">
        <f>Inputs!$H$5+TS!P1288*0.4333</f>
        <v>1936.0108403099998</v>
      </c>
      <c r="T1288" s="83">
        <f>Inputs!$G$5+TS!P1288*0.4333</f>
        <v>1951.0108403099998</v>
      </c>
      <c r="U1288" s="85">
        <f t="shared" si="360"/>
        <v>0.97550542015499986</v>
      </c>
      <c r="V1288" s="86">
        <f t="shared" si="347"/>
        <v>0</v>
      </c>
      <c r="W1288" s="86">
        <f t="shared" si="348"/>
        <v>0</v>
      </c>
      <c r="X1288" s="86" t="e">
        <f>((PI()*((42-2*'Gen Calcs'!$E$13)^2)/4)/144)*(A1331-#REF!)*(W1288+14.7)/14.7</f>
        <v>#REF!</v>
      </c>
      <c r="Y1288" s="86" t="e">
        <f t="shared" si="349"/>
        <v>#REF!</v>
      </c>
      <c r="Z1288" s="86" t="e">
        <f t="shared" si="350"/>
        <v>#REF!</v>
      </c>
      <c r="AA1288" s="83">
        <f>MAX(B$2:B1288)-B1288</f>
        <v>253.89070000000004</v>
      </c>
      <c r="AB1288" s="83">
        <f t="shared" si="351"/>
        <v>109.93467310000001</v>
      </c>
      <c r="AC1288" s="83">
        <f t="shared" si="354"/>
        <v>120</v>
      </c>
      <c r="AD1288" s="72">
        <v>120</v>
      </c>
      <c r="AE1288" s="73">
        <f t="shared" si="361"/>
        <v>907.92027688745009</v>
      </c>
      <c r="AF1288" s="73">
        <f>SUM(AE$2:AE1288)</f>
        <v>1086666.5768882991</v>
      </c>
      <c r="AG1288" s="73">
        <f t="shared" si="362"/>
        <v>87063.32553881011</v>
      </c>
    </row>
    <row r="1289" spans="1:33" x14ac:dyDescent="0.25">
      <c r="A1289" s="99">
        <v>215799.92</v>
      </c>
      <c r="B1289" s="96">
        <v>683.40980000000002</v>
      </c>
      <c r="C1289" s="96">
        <v>0.6</v>
      </c>
      <c r="D1289" s="80">
        <f t="shared" si="363"/>
        <v>100</v>
      </c>
      <c r="E1289" s="81">
        <f t="shared" si="355"/>
        <v>6791.2436711181272</v>
      </c>
      <c r="F1289" s="81">
        <f>SUM(E$2:E1289)</f>
        <v>8129158.5932625756</v>
      </c>
      <c r="G1289" s="43">
        <f t="shared" si="353"/>
        <v>1</v>
      </c>
      <c r="H1289" s="78">
        <v>1</v>
      </c>
      <c r="I1289" s="15">
        <f t="shared" si="356"/>
        <v>0.6</v>
      </c>
      <c r="J1289" s="16">
        <f>VLOOKUP(G1289,Inputs!$L$3:$P$15,5,FALSE)</f>
        <v>2000</v>
      </c>
      <c r="K1289" s="16">
        <f t="shared" si="357"/>
        <v>1825</v>
      </c>
      <c r="L1289" s="79">
        <f>Inputs!$P$8-B1289</f>
        <v>254.78120000000001</v>
      </c>
      <c r="M1289" s="79">
        <f>Inputs!$Q$8+L1289*0.433</f>
        <v>1935.3202596000001</v>
      </c>
      <c r="N1289" s="82">
        <f t="shared" si="358"/>
        <v>215799.92</v>
      </c>
      <c r="O1289" s="83">
        <f t="shared" si="359"/>
        <v>683.40980000000002</v>
      </c>
      <c r="P1289" s="84">
        <f>IF(O1289="","",Inputs!$C$5-O1289)</f>
        <v>141.77469999999994</v>
      </c>
      <c r="Q1289" s="83">
        <f>IF(N1289="","",TS!J1289)</f>
        <v>2000</v>
      </c>
      <c r="R1289" s="83">
        <f>IF(N1289="","",TS!K1289)</f>
        <v>1825</v>
      </c>
      <c r="S1289" s="83">
        <f>Inputs!$H$5+TS!P1289*0.4333</f>
        <v>1936.39669396</v>
      </c>
      <c r="T1289" s="83">
        <f>Inputs!$G$5+TS!P1289*0.4333</f>
        <v>1951.39669396</v>
      </c>
      <c r="U1289" s="85">
        <f t="shared" si="360"/>
        <v>0.97569834698000002</v>
      </c>
      <c r="V1289" s="86">
        <f t="shared" si="347"/>
        <v>0</v>
      </c>
      <c r="W1289" s="86">
        <f t="shared" si="348"/>
        <v>0</v>
      </c>
      <c r="X1289" s="86" t="e">
        <f>((PI()*((42-2*'Gen Calcs'!$E$13)^2)/4)/144)*(A1332-#REF!)*(W1289+14.7)/14.7</f>
        <v>#REF!</v>
      </c>
      <c r="Y1289" s="86" t="e">
        <f t="shared" si="349"/>
        <v>#REF!</v>
      </c>
      <c r="Z1289" s="86" t="e">
        <f t="shared" si="350"/>
        <v>#REF!</v>
      </c>
      <c r="AA1289" s="83">
        <f>MAX(B$2:B1289)-B1289</f>
        <v>254.78120000000001</v>
      </c>
      <c r="AB1289" s="83">
        <f t="shared" si="351"/>
        <v>110.3202596</v>
      </c>
      <c r="AC1289" s="83">
        <f t="shared" si="354"/>
        <v>120</v>
      </c>
      <c r="AD1289" s="72">
        <v>120</v>
      </c>
      <c r="AE1289" s="73">
        <f t="shared" si="361"/>
        <v>907.92027688745009</v>
      </c>
      <c r="AF1289" s="73">
        <f>SUM(AE$2:AE1289)</f>
        <v>1087574.4971651866</v>
      </c>
      <c r="AG1289" s="73">
        <f t="shared" si="362"/>
        <v>86155.405261922628</v>
      </c>
    </row>
    <row r="1290" spans="1:33" x14ac:dyDescent="0.25">
      <c r="A1290" s="100">
        <v>215899.92</v>
      </c>
      <c r="B1290" s="97">
        <v>682.82709999999997</v>
      </c>
      <c r="C1290" s="97">
        <v>0.6</v>
      </c>
      <c r="D1290" s="80">
        <f t="shared" si="363"/>
        <v>100</v>
      </c>
      <c r="E1290" s="81">
        <f t="shared" si="355"/>
        <v>6791.2436711181272</v>
      </c>
      <c r="F1290" s="81">
        <f>SUM(E$2:E1290)</f>
        <v>8135949.8369336938</v>
      </c>
      <c r="G1290" s="43">
        <f t="shared" si="353"/>
        <v>1</v>
      </c>
      <c r="H1290" s="78">
        <v>1</v>
      </c>
      <c r="I1290" s="15">
        <f t="shared" si="356"/>
        <v>0.6</v>
      </c>
      <c r="J1290" s="16">
        <f>VLOOKUP(G1290,Inputs!$L$3:$P$15,5,FALSE)</f>
        <v>2000</v>
      </c>
      <c r="K1290" s="16">
        <f t="shared" si="357"/>
        <v>1825</v>
      </c>
      <c r="L1290" s="79">
        <f>Inputs!$P$8-B1290</f>
        <v>255.36390000000006</v>
      </c>
      <c r="M1290" s="79">
        <f>Inputs!$Q$8+L1290*0.433</f>
        <v>1935.5725686999999</v>
      </c>
      <c r="N1290" s="82">
        <f t="shared" si="358"/>
        <v>215899.92</v>
      </c>
      <c r="O1290" s="83">
        <f t="shared" si="359"/>
        <v>682.82709999999997</v>
      </c>
      <c r="P1290" s="84">
        <f>IF(O1290="","",Inputs!$C$5-O1290)</f>
        <v>142.35739999999998</v>
      </c>
      <c r="Q1290" s="83">
        <f>IF(N1290="","",TS!J1290)</f>
        <v>2000</v>
      </c>
      <c r="R1290" s="83">
        <f>IF(N1290="","",TS!K1290)</f>
        <v>1825</v>
      </c>
      <c r="S1290" s="83">
        <f>Inputs!$H$5+TS!P1290*0.4333</f>
        <v>1936.6491778699999</v>
      </c>
      <c r="T1290" s="83">
        <f>Inputs!$G$5+TS!P1290*0.4333</f>
        <v>1951.6491778699999</v>
      </c>
      <c r="U1290" s="85">
        <f t="shared" si="360"/>
        <v>0.9758245889349999</v>
      </c>
      <c r="V1290" s="86">
        <f t="shared" si="347"/>
        <v>0</v>
      </c>
      <c r="W1290" s="86">
        <f t="shared" si="348"/>
        <v>0</v>
      </c>
      <c r="X1290" s="86" t="e">
        <f>((PI()*((42-2*'Gen Calcs'!$E$13)^2)/4)/144)*(A1333-#REF!)*(W1290+14.7)/14.7</f>
        <v>#REF!</v>
      </c>
      <c r="Y1290" s="86" t="e">
        <f t="shared" si="349"/>
        <v>#REF!</v>
      </c>
      <c r="Z1290" s="86" t="e">
        <f t="shared" si="350"/>
        <v>#REF!</v>
      </c>
      <c r="AA1290" s="83">
        <f>MAX(B$2:B1290)-B1290</f>
        <v>255.36390000000006</v>
      </c>
      <c r="AB1290" s="83">
        <f t="shared" si="351"/>
        <v>110.57256870000002</v>
      </c>
      <c r="AC1290" s="83">
        <f t="shared" si="354"/>
        <v>120</v>
      </c>
      <c r="AD1290" s="72">
        <v>120</v>
      </c>
      <c r="AE1290" s="73">
        <f t="shared" si="361"/>
        <v>907.92027688745009</v>
      </c>
      <c r="AF1290" s="73">
        <f>SUM(AE$2:AE1290)</f>
        <v>1088482.417442074</v>
      </c>
      <c r="AG1290" s="73">
        <f t="shared" si="362"/>
        <v>85247.484985035146</v>
      </c>
    </row>
    <row r="1291" spans="1:33" x14ac:dyDescent="0.25">
      <c r="A1291" s="99">
        <v>215987.9</v>
      </c>
      <c r="B1291" s="96">
        <v>682.82709999999997</v>
      </c>
      <c r="C1291" s="96">
        <v>0.86399999999999999</v>
      </c>
      <c r="D1291" s="80">
        <f t="shared" si="363"/>
        <v>87.979999999981374</v>
      </c>
      <c r="E1291" s="81">
        <f t="shared" si="355"/>
        <v>5974.9361818484622</v>
      </c>
      <c r="F1291" s="81">
        <f>SUM(E$2:E1291)</f>
        <v>8141924.7731155427</v>
      </c>
      <c r="G1291" s="43">
        <f t="shared" si="353"/>
        <v>2</v>
      </c>
      <c r="H1291" s="78">
        <v>1</v>
      </c>
      <c r="I1291" s="15">
        <f t="shared" si="356"/>
        <v>0.86399999999999999</v>
      </c>
      <c r="J1291" s="16">
        <f>VLOOKUP(G1291,Inputs!$L$3:$P$15,5,FALSE)</f>
        <v>2880</v>
      </c>
      <c r="K1291" s="16">
        <f t="shared" si="357"/>
        <v>1825</v>
      </c>
      <c r="L1291" s="79">
        <f>Inputs!$P$8-B1291</f>
        <v>255.36390000000006</v>
      </c>
      <c r="M1291" s="79">
        <f>Inputs!$Q$8+L1291*0.433</f>
        <v>1935.5725686999999</v>
      </c>
      <c r="N1291" s="82">
        <f t="shared" si="358"/>
        <v>215987.9</v>
      </c>
      <c r="O1291" s="83">
        <f t="shared" si="359"/>
        <v>682.82709999999997</v>
      </c>
      <c r="P1291" s="84">
        <f>IF(O1291="","",Inputs!$C$5-O1291)</f>
        <v>142.35739999999998</v>
      </c>
      <c r="Q1291" s="83">
        <f>IF(N1291="","",TS!J1291)</f>
        <v>2880</v>
      </c>
      <c r="R1291" s="83">
        <f>IF(N1291="","",TS!K1291)</f>
        <v>1825</v>
      </c>
      <c r="S1291" s="83">
        <f>Inputs!$H$5+TS!P1291*0.4333</f>
        <v>1936.6491778699999</v>
      </c>
      <c r="T1291" s="83">
        <f>Inputs!$G$5+TS!P1291*0.4333</f>
        <v>1951.6491778699999</v>
      </c>
      <c r="U1291" s="85">
        <f t="shared" si="360"/>
        <v>0.67765596453819443</v>
      </c>
      <c r="V1291" s="86">
        <f t="shared" si="347"/>
        <v>0</v>
      </c>
      <c r="W1291" s="86">
        <f t="shared" si="348"/>
        <v>0</v>
      </c>
      <c r="X1291" s="86" t="e">
        <f>((PI()*((42-2*'Gen Calcs'!$E$13)^2)/4)/144)*(A1334-#REF!)*(W1291+14.7)/14.7</f>
        <v>#REF!</v>
      </c>
      <c r="Y1291" s="86" t="e">
        <f t="shared" si="349"/>
        <v>#REF!</v>
      </c>
      <c r="Z1291" s="86" t="e">
        <f t="shared" si="350"/>
        <v>#REF!</v>
      </c>
      <c r="AA1291" s="83">
        <f>MAX(B$2:B1291)-B1291</f>
        <v>255.36390000000006</v>
      </c>
      <c r="AB1291" s="83">
        <f t="shared" si="351"/>
        <v>110.57256870000002</v>
      </c>
      <c r="AC1291" s="83">
        <f t="shared" si="354"/>
        <v>120</v>
      </c>
      <c r="AD1291" s="72">
        <v>120</v>
      </c>
      <c r="AE1291" s="73">
        <f t="shared" si="361"/>
        <v>778.24751624871897</v>
      </c>
      <c r="AF1291" s="73">
        <f>SUM(AE$2:AE1291)</f>
        <v>1089260.6649583227</v>
      </c>
      <c r="AG1291" s="73">
        <f t="shared" si="362"/>
        <v>84469.237468786538</v>
      </c>
    </row>
    <row r="1292" spans="1:33" x14ac:dyDescent="0.25">
      <c r="A1292" s="100">
        <v>215999.92</v>
      </c>
      <c r="B1292" s="97">
        <v>682.29499999999996</v>
      </c>
      <c r="C1292" s="97">
        <v>0.6</v>
      </c>
      <c r="D1292" s="80">
        <f t="shared" si="363"/>
        <v>12.020000000018626</v>
      </c>
      <c r="E1292" s="81">
        <f t="shared" si="355"/>
        <v>816.30748926966373</v>
      </c>
      <c r="F1292" s="81">
        <f>SUM(E$2:E1292)</f>
        <v>8142741.0806048121</v>
      </c>
      <c r="G1292" s="43">
        <f t="shared" si="353"/>
        <v>1</v>
      </c>
      <c r="H1292" s="78">
        <v>1</v>
      </c>
      <c r="I1292" s="15">
        <f t="shared" si="356"/>
        <v>0.6</v>
      </c>
      <c r="J1292" s="16">
        <f>VLOOKUP(G1292,Inputs!$L$3:$P$15,5,FALSE)</f>
        <v>2000</v>
      </c>
      <c r="K1292" s="16">
        <f t="shared" si="357"/>
        <v>1825</v>
      </c>
      <c r="L1292" s="79">
        <f>Inputs!$P$8-B1292</f>
        <v>255.89600000000007</v>
      </c>
      <c r="M1292" s="79">
        <f>Inputs!$Q$8+L1292*0.433</f>
        <v>1935.802968</v>
      </c>
      <c r="N1292" s="82">
        <f t="shared" si="358"/>
        <v>215999.92</v>
      </c>
      <c r="O1292" s="83">
        <f t="shared" si="359"/>
        <v>682.29499999999996</v>
      </c>
      <c r="P1292" s="84">
        <f>IF(O1292="","",Inputs!$C$5-O1292)</f>
        <v>142.8895</v>
      </c>
      <c r="Q1292" s="83">
        <f>IF(N1292="","",TS!J1292)</f>
        <v>2000</v>
      </c>
      <c r="R1292" s="83">
        <f>IF(N1292="","",TS!K1292)</f>
        <v>1825</v>
      </c>
      <c r="S1292" s="83">
        <f>Inputs!$H$5+TS!P1292*0.4333</f>
        <v>1936.8797368</v>
      </c>
      <c r="T1292" s="83">
        <f>Inputs!$G$5+TS!P1292*0.4333</f>
        <v>1951.8797368</v>
      </c>
      <c r="U1292" s="85">
        <f t="shared" si="360"/>
        <v>0.97593986840000002</v>
      </c>
      <c r="V1292" s="86">
        <f t="shared" si="347"/>
        <v>0</v>
      </c>
      <c r="W1292" s="86">
        <f t="shared" si="348"/>
        <v>0</v>
      </c>
      <c r="X1292" s="86" t="e">
        <f>((PI()*((42-2*'Gen Calcs'!$E$13)^2)/4)/144)*(A1335-#REF!)*(W1292+14.7)/14.7</f>
        <v>#REF!</v>
      </c>
      <c r="Y1292" s="86" t="e">
        <f t="shared" si="349"/>
        <v>#REF!</v>
      </c>
      <c r="Z1292" s="86" t="e">
        <f t="shared" si="350"/>
        <v>#REF!</v>
      </c>
      <c r="AA1292" s="83">
        <f>MAX(B$2:B1292)-B1292</f>
        <v>255.89600000000007</v>
      </c>
      <c r="AB1292" s="83">
        <f t="shared" si="351"/>
        <v>110.80296800000004</v>
      </c>
      <c r="AC1292" s="83">
        <f t="shared" si="354"/>
        <v>120</v>
      </c>
      <c r="AD1292" s="72">
        <v>120</v>
      </c>
      <c r="AE1292" s="73">
        <f t="shared" si="361"/>
        <v>109.13201728204061</v>
      </c>
      <c r="AF1292" s="73">
        <f>SUM(AE$2:AE1292)</f>
        <v>1089369.7969756047</v>
      </c>
      <c r="AG1292" s="73">
        <f t="shared" si="362"/>
        <v>84360.105451504467</v>
      </c>
    </row>
    <row r="1293" spans="1:33" x14ac:dyDescent="0.25">
      <c r="A1293" s="99">
        <v>216099.92</v>
      </c>
      <c r="B1293" s="96">
        <v>681.5127</v>
      </c>
      <c r="C1293" s="96">
        <v>0.6</v>
      </c>
      <c r="D1293" s="80">
        <f t="shared" si="363"/>
        <v>100</v>
      </c>
      <c r="E1293" s="81">
        <f t="shared" si="355"/>
        <v>6791.2436711181272</v>
      </c>
      <c r="F1293" s="81">
        <f>SUM(E$2:E1293)</f>
        <v>8149532.3242759304</v>
      </c>
      <c r="G1293" s="43">
        <f t="shared" si="353"/>
        <v>1</v>
      </c>
      <c r="H1293" s="78">
        <v>1</v>
      </c>
      <c r="I1293" s="15">
        <f t="shared" si="356"/>
        <v>0.6</v>
      </c>
      <c r="J1293" s="16">
        <f>VLOOKUP(G1293,Inputs!$L$3:$P$15,5,FALSE)</f>
        <v>2000</v>
      </c>
      <c r="K1293" s="16">
        <f t="shared" si="357"/>
        <v>1825</v>
      </c>
      <c r="L1293" s="79">
        <f>Inputs!$P$8-B1293</f>
        <v>256.67830000000004</v>
      </c>
      <c r="M1293" s="79">
        <f>Inputs!$Q$8+L1293*0.433</f>
        <v>1936.1417039</v>
      </c>
      <c r="N1293" s="82">
        <f t="shared" si="358"/>
        <v>216099.92</v>
      </c>
      <c r="O1293" s="83">
        <f t="shared" si="359"/>
        <v>681.5127</v>
      </c>
      <c r="P1293" s="84">
        <f>IF(O1293="","",Inputs!$C$5-O1293)</f>
        <v>143.67179999999996</v>
      </c>
      <c r="Q1293" s="83">
        <f>IF(N1293="","",TS!J1293)</f>
        <v>2000</v>
      </c>
      <c r="R1293" s="83">
        <f>IF(N1293="","",TS!K1293)</f>
        <v>1825</v>
      </c>
      <c r="S1293" s="83">
        <f>Inputs!$H$5+TS!P1293*0.4333</f>
        <v>1937.21870739</v>
      </c>
      <c r="T1293" s="83">
        <f>Inputs!$G$5+TS!P1293*0.4333</f>
        <v>1952.21870739</v>
      </c>
      <c r="U1293" s="85">
        <f t="shared" si="360"/>
        <v>0.97610935369499996</v>
      </c>
      <c r="V1293" s="86">
        <f t="shared" si="347"/>
        <v>0</v>
      </c>
      <c r="W1293" s="86">
        <f t="shared" si="348"/>
        <v>0</v>
      </c>
      <c r="X1293" s="86" t="e">
        <f>((PI()*((42-2*'Gen Calcs'!$E$13)^2)/4)/144)*(A1336-#REF!)*(W1293+14.7)/14.7</f>
        <v>#REF!</v>
      </c>
      <c r="Y1293" s="86" t="e">
        <f t="shared" si="349"/>
        <v>#REF!</v>
      </c>
      <c r="Z1293" s="86" t="e">
        <f t="shared" si="350"/>
        <v>#REF!</v>
      </c>
      <c r="AA1293" s="83">
        <f>MAX(B$2:B1293)-B1293</f>
        <v>256.67830000000004</v>
      </c>
      <c r="AB1293" s="83">
        <f t="shared" si="351"/>
        <v>111.14170390000001</v>
      </c>
      <c r="AC1293" s="83">
        <f t="shared" si="354"/>
        <v>120</v>
      </c>
      <c r="AD1293" s="72">
        <v>120</v>
      </c>
      <c r="AE1293" s="73">
        <f t="shared" si="361"/>
        <v>907.92027688745009</v>
      </c>
      <c r="AF1293" s="73">
        <f>SUM(AE$2:AE1293)</f>
        <v>1090277.7172524922</v>
      </c>
      <c r="AG1293" s="73">
        <f t="shared" si="362"/>
        <v>83452.185174616985</v>
      </c>
    </row>
    <row r="1294" spans="1:33" x14ac:dyDescent="0.25">
      <c r="A1294" s="100">
        <v>216147.9</v>
      </c>
      <c r="B1294" s="97">
        <v>681.5127</v>
      </c>
      <c r="C1294" s="97">
        <v>0.86399999999999999</v>
      </c>
      <c r="D1294" s="80">
        <f t="shared" si="363"/>
        <v>47.979999999981374</v>
      </c>
      <c r="E1294" s="81">
        <f t="shared" si="355"/>
        <v>3258.4387134012122</v>
      </c>
      <c r="F1294" s="81">
        <f>SUM(E$2:E1294)</f>
        <v>8152790.762989332</v>
      </c>
      <c r="G1294" s="43">
        <f t="shared" si="353"/>
        <v>2</v>
      </c>
      <c r="H1294" s="78">
        <v>1</v>
      </c>
      <c r="I1294" s="15">
        <f t="shared" si="356"/>
        <v>0.86399999999999999</v>
      </c>
      <c r="J1294" s="16">
        <f>VLOOKUP(G1294,Inputs!$L$3:$P$15,5,FALSE)</f>
        <v>2880</v>
      </c>
      <c r="K1294" s="16">
        <f t="shared" si="357"/>
        <v>1825</v>
      </c>
      <c r="L1294" s="79">
        <f>Inputs!$P$8-B1294</f>
        <v>256.67830000000004</v>
      </c>
      <c r="M1294" s="79">
        <f>Inputs!$Q$8+L1294*0.433</f>
        <v>1936.1417039</v>
      </c>
      <c r="N1294" s="82">
        <f t="shared" si="358"/>
        <v>216147.9</v>
      </c>
      <c r="O1294" s="83">
        <f t="shared" si="359"/>
        <v>681.5127</v>
      </c>
      <c r="P1294" s="84">
        <f>IF(O1294="","",Inputs!$C$5-O1294)</f>
        <v>143.67179999999996</v>
      </c>
      <c r="Q1294" s="83">
        <f>IF(N1294="","",TS!J1294)</f>
        <v>2880</v>
      </c>
      <c r="R1294" s="83">
        <f>IF(N1294="","",TS!K1294)</f>
        <v>1825</v>
      </c>
      <c r="S1294" s="83">
        <f>Inputs!$H$5+TS!P1294*0.4333</f>
        <v>1937.21870739</v>
      </c>
      <c r="T1294" s="83">
        <f>Inputs!$G$5+TS!P1294*0.4333</f>
        <v>1952.21870739</v>
      </c>
      <c r="U1294" s="85">
        <f t="shared" si="360"/>
        <v>0.67785371784375004</v>
      </c>
      <c r="V1294" s="86">
        <f t="shared" si="347"/>
        <v>0</v>
      </c>
      <c r="W1294" s="86">
        <f t="shared" si="348"/>
        <v>0</v>
      </c>
      <c r="X1294" s="86" t="e">
        <f>((PI()*((42-2*'Gen Calcs'!$E$13)^2)/4)/144)*(A1337-#REF!)*(W1294+14.7)/14.7</f>
        <v>#REF!</v>
      </c>
      <c r="Y1294" s="86" t="e">
        <f t="shared" si="349"/>
        <v>#REF!</v>
      </c>
      <c r="Z1294" s="86" t="e">
        <f t="shared" si="350"/>
        <v>#REF!</v>
      </c>
      <c r="AA1294" s="83">
        <f>MAX(B$2:B1294)-B1294</f>
        <v>256.67830000000004</v>
      </c>
      <c r="AB1294" s="83">
        <f t="shared" si="351"/>
        <v>111.14170390000001</v>
      </c>
      <c r="AC1294" s="83">
        <f t="shared" si="354"/>
        <v>120</v>
      </c>
      <c r="AD1294" s="72">
        <v>120</v>
      </c>
      <c r="AE1294" s="73">
        <f t="shared" si="361"/>
        <v>424.41822947950607</v>
      </c>
      <c r="AF1294" s="73">
        <f>SUM(AE$2:AE1294)</f>
        <v>1090702.1354819718</v>
      </c>
      <c r="AG1294" s="73">
        <f t="shared" si="362"/>
        <v>83027.766945137409</v>
      </c>
    </row>
    <row r="1295" spans="1:33" x14ac:dyDescent="0.25">
      <c r="A1295" s="99">
        <v>216199.92</v>
      </c>
      <c r="B1295" s="96">
        <v>678.93820000000005</v>
      </c>
      <c r="C1295" s="96">
        <v>0.6</v>
      </c>
      <c r="D1295" s="80">
        <f t="shared" si="363"/>
        <v>52.020000000018626</v>
      </c>
      <c r="E1295" s="81">
        <f t="shared" si="355"/>
        <v>3532.8049577169145</v>
      </c>
      <c r="F1295" s="81">
        <f>SUM(E$2:E1295)</f>
        <v>8156323.5679470487</v>
      </c>
      <c r="G1295" s="43">
        <f t="shared" si="353"/>
        <v>1</v>
      </c>
      <c r="H1295" s="78">
        <v>1</v>
      </c>
      <c r="I1295" s="15">
        <f t="shared" si="356"/>
        <v>0.6</v>
      </c>
      <c r="J1295" s="16">
        <f>VLOOKUP(G1295,Inputs!$L$3:$P$15,5,FALSE)</f>
        <v>2000</v>
      </c>
      <c r="K1295" s="16">
        <f t="shared" si="357"/>
        <v>1825</v>
      </c>
      <c r="L1295" s="79">
        <f>Inputs!$P$8-B1295</f>
        <v>259.25279999999998</v>
      </c>
      <c r="M1295" s="79">
        <f>Inputs!$Q$8+L1295*0.433</f>
        <v>1937.2564623999999</v>
      </c>
      <c r="N1295" s="82">
        <f t="shared" si="358"/>
        <v>216199.92</v>
      </c>
      <c r="O1295" s="83">
        <f t="shared" si="359"/>
        <v>678.93820000000005</v>
      </c>
      <c r="P1295" s="84">
        <f>IF(O1295="","",Inputs!$C$5-O1295)</f>
        <v>146.24629999999991</v>
      </c>
      <c r="Q1295" s="83">
        <f>IF(N1295="","",TS!J1295)</f>
        <v>2000</v>
      </c>
      <c r="R1295" s="83">
        <f>IF(N1295="","",TS!K1295)</f>
        <v>1825</v>
      </c>
      <c r="S1295" s="83">
        <f>Inputs!$H$5+TS!P1295*0.4333</f>
        <v>1938.3342382399999</v>
      </c>
      <c r="T1295" s="83">
        <f>Inputs!$G$5+TS!P1295*0.4333</f>
        <v>1953.3342382399999</v>
      </c>
      <c r="U1295" s="85">
        <f t="shared" si="360"/>
        <v>0.97666711911999993</v>
      </c>
      <c r="V1295" s="86">
        <f t="shared" si="347"/>
        <v>0</v>
      </c>
      <c r="W1295" s="86">
        <f t="shared" si="348"/>
        <v>0</v>
      </c>
      <c r="X1295" s="86" t="e">
        <f>((PI()*((42-2*'Gen Calcs'!$E$13)^2)/4)/144)*(A1338-#REF!)*(W1295+14.7)/14.7</f>
        <v>#REF!</v>
      </c>
      <c r="Y1295" s="86" t="e">
        <f t="shared" si="349"/>
        <v>#REF!</v>
      </c>
      <c r="Z1295" s="86" t="e">
        <f t="shared" si="350"/>
        <v>#REF!</v>
      </c>
      <c r="AA1295" s="83">
        <f>MAX(B$2:B1295)-B1295</f>
        <v>259.25279999999998</v>
      </c>
      <c r="AB1295" s="83">
        <f t="shared" si="351"/>
        <v>112.25646239999999</v>
      </c>
      <c r="AC1295" s="83">
        <f t="shared" si="354"/>
        <v>120</v>
      </c>
      <c r="AD1295" s="72">
        <v>120</v>
      </c>
      <c r="AE1295" s="73">
        <f t="shared" si="361"/>
        <v>472.30012803702061</v>
      </c>
      <c r="AF1295" s="73">
        <f>SUM(AE$2:AE1295)</f>
        <v>1091174.4356100089</v>
      </c>
      <c r="AG1295" s="73">
        <f t="shared" si="362"/>
        <v>82555.4668171003</v>
      </c>
    </row>
    <row r="1296" spans="1:33" x14ac:dyDescent="0.25">
      <c r="A1296" s="100">
        <v>216299.92</v>
      </c>
      <c r="B1296" s="97">
        <v>669.4248</v>
      </c>
      <c r="C1296" s="97">
        <v>0.6</v>
      </c>
      <c r="D1296" s="80">
        <f t="shared" si="363"/>
        <v>100</v>
      </c>
      <c r="E1296" s="81">
        <f t="shared" si="355"/>
        <v>6791.2436711181272</v>
      </c>
      <c r="F1296" s="81">
        <f>SUM(E$2:E1296)</f>
        <v>8163114.811618167</v>
      </c>
      <c r="G1296" s="43">
        <f t="shared" si="353"/>
        <v>1</v>
      </c>
      <c r="H1296" s="78">
        <v>1</v>
      </c>
      <c r="I1296" s="15">
        <f t="shared" si="356"/>
        <v>0.6</v>
      </c>
      <c r="J1296" s="16">
        <f>VLOOKUP(G1296,Inputs!$L$3:$P$15,5,FALSE)</f>
        <v>2000</v>
      </c>
      <c r="K1296" s="16">
        <f t="shared" si="357"/>
        <v>1825</v>
      </c>
      <c r="L1296" s="79">
        <f>Inputs!$P$8-B1296</f>
        <v>268.76620000000003</v>
      </c>
      <c r="M1296" s="79">
        <f>Inputs!$Q$8+L1296*0.433</f>
        <v>1941.3757645999999</v>
      </c>
      <c r="N1296" s="82">
        <f t="shared" si="358"/>
        <v>216299.92</v>
      </c>
      <c r="O1296" s="83">
        <f t="shared" si="359"/>
        <v>669.4248</v>
      </c>
      <c r="P1296" s="84">
        <f>IF(O1296="","",Inputs!$C$5-O1296)</f>
        <v>155.75969999999995</v>
      </c>
      <c r="Q1296" s="83">
        <f>IF(N1296="","",TS!J1296)</f>
        <v>2000</v>
      </c>
      <c r="R1296" s="83">
        <f>IF(N1296="","",TS!K1296)</f>
        <v>1825</v>
      </c>
      <c r="S1296" s="83">
        <f>Inputs!$H$5+TS!P1296*0.4333</f>
        <v>1942.45639446</v>
      </c>
      <c r="T1296" s="83">
        <f>Inputs!$G$5+TS!P1296*0.4333</f>
        <v>1957.45639446</v>
      </c>
      <c r="U1296" s="85">
        <f t="shared" si="360"/>
        <v>0.97872819722999993</v>
      </c>
      <c r="V1296" s="86">
        <f t="shared" si="347"/>
        <v>0</v>
      </c>
      <c r="W1296" s="86">
        <f t="shared" si="348"/>
        <v>0</v>
      </c>
      <c r="X1296" s="86" t="e">
        <f>((PI()*((42-2*'Gen Calcs'!$E$13)^2)/4)/144)*(A1339-#REF!)*(W1296+14.7)/14.7</f>
        <v>#REF!</v>
      </c>
      <c r="Y1296" s="86" t="e">
        <f t="shared" si="349"/>
        <v>#REF!</v>
      </c>
      <c r="Z1296" s="86" t="e">
        <f t="shared" si="350"/>
        <v>#REF!</v>
      </c>
      <c r="AA1296" s="83">
        <f>MAX(B$2:B1296)-B1296</f>
        <v>268.76620000000003</v>
      </c>
      <c r="AB1296" s="83">
        <f t="shared" si="351"/>
        <v>116.37576460000001</v>
      </c>
      <c r="AC1296" s="83">
        <f t="shared" si="354"/>
        <v>120</v>
      </c>
      <c r="AD1296" s="72">
        <v>120</v>
      </c>
      <c r="AE1296" s="73">
        <f t="shared" si="361"/>
        <v>907.92027688745009</v>
      </c>
      <c r="AF1296" s="73">
        <f>SUM(AE$2:AE1296)</f>
        <v>1092082.3558868964</v>
      </c>
      <c r="AG1296" s="73">
        <f t="shared" si="362"/>
        <v>81647.546540212817</v>
      </c>
    </row>
    <row r="1297" spans="1:33" x14ac:dyDescent="0.25">
      <c r="A1297" s="99">
        <v>216399.92</v>
      </c>
      <c r="B1297" s="96">
        <v>677.29340000000002</v>
      </c>
      <c r="C1297" s="96">
        <v>0.6</v>
      </c>
      <c r="D1297" s="80">
        <f t="shared" si="363"/>
        <v>100</v>
      </c>
      <c r="E1297" s="81">
        <f t="shared" si="355"/>
        <v>6791.2436711181272</v>
      </c>
      <c r="F1297" s="81">
        <f>SUM(E$2:E1297)</f>
        <v>8169906.0552892853</v>
      </c>
      <c r="G1297" s="43">
        <f t="shared" si="353"/>
        <v>1</v>
      </c>
      <c r="H1297" s="78">
        <v>1</v>
      </c>
      <c r="I1297" s="15">
        <f t="shared" si="356"/>
        <v>0.6</v>
      </c>
      <c r="J1297" s="16">
        <f>VLOOKUP(G1297,Inputs!$L$3:$P$15,5,FALSE)</f>
        <v>2000</v>
      </c>
      <c r="K1297" s="16">
        <f t="shared" si="357"/>
        <v>1825</v>
      </c>
      <c r="L1297" s="79">
        <f>Inputs!$P$8-B1297</f>
        <v>260.89760000000001</v>
      </c>
      <c r="M1297" s="79">
        <f>Inputs!$Q$8+L1297*0.433</f>
        <v>1937.9686608</v>
      </c>
      <c r="N1297" s="82">
        <f t="shared" si="358"/>
        <v>216399.92</v>
      </c>
      <c r="O1297" s="83">
        <f t="shared" si="359"/>
        <v>677.29340000000002</v>
      </c>
      <c r="P1297" s="84">
        <f>IF(O1297="","",Inputs!$C$5-O1297)</f>
        <v>147.89109999999994</v>
      </c>
      <c r="Q1297" s="83">
        <f>IF(N1297="","",TS!J1297)</f>
        <v>2000</v>
      </c>
      <c r="R1297" s="83">
        <f>IF(N1297="","",TS!K1297)</f>
        <v>1825</v>
      </c>
      <c r="S1297" s="83">
        <f>Inputs!$H$5+TS!P1297*0.4333</f>
        <v>1939.04693008</v>
      </c>
      <c r="T1297" s="83">
        <f>Inputs!$G$5+TS!P1297*0.4333</f>
        <v>1954.04693008</v>
      </c>
      <c r="U1297" s="85">
        <f t="shared" si="360"/>
        <v>0.97702346504000004</v>
      </c>
      <c r="V1297" s="86">
        <f t="shared" si="347"/>
        <v>0</v>
      </c>
      <c r="W1297" s="86">
        <f t="shared" si="348"/>
        <v>0</v>
      </c>
      <c r="X1297" s="86" t="e">
        <f>((PI()*((42-2*'Gen Calcs'!$E$13)^2)/4)/144)*(A1340-#REF!)*(W1297+14.7)/14.7</f>
        <v>#REF!</v>
      </c>
      <c r="Y1297" s="86" t="e">
        <f t="shared" si="349"/>
        <v>#REF!</v>
      </c>
      <c r="Z1297" s="86" t="e">
        <f t="shared" si="350"/>
        <v>#REF!</v>
      </c>
      <c r="AA1297" s="83">
        <f>MAX(B$2:B1297)-B1297</f>
        <v>260.89760000000001</v>
      </c>
      <c r="AB1297" s="83">
        <f t="shared" si="351"/>
        <v>112.96866080000001</v>
      </c>
      <c r="AC1297" s="83">
        <f t="shared" si="354"/>
        <v>120</v>
      </c>
      <c r="AD1297" s="72">
        <v>120</v>
      </c>
      <c r="AE1297" s="73">
        <f t="shared" si="361"/>
        <v>907.92027688745009</v>
      </c>
      <c r="AF1297" s="73">
        <f>SUM(AE$2:AE1297)</f>
        <v>1092990.2761637839</v>
      </c>
      <c r="AG1297" s="73">
        <f t="shared" si="362"/>
        <v>80739.626263325335</v>
      </c>
    </row>
    <row r="1298" spans="1:33" x14ac:dyDescent="0.25">
      <c r="A1298" s="100">
        <v>216499.92</v>
      </c>
      <c r="B1298" s="97">
        <v>678.42399999999998</v>
      </c>
      <c r="C1298" s="97">
        <v>0.6</v>
      </c>
      <c r="D1298" s="80">
        <f t="shared" si="363"/>
        <v>100</v>
      </c>
      <c r="E1298" s="81">
        <f t="shared" si="355"/>
        <v>6791.2436711181272</v>
      </c>
      <c r="F1298" s="81">
        <f>SUM(E$2:E1298)</f>
        <v>8176697.2989604035</v>
      </c>
      <c r="G1298" s="43">
        <f t="shared" si="353"/>
        <v>1</v>
      </c>
      <c r="H1298" s="78">
        <v>1</v>
      </c>
      <c r="I1298" s="15">
        <f t="shared" si="356"/>
        <v>0.6</v>
      </c>
      <c r="J1298" s="16">
        <f>VLOOKUP(G1298,Inputs!$L$3:$P$15,5,FALSE)</f>
        <v>2000</v>
      </c>
      <c r="K1298" s="16">
        <f t="shared" si="357"/>
        <v>1825</v>
      </c>
      <c r="L1298" s="79">
        <f>Inputs!$P$8-B1298</f>
        <v>259.76700000000005</v>
      </c>
      <c r="M1298" s="79">
        <f>Inputs!$Q$8+L1298*0.433</f>
        <v>1937.4791110000001</v>
      </c>
      <c r="N1298" s="82">
        <f t="shared" si="358"/>
        <v>216499.92</v>
      </c>
      <c r="O1298" s="83">
        <f t="shared" si="359"/>
        <v>678.42399999999998</v>
      </c>
      <c r="P1298" s="84">
        <f>IF(O1298="","",Inputs!$C$5-O1298)</f>
        <v>146.76049999999998</v>
      </c>
      <c r="Q1298" s="83">
        <f>IF(N1298="","",TS!J1298)</f>
        <v>2000</v>
      </c>
      <c r="R1298" s="83">
        <f>IF(N1298="","",TS!K1298)</f>
        <v>1825</v>
      </c>
      <c r="S1298" s="83">
        <f>Inputs!$H$5+TS!P1298*0.4333</f>
        <v>1938.5570410999999</v>
      </c>
      <c r="T1298" s="83">
        <f>Inputs!$G$5+TS!P1298*0.4333</f>
        <v>1953.5570410999999</v>
      </c>
      <c r="U1298" s="85">
        <f t="shared" si="360"/>
        <v>0.97677852054999992</v>
      </c>
      <c r="V1298" s="86">
        <f t="shared" si="347"/>
        <v>0</v>
      </c>
      <c r="W1298" s="86">
        <f t="shared" si="348"/>
        <v>0</v>
      </c>
      <c r="X1298" s="86" t="e">
        <f>((PI()*((42-2*'Gen Calcs'!$E$13)^2)/4)/144)*(A1341-#REF!)*(W1298+14.7)/14.7</f>
        <v>#REF!</v>
      </c>
      <c r="Y1298" s="86" t="e">
        <f t="shared" si="349"/>
        <v>#REF!</v>
      </c>
      <c r="Z1298" s="86" t="e">
        <f t="shared" si="350"/>
        <v>#REF!</v>
      </c>
      <c r="AA1298" s="83">
        <f>MAX(B$2:B1298)-B1298</f>
        <v>259.76700000000005</v>
      </c>
      <c r="AB1298" s="83">
        <f t="shared" si="351"/>
        <v>112.47911100000002</v>
      </c>
      <c r="AC1298" s="83">
        <f t="shared" si="354"/>
        <v>120</v>
      </c>
      <c r="AD1298" s="72">
        <v>120</v>
      </c>
      <c r="AE1298" s="73">
        <f t="shared" si="361"/>
        <v>907.92027688745009</v>
      </c>
      <c r="AF1298" s="73">
        <f>SUM(AE$2:AE1298)</f>
        <v>1093898.1964406713</v>
      </c>
      <c r="AG1298" s="73">
        <f t="shared" si="362"/>
        <v>79831.705986437853</v>
      </c>
    </row>
    <row r="1299" spans="1:33" x14ac:dyDescent="0.25">
      <c r="A1299" s="99">
        <v>216599.92</v>
      </c>
      <c r="B1299" s="96">
        <v>679.63040000000001</v>
      </c>
      <c r="C1299" s="96">
        <v>0.6</v>
      </c>
      <c r="D1299" s="80">
        <f t="shared" si="363"/>
        <v>100</v>
      </c>
      <c r="E1299" s="81">
        <f t="shared" si="355"/>
        <v>6791.2436711181272</v>
      </c>
      <c r="F1299" s="81">
        <f>SUM(E$2:E1299)</f>
        <v>8183488.5426315218</v>
      </c>
      <c r="G1299" s="43">
        <f t="shared" si="353"/>
        <v>1</v>
      </c>
      <c r="H1299" s="78">
        <v>1</v>
      </c>
      <c r="I1299" s="15">
        <f t="shared" si="356"/>
        <v>0.6</v>
      </c>
      <c r="J1299" s="16">
        <f>VLOOKUP(G1299,Inputs!$L$3:$P$15,5,FALSE)</f>
        <v>2000</v>
      </c>
      <c r="K1299" s="16">
        <f t="shared" si="357"/>
        <v>1825</v>
      </c>
      <c r="L1299" s="79">
        <f>Inputs!$P$8-B1299</f>
        <v>258.56060000000002</v>
      </c>
      <c r="M1299" s="79">
        <f>Inputs!$Q$8+L1299*0.433</f>
        <v>1936.9567397999999</v>
      </c>
      <c r="N1299" s="82">
        <f t="shared" si="358"/>
        <v>216599.92</v>
      </c>
      <c r="O1299" s="83">
        <f t="shared" si="359"/>
        <v>679.63040000000001</v>
      </c>
      <c r="P1299" s="84">
        <f>IF(O1299="","",Inputs!$C$5-O1299)</f>
        <v>145.55409999999995</v>
      </c>
      <c r="Q1299" s="83">
        <f>IF(N1299="","",TS!J1299)</f>
        <v>2000</v>
      </c>
      <c r="R1299" s="83">
        <f>IF(N1299="","",TS!K1299)</f>
        <v>1825</v>
      </c>
      <c r="S1299" s="83">
        <f>Inputs!$H$5+TS!P1299*0.4333</f>
        <v>1938.03430798</v>
      </c>
      <c r="T1299" s="83">
        <f>Inputs!$G$5+TS!P1299*0.4333</f>
        <v>1953.03430798</v>
      </c>
      <c r="U1299" s="85">
        <f t="shared" si="360"/>
        <v>0.97651715398999994</v>
      </c>
      <c r="V1299" s="86">
        <f t="shared" si="347"/>
        <v>0</v>
      </c>
      <c r="W1299" s="86">
        <f t="shared" si="348"/>
        <v>0</v>
      </c>
      <c r="X1299" s="86" t="e">
        <f>((PI()*((42-2*'Gen Calcs'!$E$13)^2)/4)/144)*(A1342-#REF!)*(W1299+14.7)/14.7</f>
        <v>#REF!</v>
      </c>
      <c r="Y1299" s="86" t="e">
        <f t="shared" si="349"/>
        <v>#REF!</v>
      </c>
      <c r="Z1299" s="86" t="e">
        <f t="shared" si="350"/>
        <v>#REF!</v>
      </c>
      <c r="AA1299" s="83">
        <f>MAX(B$2:B1299)-B1299</f>
        <v>258.56060000000002</v>
      </c>
      <c r="AB1299" s="83">
        <f t="shared" si="351"/>
        <v>111.95673980000001</v>
      </c>
      <c r="AC1299" s="83">
        <f t="shared" si="354"/>
        <v>120</v>
      </c>
      <c r="AD1299" s="72">
        <v>120</v>
      </c>
      <c r="AE1299" s="73">
        <f t="shared" si="361"/>
        <v>907.92027688745009</v>
      </c>
      <c r="AF1299" s="73">
        <f>SUM(AE$2:AE1299)</f>
        <v>1094806.1167175588</v>
      </c>
      <c r="AG1299" s="73">
        <f t="shared" si="362"/>
        <v>78923.785709550371</v>
      </c>
    </row>
    <row r="1300" spans="1:33" x14ac:dyDescent="0.25">
      <c r="A1300" s="100">
        <v>216699.92</v>
      </c>
      <c r="B1300" s="97">
        <v>680.46690000000001</v>
      </c>
      <c r="C1300" s="97">
        <v>0.6</v>
      </c>
      <c r="D1300" s="80">
        <f t="shared" si="363"/>
        <v>100</v>
      </c>
      <c r="E1300" s="81">
        <f t="shared" si="355"/>
        <v>6791.2436711181272</v>
      </c>
      <c r="F1300" s="81">
        <f>SUM(E$2:E1300)</f>
        <v>8190279.7863026401</v>
      </c>
      <c r="G1300" s="43">
        <f t="shared" si="353"/>
        <v>1</v>
      </c>
      <c r="H1300" s="78">
        <v>1</v>
      </c>
      <c r="I1300" s="15">
        <f t="shared" si="356"/>
        <v>0.6</v>
      </c>
      <c r="J1300" s="16">
        <f>VLOOKUP(G1300,Inputs!$L$3:$P$15,5,FALSE)</f>
        <v>2000</v>
      </c>
      <c r="K1300" s="16">
        <f t="shared" si="357"/>
        <v>1825</v>
      </c>
      <c r="L1300" s="79">
        <f>Inputs!$P$8-B1300</f>
        <v>257.72410000000002</v>
      </c>
      <c r="M1300" s="79">
        <f>Inputs!$Q$8+L1300*0.433</f>
        <v>1936.5945353</v>
      </c>
      <c r="N1300" s="82">
        <f t="shared" si="358"/>
        <v>216699.92</v>
      </c>
      <c r="O1300" s="83">
        <f t="shared" si="359"/>
        <v>680.46690000000001</v>
      </c>
      <c r="P1300" s="84">
        <f>IF(O1300="","",Inputs!$C$5-O1300)</f>
        <v>144.71759999999995</v>
      </c>
      <c r="Q1300" s="83">
        <f>IF(N1300="","",TS!J1300)</f>
        <v>2000</v>
      </c>
      <c r="R1300" s="83">
        <f>IF(N1300="","",TS!K1300)</f>
        <v>1825</v>
      </c>
      <c r="S1300" s="83">
        <f>Inputs!$H$5+TS!P1300*0.4333</f>
        <v>1937.67185253</v>
      </c>
      <c r="T1300" s="83">
        <f>Inputs!$G$5+TS!P1300*0.4333</f>
        <v>1952.67185253</v>
      </c>
      <c r="U1300" s="85">
        <f t="shared" si="360"/>
        <v>0.97633592626499999</v>
      </c>
      <c r="V1300" s="86">
        <f t="shared" si="347"/>
        <v>0</v>
      </c>
      <c r="W1300" s="86">
        <f t="shared" si="348"/>
        <v>0</v>
      </c>
      <c r="X1300" s="86" t="e">
        <f>((PI()*((42-2*'Gen Calcs'!$E$13)^2)/4)/144)*(A1343-#REF!)*(W1300+14.7)/14.7</f>
        <v>#REF!</v>
      </c>
      <c r="Y1300" s="86" t="e">
        <f t="shared" si="349"/>
        <v>#REF!</v>
      </c>
      <c r="Z1300" s="86" t="e">
        <f t="shared" si="350"/>
        <v>#REF!</v>
      </c>
      <c r="AA1300" s="83">
        <f>MAX(B$2:B1300)-B1300</f>
        <v>257.72410000000002</v>
      </c>
      <c r="AB1300" s="83">
        <f t="shared" si="351"/>
        <v>111.5945353</v>
      </c>
      <c r="AC1300" s="83">
        <f t="shared" si="354"/>
        <v>120</v>
      </c>
      <c r="AD1300" s="72">
        <v>120</v>
      </c>
      <c r="AE1300" s="73">
        <f t="shared" si="361"/>
        <v>907.92027688745009</v>
      </c>
      <c r="AF1300" s="73">
        <f>SUM(AE$2:AE1300)</f>
        <v>1095714.0369944463</v>
      </c>
      <c r="AG1300" s="73">
        <f t="shared" si="362"/>
        <v>78015.865432662889</v>
      </c>
    </row>
    <row r="1301" spans="1:33" x14ac:dyDescent="0.25">
      <c r="A1301" s="99">
        <v>216799.92</v>
      </c>
      <c r="B1301" s="96">
        <v>680.85979999999995</v>
      </c>
      <c r="C1301" s="96">
        <v>0.6</v>
      </c>
      <c r="D1301" s="80">
        <f t="shared" si="363"/>
        <v>100</v>
      </c>
      <c r="E1301" s="81">
        <f t="shared" si="355"/>
        <v>6791.2436711181272</v>
      </c>
      <c r="F1301" s="81">
        <f>SUM(E$2:E1301)</f>
        <v>8197071.0299737584</v>
      </c>
      <c r="G1301" s="43">
        <f t="shared" si="353"/>
        <v>1</v>
      </c>
      <c r="H1301" s="78">
        <v>1</v>
      </c>
      <c r="I1301" s="15">
        <f t="shared" si="356"/>
        <v>0.6</v>
      </c>
      <c r="J1301" s="16">
        <f>VLOOKUP(G1301,Inputs!$L$3:$P$15,5,FALSE)</f>
        <v>2000</v>
      </c>
      <c r="K1301" s="16">
        <f t="shared" si="357"/>
        <v>1825</v>
      </c>
      <c r="L1301" s="79">
        <f>Inputs!$P$8-B1301</f>
        <v>257.33120000000008</v>
      </c>
      <c r="M1301" s="79">
        <f>Inputs!$Q$8+L1301*0.433</f>
        <v>1936.4244096</v>
      </c>
      <c r="N1301" s="82">
        <f t="shared" si="358"/>
        <v>216799.92</v>
      </c>
      <c r="O1301" s="83">
        <f t="shared" si="359"/>
        <v>680.85979999999995</v>
      </c>
      <c r="P1301" s="84">
        <f>IF(O1301="","",Inputs!$C$5-O1301)</f>
        <v>144.32470000000001</v>
      </c>
      <c r="Q1301" s="83">
        <f>IF(N1301="","",TS!J1301)</f>
        <v>2000</v>
      </c>
      <c r="R1301" s="83">
        <f>IF(N1301="","",TS!K1301)</f>
        <v>1825</v>
      </c>
      <c r="S1301" s="83">
        <f>Inputs!$H$5+TS!P1301*0.4333</f>
        <v>1937.5016089599999</v>
      </c>
      <c r="T1301" s="83">
        <f>Inputs!$G$5+TS!P1301*0.4333</f>
        <v>1952.5016089599999</v>
      </c>
      <c r="U1301" s="85">
        <f t="shared" si="360"/>
        <v>0.9762508044799999</v>
      </c>
      <c r="V1301" s="86">
        <f t="shared" si="347"/>
        <v>0</v>
      </c>
      <c r="W1301" s="86">
        <f t="shared" si="348"/>
        <v>0</v>
      </c>
      <c r="X1301" s="86" t="e">
        <f>((PI()*((42-2*'Gen Calcs'!$E$13)^2)/4)/144)*(A1344-#REF!)*(W1301+14.7)/14.7</f>
        <v>#REF!</v>
      </c>
      <c r="Y1301" s="86" t="e">
        <f t="shared" si="349"/>
        <v>#REF!</v>
      </c>
      <c r="Z1301" s="86" t="e">
        <f t="shared" si="350"/>
        <v>#REF!</v>
      </c>
      <c r="AA1301" s="83">
        <f>MAX(B$2:B1301)-B1301</f>
        <v>257.33120000000008</v>
      </c>
      <c r="AB1301" s="83">
        <f t="shared" si="351"/>
        <v>111.42440960000003</v>
      </c>
      <c r="AC1301" s="83">
        <f t="shared" si="354"/>
        <v>120</v>
      </c>
      <c r="AD1301" s="72">
        <v>120</v>
      </c>
      <c r="AE1301" s="73">
        <f t="shared" si="361"/>
        <v>907.92027688745009</v>
      </c>
      <c r="AF1301" s="73">
        <f>SUM(AE$2:AE1301)</f>
        <v>1096621.9572713338</v>
      </c>
      <c r="AG1301" s="73">
        <f t="shared" si="362"/>
        <v>77107.945155775407</v>
      </c>
    </row>
    <row r="1302" spans="1:33" x14ac:dyDescent="0.25">
      <c r="A1302" s="100">
        <v>216899.92</v>
      </c>
      <c r="B1302" s="97">
        <v>681.34879999999998</v>
      </c>
      <c r="C1302" s="97">
        <v>0.6</v>
      </c>
      <c r="D1302" s="80">
        <f t="shared" si="363"/>
        <v>100</v>
      </c>
      <c r="E1302" s="81">
        <f t="shared" si="355"/>
        <v>6791.2436711181272</v>
      </c>
      <c r="F1302" s="81">
        <f>SUM(E$2:E1302)</f>
        <v>8203862.2736448767</v>
      </c>
      <c r="G1302" s="43">
        <f t="shared" si="353"/>
        <v>1</v>
      </c>
      <c r="H1302" s="78">
        <v>1</v>
      </c>
      <c r="I1302" s="15">
        <f t="shared" si="356"/>
        <v>0.6</v>
      </c>
      <c r="J1302" s="16">
        <f>VLOOKUP(G1302,Inputs!$L$3:$P$15,5,FALSE)</f>
        <v>2000</v>
      </c>
      <c r="K1302" s="16">
        <f t="shared" si="357"/>
        <v>1825</v>
      </c>
      <c r="L1302" s="79">
        <f>Inputs!$P$8-B1302</f>
        <v>256.84220000000005</v>
      </c>
      <c r="M1302" s="79">
        <f>Inputs!$Q$8+L1302*0.433</f>
        <v>1936.2126726000001</v>
      </c>
      <c r="N1302" s="82">
        <f t="shared" si="358"/>
        <v>216899.92</v>
      </c>
      <c r="O1302" s="83">
        <f t="shared" si="359"/>
        <v>681.34879999999998</v>
      </c>
      <c r="P1302" s="84">
        <f>IF(O1302="","",Inputs!$C$5-O1302)</f>
        <v>143.83569999999997</v>
      </c>
      <c r="Q1302" s="83">
        <f>IF(N1302="","",TS!J1302)</f>
        <v>2000</v>
      </c>
      <c r="R1302" s="83">
        <f>IF(N1302="","",TS!K1302)</f>
        <v>1825</v>
      </c>
      <c r="S1302" s="83">
        <f>Inputs!$H$5+TS!P1302*0.4333</f>
        <v>1937.2897252599998</v>
      </c>
      <c r="T1302" s="83">
        <f>Inputs!$G$5+TS!P1302*0.4333</f>
        <v>1952.2897252599998</v>
      </c>
      <c r="U1302" s="85">
        <f t="shared" si="360"/>
        <v>0.97614486262999989</v>
      </c>
      <c r="V1302" s="86">
        <f t="shared" si="347"/>
        <v>0</v>
      </c>
      <c r="W1302" s="86">
        <f t="shared" si="348"/>
        <v>0</v>
      </c>
      <c r="X1302" s="86" t="e">
        <f>((PI()*((42-2*'Gen Calcs'!$E$13)^2)/4)/144)*(A1345-#REF!)*(W1302+14.7)/14.7</f>
        <v>#REF!</v>
      </c>
      <c r="Y1302" s="86" t="e">
        <f t="shared" si="349"/>
        <v>#REF!</v>
      </c>
      <c r="Z1302" s="86" t="e">
        <f t="shared" si="350"/>
        <v>#REF!</v>
      </c>
      <c r="AA1302" s="83">
        <f>MAX(B$2:B1302)-B1302</f>
        <v>256.84220000000005</v>
      </c>
      <c r="AB1302" s="83">
        <f t="shared" si="351"/>
        <v>111.21267260000002</v>
      </c>
      <c r="AC1302" s="83">
        <f t="shared" si="354"/>
        <v>120</v>
      </c>
      <c r="AD1302" s="72">
        <v>120</v>
      </c>
      <c r="AE1302" s="73">
        <f t="shared" si="361"/>
        <v>907.92027688745009</v>
      </c>
      <c r="AF1302" s="73">
        <f>SUM(AE$2:AE1302)</f>
        <v>1097529.8775482213</v>
      </c>
      <c r="AG1302" s="73">
        <f t="shared" si="362"/>
        <v>76200.024878887925</v>
      </c>
    </row>
    <row r="1303" spans="1:33" x14ac:dyDescent="0.25">
      <c r="A1303" s="99">
        <v>216999.92</v>
      </c>
      <c r="B1303" s="96">
        <v>681.19219999999996</v>
      </c>
      <c r="C1303" s="96">
        <v>0.6</v>
      </c>
      <c r="D1303" s="80">
        <f t="shared" si="363"/>
        <v>100</v>
      </c>
      <c r="E1303" s="81">
        <f t="shared" si="355"/>
        <v>6791.2436711181272</v>
      </c>
      <c r="F1303" s="81">
        <f>SUM(E$2:E1303)</f>
        <v>8210653.5173159949</v>
      </c>
      <c r="G1303" s="43">
        <f t="shared" si="353"/>
        <v>1</v>
      </c>
      <c r="H1303" s="78">
        <v>1</v>
      </c>
      <c r="I1303" s="15">
        <f t="shared" si="356"/>
        <v>0.6</v>
      </c>
      <c r="J1303" s="16">
        <f>VLOOKUP(G1303,Inputs!$L$3:$P$15,5,FALSE)</f>
        <v>2000</v>
      </c>
      <c r="K1303" s="16">
        <f t="shared" si="357"/>
        <v>1825</v>
      </c>
      <c r="L1303" s="79">
        <f>Inputs!$P$8-B1303</f>
        <v>256.99880000000007</v>
      </c>
      <c r="M1303" s="79">
        <f>Inputs!$Q$8+L1303*0.433</f>
        <v>1936.2804804</v>
      </c>
      <c r="N1303" s="82">
        <f t="shared" si="358"/>
        <v>216999.92</v>
      </c>
      <c r="O1303" s="83">
        <f t="shared" si="359"/>
        <v>681.19219999999996</v>
      </c>
      <c r="P1303" s="84">
        <f>IF(O1303="","",Inputs!$C$5-O1303)</f>
        <v>143.9923</v>
      </c>
      <c r="Q1303" s="83">
        <f>IF(N1303="","",TS!J1303)</f>
        <v>2000</v>
      </c>
      <c r="R1303" s="83">
        <f>IF(N1303="","",TS!K1303)</f>
        <v>1825</v>
      </c>
      <c r="S1303" s="83">
        <f>Inputs!$H$5+TS!P1303*0.4333</f>
        <v>1937.3575800399999</v>
      </c>
      <c r="T1303" s="83">
        <f>Inputs!$G$5+TS!P1303*0.4333</f>
        <v>1952.3575800399999</v>
      </c>
      <c r="U1303" s="85">
        <f t="shared" si="360"/>
        <v>0.97617879001999996</v>
      </c>
      <c r="V1303" s="86">
        <f t="shared" si="347"/>
        <v>0</v>
      </c>
      <c r="W1303" s="86">
        <f t="shared" si="348"/>
        <v>0</v>
      </c>
      <c r="X1303" s="86" t="e">
        <f>((PI()*((42-2*'Gen Calcs'!$E$13)^2)/4)/144)*(A1346-#REF!)*(W1303+14.7)/14.7</f>
        <v>#REF!</v>
      </c>
      <c r="Y1303" s="86" t="e">
        <f t="shared" si="349"/>
        <v>#REF!</v>
      </c>
      <c r="Z1303" s="86" t="e">
        <f t="shared" si="350"/>
        <v>#REF!</v>
      </c>
      <c r="AA1303" s="83">
        <f>MAX(B$2:B1303)-B1303</f>
        <v>256.99880000000007</v>
      </c>
      <c r="AB1303" s="83">
        <f t="shared" si="351"/>
        <v>111.28048040000003</v>
      </c>
      <c r="AC1303" s="83">
        <f t="shared" si="354"/>
        <v>120</v>
      </c>
      <c r="AD1303" s="72">
        <v>120</v>
      </c>
      <c r="AE1303" s="73">
        <f t="shared" si="361"/>
        <v>907.92027688745009</v>
      </c>
      <c r="AF1303" s="73">
        <f>SUM(AE$2:AE1303)</f>
        <v>1098437.7978251087</v>
      </c>
      <c r="AG1303" s="73">
        <f t="shared" si="362"/>
        <v>75292.104602000443</v>
      </c>
    </row>
    <row r="1304" spans="1:33" x14ac:dyDescent="0.25">
      <c r="A1304" s="100">
        <v>217099.92</v>
      </c>
      <c r="B1304" s="97">
        <v>679.85590000000002</v>
      </c>
      <c r="C1304" s="97">
        <v>0.6</v>
      </c>
      <c r="D1304" s="80">
        <f t="shared" si="363"/>
        <v>100</v>
      </c>
      <c r="E1304" s="81">
        <f t="shared" si="355"/>
        <v>6791.2436711181272</v>
      </c>
      <c r="F1304" s="81">
        <f>SUM(E$2:E1304)</f>
        <v>8217444.7609871132</v>
      </c>
      <c r="G1304" s="43">
        <f t="shared" si="353"/>
        <v>1</v>
      </c>
      <c r="H1304" s="78">
        <v>1</v>
      </c>
      <c r="I1304" s="15">
        <f t="shared" si="356"/>
        <v>0.6</v>
      </c>
      <c r="J1304" s="16">
        <f>VLOOKUP(G1304,Inputs!$L$3:$P$15,5,FALSE)</f>
        <v>2000</v>
      </c>
      <c r="K1304" s="16">
        <f t="shared" si="357"/>
        <v>1825</v>
      </c>
      <c r="L1304" s="79">
        <f>Inputs!$P$8-B1304</f>
        <v>258.33510000000001</v>
      </c>
      <c r="M1304" s="79">
        <f>Inputs!$Q$8+L1304*0.433</f>
        <v>1936.8590982999999</v>
      </c>
      <c r="N1304" s="82">
        <f t="shared" si="358"/>
        <v>217099.92</v>
      </c>
      <c r="O1304" s="83">
        <f t="shared" si="359"/>
        <v>679.85590000000002</v>
      </c>
      <c r="P1304" s="84">
        <f>IF(O1304="","",Inputs!$C$5-O1304)</f>
        <v>145.32859999999994</v>
      </c>
      <c r="Q1304" s="83">
        <f>IF(N1304="","",TS!J1304)</f>
        <v>2000</v>
      </c>
      <c r="R1304" s="83">
        <f>IF(N1304="","",TS!K1304)</f>
        <v>1825</v>
      </c>
      <c r="S1304" s="83">
        <f>Inputs!$H$5+TS!P1304*0.4333</f>
        <v>1937.9365988299999</v>
      </c>
      <c r="T1304" s="83">
        <f>Inputs!$G$5+TS!P1304*0.4333</f>
        <v>1952.9365988299999</v>
      </c>
      <c r="U1304" s="85">
        <f t="shared" si="360"/>
        <v>0.97646829941499991</v>
      </c>
      <c r="V1304" s="86">
        <f t="shared" si="347"/>
        <v>0</v>
      </c>
      <c r="W1304" s="86">
        <f t="shared" si="348"/>
        <v>0</v>
      </c>
      <c r="X1304" s="86" t="e">
        <f>((PI()*((42-2*'Gen Calcs'!$E$13)^2)/4)/144)*(A1347-#REF!)*(W1304+14.7)/14.7</f>
        <v>#REF!</v>
      </c>
      <c r="Y1304" s="86" t="e">
        <f t="shared" si="349"/>
        <v>#REF!</v>
      </c>
      <c r="Z1304" s="86" t="e">
        <f t="shared" si="350"/>
        <v>#REF!</v>
      </c>
      <c r="AA1304" s="83">
        <f>MAX(B$2:B1304)-B1304</f>
        <v>258.33510000000001</v>
      </c>
      <c r="AB1304" s="83">
        <f t="shared" si="351"/>
        <v>111.8590983</v>
      </c>
      <c r="AC1304" s="83">
        <f t="shared" si="354"/>
        <v>120</v>
      </c>
      <c r="AD1304" s="72">
        <v>120</v>
      </c>
      <c r="AE1304" s="73">
        <f t="shared" si="361"/>
        <v>907.92027688745009</v>
      </c>
      <c r="AF1304" s="73">
        <f>SUM(AE$2:AE1304)</f>
        <v>1099345.7181019962</v>
      </c>
      <c r="AG1304" s="73">
        <f t="shared" si="362"/>
        <v>74384.184325112961</v>
      </c>
    </row>
    <row r="1305" spans="1:33" x14ac:dyDescent="0.25">
      <c r="A1305" s="99">
        <v>217195.7</v>
      </c>
      <c r="B1305" s="96">
        <v>679.85590000000002</v>
      </c>
      <c r="C1305" s="96">
        <v>0.86399999999999999</v>
      </c>
      <c r="D1305" s="80">
        <f t="shared" si="363"/>
        <v>95.779999999998836</v>
      </c>
      <c r="E1305" s="81">
        <f t="shared" si="355"/>
        <v>6504.6531881968631</v>
      </c>
      <c r="F1305" s="81">
        <f>SUM(E$2:E1305)</f>
        <v>8223949.4141753102</v>
      </c>
      <c r="G1305" s="43">
        <f t="shared" si="353"/>
        <v>2</v>
      </c>
      <c r="H1305" s="78">
        <v>1</v>
      </c>
      <c r="I1305" s="15">
        <f t="shared" si="356"/>
        <v>0.86399999999999999</v>
      </c>
      <c r="J1305" s="16">
        <f>VLOOKUP(G1305,Inputs!$L$3:$P$15,5,FALSE)</f>
        <v>2880</v>
      </c>
      <c r="K1305" s="16">
        <f t="shared" si="357"/>
        <v>1825</v>
      </c>
      <c r="L1305" s="79">
        <f>Inputs!$P$8-B1305</f>
        <v>258.33510000000001</v>
      </c>
      <c r="M1305" s="79">
        <f>Inputs!$Q$8+L1305*0.433</f>
        <v>1936.8590982999999</v>
      </c>
      <c r="N1305" s="82">
        <f t="shared" si="358"/>
        <v>217195.7</v>
      </c>
      <c r="O1305" s="83">
        <f t="shared" si="359"/>
        <v>679.85590000000002</v>
      </c>
      <c r="P1305" s="84">
        <f>IF(O1305="","",Inputs!$C$5-O1305)</f>
        <v>145.32859999999994</v>
      </c>
      <c r="Q1305" s="83">
        <f>IF(N1305="","",TS!J1305)</f>
        <v>2880</v>
      </c>
      <c r="R1305" s="83">
        <f>IF(N1305="","",TS!K1305)</f>
        <v>1825</v>
      </c>
      <c r="S1305" s="83">
        <f>Inputs!$H$5+TS!P1305*0.4333</f>
        <v>1937.9365988299999</v>
      </c>
      <c r="T1305" s="83">
        <f>Inputs!$G$5+TS!P1305*0.4333</f>
        <v>1952.9365988299999</v>
      </c>
      <c r="U1305" s="85">
        <f t="shared" si="360"/>
        <v>0.67810298570486105</v>
      </c>
      <c r="V1305" s="86">
        <f t="shared" si="347"/>
        <v>0</v>
      </c>
      <c r="W1305" s="86">
        <f t="shared" si="348"/>
        <v>0</v>
      </c>
      <c r="X1305" s="86" t="e">
        <f>((PI()*((42-2*'Gen Calcs'!$E$13)^2)/4)/144)*(A1348-#REF!)*(W1305+14.7)/14.7</f>
        <v>#REF!</v>
      </c>
      <c r="Y1305" s="86" t="e">
        <f t="shared" si="349"/>
        <v>#REF!</v>
      </c>
      <c r="Z1305" s="86" t="e">
        <f t="shared" si="350"/>
        <v>#REF!</v>
      </c>
      <c r="AA1305" s="83">
        <f>MAX(B$2:B1305)-B1305</f>
        <v>258.33510000000001</v>
      </c>
      <c r="AB1305" s="83">
        <f t="shared" si="351"/>
        <v>111.8590983</v>
      </c>
      <c r="AC1305" s="83">
        <f t="shared" si="354"/>
        <v>120</v>
      </c>
      <c r="AD1305" s="72">
        <v>120</v>
      </c>
      <c r="AE1305" s="73">
        <f t="shared" si="361"/>
        <v>847.24422716887</v>
      </c>
      <c r="AF1305" s="73">
        <f>SUM(AE$2:AE1305)</f>
        <v>1100192.9623291651</v>
      </c>
      <c r="AG1305" s="73">
        <f t="shared" si="362"/>
        <v>73536.940097944112</v>
      </c>
    </row>
    <row r="1306" spans="1:33" x14ac:dyDescent="0.25">
      <c r="A1306" s="100">
        <v>217199.92</v>
      </c>
      <c r="B1306" s="97">
        <v>678.60820000000001</v>
      </c>
      <c r="C1306" s="97">
        <v>0.6</v>
      </c>
      <c r="D1306" s="80">
        <f t="shared" si="363"/>
        <v>4.2200000000011642</v>
      </c>
      <c r="E1306" s="81">
        <f t="shared" si="355"/>
        <v>286.59048292126403</v>
      </c>
      <c r="F1306" s="81">
        <f>SUM(E$2:E1306)</f>
        <v>8224236.0046582315</v>
      </c>
      <c r="G1306" s="43">
        <f t="shared" si="353"/>
        <v>1</v>
      </c>
      <c r="H1306" s="78">
        <v>1</v>
      </c>
      <c r="I1306" s="15">
        <f t="shared" si="356"/>
        <v>0.6</v>
      </c>
      <c r="J1306" s="16">
        <f>VLOOKUP(G1306,Inputs!$L$3:$P$15,5,FALSE)</f>
        <v>2000</v>
      </c>
      <c r="K1306" s="16">
        <f t="shared" si="357"/>
        <v>1825</v>
      </c>
      <c r="L1306" s="79">
        <f>Inputs!$P$8-B1306</f>
        <v>259.58280000000002</v>
      </c>
      <c r="M1306" s="79">
        <f>Inputs!$Q$8+L1306*0.433</f>
        <v>1937.3993524</v>
      </c>
      <c r="N1306" s="82">
        <f t="shared" si="358"/>
        <v>217199.92</v>
      </c>
      <c r="O1306" s="83">
        <f t="shared" si="359"/>
        <v>678.60820000000001</v>
      </c>
      <c r="P1306" s="84">
        <f>IF(O1306="","",Inputs!$C$5-O1306)</f>
        <v>146.57629999999995</v>
      </c>
      <c r="Q1306" s="83">
        <f>IF(N1306="","",TS!J1306)</f>
        <v>2000</v>
      </c>
      <c r="R1306" s="83">
        <f>IF(N1306="","",TS!K1306)</f>
        <v>1825</v>
      </c>
      <c r="S1306" s="83">
        <f>Inputs!$H$5+TS!P1306*0.4333</f>
        <v>1938.4772272399998</v>
      </c>
      <c r="T1306" s="83">
        <f>Inputs!$G$5+TS!P1306*0.4333</f>
        <v>1953.4772272399998</v>
      </c>
      <c r="U1306" s="85">
        <f t="shared" si="360"/>
        <v>0.97673861361999992</v>
      </c>
      <c r="V1306" s="86">
        <f t="shared" si="347"/>
        <v>0</v>
      </c>
      <c r="W1306" s="86">
        <f t="shared" si="348"/>
        <v>0</v>
      </c>
      <c r="X1306" s="86" t="e">
        <f>((PI()*((42-2*'Gen Calcs'!$E$13)^2)/4)/144)*(A1349-#REF!)*(W1306+14.7)/14.7</f>
        <v>#REF!</v>
      </c>
      <c r="Y1306" s="86" t="e">
        <f t="shared" si="349"/>
        <v>#REF!</v>
      </c>
      <c r="Z1306" s="86" t="e">
        <f t="shared" si="350"/>
        <v>#REF!</v>
      </c>
      <c r="AA1306" s="83">
        <f>MAX(B$2:B1306)-B1306</f>
        <v>259.58280000000002</v>
      </c>
      <c r="AB1306" s="83">
        <f t="shared" si="351"/>
        <v>112.39935240000001</v>
      </c>
      <c r="AC1306" s="83">
        <f t="shared" si="354"/>
        <v>120</v>
      </c>
      <c r="AD1306" s="72">
        <v>120</v>
      </c>
      <c r="AE1306" s="73">
        <f t="shared" si="361"/>
        <v>38.314235684660964</v>
      </c>
      <c r="AF1306" s="73">
        <f>SUM(AE$2:AE1306)</f>
        <v>1100231.2765648498</v>
      </c>
      <c r="AG1306" s="73">
        <f t="shared" si="362"/>
        <v>73498.625862259418</v>
      </c>
    </row>
    <row r="1307" spans="1:33" x14ac:dyDescent="0.25">
      <c r="A1307" s="99">
        <v>217299.92</v>
      </c>
      <c r="B1307" s="96">
        <v>678.72209999999995</v>
      </c>
      <c r="C1307" s="96">
        <v>0.6</v>
      </c>
      <c r="D1307" s="80">
        <f t="shared" si="363"/>
        <v>100</v>
      </c>
      <c r="E1307" s="81">
        <f t="shared" si="355"/>
        <v>6791.2436711181272</v>
      </c>
      <c r="F1307" s="81">
        <f>SUM(E$2:E1307)</f>
        <v>8231027.2483293498</v>
      </c>
      <c r="G1307" s="43">
        <f t="shared" si="353"/>
        <v>1</v>
      </c>
      <c r="H1307" s="78">
        <v>1</v>
      </c>
      <c r="I1307" s="15">
        <f t="shared" si="356"/>
        <v>0.6</v>
      </c>
      <c r="J1307" s="16">
        <f>VLOOKUP(G1307,Inputs!$L$3:$P$15,5,FALSE)</f>
        <v>2000</v>
      </c>
      <c r="K1307" s="16">
        <f t="shared" si="357"/>
        <v>1825</v>
      </c>
      <c r="L1307" s="79">
        <f>Inputs!$P$8-B1307</f>
        <v>259.46890000000008</v>
      </c>
      <c r="M1307" s="79">
        <f>Inputs!$Q$8+L1307*0.433</f>
        <v>1937.3500337</v>
      </c>
      <c r="N1307" s="82">
        <f t="shared" si="358"/>
        <v>217299.92</v>
      </c>
      <c r="O1307" s="83">
        <f t="shared" si="359"/>
        <v>678.72209999999995</v>
      </c>
      <c r="P1307" s="84">
        <f>IF(O1307="","",Inputs!$C$5-O1307)</f>
        <v>146.4624</v>
      </c>
      <c r="Q1307" s="83">
        <f>IF(N1307="","",TS!J1307)</f>
        <v>2000</v>
      </c>
      <c r="R1307" s="83">
        <f>IF(N1307="","",TS!K1307)</f>
        <v>1825</v>
      </c>
      <c r="S1307" s="83">
        <f>Inputs!$H$5+TS!P1307*0.4333</f>
        <v>1938.4278743699999</v>
      </c>
      <c r="T1307" s="83">
        <f>Inputs!$G$5+TS!P1307*0.4333</f>
        <v>1953.4278743699999</v>
      </c>
      <c r="U1307" s="85">
        <f t="shared" si="360"/>
        <v>0.97671393718499999</v>
      </c>
      <c r="V1307" s="86">
        <f t="shared" si="347"/>
        <v>0</v>
      </c>
      <c r="W1307" s="86">
        <f t="shared" si="348"/>
        <v>0</v>
      </c>
      <c r="X1307" s="86" t="e">
        <f>((PI()*((42-2*'Gen Calcs'!$E$13)^2)/4)/144)*(A1350-#REF!)*(W1307+14.7)/14.7</f>
        <v>#REF!</v>
      </c>
      <c r="Y1307" s="86" t="e">
        <f t="shared" si="349"/>
        <v>#REF!</v>
      </c>
      <c r="Z1307" s="86" t="e">
        <f t="shared" si="350"/>
        <v>#REF!</v>
      </c>
      <c r="AA1307" s="83">
        <f>MAX(B$2:B1307)-B1307</f>
        <v>259.46890000000008</v>
      </c>
      <c r="AB1307" s="83">
        <f t="shared" si="351"/>
        <v>112.35003370000003</v>
      </c>
      <c r="AC1307" s="83">
        <f t="shared" si="354"/>
        <v>120</v>
      </c>
      <c r="AD1307" s="72">
        <v>120</v>
      </c>
      <c r="AE1307" s="73">
        <f t="shared" si="361"/>
        <v>907.92027688745009</v>
      </c>
      <c r="AF1307" s="73">
        <f>SUM(AE$2:AE1307)</f>
        <v>1101139.1968417373</v>
      </c>
      <c r="AG1307" s="73">
        <f t="shared" si="362"/>
        <v>72590.705585371936</v>
      </c>
    </row>
    <row r="1308" spans="1:33" x14ac:dyDescent="0.25">
      <c r="A1308" s="100">
        <v>217315.7</v>
      </c>
      <c r="B1308" s="97">
        <v>678.72209999999995</v>
      </c>
      <c r="C1308" s="97">
        <v>0.86399999999999999</v>
      </c>
      <c r="D1308" s="80">
        <f t="shared" si="363"/>
        <v>15.779999999998836</v>
      </c>
      <c r="E1308" s="81">
        <f t="shared" si="355"/>
        <v>1071.6582513023614</v>
      </c>
      <c r="F1308" s="81">
        <f>SUM(E$2:E1308)</f>
        <v>8232098.9065806521</v>
      </c>
      <c r="G1308" s="43">
        <f t="shared" si="353"/>
        <v>2</v>
      </c>
      <c r="H1308" s="78">
        <v>1</v>
      </c>
      <c r="I1308" s="15">
        <f t="shared" si="356"/>
        <v>0.86399999999999999</v>
      </c>
      <c r="J1308" s="16">
        <f>VLOOKUP(G1308,Inputs!$L$3:$P$15,5,FALSE)</f>
        <v>2880</v>
      </c>
      <c r="K1308" s="16">
        <f t="shared" si="357"/>
        <v>1825</v>
      </c>
      <c r="L1308" s="79">
        <f>Inputs!$P$8-B1308</f>
        <v>259.46890000000008</v>
      </c>
      <c r="M1308" s="79">
        <f>Inputs!$Q$8+L1308*0.433</f>
        <v>1937.3500337</v>
      </c>
      <c r="N1308" s="82">
        <f t="shared" si="358"/>
        <v>217315.7</v>
      </c>
      <c r="O1308" s="83">
        <f t="shared" si="359"/>
        <v>678.72209999999995</v>
      </c>
      <c r="P1308" s="84">
        <f>IF(O1308="","",Inputs!$C$5-O1308)</f>
        <v>146.4624</v>
      </c>
      <c r="Q1308" s="83">
        <f>IF(N1308="","",TS!J1308)</f>
        <v>2880</v>
      </c>
      <c r="R1308" s="83">
        <f>IF(N1308="","",TS!K1308)</f>
        <v>1825</v>
      </c>
      <c r="S1308" s="83">
        <f>Inputs!$H$5+TS!P1308*0.4333</f>
        <v>1938.4278743699999</v>
      </c>
      <c r="T1308" s="83">
        <f>Inputs!$G$5+TS!P1308*0.4333</f>
        <v>1953.4278743699999</v>
      </c>
      <c r="U1308" s="85">
        <f t="shared" si="360"/>
        <v>0.67827356748958334</v>
      </c>
      <c r="V1308" s="86">
        <f t="shared" ref="V1308:V1348" si="364">O1308-MAX(O1308:O1308)</f>
        <v>0</v>
      </c>
      <c r="W1308" s="86">
        <f t="shared" ref="W1308:W1348" si="365">-(V1308)*0.433</f>
        <v>0</v>
      </c>
      <c r="X1308" s="86" t="e">
        <f>((PI()*((42-2*'Gen Calcs'!$E$13)^2)/4)/144)*(A1351-#REF!)*(W1308+14.7)/14.7</f>
        <v>#REF!</v>
      </c>
      <c r="Y1308" s="86" t="e">
        <f t="shared" ref="Y1308:Y1348" si="366">X1308/1000</f>
        <v>#REF!</v>
      </c>
      <c r="Z1308" s="86" t="e">
        <f t="shared" ref="Z1308:Z1348" si="367">IF(Y1308&gt;Z1307,Y1308,Z1307)</f>
        <v>#REF!</v>
      </c>
      <c r="AA1308" s="83">
        <f>MAX(B$2:B1308)-B1308</f>
        <v>259.46890000000008</v>
      </c>
      <c r="AB1308" s="83">
        <f t="shared" ref="AB1308:AB1348" si="368">AA1308*0.433</f>
        <v>112.35003370000003</v>
      </c>
      <c r="AC1308" s="83">
        <f t="shared" si="354"/>
        <v>120</v>
      </c>
      <c r="AD1308" s="72">
        <v>120</v>
      </c>
      <c r="AE1308" s="73">
        <f t="shared" si="361"/>
        <v>139.5856536304442</v>
      </c>
      <c r="AF1308" s="73">
        <f>SUM(AE$2:AE1308)</f>
        <v>1101278.7824953678</v>
      </c>
      <c r="AG1308" s="73">
        <f t="shared" si="362"/>
        <v>72451.119931741385</v>
      </c>
    </row>
    <row r="1309" spans="1:33" x14ac:dyDescent="0.25">
      <c r="A1309" s="99">
        <v>217399.92</v>
      </c>
      <c r="B1309" s="96">
        <v>678.14400000000001</v>
      </c>
      <c r="C1309" s="96">
        <v>0.6</v>
      </c>
      <c r="D1309" s="80">
        <f t="shared" si="363"/>
        <v>84.220000000001164</v>
      </c>
      <c r="E1309" s="81">
        <f t="shared" si="355"/>
        <v>5719.5854198157658</v>
      </c>
      <c r="F1309" s="81">
        <f>SUM(E$2:E1309)</f>
        <v>8237818.4920004681</v>
      </c>
      <c r="G1309" s="43">
        <f t="shared" si="353"/>
        <v>1</v>
      </c>
      <c r="H1309" s="78">
        <v>1</v>
      </c>
      <c r="I1309" s="15">
        <f t="shared" si="356"/>
        <v>0.6</v>
      </c>
      <c r="J1309" s="16">
        <f>VLOOKUP(G1309,Inputs!$L$3:$P$15,5,FALSE)</f>
        <v>2000</v>
      </c>
      <c r="K1309" s="16">
        <f t="shared" si="357"/>
        <v>1825</v>
      </c>
      <c r="L1309" s="79">
        <f>Inputs!$P$8-B1309</f>
        <v>260.04700000000003</v>
      </c>
      <c r="M1309" s="79">
        <f>Inputs!$Q$8+L1309*0.433</f>
        <v>1937.600351</v>
      </c>
      <c r="N1309" s="82">
        <f t="shared" si="358"/>
        <v>217399.92</v>
      </c>
      <c r="O1309" s="83">
        <f t="shared" si="359"/>
        <v>678.14400000000001</v>
      </c>
      <c r="P1309" s="84">
        <f>IF(O1309="","",Inputs!$C$5-O1309)</f>
        <v>147.04049999999995</v>
      </c>
      <c r="Q1309" s="83">
        <f>IF(N1309="","",TS!J1309)</f>
        <v>2000</v>
      </c>
      <c r="R1309" s="83">
        <f>IF(N1309="","",TS!K1309)</f>
        <v>1825</v>
      </c>
      <c r="S1309" s="83">
        <f>Inputs!$H$5+TS!P1309*0.4333</f>
        <v>1938.6783650999998</v>
      </c>
      <c r="T1309" s="83">
        <f>Inputs!$G$5+TS!P1309*0.4333</f>
        <v>1953.6783650999998</v>
      </c>
      <c r="U1309" s="85">
        <f t="shared" si="360"/>
        <v>0.97683918254999991</v>
      </c>
      <c r="V1309" s="86">
        <f t="shared" si="364"/>
        <v>0</v>
      </c>
      <c r="W1309" s="86">
        <f t="shared" si="365"/>
        <v>0</v>
      </c>
      <c r="X1309" s="86" t="e">
        <f>((PI()*((42-2*'Gen Calcs'!$E$13)^2)/4)/144)*(A1352-#REF!)*(W1309+14.7)/14.7</f>
        <v>#REF!</v>
      </c>
      <c r="Y1309" s="86" t="e">
        <f t="shared" si="366"/>
        <v>#REF!</v>
      </c>
      <c r="Z1309" s="86" t="e">
        <f t="shared" si="367"/>
        <v>#REF!</v>
      </c>
      <c r="AA1309" s="83">
        <f>MAX(B$2:B1309)-B1309</f>
        <v>260.04700000000003</v>
      </c>
      <c r="AB1309" s="83">
        <f t="shared" si="368"/>
        <v>112.600351</v>
      </c>
      <c r="AC1309" s="83">
        <f t="shared" si="354"/>
        <v>120</v>
      </c>
      <c r="AD1309" s="72">
        <v>120</v>
      </c>
      <c r="AE1309" s="73">
        <f t="shared" si="361"/>
        <v>764.65045719462103</v>
      </c>
      <c r="AF1309" s="73">
        <f>SUM(AE$2:AE1309)</f>
        <v>1102043.4329525623</v>
      </c>
      <c r="AG1309" s="73">
        <f t="shared" si="362"/>
        <v>71686.469474546844</v>
      </c>
    </row>
    <row r="1310" spans="1:33" x14ac:dyDescent="0.25">
      <c r="A1310" s="100">
        <v>217499.92</v>
      </c>
      <c r="B1310" s="97">
        <v>679.10310000000004</v>
      </c>
      <c r="C1310" s="97">
        <v>0.6</v>
      </c>
      <c r="D1310" s="80">
        <f t="shared" si="363"/>
        <v>100</v>
      </c>
      <c r="E1310" s="81">
        <f t="shared" si="355"/>
        <v>6791.2436711181272</v>
      </c>
      <c r="F1310" s="81">
        <f>SUM(E$2:E1310)</f>
        <v>8244609.7356715864</v>
      </c>
      <c r="G1310" s="43">
        <f t="shared" si="353"/>
        <v>1</v>
      </c>
      <c r="H1310" s="78">
        <v>1</v>
      </c>
      <c r="I1310" s="15">
        <f t="shared" si="356"/>
        <v>0.6</v>
      </c>
      <c r="J1310" s="16">
        <f>VLOOKUP(G1310,Inputs!$L$3:$P$15,5,FALSE)</f>
        <v>2000</v>
      </c>
      <c r="K1310" s="16">
        <f t="shared" si="357"/>
        <v>1825</v>
      </c>
      <c r="L1310" s="79">
        <f>Inputs!$P$8-B1310</f>
        <v>259.08789999999999</v>
      </c>
      <c r="M1310" s="79">
        <f>Inputs!$Q$8+L1310*0.433</f>
        <v>1937.1850606999999</v>
      </c>
      <c r="N1310" s="82">
        <f t="shared" si="358"/>
        <v>217499.92</v>
      </c>
      <c r="O1310" s="83">
        <f t="shared" si="359"/>
        <v>679.10310000000004</v>
      </c>
      <c r="P1310" s="84">
        <f>IF(O1310="","",Inputs!$C$5-O1310)</f>
        <v>146.08139999999992</v>
      </c>
      <c r="Q1310" s="83">
        <f>IF(N1310="","",TS!J1310)</f>
        <v>2000</v>
      </c>
      <c r="R1310" s="83">
        <f>IF(N1310="","",TS!K1310)</f>
        <v>1825</v>
      </c>
      <c r="S1310" s="83">
        <f>Inputs!$H$5+TS!P1310*0.4333</f>
        <v>1938.2627870699998</v>
      </c>
      <c r="T1310" s="83">
        <f>Inputs!$G$5+TS!P1310*0.4333</f>
        <v>1953.2627870699998</v>
      </c>
      <c r="U1310" s="85">
        <f t="shared" si="360"/>
        <v>0.97663139353499995</v>
      </c>
      <c r="V1310" s="86">
        <f t="shared" si="364"/>
        <v>0</v>
      </c>
      <c r="W1310" s="86">
        <f t="shared" si="365"/>
        <v>0</v>
      </c>
      <c r="X1310" s="86" t="e">
        <f>((PI()*((42-2*'Gen Calcs'!$E$13)^2)/4)/144)*(A1353-#REF!)*(W1310+14.7)/14.7</f>
        <v>#REF!</v>
      </c>
      <c r="Y1310" s="86" t="e">
        <f t="shared" si="366"/>
        <v>#REF!</v>
      </c>
      <c r="Z1310" s="86" t="e">
        <f t="shared" si="367"/>
        <v>#REF!</v>
      </c>
      <c r="AA1310" s="83">
        <f>MAX(B$2:B1310)-B1310</f>
        <v>259.08789999999999</v>
      </c>
      <c r="AB1310" s="83">
        <f t="shared" si="368"/>
        <v>112.18506069999999</v>
      </c>
      <c r="AC1310" s="83">
        <f t="shared" si="354"/>
        <v>120</v>
      </c>
      <c r="AD1310" s="72">
        <v>120</v>
      </c>
      <c r="AE1310" s="73">
        <f t="shared" si="361"/>
        <v>907.92027688745009</v>
      </c>
      <c r="AF1310" s="73">
        <f>SUM(AE$2:AE1310)</f>
        <v>1102951.3532294498</v>
      </c>
      <c r="AG1310" s="73">
        <f t="shared" si="362"/>
        <v>70778.549197659362</v>
      </c>
    </row>
    <row r="1311" spans="1:33" x14ac:dyDescent="0.25">
      <c r="A1311" s="99">
        <v>217599.92</v>
      </c>
      <c r="B1311" s="96">
        <v>679.39260000000002</v>
      </c>
      <c r="C1311" s="96">
        <v>0.6</v>
      </c>
      <c r="D1311" s="80">
        <f t="shared" si="363"/>
        <v>100</v>
      </c>
      <c r="E1311" s="81">
        <f t="shared" si="355"/>
        <v>6791.2436711181272</v>
      </c>
      <c r="F1311" s="81">
        <f>SUM(E$2:E1311)</f>
        <v>8251400.9793427046</v>
      </c>
      <c r="G1311" s="43">
        <f t="shared" si="353"/>
        <v>1</v>
      </c>
      <c r="H1311" s="78">
        <v>1</v>
      </c>
      <c r="I1311" s="15">
        <f t="shared" si="356"/>
        <v>0.6</v>
      </c>
      <c r="J1311" s="16">
        <f>VLOOKUP(G1311,Inputs!$L$3:$P$15,5,FALSE)</f>
        <v>2000</v>
      </c>
      <c r="K1311" s="16">
        <f t="shared" si="357"/>
        <v>1825</v>
      </c>
      <c r="L1311" s="79">
        <f>Inputs!$P$8-B1311</f>
        <v>258.79840000000002</v>
      </c>
      <c r="M1311" s="79">
        <f>Inputs!$Q$8+L1311*0.433</f>
        <v>1937.0597072</v>
      </c>
      <c r="N1311" s="82">
        <f t="shared" si="358"/>
        <v>217599.92</v>
      </c>
      <c r="O1311" s="83">
        <f t="shared" si="359"/>
        <v>679.39260000000002</v>
      </c>
      <c r="P1311" s="84">
        <f>IF(O1311="","",Inputs!$C$5-O1311)</f>
        <v>145.79189999999994</v>
      </c>
      <c r="Q1311" s="83">
        <f>IF(N1311="","",TS!J1311)</f>
        <v>2000</v>
      </c>
      <c r="R1311" s="83">
        <f>IF(N1311="","",TS!K1311)</f>
        <v>1825</v>
      </c>
      <c r="S1311" s="83">
        <f>Inputs!$H$5+TS!P1311*0.4333</f>
        <v>1938.1373467199999</v>
      </c>
      <c r="T1311" s="83">
        <f>Inputs!$G$5+TS!P1311*0.4333</f>
        <v>1953.1373467199999</v>
      </c>
      <c r="U1311" s="85">
        <f t="shared" si="360"/>
        <v>0.97656867335999997</v>
      </c>
      <c r="V1311" s="86">
        <f t="shared" si="364"/>
        <v>0</v>
      </c>
      <c r="W1311" s="86">
        <f t="shared" si="365"/>
        <v>0</v>
      </c>
      <c r="X1311" s="86" t="e">
        <f>((PI()*((42-2*'Gen Calcs'!$E$13)^2)/4)/144)*(A1354-#REF!)*(W1311+14.7)/14.7</f>
        <v>#REF!</v>
      </c>
      <c r="Y1311" s="86" t="e">
        <f t="shared" si="366"/>
        <v>#REF!</v>
      </c>
      <c r="Z1311" s="86" t="e">
        <f t="shared" si="367"/>
        <v>#REF!</v>
      </c>
      <c r="AA1311" s="83">
        <f>MAX(B$2:B1311)-B1311</f>
        <v>258.79840000000002</v>
      </c>
      <c r="AB1311" s="83">
        <f t="shared" si="368"/>
        <v>112.05970720000001</v>
      </c>
      <c r="AC1311" s="83">
        <f t="shared" si="354"/>
        <v>120</v>
      </c>
      <c r="AD1311" s="72">
        <v>120</v>
      </c>
      <c r="AE1311" s="73">
        <f t="shared" si="361"/>
        <v>907.92027688745009</v>
      </c>
      <c r="AF1311" s="73">
        <f>SUM(AE$2:AE1311)</f>
        <v>1103859.2735063373</v>
      </c>
      <c r="AG1311" s="73">
        <f t="shared" si="362"/>
        <v>69870.62892077188</v>
      </c>
    </row>
    <row r="1312" spans="1:33" x14ac:dyDescent="0.25">
      <c r="A1312" s="100">
        <v>217699.92</v>
      </c>
      <c r="B1312" s="97">
        <v>680.14729999999997</v>
      </c>
      <c r="C1312" s="97">
        <v>0.6</v>
      </c>
      <c r="D1312" s="80">
        <f t="shared" si="363"/>
        <v>100</v>
      </c>
      <c r="E1312" s="81">
        <f t="shared" si="355"/>
        <v>6791.2436711181272</v>
      </c>
      <c r="F1312" s="81">
        <f>SUM(E$2:E1312)</f>
        <v>8258192.2230138229</v>
      </c>
      <c r="G1312" s="43">
        <f t="shared" si="353"/>
        <v>1</v>
      </c>
      <c r="H1312" s="78">
        <v>1</v>
      </c>
      <c r="I1312" s="15">
        <f t="shared" si="356"/>
        <v>0.6</v>
      </c>
      <c r="J1312" s="16">
        <f>VLOOKUP(G1312,Inputs!$L$3:$P$15,5,FALSE)</f>
        <v>2000</v>
      </c>
      <c r="K1312" s="16">
        <f t="shared" si="357"/>
        <v>1825</v>
      </c>
      <c r="L1312" s="79">
        <f>Inputs!$P$8-B1312</f>
        <v>258.04370000000006</v>
      </c>
      <c r="M1312" s="79">
        <f>Inputs!$Q$8+L1312*0.433</f>
        <v>1936.7329221</v>
      </c>
      <c r="N1312" s="82">
        <f t="shared" si="358"/>
        <v>217699.92</v>
      </c>
      <c r="O1312" s="83">
        <f t="shared" si="359"/>
        <v>680.14729999999997</v>
      </c>
      <c r="P1312" s="84">
        <f>IF(O1312="","",Inputs!$C$5-O1312)</f>
        <v>145.03719999999998</v>
      </c>
      <c r="Q1312" s="83">
        <f>IF(N1312="","",TS!J1312)</f>
        <v>2000</v>
      </c>
      <c r="R1312" s="83">
        <f>IF(N1312="","",TS!K1312)</f>
        <v>1825</v>
      </c>
      <c r="S1312" s="83">
        <f>Inputs!$H$5+TS!P1312*0.4333</f>
        <v>1937.8103352099999</v>
      </c>
      <c r="T1312" s="83">
        <f>Inputs!$G$5+TS!P1312*0.4333</f>
        <v>1952.8103352099999</v>
      </c>
      <c r="U1312" s="85">
        <f t="shared" si="360"/>
        <v>0.97640516760499996</v>
      </c>
      <c r="V1312" s="86">
        <f t="shared" si="364"/>
        <v>0</v>
      </c>
      <c r="W1312" s="86">
        <f t="shared" si="365"/>
        <v>0</v>
      </c>
      <c r="X1312" s="86" t="e">
        <f>((PI()*((42-2*'Gen Calcs'!$E$13)^2)/4)/144)*(A1355-#REF!)*(W1312+14.7)/14.7</f>
        <v>#REF!</v>
      </c>
      <c r="Y1312" s="86" t="e">
        <f t="shared" si="366"/>
        <v>#REF!</v>
      </c>
      <c r="Z1312" s="86" t="e">
        <f t="shared" si="367"/>
        <v>#REF!</v>
      </c>
      <c r="AA1312" s="83">
        <f>MAX(B$2:B1312)-B1312</f>
        <v>258.04370000000006</v>
      </c>
      <c r="AB1312" s="83">
        <f t="shared" si="368"/>
        <v>111.73292210000002</v>
      </c>
      <c r="AC1312" s="83">
        <f t="shared" si="354"/>
        <v>120</v>
      </c>
      <c r="AD1312" s="72">
        <v>120</v>
      </c>
      <c r="AE1312" s="73">
        <f t="shared" si="361"/>
        <v>907.92027688745009</v>
      </c>
      <c r="AF1312" s="73">
        <f>SUM(AE$2:AE1312)</f>
        <v>1104767.1937832248</v>
      </c>
      <c r="AG1312" s="73">
        <f t="shared" si="362"/>
        <v>68962.708643884398</v>
      </c>
    </row>
    <row r="1313" spans="1:33" x14ac:dyDescent="0.25">
      <c r="A1313" s="99">
        <v>217799.92</v>
      </c>
      <c r="B1313" s="96">
        <v>679.88109999999995</v>
      </c>
      <c r="C1313" s="96">
        <v>0.6</v>
      </c>
      <c r="D1313" s="80">
        <f t="shared" si="363"/>
        <v>100</v>
      </c>
      <c r="E1313" s="81">
        <f t="shared" si="355"/>
        <v>6791.2436711181272</v>
      </c>
      <c r="F1313" s="81">
        <f>SUM(E$2:E1313)</f>
        <v>8264983.4666849412</v>
      </c>
      <c r="G1313" s="43">
        <f t="shared" si="353"/>
        <v>1</v>
      </c>
      <c r="H1313" s="78">
        <v>1</v>
      </c>
      <c r="I1313" s="15">
        <f t="shared" si="356"/>
        <v>0.6</v>
      </c>
      <c r="J1313" s="16">
        <f>VLOOKUP(G1313,Inputs!$L$3:$P$15,5,FALSE)</f>
        <v>2000</v>
      </c>
      <c r="K1313" s="16">
        <f t="shared" si="357"/>
        <v>1825</v>
      </c>
      <c r="L1313" s="79">
        <f>Inputs!$P$8-B1313</f>
        <v>258.30990000000008</v>
      </c>
      <c r="M1313" s="79">
        <f>Inputs!$Q$8+L1313*0.433</f>
        <v>1936.8481867</v>
      </c>
      <c r="N1313" s="82">
        <f t="shared" si="358"/>
        <v>217799.92</v>
      </c>
      <c r="O1313" s="83">
        <f t="shared" si="359"/>
        <v>679.88109999999995</v>
      </c>
      <c r="P1313" s="84">
        <f>IF(O1313="","",Inputs!$C$5-O1313)</f>
        <v>145.30340000000001</v>
      </c>
      <c r="Q1313" s="83">
        <f>IF(N1313="","",TS!J1313)</f>
        <v>2000</v>
      </c>
      <c r="R1313" s="83">
        <f>IF(N1313="","",TS!K1313)</f>
        <v>1825</v>
      </c>
      <c r="S1313" s="83">
        <f>Inputs!$H$5+TS!P1313*0.4333</f>
        <v>1937.9256796699999</v>
      </c>
      <c r="T1313" s="83">
        <f>Inputs!$G$5+TS!P1313*0.4333</f>
        <v>1952.9256796699999</v>
      </c>
      <c r="U1313" s="85">
        <f t="shared" si="360"/>
        <v>0.97646283983499993</v>
      </c>
      <c r="V1313" s="86">
        <f t="shared" si="364"/>
        <v>0</v>
      </c>
      <c r="W1313" s="86">
        <f t="shared" si="365"/>
        <v>0</v>
      </c>
      <c r="X1313" s="86" t="e">
        <f>((PI()*((42-2*'Gen Calcs'!$E$13)^2)/4)/144)*(A1356-#REF!)*(W1313+14.7)/14.7</f>
        <v>#REF!</v>
      </c>
      <c r="Y1313" s="86" t="e">
        <f t="shared" si="366"/>
        <v>#REF!</v>
      </c>
      <c r="Z1313" s="86" t="e">
        <f t="shared" si="367"/>
        <v>#REF!</v>
      </c>
      <c r="AA1313" s="83">
        <f>MAX(B$2:B1313)-B1313</f>
        <v>258.30990000000008</v>
      </c>
      <c r="AB1313" s="83">
        <f t="shared" si="368"/>
        <v>111.84818670000004</v>
      </c>
      <c r="AC1313" s="83">
        <f t="shared" si="354"/>
        <v>120</v>
      </c>
      <c r="AD1313" s="72">
        <v>120</v>
      </c>
      <c r="AE1313" s="73">
        <f t="shared" si="361"/>
        <v>907.92027688745009</v>
      </c>
      <c r="AF1313" s="73">
        <f>SUM(AE$2:AE1313)</f>
        <v>1105675.1140601123</v>
      </c>
      <c r="AG1313" s="73">
        <f t="shared" si="362"/>
        <v>68054.788366996916</v>
      </c>
    </row>
    <row r="1314" spans="1:33" x14ac:dyDescent="0.25">
      <c r="A1314" s="100">
        <v>217899.92</v>
      </c>
      <c r="B1314" s="97">
        <v>679.95029999999997</v>
      </c>
      <c r="C1314" s="97">
        <v>0.6</v>
      </c>
      <c r="D1314" s="80">
        <f t="shared" si="363"/>
        <v>100</v>
      </c>
      <c r="E1314" s="81">
        <f t="shared" si="355"/>
        <v>6791.2436711181272</v>
      </c>
      <c r="F1314" s="81">
        <f>SUM(E$2:E1314)</f>
        <v>8271774.7103560595</v>
      </c>
      <c r="G1314" s="43">
        <f t="shared" si="353"/>
        <v>1</v>
      </c>
      <c r="H1314" s="78">
        <v>1</v>
      </c>
      <c r="I1314" s="15">
        <f t="shared" si="356"/>
        <v>0.6</v>
      </c>
      <c r="J1314" s="16">
        <f>VLOOKUP(G1314,Inputs!$L$3:$P$15,5,FALSE)</f>
        <v>2000</v>
      </c>
      <c r="K1314" s="16">
        <f t="shared" si="357"/>
        <v>1825</v>
      </c>
      <c r="L1314" s="79">
        <f>Inputs!$P$8-B1314</f>
        <v>258.24070000000006</v>
      </c>
      <c r="M1314" s="79">
        <f>Inputs!$Q$8+L1314*0.433</f>
        <v>1936.8182231000001</v>
      </c>
      <c r="N1314" s="82">
        <f t="shared" si="358"/>
        <v>217899.92</v>
      </c>
      <c r="O1314" s="83">
        <f t="shared" si="359"/>
        <v>679.95029999999997</v>
      </c>
      <c r="P1314" s="84">
        <f>IF(O1314="","",Inputs!$C$5-O1314)</f>
        <v>145.23419999999999</v>
      </c>
      <c r="Q1314" s="83">
        <f>IF(N1314="","",TS!J1314)</f>
        <v>2000</v>
      </c>
      <c r="R1314" s="83">
        <f>IF(N1314="","",TS!K1314)</f>
        <v>1825</v>
      </c>
      <c r="S1314" s="83">
        <f>Inputs!$H$5+TS!P1314*0.4333</f>
        <v>1937.8956953099998</v>
      </c>
      <c r="T1314" s="83">
        <f>Inputs!$G$5+TS!P1314*0.4333</f>
        <v>1952.8956953099998</v>
      </c>
      <c r="U1314" s="85">
        <f t="shared" si="360"/>
        <v>0.97644784765499992</v>
      </c>
      <c r="V1314" s="86">
        <f t="shared" si="364"/>
        <v>0</v>
      </c>
      <c r="W1314" s="86">
        <f t="shared" si="365"/>
        <v>0</v>
      </c>
      <c r="X1314" s="86" t="e">
        <f>((PI()*((42-2*'Gen Calcs'!$E$13)^2)/4)/144)*(A1357-#REF!)*(W1314+14.7)/14.7</f>
        <v>#REF!</v>
      </c>
      <c r="Y1314" s="86" t="e">
        <f t="shared" si="366"/>
        <v>#REF!</v>
      </c>
      <c r="Z1314" s="86" t="e">
        <f t="shared" si="367"/>
        <v>#REF!</v>
      </c>
      <c r="AA1314" s="83">
        <f>MAX(B$2:B1314)-B1314</f>
        <v>258.24070000000006</v>
      </c>
      <c r="AB1314" s="83">
        <f t="shared" si="368"/>
        <v>111.81822310000003</v>
      </c>
      <c r="AC1314" s="83">
        <f t="shared" si="354"/>
        <v>120</v>
      </c>
      <c r="AD1314" s="72">
        <v>120</v>
      </c>
      <c r="AE1314" s="73">
        <f t="shared" si="361"/>
        <v>907.92027688745009</v>
      </c>
      <c r="AF1314" s="73">
        <f>SUM(AE$2:AE1314)</f>
        <v>1106583.0343369998</v>
      </c>
      <c r="AG1314" s="73">
        <f t="shared" si="362"/>
        <v>67146.868090109434</v>
      </c>
    </row>
    <row r="1315" spans="1:33" x14ac:dyDescent="0.25">
      <c r="A1315" s="99">
        <v>217999.92</v>
      </c>
      <c r="B1315" s="96">
        <v>679.65840000000003</v>
      </c>
      <c r="C1315" s="96">
        <v>0.6</v>
      </c>
      <c r="D1315" s="80">
        <f t="shared" si="363"/>
        <v>100</v>
      </c>
      <c r="E1315" s="81">
        <f t="shared" si="355"/>
        <v>6791.2436711181272</v>
      </c>
      <c r="F1315" s="81">
        <f>SUM(E$2:E1315)</f>
        <v>8278565.9540271778</v>
      </c>
      <c r="G1315" s="43">
        <f t="shared" si="353"/>
        <v>1</v>
      </c>
      <c r="H1315" s="78">
        <v>1</v>
      </c>
      <c r="I1315" s="15">
        <f t="shared" si="356"/>
        <v>0.6</v>
      </c>
      <c r="J1315" s="16">
        <f>VLOOKUP(G1315,Inputs!$L$3:$P$15,5,FALSE)</f>
        <v>2000</v>
      </c>
      <c r="K1315" s="16">
        <f t="shared" si="357"/>
        <v>1825</v>
      </c>
      <c r="L1315" s="79">
        <f>Inputs!$P$8-B1315</f>
        <v>258.5326</v>
      </c>
      <c r="M1315" s="79">
        <f>Inputs!$Q$8+L1315*0.433</f>
        <v>1936.9446158000001</v>
      </c>
      <c r="N1315" s="82">
        <f t="shared" si="358"/>
        <v>217999.92</v>
      </c>
      <c r="O1315" s="83">
        <f t="shared" si="359"/>
        <v>679.65840000000003</v>
      </c>
      <c r="P1315" s="84">
        <f>IF(O1315="","",Inputs!$C$5-O1315)</f>
        <v>145.52609999999993</v>
      </c>
      <c r="Q1315" s="83">
        <f>IF(N1315="","",TS!J1315)</f>
        <v>2000</v>
      </c>
      <c r="R1315" s="83">
        <f>IF(N1315="","",TS!K1315)</f>
        <v>1825</v>
      </c>
      <c r="S1315" s="83">
        <f>Inputs!$H$5+TS!P1315*0.4333</f>
        <v>1938.0221755799998</v>
      </c>
      <c r="T1315" s="83">
        <f>Inputs!$G$5+TS!P1315*0.4333</f>
        <v>1953.0221755799998</v>
      </c>
      <c r="U1315" s="85">
        <f t="shared" si="360"/>
        <v>0.97651108778999995</v>
      </c>
      <c r="V1315" s="86">
        <f t="shared" si="364"/>
        <v>0</v>
      </c>
      <c r="W1315" s="86">
        <f t="shared" si="365"/>
        <v>0</v>
      </c>
      <c r="X1315" s="86" t="e">
        <f>((PI()*((42-2*'Gen Calcs'!$E$13)^2)/4)/144)*(A1358-#REF!)*(W1315+14.7)/14.7</f>
        <v>#REF!</v>
      </c>
      <c r="Y1315" s="86" t="e">
        <f t="shared" si="366"/>
        <v>#REF!</v>
      </c>
      <c r="Z1315" s="86" t="e">
        <f t="shared" si="367"/>
        <v>#REF!</v>
      </c>
      <c r="AA1315" s="83">
        <f>MAX(B$2:B1315)-B1315</f>
        <v>258.5326</v>
      </c>
      <c r="AB1315" s="83">
        <f t="shared" si="368"/>
        <v>111.94461579999999</v>
      </c>
      <c r="AC1315" s="83">
        <f t="shared" si="354"/>
        <v>120</v>
      </c>
      <c r="AD1315" s="72">
        <v>120</v>
      </c>
      <c r="AE1315" s="73">
        <f t="shared" si="361"/>
        <v>907.92027688745009</v>
      </c>
      <c r="AF1315" s="73">
        <f>SUM(AE$2:AE1315)</f>
        <v>1107490.9546138872</v>
      </c>
      <c r="AG1315" s="73">
        <f t="shared" si="362"/>
        <v>66238.947813221952</v>
      </c>
    </row>
    <row r="1316" spans="1:33" x14ac:dyDescent="0.25">
      <c r="A1316" s="100">
        <v>218099.92</v>
      </c>
      <c r="B1316" s="97">
        <v>679.47550000000001</v>
      </c>
      <c r="C1316" s="97">
        <v>0.6</v>
      </c>
      <c r="D1316" s="80">
        <f t="shared" si="363"/>
        <v>100</v>
      </c>
      <c r="E1316" s="81">
        <f t="shared" si="355"/>
        <v>6791.2436711181272</v>
      </c>
      <c r="F1316" s="81">
        <f>SUM(E$2:E1316)</f>
        <v>8285357.197698296</v>
      </c>
      <c r="G1316" s="43">
        <f t="shared" si="353"/>
        <v>1</v>
      </c>
      <c r="H1316" s="78">
        <v>1</v>
      </c>
      <c r="I1316" s="15">
        <f t="shared" si="356"/>
        <v>0.6</v>
      </c>
      <c r="J1316" s="16">
        <f>VLOOKUP(G1316,Inputs!$L$3:$P$15,5,FALSE)</f>
        <v>2000</v>
      </c>
      <c r="K1316" s="16">
        <f t="shared" si="357"/>
        <v>1825</v>
      </c>
      <c r="L1316" s="79">
        <f>Inputs!$P$8-B1316</f>
        <v>258.71550000000002</v>
      </c>
      <c r="M1316" s="79">
        <f>Inputs!$Q$8+L1316*0.433</f>
        <v>1937.0238115</v>
      </c>
      <c r="N1316" s="82">
        <f t="shared" si="358"/>
        <v>218099.92</v>
      </c>
      <c r="O1316" s="83">
        <f t="shared" si="359"/>
        <v>679.47550000000001</v>
      </c>
      <c r="P1316" s="84">
        <f>IF(O1316="","",Inputs!$C$5-O1316)</f>
        <v>145.70899999999995</v>
      </c>
      <c r="Q1316" s="83">
        <f>IF(N1316="","",TS!J1316)</f>
        <v>2000</v>
      </c>
      <c r="R1316" s="83">
        <f>IF(N1316="","",TS!K1316)</f>
        <v>1825</v>
      </c>
      <c r="S1316" s="83">
        <f>Inputs!$H$5+TS!P1316*0.4333</f>
        <v>1938.10142615</v>
      </c>
      <c r="T1316" s="83">
        <f>Inputs!$G$5+TS!P1316*0.4333</f>
        <v>1953.10142615</v>
      </c>
      <c r="U1316" s="85">
        <f t="shared" si="360"/>
        <v>0.97655071307499997</v>
      </c>
      <c r="V1316" s="86">
        <f t="shared" si="364"/>
        <v>0</v>
      </c>
      <c r="W1316" s="86">
        <f t="shared" si="365"/>
        <v>0</v>
      </c>
      <c r="X1316" s="86" t="e">
        <f>((PI()*((42-2*'Gen Calcs'!$E$13)^2)/4)/144)*(A1359-#REF!)*(W1316+14.7)/14.7</f>
        <v>#REF!</v>
      </c>
      <c r="Y1316" s="86" t="e">
        <f t="shared" si="366"/>
        <v>#REF!</v>
      </c>
      <c r="Z1316" s="86" t="e">
        <f t="shared" si="367"/>
        <v>#REF!</v>
      </c>
      <c r="AA1316" s="83">
        <f>MAX(B$2:B1316)-B1316</f>
        <v>258.71550000000002</v>
      </c>
      <c r="AB1316" s="83">
        <f t="shared" si="368"/>
        <v>112.02381150000001</v>
      </c>
      <c r="AC1316" s="83">
        <f t="shared" si="354"/>
        <v>120</v>
      </c>
      <c r="AD1316" s="72">
        <v>120</v>
      </c>
      <c r="AE1316" s="73">
        <f t="shared" si="361"/>
        <v>907.92027688745009</v>
      </c>
      <c r="AF1316" s="73">
        <f>SUM(AE$2:AE1316)</f>
        <v>1108398.8748907747</v>
      </c>
      <c r="AG1316" s="73">
        <f t="shared" si="362"/>
        <v>65331.02753633447</v>
      </c>
    </row>
    <row r="1317" spans="1:33" x14ac:dyDescent="0.25">
      <c r="A1317" s="99">
        <v>218199.92</v>
      </c>
      <c r="B1317" s="96">
        <v>679.20619999999997</v>
      </c>
      <c r="C1317" s="96">
        <v>0.6</v>
      </c>
      <c r="D1317" s="80">
        <f t="shared" si="363"/>
        <v>100</v>
      </c>
      <c r="E1317" s="81">
        <f t="shared" si="355"/>
        <v>6791.2436711181272</v>
      </c>
      <c r="F1317" s="81">
        <f>SUM(E$2:E1317)</f>
        <v>8292148.4413694143</v>
      </c>
      <c r="G1317" s="43">
        <f t="shared" si="353"/>
        <v>1</v>
      </c>
      <c r="H1317" s="78">
        <v>1</v>
      </c>
      <c r="I1317" s="15">
        <f t="shared" si="356"/>
        <v>0.6</v>
      </c>
      <c r="J1317" s="16">
        <f>VLOOKUP(G1317,Inputs!$L$3:$P$15,5,FALSE)</f>
        <v>2000</v>
      </c>
      <c r="K1317" s="16">
        <f t="shared" si="357"/>
        <v>1825</v>
      </c>
      <c r="L1317" s="79">
        <f>Inputs!$P$8-B1317</f>
        <v>258.98480000000006</v>
      </c>
      <c r="M1317" s="79">
        <f>Inputs!$Q$8+L1317*0.433</f>
        <v>1937.1404184</v>
      </c>
      <c r="N1317" s="82">
        <f t="shared" si="358"/>
        <v>218199.92</v>
      </c>
      <c r="O1317" s="83">
        <f t="shared" si="359"/>
        <v>679.20619999999997</v>
      </c>
      <c r="P1317" s="84">
        <f>IF(O1317="","",Inputs!$C$5-O1317)</f>
        <v>145.97829999999999</v>
      </c>
      <c r="Q1317" s="83">
        <f>IF(N1317="","",TS!J1317)</f>
        <v>2000</v>
      </c>
      <c r="R1317" s="83">
        <f>IF(N1317="","",TS!K1317)</f>
        <v>1825</v>
      </c>
      <c r="S1317" s="83">
        <f>Inputs!$H$5+TS!P1317*0.4333</f>
        <v>1938.2181138399999</v>
      </c>
      <c r="T1317" s="83">
        <f>Inputs!$G$5+TS!P1317*0.4333</f>
        <v>1953.2181138399999</v>
      </c>
      <c r="U1317" s="85">
        <f t="shared" si="360"/>
        <v>0.97660905692</v>
      </c>
      <c r="V1317" s="86">
        <f t="shared" si="364"/>
        <v>0</v>
      </c>
      <c r="W1317" s="86">
        <f t="shared" si="365"/>
        <v>0</v>
      </c>
      <c r="X1317" s="86" t="e">
        <f>((PI()*((42-2*'Gen Calcs'!$E$13)^2)/4)/144)*(A1360-#REF!)*(W1317+14.7)/14.7</f>
        <v>#REF!</v>
      </c>
      <c r="Y1317" s="86" t="e">
        <f t="shared" si="366"/>
        <v>#REF!</v>
      </c>
      <c r="Z1317" s="86" t="e">
        <f t="shared" si="367"/>
        <v>#REF!</v>
      </c>
      <c r="AA1317" s="83">
        <f>MAX(B$2:B1317)-B1317</f>
        <v>258.98480000000006</v>
      </c>
      <c r="AB1317" s="83">
        <f t="shared" si="368"/>
        <v>112.14041840000003</v>
      </c>
      <c r="AC1317" s="83">
        <f t="shared" si="354"/>
        <v>120</v>
      </c>
      <c r="AD1317" s="72">
        <v>120</v>
      </c>
      <c r="AE1317" s="73">
        <f t="shared" si="361"/>
        <v>907.92027688745009</v>
      </c>
      <c r="AF1317" s="73">
        <f>SUM(AE$2:AE1317)</f>
        <v>1109306.7951676622</v>
      </c>
      <c r="AG1317" s="73">
        <f t="shared" si="362"/>
        <v>64423.107259446988</v>
      </c>
    </row>
    <row r="1318" spans="1:33" x14ac:dyDescent="0.25">
      <c r="A1318" s="100">
        <v>218299.92</v>
      </c>
      <c r="B1318" s="97">
        <v>678.91890000000001</v>
      </c>
      <c r="C1318" s="97">
        <v>0.6</v>
      </c>
      <c r="D1318" s="80">
        <f t="shared" si="363"/>
        <v>100</v>
      </c>
      <c r="E1318" s="81">
        <f t="shared" si="355"/>
        <v>6791.2436711181272</v>
      </c>
      <c r="F1318" s="81">
        <f>SUM(E$2:E1318)</f>
        <v>8298939.6850405326</v>
      </c>
      <c r="G1318" s="43">
        <f t="shared" si="353"/>
        <v>1</v>
      </c>
      <c r="H1318" s="78">
        <v>1</v>
      </c>
      <c r="I1318" s="15">
        <f t="shared" si="356"/>
        <v>0.6</v>
      </c>
      <c r="J1318" s="16">
        <f>VLOOKUP(G1318,Inputs!$L$3:$P$15,5,FALSE)</f>
        <v>2000</v>
      </c>
      <c r="K1318" s="16">
        <f t="shared" si="357"/>
        <v>1825</v>
      </c>
      <c r="L1318" s="79">
        <f>Inputs!$P$8-B1318</f>
        <v>259.27210000000002</v>
      </c>
      <c r="M1318" s="79">
        <f>Inputs!$Q$8+L1318*0.433</f>
        <v>1937.2648193</v>
      </c>
      <c r="N1318" s="82">
        <f t="shared" si="358"/>
        <v>218299.92</v>
      </c>
      <c r="O1318" s="83">
        <f t="shared" si="359"/>
        <v>678.91890000000001</v>
      </c>
      <c r="P1318" s="84">
        <f>IF(O1318="","",Inputs!$C$5-O1318)</f>
        <v>146.26559999999995</v>
      </c>
      <c r="Q1318" s="83">
        <f>IF(N1318="","",TS!J1318)</f>
        <v>2000</v>
      </c>
      <c r="R1318" s="83">
        <f>IF(N1318="","",TS!K1318)</f>
        <v>1825</v>
      </c>
      <c r="S1318" s="83">
        <f>Inputs!$H$5+TS!P1318*0.4333</f>
        <v>1938.3426009299999</v>
      </c>
      <c r="T1318" s="83">
        <f>Inputs!$G$5+TS!P1318*0.4333</f>
        <v>1953.3426009299999</v>
      </c>
      <c r="U1318" s="85">
        <f t="shared" si="360"/>
        <v>0.97667130046499995</v>
      </c>
      <c r="V1318" s="86">
        <f t="shared" si="364"/>
        <v>0</v>
      </c>
      <c r="W1318" s="86">
        <f t="shared" si="365"/>
        <v>0</v>
      </c>
      <c r="X1318" s="86" t="e">
        <f>((PI()*((42-2*'Gen Calcs'!$E$13)^2)/4)/144)*(A1361-#REF!)*(W1318+14.7)/14.7</f>
        <v>#REF!</v>
      </c>
      <c r="Y1318" s="86" t="e">
        <f t="shared" si="366"/>
        <v>#REF!</v>
      </c>
      <c r="Z1318" s="86" t="e">
        <f t="shared" si="367"/>
        <v>#REF!</v>
      </c>
      <c r="AA1318" s="83">
        <f>MAX(B$2:B1318)-B1318</f>
        <v>259.27210000000002</v>
      </c>
      <c r="AB1318" s="83">
        <f t="shared" si="368"/>
        <v>112.26481930000001</v>
      </c>
      <c r="AC1318" s="83">
        <f t="shared" si="354"/>
        <v>120</v>
      </c>
      <c r="AD1318" s="72">
        <v>120</v>
      </c>
      <c r="AE1318" s="73">
        <f t="shared" si="361"/>
        <v>907.92027688745009</v>
      </c>
      <c r="AF1318" s="73">
        <f>SUM(AE$2:AE1318)</f>
        <v>1110214.7154445497</v>
      </c>
      <c r="AG1318" s="73">
        <f t="shared" si="362"/>
        <v>63515.186982559506</v>
      </c>
    </row>
    <row r="1319" spans="1:33" x14ac:dyDescent="0.25">
      <c r="A1319" s="99">
        <v>218399.92</v>
      </c>
      <c r="B1319" s="96">
        <v>678.66250000000002</v>
      </c>
      <c r="C1319" s="96">
        <v>0.6</v>
      </c>
      <c r="D1319" s="80">
        <f t="shared" si="363"/>
        <v>100</v>
      </c>
      <c r="E1319" s="81">
        <f t="shared" si="355"/>
        <v>6791.2436711181272</v>
      </c>
      <c r="F1319" s="81">
        <f>SUM(E$2:E1319)</f>
        <v>8305730.9287116509</v>
      </c>
      <c r="G1319" s="43">
        <f t="shared" si="353"/>
        <v>1</v>
      </c>
      <c r="H1319" s="78">
        <v>1</v>
      </c>
      <c r="I1319" s="15">
        <f t="shared" si="356"/>
        <v>0.6</v>
      </c>
      <c r="J1319" s="16">
        <f>VLOOKUP(G1319,Inputs!$L$3:$P$15,5,FALSE)</f>
        <v>2000</v>
      </c>
      <c r="K1319" s="16">
        <f t="shared" si="357"/>
        <v>1825</v>
      </c>
      <c r="L1319" s="79">
        <f>Inputs!$P$8-B1319</f>
        <v>259.52850000000001</v>
      </c>
      <c r="M1319" s="79">
        <f>Inputs!$Q$8+L1319*0.433</f>
        <v>1937.3758405000001</v>
      </c>
      <c r="N1319" s="82">
        <f t="shared" si="358"/>
        <v>218399.92</v>
      </c>
      <c r="O1319" s="83">
        <f t="shared" si="359"/>
        <v>678.66250000000002</v>
      </c>
      <c r="P1319" s="84">
        <f>IF(O1319="","",Inputs!$C$5-O1319)</f>
        <v>146.52199999999993</v>
      </c>
      <c r="Q1319" s="83">
        <f>IF(N1319="","",TS!J1319)</f>
        <v>2000</v>
      </c>
      <c r="R1319" s="83">
        <f>IF(N1319="","",TS!K1319)</f>
        <v>1825</v>
      </c>
      <c r="S1319" s="83">
        <f>Inputs!$H$5+TS!P1319*0.4333</f>
        <v>1938.4536990499998</v>
      </c>
      <c r="T1319" s="83">
        <f>Inputs!$G$5+TS!P1319*0.4333</f>
        <v>1953.4536990499998</v>
      </c>
      <c r="U1319" s="85">
        <f t="shared" si="360"/>
        <v>0.97672684952499988</v>
      </c>
      <c r="V1319" s="86">
        <f t="shared" si="364"/>
        <v>0</v>
      </c>
      <c r="W1319" s="86">
        <f t="shared" si="365"/>
        <v>0</v>
      </c>
      <c r="X1319" s="86" t="e">
        <f>((PI()*((42-2*'Gen Calcs'!$E$13)^2)/4)/144)*(A1362-#REF!)*(W1319+14.7)/14.7</f>
        <v>#REF!</v>
      </c>
      <c r="Y1319" s="86" t="e">
        <f t="shared" si="366"/>
        <v>#REF!</v>
      </c>
      <c r="Z1319" s="86" t="e">
        <f t="shared" si="367"/>
        <v>#REF!</v>
      </c>
      <c r="AA1319" s="83">
        <f>MAX(B$2:B1319)-B1319</f>
        <v>259.52850000000001</v>
      </c>
      <c r="AB1319" s="83">
        <f t="shared" si="368"/>
        <v>112.37584050000001</v>
      </c>
      <c r="AC1319" s="83">
        <f t="shared" si="354"/>
        <v>120</v>
      </c>
      <c r="AD1319" s="72">
        <v>120</v>
      </c>
      <c r="AE1319" s="73">
        <f t="shared" si="361"/>
        <v>907.92027688745009</v>
      </c>
      <c r="AF1319" s="73">
        <f>SUM(AE$2:AE1319)</f>
        <v>1111122.6357214372</v>
      </c>
      <c r="AG1319" s="73">
        <f t="shared" si="362"/>
        <v>62607.266705672024</v>
      </c>
    </row>
    <row r="1320" spans="1:33" x14ac:dyDescent="0.25">
      <c r="A1320" s="100">
        <v>218499.92</v>
      </c>
      <c r="B1320" s="97">
        <v>678.36429999999996</v>
      </c>
      <c r="C1320" s="97">
        <v>0.6</v>
      </c>
      <c r="D1320" s="80">
        <f t="shared" si="363"/>
        <v>100</v>
      </c>
      <c r="E1320" s="81">
        <f t="shared" si="355"/>
        <v>6791.2436711181272</v>
      </c>
      <c r="F1320" s="81">
        <f>SUM(E$2:E1320)</f>
        <v>8312522.1723827692</v>
      </c>
      <c r="G1320" s="43">
        <f t="shared" si="353"/>
        <v>1</v>
      </c>
      <c r="H1320" s="78">
        <v>1</v>
      </c>
      <c r="I1320" s="15">
        <f t="shared" si="356"/>
        <v>0.6</v>
      </c>
      <c r="J1320" s="16">
        <f>VLOOKUP(G1320,Inputs!$L$3:$P$15,5,FALSE)</f>
        <v>2000</v>
      </c>
      <c r="K1320" s="16">
        <f t="shared" si="357"/>
        <v>1825</v>
      </c>
      <c r="L1320" s="79">
        <f>Inputs!$P$8-B1320</f>
        <v>259.82670000000007</v>
      </c>
      <c r="M1320" s="79">
        <f>Inputs!$Q$8+L1320*0.433</f>
        <v>1937.5049610999999</v>
      </c>
      <c r="N1320" s="82">
        <f t="shared" si="358"/>
        <v>218499.92</v>
      </c>
      <c r="O1320" s="83">
        <f t="shared" si="359"/>
        <v>678.36429999999996</v>
      </c>
      <c r="P1320" s="84">
        <f>IF(O1320="","",Inputs!$C$5-O1320)</f>
        <v>146.8202</v>
      </c>
      <c r="Q1320" s="83">
        <f>IF(N1320="","",TS!J1320)</f>
        <v>2000</v>
      </c>
      <c r="R1320" s="83">
        <f>IF(N1320="","",TS!K1320)</f>
        <v>1825</v>
      </c>
      <c r="S1320" s="83">
        <f>Inputs!$H$5+TS!P1320*0.4333</f>
        <v>1938.5829091099999</v>
      </c>
      <c r="T1320" s="83">
        <f>Inputs!$G$5+TS!P1320*0.4333</f>
        <v>1953.5829091099999</v>
      </c>
      <c r="U1320" s="85">
        <f t="shared" si="360"/>
        <v>0.97679145455499994</v>
      </c>
      <c r="V1320" s="86">
        <f t="shared" si="364"/>
        <v>0</v>
      </c>
      <c r="W1320" s="86">
        <f t="shared" si="365"/>
        <v>0</v>
      </c>
      <c r="X1320" s="86" t="e">
        <f>((PI()*((42-2*'Gen Calcs'!$E$13)^2)/4)/144)*(A1363-#REF!)*(W1320+14.7)/14.7</f>
        <v>#REF!</v>
      </c>
      <c r="Y1320" s="86" t="e">
        <f t="shared" si="366"/>
        <v>#REF!</v>
      </c>
      <c r="Z1320" s="86" t="e">
        <f t="shared" si="367"/>
        <v>#REF!</v>
      </c>
      <c r="AA1320" s="83">
        <f>MAX(B$2:B1320)-B1320</f>
        <v>259.82670000000007</v>
      </c>
      <c r="AB1320" s="83">
        <f t="shared" si="368"/>
        <v>112.50496110000003</v>
      </c>
      <c r="AC1320" s="83">
        <f t="shared" si="354"/>
        <v>120</v>
      </c>
      <c r="AD1320" s="72">
        <v>120</v>
      </c>
      <c r="AE1320" s="73">
        <f t="shared" si="361"/>
        <v>907.92027688745009</v>
      </c>
      <c r="AF1320" s="73">
        <f>SUM(AE$2:AE1320)</f>
        <v>1112030.5559983246</v>
      </c>
      <c r="AG1320" s="73">
        <f t="shared" si="362"/>
        <v>61699.346428784542</v>
      </c>
    </row>
    <row r="1321" spans="1:33" x14ac:dyDescent="0.25">
      <c r="A1321" s="99">
        <v>218599.92</v>
      </c>
      <c r="B1321" s="96">
        <v>677.9941</v>
      </c>
      <c r="C1321" s="96">
        <v>0.6</v>
      </c>
      <c r="D1321" s="80">
        <f t="shared" si="363"/>
        <v>100</v>
      </c>
      <c r="E1321" s="81">
        <f t="shared" si="355"/>
        <v>6791.2436711181272</v>
      </c>
      <c r="F1321" s="81">
        <f>SUM(E$2:E1321)</f>
        <v>8319313.4160538875</v>
      </c>
      <c r="G1321" s="43">
        <f t="shared" si="353"/>
        <v>1</v>
      </c>
      <c r="H1321" s="78">
        <v>1</v>
      </c>
      <c r="I1321" s="15">
        <f t="shared" si="356"/>
        <v>0.6</v>
      </c>
      <c r="J1321" s="16">
        <f>VLOOKUP(G1321,Inputs!$L$3:$P$15,5,FALSE)</f>
        <v>2000</v>
      </c>
      <c r="K1321" s="16">
        <f t="shared" si="357"/>
        <v>1825</v>
      </c>
      <c r="L1321" s="79">
        <f>Inputs!$P$8-B1321</f>
        <v>260.19690000000003</v>
      </c>
      <c r="M1321" s="79">
        <f>Inputs!$Q$8+L1321*0.433</f>
        <v>1937.6652577</v>
      </c>
      <c r="N1321" s="82">
        <f t="shared" si="358"/>
        <v>218599.92</v>
      </c>
      <c r="O1321" s="83">
        <f t="shared" si="359"/>
        <v>677.9941</v>
      </c>
      <c r="P1321" s="84">
        <f>IF(O1321="","",Inputs!$C$5-O1321)</f>
        <v>147.19039999999995</v>
      </c>
      <c r="Q1321" s="83">
        <f>IF(N1321="","",TS!J1321)</f>
        <v>2000</v>
      </c>
      <c r="R1321" s="83">
        <f>IF(N1321="","",TS!K1321)</f>
        <v>1825</v>
      </c>
      <c r="S1321" s="83">
        <f>Inputs!$H$5+TS!P1321*0.4333</f>
        <v>1938.7433167699999</v>
      </c>
      <c r="T1321" s="83">
        <f>Inputs!$G$5+TS!P1321*0.4333</f>
        <v>1953.7433167699999</v>
      </c>
      <c r="U1321" s="85">
        <f t="shared" si="360"/>
        <v>0.9768716583849999</v>
      </c>
      <c r="V1321" s="86">
        <f t="shared" si="364"/>
        <v>0</v>
      </c>
      <c r="W1321" s="86">
        <f t="shared" si="365"/>
        <v>0</v>
      </c>
      <c r="X1321" s="86" t="e">
        <f>((PI()*((42-2*'Gen Calcs'!$E$13)^2)/4)/144)*(A1364-#REF!)*(W1321+14.7)/14.7</f>
        <v>#REF!</v>
      </c>
      <c r="Y1321" s="86" t="e">
        <f t="shared" si="366"/>
        <v>#REF!</v>
      </c>
      <c r="Z1321" s="86" t="e">
        <f t="shared" si="367"/>
        <v>#REF!</v>
      </c>
      <c r="AA1321" s="83">
        <f>MAX(B$2:B1321)-B1321</f>
        <v>260.19690000000003</v>
      </c>
      <c r="AB1321" s="83">
        <f t="shared" si="368"/>
        <v>112.66525770000001</v>
      </c>
      <c r="AC1321" s="83">
        <f t="shared" si="354"/>
        <v>120</v>
      </c>
      <c r="AD1321" s="72">
        <v>120</v>
      </c>
      <c r="AE1321" s="73">
        <f t="shared" si="361"/>
        <v>907.92027688745009</v>
      </c>
      <c r="AF1321" s="73">
        <f>SUM(AE$2:AE1321)</f>
        <v>1112938.4762752121</v>
      </c>
      <c r="AG1321" s="73">
        <f t="shared" si="362"/>
        <v>60791.42615189706</v>
      </c>
    </row>
    <row r="1322" spans="1:33" x14ac:dyDescent="0.25">
      <c r="A1322" s="100">
        <v>218699.92</v>
      </c>
      <c r="B1322" s="97">
        <v>677.67719999999997</v>
      </c>
      <c r="C1322" s="97">
        <v>0.6</v>
      </c>
      <c r="D1322" s="80">
        <f t="shared" si="363"/>
        <v>100</v>
      </c>
      <c r="E1322" s="81">
        <f t="shared" si="355"/>
        <v>6791.2436711181272</v>
      </c>
      <c r="F1322" s="81">
        <f>SUM(E$2:E1322)</f>
        <v>8326104.6597250057</v>
      </c>
      <c r="G1322" s="43">
        <f t="shared" si="353"/>
        <v>1</v>
      </c>
      <c r="H1322" s="78">
        <v>1</v>
      </c>
      <c r="I1322" s="15">
        <f t="shared" si="356"/>
        <v>0.6</v>
      </c>
      <c r="J1322" s="16">
        <f>VLOOKUP(G1322,Inputs!$L$3:$P$15,5,FALSE)</f>
        <v>2000</v>
      </c>
      <c r="K1322" s="16">
        <f t="shared" si="357"/>
        <v>1825</v>
      </c>
      <c r="L1322" s="79">
        <f>Inputs!$P$8-B1322</f>
        <v>260.51380000000006</v>
      </c>
      <c r="M1322" s="79">
        <f>Inputs!$Q$8+L1322*0.433</f>
        <v>1937.8024754</v>
      </c>
      <c r="N1322" s="82">
        <f t="shared" si="358"/>
        <v>218699.92</v>
      </c>
      <c r="O1322" s="83">
        <f t="shared" si="359"/>
        <v>677.67719999999997</v>
      </c>
      <c r="P1322" s="84">
        <f>IF(O1322="","",Inputs!$C$5-O1322)</f>
        <v>147.50729999999999</v>
      </c>
      <c r="Q1322" s="83">
        <f>IF(N1322="","",TS!J1322)</f>
        <v>2000</v>
      </c>
      <c r="R1322" s="83">
        <f>IF(N1322="","",TS!K1322)</f>
        <v>1825</v>
      </c>
      <c r="S1322" s="83">
        <f>Inputs!$H$5+TS!P1322*0.4333</f>
        <v>1938.88062954</v>
      </c>
      <c r="T1322" s="83">
        <f>Inputs!$G$5+TS!P1322*0.4333</f>
        <v>1953.88062954</v>
      </c>
      <c r="U1322" s="85">
        <f t="shared" si="360"/>
        <v>0.97694031476999998</v>
      </c>
      <c r="V1322" s="86">
        <f t="shared" si="364"/>
        <v>0</v>
      </c>
      <c r="W1322" s="86">
        <f t="shared" si="365"/>
        <v>0</v>
      </c>
      <c r="X1322" s="86" t="e">
        <f>((PI()*((42-2*'Gen Calcs'!$E$13)^2)/4)/144)*(A1365-#REF!)*(W1322+14.7)/14.7</f>
        <v>#REF!</v>
      </c>
      <c r="Y1322" s="86" t="e">
        <f t="shared" si="366"/>
        <v>#REF!</v>
      </c>
      <c r="Z1322" s="86" t="e">
        <f t="shared" si="367"/>
        <v>#REF!</v>
      </c>
      <c r="AA1322" s="83">
        <f>MAX(B$2:B1322)-B1322</f>
        <v>260.51380000000006</v>
      </c>
      <c r="AB1322" s="83">
        <f t="shared" si="368"/>
        <v>112.80247540000002</v>
      </c>
      <c r="AC1322" s="83">
        <f t="shared" si="354"/>
        <v>120</v>
      </c>
      <c r="AD1322" s="72">
        <v>120</v>
      </c>
      <c r="AE1322" s="73">
        <f t="shared" si="361"/>
        <v>907.92027688745009</v>
      </c>
      <c r="AF1322" s="73">
        <f>SUM(AE$2:AE1322)</f>
        <v>1113846.3965520996</v>
      </c>
      <c r="AG1322" s="73">
        <f t="shared" si="362"/>
        <v>59883.505875009578</v>
      </c>
    </row>
    <row r="1323" spans="1:33" x14ac:dyDescent="0.25">
      <c r="A1323" s="99">
        <v>218799.92</v>
      </c>
      <c r="B1323" s="96">
        <v>677.93409999999994</v>
      </c>
      <c r="C1323" s="96">
        <v>0.6</v>
      </c>
      <c r="D1323" s="80">
        <f t="shared" si="363"/>
        <v>100</v>
      </c>
      <c r="E1323" s="81">
        <f t="shared" si="355"/>
        <v>6791.2436711181272</v>
      </c>
      <c r="F1323" s="81">
        <f>SUM(E$2:E1323)</f>
        <v>8332895.903396124</v>
      </c>
      <c r="G1323" s="43">
        <f t="shared" si="353"/>
        <v>1</v>
      </c>
      <c r="H1323" s="78">
        <v>1</v>
      </c>
      <c r="I1323" s="15">
        <f t="shared" si="356"/>
        <v>0.6</v>
      </c>
      <c r="J1323" s="16">
        <f>VLOOKUP(G1323,Inputs!$L$3:$P$15,5,FALSE)</f>
        <v>2000</v>
      </c>
      <c r="K1323" s="16">
        <f t="shared" si="357"/>
        <v>1825</v>
      </c>
      <c r="L1323" s="79">
        <f>Inputs!$P$8-B1323</f>
        <v>260.25690000000009</v>
      </c>
      <c r="M1323" s="79">
        <f>Inputs!$Q$8+L1323*0.433</f>
        <v>1937.6912377000001</v>
      </c>
      <c r="N1323" s="82">
        <f t="shared" si="358"/>
        <v>218799.92</v>
      </c>
      <c r="O1323" s="83">
        <f t="shared" si="359"/>
        <v>677.93409999999994</v>
      </c>
      <c r="P1323" s="84">
        <f>IF(O1323="","",Inputs!$C$5-O1323)</f>
        <v>147.25040000000001</v>
      </c>
      <c r="Q1323" s="83">
        <f>IF(N1323="","",TS!J1323)</f>
        <v>2000</v>
      </c>
      <c r="R1323" s="83">
        <f>IF(N1323="","",TS!K1323)</f>
        <v>1825</v>
      </c>
      <c r="S1323" s="83">
        <f>Inputs!$H$5+TS!P1323*0.4333</f>
        <v>1938.7693147699999</v>
      </c>
      <c r="T1323" s="83">
        <f>Inputs!$G$5+TS!P1323*0.4333</f>
        <v>1953.7693147699999</v>
      </c>
      <c r="U1323" s="85">
        <f t="shared" si="360"/>
        <v>0.97688465738499997</v>
      </c>
      <c r="V1323" s="86">
        <f t="shared" si="364"/>
        <v>0</v>
      </c>
      <c r="W1323" s="86">
        <f t="shared" si="365"/>
        <v>0</v>
      </c>
      <c r="X1323" s="86" t="e">
        <f>((PI()*((42-2*'Gen Calcs'!$E$13)^2)/4)/144)*(A1366-#REF!)*(W1323+14.7)/14.7</f>
        <v>#REF!</v>
      </c>
      <c r="Y1323" s="86" t="e">
        <f t="shared" si="366"/>
        <v>#REF!</v>
      </c>
      <c r="Z1323" s="86" t="e">
        <f t="shared" si="367"/>
        <v>#REF!</v>
      </c>
      <c r="AA1323" s="83">
        <f>MAX(B$2:B1323)-B1323</f>
        <v>260.25690000000009</v>
      </c>
      <c r="AB1323" s="83">
        <f t="shared" si="368"/>
        <v>112.69123770000003</v>
      </c>
      <c r="AC1323" s="83">
        <f t="shared" si="354"/>
        <v>120</v>
      </c>
      <c r="AD1323" s="72">
        <v>120</v>
      </c>
      <c r="AE1323" s="73">
        <f t="shared" si="361"/>
        <v>907.92027688745009</v>
      </c>
      <c r="AF1323" s="73">
        <f>SUM(AE$2:AE1323)</f>
        <v>1114754.3168289871</v>
      </c>
      <c r="AG1323" s="73">
        <f t="shared" si="362"/>
        <v>58975.585598122096</v>
      </c>
    </row>
    <row r="1324" spans="1:33" x14ac:dyDescent="0.25">
      <c r="A1324" s="100">
        <v>218899.92</v>
      </c>
      <c r="B1324" s="97">
        <v>677.91570000000002</v>
      </c>
      <c r="C1324" s="97">
        <v>0.6</v>
      </c>
      <c r="D1324" s="80">
        <f t="shared" si="363"/>
        <v>100</v>
      </c>
      <c r="E1324" s="81">
        <f t="shared" si="355"/>
        <v>6791.2436711181272</v>
      </c>
      <c r="F1324" s="81">
        <f>SUM(E$2:E1324)</f>
        <v>8339687.1470672423</v>
      </c>
      <c r="G1324" s="43">
        <f t="shared" si="353"/>
        <v>1</v>
      </c>
      <c r="H1324" s="78">
        <v>1</v>
      </c>
      <c r="I1324" s="15">
        <f t="shared" si="356"/>
        <v>0.6</v>
      </c>
      <c r="J1324" s="16">
        <f>VLOOKUP(G1324,Inputs!$L$3:$P$15,5,FALSE)</f>
        <v>2000</v>
      </c>
      <c r="K1324" s="16">
        <f t="shared" si="357"/>
        <v>1825</v>
      </c>
      <c r="L1324" s="79">
        <f>Inputs!$P$8-B1324</f>
        <v>260.27530000000002</v>
      </c>
      <c r="M1324" s="79">
        <f>Inputs!$Q$8+L1324*0.433</f>
        <v>1937.6992049</v>
      </c>
      <c r="N1324" s="82">
        <f t="shared" si="358"/>
        <v>218899.92</v>
      </c>
      <c r="O1324" s="83">
        <f t="shared" si="359"/>
        <v>677.91570000000002</v>
      </c>
      <c r="P1324" s="84">
        <f>IF(O1324="","",Inputs!$C$5-O1324)</f>
        <v>147.26879999999994</v>
      </c>
      <c r="Q1324" s="83">
        <f>IF(N1324="","",TS!J1324)</f>
        <v>2000</v>
      </c>
      <c r="R1324" s="83">
        <f>IF(N1324="","",TS!K1324)</f>
        <v>1825</v>
      </c>
      <c r="S1324" s="83">
        <f>Inputs!$H$5+TS!P1324*0.4333</f>
        <v>1938.7772874899999</v>
      </c>
      <c r="T1324" s="83">
        <f>Inputs!$G$5+TS!P1324*0.4333</f>
        <v>1953.7772874899999</v>
      </c>
      <c r="U1324" s="85">
        <f t="shared" si="360"/>
        <v>0.97688864374499995</v>
      </c>
      <c r="V1324" s="86">
        <f t="shared" si="364"/>
        <v>0</v>
      </c>
      <c r="W1324" s="86">
        <f t="shared" si="365"/>
        <v>0</v>
      </c>
      <c r="X1324" s="86" t="e">
        <f>((PI()*((42-2*'Gen Calcs'!$E$13)^2)/4)/144)*(A1367-#REF!)*(W1324+14.7)/14.7</f>
        <v>#REF!</v>
      </c>
      <c r="Y1324" s="86" t="e">
        <f t="shared" si="366"/>
        <v>#REF!</v>
      </c>
      <c r="Z1324" s="86" t="e">
        <f t="shared" si="367"/>
        <v>#REF!</v>
      </c>
      <c r="AA1324" s="83">
        <f>MAX(B$2:B1324)-B1324</f>
        <v>260.27530000000002</v>
      </c>
      <c r="AB1324" s="83">
        <f t="shared" si="368"/>
        <v>112.69920490000001</v>
      </c>
      <c r="AC1324" s="83">
        <f t="shared" si="354"/>
        <v>120</v>
      </c>
      <c r="AD1324" s="72">
        <v>120</v>
      </c>
      <c r="AE1324" s="73">
        <f t="shared" si="361"/>
        <v>907.92027688745009</v>
      </c>
      <c r="AF1324" s="73">
        <f>SUM(AE$2:AE1324)</f>
        <v>1115662.2371058746</v>
      </c>
      <c r="AG1324" s="73">
        <f t="shared" si="362"/>
        <v>58067.665321234614</v>
      </c>
    </row>
    <row r="1325" spans="1:33" x14ac:dyDescent="0.25">
      <c r="A1325" s="99">
        <v>218999.92</v>
      </c>
      <c r="B1325" s="96">
        <v>677.43600000000004</v>
      </c>
      <c r="C1325" s="96">
        <v>0.6</v>
      </c>
      <c r="D1325" s="80">
        <f t="shared" si="363"/>
        <v>100</v>
      </c>
      <c r="E1325" s="81">
        <f t="shared" si="355"/>
        <v>6791.2436711181272</v>
      </c>
      <c r="F1325" s="81">
        <f>SUM(E$2:E1325)</f>
        <v>8346478.3907383606</v>
      </c>
      <c r="G1325" s="43">
        <f t="shared" si="353"/>
        <v>1</v>
      </c>
      <c r="H1325" s="78">
        <v>1</v>
      </c>
      <c r="I1325" s="15">
        <f t="shared" si="356"/>
        <v>0.6</v>
      </c>
      <c r="J1325" s="16">
        <f>VLOOKUP(G1325,Inputs!$L$3:$P$15,5,FALSE)</f>
        <v>2000</v>
      </c>
      <c r="K1325" s="16">
        <f t="shared" si="357"/>
        <v>1825</v>
      </c>
      <c r="L1325" s="79">
        <f>Inputs!$P$8-B1325</f>
        <v>260.755</v>
      </c>
      <c r="M1325" s="79">
        <f>Inputs!$Q$8+L1325*0.433</f>
        <v>1937.906915</v>
      </c>
      <c r="N1325" s="82">
        <f t="shared" si="358"/>
        <v>218999.92</v>
      </c>
      <c r="O1325" s="83">
        <f t="shared" si="359"/>
        <v>677.43600000000004</v>
      </c>
      <c r="P1325" s="84">
        <f>IF(O1325="","",Inputs!$C$5-O1325)</f>
        <v>147.74849999999992</v>
      </c>
      <c r="Q1325" s="83">
        <f>IF(N1325="","",TS!J1325)</f>
        <v>2000</v>
      </c>
      <c r="R1325" s="83">
        <f>IF(N1325="","",TS!K1325)</f>
        <v>1825</v>
      </c>
      <c r="S1325" s="83">
        <f>Inputs!$H$5+TS!P1325*0.4333</f>
        <v>1938.9851414999998</v>
      </c>
      <c r="T1325" s="83">
        <f>Inputs!$G$5+TS!P1325*0.4333</f>
        <v>1953.9851414999998</v>
      </c>
      <c r="U1325" s="85">
        <f t="shared" si="360"/>
        <v>0.9769925707499999</v>
      </c>
      <c r="V1325" s="86">
        <f t="shared" si="364"/>
        <v>0</v>
      </c>
      <c r="W1325" s="86">
        <f t="shared" si="365"/>
        <v>0</v>
      </c>
      <c r="X1325" s="86" t="e">
        <f>((PI()*((42-2*'Gen Calcs'!$E$13)^2)/4)/144)*(A1368-#REF!)*(W1325+14.7)/14.7</f>
        <v>#REF!</v>
      </c>
      <c r="Y1325" s="86" t="e">
        <f t="shared" si="366"/>
        <v>#REF!</v>
      </c>
      <c r="Z1325" s="86" t="e">
        <f t="shared" si="367"/>
        <v>#REF!</v>
      </c>
      <c r="AA1325" s="83">
        <f>MAX(B$2:B1325)-B1325</f>
        <v>260.755</v>
      </c>
      <c r="AB1325" s="83">
        <f t="shared" si="368"/>
        <v>112.906915</v>
      </c>
      <c r="AC1325" s="83">
        <f t="shared" si="354"/>
        <v>120</v>
      </c>
      <c r="AD1325" s="72">
        <v>120</v>
      </c>
      <c r="AE1325" s="73">
        <f t="shared" si="361"/>
        <v>907.92027688745009</v>
      </c>
      <c r="AF1325" s="73">
        <f>SUM(AE$2:AE1325)</f>
        <v>1116570.1573827621</v>
      </c>
      <c r="AG1325" s="73">
        <f t="shared" si="362"/>
        <v>57159.745044347132</v>
      </c>
    </row>
    <row r="1326" spans="1:33" x14ac:dyDescent="0.25">
      <c r="A1326" s="100">
        <v>219099.92</v>
      </c>
      <c r="B1326" s="97">
        <v>676.67570000000001</v>
      </c>
      <c r="C1326" s="97">
        <v>0.6</v>
      </c>
      <c r="D1326" s="80">
        <f t="shared" si="363"/>
        <v>100</v>
      </c>
      <c r="E1326" s="81">
        <f t="shared" si="355"/>
        <v>6791.2436711181272</v>
      </c>
      <c r="F1326" s="81">
        <f>SUM(E$2:E1326)</f>
        <v>8353269.6344094789</v>
      </c>
      <c r="G1326" s="43">
        <f t="shared" si="353"/>
        <v>1</v>
      </c>
      <c r="H1326" s="78">
        <v>1</v>
      </c>
      <c r="I1326" s="15">
        <f t="shared" si="356"/>
        <v>0.6</v>
      </c>
      <c r="J1326" s="16">
        <f>VLOOKUP(G1326,Inputs!$L$3:$P$15,5,FALSE)</f>
        <v>2000</v>
      </c>
      <c r="K1326" s="16">
        <f t="shared" si="357"/>
        <v>1825</v>
      </c>
      <c r="L1326" s="79">
        <f>Inputs!$P$8-B1326</f>
        <v>261.51530000000002</v>
      </c>
      <c r="M1326" s="79">
        <f>Inputs!$Q$8+L1326*0.433</f>
        <v>1938.2361249</v>
      </c>
      <c r="N1326" s="82">
        <f t="shared" si="358"/>
        <v>219099.92</v>
      </c>
      <c r="O1326" s="83">
        <f t="shared" si="359"/>
        <v>676.67570000000001</v>
      </c>
      <c r="P1326" s="84">
        <f>IF(O1326="","",Inputs!$C$5-O1326)</f>
        <v>148.50879999999995</v>
      </c>
      <c r="Q1326" s="83">
        <f>IF(N1326="","",TS!J1326)</f>
        <v>2000</v>
      </c>
      <c r="R1326" s="83">
        <f>IF(N1326="","",TS!K1326)</f>
        <v>1825</v>
      </c>
      <c r="S1326" s="83">
        <f>Inputs!$H$5+TS!P1326*0.4333</f>
        <v>1939.3145794899999</v>
      </c>
      <c r="T1326" s="83">
        <f>Inputs!$G$5+TS!P1326*0.4333</f>
        <v>1954.3145794899999</v>
      </c>
      <c r="U1326" s="85">
        <f t="shared" si="360"/>
        <v>0.97715728974499994</v>
      </c>
      <c r="V1326" s="86">
        <f t="shared" si="364"/>
        <v>0</v>
      </c>
      <c r="W1326" s="86">
        <f t="shared" si="365"/>
        <v>0</v>
      </c>
      <c r="X1326" s="86" t="e">
        <f>((PI()*((42-2*'Gen Calcs'!$E$13)^2)/4)/144)*(A1369-#REF!)*(W1326+14.7)/14.7</f>
        <v>#REF!</v>
      </c>
      <c r="Y1326" s="86" t="e">
        <f t="shared" si="366"/>
        <v>#REF!</v>
      </c>
      <c r="Z1326" s="86" t="e">
        <f t="shared" si="367"/>
        <v>#REF!</v>
      </c>
      <c r="AA1326" s="83">
        <f>MAX(B$2:B1326)-B1326</f>
        <v>261.51530000000002</v>
      </c>
      <c r="AB1326" s="83">
        <f t="shared" si="368"/>
        <v>113.23612490000001</v>
      </c>
      <c r="AC1326" s="83">
        <f t="shared" si="354"/>
        <v>120</v>
      </c>
      <c r="AD1326" s="72">
        <v>120</v>
      </c>
      <c r="AE1326" s="73">
        <f t="shared" si="361"/>
        <v>907.92027688745009</v>
      </c>
      <c r="AF1326" s="73">
        <f>SUM(AE$2:AE1326)</f>
        <v>1117478.0776596495</v>
      </c>
      <c r="AG1326" s="73">
        <f t="shared" si="362"/>
        <v>56251.82476745965</v>
      </c>
    </row>
    <row r="1327" spans="1:33" x14ac:dyDescent="0.25">
      <c r="A1327" s="99">
        <v>219199.92</v>
      </c>
      <c r="B1327" s="96">
        <v>676.2047</v>
      </c>
      <c r="C1327" s="96">
        <v>0.6</v>
      </c>
      <c r="D1327" s="80">
        <f t="shared" si="363"/>
        <v>100</v>
      </c>
      <c r="E1327" s="81">
        <f t="shared" si="355"/>
        <v>6791.2436711181272</v>
      </c>
      <c r="F1327" s="81">
        <f>SUM(E$2:E1327)</f>
        <v>8360060.8780805971</v>
      </c>
      <c r="G1327" s="43">
        <f t="shared" si="353"/>
        <v>1</v>
      </c>
      <c r="H1327" s="78">
        <v>1</v>
      </c>
      <c r="I1327" s="15">
        <f t="shared" si="356"/>
        <v>0.6</v>
      </c>
      <c r="J1327" s="16">
        <f>VLOOKUP(G1327,Inputs!$L$3:$P$15,5,FALSE)</f>
        <v>2000</v>
      </c>
      <c r="K1327" s="16">
        <f t="shared" si="357"/>
        <v>1825</v>
      </c>
      <c r="L1327" s="79">
        <f>Inputs!$P$8-B1327</f>
        <v>261.98630000000003</v>
      </c>
      <c r="M1327" s="79">
        <f>Inputs!$Q$8+L1327*0.433</f>
        <v>1938.4400679</v>
      </c>
      <c r="N1327" s="82">
        <f t="shared" si="358"/>
        <v>219199.92</v>
      </c>
      <c r="O1327" s="83">
        <f t="shared" si="359"/>
        <v>676.2047</v>
      </c>
      <c r="P1327" s="84">
        <f>IF(O1327="","",Inputs!$C$5-O1327)</f>
        <v>148.97979999999995</v>
      </c>
      <c r="Q1327" s="83">
        <f>IF(N1327="","",TS!J1327)</f>
        <v>2000</v>
      </c>
      <c r="R1327" s="83">
        <f>IF(N1327="","",TS!K1327)</f>
        <v>1825</v>
      </c>
      <c r="S1327" s="83">
        <f>Inputs!$H$5+TS!P1327*0.4333</f>
        <v>1939.5186637899999</v>
      </c>
      <c r="T1327" s="83">
        <f>Inputs!$G$5+TS!P1327*0.4333</f>
        <v>1954.5186637899999</v>
      </c>
      <c r="U1327" s="85">
        <f t="shared" si="360"/>
        <v>0.97725933189499992</v>
      </c>
      <c r="V1327" s="86">
        <f t="shared" si="364"/>
        <v>0</v>
      </c>
      <c r="W1327" s="86">
        <f t="shared" si="365"/>
        <v>0</v>
      </c>
      <c r="X1327" s="86" t="e">
        <f>((PI()*((42-2*'Gen Calcs'!$E$13)^2)/4)/144)*(A1370-#REF!)*(W1327+14.7)/14.7</f>
        <v>#REF!</v>
      </c>
      <c r="Y1327" s="86" t="e">
        <f t="shared" si="366"/>
        <v>#REF!</v>
      </c>
      <c r="Z1327" s="86" t="e">
        <f t="shared" si="367"/>
        <v>#REF!</v>
      </c>
      <c r="AA1327" s="83">
        <f>MAX(B$2:B1327)-B1327</f>
        <v>261.98630000000003</v>
      </c>
      <c r="AB1327" s="83">
        <f t="shared" si="368"/>
        <v>113.44006790000002</v>
      </c>
      <c r="AC1327" s="83">
        <f t="shared" si="354"/>
        <v>120</v>
      </c>
      <c r="AD1327" s="72">
        <v>120</v>
      </c>
      <c r="AE1327" s="73">
        <f t="shared" si="361"/>
        <v>907.92027688745009</v>
      </c>
      <c r="AF1327" s="73">
        <f>SUM(AE$2:AE1327)</f>
        <v>1118385.997936537</v>
      </c>
      <c r="AG1327" s="73">
        <f t="shared" si="362"/>
        <v>55343.904490572168</v>
      </c>
    </row>
    <row r="1328" spans="1:33" x14ac:dyDescent="0.25">
      <c r="A1328" s="100">
        <v>219299.92</v>
      </c>
      <c r="B1328" s="97">
        <v>675.75469999999996</v>
      </c>
      <c r="C1328" s="97">
        <v>0.6</v>
      </c>
      <c r="D1328" s="80">
        <f t="shared" si="363"/>
        <v>100</v>
      </c>
      <c r="E1328" s="81">
        <f t="shared" si="355"/>
        <v>6791.2436711181272</v>
      </c>
      <c r="F1328" s="81">
        <f>SUM(E$2:E1328)</f>
        <v>8366852.1217517154</v>
      </c>
      <c r="G1328" s="43">
        <f t="shared" si="353"/>
        <v>1</v>
      </c>
      <c r="H1328" s="78">
        <v>1</v>
      </c>
      <c r="I1328" s="15">
        <f t="shared" si="356"/>
        <v>0.6</v>
      </c>
      <c r="J1328" s="16">
        <f>VLOOKUP(G1328,Inputs!$L$3:$P$15,5,FALSE)</f>
        <v>2000</v>
      </c>
      <c r="K1328" s="16">
        <f t="shared" si="357"/>
        <v>1825</v>
      </c>
      <c r="L1328" s="79">
        <f>Inputs!$P$8-B1328</f>
        <v>262.43630000000007</v>
      </c>
      <c r="M1328" s="79">
        <f>Inputs!$Q$8+L1328*0.433</f>
        <v>1938.6349179000001</v>
      </c>
      <c r="N1328" s="82">
        <f t="shared" si="358"/>
        <v>219299.92</v>
      </c>
      <c r="O1328" s="83">
        <f t="shared" si="359"/>
        <v>675.75469999999996</v>
      </c>
      <c r="P1328" s="84">
        <f>IF(O1328="","",Inputs!$C$5-O1328)</f>
        <v>149.4298</v>
      </c>
      <c r="Q1328" s="83">
        <f>IF(N1328="","",TS!J1328)</f>
        <v>2000</v>
      </c>
      <c r="R1328" s="83">
        <f>IF(N1328="","",TS!K1328)</f>
        <v>1825</v>
      </c>
      <c r="S1328" s="83">
        <f>Inputs!$H$5+TS!P1328*0.4333</f>
        <v>1939.71364879</v>
      </c>
      <c r="T1328" s="83">
        <f>Inputs!$G$5+TS!P1328*0.4333</f>
        <v>1954.71364879</v>
      </c>
      <c r="U1328" s="85">
        <f t="shared" si="360"/>
        <v>0.97735682439499993</v>
      </c>
      <c r="V1328" s="86">
        <f t="shared" si="364"/>
        <v>0</v>
      </c>
      <c r="W1328" s="86">
        <f t="shared" si="365"/>
        <v>0</v>
      </c>
      <c r="X1328" s="86" t="e">
        <f>((PI()*((42-2*'Gen Calcs'!$E$13)^2)/4)/144)*(A1371-#REF!)*(W1328+14.7)/14.7</f>
        <v>#REF!</v>
      </c>
      <c r="Y1328" s="86" t="e">
        <f t="shared" si="366"/>
        <v>#REF!</v>
      </c>
      <c r="Z1328" s="86" t="e">
        <f t="shared" si="367"/>
        <v>#REF!</v>
      </c>
      <c r="AA1328" s="83">
        <f>MAX(B$2:B1328)-B1328</f>
        <v>262.43630000000007</v>
      </c>
      <c r="AB1328" s="83">
        <f t="shared" si="368"/>
        <v>113.63491790000003</v>
      </c>
      <c r="AC1328" s="83">
        <f t="shared" si="354"/>
        <v>120</v>
      </c>
      <c r="AD1328" s="72">
        <v>120</v>
      </c>
      <c r="AE1328" s="73">
        <f t="shared" si="361"/>
        <v>907.92027688745009</v>
      </c>
      <c r="AF1328" s="73">
        <f>SUM(AE$2:AE1328)</f>
        <v>1119293.9182134245</v>
      </c>
      <c r="AG1328" s="73">
        <f t="shared" si="362"/>
        <v>54435.984213684686</v>
      </c>
    </row>
    <row r="1329" spans="1:33" x14ac:dyDescent="0.25">
      <c r="A1329" s="99">
        <v>219399.92</v>
      </c>
      <c r="B1329" s="96">
        <v>675.01660000000004</v>
      </c>
      <c r="C1329" s="96">
        <v>0.6</v>
      </c>
      <c r="D1329" s="80">
        <f t="shared" si="363"/>
        <v>100</v>
      </c>
      <c r="E1329" s="81">
        <f t="shared" si="355"/>
        <v>6791.2436711181272</v>
      </c>
      <c r="F1329" s="81">
        <f>SUM(E$2:E1329)</f>
        <v>8373643.3654228337</v>
      </c>
      <c r="G1329" s="43">
        <f t="shared" si="353"/>
        <v>1</v>
      </c>
      <c r="H1329" s="78">
        <v>1</v>
      </c>
      <c r="I1329" s="15">
        <f t="shared" si="356"/>
        <v>0.6</v>
      </c>
      <c r="J1329" s="16">
        <f>VLOOKUP(G1329,Inputs!$L$3:$P$15,5,FALSE)</f>
        <v>2000</v>
      </c>
      <c r="K1329" s="16">
        <f t="shared" si="357"/>
        <v>1825</v>
      </c>
      <c r="L1329" s="79">
        <f>Inputs!$P$8-B1329</f>
        <v>263.17439999999999</v>
      </c>
      <c r="M1329" s="79">
        <f>Inputs!$Q$8+L1329*0.433</f>
        <v>1938.9545152000001</v>
      </c>
      <c r="N1329" s="82">
        <f t="shared" si="358"/>
        <v>219399.92</v>
      </c>
      <c r="O1329" s="83">
        <f t="shared" si="359"/>
        <v>675.01660000000004</v>
      </c>
      <c r="P1329" s="84">
        <f>IF(O1329="","",Inputs!$C$5-O1329)</f>
        <v>150.16789999999992</v>
      </c>
      <c r="Q1329" s="83">
        <f>IF(N1329="","",TS!J1329)</f>
        <v>2000</v>
      </c>
      <c r="R1329" s="83">
        <f>IF(N1329="","",TS!K1329)</f>
        <v>1825</v>
      </c>
      <c r="S1329" s="83">
        <f>Inputs!$H$5+TS!P1329*0.4333</f>
        <v>1940.0334675199999</v>
      </c>
      <c r="T1329" s="83">
        <f>Inputs!$G$5+TS!P1329*0.4333</f>
        <v>1955.0334675199999</v>
      </c>
      <c r="U1329" s="85">
        <f t="shared" si="360"/>
        <v>0.97751673375999992</v>
      </c>
      <c r="V1329" s="86">
        <f t="shared" si="364"/>
        <v>0</v>
      </c>
      <c r="W1329" s="86">
        <f t="shared" si="365"/>
        <v>0</v>
      </c>
      <c r="X1329" s="86" t="e">
        <f>((PI()*((42-2*'Gen Calcs'!$E$13)^2)/4)/144)*(A1372-#REF!)*(W1329+14.7)/14.7</f>
        <v>#REF!</v>
      </c>
      <c r="Y1329" s="86" t="e">
        <f t="shared" si="366"/>
        <v>#REF!</v>
      </c>
      <c r="Z1329" s="86" t="e">
        <f t="shared" si="367"/>
        <v>#REF!</v>
      </c>
      <c r="AA1329" s="83">
        <f>MAX(B$2:B1329)-B1329</f>
        <v>263.17439999999999</v>
      </c>
      <c r="AB1329" s="83">
        <f t="shared" si="368"/>
        <v>113.95451519999999</v>
      </c>
      <c r="AC1329" s="83">
        <f t="shared" si="354"/>
        <v>120</v>
      </c>
      <c r="AD1329" s="72">
        <v>120</v>
      </c>
      <c r="AE1329" s="73">
        <f t="shared" si="361"/>
        <v>907.92027688745009</v>
      </c>
      <c r="AF1329" s="73">
        <f>SUM(AE$2:AE1329)</f>
        <v>1120201.838490312</v>
      </c>
      <c r="AG1329" s="73">
        <f t="shared" si="362"/>
        <v>53528.063936797203</v>
      </c>
    </row>
    <row r="1330" spans="1:33" x14ac:dyDescent="0.25">
      <c r="A1330" s="100">
        <v>219499.92</v>
      </c>
      <c r="B1330" s="97">
        <v>674.18510000000003</v>
      </c>
      <c r="C1330" s="97">
        <v>0.6</v>
      </c>
      <c r="D1330" s="80">
        <f t="shared" si="363"/>
        <v>100</v>
      </c>
      <c r="E1330" s="81">
        <f t="shared" si="355"/>
        <v>6791.2436711181272</v>
      </c>
      <c r="F1330" s="81">
        <f>SUM(E$2:E1330)</f>
        <v>8380434.609093952</v>
      </c>
      <c r="G1330" s="43">
        <f t="shared" si="353"/>
        <v>1</v>
      </c>
      <c r="H1330" s="78">
        <v>1</v>
      </c>
      <c r="I1330" s="15">
        <f t="shared" si="356"/>
        <v>0.6</v>
      </c>
      <c r="J1330" s="16">
        <f>VLOOKUP(G1330,Inputs!$L$3:$P$15,5,FALSE)</f>
        <v>2000</v>
      </c>
      <c r="K1330" s="16">
        <f t="shared" si="357"/>
        <v>1825</v>
      </c>
      <c r="L1330" s="79">
        <f>Inputs!$P$8-B1330</f>
        <v>264.0059</v>
      </c>
      <c r="M1330" s="79">
        <f>Inputs!$Q$8+L1330*0.433</f>
        <v>1939.3145546999999</v>
      </c>
      <c r="N1330" s="82">
        <f t="shared" si="358"/>
        <v>219499.92</v>
      </c>
      <c r="O1330" s="83">
        <f t="shared" si="359"/>
        <v>674.18510000000003</v>
      </c>
      <c r="P1330" s="84">
        <f>IF(O1330="","",Inputs!$C$5-O1330)</f>
        <v>150.99939999999992</v>
      </c>
      <c r="Q1330" s="83">
        <f>IF(N1330="","",TS!J1330)</f>
        <v>2000</v>
      </c>
      <c r="R1330" s="83">
        <f>IF(N1330="","",TS!K1330)</f>
        <v>1825</v>
      </c>
      <c r="S1330" s="83">
        <f>Inputs!$H$5+TS!P1330*0.4333</f>
        <v>1940.39375647</v>
      </c>
      <c r="T1330" s="83">
        <f>Inputs!$G$5+TS!P1330*0.4333</f>
        <v>1955.39375647</v>
      </c>
      <c r="U1330" s="85">
        <f t="shared" si="360"/>
        <v>0.97769687823499996</v>
      </c>
      <c r="V1330" s="86">
        <f t="shared" si="364"/>
        <v>0</v>
      </c>
      <c r="W1330" s="86">
        <f t="shared" si="365"/>
        <v>0</v>
      </c>
      <c r="X1330" s="86" t="e">
        <f>((PI()*((42-2*'Gen Calcs'!$E$13)^2)/4)/144)*(A1373-#REF!)*(W1330+14.7)/14.7</f>
        <v>#REF!</v>
      </c>
      <c r="Y1330" s="86" t="e">
        <f t="shared" si="366"/>
        <v>#REF!</v>
      </c>
      <c r="Z1330" s="86" t="e">
        <f t="shared" si="367"/>
        <v>#REF!</v>
      </c>
      <c r="AA1330" s="83">
        <f>MAX(B$2:B1330)-B1330</f>
        <v>264.0059</v>
      </c>
      <c r="AB1330" s="83">
        <f t="shared" si="368"/>
        <v>114.3145547</v>
      </c>
      <c r="AC1330" s="83">
        <f t="shared" si="354"/>
        <v>120</v>
      </c>
      <c r="AD1330" s="72">
        <v>120</v>
      </c>
      <c r="AE1330" s="73">
        <f t="shared" si="361"/>
        <v>907.92027688745009</v>
      </c>
      <c r="AF1330" s="73">
        <f>SUM(AE$2:AE1330)</f>
        <v>1121109.7587671995</v>
      </c>
      <c r="AG1330" s="73">
        <f t="shared" si="362"/>
        <v>52620.143659909721</v>
      </c>
    </row>
    <row r="1331" spans="1:33" x14ac:dyDescent="0.25">
      <c r="A1331" s="99">
        <v>219599.92</v>
      </c>
      <c r="B1331" s="96">
        <v>673.9085</v>
      </c>
      <c r="C1331" s="96">
        <v>0.6</v>
      </c>
      <c r="D1331" s="80">
        <f t="shared" si="363"/>
        <v>100</v>
      </c>
      <c r="E1331" s="81">
        <f t="shared" si="355"/>
        <v>6791.2436711181272</v>
      </c>
      <c r="F1331" s="81">
        <f>SUM(E$2:E1331)</f>
        <v>8387225.8527650703</v>
      </c>
      <c r="G1331" s="43">
        <f t="shared" si="353"/>
        <v>1</v>
      </c>
      <c r="H1331" s="78">
        <v>1</v>
      </c>
      <c r="I1331" s="15">
        <f t="shared" si="356"/>
        <v>0.6</v>
      </c>
      <c r="J1331" s="16">
        <f>VLOOKUP(G1331,Inputs!$L$3:$P$15,5,FALSE)</f>
        <v>2000</v>
      </c>
      <c r="K1331" s="16">
        <f t="shared" si="357"/>
        <v>1825</v>
      </c>
      <c r="L1331" s="79">
        <f>Inputs!$P$8-B1331</f>
        <v>264.28250000000003</v>
      </c>
      <c r="M1331" s="79">
        <f>Inputs!$Q$8+L1331*0.433</f>
        <v>1939.4343225</v>
      </c>
      <c r="N1331" s="82">
        <f t="shared" si="358"/>
        <v>219599.92</v>
      </c>
      <c r="O1331" s="83">
        <f t="shared" si="359"/>
        <v>673.9085</v>
      </c>
      <c r="P1331" s="84">
        <f>IF(O1331="","",Inputs!$C$5-O1331)</f>
        <v>151.27599999999995</v>
      </c>
      <c r="Q1331" s="83">
        <f>IF(N1331="","",TS!J1331)</f>
        <v>2000</v>
      </c>
      <c r="R1331" s="83">
        <f>IF(N1331="","",TS!K1331)</f>
        <v>1825</v>
      </c>
      <c r="S1331" s="83">
        <f>Inputs!$H$5+TS!P1331*0.4333</f>
        <v>1940.5136072499999</v>
      </c>
      <c r="T1331" s="83">
        <f>Inputs!$G$5+TS!P1331*0.4333</f>
        <v>1955.5136072499999</v>
      </c>
      <c r="U1331" s="85">
        <f t="shared" si="360"/>
        <v>0.97775680362499995</v>
      </c>
      <c r="V1331" s="86">
        <f t="shared" si="364"/>
        <v>0</v>
      </c>
      <c r="W1331" s="86">
        <f t="shared" si="365"/>
        <v>0</v>
      </c>
      <c r="X1331" s="86" t="e">
        <f>((PI()*((42-2*'Gen Calcs'!$E$13)^2)/4)/144)*(A1374-#REF!)*(W1331+14.7)/14.7</f>
        <v>#REF!</v>
      </c>
      <c r="Y1331" s="86" t="e">
        <f t="shared" si="366"/>
        <v>#REF!</v>
      </c>
      <c r="Z1331" s="86" t="e">
        <f t="shared" si="367"/>
        <v>#REF!</v>
      </c>
      <c r="AA1331" s="83">
        <f>MAX(B$2:B1331)-B1331</f>
        <v>264.28250000000003</v>
      </c>
      <c r="AB1331" s="83">
        <f t="shared" si="368"/>
        <v>114.43432250000001</v>
      </c>
      <c r="AC1331" s="83">
        <f t="shared" si="354"/>
        <v>120</v>
      </c>
      <c r="AD1331" s="72">
        <v>120</v>
      </c>
      <c r="AE1331" s="73">
        <f t="shared" si="361"/>
        <v>907.92027688745009</v>
      </c>
      <c r="AF1331" s="73">
        <f>SUM(AE$2:AE1331)</f>
        <v>1122017.679044087</v>
      </c>
      <c r="AG1331" s="73">
        <f t="shared" si="362"/>
        <v>51712.223383022239</v>
      </c>
    </row>
    <row r="1332" spans="1:33" x14ac:dyDescent="0.25">
      <c r="A1332" s="100">
        <v>219699.92</v>
      </c>
      <c r="B1332" s="97">
        <v>673.91899999999998</v>
      </c>
      <c r="C1332" s="97">
        <v>0.6</v>
      </c>
      <c r="D1332" s="80">
        <f t="shared" si="363"/>
        <v>100</v>
      </c>
      <c r="E1332" s="81">
        <f t="shared" si="355"/>
        <v>6616.6076625842816</v>
      </c>
      <c r="F1332" s="81">
        <f>SUM(E$2:E1332)</f>
        <v>8393842.4604276549</v>
      </c>
      <c r="G1332" s="43">
        <f t="shared" si="353"/>
        <v>1</v>
      </c>
      <c r="H1332" s="78">
        <v>1</v>
      </c>
      <c r="I1332" s="15">
        <f t="shared" si="356"/>
        <v>0.6</v>
      </c>
      <c r="J1332" s="16">
        <f>VLOOKUP(G1332,Inputs!$L$3:$P$15,5,FALSE)</f>
        <v>2000</v>
      </c>
      <c r="K1332" s="16">
        <f t="shared" si="357"/>
        <v>1825</v>
      </c>
      <c r="L1332" s="79">
        <f>Inputs!$P$8-B1332</f>
        <v>264.27200000000005</v>
      </c>
      <c r="M1332" s="79">
        <f>Inputs!$Q$8+L1332*0.433</f>
        <v>1939.4297759999999</v>
      </c>
      <c r="N1332" s="82">
        <f t="shared" si="358"/>
        <v>219699.92</v>
      </c>
      <c r="O1332" s="83">
        <f t="shared" si="359"/>
        <v>673.91899999999998</v>
      </c>
      <c r="P1332" s="84">
        <f>IF(O1332="","",Inputs!$C$5-O1332)</f>
        <v>151.26549999999997</v>
      </c>
      <c r="Q1332" s="83">
        <f>IF(N1332="","",TS!J1332)</f>
        <v>2000</v>
      </c>
      <c r="R1332" s="83">
        <f>IF(N1332="","",TS!K1332)</f>
        <v>1825</v>
      </c>
      <c r="S1332" s="83">
        <f>Inputs!$H$5+TS!P1332*0.4333</f>
        <v>1940.5090576</v>
      </c>
      <c r="T1332" s="83">
        <f>Inputs!$G$5+TS!P1332*0.4333</f>
        <v>1955.5090576</v>
      </c>
      <c r="U1332" s="85">
        <f t="shared" si="360"/>
        <v>0.97775452880000002</v>
      </c>
      <c r="V1332" s="86">
        <f t="shared" si="364"/>
        <v>0</v>
      </c>
      <c r="W1332" s="86">
        <f t="shared" si="365"/>
        <v>0</v>
      </c>
      <c r="X1332" s="86" t="e">
        <f>((PI()*((42-2*'Gen Calcs'!$E$13)^2)/4)/144)*(A1375-#REF!)*(W1332+14.7)/14.7</f>
        <v>#REF!</v>
      </c>
      <c r="Y1332" s="86" t="e">
        <f t="shared" si="366"/>
        <v>#REF!</v>
      </c>
      <c r="Z1332" s="86" t="e">
        <f t="shared" si="367"/>
        <v>#REF!</v>
      </c>
      <c r="AA1332" s="83">
        <f>MAX(B$2:B1332)-B1332</f>
        <v>264.27200000000005</v>
      </c>
      <c r="AB1332" s="83">
        <f t="shared" si="368"/>
        <v>114.42977600000002</v>
      </c>
      <c r="AC1332" s="83">
        <f t="shared" si="354"/>
        <v>120</v>
      </c>
      <c r="AD1332" s="72">
        <v>120</v>
      </c>
      <c r="AE1332" s="73">
        <f t="shared" si="361"/>
        <v>907.92027688745009</v>
      </c>
      <c r="AF1332" s="73">
        <f>SUM(AE$2:AE1332)</f>
        <v>1122925.5993209744</v>
      </c>
      <c r="AG1332" s="73">
        <f t="shared" si="362"/>
        <v>50804.303106134757</v>
      </c>
    </row>
    <row r="1333" spans="1:33" x14ac:dyDescent="0.25">
      <c r="A1333" s="99">
        <v>219799.92</v>
      </c>
      <c r="B1333" s="96">
        <v>673.47770000000003</v>
      </c>
      <c r="C1333" s="96">
        <v>0.6</v>
      </c>
      <c r="D1333" s="80">
        <f t="shared" si="363"/>
        <v>100</v>
      </c>
      <c r="E1333" s="81">
        <f t="shared" si="355"/>
        <v>6791.2436711181272</v>
      </c>
      <c r="F1333" s="81">
        <f>SUM(E$2:E1333)</f>
        <v>8400633.7040987723</v>
      </c>
      <c r="G1333" s="43">
        <f t="shared" si="353"/>
        <v>1</v>
      </c>
      <c r="H1333" s="78">
        <v>1</v>
      </c>
      <c r="I1333" s="15">
        <f t="shared" si="356"/>
        <v>0.6</v>
      </c>
      <c r="J1333" s="16">
        <f>VLOOKUP(G1333,Inputs!$L$3:$P$15,5,FALSE)</f>
        <v>2000</v>
      </c>
      <c r="K1333" s="16">
        <f t="shared" si="357"/>
        <v>1825</v>
      </c>
      <c r="L1333" s="79">
        <f>Inputs!$P$8-B1333</f>
        <v>264.7133</v>
      </c>
      <c r="M1333" s="79">
        <f>Inputs!$Q$8+L1333*0.433</f>
        <v>1939.6208589</v>
      </c>
      <c r="N1333" s="82">
        <f t="shared" si="358"/>
        <v>219799.92</v>
      </c>
      <c r="O1333" s="83">
        <f t="shared" si="359"/>
        <v>673.47770000000003</v>
      </c>
      <c r="P1333" s="84">
        <f>IF(O1333="","",Inputs!$C$5-O1333)</f>
        <v>151.70679999999993</v>
      </c>
      <c r="Q1333" s="83">
        <f>IF(N1333="","",TS!J1333)</f>
        <v>2000</v>
      </c>
      <c r="R1333" s="83">
        <f>IF(N1333="","",TS!K1333)</f>
        <v>1825</v>
      </c>
      <c r="S1333" s="83">
        <f>Inputs!$H$5+TS!P1333*0.4333</f>
        <v>1940.70027289</v>
      </c>
      <c r="T1333" s="83">
        <f>Inputs!$G$5+TS!P1333*0.4333</f>
        <v>1955.70027289</v>
      </c>
      <c r="U1333" s="85">
        <f t="shared" si="360"/>
        <v>0.97785013644499996</v>
      </c>
      <c r="V1333" s="86">
        <f t="shared" si="364"/>
        <v>0</v>
      </c>
      <c r="W1333" s="86">
        <f t="shared" si="365"/>
        <v>0</v>
      </c>
      <c r="X1333" s="86" t="e">
        <f>((PI()*((42-2*'Gen Calcs'!$E$13)^2)/4)/144)*(A1376-#REF!)*(W1333+14.7)/14.7</f>
        <v>#REF!</v>
      </c>
      <c r="Y1333" s="86" t="e">
        <f t="shared" si="366"/>
        <v>#REF!</v>
      </c>
      <c r="Z1333" s="86" t="e">
        <f t="shared" si="367"/>
        <v>#REF!</v>
      </c>
      <c r="AA1333" s="83">
        <f>MAX(B$2:B1333)-B1333</f>
        <v>264.7133</v>
      </c>
      <c r="AB1333" s="83">
        <f t="shared" si="368"/>
        <v>114.6208589</v>
      </c>
      <c r="AC1333" s="83">
        <f t="shared" si="354"/>
        <v>120</v>
      </c>
      <c r="AD1333" s="72">
        <v>120</v>
      </c>
      <c r="AE1333" s="73">
        <f t="shared" si="361"/>
        <v>907.92027688745009</v>
      </c>
      <c r="AF1333" s="73">
        <f>SUM(AE$2:AE1333)</f>
        <v>1123833.5195978619</v>
      </c>
      <c r="AG1333" s="73">
        <f t="shared" si="362"/>
        <v>49896.382829247275</v>
      </c>
    </row>
    <row r="1334" spans="1:33" x14ac:dyDescent="0.25">
      <c r="A1334" s="100">
        <v>219899.92</v>
      </c>
      <c r="B1334" s="97">
        <v>670.22559999999999</v>
      </c>
      <c r="C1334" s="97">
        <v>0.6</v>
      </c>
      <c r="D1334" s="80">
        <f t="shared" si="363"/>
        <v>100</v>
      </c>
      <c r="E1334" s="81">
        <f t="shared" si="355"/>
        <v>6791.2436711181272</v>
      </c>
      <c r="F1334" s="81">
        <f>SUM(E$2:E1334)</f>
        <v>8407424.9477698896</v>
      </c>
      <c r="G1334" s="43">
        <f t="shared" si="353"/>
        <v>1</v>
      </c>
      <c r="H1334" s="78">
        <v>1</v>
      </c>
      <c r="I1334" s="15">
        <f t="shared" si="356"/>
        <v>0.6</v>
      </c>
      <c r="J1334" s="16">
        <f>VLOOKUP(G1334,Inputs!$L$3:$P$15,5,FALSE)</f>
        <v>2000</v>
      </c>
      <c r="K1334" s="16">
        <f t="shared" si="357"/>
        <v>1825</v>
      </c>
      <c r="L1334" s="79">
        <f>Inputs!$P$8-B1334</f>
        <v>267.96540000000005</v>
      </c>
      <c r="M1334" s="79">
        <f>Inputs!$Q$8+L1334*0.433</f>
        <v>1941.0290182000001</v>
      </c>
      <c r="N1334" s="82">
        <f t="shared" si="358"/>
        <v>219899.92</v>
      </c>
      <c r="O1334" s="83">
        <f t="shared" si="359"/>
        <v>670.22559999999999</v>
      </c>
      <c r="P1334" s="84">
        <f>IF(O1334="","",Inputs!$C$5-O1334)</f>
        <v>154.95889999999997</v>
      </c>
      <c r="Q1334" s="83">
        <f>IF(N1334="","",TS!J1334)</f>
        <v>2000</v>
      </c>
      <c r="R1334" s="83">
        <f>IF(N1334="","",TS!K1334)</f>
        <v>1825</v>
      </c>
      <c r="S1334" s="83">
        <f>Inputs!$H$5+TS!P1334*0.4333</f>
        <v>1942.1094078199999</v>
      </c>
      <c r="T1334" s="83">
        <f>Inputs!$G$5+TS!P1334*0.4333</f>
        <v>1957.1094078199999</v>
      </c>
      <c r="U1334" s="85">
        <f t="shared" si="360"/>
        <v>0.97855470390999999</v>
      </c>
      <c r="V1334" s="86">
        <f t="shared" si="364"/>
        <v>0</v>
      </c>
      <c r="W1334" s="86">
        <f t="shared" si="365"/>
        <v>0</v>
      </c>
      <c r="X1334" s="86" t="e">
        <f>((PI()*((42-2*'Gen Calcs'!$E$13)^2)/4)/144)*(A1377-#REF!)*(W1334+14.7)/14.7</f>
        <v>#REF!</v>
      </c>
      <c r="Y1334" s="86" t="e">
        <f t="shared" si="366"/>
        <v>#REF!</v>
      </c>
      <c r="Z1334" s="86" t="e">
        <f t="shared" si="367"/>
        <v>#REF!</v>
      </c>
      <c r="AA1334" s="83">
        <f>MAX(B$2:B1334)-B1334</f>
        <v>267.96540000000005</v>
      </c>
      <c r="AB1334" s="83">
        <f t="shared" si="368"/>
        <v>116.02901820000002</v>
      </c>
      <c r="AC1334" s="83">
        <f t="shared" si="354"/>
        <v>120</v>
      </c>
      <c r="AD1334" s="72">
        <v>120</v>
      </c>
      <c r="AE1334" s="73">
        <f t="shared" si="361"/>
        <v>907.92027688745009</v>
      </c>
      <c r="AF1334" s="73">
        <f>SUM(AE$2:AE1334)</f>
        <v>1124741.4398747494</v>
      </c>
      <c r="AG1334" s="73">
        <f t="shared" si="362"/>
        <v>48988.462552359793</v>
      </c>
    </row>
    <row r="1335" spans="1:33" x14ac:dyDescent="0.25">
      <c r="A1335" s="99">
        <v>219999.92</v>
      </c>
      <c r="B1335" s="96">
        <v>673.1617</v>
      </c>
      <c r="C1335" s="96">
        <v>0.6</v>
      </c>
      <c r="D1335" s="80">
        <f t="shared" si="363"/>
        <v>100</v>
      </c>
      <c r="E1335" s="81">
        <f t="shared" si="355"/>
        <v>6791.2436711181272</v>
      </c>
      <c r="F1335" s="81">
        <f>SUM(E$2:E1335)</f>
        <v>8414216.191441007</v>
      </c>
      <c r="G1335" s="43">
        <f t="shared" si="353"/>
        <v>1</v>
      </c>
      <c r="H1335" s="78">
        <v>1</v>
      </c>
      <c r="I1335" s="15">
        <f t="shared" si="356"/>
        <v>0.6</v>
      </c>
      <c r="J1335" s="16">
        <f>VLOOKUP(G1335,Inputs!$L$3:$P$15,5,FALSE)</f>
        <v>2000</v>
      </c>
      <c r="K1335" s="16">
        <f t="shared" si="357"/>
        <v>1825</v>
      </c>
      <c r="L1335" s="79">
        <f>Inputs!$P$8-B1335</f>
        <v>265.02930000000003</v>
      </c>
      <c r="M1335" s="79">
        <f>Inputs!$Q$8+L1335*0.433</f>
        <v>1939.7576869</v>
      </c>
      <c r="N1335" s="82">
        <f t="shared" si="358"/>
        <v>219999.92</v>
      </c>
      <c r="O1335" s="83">
        <f t="shared" si="359"/>
        <v>673.1617</v>
      </c>
      <c r="P1335" s="84">
        <f>IF(O1335="","",Inputs!$C$5-O1335)</f>
        <v>152.02279999999996</v>
      </c>
      <c r="Q1335" s="83">
        <f>IF(N1335="","",TS!J1335)</f>
        <v>2000</v>
      </c>
      <c r="R1335" s="83">
        <f>IF(N1335="","",TS!K1335)</f>
        <v>1825</v>
      </c>
      <c r="S1335" s="83">
        <f>Inputs!$H$5+TS!P1335*0.4333</f>
        <v>1940.83719569</v>
      </c>
      <c r="T1335" s="83">
        <f>Inputs!$G$5+TS!P1335*0.4333</f>
        <v>1955.83719569</v>
      </c>
      <c r="U1335" s="85">
        <f t="shared" si="360"/>
        <v>0.97791859784500001</v>
      </c>
      <c r="V1335" s="86">
        <f t="shared" si="364"/>
        <v>0</v>
      </c>
      <c r="W1335" s="86">
        <f t="shared" si="365"/>
        <v>0</v>
      </c>
      <c r="X1335" s="86" t="e">
        <f>((PI()*((42-2*'Gen Calcs'!$E$13)^2)/4)/144)*(A1378-#REF!)*(W1335+14.7)/14.7</f>
        <v>#REF!</v>
      </c>
      <c r="Y1335" s="86" t="e">
        <f t="shared" si="366"/>
        <v>#REF!</v>
      </c>
      <c r="Z1335" s="86" t="e">
        <f t="shared" si="367"/>
        <v>#REF!</v>
      </c>
      <c r="AA1335" s="83">
        <f>MAX(B$2:B1335)-B1335</f>
        <v>265.02930000000003</v>
      </c>
      <c r="AB1335" s="83">
        <f t="shared" si="368"/>
        <v>114.75768690000001</v>
      </c>
      <c r="AC1335" s="83">
        <f t="shared" si="354"/>
        <v>120</v>
      </c>
      <c r="AD1335" s="72">
        <v>120</v>
      </c>
      <c r="AE1335" s="73">
        <f t="shared" si="361"/>
        <v>907.92027688745009</v>
      </c>
      <c r="AF1335" s="73">
        <f>SUM(AE$2:AE1335)</f>
        <v>1125649.3601516369</v>
      </c>
      <c r="AG1335" s="73">
        <f t="shared" si="362"/>
        <v>48080.542275472311</v>
      </c>
    </row>
    <row r="1336" spans="1:33" x14ac:dyDescent="0.25">
      <c r="A1336" s="100">
        <v>220099.92</v>
      </c>
      <c r="B1336" s="97">
        <v>672.2287</v>
      </c>
      <c r="C1336" s="97">
        <v>0.6</v>
      </c>
      <c r="D1336" s="80">
        <f t="shared" si="363"/>
        <v>100</v>
      </c>
      <c r="E1336" s="81">
        <f t="shared" si="355"/>
        <v>6791.2436711181272</v>
      </c>
      <c r="F1336" s="81">
        <f>SUM(E$2:E1336)</f>
        <v>8421007.4351121243</v>
      </c>
      <c r="G1336" s="43">
        <f t="shared" si="353"/>
        <v>1</v>
      </c>
      <c r="H1336" s="78">
        <v>1</v>
      </c>
      <c r="I1336" s="15">
        <f t="shared" si="356"/>
        <v>0.6</v>
      </c>
      <c r="J1336" s="16">
        <f>VLOOKUP(G1336,Inputs!$L$3:$P$15,5,FALSE)</f>
        <v>2000</v>
      </c>
      <c r="K1336" s="16">
        <f t="shared" si="357"/>
        <v>1825</v>
      </c>
      <c r="L1336" s="79">
        <f>Inputs!$P$8-B1336</f>
        <v>265.96230000000003</v>
      </c>
      <c r="M1336" s="79">
        <f>Inputs!$Q$8+L1336*0.433</f>
        <v>1940.1616759000001</v>
      </c>
      <c r="N1336" s="82">
        <f t="shared" si="358"/>
        <v>220099.92</v>
      </c>
      <c r="O1336" s="83">
        <f t="shared" si="359"/>
        <v>672.2287</v>
      </c>
      <c r="P1336" s="84">
        <f>IF(O1336="","",Inputs!$C$5-O1336)</f>
        <v>152.95579999999995</v>
      </c>
      <c r="Q1336" s="83">
        <f>IF(N1336="","",TS!J1336)</f>
        <v>2000</v>
      </c>
      <c r="R1336" s="83">
        <f>IF(N1336="","",TS!K1336)</f>
        <v>1825</v>
      </c>
      <c r="S1336" s="83">
        <f>Inputs!$H$5+TS!P1336*0.4333</f>
        <v>1941.2414645899999</v>
      </c>
      <c r="T1336" s="83">
        <f>Inputs!$G$5+TS!P1336*0.4333</f>
        <v>1956.2414645899999</v>
      </c>
      <c r="U1336" s="85">
        <f t="shared" si="360"/>
        <v>0.97812073229499996</v>
      </c>
      <c r="V1336" s="86">
        <f t="shared" si="364"/>
        <v>0</v>
      </c>
      <c r="W1336" s="86">
        <f t="shared" si="365"/>
        <v>0</v>
      </c>
      <c r="X1336" s="86" t="e">
        <f>((PI()*((42-2*'Gen Calcs'!$E$13)^2)/4)/144)*(A1379-#REF!)*(W1336+14.7)/14.7</f>
        <v>#REF!</v>
      </c>
      <c r="Y1336" s="86" t="e">
        <f t="shared" si="366"/>
        <v>#REF!</v>
      </c>
      <c r="Z1336" s="86" t="e">
        <f t="shared" si="367"/>
        <v>#REF!</v>
      </c>
      <c r="AA1336" s="83">
        <f>MAX(B$2:B1336)-B1336</f>
        <v>265.96230000000003</v>
      </c>
      <c r="AB1336" s="83">
        <f t="shared" si="368"/>
        <v>115.16167590000001</v>
      </c>
      <c r="AC1336" s="83">
        <f t="shared" si="354"/>
        <v>120</v>
      </c>
      <c r="AD1336" s="72">
        <v>120</v>
      </c>
      <c r="AE1336" s="73">
        <f t="shared" si="361"/>
        <v>907.92027688745009</v>
      </c>
      <c r="AF1336" s="73">
        <f>SUM(AE$2:AE1336)</f>
        <v>1126557.2804285244</v>
      </c>
      <c r="AG1336" s="73">
        <f t="shared" si="362"/>
        <v>47172.621998584829</v>
      </c>
    </row>
    <row r="1337" spans="1:33" x14ac:dyDescent="0.25">
      <c r="A1337" s="99">
        <v>220199.92</v>
      </c>
      <c r="B1337" s="96">
        <v>673.48140000000001</v>
      </c>
      <c r="C1337" s="96">
        <v>0.6</v>
      </c>
      <c r="D1337" s="80">
        <f t="shared" si="363"/>
        <v>100</v>
      </c>
      <c r="E1337" s="81">
        <f t="shared" si="355"/>
        <v>6791.2436711181272</v>
      </c>
      <c r="F1337" s="81">
        <f>SUM(E$2:E1337)</f>
        <v>8427798.6787832417</v>
      </c>
      <c r="G1337" s="43">
        <f t="shared" si="353"/>
        <v>1</v>
      </c>
      <c r="H1337" s="78">
        <v>1</v>
      </c>
      <c r="I1337" s="15">
        <f t="shared" si="356"/>
        <v>0.6</v>
      </c>
      <c r="J1337" s="16">
        <f>VLOOKUP(G1337,Inputs!$L$3:$P$15,5,FALSE)</f>
        <v>2000</v>
      </c>
      <c r="K1337" s="16">
        <f t="shared" si="357"/>
        <v>1825</v>
      </c>
      <c r="L1337" s="79">
        <f>Inputs!$P$8-B1337</f>
        <v>264.70960000000002</v>
      </c>
      <c r="M1337" s="79">
        <f>Inputs!$Q$8+L1337*0.433</f>
        <v>1939.6192567999999</v>
      </c>
      <c r="N1337" s="82">
        <f t="shared" si="358"/>
        <v>220199.92</v>
      </c>
      <c r="O1337" s="83">
        <f t="shared" si="359"/>
        <v>673.48140000000001</v>
      </c>
      <c r="P1337" s="84">
        <f>IF(O1337="","",Inputs!$C$5-O1337)</f>
        <v>151.70309999999995</v>
      </c>
      <c r="Q1337" s="83">
        <f>IF(N1337="","",TS!J1337)</f>
        <v>2000</v>
      </c>
      <c r="R1337" s="83">
        <f>IF(N1337="","",TS!K1337)</f>
        <v>1825</v>
      </c>
      <c r="S1337" s="83">
        <f>Inputs!$H$5+TS!P1337*0.4333</f>
        <v>1940.69866968</v>
      </c>
      <c r="T1337" s="83">
        <f>Inputs!$G$5+TS!P1337*0.4333</f>
        <v>1955.69866968</v>
      </c>
      <c r="U1337" s="85">
        <f t="shared" si="360"/>
        <v>0.97784933484000003</v>
      </c>
      <c r="V1337" s="86">
        <f t="shared" si="364"/>
        <v>0</v>
      </c>
      <c r="W1337" s="86">
        <f t="shared" si="365"/>
        <v>0</v>
      </c>
      <c r="X1337" s="86" t="e">
        <f>((PI()*((42-2*'Gen Calcs'!$E$13)^2)/4)/144)*(A1380-#REF!)*(W1337+14.7)/14.7</f>
        <v>#REF!</v>
      </c>
      <c r="Y1337" s="86" t="e">
        <f t="shared" si="366"/>
        <v>#REF!</v>
      </c>
      <c r="Z1337" s="86" t="e">
        <f t="shared" si="367"/>
        <v>#REF!</v>
      </c>
      <c r="AA1337" s="83">
        <f>MAX(B$2:B1337)-B1337</f>
        <v>264.70960000000002</v>
      </c>
      <c r="AB1337" s="83">
        <f t="shared" si="368"/>
        <v>114.6192568</v>
      </c>
      <c r="AC1337" s="83">
        <f t="shared" si="354"/>
        <v>120</v>
      </c>
      <c r="AD1337" s="72">
        <v>120</v>
      </c>
      <c r="AE1337" s="73">
        <f t="shared" si="361"/>
        <v>907.92027688745009</v>
      </c>
      <c r="AF1337" s="73">
        <f>SUM(AE$2:AE1337)</f>
        <v>1127465.2007054118</v>
      </c>
      <c r="AG1337" s="73">
        <f t="shared" si="362"/>
        <v>46264.701721697347</v>
      </c>
    </row>
    <row r="1338" spans="1:33" x14ac:dyDescent="0.25">
      <c r="A1338" s="100">
        <v>220299.92</v>
      </c>
      <c r="B1338" s="97">
        <v>675.54970000000003</v>
      </c>
      <c r="C1338" s="97">
        <v>0.6</v>
      </c>
      <c r="D1338" s="80">
        <f t="shared" si="363"/>
        <v>100</v>
      </c>
      <c r="E1338" s="81">
        <f t="shared" si="355"/>
        <v>6616.6076625842816</v>
      </c>
      <c r="F1338" s="81">
        <f>SUM(E$2:E1338)</f>
        <v>8434415.2864458263</v>
      </c>
      <c r="G1338" s="43">
        <f t="shared" si="353"/>
        <v>1</v>
      </c>
      <c r="H1338" s="78">
        <v>1</v>
      </c>
      <c r="I1338" s="15">
        <f t="shared" si="356"/>
        <v>0.6</v>
      </c>
      <c r="J1338" s="16">
        <f>VLOOKUP(G1338,Inputs!$L$3:$P$15,5,FALSE)</f>
        <v>2000</v>
      </c>
      <c r="K1338" s="16">
        <f t="shared" si="357"/>
        <v>1825</v>
      </c>
      <c r="L1338" s="79">
        <f>Inputs!$P$8-B1338</f>
        <v>262.6413</v>
      </c>
      <c r="M1338" s="79">
        <f>Inputs!$Q$8+L1338*0.433</f>
        <v>1938.7236829000001</v>
      </c>
      <c r="N1338" s="82">
        <f t="shared" si="358"/>
        <v>220299.92</v>
      </c>
      <c r="O1338" s="83">
        <f t="shared" si="359"/>
        <v>675.54970000000003</v>
      </c>
      <c r="P1338" s="84">
        <f>IF(O1338="","",Inputs!$C$5-O1338)</f>
        <v>149.63479999999993</v>
      </c>
      <c r="Q1338" s="83">
        <f>IF(N1338="","",TS!J1338)</f>
        <v>2000</v>
      </c>
      <c r="R1338" s="83">
        <f>IF(N1338="","",TS!K1338)</f>
        <v>1825</v>
      </c>
      <c r="S1338" s="83">
        <f>Inputs!$H$5+TS!P1338*0.4333</f>
        <v>1939.8024752899998</v>
      </c>
      <c r="T1338" s="83">
        <f>Inputs!$G$5+TS!P1338*0.4333</f>
        <v>1954.8024752899998</v>
      </c>
      <c r="U1338" s="85">
        <f t="shared" si="360"/>
        <v>0.97740123764499998</v>
      </c>
      <c r="V1338" s="86">
        <f t="shared" si="364"/>
        <v>0</v>
      </c>
      <c r="W1338" s="86">
        <f t="shared" si="365"/>
        <v>0</v>
      </c>
      <c r="X1338" s="86" t="e">
        <f>((PI()*((42-2*'Gen Calcs'!$E$13)^2)/4)/144)*(A1381-#REF!)*(W1338+14.7)/14.7</f>
        <v>#REF!</v>
      </c>
      <c r="Y1338" s="86" t="e">
        <f t="shared" si="366"/>
        <v>#REF!</v>
      </c>
      <c r="Z1338" s="86" t="e">
        <f t="shared" si="367"/>
        <v>#REF!</v>
      </c>
      <c r="AA1338" s="83">
        <f>MAX(B$2:B1338)-B1338</f>
        <v>262.6413</v>
      </c>
      <c r="AB1338" s="83">
        <f t="shared" si="368"/>
        <v>113.7236829</v>
      </c>
      <c r="AC1338" s="83">
        <f t="shared" si="354"/>
        <v>120</v>
      </c>
      <c r="AD1338" s="72">
        <v>120</v>
      </c>
      <c r="AE1338" s="73">
        <f t="shared" si="361"/>
        <v>907.92027688745009</v>
      </c>
      <c r="AF1338" s="73">
        <f>SUM(AE$2:AE1338)</f>
        <v>1128373.1209822993</v>
      </c>
      <c r="AG1338" s="73">
        <f t="shared" si="362"/>
        <v>45356.781444809865</v>
      </c>
    </row>
    <row r="1339" spans="1:33" x14ac:dyDescent="0.25">
      <c r="A1339" s="99">
        <v>220399.92</v>
      </c>
      <c r="B1339" s="96">
        <v>675.58749999999998</v>
      </c>
      <c r="C1339" s="96">
        <v>0.6</v>
      </c>
      <c r="D1339" s="80">
        <f t="shared" si="363"/>
        <v>100</v>
      </c>
      <c r="E1339" s="81">
        <f t="shared" si="355"/>
        <v>6791.2436711181272</v>
      </c>
      <c r="F1339" s="81">
        <f>SUM(E$2:E1339)</f>
        <v>8441206.5301169436</v>
      </c>
      <c r="G1339" s="43">
        <f t="shared" si="353"/>
        <v>1</v>
      </c>
      <c r="H1339" s="78">
        <v>1</v>
      </c>
      <c r="I1339" s="15">
        <f t="shared" si="356"/>
        <v>0.6</v>
      </c>
      <c r="J1339" s="16">
        <f>VLOOKUP(G1339,Inputs!$L$3:$P$15,5,FALSE)</f>
        <v>2000</v>
      </c>
      <c r="K1339" s="16">
        <f t="shared" si="357"/>
        <v>1825</v>
      </c>
      <c r="L1339" s="79">
        <f>Inputs!$P$8-B1339</f>
        <v>262.60350000000005</v>
      </c>
      <c r="M1339" s="79">
        <f>Inputs!$Q$8+L1339*0.433</f>
        <v>1938.7073155</v>
      </c>
      <c r="N1339" s="82">
        <f t="shared" si="358"/>
        <v>220399.92</v>
      </c>
      <c r="O1339" s="83">
        <f t="shared" si="359"/>
        <v>675.58749999999998</v>
      </c>
      <c r="P1339" s="84">
        <f>IF(O1339="","",Inputs!$C$5-O1339)</f>
        <v>149.59699999999998</v>
      </c>
      <c r="Q1339" s="83">
        <f>IF(N1339="","",TS!J1339)</f>
        <v>2000</v>
      </c>
      <c r="R1339" s="83">
        <f>IF(N1339="","",TS!K1339)</f>
        <v>1825</v>
      </c>
      <c r="S1339" s="83">
        <f>Inputs!$H$5+TS!P1339*0.4333</f>
        <v>1939.7860965499999</v>
      </c>
      <c r="T1339" s="83">
        <f>Inputs!$G$5+TS!P1339*0.4333</f>
        <v>1954.7860965499999</v>
      </c>
      <c r="U1339" s="85">
        <f t="shared" si="360"/>
        <v>0.97739304827499995</v>
      </c>
      <c r="V1339" s="86">
        <f t="shared" si="364"/>
        <v>0</v>
      </c>
      <c r="W1339" s="86">
        <f t="shared" si="365"/>
        <v>0</v>
      </c>
      <c r="X1339" s="86" t="e">
        <f>((PI()*((42-2*'Gen Calcs'!$E$13)^2)/4)/144)*(A1382-#REF!)*(W1339+14.7)/14.7</f>
        <v>#REF!</v>
      </c>
      <c r="Y1339" s="86" t="e">
        <f t="shared" si="366"/>
        <v>#REF!</v>
      </c>
      <c r="Z1339" s="86" t="e">
        <f t="shared" si="367"/>
        <v>#REF!</v>
      </c>
      <c r="AA1339" s="83">
        <f>MAX(B$2:B1339)-B1339</f>
        <v>262.60350000000005</v>
      </c>
      <c r="AB1339" s="83">
        <f t="shared" si="368"/>
        <v>113.70731550000002</v>
      </c>
      <c r="AC1339" s="83">
        <f t="shared" si="354"/>
        <v>120</v>
      </c>
      <c r="AD1339" s="72">
        <v>120</v>
      </c>
      <c r="AE1339" s="73">
        <f t="shared" si="361"/>
        <v>907.92027688745009</v>
      </c>
      <c r="AF1339" s="73">
        <f>SUM(AE$2:AE1339)</f>
        <v>1129281.0412591868</v>
      </c>
      <c r="AG1339" s="73">
        <f t="shared" si="362"/>
        <v>44448.861167922383</v>
      </c>
    </row>
    <row r="1340" spans="1:33" x14ac:dyDescent="0.25">
      <c r="A1340" s="100">
        <v>220499.92</v>
      </c>
      <c r="B1340" s="97">
        <v>676.87609999999995</v>
      </c>
      <c r="C1340" s="97">
        <v>0.6</v>
      </c>
      <c r="D1340" s="80">
        <f t="shared" si="363"/>
        <v>100</v>
      </c>
      <c r="E1340" s="81">
        <f t="shared" si="355"/>
        <v>6791.2436711181272</v>
      </c>
      <c r="F1340" s="81">
        <f>SUM(E$2:E1340)</f>
        <v>8447997.773788061</v>
      </c>
      <c r="G1340" s="43">
        <f t="shared" si="353"/>
        <v>1</v>
      </c>
      <c r="H1340" s="78">
        <v>1</v>
      </c>
      <c r="I1340" s="15">
        <f t="shared" si="356"/>
        <v>0.6</v>
      </c>
      <c r="J1340" s="16">
        <f>VLOOKUP(G1340,Inputs!$L$3:$P$15,5,FALSE)</f>
        <v>2000</v>
      </c>
      <c r="K1340" s="16">
        <f t="shared" si="357"/>
        <v>1825</v>
      </c>
      <c r="L1340" s="79">
        <f>Inputs!$P$8-B1340</f>
        <v>261.31490000000008</v>
      </c>
      <c r="M1340" s="79">
        <f>Inputs!$Q$8+L1340*0.433</f>
        <v>1938.1493517000001</v>
      </c>
      <c r="N1340" s="82">
        <f t="shared" si="358"/>
        <v>220499.92</v>
      </c>
      <c r="O1340" s="83">
        <f t="shared" si="359"/>
        <v>676.87609999999995</v>
      </c>
      <c r="P1340" s="84">
        <f>IF(O1340="","",Inputs!$C$5-O1340)</f>
        <v>148.30840000000001</v>
      </c>
      <c r="Q1340" s="83">
        <f>IF(N1340="","",TS!J1340)</f>
        <v>2000</v>
      </c>
      <c r="R1340" s="83">
        <f>IF(N1340="","",TS!K1340)</f>
        <v>1825</v>
      </c>
      <c r="S1340" s="83">
        <f>Inputs!$H$5+TS!P1340*0.4333</f>
        <v>1939.22774617</v>
      </c>
      <c r="T1340" s="83">
        <f>Inputs!$G$5+TS!P1340*0.4333</f>
        <v>1954.22774617</v>
      </c>
      <c r="U1340" s="85">
        <f t="shared" si="360"/>
        <v>0.97711387308499997</v>
      </c>
      <c r="V1340" s="86">
        <f t="shared" si="364"/>
        <v>0</v>
      </c>
      <c r="W1340" s="86">
        <f t="shared" si="365"/>
        <v>0</v>
      </c>
      <c r="X1340" s="86" t="e">
        <f>((PI()*((42-2*'Gen Calcs'!$E$13)^2)/4)/144)*(A1383-#REF!)*(W1340+14.7)/14.7</f>
        <v>#REF!</v>
      </c>
      <c r="Y1340" s="86" t="e">
        <f t="shared" si="366"/>
        <v>#REF!</v>
      </c>
      <c r="Z1340" s="86" t="e">
        <f t="shared" si="367"/>
        <v>#REF!</v>
      </c>
      <c r="AA1340" s="83">
        <f>MAX(B$2:B1340)-B1340</f>
        <v>261.31490000000008</v>
      </c>
      <c r="AB1340" s="83">
        <f t="shared" si="368"/>
        <v>113.14935170000004</v>
      </c>
      <c r="AC1340" s="83">
        <f t="shared" si="354"/>
        <v>120</v>
      </c>
      <c r="AD1340" s="72">
        <v>120</v>
      </c>
      <c r="AE1340" s="73">
        <f t="shared" si="361"/>
        <v>907.92027688745009</v>
      </c>
      <c r="AF1340" s="73">
        <f>SUM(AE$2:AE1340)</f>
        <v>1130188.9615360743</v>
      </c>
      <c r="AG1340" s="73">
        <f t="shared" si="362"/>
        <v>43540.940891034901</v>
      </c>
    </row>
    <row r="1341" spans="1:33" x14ac:dyDescent="0.25">
      <c r="A1341" s="99">
        <v>220599.92</v>
      </c>
      <c r="B1341" s="96">
        <v>680.7088</v>
      </c>
      <c r="C1341" s="96">
        <v>0.6</v>
      </c>
      <c r="D1341" s="80">
        <f t="shared" si="363"/>
        <v>100</v>
      </c>
      <c r="E1341" s="81">
        <f t="shared" si="355"/>
        <v>6791.2436711181272</v>
      </c>
      <c r="F1341" s="81">
        <f>SUM(E$2:E1341)</f>
        <v>8454789.0174591783</v>
      </c>
      <c r="G1341" s="43">
        <f t="shared" si="353"/>
        <v>1</v>
      </c>
      <c r="H1341" s="78">
        <v>1</v>
      </c>
      <c r="I1341" s="15">
        <f t="shared" si="356"/>
        <v>0.6</v>
      </c>
      <c r="J1341" s="16">
        <f>VLOOKUP(G1341,Inputs!$L$3:$P$15,5,FALSE)</f>
        <v>2000</v>
      </c>
      <c r="K1341" s="16">
        <f t="shared" si="357"/>
        <v>1825</v>
      </c>
      <c r="L1341" s="79">
        <f>Inputs!$P$8-B1341</f>
        <v>257.48220000000003</v>
      </c>
      <c r="M1341" s="79">
        <f>Inputs!$Q$8+L1341*0.433</f>
        <v>1936.4897926000001</v>
      </c>
      <c r="N1341" s="82">
        <f t="shared" si="358"/>
        <v>220599.92</v>
      </c>
      <c r="O1341" s="83">
        <f t="shared" si="359"/>
        <v>680.7088</v>
      </c>
      <c r="P1341" s="84">
        <f>IF(O1341="","",Inputs!$C$5-O1341)</f>
        <v>144.47569999999996</v>
      </c>
      <c r="Q1341" s="83">
        <f>IF(N1341="","",TS!J1341)</f>
        <v>2000</v>
      </c>
      <c r="R1341" s="83">
        <f>IF(N1341="","",TS!K1341)</f>
        <v>1825</v>
      </c>
      <c r="S1341" s="83">
        <f>Inputs!$H$5+TS!P1341*0.4333</f>
        <v>1937.56703726</v>
      </c>
      <c r="T1341" s="83">
        <f>Inputs!$G$5+TS!P1341*0.4333</f>
        <v>1952.56703726</v>
      </c>
      <c r="U1341" s="85">
        <f t="shared" si="360"/>
        <v>0.97628351862999996</v>
      </c>
      <c r="V1341" s="86">
        <f t="shared" si="364"/>
        <v>0</v>
      </c>
      <c r="W1341" s="86">
        <f t="shared" si="365"/>
        <v>0</v>
      </c>
      <c r="X1341" s="86" t="e">
        <f>((PI()*((42-2*'Gen Calcs'!$E$13)^2)/4)/144)*(A1384-#REF!)*(W1341+14.7)/14.7</f>
        <v>#REF!</v>
      </c>
      <c r="Y1341" s="86" t="e">
        <f t="shared" si="366"/>
        <v>#REF!</v>
      </c>
      <c r="Z1341" s="86" t="e">
        <f t="shared" si="367"/>
        <v>#REF!</v>
      </c>
      <c r="AA1341" s="83">
        <f>MAX(B$2:B1341)-B1341</f>
        <v>257.48220000000003</v>
      </c>
      <c r="AB1341" s="83">
        <f t="shared" si="368"/>
        <v>111.48979260000002</v>
      </c>
      <c r="AC1341" s="83">
        <f t="shared" si="354"/>
        <v>120</v>
      </c>
      <c r="AD1341" s="72">
        <v>120</v>
      </c>
      <c r="AE1341" s="73">
        <f t="shared" si="361"/>
        <v>907.92027688745009</v>
      </c>
      <c r="AF1341" s="73">
        <f>SUM(AE$2:AE1341)</f>
        <v>1131096.8818129618</v>
      </c>
      <c r="AG1341" s="73">
        <f t="shared" si="362"/>
        <v>42633.020614147419</v>
      </c>
    </row>
    <row r="1342" spans="1:33" x14ac:dyDescent="0.25">
      <c r="A1342" s="100">
        <v>220699.92</v>
      </c>
      <c r="B1342" s="97">
        <v>686.22950000000003</v>
      </c>
      <c r="C1342" s="97">
        <v>0.6</v>
      </c>
      <c r="D1342" s="80">
        <f t="shared" si="363"/>
        <v>100</v>
      </c>
      <c r="E1342" s="81">
        <f t="shared" si="355"/>
        <v>6616.6076625842816</v>
      </c>
      <c r="F1342" s="81">
        <f>SUM(E$2:E1342)</f>
        <v>8461405.625121763</v>
      </c>
      <c r="G1342" s="43">
        <f t="shared" si="353"/>
        <v>1</v>
      </c>
      <c r="H1342" s="78">
        <v>1</v>
      </c>
      <c r="I1342" s="15">
        <f t="shared" si="356"/>
        <v>0.6</v>
      </c>
      <c r="J1342" s="16">
        <f>VLOOKUP(G1342,Inputs!$L$3:$P$15,5,FALSE)</f>
        <v>2000</v>
      </c>
      <c r="K1342" s="16">
        <f t="shared" si="357"/>
        <v>1825</v>
      </c>
      <c r="L1342" s="79">
        <f>Inputs!$P$8-B1342</f>
        <v>251.9615</v>
      </c>
      <c r="M1342" s="79">
        <f>Inputs!$Q$8+L1342*0.433</f>
        <v>1934.0993295000001</v>
      </c>
      <c r="N1342" s="82">
        <f t="shared" si="358"/>
        <v>220699.92</v>
      </c>
      <c r="O1342" s="83">
        <f t="shared" si="359"/>
        <v>686.22950000000003</v>
      </c>
      <c r="P1342" s="84">
        <f>IF(O1342="","",Inputs!$C$5-O1342)</f>
        <v>138.95499999999993</v>
      </c>
      <c r="Q1342" s="83">
        <f>IF(N1342="","",TS!J1342)</f>
        <v>2000</v>
      </c>
      <c r="R1342" s="83">
        <f>IF(N1342="","",TS!K1342)</f>
        <v>1825</v>
      </c>
      <c r="S1342" s="83">
        <f>Inputs!$H$5+TS!P1342*0.4333</f>
        <v>1935.17491795</v>
      </c>
      <c r="T1342" s="83">
        <f>Inputs!$G$5+TS!P1342*0.4333</f>
        <v>1950.17491795</v>
      </c>
      <c r="U1342" s="85">
        <f t="shared" si="360"/>
        <v>0.97508745897500004</v>
      </c>
      <c r="V1342" s="86">
        <f t="shared" si="364"/>
        <v>0</v>
      </c>
      <c r="W1342" s="86">
        <f t="shared" si="365"/>
        <v>0</v>
      </c>
      <c r="X1342" s="86" t="e">
        <f>((PI()*((42-2*'Gen Calcs'!$E$13)^2)/4)/144)*(A1385-#REF!)*(W1342+14.7)/14.7</f>
        <v>#REF!</v>
      </c>
      <c r="Y1342" s="86" t="e">
        <f t="shared" si="366"/>
        <v>#REF!</v>
      </c>
      <c r="Z1342" s="86" t="e">
        <f t="shared" si="367"/>
        <v>#REF!</v>
      </c>
      <c r="AA1342" s="83">
        <f>MAX(B$2:B1342)-B1342</f>
        <v>251.9615</v>
      </c>
      <c r="AB1342" s="83">
        <f t="shared" si="368"/>
        <v>109.0993295</v>
      </c>
      <c r="AC1342" s="83">
        <f t="shared" si="354"/>
        <v>120</v>
      </c>
      <c r="AD1342" s="72">
        <v>120</v>
      </c>
      <c r="AE1342" s="73">
        <f t="shared" si="361"/>
        <v>907.92027688745009</v>
      </c>
      <c r="AF1342" s="73">
        <f>SUM(AE$2:AE1342)</f>
        <v>1132004.8020898493</v>
      </c>
      <c r="AG1342" s="73">
        <f t="shared" si="362"/>
        <v>41725.100337259937</v>
      </c>
    </row>
    <row r="1343" spans="1:33" x14ac:dyDescent="0.25">
      <c r="A1343" s="99">
        <v>220799.92</v>
      </c>
      <c r="B1343" s="96">
        <v>692.90800000000002</v>
      </c>
      <c r="C1343" s="96">
        <v>0.6</v>
      </c>
      <c r="D1343" s="80">
        <f t="shared" si="363"/>
        <v>100</v>
      </c>
      <c r="E1343" s="81">
        <f t="shared" si="355"/>
        <v>6791.2436711181272</v>
      </c>
      <c r="F1343" s="81">
        <f>SUM(E$2:E1343)</f>
        <v>8468196.8687928803</v>
      </c>
      <c r="G1343" s="43">
        <f t="shared" si="353"/>
        <v>1</v>
      </c>
      <c r="H1343" s="78">
        <v>1</v>
      </c>
      <c r="I1343" s="15">
        <f t="shared" si="356"/>
        <v>0.6</v>
      </c>
      <c r="J1343" s="16">
        <f>VLOOKUP(G1343,Inputs!$L$3:$P$15,5,FALSE)</f>
        <v>2000</v>
      </c>
      <c r="K1343" s="16">
        <f t="shared" si="357"/>
        <v>1825</v>
      </c>
      <c r="L1343" s="79">
        <f>Inputs!$P$8-B1343</f>
        <v>245.28300000000002</v>
      </c>
      <c r="M1343" s="79">
        <f>Inputs!$Q$8+L1343*0.433</f>
        <v>1931.207539</v>
      </c>
      <c r="N1343" s="82">
        <f t="shared" si="358"/>
        <v>220799.92</v>
      </c>
      <c r="O1343" s="83">
        <f t="shared" si="359"/>
        <v>692.90800000000002</v>
      </c>
      <c r="P1343" s="84">
        <f>IF(O1343="","",Inputs!$C$5-O1343)</f>
        <v>132.27649999999994</v>
      </c>
      <c r="Q1343" s="83">
        <f>IF(N1343="","",TS!J1343)</f>
        <v>2000</v>
      </c>
      <c r="R1343" s="83">
        <f>IF(N1343="","",TS!K1343)</f>
        <v>1825</v>
      </c>
      <c r="S1343" s="83">
        <f>Inputs!$H$5+TS!P1343*0.4333</f>
        <v>1932.2811239</v>
      </c>
      <c r="T1343" s="83">
        <f>Inputs!$G$5+TS!P1343*0.4333</f>
        <v>1947.2811239</v>
      </c>
      <c r="U1343" s="85">
        <f t="shared" si="360"/>
        <v>0.97364056195000004</v>
      </c>
      <c r="V1343" s="86">
        <f t="shared" si="364"/>
        <v>0</v>
      </c>
      <c r="W1343" s="86">
        <f t="shared" si="365"/>
        <v>0</v>
      </c>
      <c r="X1343" s="86" t="e">
        <f>((PI()*((42-2*'Gen Calcs'!$E$13)^2)/4)/144)*(A1386-#REF!)*(W1343+14.7)/14.7</f>
        <v>#REF!</v>
      </c>
      <c r="Y1343" s="86" t="e">
        <f t="shared" si="366"/>
        <v>#REF!</v>
      </c>
      <c r="Z1343" s="86" t="e">
        <f t="shared" si="367"/>
        <v>#REF!</v>
      </c>
      <c r="AA1343" s="83">
        <f>MAX(B$2:B1343)-B1343</f>
        <v>245.28300000000002</v>
      </c>
      <c r="AB1343" s="83">
        <f t="shared" si="368"/>
        <v>106.20753900000001</v>
      </c>
      <c r="AC1343" s="83">
        <f t="shared" si="354"/>
        <v>120</v>
      </c>
      <c r="AD1343" s="72">
        <v>120</v>
      </c>
      <c r="AE1343" s="73">
        <f t="shared" si="361"/>
        <v>907.92027688745009</v>
      </c>
      <c r="AF1343" s="73">
        <f>SUM(AE$2:AE1343)</f>
        <v>1132912.7223667367</v>
      </c>
      <c r="AG1343" s="73">
        <f t="shared" si="362"/>
        <v>40817.180060372455</v>
      </c>
    </row>
    <row r="1344" spans="1:33" x14ac:dyDescent="0.25">
      <c r="A1344" s="100">
        <v>220899.92</v>
      </c>
      <c r="B1344" s="97">
        <v>705.99120000000005</v>
      </c>
      <c r="C1344" s="97">
        <v>0.6</v>
      </c>
      <c r="D1344" s="80">
        <f t="shared" si="363"/>
        <v>100</v>
      </c>
      <c r="E1344" s="81">
        <f t="shared" si="355"/>
        <v>6791.2436711181272</v>
      </c>
      <c r="F1344" s="81">
        <f>SUM(E$2:E1344)</f>
        <v>8474988.1124639977</v>
      </c>
      <c r="G1344" s="43">
        <f t="shared" si="353"/>
        <v>1</v>
      </c>
      <c r="H1344" s="78">
        <v>1</v>
      </c>
      <c r="I1344" s="15">
        <f t="shared" si="356"/>
        <v>0.6</v>
      </c>
      <c r="J1344" s="16">
        <f>VLOOKUP(G1344,Inputs!$L$3:$P$15,5,FALSE)</f>
        <v>2000</v>
      </c>
      <c r="K1344" s="16">
        <f t="shared" si="357"/>
        <v>1825</v>
      </c>
      <c r="L1344" s="79">
        <f>Inputs!$P$8-B1344</f>
        <v>232.19979999999998</v>
      </c>
      <c r="M1344" s="79">
        <f>Inputs!$Q$8+L1344*0.433</f>
        <v>1925.5425134</v>
      </c>
      <c r="N1344" s="82">
        <f t="shared" si="358"/>
        <v>220899.92</v>
      </c>
      <c r="O1344" s="83">
        <f t="shared" si="359"/>
        <v>705.99120000000005</v>
      </c>
      <c r="P1344" s="84">
        <f>IF(O1344="","",Inputs!$C$5-O1344)</f>
        <v>119.19329999999991</v>
      </c>
      <c r="Q1344" s="83">
        <f>IF(N1344="","",TS!J1344)</f>
        <v>2000</v>
      </c>
      <c r="R1344" s="83">
        <f>IF(N1344="","",TS!K1344)</f>
        <v>1825</v>
      </c>
      <c r="S1344" s="83">
        <f>Inputs!$H$5+TS!P1344*0.4333</f>
        <v>1926.6121733399998</v>
      </c>
      <c r="T1344" s="83">
        <f>Inputs!$G$5+TS!P1344*0.4333</f>
        <v>1941.6121733399998</v>
      </c>
      <c r="U1344" s="85">
        <f t="shared" si="360"/>
        <v>0.9708060866699999</v>
      </c>
      <c r="V1344" s="86">
        <f t="shared" si="364"/>
        <v>0</v>
      </c>
      <c r="W1344" s="86">
        <f t="shared" si="365"/>
        <v>0</v>
      </c>
      <c r="X1344" s="86" t="e">
        <f>((PI()*((42-2*'Gen Calcs'!$E$13)^2)/4)/144)*(A1387-#REF!)*(W1344+14.7)/14.7</f>
        <v>#REF!</v>
      </c>
      <c r="Y1344" s="86" t="e">
        <f t="shared" si="366"/>
        <v>#REF!</v>
      </c>
      <c r="Z1344" s="86" t="e">
        <f t="shared" si="367"/>
        <v>#REF!</v>
      </c>
      <c r="AA1344" s="83">
        <f>MAX(B$2:B1344)-B1344</f>
        <v>232.19979999999998</v>
      </c>
      <c r="AB1344" s="83">
        <f t="shared" si="368"/>
        <v>100.54251339999999</v>
      </c>
      <c r="AC1344" s="83">
        <f t="shared" si="354"/>
        <v>120</v>
      </c>
      <c r="AD1344" s="72">
        <v>120</v>
      </c>
      <c r="AE1344" s="73">
        <f t="shared" si="361"/>
        <v>907.92027688745009</v>
      </c>
      <c r="AF1344" s="73">
        <f>SUM(AE$2:AE1344)</f>
        <v>1133820.6426436242</v>
      </c>
      <c r="AG1344" s="73">
        <f t="shared" si="362"/>
        <v>39909.259783484973</v>
      </c>
    </row>
    <row r="1345" spans="1:33" x14ac:dyDescent="0.25">
      <c r="A1345" s="99">
        <v>220999.92</v>
      </c>
      <c r="B1345" s="96">
        <v>715.54870000000005</v>
      </c>
      <c r="C1345" s="96">
        <v>0.6</v>
      </c>
      <c r="D1345" s="80">
        <f t="shared" si="363"/>
        <v>100</v>
      </c>
      <c r="E1345" s="81">
        <f t="shared" si="355"/>
        <v>6791.2436711181272</v>
      </c>
      <c r="F1345" s="81">
        <f>SUM(E$2:E1345)</f>
        <v>8481779.356135115</v>
      </c>
      <c r="G1345" s="43">
        <f t="shared" si="353"/>
        <v>1</v>
      </c>
      <c r="H1345" s="78">
        <v>1</v>
      </c>
      <c r="I1345" s="15">
        <f t="shared" si="356"/>
        <v>0.6</v>
      </c>
      <c r="J1345" s="16">
        <f>VLOOKUP(G1345,Inputs!$L$3:$P$15,5,FALSE)</f>
        <v>2000</v>
      </c>
      <c r="K1345" s="16">
        <f t="shared" si="357"/>
        <v>1825</v>
      </c>
      <c r="L1345" s="79">
        <f>Inputs!$P$8-B1345</f>
        <v>222.64229999999998</v>
      </c>
      <c r="M1345" s="79">
        <f>Inputs!$Q$8+L1345*0.433</f>
        <v>1921.4041159000001</v>
      </c>
      <c r="N1345" s="82">
        <f t="shared" si="358"/>
        <v>220999.92</v>
      </c>
      <c r="O1345" s="83">
        <f t="shared" si="359"/>
        <v>715.54870000000005</v>
      </c>
      <c r="P1345" s="84">
        <f>IF(O1345="","",Inputs!$C$5-O1345)</f>
        <v>109.6357999999999</v>
      </c>
      <c r="Q1345" s="83">
        <f>IF(N1345="","",TS!J1345)</f>
        <v>2000</v>
      </c>
      <c r="R1345" s="83">
        <f>IF(N1345="","",TS!K1345)</f>
        <v>1825</v>
      </c>
      <c r="S1345" s="83">
        <f>Inputs!$H$5+TS!P1345*0.4333</f>
        <v>1922.4709085899999</v>
      </c>
      <c r="T1345" s="83">
        <f>Inputs!$G$5+TS!P1345*0.4333</f>
        <v>1937.4709085899999</v>
      </c>
      <c r="U1345" s="85">
        <f t="shared" si="360"/>
        <v>0.96873545429499996</v>
      </c>
      <c r="V1345" s="86">
        <f t="shared" si="364"/>
        <v>0</v>
      </c>
      <c r="W1345" s="86">
        <f t="shared" si="365"/>
        <v>0</v>
      </c>
      <c r="X1345" s="86" t="e">
        <f>((PI()*((42-2*'Gen Calcs'!$E$13)^2)/4)/144)*(A1388-#REF!)*(W1345+14.7)/14.7</f>
        <v>#REF!</v>
      </c>
      <c r="Y1345" s="86" t="e">
        <f t="shared" si="366"/>
        <v>#REF!</v>
      </c>
      <c r="Z1345" s="86" t="e">
        <f t="shared" si="367"/>
        <v>#REF!</v>
      </c>
      <c r="AA1345" s="83">
        <f>MAX(B$2:B1345)-B1345</f>
        <v>222.64229999999998</v>
      </c>
      <c r="AB1345" s="83">
        <f t="shared" si="368"/>
        <v>96.404115899999994</v>
      </c>
      <c r="AC1345" s="83">
        <f t="shared" si="354"/>
        <v>120</v>
      </c>
      <c r="AD1345" s="72">
        <v>120</v>
      </c>
      <c r="AE1345" s="73">
        <f t="shared" si="361"/>
        <v>907.92027688745009</v>
      </c>
      <c r="AF1345" s="73">
        <f>SUM(AE$2:AE1345)</f>
        <v>1134728.5629205117</v>
      </c>
      <c r="AG1345" s="73">
        <f t="shared" si="362"/>
        <v>39001.339506597491</v>
      </c>
    </row>
    <row r="1346" spans="1:33" x14ac:dyDescent="0.25">
      <c r="A1346" s="100">
        <v>221099.92</v>
      </c>
      <c r="B1346" s="97">
        <v>724.49040000000002</v>
      </c>
      <c r="C1346" s="97">
        <v>0.6</v>
      </c>
      <c r="D1346" s="80">
        <f t="shared" si="363"/>
        <v>100</v>
      </c>
      <c r="E1346" s="81">
        <f t="shared" si="355"/>
        <v>6791.2436711181272</v>
      </c>
      <c r="F1346" s="81">
        <f>SUM(E$2:E1346)</f>
        <v>8488570.5998062324</v>
      </c>
      <c r="G1346" s="43">
        <f t="shared" si="353"/>
        <v>1</v>
      </c>
      <c r="H1346" s="78">
        <v>1</v>
      </c>
      <c r="I1346" s="15">
        <f t="shared" si="356"/>
        <v>0.6</v>
      </c>
      <c r="J1346" s="16">
        <f>VLOOKUP(G1346,Inputs!$L$3:$P$15,5,FALSE)</f>
        <v>2000</v>
      </c>
      <c r="K1346" s="16">
        <f t="shared" si="357"/>
        <v>1825</v>
      </c>
      <c r="L1346" s="79">
        <f>Inputs!$P$8-B1346</f>
        <v>213.70060000000001</v>
      </c>
      <c r="M1346" s="79">
        <f>Inputs!$Q$8+L1346*0.433</f>
        <v>1917.5323598</v>
      </c>
      <c r="N1346" s="82">
        <f t="shared" si="358"/>
        <v>221099.92</v>
      </c>
      <c r="O1346" s="83">
        <f t="shared" si="359"/>
        <v>724.49040000000002</v>
      </c>
      <c r="P1346" s="84">
        <f>IF(O1346="","",Inputs!$C$5-O1346)</f>
        <v>100.69409999999993</v>
      </c>
      <c r="Q1346" s="83">
        <f>IF(N1346="","",TS!J1346)</f>
        <v>2000</v>
      </c>
      <c r="R1346" s="83">
        <f>IF(N1346="","",TS!K1346)</f>
        <v>1825</v>
      </c>
      <c r="S1346" s="83">
        <f>Inputs!$H$5+TS!P1346*0.4333</f>
        <v>1918.5964699799999</v>
      </c>
      <c r="T1346" s="83">
        <f>Inputs!$G$5+TS!P1346*0.4333</f>
        <v>1933.5964699799999</v>
      </c>
      <c r="U1346" s="85">
        <f t="shared" si="360"/>
        <v>0.96679823498999995</v>
      </c>
      <c r="V1346" s="86">
        <f t="shared" si="364"/>
        <v>0</v>
      </c>
      <c r="W1346" s="86">
        <f t="shared" si="365"/>
        <v>0</v>
      </c>
      <c r="X1346" s="86" t="e">
        <f>((PI()*((42-2*'Gen Calcs'!$E$13)^2)/4)/144)*(A1389-#REF!)*(W1346+14.7)/14.7</f>
        <v>#REF!</v>
      </c>
      <c r="Y1346" s="86" t="e">
        <f t="shared" si="366"/>
        <v>#REF!</v>
      </c>
      <c r="Z1346" s="86" t="e">
        <f t="shared" si="367"/>
        <v>#REF!</v>
      </c>
      <c r="AA1346" s="83">
        <f>MAX(B$2:B1346)-B1346</f>
        <v>213.70060000000001</v>
      </c>
      <c r="AB1346" s="83">
        <f t="shared" si="368"/>
        <v>92.532359800000009</v>
      </c>
      <c r="AC1346" s="83">
        <f t="shared" si="354"/>
        <v>120</v>
      </c>
      <c r="AD1346" s="72">
        <v>120</v>
      </c>
      <c r="AE1346" s="73">
        <f t="shared" si="361"/>
        <v>907.92027688745009</v>
      </c>
      <c r="AF1346" s="73">
        <f>SUM(AE$2:AE1346)</f>
        <v>1135636.4831973992</v>
      </c>
      <c r="AG1346" s="73">
        <f t="shared" si="362"/>
        <v>38093.419229710009</v>
      </c>
    </row>
    <row r="1347" spans="1:33" x14ac:dyDescent="0.25">
      <c r="A1347" s="99">
        <v>221199.92</v>
      </c>
      <c r="B1347" s="96">
        <v>729.29100000000005</v>
      </c>
      <c r="C1347" s="96">
        <v>0.6</v>
      </c>
      <c r="D1347" s="80">
        <f t="shared" si="363"/>
        <v>100</v>
      </c>
      <c r="E1347" s="81">
        <f t="shared" si="355"/>
        <v>6791.2436711181272</v>
      </c>
      <c r="F1347" s="81">
        <f>SUM(E$2:E1347)</f>
        <v>8495361.8434773497</v>
      </c>
      <c r="G1347" s="43">
        <f t="shared" ref="G1347:G1391" si="369">IF(C1347=0.72,12,IF(C1347=1,11,IF(C1347=0.825,10,IF(C1347=0.6,1,IF(C1347=0.864,2,IF(C1347=0.888,3))))))</f>
        <v>1</v>
      </c>
      <c r="H1347" s="78">
        <v>1</v>
      </c>
      <c r="I1347" s="15">
        <f t="shared" si="356"/>
        <v>0.6</v>
      </c>
      <c r="J1347" s="16">
        <f>VLOOKUP(G1347,Inputs!$L$3:$P$15,5,FALSE)</f>
        <v>2000</v>
      </c>
      <c r="K1347" s="16">
        <f t="shared" si="357"/>
        <v>1825</v>
      </c>
      <c r="L1347" s="79">
        <f>Inputs!$P$8-B1347</f>
        <v>208.89999999999998</v>
      </c>
      <c r="M1347" s="79">
        <f>Inputs!$Q$8+L1347*0.433</f>
        <v>1915.4537</v>
      </c>
      <c r="N1347" s="82">
        <f t="shared" si="358"/>
        <v>221199.92</v>
      </c>
      <c r="O1347" s="83">
        <f t="shared" si="359"/>
        <v>729.29100000000005</v>
      </c>
      <c r="P1347" s="84">
        <f>IF(O1347="","",Inputs!$C$5-O1347)</f>
        <v>95.893499999999904</v>
      </c>
      <c r="Q1347" s="83">
        <f>IF(N1347="","",TS!J1347)</f>
        <v>2000</v>
      </c>
      <c r="R1347" s="83">
        <f>IF(N1347="","",TS!K1347)</f>
        <v>1825</v>
      </c>
      <c r="S1347" s="83">
        <f>Inputs!$H$5+TS!P1347*0.4333</f>
        <v>1916.5163699999998</v>
      </c>
      <c r="T1347" s="83">
        <f>Inputs!$G$5+TS!P1347*0.4333</f>
        <v>1931.5163699999998</v>
      </c>
      <c r="U1347" s="85">
        <f t="shared" si="360"/>
        <v>0.96575818499999988</v>
      </c>
      <c r="V1347" s="86">
        <f t="shared" si="364"/>
        <v>0</v>
      </c>
      <c r="W1347" s="86">
        <f t="shared" si="365"/>
        <v>0</v>
      </c>
      <c r="X1347" s="86" t="e">
        <f>((PI()*((42-2*'Gen Calcs'!$E$13)^2)/4)/144)*(A1390-#REF!)*(W1347+14.7)/14.7</f>
        <v>#REF!</v>
      </c>
      <c r="Y1347" s="86" t="e">
        <f t="shared" si="366"/>
        <v>#REF!</v>
      </c>
      <c r="Z1347" s="86" t="e">
        <f t="shared" si="367"/>
        <v>#REF!</v>
      </c>
      <c r="AA1347" s="83">
        <f>MAX(B$2:B1347)-B1347</f>
        <v>208.89999999999998</v>
      </c>
      <c r="AB1347" s="83">
        <f t="shared" si="368"/>
        <v>90.453699999999984</v>
      </c>
      <c r="AC1347" s="83">
        <f t="shared" ref="AC1347:AC1391" si="370">((MAX(O$2:O$1348)-O1347)-(MAX(O$2:O$1348)-O1347))*0.433+AD1347</f>
        <v>120</v>
      </c>
      <c r="AD1347" s="72">
        <v>120</v>
      </c>
      <c r="AE1347" s="73">
        <f t="shared" si="361"/>
        <v>907.92027688745009</v>
      </c>
      <c r="AF1347" s="73">
        <f>SUM(AE$2:AE1347)</f>
        <v>1136544.4034742867</v>
      </c>
      <c r="AG1347" s="73">
        <f t="shared" si="362"/>
        <v>37185.498952822527</v>
      </c>
    </row>
    <row r="1348" spans="1:33" x14ac:dyDescent="0.25">
      <c r="A1348" s="100">
        <v>221299.92</v>
      </c>
      <c r="B1348" s="97">
        <v>728.21420000000001</v>
      </c>
      <c r="C1348" s="97">
        <v>0.6</v>
      </c>
      <c r="D1348" s="80">
        <f t="shared" si="363"/>
        <v>100</v>
      </c>
      <c r="E1348" s="81">
        <f t="shared" si="355"/>
        <v>6791.2436711181272</v>
      </c>
      <c r="F1348" s="81">
        <f>SUM(E$2:E1348)</f>
        <v>8502153.0871484671</v>
      </c>
      <c r="G1348" s="43">
        <f t="shared" si="369"/>
        <v>1</v>
      </c>
      <c r="H1348" s="78">
        <v>1</v>
      </c>
      <c r="I1348" s="15">
        <f t="shared" si="356"/>
        <v>0.6</v>
      </c>
      <c r="J1348" s="16">
        <f>VLOOKUP(G1348,Inputs!$L$3:$P$15,5,FALSE)</f>
        <v>2000</v>
      </c>
      <c r="K1348" s="16">
        <f t="shared" si="357"/>
        <v>1825</v>
      </c>
      <c r="L1348" s="79">
        <f>Inputs!$P$8-B1348</f>
        <v>209.97680000000003</v>
      </c>
      <c r="M1348" s="79">
        <f>Inputs!$Q$8+L1348*0.433</f>
        <v>1915.9199544000001</v>
      </c>
      <c r="N1348" s="82">
        <f t="shared" si="358"/>
        <v>221299.92</v>
      </c>
      <c r="O1348" s="83">
        <f t="shared" si="359"/>
        <v>728.21420000000001</v>
      </c>
      <c r="P1348" s="84">
        <f>IF(O1348="","",Inputs!$C$5-O1348)</f>
        <v>96.970299999999952</v>
      </c>
      <c r="Q1348" s="83">
        <f>IF(N1348="","",TS!J1348)</f>
        <v>2000</v>
      </c>
      <c r="R1348" s="83">
        <f>IF(N1348="","",TS!K1348)</f>
        <v>1825</v>
      </c>
      <c r="S1348" s="83">
        <f>Inputs!$H$5+TS!P1348*0.4333</f>
        <v>1916.9829474399999</v>
      </c>
      <c r="T1348" s="83">
        <f>Inputs!$G$5+TS!P1348*0.4333</f>
        <v>1931.9829474399999</v>
      </c>
      <c r="U1348" s="85">
        <f t="shared" si="360"/>
        <v>0.96599147371999994</v>
      </c>
      <c r="V1348" s="86">
        <f t="shared" si="364"/>
        <v>0</v>
      </c>
      <c r="W1348" s="86">
        <f t="shared" si="365"/>
        <v>0</v>
      </c>
      <c r="X1348" s="86" t="e">
        <f>((PI()*((42-2*'Gen Calcs'!$E$13)^2)/4)/144)*(A1391-#REF!)*(W1348+14.7)/14.7</f>
        <v>#REF!</v>
      </c>
      <c r="Y1348" s="86" t="e">
        <f t="shared" si="366"/>
        <v>#REF!</v>
      </c>
      <c r="Z1348" s="86" t="e">
        <f t="shared" si="367"/>
        <v>#REF!</v>
      </c>
      <c r="AA1348" s="83">
        <f>MAX(B$2:B1348)-B1348</f>
        <v>209.97680000000003</v>
      </c>
      <c r="AB1348" s="83">
        <f t="shared" si="368"/>
        <v>90.919954400000009</v>
      </c>
      <c r="AC1348" s="83">
        <f t="shared" si="370"/>
        <v>120</v>
      </c>
      <c r="AD1348" s="72">
        <v>120</v>
      </c>
      <c r="AE1348" s="73">
        <f t="shared" si="361"/>
        <v>907.92027688745009</v>
      </c>
      <c r="AF1348" s="73">
        <f>SUM(AE$2:AE1348)</f>
        <v>1137452.3237511741</v>
      </c>
      <c r="AG1348" s="73">
        <f t="shared" si="362"/>
        <v>36277.578675935045</v>
      </c>
    </row>
    <row r="1349" spans="1:33" x14ac:dyDescent="0.25">
      <c r="A1349" s="99">
        <v>221399.92</v>
      </c>
      <c r="B1349" s="96">
        <v>727.36260000000004</v>
      </c>
      <c r="C1349" s="96">
        <v>0.6</v>
      </c>
      <c r="D1349" s="80">
        <f t="shared" si="363"/>
        <v>100</v>
      </c>
      <c r="E1349" s="81">
        <f t="shared" ref="E1349:E1391" si="371">(PI()/4*(42/12-(2*C1391/12))^2)*(D1349)*7.48</f>
        <v>6791.2436711181272</v>
      </c>
      <c r="F1349" s="81">
        <f>SUM(E$2:E1349)</f>
        <v>8508944.3308195844</v>
      </c>
      <c r="G1349" s="43">
        <f t="shared" si="369"/>
        <v>1</v>
      </c>
      <c r="H1349" s="78">
        <v>1</v>
      </c>
      <c r="I1349" s="15">
        <f t="shared" ref="I1349:I1391" si="372">C1349</f>
        <v>0.6</v>
      </c>
      <c r="J1349" s="16">
        <f>VLOOKUP(G1349,Inputs!$L$3:$P$15,5,FALSE)</f>
        <v>2000</v>
      </c>
      <c r="K1349" s="16">
        <f t="shared" ref="K1349:K1391" si="373">IF(H1349=1,1825,IF(H1349=2,1825,2220))</f>
        <v>1825</v>
      </c>
      <c r="L1349" s="79">
        <f>Inputs!$P$8-B1349</f>
        <v>210.82839999999999</v>
      </c>
      <c r="M1349" s="79">
        <f>Inputs!$Q$8+L1349*0.433</f>
        <v>1916.2886971999999</v>
      </c>
      <c r="N1349" s="82">
        <f t="shared" ref="N1349:N1391" si="374">A1349</f>
        <v>221399.92</v>
      </c>
      <c r="O1349" s="83">
        <f t="shared" ref="O1349:O1391" si="375">B1349</f>
        <v>727.36260000000004</v>
      </c>
      <c r="P1349" s="84">
        <f>IF(O1349="","",Inputs!$C$5-O1349)</f>
        <v>97.821899999999914</v>
      </c>
      <c r="Q1349" s="83">
        <f>IF(N1349="","",TS!J1349)</f>
        <v>2000</v>
      </c>
      <c r="R1349" s="83">
        <f>IF(N1349="","",TS!K1349)</f>
        <v>1825</v>
      </c>
      <c r="S1349" s="83">
        <f>Inputs!$H$5+TS!P1349*0.4333</f>
        <v>1917.35194572</v>
      </c>
      <c r="T1349" s="83">
        <f>Inputs!$G$5+TS!P1349*0.4333</f>
        <v>1932.35194572</v>
      </c>
      <c r="U1349" s="85">
        <f t="shared" ref="U1349:U1391" si="376">T1349/(140000*C1349/42)</f>
        <v>0.96617597286000001</v>
      </c>
      <c r="V1349" s="86">
        <f t="shared" ref="V1349:V1391" si="377">O1349-MAX(O1349:O1349)</f>
        <v>0</v>
      </c>
      <c r="W1349" s="86">
        <f t="shared" ref="W1349:W1391" si="378">-(V1349)*0.433</f>
        <v>0</v>
      </c>
      <c r="X1349" s="86" t="e">
        <f>((PI()*((42-2*'Gen Calcs'!$E$13)^2)/4)/144)*(A1392-#REF!)*(W1349+14.7)/14.7</f>
        <v>#REF!</v>
      </c>
      <c r="Y1349" s="86" t="e">
        <f t="shared" ref="Y1349:Y1391" si="379">X1349/1000</f>
        <v>#REF!</v>
      </c>
      <c r="Z1349" s="86" t="e">
        <f t="shared" ref="Z1349:Z1391" si="380">IF(Y1349&gt;Z1348,Y1349,Z1348)</f>
        <v>#REF!</v>
      </c>
      <c r="AA1349" s="83">
        <f>MAX(B$2:B1349)-B1349</f>
        <v>210.82839999999999</v>
      </c>
      <c r="AB1349" s="83">
        <f t="shared" ref="AB1349:AB1391" si="381">AA1349*0.433</f>
        <v>91.288697199999987</v>
      </c>
      <c r="AC1349" s="83">
        <f t="shared" si="370"/>
        <v>120</v>
      </c>
      <c r="AD1349" s="72">
        <v>120</v>
      </c>
      <c r="AE1349" s="73">
        <f t="shared" ref="AE1349:AE1391" si="382">PI()*(((42-2*C1349)/12)^2/4)*D1349</f>
        <v>907.92027688745009</v>
      </c>
      <c r="AF1349" s="73">
        <f>SUM(AE$2:AE1349)</f>
        <v>1138360.2440280616</v>
      </c>
      <c r="AG1349" s="73">
        <f t="shared" ref="AG1349:AG1391" si="383">AF$1391-AF1349</f>
        <v>35369.658399047563</v>
      </c>
    </row>
    <row r="1350" spans="1:33" x14ac:dyDescent="0.25">
      <c r="A1350" s="100">
        <v>221499.92</v>
      </c>
      <c r="B1350" s="97">
        <v>729.36030000000005</v>
      </c>
      <c r="C1350" s="97">
        <v>0.6</v>
      </c>
      <c r="D1350" s="80">
        <f t="shared" si="363"/>
        <v>100</v>
      </c>
      <c r="E1350" s="81">
        <f t="shared" si="371"/>
        <v>7196.6033712108183</v>
      </c>
      <c r="F1350" s="81">
        <f>SUM(E$2:E1350)</f>
        <v>8516140.9341907948</v>
      </c>
      <c r="G1350" s="43">
        <f t="shared" si="369"/>
        <v>1</v>
      </c>
      <c r="H1350" s="78">
        <v>1</v>
      </c>
      <c r="I1350" s="15">
        <f t="shared" si="372"/>
        <v>0.6</v>
      </c>
      <c r="J1350" s="16">
        <f>VLOOKUP(G1350,Inputs!$L$3:$P$15,5,FALSE)</f>
        <v>2000</v>
      </c>
      <c r="K1350" s="16">
        <f t="shared" si="373"/>
        <v>1825</v>
      </c>
      <c r="L1350" s="79">
        <f>Inputs!$P$8-B1350</f>
        <v>208.83069999999998</v>
      </c>
      <c r="M1350" s="79">
        <f>Inputs!$Q$8+L1350*0.433</f>
        <v>1915.4236931</v>
      </c>
      <c r="N1350" s="82">
        <f t="shared" si="374"/>
        <v>221499.92</v>
      </c>
      <c r="O1350" s="83">
        <f t="shared" si="375"/>
        <v>729.36030000000005</v>
      </c>
      <c r="P1350" s="84">
        <f>IF(O1350="","",Inputs!$C$5-O1350)</f>
        <v>95.824199999999905</v>
      </c>
      <c r="Q1350" s="83">
        <f>IF(N1350="","",TS!J1350)</f>
        <v>2000</v>
      </c>
      <c r="R1350" s="83">
        <f>IF(N1350="","",TS!K1350)</f>
        <v>1825</v>
      </c>
      <c r="S1350" s="83">
        <f>Inputs!$H$5+TS!P1350*0.4333</f>
        <v>1916.4863423099998</v>
      </c>
      <c r="T1350" s="83">
        <f>Inputs!$G$5+TS!P1350*0.4333</f>
        <v>1931.4863423099998</v>
      </c>
      <c r="U1350" s="85">
        <f t="shared" si="376"/>
        <v>0.96574317115499997</v>
      </c>
      <c r="V1350" s="86">
        <f t="shared" si="377"/>
        <v>0</v>
      </c>
      <c r="W1350" s="86">
        <f t="shared" si="378"/>
        <v>0</v>
      </c>
      <c r="X1350" s="86" t="e">
        <f>((PI()*((42-2*'Gen Calcs'!$E$13)^2)/4)/144)*(A1393-#REF!)*(W1350+14.7)/14.7</f>
        <v>#REF!</v>
      </c>
      <c r="Y1350" s="86" t="e">
        <f t="shared" si="379"/>
        <v>#REF!</v>
      </c>
      <c r="Z1350" s="86" t="e">
        <f t="shared" si="380"/>
        <v>#REF!</v>
      </c>
      <c r="AA1350" s="83">
        <f>MAX(B$2:B1350)-B1350</f>
        <v>208.83069999999998</v>
      </c>
      <c r="AB1350" s="83">
        <f t="shared" si="381"/>
        <v>90.423693099999994</v>
      </c>
      <c r="AC1350" s="83">
        <f t="shared" si="370"/>
        <v>120</v>
      </c>
      <c r="AD1350" s="72">
        <v>120</v>
      </c>
      <c r="AE1350" s="73">
        <f t="shared" si="382"/>
        <v>907.92027688745009</v>
      </c>
      <c r="AF1350" s="73">
        <f>SUM(AE$2:AE1350)</f>
        <v>1139268.1643049491</v>
      </c>
      <c r="AG1350" s="73">
        <f t="shared" si="383"/>
        <v>34461.738122160081</v>
      </c>
    </row>
    <row r="1351" spans="1:33" x14ac:dyDescent="0.25">
      <c r="A1351" s="99">
        <v>221599.92</v>
      </c>
      <c r="B1351" s="96">
        <v>733.16790000000003</v>
      </c>
      <c r="C1351" s="96">
        <v>0.6</v>
      </c>
      <c r="D1351" s="80">
        <f t="shared" ref="D1351:D1391" si="384">A1351-A1350</f>
        <v>100</v>
      </c>
      <c r="E1351" s="81">
        <f t="shared" si="371"/>
        <v>7196.6033712108183</v>
      </c>
      <c r="F1351" s="81">
        <f>SUM(E$2:E1351)</f>
        <v>8523337.5375620052</v>
      </c>
      <c r="G1351" s="43">
        <f t="shared" si="369"/>
        <v>1</v>
      </c>
      <c r="H1351" s="78">
        <v>1</v>
      </c>
      <c r="I1351" s="15">
        <f t="shared" si="372"/>
        <v>0.6</v>
      </c>
      <c r="J1351" s="16">
        <f>VLOOKUP(G1351,Inputs!$L$3:$P$15,5,FALSE)</f>
        <v>2000</v>
      </c>
      <c r="K1351" s="16">
        <f t="shared" si="373"/>
        <v>1825</v>
      </c>
      <c r="L1351" s="79">
        <f>Inputs!$P$8-B1351</f>
        <v>205.0231</v>
      </c>
      <c r="M1351" s="79">
        <f>Inputs!$Q$8+L1351*0.433</f>
        <v>1913.7750023000001</v>
      </c>
      <c r="N1351" s="82">
        <f t="shared" si="374"/>
        <v>221599.92</v>
      </c>
      <c r="O1351" s="83">
        <f t="shared" si="375"/>
        <v>733.16790000000003</v>
      </c>
      <c r="P1351" s="84">
        <f>IF(O1351="","",Inputs!$C$5-O1351)</f>
        <v>92.016599999999926</v>
      </c>
      <c r="Q1351" s="83">
        <f>IF(N1351="","",TS!J1351)</f>
        <v>2000</v>
      </c>
      <c r="R1351" s="83">
        <f>IF(N1351="","",TS!K1351)</f>
        <v>1825</v>
      </c>
      <c r="S1351" s="83">
        <f>Inputs!$H$5+TS!P1351*0.4333</f>
        <v>1914.8365092299998</v>
      </c>
      <c r="T1351" s="83">
        <f>Inputs!$G$5+TS!P1351*0.4333</f>
        <v>1929.8365092299998</v>
      </c>
      <c r="U1351" s="85">
        <f t="shared" si="376"/>
        <v>0.96491825461499992</v>
      </c>
      <c r="V1351" s="86">
        <f t="shared" si="377"/>
        <v>0</v>
      </c>
      <c r="W1351" s="86">
        <f t="shared" si="378"/>
        <v>0</v>
      </c>
      <c r="X1351" s="86" t="e">
        <f>((PI()*((42-2*'Gen Calcs'!$E$13)^2)/4)/144)*(A1394-#REF!)*(W1351+14.7)/14.7</f>
        <v>#REF!</v>
      </c>
      <c r="Y1351" s="86" t="e">
        <f t="shared" si="379"/>
        <v>#REF!</v>
      </c>
      <c r="Z1351" s="86" t="e">
        <f t="shared" si="380"/>
        <v>#REF!</v>
      </c>
      <c r="AA1351" s="83">
        <f>MAX(B$2:B1351)-B1351</f>
        <v>205.0231</v>
      </c>
      <c r="AB1351" s="83">
        <f t="shared" si="381"/>
        <v>88.775002299999997</v>
      </c>
      <c r="AC1351" s="83">
        <f t="shared" si="370"/>
        <v>120</v>
      </c>
      <c r="AD1351" s="72">
        <v>120</v>
      </c>
      <c r="AE1351" s="73">
        <f t="shared" si="382"/>
        <v>907.92027688745009</v>
      </c>
      <c r="AF1351" s="73">
        <f>SUM(AE$2:AE1351)</f>
        <v>1140176.0845818366</v>
      </c>
      <c r="AG1351" s="73">
        <f t="shared" si="383"/>
        <v>33553.817845272599</v>
      </c>
    </row>
    <row r="1352" spans="1:33" x14ac:dyDescent="0.25">
      <c r="A1352" s="100">
        <v>221699.92</v>
      </c>
      <c r="B1352" s="97">
        <v>736.28269999999998</v>
      </c>
      <c r="C1352" s="97">
        <v>0.6</v>
      </c>
      <c r="D1352" s="80">
        <f t="shared" si="384"/>
        <v>100</v>
      </c>
      <c r="E1352" s="81">
        <f t="shared" si="371"/>
        <v>7196.6033712108183</v>
      </c>
      <c r="F1352" s="81">
        <f>SUM(E$2:E1352)</f>
        <v>8530534.1409332156</v>
      </c>
      <c r="G1352" s="43">
        <f t="shared" si="369"/>
        <v>1</v>
      </c>
      <c r="H1352" s="78">
        <v>1</v>
      </c>
      <c r="I1352" s="15">
        <f t="shared" si="372"/>
        <v>0.6</v>
      </c>
      <c r="J1352" s="16">
        <f>VLOOKUP(G1352,Inputs!$L$3:$P$15,5,FALSE)</f>
        <v>2000</v>
      </c>
      <c r="K1352" s="16">
        <f t="shared" si="373"/>
        <v>1825</v>
      </c>
      <c r="L1352" s="79">
        <f>Inputs!$P$8-B1352</f>
        <v>201.90830000000005</v>
      </c>
      <c r="M1352" s="79">
        <f>Inputs!$Q$8+L1352*0.433</f>
        <v>1912.4262939</v>
      </c>
      <c r="N1352" s="82">
        <f t="shared" si="374"/>
        <v>221699.92</v>
      </c>
      <c r="O1352" s="83">
        <f t="shared" si="375"/>
        <v>736.28269999999998</v>
      </c>
      <c r="P1352" s="84">
        <f>IF(O1352="","",Inputs!$C$5-O1352)</f>
        <v>88.90179999999998</v>
      </c>
      <c r="Q1352" s="83">
        <f>IF(N1352="","",TS!J1352)</f>
        <v>2000</v>
      </c>
      <c r="R1352" s="83">
        <f>IF(N1352="","",TS!K1352)</f>
        <v>1825</v>
      </c>
      <c r="S1352" s="83">
        <f>Inputs!$H$5+TS!P1352*0.4333</f>
        <v>1913.4868663899999</v>
      </c>
      <c r="T1352" s="83">
        <f>Inputs!$G$5+TS!P1352*0.4333</f>
        <v>1928.4868663899999</v>
      </c>
      <c r="U1352" s="85">
        <f t="shared" si="376"/>
        <v>0.96424343319499994</v>
      </c>
      <c r="V1352" s="86">
        <f t="shared" si="377"/>
        <v>0</v>
      </c>
      <c r="W1352" s="86">
        <f t="shared" si="378"/>
        <v>0</v>
      </c>
      <c r="X1352" s="86" t="e">
        <f>((PI()*((42-2*'Gen Calcs'!$E$13)^2)/4)/144)*(A1395-#REF!)*(W1352+14.7)/14.7</f>
        <v>#REF!</v>
      </c>
      <c r="Y1352" s="86" t="e">
        <f t="shared" si="379"/>
        <v>#REF!</v>
      </c>
      <c r="Z1352" s="86" t="e">
        <f t="shared" si="380"/>
        <v>#REF!</v>
      </c>
      <c r="AA1352" s="83">
        <f>MAX(B$2:B1352)-B1352</f>
        <v>201.90830000000005</v>
      </c>
      <c r="AB1352" s="83">
        <f t="shared" si="381"/>
        <v>87.426293900000019</v>
      </c>
      <c r="AC1352" s="83">
        <f t="shared" si="370"/>
        <v>120</v>
      </c>
      <c r="AD1352" s="72">
        <v>120</v>
      </c>
      <c r="AE1352" s="73">
        <f t="shared" si="382"/>
        <v>907.92027688745009</v>
      </c>
      <c r="AF1352" s="73">
        <f>SUM(AE$2:AE1352)</f>
        <v>1141084.0048587241</v>
      </c>
      <c r="AG1352" s="73">
        <f t="shared" si="383"/>
        <v>32645.897568385117</v>
      </c>
    </row>
    <row r="1353" spans="1:33" x14ac:dyDescent="0.25">
      <c r="A1353" s="99">
        <v>221799.92</v>
      </c>
      <c r="B1353" s="96">
        <v>737.55880000000002</v>
      </c>
      <c r="C1353" s="96">
        <v>0.6</v>
      </c>
      <c r="D1353" s="80">
        <f t="shared" si="384"/>
        <v>100</v>
      </c>
      <c r="E1353" s="81">
        <f t="shared" si="371"/>
        <v>7196.6033712108183</v>
      </c>
      <c r="F1353" s="81">
        <f>SUM(E$2:E1353)</f>
        <v>8537730.744304426</v>
      </c>
      <c r="G1353" s="43">
        <f t="shared" si="369"/>
        <v>1</v>
      </c>
      <c r="H1353" s="78">
        <v>1</v>
      </c>
      <c r="I1353" s="15">
        <f t="shared" si="372"/>
        <v>0.6</v>
      </c>
      <c r="J1353" s="16">
        <f>VLOOKUP(G1353,Inputs!$L$3:$P$15,5,FALSE)</f>
        <v>2000</v>
      </c>
      <c r="K1353" s="16">
        <f t="shared" si="373"/>
        <v>1825</v>
      </c>
      <c r="L1353" s="79">
        <f>Inputs!$P$8-B1353</f>
        <v>200.63220000000001</v>
      </c>
      <c r="M1353" s="79">
        <f>Inputs!$Q$8+L1353*0.433</f>
        <v>1911.8737426</v>
      </c>
      <c r="N1353" s="82">
        <f t="shared" si="374"/>
        <v>221799.92</v>
      </c>
      <c r="O1353" s="83">
        <f t="shared" si="375"/>
        <v>737.55880000000002</v>
      </c>
      <c r="P1353" s="84">
        <f>IF(O1353="","",Inputs!$C$5-O1353)</f>
        <v>87.625699999999938</v>
      </c>
      <c r="Q1353" s="83">
        <f>IF(N1353="","",TS!J1353)</f>
        <v>2000</v>
      </c>
      <c r="R1353" s="83">
        <f>IF(N1353="","",TS!K1353)</f>
        <v>1825</v>
      </c>
      <c r="S1353" s="83">
        <f>Inputs!$H$5+TS!P1353*0.4333</f>
        <v>1912.9339322599999</v>
      </c>
      <c r="T1353" s="83">
        <f>Inputs!$G$5+TS!P1353*0.4333</f>
        <v>1927.9339322599999</v>
      </c>
      <c r="U1353" s="85">
        <f t="shared" si="376"/>
        <v>0.96396696612999999</v>
      </c>
      <c r="V1353" s="86">
        <f t="shared" si="377"/>
        <v>0</v>
      </c>
      <c r="W1353" s="86">
        <f t="shared" si="378"/>
        <v>0</v>
      </c>
      <c r="X1353" s="86" t="e">
        <f>((PI()*((42-2*'Gen Calcs'!$E$13)^2)/4)/144)*(A1396-#REF!)*(W1353+14.7)/14.7</f>
        <v>#REF!</v>
      </c>
      <c r="Y1353" s="86" t="e">
        <f t="shared" si="379"/>
        <v>#REF!</v>
      </c>
      <c r="Z1353" s="86" t="e">
        <f t="shared" si="380"/>
        <v>#REF!</v>
      </c>
      <c r="AA1353" s="83">
        <f>MAX(B$2:B1353)-B1353</f>
        <v>200.63220000000001</v>
      </c>
      <c r="AB1353" s="83">
        <f t="shared" si="381"/>
        <v>86.8737426</v>
      </c>
      <c r="AC1353" s="83">
        <f t="shared" si="370"/>
        <v>120</v>
      </c>
      <c r="AD1353" s="72">
        <v>120</v>
      </c>
      <c r="AE1353" s="73">
        <f t="shared" si="382"/>
        <v>907.92027688745009</v>
      </c>
      <c r="AF1353" s="73">
        <f>SUM(AE$2:AE1353)</f>
        <v>1141991.9251356116</v>
      </c>
      <c r="AG1353" s="73">
        <f t="shared" si="383"/>
        <v>31737.977291497635</v>
      </c>
    </row>
    <row r="1354" spans="1:33" x14ac:dyDescent="0.25">
      <c r="A1354" s="100">
        <v>221899.92</v>
      </c>
      <c r="B1354" s="97">
        <v>735.63430000000005</v>
      </c>
      <c r="C1354" s="97">
        <v>0.6</v>
      </c>
      <c r="D1354" s="80">
        <f t="shared" si="384"/>
        <v>100</v>
      </c>
      <c r="E1354" s="81">
        <f t="shared" si="371"/>
        <v>7196.6033712108183</v>
      </c>
      <c r="F1354" s="81">
        <f>SUM(E$2:E1354)</f>
        <v>8544927.3476756364</v>
      </c>
      <c r="G1354" s="43">
        <f t="shared" si="369"/>
        <v>1</v>
      </c>
      <c r="H1354" s="78">
        <v>1</v>
      </c>
      <c r="I1354" s="15">
        <f t="shared" si="372"/>
        <v>0.6</v>
      </c>
      <c r="J1354" s="16">
        <f>VLOOKUP(G1354,Inputs!$L$3:$P$15,5,FALSE)</f>
        <v>2000</v>
      </c>
      <c r="K1354" s="16">
        <f t="shared" si="373"/>
        <v>1825</v>
      </c>
      <c r="L1354" s="79">
        <f>Inputs!$P$8-B1354</f>
        <v>202.55669999999998</v>
      </c>
      <c r="M1354" s="79">
        <f>Inputs!$Q$8+L1354*0.433</f>
        <v>1912.7070510999999</v>
      </c>
      <c r="N1354" s="82">
        <f t="shared" si="374"/>
        <v>221899.92</v>
      </c>
      <c r="O1354" s="83">
        <f t="shared" si="375"/>
        <v>735.63430000000005</v>
      </c>
      <c r="P1354" s="84">
        <f>IF(O1354="","",Inputs!$C$5-O1354)</f>
        <v>89.550199999999904</v>
      </c>
      <c r="Q1354" s="83">
        <f>IF(N1354="","",TS!J1354)</f>
        <v>2000</v>
      </c>
      <c r="R1354" s="83">
        <f>IF(N1354="","",TS!K1354)</f>
        <v>1825</v>
      </c>
      <c r="S1354" s="83">
        <f>Inputs!$H$5+TS!P1354*0.4333</f>
        <v>1913.76781811</v>
      </c>
      <c r="T1354" s="83">
        <f>Inputs!$G$5+TS!P1354*0.4333</f>
        <v>1928.76781811</v>
      </c>
      <c r="U1354" s="85">
        <f t="shared" si="376"/>
        <v>0.96438390905500004</v>
      </c>
      <c r="V1354" s="86">
        <f t="shared" si="377"/>
        <v>0</v>
      </c>
      <c r="W1354" s="86">
        <f t="shared" si="378"/>
        <v>0</v>
      </c>
      <c r="X1354" s="86" t="e">
        <f>((PI()*((42-2*'Gen Calcs'!$E$13)^2)/4)/144)*(A1397-#REF!)*(W1354+14.7)/14.7</f>
        <v>#REF!</v>
      </c>
      <c r="Y1354" s="86" t="e">
        <f t="shared" si="379"/>
        <v>#REF!</v>
      </c>
      <c r="Z1354" s="86" t="e">
        <f t="shared" si="380"/>
        <v>#REF!</v>
      </c>
      <c r="AA1354" s="83">
        <f>MAX(B$2:B1354)-B1354</f>
        <v>202.55669999999998</v>
      </c>
      <c r="AB1354" s="83">
        <f t="shared" si="381"/>
        <v>87.707051099999987</v>
      </c>
      <c r="AC1354" s="83">
        <f t="shared" si="370"/>
        <v>120</v>
      </c>
      <c r="AD1354" s="72">
        <v>120</v>
      </c>
      <c r="AE1354" s="73">
        <f t="shared" si="382"/>
        <v>907.92027688745009</v>
      </c>
      <c r="AF1354" s="73">
        <f>SUM(AE$2:AE1354)</f>
        <v>1142899.845412499</v>
      </c>
      <c r="AG1354" s="73">
        <f t="shared" si="383"/>
        <v>30830.057014610153</v>
      </c>
    </row>
    <row r="1355" spans="1:33" x14ac:dyDescent="0.25">
      <c r="A1355" s="99">
        <v>221999.92</v>
      </c>
      <c r="B1355" s="96">
        <v>733.56610000000001</v>
      </c>
      <c r="C1355" s="96">
        <v>0.6</v>
      </c>
      <c r="D1355" s="80">
        <f t="shared" si="384"/>
        <v>100</v>
      </c>
      <c r="E1355" s="81">
        <f t="shared" si="371"/>
        <v>7196.6033712108183</v>
      </c>
      <c r="F1355" s="81">
        <f>SUM(E$2:E1355)</f>
        <v>8552123.9510468468</v>
      </c>
      <c r="G1355" s="43">
        <f t="shared" si="369"/>
        <v>1</v>
      </c>
      <c r="H1355" s="78">
        <v>1</v>
      </c>
      <c r="I1355" s="15">
        <f t="shared" si="372"/>
        <v>0.6</v>
      </c>
      <c r="J1355" s="16">
        <f>VLOOKUP(G1355,Inputs!$L$3:$P$15,5,FALSE)</f>
        <v>2000</v>
      </c>
      <c r="K1355" s="16">
        <f t="shared" si="373"/>
        <v>1825</v>
      </c>
      <c r="L1355" s="79">
        <f>Inputs!$P$8-B1355</f>
        <v>204.62490000000003</v>
      </c>
      <c r="M1355" s="79">
        <f>Inputs!$Q$8+L1355*0.433</f>
        <v>1913.6025817</v>
      </c>
      <c r="N1355" s="82">
        <f t="shared" si="374"/>
        <v>221999.92</v>
      </c>
      <c r="O1355" s="83">
        <f t="shared" si="375"/>
        <v>733.56610000000001</v>
      </c>
      <c r="P1355" s="84">
        <f>IF(O1355="","",Inputs!$C$5-O1355)</f>
        <v>91.618399999999951</v>
      </c>
      <c r="Q1355" s="83">
        <f>IF(N1355="","",TS!J1355)</f>
        <v>2000</v>
      </c>
      <c r="R1355" s="83">
        <f>IF(N1355="","",TS!K1355)</f>
        <v>1825</v>
      </c>
      <c r="S1355" s="83">
        <f>Inputs!$H$5+TS!P1355*0.4333</f>
        <v>1914.66396917</v>
      </c>
      <c r="T1355" s="83">
        <f>Inputs!$G$5+TS!P1355*0.4333</f>
        <v>1929.66396917</v>
      </c>
      <c r="U1355" s="85">
        <f t="shared" si="376"/>
        <v>0.96483198458499997</v>
      </c>
      <c r="V1355" s="86">
        <f t="shared" si="377"/>
        <v>0</v>
      </c>
      <c r="W1355" s="86">
        <f t="shared" si="378"/>
        <v>0</v>
      </c>
      <c r="X1355" s="86" t="e">
        <f>((PI()*((42-2*'Gen Calcs'!$E$13)^2)/4)/144)*(A1398-#REF!)*(W1355+14.7)/14.7</f>
        <v>#REF!</v>
      </c>
      <c r="Y1355" s="86" t="e">
        <f t="shared" si="379"/>
        <v>#REF!</v>
      </c>
      <c r="Z1355" s="86" t="e">
        <f t="shared" si="380"/>
        <v>#REF!</v>
      </c>
      <c r="AA1355" s="83">
        <f>MAX(B$2:B1355)-B1355</f>
        <v>204.62490000000003</v>
      </c>
      <c r="AB1355" s="83">
        <f t="shared" si="381"/>
        <v>88.602581700000016</v>
      </c>
      <c r="AC1355" s="83">
        <f t="shared" si="370"/>
        <v>120</v>
      </c>
      <c r="AD1355" s="72">
        <v>120</v>
      </c>
      <c r="AE1355" s="73">
        <f t="shared" si="382"/>
        <v>907.92027688745009</v>
      </c>
      <c r="AF1355" s="73">
        <f>SUM(AE$2:AE1355)</f>
        <v>1143807.7656893865</v>
      </c>
      <c r="AG1355" s="73">
        <f t="shared" si="383"/>
        <v>29922.136737722671</v>
      </c>
    </row>
    <row r="1356" spans="1:33" x14ac:dyDescent="0.25">
      <c r="A1356" s="100">
        <v>222099.92</v>
      </c>
      <c r="B1356" s="97">
        <v>731.93110000000001</v>
      </c>
      <c r="C1356" s="97">
        <v>0.6</v>
      </c>
      <c r="D1356" s="80">
        <f t="shared" si="384"/>
        <v>100</v>
      </c>
      <c r="E1356" s="81">
        <f t="shared" si="371"/>
        <v>7196.6033712108183</v>
      </c>
      <c r="F1356" s="81">
        <f>SUM(E$2:E1356)</f>
        <v>8559320.5544180572</v>
      </c>
      <c r="G1356" s="43">
        <f t="shared" si="369"/>
        <v>1</v>
      </c>
      <c r="H1356" s="78">
        <v>1</v>
      </c>
      <c r="I1356" s="15">
        <f t="shared" si="372"/>
        <v>0.6</v>
      </c>
      <c r="J1356" s="16">
        <f>VLOOKUP(G1356,Inputs!$L$3:$P$15,5,FALSE)</f>
        <v>2000</v>
      </c>
      <c r="K1356" s="16">
        <f t="shared" si="373"/>
        <v>1825</v>
      </c>
      <c r="L1356" s="79">
        <f>Inputs!$P$8-B1356</f>
        <v>206.25990000000002</v>
      </c>
      <c r="M1356" s="79">
        <f>Inputs!$Q$8+L1356*0.433</f>
        <v>1914.3105367000001</v>
      </c>
      <c r="N1356" s="82">
        <f t="shared" si="374"/>
        <v>222099.92</v>
      </c>
      <c r="O1356" s="83">
        <f t="shared" si="375"/>
        <v>731.93110000000001</v>
      </c>
      <c r="P1356" s="84">
        <f>IF(O1356="","",Inputs!$C$5-O1356)</f>
        <v>93.253399999999942</v>
      </c>
      <c r="Q1356" s="83">
        <f>IF(N1356="","",TS!J1356)</f>
        <v>2000</v>
      </c>
      <c r="R1356" s="83">
        <f>IF(N1356="","",TS!K1356)</f>
        <v>1825</v>
      </c>
      <c r="S1356" s="83">
        <f>Inputs!$H$5+TS!P1356*0.4333</f>
        <v>1915.3724146699999</v>
      </c>
      <c r="T1356" s="83">
        <f>Inputs!$G$5+TS!P1356*0.4333</f>
        <v>1930.3724146699999</v>
      </c>
      <c r="U1356" s="85">
        <f t="shared" si="376"/>
        <v>0.96518620733499993</v>
      </c>
      <c r="V1356" s="86">
        <f t="shared" si="377"/>
        <v>0</v>
      </c>
      <c r="W1356" s="86">
        <f t="shared" si="378"/>
        <v>0</v>
      </c>
      <c r="X1356" s="86" t="e">
        <f>((PI()*((42-2*'Gen Calcs'!$E$13)^2)/4)/144)*(A1399-#REF!)*(W1356+14.7)/14.7</f>
        <v>#REF!</v>
      </c>
      <c r="Y1356" s="86" t="e">
        <f t="shared" si="379"/>
        <v>#REF!</v>
      </c>
      <c r="Z1356" s="86" t="e">
        <f t="shared" si="380"/>
        <v>#REF!</v>
      </c>
      <c r="AA1356" s="83">
        <f>MAX(B$2:B1356)-B1356</f>
        <v>206.25990000000002</v>
      </c>
      <c r="AB1356" s="83">
        <f t="shared" si="381"/>
        <v>89.3105367</v>
      </c>
      <c r="AC1356" s="83">
        <f t="shared" si="370"/>
        <v>120</v>
      </c>
      <c r="AD1356" s="72">
        <v>120</v>
      </c>
      <c r="AE1356" s="73">
        <f t="shared" si="382"/>
        <v>907.92027688745009</v>
      </c>
      <c r="AF1356" s="73">
        <f>SUM(AE$2:AE1356)</f>
        <v>1144715.685966274</v>
      </c>
      <c r="AG1356" s="73">
        <f t="shared" si="383"/>
        <v>29014.216460835189</v>
      </c>
    </row>
    <row r="1357" spans="1:33" x14ac:dyDescent="0.25">
      <c r="A1357" s="99">
        <v>222199.92</v>
      </c>
      <c r="B1357" s="96">
        <v>729.7373</v>
      </c>
      <c r="C1357" s="96">
        <v>0.6</v>
      </c>
      <c r="D1357" s="80">
        <f t="shared" si="384"/>
        <v>100</v>
      </c>
      <c r="E1357" s="81">
        <f t="shared" si="371"/>
        <v>7196.6033712108183</v>
      </c>
      <c r="F1357" s="81">
        <f>SUM(E$2:E1357)</f>
        <v>8566517.1577892676</v>
      </c>
      <c r="G1357" s="43">
        <f t="shared" si="369"/>
        <v>1</v>
      </c>
      <c r="H1357" s="78">
        <v>1</v>
      </c>
      <c r="I1357" s="15">
        <f t="shared" si="372"/>
        <v>0.6</v>
      </c>
      <c r="J1357" s="16">
        <f>VLOOKUP(G1357,Inputs!$L$3:$P$15,5,FALSE)</f>
        <v>2000</v>
      </c>
      <c r="K1357" s="16">
        <f t="shared" si="373"/>
        <v>1825</v>
      </c>
      <c r="L1357" s="79">
        <f>Inputs!$P$8-B1357</f>
        <v>208.45370000000003</v>
      </c>
      <c r="M1357" s="79">
        <f>Inputs!$Q$8+L1357*0.433</f>
        <v>1915.2604521000001</v>
      </c>
      <c r="N1357" s="82">
        <f t="shared" si="374"/>
        <v>222199.92</v>
      </c>
      <c r="O1357" s="83">
        <f t="shared" si="375"/>
        <v>729.7373</v>
      </c>
      <c r="P1357" s="84">
        <f>IF(O1357="","",Inputs!$C$5-O1357)</f>
        <v>95.447199999999953</v>
      </c>
      <c r="Q1357" s="83">
        <f>IF(N1357="","",TS!J1357)</f>
        <v>2000</v>
      </c>
      <c r="R1357" s="83">
        <f>IF(N1357="","",TS!K1357)</f>
        <v>1825</v>
      </c>
      <c r="S1357" s="83">
        <f>Inputs!$H$5+TS!P1357*0.4333</f>
        <v>1916.3229882099999</v>
      </c>
      <c r="T1357" s="83">
        <f>Inputs!$G$5+TS!P1357*0.4333</f>
        <v>1931.3229882099999</v>
      </c>
      <c r="U1357" s="85">
        <f t="shared" si="376"/>
        <v>0.96566149410500002</v>
      </c>
      <c r="V1357" s="86">
        <f t="shared" si="377"/>
        <v>0</v>
      </c>
      <c r="W1357" s="86">
        <f t="shared" si="378"/>
        <v>0</v>
      </c>
      <c r="X1357" s="86" t="e">
        <f>((PI()*((42-2*'Gen Calcs'!$E$13)^2)/4)/144)*(A1400-#REF!)*(W1357+14.7)/14.7</f>
        <v>#REF!</v>
      </c>
      <c r="Y1357" s="86" t="e">
        <f t="shared" si="379"/>
        <v>#REF!</v>
      </c>
      <c r="Z1357" s="86" t="e">
        <f t="shared" si="380"/>
        <v>#REF!</v>
      </c>
      <c r="AA1357" s="83">
        <f>MAX(B$2:B1357)-B1357</f>
        <v>208.45370000000003</v>
      </c>
      <c r="AB1357" s="83">
        <f t="shared" si="381"/>
        <v>90.260452100000009</v>
      </c>
      <c r="AC1357" s="83">
        <f t="shared" si="370"/>
        <v>120</v>
      </c>
      <c r="AD1357" s="72">
        <v>120</v>
      </c>
      <c r="AE1357" s="73">
        <f t="shared" si="382"/>
        <v>907.92027688745009</v>
      </c>
      <c r="AF1357" s="73">
        <f>SUM(AE$2:AE1357)</f>
        <v>1145623.6062431615</v>
      </c>
      <c r="AG1357" s="73">
        <f t="shared" si="383"/>
        <v>28106.296183947707</v>
      </c>
    </row>
    <row r="1358" spans="1:33" x14ac:dyDescent="0.25">
      <c r="A1358" s="100">
        <v>222299.92</v>
      </c>
      <c r="B1358" s="97">
        <v>729.41759999999999</v>
      </c>
      <c r="C1358" s="97">
        <v>0.6</v>
      </c>
      <c r="D1358" s="80">
        <f t="shared" si="384"/>
        <v>100</v>
      </c>
      <c r="E1358" s="81">
        <f t="shared" si="371"/>
        <v>7196.6033712108183</v>
      </c>
      <c r="F1358" s="81">
        <f>SUM(E$2:E1358)</f>
        <v>8573713.761160478</v>
      </c>
      <c r="G1358" s="43">
        <f t="shared" si="369"/>
        <v>1</v>
      </c>
      <c r="H1358" s="78">
        <v>1</v>
      </c>
      <c r="I1358" s="15">
        <f t="shared" si="372"/>
        <v>0.6</v>
      </c>
      <c r="J1358" s="16">
        <f>VLOOKUP(G1358,Inputs!$L$3:$P$15,5,FALSE)</f>
        <v>2000</v>
      </c>
      <c r="K1358" s="16">
        <f t="shared" si="373"/>
        <v>1825</v>
      </c>
      <c r="L1358" s="79">
        <f>Inputs!$P$8-B1358</f>
        <v>208.77340000000004</v>
      </c>
      <c r="M1358" s="79">
        <f>Inputs!$Q$8+L1358*0.433</f>
        <v>1915.3988822000001</v>
      </c>
      <c r="N1358" s="82">
        <f t="shared" si="374"/>
        <v>222299.92</v>
      </c>
      <c r="O1358" s="83">
        <f t="shared" si="375"/>
        <v>729.41759999999999</v>
      </c>
      <c r="P1358" s="84">
        <f>IF(O1358="","",Inputs!$C$5-O1358)</f>
        <v>95.766899999999964</v>
      </c>
      <c r="Q1358" s="83">
        <f>IF(N1358="","",TS!J1358)</f>
        <v>2000</v>
      </c>
      <c r="R1358" s="83">
        <f>IF(N1358="","",TS!K1358)</f>
        <v>1825</v>
      </c>
      <c r="S1358" s="83">
        <f>Inputs!$H$5+TS!P1358*0.4333</f>
        <v>1916.46151422</v>
      </c>
      <c r="T1358" s="83">
        <f>Inputs!$G$5+TS!P1358*0.4333</f>
        <v>1931.46151422</v>
      </c>
      <c r="U1358" s="85">
        <f t="shared" si="376"/>
        <v>0.96573075711</v>
      </c>
      <c r="V1358" s="86">
        <f t="shared" si="377"/>
        <v>0</v>
      </c>
      <c r="W1358" s="86">
        <f t="shared" si="378"/>
        <v>0</v>
      </c>
      <c r="X1358" s="86" t="e">
        <f>((PI()*((42-2*'Gen Calcs'!$E$13)^2)/4)/144)*(A1401-#REF!)*(W1358+14.7)/14.7</f>
        <v>#REF!</v>
      </c>
      <c r="Y1358" s="86" t="e">
        <f t="shared" si="379"/>
        <v>#REF!</v>
      </c>
      <c r="Z1358" s="86" t="e">
        <f t="shared" si="380"/>
        <v>#REF!</v>
      </c>
      <c r="AA1358" s="83">
        <f>MAX(B$2:B1358)-B1358</f>
        <v>208.77340000000004</v>
      </c>
      <c r="AB1358" s="83">
        <f t="shared" si="381"/>
        <v>90.398882200000017</v>
      </c>
      <c r="AC1358" s="83">
        <f t="shared" si="370"/>
        <v>120</v>
      </c>
      <c r="AD1358" s="72">
        <v>120</v>
      </c>
      <c r="AE1358" s="73">
        <f t="shared" si="382"/>
        <v>907.92027688745009</v>
      </c>
      <c r="AF1358" s="73">
        <f>SUM(AE$2:AE1358)</f>
        <v>1146531.526520049</v>
      </c>
      <c r="AG1358" s="73">
        <f t="shared" si="383"/>
        <v>27198.375907060225</v>
      </c>
    </row>
    <row r="1359" spans="1:33" x14ac:dyDescent="0.25">
      <c r="A1359" s="99">
        <v>222399.92</v>
      </c>
      <c r="B1359" s="96">
        <v>729.45240000000001</v>
      </c>
      <c r="C1359" s="96">
        <v>0.6</v>
      </c>
      <c r="D1359" s="80">
        <f t="shared" si="384"/>
        <v>100</v>
      </c>
      <c r="E1359" s="81">
        <f t="shared" si="371"/>
        <v>7196.6033712108183</v>
      </c>
      <c r="F1359" s="81">
        <f>SUM(E$2:E1359)</f>
        <v>8580910.3645316884</v>
      </c>
      <c r="G1359" s="43">
        <f t="shared" si="369"/>
        <v>1</v>
      </c>
      <c r="H1359" s="78">
        <v>1</v>
      </c>
      <c r="I1359" s="15">
        <f t="shared" si="372"/>
        <v>0.6</v>
      </c>
      <c r="J1359" s="16">
        <f>VLOOKUP(G1359,Inputs!$L$3:$P$15,5,FALSE)</f>
        <v>2000</v>
      </c>
      <c r="K1359" s="16">
        <f t="shared" si="373"/>
        <v>1825</v>
      </c>
      <c r="L1359" s="79">
        <f>Inputs!$P$8-B1359</f>
        <v>208.73860000000002</v>
      </c>
      <c r="M1359" s="79">
        <f>Inputs!$Q$8+L1359*0.433</f>
        <v>1915.3838138000001</v>
      </c>
      <c r="N1359" s="82">
        <f t="shared" si="374"/>
        <v>222399.92</v>
      </c>
      <c r="O1359" s="83">
        <f t="shared" si="375"/>
        <v>729.45240000000001</v>
      </c>
      <c r="P1359" s="84">
        <f>IF(O1359="","",Inputs!$C$5-O1359)</f>
        <v>95.732099999999946</v>
      </c>
      <c r="Q1359" s="83">
        <f>IF(N1359="","",TS!J1359)</f>
        <v>2000</v>
      </c>
      <c r="R1359" s="83">
        <f>IF(N1359="","",TS!K1359)</f>
        <v>1825</v>
      </c>
      <c r="S1359" s="83">
        <f>Inputs!$H$5+TS!P1359*0.4333</f>
        <v>1916.4464353799999</v>
      </c>
      <c r="T1359" s="83">
        <f>Inputs!$G$5+TS!P1359*0.4333</f>
        <v>1931.4464353799999</v>
      </c>
      <c r="U1359" s="85">
        <f t="shared" si="376"/>
        <v>0.96572321768999991</v>
      </c>
      <c r="V1359" s="86">
        <f t="shared" si="377"/>
        <v>0</v>
      </c>
      <c r="W1359" s="86">
        <f t="shared" si="378"/>
        <v>0</v>
      </c>
      <c r="X1359" s="86" t="e">
        <f>((PI()*((42-2*'Gen Calcs'!$E$13)^2)/4)/144)*(A1402-#REF!)*(W1359+14.7)/14.7</f>
        <v>#REF!</v>
      </c>
      <c r="Y1359" s="86" t="e">
        <f t="shared" si="379"/>
        <v>#REF!</v>
      </c>
      <c r="Z1359" s="86" t="e">
        <f t="shared" si="380"/>
        <v>#REF!</v>
      </c>
      <c r="AA1359" s="83">
        <f>MAX(B$2:B1359)-B1359</f>
        <v>208.73860000000002</v>
      </c>
      <c r="AB1359" s="83">
        <f t="shared" si="381"/>
        <v>90.383813800000013</v>
      </c>
      <c r="AC1359" s="83">
        <f t="shared" si="370"/>
        <v>120</v>
      </c>
      <c r="AD1359" s="72">
        <v>120</v>
      </c>
      <c r="AE1359" s="73">
        <f t="shared" si="382"/>
        <v>907.92027688745009</v>
      </c>
      <c r="AF1359" s="73">
        <f>SUM(AE$2:AE1359)</f>
        <v>1147439.4467969364</v>
      </c>
      <c r="AG1359" s="73">
        <f t="shared" si="383"/>
        <v>26290.455630172743</v>
      </c>
    </row>
    <row r="1360" spans="1:33" x14ac:dyDescent="0.25">
      <c r="A1360" s="100">
        <v>222499.92</v>
      </c>
      <c r="B1360" s="97">
        <v>732.077</v>
      </c>
      <c r="C1360" s="97">
        <v>0.6</v>
      </c>
      <c r="D1360" s="80">
        <f t="shared" si="384"/>
        <v>100</v>
      </c>
      <c r="E1360" s="81">
        <f t="shared" si="371"/>
        <v>7196.6033712108183</v>
      </c>
      <c r="F1360" s="81">
        <f>SUM(E$2:E1360)</f>
        <v>8588106.9679028988</v>
      </c>
      <c r="G1360" s="43">
        <f t="shared" si="369"/>
        <v>1</v>
      </c>
      <c r="H1360" s="78">
        <v>1</v>
      </c>
      <c r="I1360" s="15">
        <f t="shared" si="372"/>
        <v>0.6</v>
      </c>
      <c r="J1360" s="16">
        <f>VLOOKUP(G1360,Inputs!$L$3:$P$15,5,FALSE)</f>
        <v>2000</v>
      </c>
      <c r="K1360" s="16">
        <f t="shared" si="373"/>
        <v>1825</v>
      </c>
      <c r="L1360" s="79">
        <f>Inputs!$P$8-B1360</f>
        <v>206.11400000000003</v>
      </c>
      <c r="M1360" s="79">
        <f>Inputs!$Q$8+L1360*0.433</f>
        <v>1914.2473620000001</v>
      </c>
      <c r="N1360" s="82">
        <f t="shared" si="374"/>
        <v>222499.92</v>
      </c>
      <c r="O1360" s="83">
        <f t="shared" si="375"/>
        <v>732.077</v>
      </c>
      <c r="P1360" s="84">
        <f>IF(O1360="","",Inputs!$C$5-O1360)</f>
        <v>93.107499999999959</v>
      </c>
      <c r="Q1360" s="83">
        <f>IF(N1360="","",TS!J1360)</f>
        <v>2000</v>
      </c>
      <c r="R1360" s="83">
        <f>IF(N1360="","",TS!K1360)</f>
        <v>1825</v>
      </c>
      <c r="S1360" s="83">
        <f>Inputs!$H$5+TS!P1360*0.4333</f>
        <v>1915.3091961999999</v>
      </c>
      <c r="T1360" s="83">
        <f>Inputs!$G$5+TS!P1360*0.4333</f>
        <v>1930.3091961999999</v>
      </c>
      <c r="U1360" s="85">
        <f t="shared" si="376"/>
        <v>0.96515459809999993</v>
      </c>
      <c r="V1360" s="86">
        <f t="shared" si="377"/>
        <v>0</v>
      </c>
      <c r="W1360" s="86">
        <f t="shared" si="378"/>
        <v>0</v>
      </c>
      <c r="X1360" s="86" t="e">
        <f>((PI()*((42-2*'Gen Calcs'!$E$13)^2)/4)/144)*(A1403-#REF!)*(W1360+14.7)/14.7</f>
        <v>#REF!</v>
      </c>
      <c r="Y1360" s="86" t="e">
        <f t="shared" si="379"/>
        <v>#REF!</v>
      </c>
      <c r="Z1360" s="86" t="e">
        <f t="shared" si="380"/>
        <v>#REF!</v>
      </c>
      <c r="AA1360" s="83">
        <f>MAX(B$2:B1360)-B1360</f>
        <v>206.11400000000003</v>
      </c>
      <c r="AB1360" s="83">
        <f t="shared" si="381"/>
        <v>89.24736200000001</v>
      </c>
      <c r="AC1360" s="83">
        <f t="shared" si="370"/>
        <v>120</v>
      </c>
      <c r="AD1360" s="72">
        <v>120</v>
      </c>
      <c r="AE1360" s="73">
        <f t="shared" si="382"/>
        <v>907.92027688745009</v>
      </c>
      <c r="AF1360" s="73">
        <f>SUM(AE$2:AE1360)</f>
        <v>1148347.3670738239</v>
      </c>
      <c r="AG1360" s="73">
        <f t="shared" si="383"/>
        <v>25382.53535328526</v>
      </c>
    </row>
    <row r="1361" spans="1:33" x14ac:dyDescent="0.25">
      <c r="A1361" s="99">
        <v>222599.92</v>
      </c>
      <c r="B1361" s="96">
        <v>735.15940000000001</v>
      </c>
      <c r="C1361" s="96">
        <v>0.6</v>
      </c>
      <c r="D1361" s="80">
        <f t="shared" si="384"/>
        <v>100</v>
      </c>
      <c r="E1361" s="81">
        <f t="shared" si="371"/>
        <v>7196.6033712108183</v>
      </c>
      <c r="F1361" s="81">
        <f>SUM(E$2:E1361)</f>
        <v>8595303.5712741092</v>
      </c>
      <c r="G1361" s="43">
        <f t="shared" si="369"/>
        <v>1</v>
      </c>
      <c r="H1361" s="78">
        <v>1</v>
      </c>
      <c r="I1361" s="15">
        <f t="shared" si="372"/>
        <v>0.6</v>
      </c>
      <c r="J1361" s="16">
        <f>VLOOKUP(G1361,Inputs!$L$3:$P$15,5,FALSE)</f>
        <v>2000</v>
      </c>
      <c r="K1361" s="16">
        <f t="shared" si="373"/>
        <v>1825</v>
      </c>
      <c r="L1361" s="79">
        <f>Inputs!$P$8-B1361</f>
        <v>203.03160000000003</v>
      </c>
      <c r="M1361" s="79">
        <f>Inputs!$Q$8+L1361*0.433</f>
        <v>1912.9126828000001</v>
      </c>
      <c r="N1361" s="82">
        <f t="shared" si="374"/>
        <v>222599.92</v>
      </c>
      <c r="O1361" s="83">
        <f t="shared" si="375"/>
        <v>735.15940000000001</v>
      </c>
      <c r="P1361" s="84">
        <f>IF(O1361="","",Inputs!$C$5-O1361)</f>
        <v>90.025099999999952</v>
      </c>
      <c r="Q1361" s="83">
        <f>IF(N1361="","",TS!J1361)</f>
        <v>2000</v>
      </c>
      <c r="R1361" s="83">
        <f>IF(N1361="","",TS!K1361)</f>
        <v>1825</v>
      </c>
      <c r="S1361" s="83">
        <f>Inputs!$H$5+TS!P1361*0.4333</f>
        <v>1913.9735922799998</v>
      </c>
      <c r="T1361" s="83">
        <f>Inputs!$G$5+TS!P1361*0.4333</f>
        <v>1928.9735922799998</v>
      </c>
      <c r="U1361" s="85">
        <f t="shared" si="376"/>
        <v>0.96448679613999988</v>
      </c>
      <c r="V1361" s="86">
        <f t="shared" si="377"/>
        <v>0</v>
      </c>
      <c r="W1361" s="86">
        <f t="shared" si="378"/>
        <v>0</v>
      </c>
      <c r="X1361" s="86" t="e">
        <f>((PI()*((42-2*'Gen Calcs'!$E$13)^2)/4)/144)*(A1404-#REF!)*(W1361+14.7)/14.7</f>
        <v>#REF!</v>
      </c>
      <c r="Y1361" s="86" t="e">
        <f t="shared" si="379"/>
        <v>#REF!</v>
      </c>
      <c r="Z1361" s="86" t="e">
        <f t="shared" si="380"/>
        <v>#REF!</v>
      </c>
      <c r="AA1361" s="83">
        <f>MAX(B$2:B1361)-B1361</f>
        <v>203.03160000000003</v>
      </c>
      <c r="AB1361" s="83">
        <f t="shared" si="381"/>
        <v>87.912682800000013</v>
      </c>
      <c r="AC1361" s="83">
        <f t="shared" si="370"/>
        <v>120</v>
      </c>
      <c r="AD1361" s="72">
        <v>120</v>
      </c>
      <c r="AE1361" s="73">
        <f t="shared" si="382"/>
        <v>907.92027688745009</v>
      </c>
      <c r="AF1361" s="73">
        <f>SUM(AE$2:AE1361)</f>
        <v>1149255.2873507114</v>
      </c>
      <c r="AG1361" s="73">
        <f t="shared" si="383"/>
        <v>24474.615076397778</v>
      </c>
    </row>
    <row r="1362" spans="1:33" x14ac:dyDescent="0.25">
      <c r="A1362" s="100">
        <v>222699.92</v>
      </c>
      <c r="B1362" s="97">
        <v>738.70349999999996</v>
      </c>
      <c r="C1362" s="97">
        <v>0.6</v>
      </c>
      <c r="D1362" s="80">
        <f t="shared" si="384"/>
        <v>100</v>
      </c>
      <c r="E1362" s="81">
        <f t="shared" si="371"/>
        <v>7196.6033712108183</v>
      </c>
      <c r="F1362" s="81">
        <f>SUM(E$2:E1362)</f>
        <v>8602500.1746453196</v>
      </c>
      <c r="G1362" s="43">
        <f t="shared" si="369"/>
        <v>1</v>
      </c>
      <c r="H1362" s="78">
        <v>1</v>
      </c>
      <c r="I1362" s="15">
        <f t="shared" si="372"/>
        <v>0.6</v>
      </c>
      <c r="J1362" s="16">
        <f>VLOOKUP(G1362,Inputs!$L$3:$P$15,5,FALSE)</f>
        <v>2000</v>
      </c>
      <c r="K1362" s="16">
        <f t="shared" si="373"/>
        <v>1825</v>
      </c>
      <c r="L1362" s="79">
        <f>Inputs!$P$8-B1362</f>
        <v>199.48750000000007</v>
      </c>
      <c r="M1362" s="79">
        <f>Inputs!$Q$8+L1362*0.433</f>
        <v>1911.3780875</v>
      </c>
      <c r="N1362" s="82">
        <f t="shared" si="374"/>
        <v>222699.92</v>
      </c>
      <c r="O1362" s="83">
        <f t="shared" si="375"/>
        <v>738.70349999999996</v>
      </c>
      <c r="P1362" s="84">
        <f>IF(O1362="","",Inputs!$C$5-O1362)</f>
        <v>86.480999999999995</v>
      </c>
      <c r="Q1362" s="83">
        <f>IF(N1362="","",TS!J1362)</f>
        <v>2000</v>
      </c>
      <c r="R1362" s="83">
        <f>IF(N1362="","",TS!K1362)</f>
        <v>1825</v>
      </c>
      <c r="S1362" s="83">
        <f>Inputs!$H$5+TS!P1362*0.4333</f>
        <v>1912.43793375</v>
      </c>
      <c r="T1362" s="83">
        <f>Inputs!$G$5+TS!P1362*0.4333</f>
        <v>1927.43793375</v>
      </c>
      <c r="U1362" s="85">
        <f t="shared" si="376"/>
        <v>0.96371896687500003</v>
      </c>
      <c r="V1362" s="86">
        <f t="shared" si="377"/>
        <v>0</v>
      </c>
      <c r="W1362" s="86">
        <f t="shared" si="378"/>
        <v>0</v>
      </c>
      <c r="X1362" s="86" t="e">
        <f>((PI()*((42-2*'Gen Calcs'!$E$13)^2)/4)/144)*(A1405-#REF!)*(W1362+14.7)/14.7</f>
        <v>#REF!</v>
      </c>
      <c r="Y1362" s="86" t="e">
        <f t="shared" si="379"/>
        <v>#REF!</v>
      </c>
      <c r="Z1362" s="86" t="e">
        <f t="shared" si="380"/>
        <v>#REF!</v>
      </c>
      <c r="AA1362" s="83">
        <f>MAX(B$2:B1362)-B1362</f>
        <v>199.48750000000007</v>
      </c>
      <c r="AB1362" s="83">
        <f t="shared" si="381"/>
        <v>86.378087500000035</v>
      </c>
      <c r="AC1362" s="83">
        <f t="shared" si="370"/>
        <v>120</v>
      </c>
      <c r="AD1362" s="72">
        <v>120</v>
      </c>
      <c r="AE1362" s="73">
        <f t="shared" si="382"/>
        <v>907.92027688745009</v>
      </c>
      <c r="AF1362" s="73">
        <f>SUM(AE$2:AE1362)</f>
        <v>1150163.2076275989</v>
      </c>
      <c r="AG1362" s="73">
        <f t="shared" si="383"/>
        <v>23566.694799510296</v>
      </c>
    </row>
    <row r="1363" spans="1:33" x14ac:dyDescent="0.25">
      <c r="A1363" s="99">
        <v>222799.92</v>
      </c>
      <c r="B1363" s="96">
        <v>742.45129999999995</v>
      </c>
      <c r="C1363" s="96">
        <v>0.6</v>
      </c>
      <c r="D1363" s="80">
        <f t="shared" si="384"/>
        <v>100</v>
      </c>
      <c r="E1363" s="81">
        <f t="shared" si="371"/>
        <v>7196.6033712108183</v>
      </c>
      <c r="F1363" s="81">
        <f>SUM(E$2:E1363)</f>
        <v>8609696.77801653</v>
      </c>
      <c r="G1363" s="43">
        <f t="shared" si="369"/>
        <v>1</v>
      </c>
      <c r="H1363" s="78">
        <v>1</v>
      </c>
      <c r="I1363" s="15">
        <f t="shared" si="372"/>
        <v>0.6</v>
      </c>
      <c r="J1363" s="16">
        <f>VLOOKUP(G1363,Inputs!$L$3:$P$15,5,FALSE)</f>
        <v>2000</v>
      </c>
      <c r="K1363" s="16">
        <f t="shared" si="373"/>
        <v>1825</v>
      </c>
      <c r="L1363" s="79">
        <f>Inputs!$P$8-B1363</f>
        <v>195.73970000000008</v>
      </c>
      <c r="M1363" s="79">
        <f>Inputs!$Q$8+L1363*0.433</f>
        <v>1909.7552901000001</v>
      </c>
      <c r="N1363" s="82">
        <f t="shared" si="374"/>
        <v>222799.92</v>
      </c>
      <c r="O1363" s="83">
        <f t="shared" si="375"/>
        <v>742.45129999999995</v>
      </c>
      <c r="P1363" s="84">
        <f>IF(O1363="","",Inputs!$C$5-O1363)</f>
        <v>82.733200000000011</v>
      </c>
      <c r="Q1363" s="83">
        <f>IF(N1363="","",TS!J1363)</f>
        <v>2000</v>
      </c>
      <c r="R1363" s="83">
        <f>IF(N1363="","",TS!K1363)</f>
        <v>1825</v>
      </c>
      <c r="S1363" s="83">
        <f>Inputs!$H$5+TS!P1363*0.4333</f>
        <v>1910.8140120099999</v>
      </c>
      <c r="T1363" s="83">
        <f>Inputs!$G$5+TS!P1363*0.4333</f>
        <v>1925.8140120099999</v>
      </c>
      <c r="U1363" s="85">
        <f t="shared" si="376"/>
        <v>0.96290700600500001</v>
      </c>
      <c r="V1363" s="86">
        <f t="shared" si="377"/>
        <v>0</v>
      </c>
      <c r="W1363" s="86">
        <f t="shared" si="378"/>
        <v>0</v>
      </c>
      <c r="X1363" s="86" t="e">
        <f>((PI()*((42-2*'Gen Calcs'!$E$13)^2)/4)/144)*(A1406-#REF!)*(W1363+14.7)/14.7</f>
        <v>#REF!</v>
      </c>
      <c r="Y1363" s="86" t="e">
        <f t="shared" si="379"/>
        <v>#REF!</v>
      </c>
      <c r="Z1363" s="86" t="e">
        <f t="shared" si="380"/>
        <v>#REF!</v>
      </c>
      <c r="AA1363" s="83">
        <f>MAX(B$2:B1363)-B1363</f>
        <v>195.73970000000008</v>
      </c>
      <c r="AB1363" s="83">
        <f t="shared" si="381"/>
        <v>84.755290100000039</v>
      </c>
      <c r="AC1363" s="83">
        <f t="shared" si="370"/>
        <v>120</v>
      </c>
      <c r="AD1363" s="72">
        <v>120</v>
      </c>
      <c r="AE1363" s="73">
        <f t="shared" si="382"/>
        <v>907.92027688745009</v>
      </c>
      <c r="AF1363" s="73">
        <f>SUM(AE$2:AE1363)</f>
        <v>1151071.1279044864</v>
      </c>
      <c r="AG1363" s="73">
        <f t="shared" si="383"/>
        <v>22658.774522622814</v>
      </c>
    </row>
    <row r="1364" spans="1:33" x14ac:dyDescent="0.25">
      <c r="A1364" s="100">
        <v>222899.92</v>
      </c>
      <c r="B1364" s="97">
        <v>746.22919999999999</v>
      </c>
      <c r="C1364" s="97">
        <v>0.6</v>
      </c>
      <c r="D1364" s="80">
        <f t="shared" si="384"/>
        <v>100</v>
      </c>
      <c r="E1364" s="81">
        <f t="shared" si="371"/>
        <v>7196.6033712108183</v>
      </c>
      <c r="F1364" s="81">
        <f>SUM(E$2:E1364)</f>
        <v>8616893.3813877404</v>
      </c>
      <c r="G1364" s="43">
        <f t="shared" si="369"/>
        <v>1</v>
      </c>
      <c r="H1364" s="78">
        <v>1</v>
      </c>
      <c r="I1364" s="15">
        <f t="shared" si="372"/>
        <v>0.6</v>
      </c>
      <c r="J1364" s="16">
        <f>VLOOKUP(G1364,Inputs!$L$3:$P$15,5,FALSE)</f>
        <v>2000</v>
      </c>
      <c r="K1364" s="16">
        <f t="shared" si="373"/>
        <v>1825</v>
      </c>
      <c r="L1364" s="79">
        <f>Inputs!$P$8-B1364</f>
        <v>191.96180000000004</v>
      </c>
      <c r="M1364" s="79">
        <f>Inputs!$Q$8+L1364*0.433</f>
        <v>1908.1194594000001</v>
      </c>
      <c r="N1364" s="82">
        <f t="shared" si="374"/>
        <v>222899.92</v>
      </c>
      <c r="O1364" s="83">
        <f t="shared" si="375"/>
        <v>746.22919999999999</v>
      </c>
      <c r="P1364" s="84">
        <f>IF(O1364="","",Inputs!$C$5-O1364)</f>
        <v>78.955299999999966</v>
      </c>
      <c r="Q1364" s="83">
        <f>IF(N1364="","",TS!J1364)</f>
        <v>2000</v>
      </c>
      <c r="R1364" s="83">
        <f>IF(N1364="","",TS!K1364)</f>
        <v>1825</v>
      </c>
      <c r="S1364" s="83">
        <f>Inputs!$H$5+TS!P1364*0.4333</f>
        <v>1909.17704794</v>
      </c>
      <c r="T1364" s="83">
        <f>Inputs!$G$5+TS!P1364*0.4333</f>
        <v>1924.17704794</v>
      </c>
      <c r="U1364" s="85">
        <f t="shared" si="376"/>
        <v>0.96208852397</v>
      </c>
      <c r="V1364" s="86">
        <f t="shared" si="377"/>
        <v>0</v>
      </c>
      <c r="W1364" s="86">
        <f t="shared" si="378"/>
        <v>0</v>
      </c>
      <c r="X1364" s="86" t="e">
        <f>((PI()*((42-2*'Gen Calcs'!$E$13)^2)/4)/144)*(A1407-#REF!)*(W1364+14.7)/14.7</f>
        <v>#REF!</v>
      </c>
      <c r="Y1364" s="86" t="e">
        <f t="shared" si="379"/>
        <v>#REF!</v>
      </c>
      <c r="Z1364" s="86" t="e">
        <f t="shared" si="380"/>
        <v>#REF!</v>
      </c>
      <c r="AA1364" s="83">
        <f>MAX(B$2:B1364)-B1364</f>
        <v>191.96180000000004</v>
      </c>
      <c r="AB1364" s="83">
        <f t="shared" si="381"/>
        <v>83.119459400000011</v>
      </c>
      <c r="AC1364" s="83">
        <f t="shared" si="370"/>
        <v>120</v>
      </c>
      <c r="AD1364" s="72">
        <v>120</v>
      </c>
      <c r="AE1364" s="73">
        <f t="shared" si="382"/>
        <v>907.92027688745009</v>
      </c>
      <c r="AF1364" s="73">
        <f>SUM(AE$2:AE1364)</f>
        <v>1151979.0481813739</v>
      </c>
      <c r="AG1364" s="73">
        <f t="shared" si="383"/>
        <v>21750.854245735332</v>
      </c>
    </row>
    <row r="1365" spans="1:33" x14ac:dyDescent="0.25">
      <c r="A1365" s="99">
        <v>222999.92</v>
      </c>
      <c r="B1365" s="96">
        <v>750.08680000000004</v>
      </c>
      <c r="C1365" s="96">
        <v>0.6</v>
      </c>
      <c r="D1365" s="80">
        <f t="shared" si="384"/>
        <v>100</v>
      </c>
      <c r="E1365" s="81">
        <f t="shared" si="371"/>
        <v>7196.6033712108183</v>
      </c>
      <c r="F1365" s="81">
        <f>SUM(E$2:E1365)</f>
        <v>8624089.9847589508</v>
      </c>
      <c r="G1365" s="43">
        <f t="shared" si="369"/>
        <v>1</v>
      </c>
      <c r="H1365" s="78">
        <v>1</v>
      </c>
      <c r="I1365" s="15">
        <f t="shared" si="372"/>
        <v>0.6</v>
      </c>
      <c r="J1365" s="16">
        <f>VLOOKUP(G1365,Inputs!$L$3:$P$15,5,FALSE)</f>
        <v>2000</v>
      </c>
      <c r="K1365" s="16">
        <f t="shared" si="373"/>
        <v>1825</v>
      </c>
      <c r="L1365" s="79">
        <f>Inputs!$P$8-B1365</f>
        <v>188.10419999999999</v>
      </c>
      <c r="M1365" s="79">
        <f>Inputs!$Q$8+L1365*0.433</f>
        <v>1906.4491186</v>
      </c>
      <c r="N1365" s="82">
        <f t="shared" si="374"/>
        <v>222999.92</v>
      </c>
      <c r="O1365" s="83">
        <f t="shared" si="375"/>
        <v>750.08680000000004</v>
      </c>
      <c r="P1365" s="84">
        <f>IF(O1365="","",Inputs!$C$5-O1365)</f>
        <v>75.097699999999918</v>
      </c>
      <c r="Q1365" s="83">
        <f>IF(N1365="","",TS!J1365)</f>
        <v>2000</v>
      </c>
      <c r="R1365" s="83">
        <f>IF(N1365="","",TS!K1365)</f>
        <v>1825</v>
      </c>
      <c r="S1365" s="83">
        <f>Inputs!$H$5+TS!P1365*0.4333</f>
        <v>1907.50554986</v>
      </c>
      <c r="T1365" s="83">
        <f>Inputs!$G$5+TS!P1365*0.4333</f>
        <v>1922.50554986</v>
      </c>
      <c r="U1365" s="85">
        <f t="shared" si="376"/>
        <v>0.96125277492999994</v>
      </c>
      <c r="V1365" s="86">
        <f t="shared" si="377"/>
        <v>0</v>
      </c>
      <c r="W1365" s="86">
        <f t="shared" si="378"/>
        <v>0</v>
      </c>
      <c r="X1365" s="86" t="e">
        <f>((PI()*((42-2*'Gen Calcs'!$E$13)^2)/4)/144)*(A1408-#REF!)*(W1365+14.7)/14.7</f>
        <v>#REF!</v>
      </c>
      <c r="Y1365" s="86" t="e">
        <f t="shared" si="379"/>
        <v>#REF!</v>
      </c>
      <c r="Z1365" s="86" t="e">
        <f t="shared" si="380"/>
        <v>#REF!</v>
      </c>
      <c r="AA1365" s="83">
        <f>MAX(B$2:B1365)-B1365</f>
        <v>188.10419999999999</v>
      </c>
      <c r="AB1365" s="83">
        <f t="shared" si="381"/>
        <v>81.449118599999991</v>
      </c>
      <c r="AC1365" s="83">
        <f t="shared" si="370"/>
        <v>120</v>
      </c>
      <c r="AD1365" s="72">
        <v>120</v>
      </c>
      <c r="AE1365" s="73">
        <f t="shared" si="382"/>
        <v>907.92027688745009</v>
      </c>
      <c r="AF1365" s="73">
        <f>SUM(AE$2:AE1365)</f>
        <v>1152886.9684582613</v>
      </c>
      <c r="AG1365" s="73">
        <f t="shared" si="383"/>
        <v>20842.93396884785</v>
      </c>
    </row>
    <row r="1366" spans="1:33" x14ac:dyDescent="0.25">
      <c r="A1366" s="100">
        <v>223099.92</v>
      </c>
      <c r="B1366" s="97">
        <v>754.35360000000003</v>
      </c>
      <c r="C1366" s="97">
        <v>0.6</v>
      </c>
      <c r="D1366" s="80">
        <f t="shared" si="384"/>
        <v>100</v>
      </c>
      <c r="E1366" s="81">
        <f t="shared" si="371"/>
        <v>7196.6033712108183</v>
      </c>
      <c r="F1366" s="81">
        <f>SUM(E$2:E1366)</f>
        <v>8631286.5881301612</v>
      </c>
      <c r="G1366" s="43">
        <f t="shared" si="369"/>
        <v>1</v>
      </c>
      <c r="H1366" s="78">
        <v>1</v>
      </c>
      <c r="I1366" s="15">
        <f t="shared" si="372"/>
        <v>0.6</v>
      </c>
      <c r="J1366" s="16">
        <f>VLOOKUP(G1366,Inputs!$L$3:$P$15,5,FALSE)</f>
        <v>2000</v>
      </c>
      <c r="K1366" s="16">
        <f t="shared" si="373"/>
        <v>1825</v>
      </c>
      <c r="L1366" s="79">
        <f>Inputs!$P$8-B1366</f>
        <v>183.8374</v>
      </c>
      <c r="M1366" s="79">
        <f>Inputs!$Q$8+L1366*0.433</f>
        <v>1904.6015941999999</v>
      </c>
      <c r="N1366" s="82">
        <f t="shared" si="374"/>
        <v>223099.92</v>
      </c>
      <c r="O1366" s="83">
        <f t="shared" si="375"/>
        <v>754.35360000000003</v>
      </c>
      <c r="P1366" s="84">
        <f>IF(O1366="","",Inputs!$C$5-O1366)</f>
        <v>70.830899999999929</v>
      </c>
      <c r="Q1366" s="83">
        <f>IF(N1366="","",TS!J1366)</f>
        <v>2000</v>
      </c>
      <c r="R1366" s="83">
        <f>IF(N1366="","",TS!K1366)</f>
        <v>1825</v>
      </c>
      <c r="S1366" s="83">
        <f>Inputs!$H$5+TS!P1366*0.4333</f>
        <v>1905.6567454199999</v>
      </c>
      <c r="T1366" s="83">
        <f>Inputs!$G$5+TS!P1366*0.4333</f>
        <v>1920.6567454199999</v>
      </c>
      <c r="U1366" s="85">
        <f t="shared" si="376"/>
        <v>0.96032837270999993</v>
      </c>
      <c r="V1366" s="86">
        <f t="shared" si="377"/>
        <v>0</v>
      </c>
      <c r="W1366" s="86">
        <f t="shared" si="378"/>
        <v>0</v>
      </c>
      <c r="X1366" s="86" t="e">
        <f>((PI()*((42-2*'Gen Calcs'!$E$13)^2)/4)/144)*(A1409-#REF!)*(W1366+14.7)/14.7</f>
        <v>#REF!</v>
      </c>
      <c r="Y1366" s="86" t="e">
        <f t="shared" si="379"/>
        <v>#REF!</v>
      </c>
      <c r="Z1366" s="86" t="e">
        <f t="shared" si="380"/>
        <v>#REF!</v>
      </c>
      <c r="AA1366" s="83">
        <f>MAX(B$2:B1366)-B1366</f>
        <v>183.8374</v>
      </c>
      <c r="AB1366" s="83">
        <f t="shared" si="381"/>
        <v>79.601594199999994</v>
      </c>
      <c r="AC1366" s="83">
        <f t="shared" si="370"/>
        <v>120</v>
      </c>
      <c r="AD1366" s="72">
        <v>120</v>
      </c>
      <c r="AE1366" s="73">
        <f t="shared" si="382"/>
        <v>907.92027688745009</v>
      </c>
      <c r="AF1366" s="73">
        <f>SUM(AE$2:AE1366)</f>
        <v>1153794.8887351488</v>
      </c>
      <c r="AG1366" s="73">
        <f t="shared" si="383"/>
        <v>19935.013691960368</v>
      </c>
    </row>
    <row r="1367" spans="1:33" x14ac:dyDescent="0.25">
      <c r="A1367" s="99">
        <v>223199.92</v>
      </c>
      <c r="B1367" s="96">
        <v>758.55409999999995</v>
      </c>
      <c r="C1367" s="96">
        <v>0.6</v>
      </c>
      <c r="D1367" s="80">
        <f t="shared" si="384"/>
        <v>100</v>
      </c>
      <c r="E1367" s="81">
        <f t="shared" si="371"/>
        <v>7196.6033712108183</v>
      </c>
      <c r="F1367" s="81">
        <f>SUM(E$2:E1367)</f>
        <v>8638483.1915013716</v>
      </c>
      <c r="G1367" s="43">
        <f t="shared" si="369"/>
        <v>1</v>
      </c>
      <c r="H1367" s="78">
        <v>1</v>
      </c>
      <c r="I1367" s="15">
        <f t="shared" si="372"/>
        <v>0.6</v>
      </c>
      <c r="J1367" s="16">
        <f>VLOOKUP(G1367,Inputs!$L$3:$P$15,5,FALSE)</f>
        <v>2000</v>
      </c>
      <c r="K1367" s="16">
        <f t="shared" si="373"/>
        <v>1825</v>
      </c>
      <c r="L1367" s="79">
        <f>Inputs!$P$8-B1367</f>
        <v>179.63690000000008</v>
      </c>
      <c r="M1367" s="79">
        <f>Inputs!$Q$8+L1367*0.433</f>
        <v>1902.7827777</v>
      </c>
      <c r="N1367" s="82">
        <f t="shared" si="374"/>
        <v>223199.92</v>
      </c>
      <c r="O1367" s="83">
        <f t="shared" si="375"/>
        <v>758.55409999999995</v>
      </c>
      <c r="P1367" s="84">
        <f>IF(O1367="","",Inputs!$C$5-O1367)</f>
        <v>66.630400000000009</v>
      </c>
      <c r="Q1367" s="83">
        <f>IF(N1367="","",TS!J1367)</f>
        <v>2000</v>
      </c>
      <c r="R1367" s="83">
        <f>IF(N1367="","",TS!K1367)</f>
        <v>1825</v>
      </c>
      <c r="S1367" s="83">
        <f>Inputs!$H$5+TS!P1367*0.4333</f>
        <v>1903.83666877</v>
      </c>
      <c r="T1367" s="83">
        <f>Inputs!$G$5+TS!P1367*0.4333</f>
        <v>1918.83666877</v>
      </c>
      <c r="U1367" s="85">
        <f t="shared" si="376"/>
        <v>0.95941833438500002</v>
      </c>
      <c r="V1367" s="86">
        <f t="shared" si="377"/>
        <v>0</v>
      </c>
      <c r="W1367" s="86">
        <f t="shared" si="378"/>
        <v>0</v>
      </c>
      <c r="X1367" s="86" t="e">
        <f>((PI()*((42-2*'Gen Calcs'!$E$13)^2)/4)/144)*(A1410-#REF!)*(W1367+14.7)/14.7</f>
        <v>#REF!</v>
      </c>
      <c r="Y1367" s="86" t="e">
        <f t="shared" si="379"/>
        <v>#REF!</v>
      </c>
      <c r="Z1367" s="86" t="e">
        <f t="shared" si="380"/>
        <v>#REF!</v>
      </c>
      <c r="AA1367" s="83">
        <f>MAX(B$2:B1367)-B1367</f>
        <v>179.63690000000008</v>
      </c>
      <c r="AB1367" s="83">
        <f t="shared" si="381"/>
        <v>77.78277770000004</v>
      </c>
      <c r="AC1367" s="83">
        <f t="shared" si="370"/>
        <v>120</v>
      </c>
      <c r="AD1367" s="72">
        <v>120</v>
      </c>
      <c r="AE1367" s="73">
        <f t="shared" si="382"/>
        <v>907.92027688745009</v>
      </c>
      <c r="AF1367" s="73">
        <f>SUM(AE$2:AE1367)</f>
        <v>1154702.8090120363</v>
      </c>
      <c r="AG1367" s="73">
        <f t="shared" si="383"/>
        <v>19027.093415072886</v>
      </c>
    </row>
    <row r="1368" spans="1:33" x14ac:dyDescent="0.25">
      <c r="A1368" s="100">
        <v>223299.92</v>
      </c>
      <c r="B1368" s="97">
        <v>762.50980000000004</v>
      </c>
      <c r="C1368" s="97">
        <v>0.6</v>
      </c>
      <c r="D1368" s="80">
        <f t="shared" si="384"/>
        <v>100</v>
      </c>
      <c r="E1368" s="81">
        <f t="shared" si="371"/>
        <v>7196.6033712108183</v>
      </c>
      <c r="F1368" s="81">
        <f>SUM(E$2:E1368)</f>
        <v>8645679.794872582</v>
      </c>
      <c r="G1368" s="43">
        <f t="shared" si="369"/>
        <v>1</v>
      </c>
      <c r="H1368" s="78">
        <v>1</v>
      </c>
      <c r="I1368" s="15">
        <f t="shared" si="372"/>
        <v>0.6</v>
      </c>
      <c r="J1368" s="16">
        <f>VLOOKUP(G1368,Inputs!$L$3:$P$15,5,FALSE)</f>
        <v>2000</v>
      </c>
      <c r="K1368" s="16">
        <f t="shared" si="373"/>
        <v>1825</v>
      </c>
      <c r="L1368" s="79">
        <f>Inputs!$P$8-B1368</f>
        <v>175.68119999999999</v>
      </c>
      <c r="M1368" s="79">
        <f>Inputs!$Q$8+L1368*0.433</f>
        <v>1901.0699595999999</v>
      </c>
      <c r="N1368" s="82">
        <f t="shared" si="374"/>
        <v>223299.92</v>
      </c>
      <c r="O1368" s="83">
        <f t="shared" si="375"/>
        <v>762.50980000000004</v>
      </c>
      <c r="P1368" s="84">
        <f>IF(O1368="","",Inputs!$C$5-O1368)</f>
        <v>62.674699999999916</v>
      </c>
      <c r="Q1368" s="83">
        <f>IF(N1368="","",TS!J1368)</f>
        <v>2000</v>
      </c>
      <c r="R1368" s="83">
        <f>IF(N1368="","",TS!K1368)</f>
        <v>1825</v>
      </c>
      <c r="S1368" s="83">
        <f>Inputs!$H$5+TS!P1368*0.4333</f>
        <v>1902.12266396</v>
      </c>
      <c r="T1368" s="83">
        <f>Inputs!$G$5+TS!P1368*0.4333</f>
        <v>1917.12266396</v>
      </c>
      <c r="U1368" s="85">
        <f t="shared" si="376"/>
        <v>0.95856133197999993</v>
      </c>
      <c r="V1368" s="86">
        <f t="shared" si="377"/>
        <v>0</v>
      </c>
      <c r="W1368" s="86">
        <f t="shared" si="378"/>
        <v>0</v>
      </c>
      <c r="X1368" s="86" t="e">
        <f>((PI()*((42-2*'Gen Calcs'!$E$13)^2)/4)/144)*(A1411-#REF!)*(W1368+14.7)/14.7</f>
        <v>#REF!</v>
      </c>
      <c r="Y1368" s="86" t="e">
        <f t="shared" si="379"/>
        <v>#REF!</v>
      </c>
      <c r="Z1368" s="86" t="e">
        <f t="shared" si="380"/>
        <v>#REF!</v>
      </c>
      <c r="AA1368" s="83">
        <f>MAX(B$2:B1368)-B1368</f>
        <v>175.68119999999999</v>
      </c>
      <c r="AB1368" s="83">
        <f t="shared" si="381"/>
        <v>76.06995959999999</v>
      </c>
      <c r="AC1368" s="83">
        <f t="shared" si="370"/>
        <v>120</v>
      </c>
      <c r="AD1368" s="72">
        <v>120</v>
      </c>
      <c r="AE1368" s="73">
        <f t="shared" si="382"/>
        <v>907.92027688745009</v>
      </c>
      <c r="AF1368" s="73">
        <f>SUM(AE$2:AE1368)</f>
        <v>1155610.7292889238</v>
      </c>
      <c r="AG1368" s="73">
        <f t="shared" si="383"/>
        <v>18119.173138185404</v>
      </c>
    </row>
    <row r="1369" spans="1:33" x14ac:dyDescent="0.25">
      <c r="A1369" s="99">
        <v>223399.92</v>
      </c>
      <c r="B1369" s="96">
        <v>766.2482</v>
      </c>
      <c r="C1369" s="96">
        <v>0.6</v>
      </c>
      <c r="D1369" s="80">
        <f t="shared" si="384"/>
        <v>100</v>
      </c>
      <c r="E1369" s="81">
        <f t="shared" si="371"/>
        <v>7196.6033712108183</v>
      </c>
      <c r="F1369" s="81">
        <f>SUM(E$2:E1369)</f>
        <v>8652876.3982437924</v>
      </c>
      <c r="G1369" s="43">
        <f t="shared" si="369"/>
        <v>1</v>
      </c>
      <c r="H1369" s="78">
        <v>1</v>
      </c>
      <c r="I1369" s="15">
        <f t="shared" si="372"/>
        <v>0.6</v>
      </c>
      <c r="J1369" s="16">
        <f>VLOOKUP(G1369,Inputs!$L$3:$P$15,5,FALSE)</f>
        <v>2000</v>
      </c>
      <c r="K1369" s="16">
        <f t="shared" si="373"/>
        <v>1825</v>
      </c>
      <c r="L1369" s="79">
        <f>Inputs!$P$8-B1369</f>
        <v>171.94280000000003</v>
      </c>
      <c r="M1369" s="79">
        <f>Inputs!$Q$8+L1369*0.433</f>
        <v>1899.4512324</v>
      </c>
      <c r="N1369" s="82">
        <f t="shared" si="374"/>
        <v>223399.92</v>
      </c>
      <c r="O1369" s="83">
        <f t="shared" si="375"/>
        <v>766.2482</v>
      </c>
      <c r="P1369" s="84">
        <f>IF(O1369="","",Inputs!$C$5-O1369)</f>
        <v>58.93629999999996</v>
      </c>
      <c r="Q1369" s="83">
        <f>IF(N1369="","",TS!J1369)</f>
        <v>2000</v>
      </c>
      <c r="R1369" s="83">
        <f>IF(N1369="","",TS!K1369)</f>
        <v>1825</v>
      </c>
      <c r="S1369" s="83">
        <f>Inputs!$H$5+TS!P1369*0.4333</f>
        <v>1900.50281524</v>
      </c>
      <c r="T1369" s="83">
        <f>Inputs!$G$5+TS!P1369*0.4333</f>
        <v>1915.50281524</v>
      </c>
      <c r="U1369" s="85">
        <f t="shared" si="376"/>
        <v>0.95775140761999999</v>
      </c>
      <c r="V1369" s="86">
        <f t="shared" si="377"/>
        <v>0</v>
      </c>
      <c r="W1369" s="86">
        <f t="shared" si="378"/>
        <v>0</v>
      </c>
      <c r="X1369" s="86" t="e">
        <f>((PI()*((42-2*'Gen Calcs'!$E$13)^2)/4)/144)*(A1412-#REF!)*(W1369+14.7)/14.7</f>
        <v>#REF!</v>
      </c>
      <c r="Y1369" s="86" t="e">
        <f t="shared" si="379"/>
        <v>#REF!</v>
      </c>
      <c r="Z1369" s="86" t="e">
        <f t="shared" si="380"/>
        <v>#REF!</v>
      </c>
      <c r="AA1369" s="83">
        <f>MAX(B$2:B1369)-B1369</f>
        <v>171.94280000000003</v>
      </c>
      <c r="AB1369" s="83">
        <f t="shared" si="381"/>
        <v>74.451232400000009</v>
      </c>
      <c r="AC1369" s="83">
        <f t="shared" si="370"/>
        <v>120</v>
      </c>
      <c r="AD1369" s="72">
        <v>120</v>
      </c>
      <c r="AE1369" s="73">
        <f t="shared" si="382"/>
        <v>907.92027688745009</v>
      </c>
      <c r="AF1369" s="73">
        <f>SUM(AE$2:AE1369)</f>
        <v>1156518.6495658113</v>
      </c>
      <c r="AG1369" s="73">
        <f t="shared" si="383"/>
        <v>17211.252861297922</v>
      </c>
    </row>
    <row r="1370" spans="1:33" x14ac:dyDescent="0.25">
      <c r="A1370" s="100">
        <v>223499.92</v>
      </c>
      <c r="B1370" s="97">
        <v>768.38430000000005</v>
      </c>
      <c r="C1370" s="97">
        <v>0.6</v>
      </c>
      <c r="D1370" s="80">
        <f t="shared" si="384"/>
        <v>100</v>
      </c>
      <c r="E1370" s="81">
        <f t="shared" si="371"/>
        <v>7196.6033712108183</v>
      </c>
      <c r="F1370" s="81">
        <f>SUM(E$2:E1370)</f>
        <v>8660073.0016150028</v>
      </c>
      <c r="G1370" s="43">
        <f t="shared" si="369"/>
        <v>1</v>
      </c>
      <c r="H1370" s="78">
        <v>1</v>
      </c>
      <c r="I1370" s="15">
        <f t="shared" si="372"/>
        <v>0.6</v>
      </c>
      <c r="J1370" s="16">
        <f>VLOOKUP(G1370,Inputs!$L$3:$P$15,5,FALSE)</f>
        <v>2000</v>
      </c>
      <c r="K1370" s="16">
        <f t="shared" si="373"/>
        <v>1825</v>
      </c>
      <c r="L1370" s="79">
        <f>Inputs!$P$8-B1370</f>
        <v>169.80669999999998</v>
      </c>
      <c r="M1370" s="79">
        <f>Inputs!$Q$8+L1370*0.433</f>
        <v>1898.5263011</v>
      </c>
      <c r="N1370" s="82">
        <f t="shared" si="374"/>
        <v>223499.92</v>
      </c>
      <c r="O1370" s="83">
        <f t="shared" si="375"/>
        <v>768.38430000000005</v>
      </c>
      <c r="P1370" s="84">
        <f>IF(O1370="","",Inputs!$C$5-O1370)</f>
        <v>56.800199999999904</v>
      </c>
      <c r="Q1370" s="83">
        <f>IF(N1370="","",TS!J1370)</f>
        <v>2000</v>
      </c>
      <c r="R1370" s="83">
        <f>IF(N1370="","",TS!K1370)</f>
        <v>1825</v>
      </c>
      <c r="S1370" s="83">
        <f>Inputs!$H$5+TS!P1370*0.4333</f>
        <v>1899.5772431099999</v>
      </c>
      <c r="T1370" s="83">
        <f>Inputs!$G$5+TS!P1370*0.4333</f>
        <v>1914.5772431099999</v>
      </c>
      <c r="U1370" s="85">
        <f t="shared" si="376"/>
        <v>0.95728862155499994</v>
      </c>
      <c r="V1370" s="86">
        <f t="shared" si="377"/>
        <v>0</v>
      </c>
      <c r="W1370" s="86">
        <f t="shared" si="378"/>
        <v>0</v>
      </c>
      <c r="X1370" s="86" t="e">
        <f>((PI()*((42-2*'Gen Calcs'!$E$13)^2)/4)/144)*(A1413-#REF!)*(W1370+14.7)/14.7</f>
        <v>#REF!</v>
      </c>
      <c r="Y1370" s="86" t="e">
        <f t="shared" si="379"/>
        <v>#REF!</v>
      </c>
      <c r="Z1370" s="86" t="e">
        <f t="shared" si="380"/>
        <v>#REF!</v>
      </c>
      <c r="AA1370" s="83">
        <f>MAX(B$2:B1370)-B1370</f>
        <v>169.80669999999998</v>
      </c>
      <c r="AB1370" s="83">
        <f t="shared" si="381"/>
        <v>73.526301099999984</v>
      </c>
      <c r="AC1370" s="83">
        <f t="shared" si="370"/>
        <v>120</v>
      </c>
      <c r="AD1370" s="72">
        <v>120</v>
      </c>
      <c r="AE1370" s="73">
        <f t="shared" si="382"/>
        <v>907.92027688745009</v>
      </c>
      <c r="AF1370" s="73">
        <f>SUM(AE$2:AE1370)</f>
        <v>1157426.5698426988</v>
      </c>
      <c r="AG1370" s="73">
        <f t="shared" si="383"/>
        <v>16303.33258441044</v>
      </c>
    </row>
    <row r="1371" spans="1:33" x14ac:dyDescent="0.25">
      <c r="A1371" s="99">
        <v>223599.92</v>
      </c>
      <c r="B1371" s="96">
        <v>769.30070000000001</v>
      </c>
      <c r="C1371" s="96">
        <v>0.6</v>
      </c>
      <c r="D1371" s="80">
        <f t="shared" si="384"/>
        <v>100</v>
      </c>
      <c r="E1371" s="81">
        <f t="shared" si="371"/>
        <v>7196.6033712108183</v>
      </c>
      <c r="F1371" s="81">
        <f>SUM(E$2:E1371)</f>
        <v>8667269.6049862131</v>
      </c>
      <c r="G1371" s="43">
        <f t="shared" si="369"/>
        <v>1</v>
      </c>
      <c r="H1371" s="78">
        <v>1</v>
      </c>
      <c r="I1371" s="15">
        <f t="shared" si="372"/>
        <v>0.6</v>
      </c>
      <c r="J1371" s="16">
        <f>VLOOKUP(G1371,Inputs!$L$3:$P$15,5,FALSE)</f>
        <v>2000</v>
      </c>
      <c r="K1371" s="16">
        <f t="shared" si="373"/>
        <v>1825</v>
      </c>
      <c r="L1371" s="79">
        <f>Inputs!$P$8-B1371</f>
        <v>168.89030000000002</v>
      </c>
      <c r="M1371" s="79">
        <f>Inputs!$Q$8+L1371*0.433</f>
        <v>1898.1294998999999</v>
      </c>
      <c r="N1371" s="82">
        <f t="shared" si="374"/>
        <v>223599.92</v>
      </c>
      <c r="O1371" s="83">
        <f t="shared" si="375"/>
        <v>769.30070000000001</v>
      </c>
      <c r="P1371" s="84">
        <f>IF(O1371="","",Inputs!$C$5-O1371)</f>
        <v>55.883799999999951</v>
      </c>
      <c r="Q1371" s="83">
        <f>IF(N1371="","",TS!J1371)</f>
        <v>2000</v>
      </c>
      <c r="R1371" s="83">
        <f>IF(N1371="","",TS!K1371)</f>
        <v>1825</v>
      </c>
      <c r="S1371" s="83">
        <f>Inputs!$H$5+TS!P1371*0.4333</f>
        <v>1899.1801669899999</v>
      </c>
      <c r="T1371" s="83">
        <f>Inputs!$G$5+TS!P1371*0.4333</f>
        <v>1914.1801669899999</v>
      </c>
      <c r="U1371" s="85">
        <f t="shared" si="376"/>
        <v>0.95709008349499991</v>
      </c>
      <c r="V1371" s="86">
        <f t="shared" si="377"/>
        <v>0</v>
      </c>
      <c r="W1371" s="86">
        <f t="shared" si="378"/>
        <v>0</v>
      </c>
      <c r="X1371" s="86" t="e">
        <f>((PI()*((42-2*'Gen Calcs'!$E$13)^2)/4)/144)*(A1414-#REF!)*(W1371+14.7)/14.7</f>
        <v>#REF!</v>
      </c>
      <c r="Y1371" s="86" t="e">
        <f t="shared" si="379"/>
        <v>#REF!</v>
      </c>
      <c r="Z1371" s="86" t="e">
        <f t="shared" si="380"/>
        <v>#REF!</v>
      </c>
      <c r="AA1371" s="83">
        <f>MAX(B$2:B1371)-B1371</f>
        <v>168.89030000000002</v>
      </c>
      <c r="AB1371" s="83">
        <f t="shared" si="381"/>
        <v>73.129499900000013</v>
      </c>
      <c r="AC1371" s="83">
        <f t="shared" si="370"/>
        <v>120</v>
      </c>
      <c r="AD1371" s="72">
        <v>120</v>
      </c>
      <c r="AE1371" s="73">
        <f t="shared" si="382"/>
        <v>907.92027688745009</v>
      </c>
      <c r="AF1371" s="73">
        <f>SUM(AE$2:AE1371)</f>
        <v>1158334.4901195862</v>
      </c>
      <c r="AG1371" s="73">
        <f t="shared" si="383"/>
        <v>15395.412307522958</v>
      </c>
    </row>
    <row r="1372" spans="1:33" x14ac:dyDescent="0.25">
      <c r="A1372" s="100">
        <v>223699.92</v>
      </c>
      <c r="B1372" s="97">
        <v>769.56470000000002</v>
      </c>
      <c r="C1372" s="97">
        <v>0.6</v>
      </c>
      <c r="D1372" s="80">
        <f t="shared" si="384"/>
        <v>100</v>
      </c>
      <c r="E1372" s="81">
        <f t="shared" si="371"/>
        <v>7196.6033712108183</v>
      </c>
      <c r="F1372" s="81">
        <f>SUM(E$2:E1372)</f>
        <v>8674466.2083574235</v>
      </c>
      <c r="G1372" s="43">
        <f t="shared" si="369"/>
        <v>1</v>
      </c>
      <c r="H1372" s="78">
        <v>1</v>
      </c>
      <c r="I1372" s="15">
        <f t="shared" si="372"/>
        <v>0.6</v>
      </c>
      <c r="J1372" s="16">
        <f>VLOOKUP(G1372,Inputs!$L$3:$P$15,5,FALSE)</f>
        <v>2000</v>
      </c>
      <c r="K1372" s="16">
        <f t="shared" si="373"/>
        <v>1825</v>
      </c>
      <c r="L1372" s="79">
        <f>Inputs!$P$8-B1372</f>
        <v>168.62630000000001</v>
      </c>
      <c r="M1372" s="79">
        <f>Inputs!$Q$8+L1372*0.433</f>
        <v>1898.0151879</v>
      </c>
      <c r="N1372" s="82">
        <f t="shared" si="374"/>
        <v>223699.92</v>
      </c>
      <c r="O1372" s="83">
        <f t="shared" si="375"/>
        <v>769.56470000000002</v>
      </c>
      <c r="P1372" s="84">
        <f>IF(O1372="","",Inputs!$C$5-O1372)</f>
        <v>55.619799999999941</v>
      </c>
      <c r="Q1372" s="83">
        <f>IF(N1372="","",TS!J1372)</f>
        <v>2000</v>
      </c>
      <c r="R1372" s="83">
        <f>IF(N1372="","",TS!K1372)</f>
        <v>1825</v>
      </c>
      <c r="S1372" s="83">
        <f>Inputs!$H$5+TS!P1372*0.4333</f>
        <v>1899.0657757899999</v>
      </c>
      <c r="T1372" s="83">
        <f>Inputs!$G$5+TS!P1372*0.4333</f>
        <v>1914.0657757899999</v>
      </c>
      <c r="U1372" s="85">
        <f t="shared" si="376"/>
        <v>0.95703288789499996</v>
      </c>
      <c r="V1372" s="86">
        <f t="shared" si="377"/>
        <v>0</v>
      </c>
      <c r="W1372" s="86">
        <f t="shared" si="378"/>
        <v>0</v>
      </c>
      <c r="X1372" s="86" t="e">
        <f>((PI()*((42-2*'Gen Calcs'!$E$13)^2)/4)/144)*(A1415-#REF!)*(W1372+14.7)/14.7</f>
        <v>#REF!</v>
      </c>
      <c r="Y1372" s="86" t="e">
        <f t="shared" si="379"/>
        <v>#REF!</v>
      </c>
      <c r="Z1372" s="86" t="e">
        <f t="shared" si="380"/>
        <v>#REF!</v>
      </c>
      <c r="AA1372" s="83">
        <f>MAX(B$2:B1372)-B1372</f>
        <v>168.62630000000001</v>
      </c>
      <c r="AB1372" s="83">
        <f t="shared" si="381"/>
        <v>73.015187900000001</v>
      </c>
      <c r="AC1372" s="83">
        <f t="shared" si="370"/>
        <v>120</v>
      </c>
      <c r="AD1372" s="72">
        <v>120</v>
      </c>
      <c r="AE1372" s="73">
        <f t="shared" si="382"/>
        <v>907.92027688745009</v>
      </c>
      <c r="AF1372" s="73">
        <f>SUM(AE$2:AE1372)</f>
        <v>1159242.4103964737</v>
      </c>
      <c r="AG1372" s="73">
        <f t="shared" si="383"/>
        <v>14487.492030635476</v>
      </c>
    </row>
    <row r="1373" spans="1:33" x14ac:dyDescent="0.25">
      <c r="A1373" s="99">
        <v>223799.92</v>
      </c>
      <c r="B1373" s="96">
        <v>770.01289999999995</v>
      </c>
      <c r="C1373" s="96">
        <v>0.6</v>
      </c>
      <c r="D1373" s="80">
        <f t="shared" si="384"/>
        <v>100</v>
      </c>
      <c r="E1373" s="81">
        <f t="shared" si="371"/>
        <v>7196.6033712108183</v>
      </c>
      <c r="F1373" s="81">
        <f>SUM(E$2:E1373)</f>
        <v>8681662.8117286339</v>
      </c>
      <c r="G1373" s="43">
        <f t="shared" si="369"/>
        <v>1</v>
      </c>
      <c r="H1373" s="78">
        <v>1</v>
      </c>
      <c r="I1373" s="15">
        <f t="shared" si="372"/>
        <v>0.6</v>
      </c>
      <c r="J1373" s="16">
        <f>VLOOKUP(G1373,Inputs!$L$3:$P$15,5,FALSE)</f>
        <v>2000</v>
      </c>
      <c r="K1373" s="16">
        <f t="shared" si="373"/>
        <v>1825</v>
      </c>
      <c r="L1373" s="79">
        <f>Inputs!$P$8-B1373</f>
        <v>168.17810000000009</v>
      </c>
      <c r="M1373" s="79">
        <f>Inputs!$Q$8+L1373*0.433</f>
        <v>1897.8211173</v>
      </c>
      <c r="N1373" s="82">
        <f t="shared" si="374"/>
        <v>223799.92</v>
      </c>
      <c r="O1373" s="83">
        <f t="shared" si="375"/>
        <v>770.01289999999995</v>
      </c>
      <c r="P1373" s="84">
        <f>IF(O1373="","",Inputs!$C$5-O1373)</f>
        <v>55.171600000000012</v>
      </c>
      <c r="Q1373" s="83">
        <f>IF(N1373="","",TS!J1373)</f>
        <v>2000</v>
      </c>
      <c r="R1373" s="83">
        <f>IF(N1373="","",TS!K1373)</f>
        <v>1825</v>
      </c>
      <c r="S1373" s="83">
        <f>Inputs!$H$5+TS!P1373*0.4333</f>
        <v>1898.87157073</v>
      </c>
      <c r="T1373" s="83">
        <f>Inputs!$G$5+TS!P1373*0.4333</f>
        <v>1913.87157073</v>
      </c>
      <c r="U1373" s="85">
        <f t="shared" si="376"/>
        <v>0.95693578536500001</v>
      </c>
      <c r="V1373" s="86">
        <f t="shared" si="377"/>
        <v>0</v>
      </c>
      <c r="W1373" s="86">
        <f t="shared" si="378"/>
        <v>0</v>
      </c>
      <c r="X1373" s="86" t="e">
        <f>((PI()*((42-2*'Gen Calcs'!$E$13)^2)/4)/144)*(A1416-#REF!)*(W1373+14.7)/14.7</f>
        <v>#REF!</v>
      </c>
      <c r="Y1373" s="86" t="e">
        <f t="shared" si="379"/>
        <v>#REF!</v>
      </c>
      <c r="Z1373" s="86" t="e">
        <f t="shared" si="380"/>
        <v>#REF!</v>
      </c>
      <c r="AA1373" s="83">
        <f>MAX(B$2:B1373)-B1373</f>
        <v>168.17810000000009</v>
      </c>
      <c r="AB1373" s="83">
        <f t="shared" si="381"/>
        <v>72.82111730000004</v>
      </c>
      <c r="AC1373" s="83">
        <f t="shared" si="370"/>
        <v>120</v>
      </c>
      <c r="AD1373" s="72">
        <v>120</v>
      </c>
      <c r="AE1373" s="73">
        <f t="shared" si="382"/>
        <v>907.92027688745009</v>
      </c>
      <c r="AF1373" s="73">
        <f>SUM(AE$2:AE1373)</f>
        <v>1160150.3306733612</v>
      </c>
      <c r="AG1373" s="73">
        <f t="shared" si="383"/>
        <v>13579.571753747994</v>
      </c>
    </row>
    <row r="1374" spans="1:33" x14ac:dyDescent="0.25">
      <c r="A1374" s="100">
        <v>223872</v>
      </c>
      <c r="B1374" s="97">
        <v>770.01289999999995</v>
      </c>
      <c r="C1374" s="97">
        <v>0.86399999999999999</v>
      </c>
      <c r="D1374" s="80">
        <f t="shared" si="384"/>
        <v>72.079999999987194</v>
      </c>
      <c r="E1374" s="81">
        <f t="shared" si="371"/>
        <v>5187.3117099678366</v>
      </c>
      <c r="F1374" s="81">
        <f>SUM(E$2:E1374)</f>
        <v>8686850.1234386023</v>
      </c>
      <c r="G1374" s="43">
        <f t="shared" si="369"/>
        <v>2</v>
      </c>
      <c r="H1374" s="78">
        <v>1</v>
      </c>
      <c r="I1374" s="15">
        <f t="shared" si="372"/>
        <v>0.86399999999999999</v>
      </c>
      <c r="J1374" s="16">
        <f>VLOOKUP(G1374,Inputs!$L$3:$P$15,5,FALSE)</f>
        <v>2880</v>
      </c>
      <c r="K1374" s="16">
        <f t="shared" si="373"/>
        <v>1825</v>
      </c>
      <c r="L1374" s="79">
        <f>Inputs!$P$8-B1374</f>
        <v>168.17810000000009</v>
      </c>
      <c r="M1374" s="79">
        <f>Inputs!$Q$8+L1374*0.433</f>
        <v>1897.8211173</v>
      </c>
      <c r="N1374" s="82">
        <f t="shared" si="374"/>
        <v>223872</v>
      </c>
      <c r="O1374" s="83">
        <f t="shared" si="375"/>
        <v>770.01289999999995</v>
      </c>
      <c r="P1374" s="84">
        <f>IF(O1374="","",Inputs!$C$5-O1374)</f>
        <v>55.171600000000012</v>
      </c>
      <c r="Q1374" s="83">
        <f>IF(N1374="","",TS!J1374)</f>
        <v>2880</v>
      </c>
      <c r="R1374" s="83">
        <f>IF(N1374="","",TS!K1374)</f>
        <v>1825</v>
      </c>
      <c r="S1374" s="83">
        <f>Inputs!$H$5+TS!P1374*0.4333</f>
        <v>1898.87157073</v>
      </c>
      <c r="T1374" s="83">
        <f>Inputs!$G$5+TS!P1374*0.4333</f>
        <v>1913.87157073</v>
      </c>
      <c r="U1374" s="85">
        <f t="shared" si="376"/>
        <v>0.66453873983680556</v>
      </c>
      <c r="V1374" s="86">
        <f t="shared" si="377"/>
        <v>0</v>
      </c>
      <c r="W1374" s="86">
        <f t="shared" si="378"/>
        <v>0</v>
      </c>
      <c r="X1374" s="86" t="e">
        <f>((PI()*((42-2*'Gen Calcs'!$E$13)^2)/4)/144)*(A1417-#REF!)*(W1374+14.7)/14.7</f>
        <v>#REF!</v>
      </c>
      <c r="Y1374" s="86" t="e">
        <f t="shared" si="379"/>
        <v>#REF!</v>
      </c>
      <c r="Z1374" s="86" t="e">
        <f t="shared" si="380"/>
        <v>#REF!</v>
      </c>
      <c r="AA1374" s="83">
        <f>MAX(B$2:B1374)-B1374</f>
        <v>168.17810000000009</v>
      </c>
      <c r="AB1374" s="83">
        <f t="shared" si="381"/>
        <v>72.82111730000004</v>
      </c>
      <c r="AC1374" s="83">
        <f t="shared" si="370"/>
        <v>120</v>
      </c>
      <c r="AD1374" s="72">
        <v>120</v>
      </c>
      <c r="AE1374" s="73">
        <f t="shared" si="382"/>
        <v>637.60037475800834</v>
      </c>
      <c r="AF1374" s="73">
        <f>SUM(AE$2:AE1374)</f>
        <v>1160787.9310481192</v>
      </c>
      <c r="AG1374" s="73">
        <f t="shared" si="383"/>
        <v>12941.971378989983</v>
      </c>
    </row>
    <row r="1375" spans="1:33" x14ac:dyDescent="0.25">
      <c r="A1375" s="99">
        <v>223899.92</v>
      </c>
      <c r="B1375" s="96">
        <v>767.7577</v>
      </c>
      <c r="C1375" s="96">
        <v>0.6</v>
      </c>
      <c r="D1375" s="80">
        <f t="shared" si="384"/>
        <v>27.920000000012806</v>
      </c>
      <c r="E1375" s="81">
        <f t="shared" si="371"/>
        <v>2009.2916612429822</v>
      </c>
      <c r="F1375" s="81">
        <f>SUM(E$2:E1375)</f>
        <v>8688859.4150998462</v>
      </c>
      <c r="G1375" s="43">
        <f t="shared" si="369"/>
        <v>1</v>
      </c>
      <c r="H1375" s="78">
        <v>1</v>
      </c>
      <c r="I1375" s="15">
        <f t="shared" si="372"/>
        <v>0.6</v>
      </c>
      <c r="J1375" s="16">
        <f>VLOOKUP(G1375,Inputs!$L$3:$P$15,5,FALSE)</f>
        <v>2000</v>
      </c>
      <c r="K1375" s="16">
        <f t="shared" si="373"/>
        <v>1825</v>
      </c>
      <c r="L1375" s="79">
        <f>Inputs!$P$8-B1375</f>
        <v>170.43330000000003</v>
      </c>
      <c r="M1375" s="79">
        <f>Inputs!$Q$8+L1375*0.433</f>
        <v>1898.7976189000001</v>
      </c>
      <c r="N1375" s="82">
        <f t="shared" si="374"/>
        <v>223899.92</v>
      </c>
      <c r="O1375" s="83">
        <f t="shared" si="375"/>
        <v>767.7577</v>
      </c>
      <c r="P1375" s="84">
        <f>IF(O1375="","",Inputs!$C$5-O1375)</f>
        <v>57.426799999999957</v>
      </c>
      <c r="Q1375" s="83">
        <f>IF(N1375="","",TS!J1375)</f>
        <v>2000</v>
      </c>
      <c r="R1375" s="83">
        <f>IF(N1375="","",TS!K1375)</f>
        <v>1825</v>
      </c>
      <c r="S1375" s="83">
        <f>Inputs!$H$5+TS!P1375*0.4333</f>
        <v>1899.84874889</v>
      </c>
      <c r="T1375" s="83">
        <f>Inputs!$G$5+TS!P1375*0.4333</f>
        <v>1914.84874889</v>
      </c>
      <c r="U1375" s="85">
        <f t="shared" si="376"/>
        <v>0.95742437444500006</v>
      </c>
      <c r="V1375" s="86">
        <f t="shared" si="377"/>
        <v>0</v>
      </c>
      <c r="W1375" s="86">
        <f t="shared" si="378"/>
        <v>0</v>
      </c>
      <c r="X1375" s="86" t="e">
        <f>((PI()*((42-2*'Gen Calcs'!$E$13)^2)/4)/144)*(A1418-#REF!)*(W1375+14.7)/14.7</f>
        <v>#REF!</v>
      </c>
      <c r="Y1375" s="86" t="e">
        <f t="shared" si="379"/>
        <v>#REF!</v>
      </c>
      <c r="Z1375" s="86" t="e">
        <f t="shared" si="380"/>
        <v>#REF!</v>
      </c>
      <c r="AA1375" s="83">
        <f>MAX(B$2:B1375)-B1375</f>
        <v>170.43330000000003</v>
      </c>
      <c r="AB1375" s="83">
        <f t="shared" si="381"/>
        <v>73.797618900000018</v>
      </c>
      <c r="AC1375" s="83">
        <f t="shared" si="370"/>
        <v>120</v>
      </c>
      <c r="AD1375" s="72">
        <v>120</v>
      </c>
      <c r="AE1375" s="73">
        <f t="shared" si="382"/>
        <v>253.49134130709231</v>
      </c>
      <c r="AF1375" s="73">
        <f>SUM(AE$2:AE1375)</f>
        <v>1161041.4223894263</v>
      </c>
      <c r="AG1375" s="73">
        <f t="shared" si="383"/>
        <v>12688.480037682923</v>
      </c>
    </row>
    <row r="1376" spans="1:33" x14ac:dyDescent="0.25">
      <c r="A1376" s="100">
        <v>223999.92</v>
      </c>
      <c r="B1376" s="97">
        <v>765.16359999999997</v>
      </c>
      <c r="C1376" s="97">
        <v>0.6</v>
      </c>
      <c r="D1376" s="80">
        <f t="shared" si="384"/>
        <v>100</v>
      </c>
      <c r="E1376" s="81">
        <f t="shared" si="371"/>
        <v>7196.6033712108183</v>
      </c>
      <c r="F1376" s="81">
        <f>SUM(E$2:E1376)</f>
        <v>8696056.0184710566</v>
      </c>
      <c r="G1376" s="43">
        <f t="shared" si="369"/>
        <v>1</v>
      </c>
      <c r="H1376" s="78">
        <v>1</v>
      </c>
      <c r="I1376" s="15">
        <f t="shared" si="372"/>
        <v>0.6</v>
      </c>
      <c r="J1376" s="16">
        <f>VLOOKUP(G1376,Inputs!$L$3:$P$15,5,FALSE)</f>
        <v>2000</v>
      </c>
      <c r="K1376" s="16">
        <f t="shared" si="373"/>
        <v>1825</v>
      </c>
      <c r="L1376" s="79">
        <f>Inputs!$P$8-B1376</f>
        <v>173.02740000000006</v>
      </c>
      <c r="M1376" s="79">
        <f>Inputs!$Q$8+L1376*0.433</f>
        <v>1899.9208642000001</v>
      </c>
      <c r="N1376" s="82">
        <f t="shared" si="374"/>
        <v>223999.92</v>
      </c>
      <c r="O1376" s="83">
        <f t="shared" si="375"/>
        <v>765.16359999999997</v>
      </c>
      <c r="P1376" s="84">
        <f>IF(O1376="","",Inputs!$C$5-O1376)</f>
        <v>60.020899999999983</v>
      </c>
      <c r="Q1376" s="83">
        <f>IF(N1376="","",TS!J1376)</f>
        <v>2000</v>
      </c>
      <c r="R1376" s="83">
        <f>IF(N1376="","",TS!K1376)</f>
        <v>1825</v>
      </c>
      <c r="S1376" s="83">
        <f>Inputs!$H$5+TS!P1376*0.4333</f>
        <v>1900.97277242</v>
      </c>
      <c r="T1376" s="83">
        <f>Inputs!$G$5+TS!P1376*0.4333</f>
        <v>1915.97277242</v>
      </c>
      <c r="U1376" s="85">
        <f t="shared" si="376"/>
        <v>0.95798638620999998</v>
      </c>
      <c r="V1376" s="86">
        <f t="shared" si="377"/>
        <v>0</v>
      </c>
      <c r="W1376" s="86">
        <f t="shared" si="378"/>
        <v>0</v>
      </c>
      <c r="X1376" s="86" t="e">
        <f>((PI()*((42-2*'Gen Calcs'!$E$13)^2)/4)/144)*(A1419-#REF!)*(W1376+14.7)/14.7</f>
        <v>#REF!</v>
      </c>
      <c r="Y1376" s="86" t="e">
        <f t="shared" si="379"/>
        <v>#REF!</v>
      </c>
      <c r="Z1376" s="86" t="e">
        <f t="shared" si="380"/>
        <v>#REF!</v>
      </c>
      <c r="AA1376" s="83">
        <f>MAX(B$2:B1376)-B1376</f>
        <v>173.02740000000006</v>
      </c>
      <c r="AB1376" s="83">
        <f t="shared" si="381"/>
        <v>74.920864200000025</v>
      </c>
      <c r="AC1376" s="83">
        <f t="shared" si="370"/>
        <v>120</v>
      </c>
      <c r="AD1376" s="72">
        <v>120</v>
      </c>
      <c r="AE1376" s="73">
        <f t="shared" si="382"/>
        <v>907.92027688745009</v>
      </c>
      <c r="AF1376" s="73">
        <f>SUM(AE$2:AE1376)</f>
        <v>1161949.3426663138</v>
      </c>
      <c r="AG1376" s="73">
        <f t="shared" si="383"/>
        <v>11780.559760795441</v>
      </c>
    </row>
    <row r="1377" spans="1:33" x14ac:dyDescent="0.25">
      <c r="A1377" s="99">
        <v>224099.92</v>
      </c>
      <c r="B1377" s="96">
        <v>763.4991</v>
      </c>
      <c r="C1377" s="96">
        <v>0.6</v>
      </c>
      <c r="D1377" s="80">
        <f t="shared" si="384"/>
        <v>100</v>
      </c>
      <c r="E1377" s="81">
        <f t="shared" si="371"/>
        <v>7196.6033712108183</v>
      </c>
      <c r="F1377" s="81">
        <f>SUM(E$2:E1377)</f>
        <v>8703252.621842267</v>
      </c>
      <c r="G1377" s="43">
        <f t="shared" si="369"/>
        <v>1</v>
      </c>
      <c r="H1377" s="78">
        <v>1</v>
      </c>
      <c r="I1377" s="15">
        <f t="shared" si="372"/>
        <v>0.6</v>
      </c>
      <c r="J1377" s="16">
        <f>VLOOKUP(G1377,Inputs!$L$3:$P$15,5,FALSE)</f>
        <v>2000</v>
      </c>
      <c r="K1377" s="16">
        <f t="shared" si="373"/>
        <v>1825</v>
      </c>
      <c r="L1377" s="79">
        <f>Inputs!$P$8-B1377</f>
        <v>174.69190000000003</v>
      </c>
      <c r="M1377" s="79">
        <f>Inputs!$Q$8+L1377*0.433</f>
        <v>1900.6415927</v>
      </c>
      <c r="N1377" s="82">
        <f t="shared" si="374"/>
        <v>224099.92</v>
      </c>
      <c r="O1377" s="83">
        <f t="shared" si="375"/>
        <v>763.4991</v>
      </c>
      <c r="P1377" s="84">
        <f>IF(O1377="","",Inputs!$C$5-O1377)</f>
        <v>61.685399999999959</v>
      </c>
      <c r="Q1377" s="83">
        <f>IF(N1377="","",TS!J1377)</f>
        <v>2000</v>
      </c>
      <c r="R1377" s="83">
        <f>IF(N1377="","",TS!K1377)</f>
        <v>1825</v>
      </c>
      <c r="S1377" s="83">
        <f>Inputs!$H$5+TS!P1377*0.4333</f>
        <v>1901.6940002699998</v>
      </c>
      <c r="T1377" s="83">
        <f>Inputs!$G$5+TS!P1377*0.4333</f>
        <v>1916.6940002699998</v>
      </c>
      <c r="U1377" s="85">
        <f t="shared" si="376"/>
        <v>0.95834700013499996</v>
      </c>
      <c r="V1377" s="86">
        <f t="shared" si="377"/>
        <v>0</v>
      </c>
      <c r="W1377" s="86">
        <f t="shared" si="378"/>
        <v>0</v>
      </c>
      <c r="X1377" s="86" t="e">
        <f>((PI()*((42-2*'Gen Calcs'!$E$13)^2)/4)/144)*(A1420-#REF!)*(W1377+14.7)/14.7</f>
        <v>#REF!</v>
      </c>
      <c r="Y1377" s="86" t="e">
        <f t="shared" si="379"/>
        <v>#REF!</v>
      </c>
      <c r="Z1377" s="86" t="e">
        <f t="shared" si="380"/>
        <v>#REF!</v>
      </c>
      <c r="AA1377" s="83">
        <f>MAX(B$2:B1377)-B1377</f>
        <v>174.69190000000003</v>
      </c>
      <c r="AB1377" s="83">
        <f t="shared" si="381"/>
        <v>75.641592700000018</v>
      </c>
      <c r="AC1377" s="83">
        <f t="shared" si="370"/>
        <v>120</v>
      </c>
      <c r="AD1377" s="72">
        <v>120</v>
      </c>
      <c r="AE1377" s="73">
        <f t="shared" si="382"/>
        <v>907.92027688745009</v>
      </c>
      <c r="AF1377" s="73">
        <f>SUM(AE$2:AE1377)</f>
        <v>1162857.2629432012</v>
      </c>
      <c r="AG1377" s="73">
        <f t="shared" si="383"/>
        <v>10872.639483907958</v>
      </c>
    </row>
    <row r="1378" spans="1:33" x14ac:dyDescent="0.25">
      <c r="A1378" s="100">
        <v>224199.92</v>
      </c>
      <c r="B1378" s="97">
        <v>763.59829999999999</v>
      </c>
      <c r="C1378" s="97">
        <v>0.6</v>
      </c>
      <c r="D1378" s="80">
        <f t="shared" si="384"/>
        <v>100</v>
      </c>
      <c r="E1378" s="81">
        <f t="shared" si="371"/>
        <v>7196.6033712108183</v>
      </c>
      <c r="F1378" s="81">
        <f>SUM(E$2:E1378)</f>
        <v>8710449.2252134774</v>
      </c>
      <c r="G1378" s="43">
        <f t="shared" si="369"/>
        <v>1</v>
      </c>
      <c r="H1378" s="78">
        <v>1</v>
      </c>
      <c r="I1378" s="15">
        <f t="shared" si="372"/>
        <v>0.6</v>
      </c>
      <c r="J1378" s="16">
        <f>VLOOKUP(G1378,Inputs!$L$3:$P$15,5,FALSE)</f>
        <v>2000</v>
      </c>
      <c r="K1378" s="16">
        <f t="shared" si="373"/>
        <v>1825</v>
      </c>
      <c r="L1378" s="79">
        <f>Inputs!$P$8-B1378</f>
        <v>174.59270000000004</v>
      </c>
      <c r="M1378" s="79">
        <f>Inputs!$Q$8+L1378*0.433</f>
        <v>1900.5986391000001</v>
      </c>
      <c r="N1378" s="82">
        <f t="shared" si="374"/>
        <v>224199.92</v>
      </c>
      <c r="O1378" s="83">
        <f t="shared" si="375"/>
        <v>763.59829999999999</v>
      </c>
      <c r="P1378" s="84">
        <f>IF(O1378="","",Inputs!$C$5-O1378)</f>
        <v>61.586199999999963</v>
      </c>
      <c r="Q1378" s="83">
        <f>IF(N1378="","",TS!J1378)</f>
        <v>2000</v>
      </c>
      <c r="R1378" s="83">
        <f>IF(N1378="","",TS!K1378)</f>
        <v>1825</v>
      </c>
      <c r="S1378" s="83">
        <f>Inputs!$H$5+TS!P1378*0.4333</f>
        <v>1901.65101691</v>
      </c>
      <c r="T1378" s="83">
        <f>Inputs!$G$5+TS!P1378*0.4333</f>
        <v>1916.65101691</v>
      </c>
      <c r="U1378" s="85">
        <f t="shared" si="376"/>
        <v>0.95832550845499997</v>
      </c>
      <c r="V1378" s="86">
        <f t="shared" si="377"/>
        <v>0</v>
      </c>
      <c r="W1378" s="86">
        <f t="shared" si="378"/>
        <v>0</v>
      </c>
      <c r="X1378" s="86" t="e">
        <f>((PI()*((42-2*'Gen Calcs'!$E$13)^2)/4)/144)*(A1421-#REF!)*(W1378+14.7)/14.7</f>
        <v>#REF!</v>
      </c>
      <c r="Y1378" s="86" t="e">
        <f t="shared" si="379"/>
        <v>#REF!</v>
      </c>
      <c r="Z1378" s="86" t="e">
        <f t="shared" si="380"/>
        <v>#REF!</v>
      </c>
      <c r="AA1378" s="83">
        <f>MAX(B$2:B1378)-B1378</f>
        <v>174.59270000000004</v>
      </c>
      <c r="AB1378" s="83">
        <f t="shared" si="381"/>
        <v>75.598639100000014</v>
      </c>
      <c r="AC1378" s="83">
        <f t="shared" si="370"/>
        <v>120</v>
      </c>
      <c r="AD1378" s="72">
        <v>120</v>
      </c>
      <c r="AE1378" s="73">
        <f t="shared" si="382"/>
        <v>907.92027688745009</v>
      </c>
      <c r="AF1378" s="73">
        <f>SUM(AE$2:AE1378)</f>
        <v>1163765.1832200887</v>
      </c>
      <c r="AG1378" s="73">
        <f t="shared" si="383"/>
        <v>9964.7192070204765</v>
      </c>
    </row>
    <row r="1379" spans="1:33" x14ac:dyDescent="0.25">
      <c r="A1379" s="99">
        <v>224299.92</v>
      </c>
      <c r="B1379" s="96">
        <v>766.3646</v>
      </c>
      <c r="C1379" s="96">
        <v>0.6</v>
      </c>
      <c r="D1379" s="80">
        <f t="shared" si="384"/>
        <v>100</v>
      </c>
      <c r="E1379" s="81">
        <f t="shared" si="371"/>
        <v>7196.6033712108183</v>
      </c>
      <c r="F1379" s="81">
        <f>SUM(E$2:E1379)</f>
        <v>8717645.8285846878</v>
      </c>
      <c r="G1379" s="43">
        <f t="shared" si="369"/>
        <v>1</v>
      </c>
      <c r="H1379" s="78">
        <v>1</v>
      </c>
      <c r="I1379" s="15">
        <f t="shared" si="372"/>
        <v>0.6</v>
      </c>
      <c r="J1379" s="16">
        <f>VLOOKUP(G1379,Inputs!$L$3:$P$15,5,FALSE)</f>
        <v>2000</v>
      </c>
      <c r="K1379" s="16">
        <f t="shared" si="373"/>
        <v>1825</v>
      </c>
      <c r="L1379" s="79">
        <f>Inputs!$P$8-B1379</f>
        <v>171.82640000000004</v>
      </c>
      <c r="M1379" s="79">
        <f>Inputs!$Q$8+L1379*0.433</f>
        <v>1899.4008312000001</v>
      </c>
      <c r="N1379" s="82">
        <f t="shared" si="374"/>
        <v>224299.92</v>
      </c>
      <c r="O1379" s="83">
        <f t="shared" si="375"/>
        <v>766.3646</v>
      </c>
      <c r="P1379" s="84">
        <f>IF(O1379="","",Inputs!$C$5-O1379)</f>
        <v>58.819899999999961</v>
      </c>
      <c r="Q1379" s="83">
        <f>IF(N1379="","",TS!J1379)</f>
        <v>2000</v>
      </c>
      <c r="R1379" s="83">
        <f>IF(N1379="","",TS!K1379)</f>
        <v>1825</v>
      </c>
      <c r="S1379" s="83">
        <f>Inputs!$H$5+TS!P1379*0.4333</f>
        <v>1900.4523791199999</v>
      </c>
      <c r="T1379" s="83">
        <f>Inputs!$G$5+TS!P1379*0.4333</f>
        <v>1915.4523791199999</v>
      </c>
      <c r="U1379" s="85">
        <f t="shared" si="376"/>
        <v>0.95772618956</v>
      </c>
      <c r="V1379" s="86">
        <f t="shared" si="377"/>
        <v>0</v>
      </c>
      <c r="W1379" s="86">
        <f t="shared" si="378"/>
        <v>0</v>
      </c>
      <c r="X1379" s="86" t="e">
        <f>((PI()*((42-2*'Gen Calcs'!$E$13)^2)/4)/144)*(A1422-#REF!)*(W1379+14.7)/14.7</f>
        <v>#REF!</v>
      </c>
      <c r="Y1379" s="86" t="e">
        <f t="shared" si="379"/>
        <v>#REF!</v>
      </c>
      <c r="Z1379" s="86" t="e">
        <f t="shared" si="380"/>
        <v>#REF!</v>
      </c>
      <c r="AA1379" s="83">
        <f>MAX(B$2:B1379)-B1379</f>
        <v>171.82640000000004</v>
      </c>
      <c r="AB1379" s="83">
        <f t="shared" si="381"/>
        <v>74.400831200000013</v>
      </c>
      <c r="AC1379" s="83">
        <f t="shared" si="370"/>
        <v>120</v>
      </c>
      <c r="AD1379" s="72">
        <v>120</v>
      </c>
      <c r="AE1379" s="73">
        <f t="shared" si="382"/>
        <v>907.92027688745009</v>
      </c>
      <c r="AF1379" s="73">
        <f>SUM(AE$2:AE1379)</f>
        <v>1164673.1034969762</v>
      </c>
      <c r="AG1379" s="73">
        <f t="shared" si="383"/>
        <v>9056.7989301329944</v>
      </c>
    </row>
    <row r="1380" spans="1:33" x14ac:dyDescent="0.25">
      <c r="A1380" s="100">
        <v>224377.9</v>
      </c>
      <c r="B1380" s="97">
        <v>766.3646</v>
      </c>
      <c r="C1380" s="97">
        <v>0.86399999999999999</v>
      </c>
      <c r="D1380" s="80">
        <f t="shared" si="384"/>
        <v>77.979999999981374</v>
      </c>
      <c r="E1380" s="81">
        <f t="shared" si="371"/>
        <v>5611.9113088688564</v>
      </c>
      <c r="F1380" s="81">
        <f>SUM(E$2:E1380)</f>
        <v>8723257.7398935575</v>
      </c>
      <c r="G1380" s="43">
        <f t="shared" si="369"/>
        <v>2</v>
      </c>
      <c r="H1380" s="78">
        <v>1</v>
      </c>
      <c r="I1380" s="15">
        <f t="shared" si="372"/>
        <v>0.86399999999999999</v>
      </c>
      <c r="J1380" s="16">
        <f>VLOOKUP(G1380,Inputs!$L$3:$P$15,5,FALSE)</f>
        <v>2880</v>
      </c>
      <c r="K1380" s="16">
        <f t="shared" si="373"/>
        <v>1825</v>
      </c>
      <c r="L1380" s="79">
        <f>Inputs!$P$8-B1380</f>
        <v>171.82640000000004</v>
      </c>
      <c r="M1380" s="79">
        <f>Inputs!$Q$8+L1380*0.433</f>
        <v>1899.4008312000001</v>
      </c>
      <c r="N1380" s="82">
        <f t="shared" si="374"/>
        <v>224377.9</v>
      </c>
      <c r="O1380" s="83">
        <f t="shared" si="375"/>
        <v>766.3646</v>
      </c>
      <c r="P1380" s="84">
        <f>IF(O1380="","",Inputs!$C$5-O1380)</f>
        <v>58.819899999999961</v>
      </c>
      <c r="Q1380" s="83">
        <f>IF(N1380="","",TS!J1380)</f>
        <v>2880</v>
      </c>
      <c r="R1380" s="83">
        <f>IF(N1380="","",TS!K1380)</f>
        <v>1825</v>
      </c>
      <c r="S1380" s="83">
        <f>Inputs!$H$5+TS!P1380*0.4333</f>
        <v>1900.4523791199999</v>
      </c>
      <c r="T1380" s="83">
        <f>Inputs!$G$5+TS!P1380*0.4333</f>
        <v>1915.4523791199999</v>
      </c>
      <c r="U1380" s="85">
        <f t="shared" si="376"/>
        <v>0.66508763163888884</v>
      </c>
      <c r="V1380" s="86">
        <f t="shared" si="377"/>
        <v>0</v>
      </c>
      <c r="W1380" s="86">
        <f t="shared" si="378"/>
        <v>0</v>
      </c>
      <c r="X1380" s="86" t="e">
        <f>((PI()*((42-2*'Gen Calcs'!$E$13)^2)/4)/144)*(A1423-#REF!)*(W1380+14.7)/14.7</f>
        <v>#REF!</v>
      </c>
      <c r="Y1380" s="86" t="e">
        <f t="shared" si="379"/>
        <v>#REF!</v>
      </c>
      <c r="Z1380" s="86" t="e">
        <f t="shared" si="380"/>
        <v>#REF!</v>
      </c>
      <c r="AA1380" s="83">
        <f>MAX(B$2:B1380)-B1380</f>
        <v>171.82640000000004</v>
      </c>
      <c r="AB1380" s="83">
        <f t="shared" si="381"/>
        <v>74.400831200000013</v>
      </c>
      <c r="AC1380" s="83">
        <f t="shared" si="370"/>
        <v>120</v>
      </c>
      <c r="AD1380" s="72">
        <v>120</v>
      </c>
      <c r="AE1380" s="73">
        <f t="shared" si="382"/>
        <v>689.79019455641571</v>
      </c>
      <c r="AF1380" s="73">
        <f>SUM(AE$2:AE1380)</f>
        <v>1165362.8936915325</v>
      </c>
      <c r="AG1380" s="73">
        <f t="shared" si="383"/>
        <v>8367.0087355766445</v>
      </c>
    </row>
    <row r="1381" spans="1:33" x14ac:dyDescent="0.25">
      <c r="A1381" s="99">
        <v>224399.92</v>
      </c>
      <c r="B1381" s="96">
        <v>769.25699999999995</v>
      </c>
      <c r="C1381" s="96">
        <v>0.6</v>
      </c>
      <c r="D1381" s="80">
        <f t="shared" si="384"/>
        <v>22.020000000018626</v>
      </c>
      <c r="E1381" s="81">
        <f t="shared" si="371"/>
        <v>1584.6920623419628</v>
      </c>
      <c r="F1381" s="81">
        <f>SUM(E$2:E1381)</f>
        <v>8724842.4319559</v>
      </c>
      <c r="G1381" s="43">
        <f t="shared" si="369"/>
        <v>1</v>
      </c>
      <c r="H1381" s="78">
        <v>1</v>
      </c>
      <c r="I1381" s="15">
        <f t="shared" si="372"/>
        <v>0.6</v>
      </c>
      <c r="J1381" s="16">
        <f>VLOOKUP(G1381,Inputs!$L$3:$P$15,5,FALSE)</f>
        <v>2000</v>
      </c>
      <c r="K1381" s="16">
        <f t="shared" si="373"/>
        <v>1825</v>
      </c>
      <c r="L1381" s="79">
        <f>Inputs!$P$8-B1381</f>
        <v>168.93400000000008</v>
      </c>
      <c r="M1381" s="79">
        <f>Inputs!$Q$8+L1381*0.433</f>
        <v>1898.148422</v>
      </c>
      <c r="N1381" s="82">
        <f t="shared" si="374"/>
        <v>224399.92</v>
      </c>
      <c r="O1381" s="83">
        <f t="shared" si="375"/>
        <v>769.25699999999995</v>
      </c>
      <c r="P1381" s="84">
        <f>IF(O1381="","",Inputs!$C$5-O1381)</f>
        <v>55.927500000000009</v>
      </c>
      <c r="Q1381" s="83">
        <f>IF(N1381="","",TS!J1381)</f>
        <v>2000</v>
      </c>
      <c r="R1381" s="83">
        <f>IF(N1381="","",TS!K1381)</f>
        <v>1825</v>
      </c>
      <c r="S1381" s="83">
        <f>Inputs!$H$5+TS!P1381*0.4333</f>
        <v>1899.1991022</v>
      </c>
      <c r="T1381" s="83">
        <f>Inputs!$G$5+TS!P1381*0.4333</f>
        <v>1914.1991022</v>
      </c>
      <c r="U1381" s="85">
        <f t="shared" si="376"/>
        <v>0.9570995511</v>
      </c>
      <c r="V1381" s="86">
        <f t="shared" si="377"/>
        <v>0</v>
      </c>
      <c r="W1381" s="86">
        <f t="shared" si="378"/>
        <v>0</v>
      </c>
      <c r="X1381" s="86" t="e">
        <f>((PI()*((42-2*'Gen Calcs'!$E$13)^2)/4)/144)*(A1424-#REF!)*(W1381+14.7)/14.7</f>
        <v>#REF!</v>
      </c>
      <c r="Y1381" s="86" t="e">
        <f t="shared" si="379"/>
        <v>#REF!</v>
      </c>
      <c r="Z1381" s="86" t="e">
        <f t="shared" si="380"/>
        <v>#REF!</v>
      </c>
      <c r="AA1381" s="83">
        <f>MAX(B$2:B1381)-B1381</f>
        <v>168.93400000000008</v>
      </c>
      <c r="AB1381" s="83">
        <f t="shared" si="381"/>
        <v>73.148422000000039</v>
      </c>
      <c r="AC1381" s="83">
        <f t="shared" si="370"/>
        <v>120</v>
      </c>
      <c r="AD1381" s="72">
        <v>120</v>
      </c>
      <c r="AE1381" s="73">
        <f t="shared" si="382"/>
        <v>199.92404497078562</v>
      </c>
      <c r="AF1381" s="73">
        <f>SUM(AE$2:AE1381)</f>
        <v>1165562.8177365034</v>
      </c>
      <c r="AG1381" s="73">
        <f t="shared" si="383"/>
        <v>8167.0846906057559</v>
      </c>
    </row>
    <row r="1382" spans="1:33" x14ac:dyDescent="0.25">
      <c r="A1382" s="100">
        <v>224499.92</v>
      </c>
      <c r="B1382" s="97">
        <v>772.74080000000004</v>
      </c>
      <c r="C1382" s="97">
        <v>0.6</v>
      </c>
      <c r="D1382" s="80">
        <f t="shared" si="384"/>
        <v>100</v>
      </c>
      <c r="E1382" s="81">
        <f t="shared" si="371"/>
        <v>7196.6033712108183</v>
      </c>
      <c r="F1382" s="81">
        <f>SUM(E$2:E1382)</f>
        <v>8732039.0353271104</v>
      </c>
      <c r="G1382" s="43">
        <f t="shared" si="369"/>
        <v>1</v>
      </c>
      <c r="H1382" s="78">
        <v>1</v>
      </c>
      <c r="I1382" s="15">
        <f t="shared" si="372"/>
        <v>0.6</v>
      </c>
      <c r="J1382" s="16">
        <f>VLOOKUP(G1382,Inputs!$L$3:$P$15,5,FALSE)</f>
        <v>2000</v>
      </c>
      <c r="K1382" s="16">
        <f t="shared" si="373"/>
        <v>1825</v>
      </c>
      <c r="L1382" s="79">
        <f>Inputs!$P$8-B1382</f>
        <v>165.4502</v>
      </c>
      <c r="M1382" s="79">
        <f>Inputs!$Q$8+L1382*0.433</f>
        <v>1896.6399366000001</v>
      </c>
      <c r="N1382" s="82">
        <f t="shared" si="374"/>
        <v>224499.92</v>
      </c>
      <c r="O1382" s="83">
        <f t="shared" si="375"/>
        <v>772.74080000000004</v>
      </c>
      <c r="P1382" s="84">
        <f>IF(O1382="","",Inputs!$C$5-O1382)</f>
        <v>52.443699999999922</v>
      </c>
      <c r="Q1382" s="83">
        <f>IF(N1382="","",TS!J1382)</f>
        <v>2000</v>
      </c>
      <c r="R1382" s="83">
        <f>IF(N1382="","",TS!K1382)</f>
        <v>1825</v>
      </c>
      <c r="S1382" s="83">
        <f>Inputs!$H$5+TS!P1382*0.4333</f>
        <v>1897.68957166</v>
      </c>
      <c r="T1382" s="83">
        <f>Inputs!$G$5+TS!P1382*0.4333</f>
        <v>1912.68957166</v>
      </c>
      <c r="U1382" s="85">
        <f t="shared" si="376"/>
        <v>0.95634478582999993</v>
      </c>
      <c r="V1382" s="86">
        <f t="shared" si="377"/>
        <v>0</v>
      </c>
      <c r="W1382" s="86">
        <f t="shared" si="378"/>
        <v>0</v>
      </c>
      <c r="X1382" s="86" t="e">
        <f>((PI()*((42-2*'Gen Calcs'!$E$13)^2)/4)/144)*(A1425-#REF!)*(W1382+14.7)/14.7</f>
        <v>#REF!</v>
      </c>
      <c r="Y1382" s="86" t="e">
        <f t="shared" si="379"/>
        <v>#REF!</v>
      </c>
      <c r="Z1382" s="86" t="e">
        <f t="shared" si="380"/>
        <v>#REF!</v>
      </c>
      <c r="AA1382" s="83">
        <f>MAX(B$2:B1382)-B1382</f>
        <v>165.4502</v>
      </c>
      <c r="AB1382" s="83">
        <f t="shared" si="381"/>
        <v>71.639936599999999</v>
      </c>
      <c r="AC1382" s="83">
        <f t="shared" si="370"/>
        <v>120</v>
      </c>
      <c r="AD1382" s="72">
        <v>120</v>
      </c>
      <c r="AE1382" s="73">
        <f t="shared" si="382"/>
        <v>907.92027688745009</v>
      </c>
      <c r="AF1382" s="73">
        <f>SUM(AE$2:AE1382)</f>
        <v>1166470.7380133909</v>
      </c>
      <c r="AG1382" s="73">
        <f t="shared" si="383"/>
        <v>7259.1644137182739</v>
      </c>
    </row>
    <row r="1383" spans="1:33" x14ac:dyDescent="0.25">
      <c r="A1383" s="99">
        <v>224599.92</v>
      </c>
      <c r="B1383" s="96">
        <v>772.47609999999997</v>
      </c>
      <c r="C1383" s="96">
        <v>0.6</v>
      </c>
      <c r="D1383" s="80">
        <f t="shared" si="384"/>
        <v>100</v>
      </c>
      <c r="E1383" s="81">
        <f t="shared" si="371"/>
        <v>7196.6033712108183</v>
      </c>
      <c r="F1383" s="81">
        <f>SUM(E$2:E1383)</f>
        <v>8739235.6386983208</v>
      </c>
      <c r="G1383" s="43">
        <f t="shared" si="369"/>
        <v>1</v>
      </c>
      <c r="H1383" s="78">
        <v>1</v>
      </c>
      <c r="I1383" s="15">
        <f t="shared" si="372"/>
        <v>0.6</v>
      </c>
      <c r="J1383" s="16">
        <f>VLOOKUP(G1383,Inputs!$L$3:$P$15,5,FALSE)</f>
        <v>2000</v>
      </c>
      <c r="K1383" s="16">
        <f t="shared" si="373"/>
        <v>1825</v>
      </c>
      <c r="L1383" s="79">
        <f>Inputs!$P$8-B1383</f>
        <v>165.71490000000006</v>
      </c>
      <c r="M1383" s="79">
        <f>Inputs!$Q$8+L1383*0.433</f>
        <v>1896.7545517000001</v>
      </c>
      <c r="N1383" s="82">
        <f t="shared" si="374"/>
        <v>224599.92</v>
      </c>
      <c r="O1383" s="83">
        <f t="shared" si="375"/>
        <v>772.47609999999997</v>
      </c>
      <c r="P1383" s="84">
        <f>IF(O1383="","",Inputs!$C$5-O1383)</f>
        <v>52.708399999999983</v>
      </c>
      <c r="Q1383" s="83">
        <f>IF(N1383="","",TS!J1383)</f>
        <v>2000</v>
      </c>
      <c r="R1383" s="83">
        <f>IF(N1383="","",TS!K1383)</f>
        <v>1825</v>
      </c>
      <c r="S1383" s="83">
        <f>Inputs!$H$5+TS!P1383*0.4333</f>
        <v>1897.8042661699999</v>
      </c>
      <c r="T1383" s="83">
        <f>Inputs!$G$5+TS!P1383*0.4333</f>
        <v>1912.8042661699999</v>
      </c>
      <c r="U1383" s="85">
        <f t="shared" si="376"/>
        <v>0.95640213308499999</v>
      </c>
      <c r="V1383" s="86">
        <f t="shared" si="377"/>
        <v>0</v>
      </c>
      <c r="W1383" s="86">
        <f t="shared" si="378"/>
        <v>0</v>
      </c>
      <c r="X1383" s="86" t="e">
        <f>((PI()*((42-2*'Gen Calcs'!$E$13)^2)/4)/144)*(A1426-#REF!)*(W1383+14.7)/14.7</f>
        <v>#REF!</v>
      </c>
      <c r="Y1383" s="86" t="e">
        <f t="shared" si="379"/>
        <v>#REF!</v>
      </c>
      <c r="Z1383" s="86" t="e">
        <f t="shared" si="380"/>
        <v>#REF!</v>
      </c>
      <c r="AA1383" s="83">
        <f>MAX(B$2:B1383)-B1383</f>
        <v>165.71490000000006</v>
      </c>
      <c r="AB1383" s="83">
        <f t="shared" si="381"/>
        <v>71.754551700000022</v>
      </c>
      <c r="AC1383" s="83">
        <f t="shared" si="370"/>
        <v>120</v>
      </c>
      <c r="AD1383" s="72">
        <v>120</v>
      </c>
      <c r="AE1383" s="73">
        <f t="shared" si="382"/>
        <v>907.92027688745009</v>
      </c>
      <c r="AF1383" s="73">
        <f>SUM(AE$2:AE1383)</f>
        <v>1167378.6582902784</v>
      </c>
      <c r="AG1383" s="73">
        <f t="shared" si="383"/>
        <v>6351.2441368307918</v>
      </c>
    </row>
    <row r="1384" spans="1:33" x14ac:dyDescent="0.25">
      <c r="A1384" s="100">
        <v>224617.9</v>
      </c>
      <c r="B1384" s="97">
        <v>772.47609999999997</v>
      </c>
      <c r="C1384" s="97">
        <v>0.86399999999999999</v>
      </c>
      <c r="D1384" s="80">
        <f t="shared" si="384"/>
        <v>17.979999999981374</v>
      </c>
      <c r="E1384" s="81">
        <f t="shared" si="371"/>
        <v>1293.9492861423646</v>
      </c>
      <c r="F1384" s="81">
        <f>SUM(E$2:E1384)</f>
        <v>8740529.5879844632</v>
      </c>
      <c r="G1384" s="43">
        <f t="shared" si="369"/>
        <v>2</v>
      </c>
      <c r="H1384" s="78">
        <v>1</v>
      </c>
      <c r="I1384" s="15">
        <f t="shared" si="372"/>
        <v>0.86399999999999999</v>
      </c>
      <c r="J1384" s="16">
        <f>VLOOKUP(G1384,Inputs!$L$3:$P$15,5,FALSE)</f>
        <v>2880</v>
      </c>
      <c r="K1384" s="16">
        <f t="shared" si="373"/>
        <v>1825</v>
      </c>
      <c r="L1384" s="79">
        <f>Inputs!$P$8-B1384</f>
        <v>165.71490000000006</v>
      </c>
      <c r="M1384" s="79">
        <f>Inputs!$Q$8+L1384*0.433</f>
        <v>1896.7545517000001</v>
      </c>
      <c r="N1384" s="82">
        <f t="shared" si="374"/>
        <v>224617.9</v>
      </c>
      <c r="O1384" s="83">
        <f t="shared" si="375"/>
        <v>772.47609999999997</v>
      </c>
      <c r="P1384" s="84">
        <f>IF(O1384="","",Inputs!$C$5-O1384)</f>
        <v>52.708399999999983</v>
      </c>
      <c r="Q1384" s="83">
        <f>IF(N1384="","",TS!J1384)</f>
        <v>2880</v>
      </c>
      <c r="R1384" s="83">
        <f>IF(N1384="","",TS!K1384)</f>
        <v>1825</v>
      </c>
      <c r="S1384" s="83">
        <f>Inputs!$H$5+TS!P1384*0.4333</f>
        <v>1897.8042661699999</v>
      </c>
      <c r="T1384" s="83">
        <f>Inputs!$G$5+TS!P1384*0.4333</f>
        <v>1912.8042661699999</v>
      </c>
      <c r="U1384" s="85">
        <f t="shared" si="376"/>
        <v>0.66416814797569446</v>
      </c>
      <c r="V1384" s="86">
        <f t="shared" si="377"/>
        <v>0</v>
      </c>
      <c r="W1384" s="86">
        <f t="shared" si="378"/>
        <v>0</v>
      </c>
      <c r="X1384" s="86" t="e">
        <f>((PI()*((42-2*'Gen Calcs'!$E$13)^2)/4)/144)*(A1427-#REF!)*(W1384+14.7)/14.7</f>
        <v>#REF!</v>
      </c>
      <c r="Y1384" s="86" t="e">
        <f t="shared" si="379"/>
        <v>#REF!</v>
      </c>
      <c r="Z1384" s="86" t="e">
        <f t="shared" si="380"/>
        <v>#REF!</v>
      </c>
      <c r="AA1384" s="83">
        <f>MAX(B$2:B1384)-B1384</f>
        <v>165.71490000000006</v>
      </c>
      <c r="AB1384" s="83">
        <f t="shared" si="381"/>
        <v>71.754551700000022</v>
      </c>
      <c r="AC1384" s="83">
        <f t="shared" si="370"/>
        <v>120</v>
      </c>
      <c r="AD1384" s="72">
        <v>120</v>
      </c>
      <c r="AE1384" s="73">
        <f t="shared" si="382"/>
        <v>159.04626440259642</v>
      </c>
      <c r="AF1384" s="73">
        <f>SUM(AE$2:AE1384)</f>
        <v>1167537.704554681</v>
      </c>
      <c r="AG1384" s="73">
        <f t="shared" si="383"/>
        <v>6192.1978724282235</v>
      </c>
    </row>
    <row r="1385" spans="1:33" x14ac:dyDescent="0.25">
      <c r="A1385" s="99">
        <v>224699.92</v>
      </c>
      <c r="B1385" s="96">
        <v>771.20209999999997</v>
      </c>
      <c r="C1385" s="96">
        <v>0.6</v>
      </c>
      <c r="D1385" s="80">
        <f t="shared" si="384"/>
        <v>82.020000000018626</v>
      </c>
      <c r="E1385" s="81">
        <f t="shared" si="371"/>
        <v>5902.6540850684532</v>
      </c>
      <c r="F1385" s="81">
        <f>SUM(E$2:E1385)</f>
        <v>8746432.2420695312</v>
      </c>
      <c r="G1385" s="43">
        <f t="shared" si="369"/>
        <v>1</v>
      </c>
      <c r="H1385" s="78">
        <v>1</v>
      </c>
      <c r="I1385" s="15">
        <f t="shared" si="372"/>
        <v>0.6</v>
      </c>
      <c r="J1385" s="16">
        <f>VLOOKUP(G1385,Inputs!$L$3:$P$15,5,FALSE)</f>
        <v>2000</v>
      </c>
      <c r="K1385" s="16">
        <f t="shared" si="373"/>
        <v>1825</v>
      </c>
      <c r="L1385" s="79">
        <f>Inputs!$P$8-B1385</f>
        <v>166.98890000000006</v>
      </c>
      <c r="M1385" s="79">
        <f>Inputs!$Q$8+L1385*0.433</f>
        <v>1897.3061937</v>
      </c>
      <c r="N1385" s="82">
        <f t="shared" si="374"/>
        <v>224699.92</v>
      </c>
      <c r="O1385" s="83">
        <f t="shared" si="375"/>
        <v>771.20209999999997</v>
      </c>
      <c r="P1385" s="84">
        <f>IF(O1385="","",Inputs!$C$5-O1385)</f>
        <v>53.982399999999984</v>
      </c>
      <c r="Q1385" s="83">
        <f>IF(N1385="","",TS!J1385)</f>
        <v>2000</v>
      </c>
      <c r="R1385" s="83">
        <f>IF(N1385="","",TS!K1385)</f>
        <v>1825</v>
      </c>
      <c r="S1385" s="83">
        <f>Inputs!$H$5+TS!P1385*0.4333</f>
        <v>1898.3562903699999</v>
      </c>
      <c r="T1385" s="83">
        <f>Inputs!$G$5+TS!P1385*0.4333</f>
        <v>1913.3562903699999</v>
      </c>
      <c r="U1385" s="85">
        <f t="shared" si="376"/>
        <v>0.95667814518499994</v>
      </c>
      <c r="V1385" s="86">
        <f t="shared" si="377"/>
        <v>0</v>
      </c>
      <c r="W1385" s="86">
        <f t="shared" si="378"/>
        <v>0</v>
      </c>
      <c r="X1385" s="86" t="e">
        <f>((PI()*((42-2*'Gen Calcs'!$E$13)^2)/4)/144)*(A1428-#REF!)*(W1385+14.7)/14.7</f>
        <v>#REF!</v>
      </c>
      <c r="Y1385" s="86" t="e">
        <f t="shared" si="379"/>
        <v>#REF!</v>
      </c>
      <c r="Z1385" s="86" t="e">
        <f t="shared" si="380"/>
        <v>#REF!</v>
      </c>
      <c r="AA1385" s="83">
        <f>MAX(B$2:B1385)-B1385</f>
        <v>166.98890000000006</v>
      </c>
      <c r="AB1385" s="83">
        <f t="shared" si="381"/>
        <v>72.306193700000023</v>
      </c>
      <c r="AC1385" s="83">
        <f t="shared" si="370"/>
        <v>120</v>
      </c>
      <c r="AD1385" s="72">
        <v>120</v>
      </c>
      <c r="AE1385" s="73">
        <f t="shared" si="382"/>
        <v>744.6762111032557</v>
      </c>
      <c r="AF1385" s="73">
        <f>SUM(AE$2:AE1385)</f>
        <v>1168282.3807657843</v>
      </c>
      <c r="AG1385" s="73">
        <f t="shared" si="383"/>
        <v>5447.5216613248922</v>
      </c>
    </row>
    <row r="1386" spans="1:33" x14ac:dyDescent="0.25">
      <c r="A1386" s="100">
        <v>224799.92</v>
      </c>
      <c r="B1386" s="97">
        <v>768.02829999999994</v>
      </c>
      <c r="C1386" s="97">
        <v>0.6</v>
      </c>
      <c r="D1386" s="80">
        <f t="shared" si="384"/>
        <v>100</v>
      </c>
      <c r="E1386" s="81">
        <f t="shared" si="371"/>
        <v>7196.6033712108183</v>
      </c>
      <c r="F1386" s="81">
        <f>SUM(E$2:E1386)</f>
        <v>8753628.8454407416</v>
      </c>
      <c r="G1386" s="43">
        <f t="shared" si="369"/>
        <v>1</v>
      </c>
      <c r="H1386" s="78">
        <v>1</v>
      </c>
      <c r="I1386" s="15">
        <f t="shared" si="372"/>
        <v>0.6</v>
      </c>
      <c r="J1386" s="16">
        <f>VLOOKUP(G1386,Inputs!$L$3:$P$15,5,FALSE)</f>
        <v>2000</v>
      </c>
      <c r="K1386" s="16">
        <f t="shared" si="373"/>
        <v>1825</v>
      </c>
      <c r="L1386" s="79">
        <f>Inputs!$P$8-B1386</f>
        <v>170.16270000000009</v>
      </c>
      <c r="M1386" s="79">
        <f>Inputs!$Q$8+L1386*0.433</f>
        <v>1898.6804491</v>
      </c>
      <c r="N1386" s="82">
        <f t="shared" si="374"/>
        <v>224799.92</v>
      </c>
      <c r="O1386" s="83">
        <f t="shared" si="375"/>
        <v>768.02829999999994</v>
      </c>
      <c r="P1386" s="84">
        <f>IF(O1386="","",Inputs!$C$5-O1386)</f>
        <v>57.156200000000013</v>
      </c>
      <c r="Q1386" s="83">
        <f>IF(N1386="","",TS!J1386)</f>
        <v>2000</v>
      </c>
      <c r="R1386" s="83">
        <f>IF(N1386="","",TS!K1386)</f>
        <v>1825</v>
      </c>
      <c r="S1386" s="83">
        <f>Inputs!$H$5+TS!P1386*0.4333</f>
        <v>1899.7314979099999</v>
      </c>
      <c r="T1386" s="83">
        <f>Inputs!$G$5+TS!P1386*0.4333</f>
        <v>1914.7314979099999</v>
      </c>
      <c r="U1386" s="85">
        <f t="shared" si="376"/>
        <v>0.95736574895499993</v>
      </c>
      <c r="V1386" s="86">
        <f t="shared" si="377"/>
        <v>0</v>
      </c>
      <c r="W1386" s="86">
        <f t="shared" si="378"/>
        <v>0</v>
      </c>
      <c r="X1386" s="86" t="e">
        <f>((PI()*((42-2*'Gen Calcs'!$E$13)^2)/4)/144)*(A1429-#REF!)*(W1386+14.7)/14.7</f>
        <v>#REF!</v>
      </c>
      <c r="Y1386" s="86" t="e">
        <f t="shared" si="379"/>
        <v>#REF!</v>
      </c>
      <c r="Z1386" s="86" t="e">
        <f t="shared" si="380"/>
        <v>#REF!</v>
      </c>
      <c r="AA1386" s="83">
        <f>MAX(B$2:B1386)-B1386</f>
        <v>170.16270000000009</v>
      </c>
      <c r="AB1386" s="83">
        <f t="shared" si="381"/>
        <v>73.680449100000033</v>
      </c>
      <c r="AC1386" s="83">
        <f t="shared" si="370"/>
        <v>120</v>
      </c>
      <c r="AD1386" s="72">
        <v>120</v>
      </c>
      <c r="AE1386" s="73">
        <f t="shared" si="382"/>
        <v>907.92027688745009</v>
      </c>
      <c r="AF1386" s="73">
        <f>SUM(AE$2:AE1386)</f>
        <v>1169190.3010426718</v>
      </c>
      <c r="AG1386" s="73">
        <f t="shared" si="383"/>
        <v>4539.6013844374102</v>
      </c>
    </row>
    <row r="1387" spans="1:33" x14ac:dyDescent="0.25">
      <c r="A1387" s="99">
        <v>224899.92</v>
      </c>
      <c r="B1387" s="96">
        <v>765.27930000000003</v>
      </c>
      <c r="C1387" s="96">
        <v>0.6</v>
      </c>
      <c r="D1387" s="80">
        <f t="shared" si="384"/>
        <v>100</v>
      </c>
      <c r="E1387" s="81">
        <f t="shared" si="371"/>
        <v>7196.6033712108183</v>
      </c>
      <c r="F1387" s="81">
        <f>SUM(E$2:E1387)</f>
        <v>8760825.448811952</v>
      </c>
      <c r="G1387" s="43">
        <f t="shared" si="369"/>
        <v>1</v>
      </c>
      <c r="H1387" s="78">
        <v>1</v>
      </c>
      <c r="I1387" s="15">
        <f t="shared" si="372"/>
        <v>0.6</v>
      </c>
      <c r="J1387" s="16">
        <f>VLOOKUP(G1387,Inputs!$L$3:$P$15,5,FALSE)</f>
        <v>2000</v>
      </c>
      <c r="K1387" s="16">
        <f t="shared" si="373"/>
        <v>1825</v>
      </c>
      <c r="L1387" s="79">
        <f>Inputs!$P$8-B1387</f>
        <v>172.9117</v>
      </c>
      <c r="M1387" s="79">
        <f>Inputs!$Q$8+L1387*0.433</f>
        <v>1899.8707661000001</v>
      </c>
      <c r="N1387" s="82">
        <f t="shared" si="374"/>
        <v>224899.92</v>
      </c>
      <c r="O1387" s="83">
        <f t="shared" si="375"/>
        <v>765.27930000000003</v>
      </c>
      <c r="P1387" s="84">
        <f>IF(O1387="","",Inputs!$C$5-O1387)</f>
        <v>59.905199999999923</v>
      </c>
      <c r="Q1387" s="83">
        <f>IF(N1387="","",TS!J1387)</f>
        <v>2000</v>
      </c>
      <c r="R1387" s="83">
        <f>IF(N1387="","",TS!K1387)</f>
        <v>1825</v>
      </c>
      <c r="S1387" s="83">
        <f>Inputs!$H$5+TS!P1387*0.4333</f>
        <v>1900.9226396099998</v>
      </c>
      <c r="T1387" s="83">
        <f>Inputs!$G$5+TS!P1387*0.4333</f>
        <v>1915.9226396099998</v>
      </c>
      <c r="U1387" s="85">
        <f t="shared" si="376"/>
        <v>0.95796131980499988</v>
      </c>
      <c r="V1387" s="86">
        <f t="shared" si="377"/>
        <v>0</v>
      </c>
      <c r="W1387" s="86">
        <f t="shared" si="378"/>
        <v>0</v>
      </c>
      <c r="X1387" s="86" t="e">
        <f>((PI()*((42-2*'Gen Calcs'!$E$13)^2)/4)/144)*(A1430-#REF!)*(W1387+14.7)/14.7</f>
        <v>#REF!</v>
      </c>
      <c r="Y1387" s="86" t="e">
        <f t="shared" si="379"/>
        <v>#REF!</v>
      </c>
      <c r="Z1387" s="86" t="e">
        <f t="shared" si="380"/>
        <v>#REF!</v>
      </c>
      <c r="AA1387" s="83">
        <f>MAX(B$2:B1387)-B1387</f>
        <v>172.9117</v>
      </c>
      <c r="AB1387" s="83">
        <f t="shared" si="381"/>
        <v>74.870766099999997</v>
      </c>
      <c r="AC1387" s="83">
        <f t="shared" si="370"/>
        <v>120</v>
      </c>
      <c r="AD1387" s="72">
        <v>120</v>
      </c>
      <c r="AE1387" s="73">
        <f t="shared" si="382"/>
        <v>907.92027688745009</v>
      </c>
      <c r="AF1387" s="73">
        <f>SUM(AE$2:AE1387)</f>
        <v>1170098.2213195593</v>
      </c>
      <c r="AG1387" s="73">
        <f t="shared" si="383"/>
        <v>3631.6811075499281</v>
      </c>
    </row>
    <row r="1388" spans="1:33" x14ac:dyDescent="0.25">
      <c r="A1388" s="100">
        <v>224999.92</v>
      </c>
      <c r="B1388" s="97">
        <v>762.28279999999995</v>
      </c>
      <c r="C1388" s="97">
        <v>0.6</v>
      </c>
      <c r="D1388" s="80">
        <f t="shared" si="384"/>
        <v>100</v>
      </c>
      <c r="E1388" s="81">
        <f t="shared" si="371"/>
        <v>7196.6033712108183</v>
      </c>
      <c r="F1388" s="81">
        <f>SUM(E$2:E1388)</f>
        <v>8768022.0521831624</v>
      </c>
      <c r="G1388" s="43">
        <f t="shared" si="369"/>
        <v>1</v>
      </c>
      <c r="H1388" s="78">
        <v>1</v>
      </c>
      <c r="I1388" s="15">
        <f t="shared" si="372"/>
        <v>0.6</v>
      </c>
      <c r="J1388" s="16">
        <f>VLOOKUP(G1388,Inputs!$L$3:$P$15,5,FALSE)</f>
        <v>2000</v>
      </c>
      <c r="K1388" s="16">
        <f t="shared" si="373"/>
        <v>1825</v>
      </c>
      <c r="L1388" s="79">
        <f>Inputs!$P$8-B1388</f>
        <v>175.90820000000008</v>
      </c>
      <c r="M1388" s="79">
        <f>Inputs!$Q$8+L1388*0.433</f>
        <v>1901.1682506</v>
      </c>
      <c r="N1388" s="82">
        <f t="shared" si="374"/>
        <v>224999.92</v>
      </c>
      <c r="O1388" s="83">
        <f t="shared" si="375"/>
        <v>762.28279999999995</v>
      </c>
      <c r="P1388" s="84">
        <f>IF(O1388="","",Inputs!$C$5-O1388)</f>
        <v>62.901700000000005</v>
      </c>
      <c r="Q1388" s="83">
        <f>IF(N1388="","",TS!J1388)</f>
        <v>2000</v>
      </c>
      <c r="R1388" s="83">
        <f>IF(N1388="","",TS!K1388)</f>
        <v>1825</v>
      </c>
      <c r="S1388" s="83">
        <f>Inputs!$H$5+TS!P1388*0.4333</f>
        <v>1902.2210230599999</v>
      </c>
      <c r="T1388" s="83">
        <f>Inputs!$G$5+TS!P1388*0.4333</f>
        <v>1917.2210230599999</v>
      </c>
      <c r="U1388" s="85">
        <f t="shared" si="376"/>
        <v>0.95861051152999999</v>
      </c>
      <c r="V1388" s="86">
        <f t="shared" si="377"/>
        <v>0</v>
      </c>
      <c r="W1388" s="86">
        <f t="shared" si="378"/>
        <v>0</v>
      </c>
      <c r="X1388" s="86" t="e">
        <f>((PI()*((42-2*'Gen Calcs'!$E$13)^2)/4)/144)*(A1431-#REF!)*(W1388+14.7)/14.7</f>
        <v>#REF!</v>
      </c>
      <c r="Y1388" s="86" t="e">
        <f t="shared" si="379"/>
        <v>#REF!</v>
      </c>
      <c r="Z1388" s="86" t="e">
        <f t="shared" si="380"/>
        <v>#REF!</v>
      </c>
      <c r="AA1388" s="83">
        <f>MAX(B$2:B1388)-B1388</f>
        <v>175.90820000000008</v>
      </c>
      <c r="AB1388" s="83">
        <f t="shared" si="381"/>
        <v>76.168250600000036</v>
      </c>
      <c r="AC1388" s="83">
        <f t="shared" si="370"/>
        <v>120</v>
      </c>
      <c r="AD1388" s="72">
        <v>120</v>
      </c>
      <c r="AE1388" s="73">
        <f t="shared" si="382"/>
        <v>907.92027688745009</v>
      </c>
      <c r="AF1388" s="73">
        <f>SUM(AE$2:AE1388)</f>
        <v>1171006.1415964467</v>
      </c>
      <c r="AG1388" s="73">
        <f t="shared" si="383"/>
        <v>2723.7608306624461</v>
      </c>
    </row>
    <row r="1389" spans="1:33" x14ac:dyDescent="0.25">
      <c r="A1389" s="99">
        <v>225099.92</v>
      </c>
      <c r="B1389" s="96">
        <v>759.30219999999997</v>
      </c>
      <c r="C1389" s="96">
        <v>0.6</v>
      </c>
      <c r="D1389" s="80">
        <f t="shared" si="384"/>
        <v>100</v>
      </c>
      <c r="E1389" s="81">
        <f t="shared" si="371"/>
        <v>7196.6033712108183</v>
      </c>
      <c r="F1389" s="81">
        <f>SUM(E$2:E1389)</f>
        <v>8775218.6555543728</v>
      </c>
      <c r="G1389" s="43">
        <f t="shared" si="369"/>
        <v>1</v>
      </c>
      <c r="H1389" s="78">
        <v>1</v>
      </c>
      <c r="I1389" s="15">
        <f t="shared" si="372"/>
        <v>0.6</v>
      </c>
      <c r="J1389" s="16">
        <f>VLOOKUP(G1389,Inputs!$L$3:$P$15,5,FALSE)</f>
        <v>2000</v>
      </c>
      <c r="K1389" s="16">
        <f t="shared" si="373"/>
        <v>1825</v>
      </c>
      <c r="L1389" s="79">
        <f>Inputs!$P$8-B1389</f>
        <v>178.88880000000006</v>
      </c>
      <c r="M1389" s="79">
        <f>Inputs!$Q$8+L1389*0.433</f>
        <v>1902.4588504000001</v>
      </c>
      <c r="N1389" s="82">
        <f t="shared" si="374"/>
        <v>225099.92</v>
      </c>
      <c r="O1389" s="83">
        <f t="shared" si="375"/>
        <v>759.30219999999997</v>
      </c>
      <c r="P1389" s="84">
        <f>IF(O1389="","",Inputs!$C$5-O1389)</f>
        <v>65.882299999999987</v>
      </c>
      <c r="Q1389" s="83">
        <f>IF(N1389="","",TS!J1389)</f>
        <v>2000</v>
      </c>
      <c r="R1389" s="83">
        <f>IF(N1389="","",TS!K1389)</f>
        <v>1825</v>
      </c>
      <c r="S1389" s="83">
        <f>Inputs!$H$5+TS!P1389*0.4333</f>
        <v>1903.5125170399999</v>
      </c>
      <c r="T1389" s="83">
        <f>Inputs!$G$5+TS!P1389*0.4333</f>
        <v>1918.5125170399999</v>
      </c>
      <c r="U1389" s="85">
        <f t="shared" si="376"/>
        <v>0.95925625851999996</v>
      </c>
      <c r="V1389" s="86">
        <f t="shared" si="377"/>
        <v>0</v>
      </c>
      <c r="W1389" s="86">
        <f t="shared" si="378"/>
        <v>0</v>
      </c>
      <c r="X1389" s="86" t="e">
        <f>((PI()*((42-2*'Gen Calcs'!$E$13)^2)/4)/144)*(A1432-#REF!)*(W1389+14.7)/14.7</f>
        <v>#REF!</v>
      </c>
      <c r="Y1389" s="86" t="e">
        <f t="shared" si="379"/>
        <v>#REF!</v>
      </c>
      <c r="Z1389" s="86" t="e">
        <f t="shared" si="380"/>
        <v>#REF!</v>
      </c>
      <c r="AA1389" s="83">
        <f>MAX(B$2:B1389)-B1389</f>
        <v>178.88880000000006</v>
      </c>
      <c r="AB1389" s="83">
        <f t="shared" si="381"/>
        <v>77.458850400000031</v>
      </c>
      <c r="AC1389" s="83">
        <f t="shared" si="370"/>
        <v>120</v>
      </c>
      <c r="AD1389" s="72">
        <v>120</v>
      </c>
      <c r="AE1389" s="73">
        <f t="shared" si="382"/>
        <v>907.92027688745009</v>
      </c>
      <c r="AF1389" s="73">
        <f>SUM(AE$2:AE1389)</f>
        <v>1171914.0618733342</v>
      </c>
      <c r="AG1389" s="73">
        <f t="shared" si="383"/>
        <v>1815.8405537749641</v>
      </c>
    </row>
    <row r="1390" spans="1:33" x14ac:dyDescent="0.25">
      <c r="A1390" s="100">
        <v>225199.92</v>
      </c>
      <c r="B1390" s="97">
        <v>757.02800000000002</v>
      </c>
      <c r="C1390" s="97">
        <v>0.6</v>
      </c>
      <c r="D1390" s="80">
        <f t="shared" si="384"/>
        <v>100</v>
      </c>
      <c r="E1390" s="81">
        <f t="shared" si="371"/>
        <v>7196.6033712108183</v>
      </c>
      <c r="F1390" s="81">
        <f>SUM(E$2:E1390)</f>
        <v>8782415.2589255832</v>
      </c>
      <c r="G1390" s="43">
        <f t="shared" si="369"/>
        <v>1</v>
      </c>
      <c r="H1390" s="78">
        <v>1</v>
      </c>
      <c r="I1390" s="15">
        <f t="shared" si="372"/>
        <v>0.6</v>
      </c>
      <c r="J1390" s="16">
        <f>VLOOKUP(G1390,Inputs!$L$3:$P$15,5,FALSE)</f>
        <v>2000</v>
      </c>
      <c r="K1390" s="16">
        <f t="shared" si="373"/>
        <v>1825</v>
      </c>
      <c r="L1390" s="79">
        <f>Inputs!$P$8-B1390</f>
        <v>181.16300000000001</v>
      </c>
      <c r="M1390" s="79">
        <f>Inputs!$Q$8+L1390*0.433</f>
        <v>1903.443579</v>
      </c>
      <c r="N1390" s="82">
        <f t="shared" si="374"/>
        <v>225199.92</v>
      </c>
      <c r="O1390" s="83">
        <f t="shared" si="375"/>
        <v>757.02800000000002</v>
      </c>
      <c r="P1390" s="84">
        <f>IF(O1390="","",Inputs!$C$5-O1390)</f>
        <v>68.156499999999937</v>
      </c>
      <c r="Q1390" s="83">
        <f>IF(N1390="","",TS!J1390)</f>
        <v>2000</v>
      </c>
      <c r="R1390" s="83">
        <f>IF(N1390="","",TS!K1390)</f>
        <v>1825</v>
      </c>
      <c r="S1390" s="83">
        <f>Inputs!$H$5+TS!P1390*0.4333</f>
        <v>1904.4979278999999</v>
      </c>
      <c r="T1390" s="83">
        <f>Inputs!$G$5+TS!P1390*0.4333</f>
        <v>1919.4979278999999</v>
      </c>
      <c r="U1390" s="85">
        <f t="shared" si="376"/>
        <v>0.95974896394999998</v>
      </c>
      <c r="V1390" s="86">
        <f t="shared" si="377"/>
        <v>0</v>
      </c>
      <c r="W1390" s="86">
        <f t="shared" si="378"/>
        <v>0</v>
      </c>
      <c r="X1390" s="86" t="e">
        <f>((PI()*((42-2*'Gen Calcs'!$E$13)^2)/4)/144)*(A1433-#REF!)*(W1390+14.7)/14.7</f>
        <v>#REF!</v>
      </c>
      <c r="Y1390" s="86" t="e">
        <f t="shared" si="379"/>
        <v>#REF!</v>
      </c>
      <c r="Z1390" s="86" t="e">
        <f t="shared" si="380"/>
        <v>#REF!</v>
      </c>
      <c r="AA1390" s="83">
        <f>MAX(B$2:B1390)-B1390</f>
        <v>181.16300000000001</v>
      </c>
      <c r="AB1390" s="83">
        <f t="shared" si="381"/>
        <v>78.443579</v>
      </c>
      <c r="AC1390" s="83">
        <f t="shared" si="370"/>
        <v>120</v>
      </c>
      <c r="AD1390" s="72">
        <v>120</v>
      </c>
      <c r="AE1390" s="73">
        <f t="shared" si="382"/>
        <v>907.92027688745009</v>
      </c>
      <c r="AF1390" s="73">
        <f>SUM(AE$2:AE1390)</f>
        <v>1172821.9821502217</v>
      </c>
      <c r="AG1390" s="73">
        <f t="shared" si="383"/>
        <v>907.92027688748203</v>
      </c>
    </row>
    <row r="1391" spans="1:33" x14ac:dyDescent="0.25">
      <c r="A1391" s="99">
        <v>225299.92</v>
      </c>
      <c r="B1391" s="98">
        <v>757.07960000000003</v>
      </c>
      <c r="C1391" s="98">
        <v>0.6</v>
      </c>
      <c r="D1391" s="80">
        <f t="shared" si="384"/>
        <v>100</v>
      </c>
      <c r="E1391" s="81">
        <f t="shared" si="371"/>
        <v>7196.6033712108183</v>
      </c>
      <c r="F1391" s="81">
        <f>SUM(E$2:E1391)</f>
        <v>8789611.8622967936</v>
      </c>
      <c r="G1391" s="43">
        <f t="shared" si="369"/>
        <v>1</v>
      </c>
      <c r="H1391" s="78">
        <v>1</v>
      </c>
      <c r="I1391" s="15">
        <f t="shared" si="372"/>
        <v>0.6</v>
      </c>
      <c r="J1391" s="16">
        <f>VLOOKUP(G1391,Inputs!$L$3:$P$15,5,FALSE)</f>
        <v>2000</v>
      </c>
      <c r="K1391" s="16">
        <f t="shared" si="373"/>
        <v>1825</v>
      </c>
      <c r="L1391" s="79">
        <f>Inputs!$P$8-B1391</f>
        <v>181.1114</v>
      </c>
      <c r="M1391" s="79">
        <f>Inputs!$Q$8+L1391*0.433</f>
        <v>1903.4212362000001</v>
      </c>
      <c r="N1391" s="82">
        <f t="shared" si="374"/>
        <v>225299.92</v>
      </c>
      <c r="O1391" s="83">
        <f t="shared" si="375"/>
        <v>757.07960000000003</v>
      </c>
      <c r="P1391" s="84">
        <f>IF(O1391="","",Inputs!$C$5-O1391)</f>
        <v>68.10489999999993</v>
      </c>
      <c r="Q1391" s="83">
        <f>IF(N1391="","",TS!J1391)</f>
        <v>2000</v>
      </c>
      <c r="R1391" s="83">
        <f>IF(N1391="","",TS!K1391)</f>
        <v>1825</v>
      </c>
      <c r="S1391" s="83">
        <f>Inputs!$H$5+TS!P1391*0.4333</f>
        <v>1904.47556962</v>
      </c>
      <c r="T1391" s="83">
        <f>Inputs!$G$5+TS!P1391*0.4333</f>
        <v>1919.47556962</v>
      </c>
      <c r="U1391" s="85">
        <f t="shared" si="376"/>
        <v>0.95973778480999994</v>
      </c>
      <c r="V1391" s="86">
        <f t="shared" si="377"/>
        <v>0</v>
      </c>
      <c r="W1391" s="86">
        <f t="shared" si="378"/>
        <v>0</v>
      </c>
      <c r="X1391" s="86" t="e">
        <f>((PI()*((42-2*'Gen Calcs'!$E$13)^2)/4)/144)*(A1434-#REF!)*(W1391+14.7)/14.7</f>
        <v>#REF!</v>
      </c>
      <c r="Y1391" s="86" t="e">
        <f t="shared" si="379"/>
        <v>#REF!</v>
      </c>
      <c r="Z1391" s="86" t="e">
        <f t="shared" si="380"/>
        <v>#REF!</v>
      </c>
      <c r="AA1391" s="83">
        <f>MAX(B$2:B1391)-B1391</f>
        <v>181.1114</v>
      </c>
      <c r="AB1391" s="83">
        <f t="shared" si="381"/>
        <v>78.421236199999996</v>
      </c>
      <c r="AC1391" s="83">
        <f t="shared" si="370"/>
        <v>120</v>
      </c>
      <c r="AD1391" s="72">
        <v>120</v>
      </c>
      <c r="AE1391" s="73">
        <f t="shared" si="382"/>
        <v>907.92027688745009</v>
      </c>
      <c r="AF1391" s="73">
        <f>SUM(AE$2:AE1391)</f>
        <v>1173729.9024271092</v>
      </c>
      <c r="AG1391" s="73">
        <f t="shared" si="383"/>
        <v>0</v>
      </c>
    </row>
  </sheetData>
  <autoFilter ref="A1:AD1391" xr:uid="{00000000-0009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9"/>
  <sheetViews>
    <sheetView showGridLines="0" view="pageBreakPreview" zoomScaleNormal="100" zoomScaleSheetLayoutView="100" workbookViewId="0">
      <selection activeCell="J15" sqref="J15"/>
    </sheetView>
  </sheetViews>
  <sheetFormatPr defaultRowHeight="15" x14ac:dyDescent="0.25"/>
  <cols>
    <col min="1" max="1" width="15" customWidth="1"/>
    <col min="2" max="3" width="13.28515625" customWidth="1"/>
    <col min="4" max="4" width="10.5703125" bestFit="1" customWidth="1"/>
    <col min="6" max="6" width="11.85546875" bestFit="1" customWidth="1"/>
    <col min="7" max="7" width="13.42578125" bestFit="1" customWidth="1"/>
    <col min="8" max="8" width="12.7109375" bestFit="1" customWidth="1"/>
    <col min="9" max="9" width="13.85546875" bestFit="1" customWidth="1"/>
    <col min="11" max="11" width="6.140625" bestFit="1" customWidth="1"/>
    <col min="12" max="12" width="13" bestFit="1" customWidth="1"/>
    <col min="13" max="13" width="6.7109375" bestFit="1" customWidth="1"/>
    <col min="14" max="14" width="10.7109375" bestFit="1" customWidth="1"/>
    <col min="15" max="15" width="10" bestFit="1" customWidth="1"/>
    <col min="17" max="17" width="29.7109375" bestFit="1" customWidth="1"/>
    <col min="18" max="18" width="10.140625" bestFit="1" customWidth="1"/>
    <col min="19" max="19" width="22.85546875" bestFit="1" customWidth="1"/>
  </cols>
  <sheetData>
    <row r="1" spans="1:18" x14ac:dyDescent="0.25">
      <c r="A1" s="106" t="s">
        <v>151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</row>
    <row r="2" spans="1:18" ht="15" customHeight="1" x14ac:dyDescent="0.25">
      <c r="A2" s="42" t="s">
        <v>150</v>
      </c>
      <c r="B2" s="12" t="s">
        <v>39</v>
      </c>
      <c r="C2" s="114" t="s">
        <v>12</v>
      </c>
      <c r="D2" s="115"/>
      <c r="E2" s="116"/>
      <c r="F2" s="11" t="s">
        <v>30</v>
      </c>
      <c r="G2" s="11" t="s">
        <v>34</v>
      </c>
      <c r="H2" s="25" t="s">
        <v>35</v>
      </c>
      <c r="I2" s="110" t="s">
        <v>137</v>
      </c>
      <c r="J2" s="110"/>
      <c r="L2" s="107" t="s">
        <v>27</v>
      </c>
      <c r="M2" s="107"/>
      <c r="N2" s="107"/>
      <c r="O2" s="107"/>
      <c r="P2" s="107"/>
      <c r="Q2" s="107"/>
    </row>
    <row r="3" spans="1:18" x14ac:dyDescent="0.25">
      <c r="A3" s="11" t="s">
        <v>20</v>
      </c>
      <c r="B3" s="58">
        <f>TS!A2</f>
        <v>95899.92</v>
      </c>
      <c r="C3" s="52">
        <f>INDEX(TS!B2:B1391, MATCH(Inputs!B3,TS!A2:A1391,0),1)</f>
        <v>825.18449999999996</v>
      </c>
      <c r="D3" s="11" t="s">
        <v>28</v>
      </c>
      <c r="E3" s="53">
        <f>MAX(TS!B2:B1391)</f>
        <v>938.19100000000003</v>
      </c>
      <c r="F3" s="48">
        <f>INDEX(TS!A2:A1391, MATCH(Inputs!E3,TS!B2:B1391,0),1)</f>
        <v>162799.92000000001</v>
      </c>
      <c r="G3" s="51">
        <f>VLOOKUP(F3,TS!N$2:S$1348,4,FALSE)</f>
        <v>2000</v>
      </c>
      <c r="H3" s="54">
        <f>VLOOKUP(F3,TS!N$2:S$1348,5,FALSE)</f>
        <v>1825</v>
      </c>
      <c r="I3" s="26" t="s">
        <v>43</v>
      </c>
      <c r="J3" s="26" t="s">
        <v>44</v>
      </c>
      <c r="L3" s="11" t="s">
        <v>15</v>
      </c>
      <c r="M3" s="12" t="s">
        <v>23</v>
      </c>
      <c r="N3" s="12" t="s">
        <v>24</v>
      </c>
      <c r="O3" s="12" t="s">
        <v>16</v>
      </c>
      <c r="P3" s="12" t="s">
        <v>17</v>
      </c>
      <c r="Q3" s="11" t="s">
        <v>26</v>
      </c>
    </row>
    <row r="4" spans="1:18" x14ac:dyDescent="0.25">
      <c r="A4" s="11" t="s">
        <v>21</v>
      </c>
      <c r="B4" s="58">
        <f>TS!A1391</f>
        <v>225299.92</v>
      </c>
      <c r="C4" s="52">
        <f>INDEX(TS!B2:B1391, MATCH(Inputs!B4,TS!A2:A1391,0),1)</f>
        <v>757.07960000000003</v>
      </c>
      <c r="D4" s="11" t="s">
        <v>29</v>
      </c>
      <c r="E4" s="53">
        <f>MIN(TS!B2:B1391)</f>
        <v>572.81079999999997</v>
      </c>
      <c r="F4" s="48">
        <f>INDEX(TS!A2:A1391, MATCH(Inputs!E4,TS!B2:B1391,0),1)</f>
        <v>116999.92</v>
      </c>
      <c r="G4" s="51">
        <f>VLOOKUP(F4,TS!N$2:S$1348,4,FALSE)</f>
        <v>2000</v>
      </c>
      <c r="H4" s="54">
        <f>VLOOKUP(F4,TS!N$2:S$1348,5,FALSE)</f>
        <v>1825</v>
      </c>
      <c r="I4" s="20">
        <f>(E3-C5)*0.4333</f>
        <v>48.965716450000031</v>
      </c>
      <c r="J4" s="20">
        <f>(E3-C5)*0.4333</f>
        <v>48.965716450000031</v>
      </c>
      <c r="L4" s="9">
        <v>1</v>
      </c>
      <c r="M4" s="8">
        <v>0.6</v>
      </c>
      <c r="N4" s="8">
        <v>70000</v>
      </c>
      <c r="O4" s="10">
        <f t="shared" ref="O4:O5" si="0">2*N4*M4/42</f>
        <v>2000</v>
      </c>
      <c r="P4" s="13">
        <f>O4</f>
        <v>2000</v>
      </c>
      <c r="Q4" s="7"/>
    </row>
    <row r="5" spans="1:18" x14ac:dyDescent="0.25">
      <c r="A5" s="11" t="s">
        <v>33</v>
      </c>
      <c r="B5" s="58">
        <f>B3</f>
        <v>95899.92</v>
      </c>
      <c r="C5" s="117">
        <f>INDEX(TS!B2:B1391, MATCH(Inputs!B5,TS!A2:A1391,0),1)</f>
        <v>825.18449999999996</v>
      </c>
      <c r="D5" s="118"/>
      <c r="E5" s="118"/>
      <c r="F5" s="119"/>
      <c r="G5" s="74">
        <f>H5+15</f>
        <v>1889.9657164499999</v>
      </c>
      <c r="H5" s="75">
        <f>H3+(E3-C5)*0.4333+1</f>
        <v>1874.9657164499999</v>
      </c>
      <c r="I5" s="111" t="s">
        <v>45</v>
      </c>
      <c r="J5" s="111"/>
      <c r="L5" s="9">
        <v>2</v>
      </c>
      <c r="M5" s="8">
        <v>0.86399999999999999</v>
      </c>
      <c r="N5" s="8">
        <v>70000</v>
      </c>
      <c r="O5" s="10">
        <f t="shared" si="0"/>
        <v>2880</v>
      </c>
      <c r="P5" s="13">
        <f>O5</f>
        <v>2880</v>
      </c>
      <c r="Q5" s="7"/>
    </row>
    <row r="6" spans="1:18" x14ac:dyDescent="0.25">
      <c r="A6" s="11" t="s">
        <v>38</v>
      </c>
      <c r="B6" s="120">
        <f>TS!F1391</f>
        <v>8789611.8622967936</v>
      </c>
      <c r="C6" s="121"/>
      <c r="D6" s="109" t="s">
        <v>41</v>
      </c>
      <c r="E6" s="109"/>
      <c r="F6" s="49">
        <f>B4</f>
        <v>225299.92</v>
      </c>
      <c r="G6" s="11" t="s">
        <v>42</v>
      </c>
      <c r="H6" s="59">
        <f>B5</f>
        <v>95899.92</v>
      </c>
      <c r="I6" s="112" t="str">
        <f>IF(H5&gt;2250, "MVP Headers", "Precision Headers")</f>
        <v>Precision Headers</v>
      </c>
      <c r="J6" s="113"/>
      <c r="L6" s="91"/>
      <c r="M6" s="92"/>
      <c r="N6" s="92"/>
      <c r="O6" s="93"/>
      <c r="P6" s="94"/>
    </row>
    <row r="7" spans="1:18" x14ac:dyDescent="0.25">
      <c r="L7" s="91"/>
      <c r="M7" s="92"/>
      <c r="N7" s="92"/>
      <c r="P7" t="s">
        <v>12</v>
      </c>
      <c r="Q7" t="s">
        <v>35</v>
      </c>
    </row>
    <row r="8" spans="1:18" x14ac:dyDescent="0.25">
      <c r="B8" s="27"/>
      <c r="L8" s="91"/>
      <c r="M8" s="92"/>
      <c r="N8" s="92"/>
      <c r="O8" s="14" t="s">
        <v>28</v>
      </c>
      <c r="P8" s="55">
        <f>MAX(TS!B2:B1479)</f>
        <v>938.19100000000003</v>
      </c>
      <c r="Q8" s="21" cm="1">
        <f t="array" ref="Q8">INDEX(TS!K2:K1436, MATCH(Inputs!P8,TS!B2:B1479,0),0)</f>
        <v>1825</v>
      </c>
    </row>
    <row r="9" spans="1:18" x14ac:dyDescent="0.25">
      <c r="A9" s="103" t="s">
        <v>36</v>
      </c>
      <c r="B9" s="103"/>
      <c r="C9" s="103"/>
      <c r="D9" s="103"/>
      <c r="E9" s="103"/>
      <c r="F9" s="103"/>
      <c r="G9" s="103"/>
      <c r="H9" s="103"/>
      <c r="I9" s="103"/>
      <c r="L9" s="91"/>
      <c r="M9" s="92"/>
      <c r="N9" s="92"/>
      <c r="O9" s="93"/>
      <c r="P9" s="94"/>
    </row>
    <row r="10" spans="1:18" x14ac:dyDescent="0.25">
      <c r="A10" s="104" t="s">
        <v>47</v>
      </c>
      <c r="B10" s="104"/>
      <c r="C10" s="104"/>
      <c r="D10" s="104"/>
      <c r="E10" s="104"/>
      <c r="F10" s="104"/>
      <c r="G10" s="104"/>
      <c r="H10" s="104"/>
      <c r="I10" s="104"/>
      <c r="L10" s="91"/>
      <c r="M10" s="92"/>
      <c r="N10" s="92"/>
      <c r="O10" s="92"/>
      <c r="P10" s="94"/>
    </row>
    <row r="11" spans="1:18" x14ac:dyDescent="0.25">
      <c r="A11" t="s">
        <v>37</v>
      </c>
      <c r="L11" s="91"/>
      <c r="M11" s="92"/>
      <c r="N11" s="92"/>
      <c r="O11" s="92"/>
      <c r="P11" s="94"/>
    </row>
    <row r="12" spans="1:18" x14ac:dyDescent="0.25">
      <c r="A12" s="24" t="s">
        <v>40</v>
      </c>
      <c r="L12" s="91"/>
      <c r="M12" s="92"/>
      <c r="N12" s="92"/>
      <c r="O12" s="93"/>
      <c r="P12" s="94"/>
    </row>
    <row r="13" spans="1:18" x14ac:dyDescent="0.25">
      <c r="A13" t="s">
        <v>46</v>
      </c>
      <c r="L13" s="91"/>
      <c r="M13" s="92"/>
      <c r="N13" s="92"/>
      <c r="O13" s="93"/>
      <c r="P13" s="94"/>
    </row>
    <row r="14" spans="1:18" x14ac:dyDescent="0.25">
      <c r="A14" s="50" t="s">
        <v>133</v>
      </c>
      <c r="B14" s="50"/>
      <c r="C14" s="50"/>
      <c r="L14" s="91"/>
      <c r="M14" s="95"/>
      <c r="N14" s="92"/>
      <c r="O14" s="93"/>
      <c r="P14" s="94"/>
    </row>
    <row r="15" spans="1:18" x14ac:dyDescent="0.25">
      <c r="L15" s="91"/>
      <c r="M15" s="95"/>
      <c r="N15" s="92"/>
      <c r="O15" s="93"/>
      <c r="P15" s="94"/>
    </row>
    <row r="16" spans="1:18" x14ac:dyDescent="0.25">
      <c r="A16" s="105" t="s">
        <v>150</v>
      </c>
      <c r="B16" s="105"/>
      <c r="C16" s="105"/>
      <c r="D16" s="105"/>
      <c r="E16" s="105"/>
      <c r="F16" s="105"/>
      <c r="G16" s="105"/>
    </row>
    <row r="17" spans="1:18" x14ac:dyDescent="0.25">
      <c r="A17" s="102" t="s">
        <v>139</v>
      </c>
      <c r="B17" s="102"/>
      <c r="C17" s="56">
        <f>E4</f>
        <v>572.81079999999997</v>
      </c>
      <c r="D17" s="7" t="s">
        <v>142</v>
      </c>
      <c r="E17" s="57">
        <f>E$19+(C$19-C$17)*0.4333</f>
        <v>1984.3192406599999</v>
      </c>
      <c r="F17" s="7" t="s">
        <v>143</v>
      </c>
      <c r="G17" s="57">
        <f>G$19+(C$19-C$17)*0.4333</f>
        <v>1999.3192406599999</v>
      </c>
      <c r="Q17" s="108"/>
      <c r="R17" s="108"/>
    </row>
    <row r="18" spans="1:18" x14ac:dyDescent="0.25">
      <c r="A18" s="102" t="s">
        <v>140</v>
      </c>
      <c r="B18" s="102"/>
      <c r="C18" s="56">
        <f>E3</f>
        <v>938.19100000000003</v>
      </c>
      <c r="D18" s="7" t="s">
        <v>142</v>
      </c>
      <c r="E18" s="57">
        <f>E$19-(C$18-C$19)*0.4333</f>
        <v>1826</v>
      </c>
      <c r="F18" s="7" t="s">
        <v>143</v>
      </c>
      <c r="G18" s="57">
        <f>G$19-(C$18-C$19)*0.4333</f>
        <v>1841</v>
      </c>
      <c r="Q18" s="67"/>
      <c r="R18" s="68"/>
    </row>
    <row r="19" spans="1:18" x14ac:dyDescent="0.25">
      <c r="A19" s="102" t="s">
        <v>141</v>
      </c>
      <c r="B19" s="102"/>
      <c r="C19" s="56">
        <f>C5</f>
        <v>825.18449999999996</v>
      </c>
      <c r="D19" s="7" t="s">
        <v>142</v>
      </c>
      <c r="E19" s="57">
        <f>H5</f>
        <v>1874.9657164499999</v>
      </c>
      <c r="F19" s="7" t="s">
        <v>143</v>
      </c>
      <c r="G19" s="57">
        <f>G5</f>
        <v>1889.9657164499999</v>
      </c>
      <c r="R19" s="69"/>
    </row>
    <row r="20" spans="1:18" ht="15.75" thickBot="1" x14ac:dyDescent="0.3">
      <c r="R20" s="69"/>
    </row>
    <row r="21" spans="1:18" ht="26.25" thickBot="1" x14ac:dyDescent="0.3">
      <c r="A21" s="60" t="s">
        <v>66</v>
      </c>
      <c r="B21" s="60" t="s">
        <v>145</v>
      </c>
      <c r="C21" s="61" t="s">
        <v>146</v>
      </c>
      <c r="D21" s="60" t="s">
        <v>147</v>
      </c>
      <c r="E21" s="61" t="s">
        <v>148</v>
      </c>
      <c r="F21" s="62" t="s">
        <v>149</v>
      </c>
      <c r="G21" s="62" t="s">
        <v>11</v>
      </c>
      <c r="R21" s="69"/>
    </row>
    <row r="22" spans="1:18" x14ac:dyDescent="0.25">
      <c r="A22" s="77" t="s">
        <v>152</v>
      </c>
      <c r="B22" s="65">
        <f>B3</f>
        <v>95899.92</v>
      </c>
      <c r="C22" s="65">
        <f>B4</f>
        <v>225299.92</v>
      </c>
      <c r="D22" s="66">
        <f>C22-B22</f>
        <v>129400.00000000001</v>
      </c>
      <c r="E22" s="63">
        <f>B6</f>
        <v>8789611.8622967936</v>
      </c>
      <c r="F22" s="64">
        <f>1.7*G5*D22/5280</f>
        <v>78741.412557702846</v>
      </c>
      <c r="G22" s="64">
        <f>E22+F22</f>
        <v>8868353.2748544961</v>
      </c>
      <c r="R22" s="69"/>
    </row>
    <row r="23" spans="1:18" x14ac:dyDescent="0.25">
      <c r="L23" s="28"/>
      <c r="R23" s="69"/>
    </row>
    <row r="24" spans="1:18" x14ac:dyDescent="0.25">
      <c r="L24" s="28"/>
      <c r="R24" s="69"/>
    </row>
    <row r="25" spans="1:18" x14ac:dyDescent="0.25">
      <c r="R25" s="69"/>
    </row>
    <row r="26" spans="1:18" x14ac:dyDescent="0.25">
      <c r="R26" s="69"/>
    </row>
    <row r="27" spans="1:18" x14ac:dyDescent="0.25">
      <c r="R27" s="69"/>
    </row>
    <row r="28" spans="1:18" x14ac:dyDescent="0.25">
      <c r="K28" s="22"/>
      <c r="Q28" s="67"/>
      <c r="R28" s="70"/>
    </row>
    <row r="29" spans="1:18" x14ac:dyDescent="0.25">
      <c r="K29" s="23"/>
    </row>
  </sheetData>
  <mergeCells count="16">
    <mergeCell ref="A1:R1"/>
    <mergeCell ref="L2:Q2"/>
    <mergeCell ref="Q17:R17"/>
    <mergeCell ref="D6:E6"/>
    <mergeCell ref="I2:J2"/>
    <mergeCell ref="I5:J5"/>
    <mergeCell ref="I6:J6"/>
    <mergeCell ref="C2:E2"/>
    <mergeCell ref="C5:F5"/>
    <mergeCell ref="B6:C6"/>
    <mergeCell ref="A17:B17"/>
    <mergeCell ref="A19:B19"/>
    <mergeCell ref="A18:B18"/>
    <mergeCell ref="A9:I9"/>
    <mergeCell ref="A10:I10"/>
    <mergeCell ref="A16:G16"/>
  </mergeCells>
  <pageMargins left="0.7" right="0.7" top="0.75" bottom="0.75" header="0.3" footer="0.3"/>
  <pageSetup paperSize="17" scale="76" orientation="landscape" r:id="rId1"/>
  <headerFooter>
    <oddFooter>&amp;F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F9451-25D5-45DF-B3B9-6EF553D7E323}">
  <dimension ref="A3:E41"/>
  <sheetViews>
    <sheetView topLeftCell="A18" workbookViewId="0">
      <selection activeCell="C39" sqref="C39"/>
    </sheetView>
  </sheetViews>
  <sheetFormatPr defaultRowHeight="15" x14ac:dyDescent="0.25"/>
  <cols>
    <col min="1" max="1" width="12.5703125" customWidth="1"/>
    <col min="2" max="2" width="37" customWidth="1"/>
    <col min="3" max="3" width="11.5703125" style="35" bestFit="1" customWidth="1"/>
  </cols>
  <sheetData>
    <row r="3" spans="2:5" x14ac:dyDescent="0.25">
      <c r="B3" s="2" t="s">
        <v>2</v>
      </c>
      <c r="C3" s="3">
        <v>34603.938000000002</v>
      </c>
      <c r="D3" s="8">
        <v>0.61699999999999999</v>
      </c>
      <c r="E3">
        <f>C3*D3</f>
        <v>21350.629746000002</v>
      </c>
    </row>
    <row r="4" spans="2:5" x14ac:dyDescent="0.25">
      <c r="B4" s="2" t="s">
        <v>4</v>
      </c>
      <c r="C4" s="3">
        <v>1729.0809999999999</v>
      </c>
      <c r="D4" s="8">
        <v>0.74</v>
      </c>
      <c r="E4">
        <f t="shared" ref="E4:E8" si="0">C4*D4</f>
        <v>1279.5199399999999</v>
      </c>
    </row>
    <row r="5" spans="2:5" x14ac:dyDescent="0.25">
      <c r="B5" s="2" t="s">
        <v>3</v>
      </c>
      <c r="C5" s="3">
        <v>249.672</v>
      </c>
      <c r="D5" s="8">
        <v>0.88800000000000001</v>
      </c>
      <c r="E5">
        <f t="shared" si="0"/>
        <v>221.70873599999999</v>
      </c>
    </row>
    <row r="6" spans="2:5" x14ac:dyDescent="0.25">
      <c r="B6" s="2" t="s">
        <v>5</v>
      </c>
      <c r="C6" s="3"/>
      <c r="D6" s="8">
        <v>0.74</v>
      </c>
      <c r="E6">
        <f t="shared" si="0"/>
        <v>0</v>
      </c>
    </row>
    <row r="7" spans="2:5" x14ac:dyDescent="0.25">
      <c r="B7" s="2" t="s">
        <v>6</v>
      </c>
      <c r="C7" s="3"/>
      <c r="D7" s="8">
        <v>0.88800000000000001</v>
      </c>
      <c r="E7">
        <f t="shared" si="0"/>
        <v>0</v>
      </c>
    </row>
    <row r="8" spans="2:5" x14ac:dyDescent="0.25">
      <c r="B8" s="2" t="s">
        <v>7</v>
      </c>
      <c r="C8" s="3"/>
      <c r="D8" s="8">
        <v>0.61699999999999999</v>
      </c>
      <c r="E8">
        <f t="shared" si="0"/>
        <v>0</v>
      </c>
    </row>
    <row r="9" spans="2:5" x14ac:dyDescent="0.25">
      <c r="B9" s="2" t="s">
        <v>8</v>
      </c>
      <c r="C9" s="3"/>
    </row>
    <row r="10" spans="2:5" x14ac:dyDescent="0.25">
      <c r="B10" s="2" t="s">
        <v>9</v>
      </c>
      <c r="C10" s="3"/>
    </row>
    <row r="11" spans="2:5" ht="15.75" thickBot="1" x14ac:dyDescent="0.3">
      <c r="B11" s="2" t="s">
        <v>10</v>
      </c>
      <c r="C11" s="6"/>
    </row>
    <row r="12" spans="2:5" x14ac:dyDescent="0.25">
      <c r="B12" s="5" t="s">
        <v>11</v>
      </c>
      <c r="C12" s="4">
        <f>SUM(C3:C11)</f>
        <v>36582.690999999999</v>
      </c>
      <c r="E12">
        <f>SUM(E3:E11)</f>
        <v>22851.858422000001</v>
      </c>
    </row>
    <row r="13" spans="2:5" x14ac:dyDescent="0.25">
      <c r="C13" s="35">
        <f>C12-C9</f>
        <v>36582.690999999999</v>
      </c>
      <c r="E13">
        <f>E12/C13</f>
        <v>0.62466313432218534</v>
      </c>
    </row>
    <row r="16" spans="2:5" x14ac:dyDescent="0.25">
      <c r="B16" t="s">
        <v>54</v>
      </c>
    </row>
    <row r="17" spans="1:4" x14ac:dyDescent="0.25">
      <c r="B17" t="s">
        <v>63</v>
      </c>
      <c r="C17" s="35" t="e">
        <f>TS!#REF!*1000</f>
        <v>#REF!</v>
      </c>
    </row>
    <row r="18" spans="1:4" x14ac:dyDescent="0.25">
      <c r="B18" t="s">
        <v>55</v>
      </c>
      <c r="C18" s="35" t="e">
        <f>TS!#REF!*1000</f>
        <v>#REF!</v>
      </c>
    </row>
    <row r="19" spans="1:4" x14ac:dyDescent="0.25">
      <c r="B19" t="s">
        <v>56</v>
      </c>
      <c r="C19" s="35" t="e">
        <f>TS!#REF!*1000</f>
        <v>#REF!</v>
      </c>
    </row>
    <row r="20" spans="1:4" x14ac:dyDescent="0.25">
      <c r="B20" t="s">
        <v>59</v>
      </c>
      <c r="C20" s="35" t="e">
        <f>C19-C18</f>
        <v>#REF!</v>
      </c>
    </row>
    <row r="21" spans="1:4" x14ac:dyDescent="0.25">
      <c r="B21" t="s">
        <v>57</v>
      </c>
      <c r="C21" s="35" t="e">
        <f>C19</f>
        <v>#REF!</v>
      </c>
    </row>
    <row r="22" spans="1:4" x14ac:dyDescent="0.25">
      <c r="B22" t="s">
        <v>58</v>
      </c>
      <c r="C22" s="35" t="e">
        <f>TS!#REF!*1000</f>
        <v>#REF!</v>
      </c>
    </row>
    <row r="23" spans="1:4" x14ac:dyDescent="0.25">
      <c r="B23" t="s">
        <v>60</v>
      </c>
      <c r="C23" s="35" t="e">
        <f>C22-C21</f>
        <v>#REF!</v>
      </c>
    </row>
    <row r="24" spans="1:4" x14ac:dyDescent="0.25">
      <c r="B24" t="s">
        <v>61</v>
      </c>
      <c r="C24" s="35" t="e">
        <f>TS!#REF!*1000</f>
        <v>#REF!</v>
      </c>
    </row>
    <row r="25" spans="1:4" x14ac:dyDescent="0.25">
      <c r="B25" t="s">
        <v>62</v>
      </c>
      <c r="C25" s="35" t="e">
        <f>C24-C23</f>
        <v>#REF!</v>
      </c>
    </row>
    <row r="26" spans="1:4" x14ac:dyDescent="0.25">
      <c r="B26" t="s">
        <v>64</v>
      </c>
      <c r="C26" s="35" t="e">
        <f>C17+C19+C22+C24</f>
        <v>#REF!</v>
      </c>
    </row>
    <row r="27" spans="1:4" x14ac:dyDescent="0.25">
      <c r="B27" t="s">
        <v>65</v>
      </c>
      <c r="C27" s="35" t="e">
        <f>C24</f>
        <v>#REF!</v>
      </c>
    </row>
    <row r="29" spans="1:4" x14ac:dyDescent="0.25">
      <c r="B29" t="s">
        <v>75</v>
      </c>
      <c r="C29" s="35">
        <f>((PI()*((42-2*'Gen Calcs'!$E$13)^2)/4)/144)*5280*7.48</f>
        <v>357711.16551616858</v>
      </c>
    </row>
    <row r="30" spans="1:4" x14ac:dyDescent="0.25">
      <c r="B30" t="s">
        <v>109</v>
      </c>
      <c r="C30" s="35">
        <f>C29/7.48</f>
        <v>47822.348331038578</v>
      </c>
      <c r="D30" t="s">
        <v>82</v>
      </c>
    </row>
    <row r="31" spans="1:4" x14ac:dyDescent="0.25">
      <c r="A31" t="s">
        <v>90</v>
      </c>
      <c r="B31" t="s">
        <v>81</v>
      </c>
      <c r="C31" s="35">
        <f>MAX(TS!AD2:AD177)</f>
        <v>108.69201538641778</v>
      </c>
      <c r="D31">
        <v>74.819999999999993</v>
      </c>
    </row>
    <row r="32" spans="1:4" x14ac:dyDescent="0.25">
      <c r="B32" t="s">
        <v>83</v>
      </c>
      <c r="C32" s="35" t="e">
        <f>TS!#REF!</f>
        <v>#REF!</v>
      </c>
      <c r="D32">
        <v>76.680000000000007</v>
      </c>
    </row>
    <row r="33" spans="1:4" x14ac:dyDescent="0.25">
      <c r="B33" t="s">
        <v>84</v>
      </c>
      <c r="C33" s="35">
        <v>239</v>
      </c>
      <c r="D33">
        <v>68.599999999999994</v>
      </c>
    </row>
    <row r="34" spans="1:4" x14ac:dyDescent="0.25">
      <c r="B34" t="s">
        <v>85</v>
      </c>
      <c r="C34" s="35">
        <v>343</v>
      </c>
      <c r="D34">
        <v>71.239999999999995</v>
      </c>
    </row>
    <row r="35" spans="1:4" x14ac:dyDescent="0.25">
      <c r="A35" t="s">
        <v>91</v>
      </c>
      <c r="B35" t="s">
        <v>92</v>
      </c>
      <c r="C35" s="35" t="e">
        <f>MAX(TS!#REF!)</f>
        <v>#REF!</v>
      </c>
      <c r="D35">
        <v>68.66</v>
      </c>
    </row>
    <row r="36" spans="1:4" x14ac:dyDescent="0.25">
      <c r="B36" t="s">
        <v>93</v>
      </c>
      <c r="C36" s="35">
        <v>10000</v>
      </c>
    </row>
    <row r="37" spans="1:4" x14ac:dyDescent="0.25">
      <c r="B37" t="s">
        <v>94</v>
      </c>
      <c r="C37" s="35" t="e">
        <f>C35/C36/60</f>
        <v>#REF!</v>
      </c>
    </row>
    <row r="38" spans="1:4" x14ac:dyDescent="0.25">
      <c r="B38" t="s">
        <v>99</v>
      </c>
      <c r="C38" s="35" t="e">
        <f>(Inputs!#REF!-'Gen Calcs'!D33)*'Gen Calcs'!C29/'Gen Calcs'!C37/60</f>
        <v>#REF!</v>
      </c>
    </row>
    <row r="39" spans="1:4" x14ac:dyDescent="0.25">
      <c r="B39" t="s">
        <v>100</v>
      </c>
      <c r="C39" s="35">
        <v>5000</v>
      </c>
    </row>
    <row r="40" spans="1:4" x14ac:dyDescent="0.25">
      <c r="B40" t="s">
        <v>107</v>
      </c>
      <c r="C40" s="35">
        <f>C39/(C29/5280)</f>
        <v>73.802560683017632</v>
      </c>
    </row>
    <row r="41" spans="1:4" x14ac:dyDescent="0.25">
      <c r="B41" t="s">
        <v>108</v>
      </c>
      <c r="C41" s="35">
        <f>C40/5280</f>
        <v>1.3977757705116976E-2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F032C-D37B-4CB3-8337-72F547B278FB}">
  <dimension ref="A1:M377"/>
  <sheetViews>
    <sheetView workbookViewId="0">
      <selection activeCell="E2" sqref="E2"/>
    </sheetView>
  </sheetViews>
  <sheetFormatPr defaultRowHeight="15" x14ac:dyDescent="0.25"/>
  <cols>
    <col min="1" max="1" width="9.7109375" style="35" customWidth="1"/>
    <col min="2" max="2" width="11" style="35" customWidth="1"/>
    <col min="3" max="3" width="9.5703125" style="35" bestFit="1" customWidth="1"/>
    <col min="4" max="4" width="12.7109375" style="35" customWidth="1"/>
    <col min="5" max="5" width="10.5703125" style="35" bestFit="1" customWidth="1"/>
    <col min="6" max="6" width="13.28515625" style="35" customWidth="1"/>
    <col min="7" max="8" width="9.28515625" style="35" bestFit="1" customWidth="1"/>
    <col min="9" max="9" width="11.7109375" style="35" bestFit="1" customWidth="1"/>
    <col min="10" max="10" width="9.28515625" style="35" bestFit="1" customWidth="1"/>
    <col min="11" max="11" width="11.28515625" style="35" customWidth="1"/>
    <col min="12" max="12" width="12.7109375" style="35" customWidth="1"/>
    <col min="13" max="13" width="9.28515625" style="35" bestFit="1" customWidth="1"/>
  </cols>
  <sheetData>
    <row r="1" spans="1:13" s="33" customFormat="1" ht="60" x14ac:dyDescent="0.25">
      <c r="A1" s="41" t="s">
        <v>101</v>
      </c>
      <c r="B1" s="41" t="s">
        <v>102</v>
      </c>
      <c r="C1" s="41" t="s">
        <v>82</v>
      </c>
      <c r="D1" s="41" t="s">
        <v>103</v>
      </c>
      <c r="E1" s="41" t="s">
        <v>104</v>
      </c>
      <c r="F1" s="41" t="s">
        <v>105</v>
      </c>
      <c r="G1" s="41" t="s">
        <v>106</v>
      </c>
      <c r="H1" s="41" t="s">
        <v>110</v>
      </c>
      <c r="I1" s="41" t="s">
        <v>12</v>
      </c>
      <c r="J1" s="41" t="s">
        <v>113</v>
      </c>
      <c r="K1" s="41" t="s">
        <v>112</v>
      </c>
      <c r="L1" s="41" t="s">
        <v>111</v>
      </c>
      <c r="M1" s="41" t="s">
        <v>114</v>
      </c>
    </row>
    <row r="2" spans="1:13" x14ac:dyDescent="0.25">
      <c r="A2" s="35">
        <v>0</v>
      </c>
      <c r="B2" s="35">
        <f>A2*'Gen Calcs'!C$36</f>
        <v>0</v>
      </c>
      <c r="C2" s="35">
        <f>Inputs!B3</f>
        <v>95899.92</v>
      </c>
      <c r="D2" s="35" t="e">
        <f>VLOOKUP(C2,TS!N$2:Z$177,11,TRUE)</f>
        <v>#REF!</v>
      </c>
      <c r="E2" s="35" t="e">
        <f>VLOOKUP(C2,TS!N$2:Z$177,13,TRUE)*1000</f>
        <v>#REF!</v>
      </c>
      <c r="F2" s="35">
        <v>0</v>
      </c>
      <c r="G2" s="35">
        <v>0</v>
      </c>
      <c r="H2" s="35">
        <v>77.13</v>
      </c>
      <c r="I2" s="35">
        <f>VLOOKUP('Air calcs'!C2,TS!N$2:O$177,2)</f>
        <v>825.18449999999996</v>
      </c>
      <c r="J2" s="40">
        <v>0</v>
      </c>
      <c r="K2" s="35">
        <v>0</v>
      </c>
      <c r="L2" s="35">
        <v>0</v>
      </c>
      <c r="M2" s="35" t="e">
        <f>(MAX(I1:I$206)-I$205)*0.433</f>
        <v>#N/A</v>
      </c>
    </row>
    <row r="3" spans="1:13" x14ac:dyDescent="0.25">
      <c r="A3" s="35">
        <v>5</v>
      </c>
      <c r="B3" s="35">
        <f>A3*'Gen Calcs'!C$36</f>
        <v>50000</v>
      </c>
      <c r="C3" s="35">
        <f>C2-'Gen Calcs'!C$41*5</f>
        <v>95899.850111211475</v>
      </c>
      <c r="D3" s="35" t="e">
        <f>VLOOKUP(C3,TS!N$2:Z$177,11,TRUE)</f>
        <v>#N/A</v>
      </c>
      <c r="E3" s="35" t="e">
        <f>VLOOKUP(C3,TS!N$2:Z$177,13,TRUE)*1000</f>
        <v>#N/A</v>
      </c>
      <c r="F3" s="35" t="e">
        <f t="shared" ref="F3:F66" si="0">IF(B3&gt;D3,1,0)</f>
        <v>#N/A</v>
      </c>
      <c r="G3" s="35" t="e">
        <f t="shared" ref="G3:G66" si="1">IF(B3&gt;E3,1,0)</f>
        <v>#N/A</v>
      </c>
      <c r="H3" s="35" t="e">
        <f>IF(G3&gt;0,H2-(5*'Gen Calcs'!C$41),'Air calcs'!H2)</f>
        <v>#N/A</v>
      </c>
      <c r="I3" s="35" t="e">
        <f>VLOOKUP('Air calcs'!C3,TS!N$2:O$177,2)</f>
        <v>#N/A</v>
      </c>
      <c r="J3" s="40" t="e">
        <f>((MAX(I3:I$205)-Inputs!C$3)-(MAX(I3:I$205)-I3))*0.433+K3</f>
        <v>#N/A</v>
      </c>
      <c r="K3" s="35">
        <f>14.7*B3/((C$2-C3)*'Gen Calcs'!C$29/7.48)-14.7</f>
        <v>205.21200000875282</v>
      </c>
      <c r="L3" s="35" t="e">
        <f>(H$2-H3)*'Gen Calcs'!C$29</f>
        <v>#N/A</v>
      </c>
      <c r="M3" s="35" t="e">
        <f>(MAX(I3:I$205)-I$205)*0.433</f>
        <v>#N/A</v>
      </c>
    </row>
    <row r="4" spans="1:13" x14ac:dyDescent="0.25">
      <c r="A4" s="35">
        <v>10</v>
      </c>
      <c r="B4" s="35">
        <f>A4*'Gen Calcs'!C$36</f>
        <v>100000</v>
      </c>
      <c r="C4" s="35">
        <f>C3-'Gen Calcs'!C$41*5</f>
        <v>95899.780222422953</v>
      </c>
      <c r="D4" s="35" t="e">
        <f>VLOOKUP(C4,TS!N$2:Z$177,11,TRUE)</f>
        <v>#N/A</v>
      </c>
      <c r="E4" s="35" t="e">
        <f>VLOOKUP(C4,TS!N$2:Z$177,13,TRUE)*1000</f>
        <v>#N/A</v>
      </c>
      <c r="F4" s="35" t="e">
        <f t="shared" si="0"/>
        <v>#N/A</v>
      </c>
      <c r="G4" s="35" t="e">
        <f t="shared" si="1"/>
        <v>#N/A</v>
      </c>
      <c r="H4" s="35" t="e">
        <f>IF(G4&gt;0,H3-(5*'Gen Calcs'!C$41),'Air calcs'!H3)</f>
        <v>#N/A</v>
      </c>
      <c r="I4" s="35" t="e">
        <f>VLOOKUP('Air calcs'!C4,TS!N$2:O$177,2)</f>
        <v>#N/A</v>
      </c>
      <c r="J4" s="40" t="e">
        <f>((MAX(I4:I$205)-Inputs!C$3)-(MAX(I4:I$205)-I4))*0.433+K4</f>
        <v>#N/A</v>
      </c>
      <c r="K4" s="35">
        <f>14.7*B4/((C$2-C4)*'Gen Calcs'!C$29/7.48)-14.7</f>
        <v>205.21200000875282</v>
      </c>
      <c r="L4" s="35" t="e">
        <f>(H$2-H4)*'Gen Calcs'!C$29</f>
        <v>#N/A</v>
      </c>
      <c r="M4" s="35" t="e">
        <f>(MAX(I4:I$205)-I$205)*0.433</f>
        <v>#N/A</v>
      </c>
    </row>
    <row r="5" spans="1:13" x14ac:dyDescent="0.25">
      <c r="A5" s="35">
        <v>15</v>
      </c>
      <c r="B5" s="35">
        <f>A5*'Gen Calcs'!C$36</f>
        <v>150000</v>
      </c>
      <c r="C5" s="35" t="e">
        <f t="shared" ref="C5:C68" si="2">H4</f>
        <v>#N/A</v>
      </c>
      <c r="D5" s="35" t="e">
        <f>VLOOKUP(C5,TS!N$2:Z$177,11,TRUE)</f>
        <v>#N/A</v>
      </c>
      <c r="E5" s="35" t="e">
        <f>VLOOKUP(C5,TS!N$2:Z$177,13,TRUE)*1000</f>
        <v>#N/A</v>
      </c>
      <c r="F5" s="35" t="e">
        <f t="shared" si="0"/>
        <v>#N/A</v>
      </c>
      <c r="G5" s="35" t="e">
        <f t="shared" si="1"/>
        <v>#N/A</v>
      </c>
      <c r="H5" s="35" t="e">
        <f>IF(G5&gt;0,H4-(5*'Gen Calcs'!C$41),'Air calcs'!H4)</f>
        <v>#N/A</v>
      </c>
      <c r="I5" s="35" t="e">
        <f>VLOOKUP('Air calcs'!C5,TS!N$2:O$177,2)</f>
        <v>#N/A</v>
      </c>
      <c r="J5" s="40" t="e">
        <f>((MAX(I5:I$205)-Inputs!C$3)-(MAX(I5:I$205)-I5))*0.433+K5</f>
        <v>#N/A</v>
      </c>
      <c r="K5" s="35" t="e">
        <f>14.7*B5/((C$2-C5)*'Gen Calcs'!C$29/7.48)-14.7</f>
        <v>#N/A</v>
      </c>
      <c r="L5" s="35" t="e">
        <f>(H$2-H5)*'Gen Calcs'!C$29</f>
        <v>#N/A</v>
      </c>
      <c r="M5" s="35" t="e">
        <f>(MAX(I5:I$205)-I$205)*0.433</f>
        <v>#N/A</v>
      </c>
    </row>
    <row r="6" spans="1:13" x14ac:dyDescent="0.25">
      <c r="A6" s="35">
        <v>20</v>
      </c>
      <c r="B6" s="35">
        <f>A6*'Gen Calcs'!C$36</f>
        <v>200000</v>
      </c>
      <c r="C6" s="35" t="e">
        <f t="shared" si="2"/>
        <v>#N/A</v>
      </c>
      <c r="D6" s="35" t="e">
        <f>VLOOKUP(C6,TS!N$2:Z$177,11,TRUE)</f>
        <v>#N/A</v>
      </c>
      <c r="E6" s="35" t="e">
        <f>VLOOKUP(C6,TS!N$2:Z$177,13,TRUE)*1000</f>
        <v>#N/A</v>
      </c>
      <c r="F6" s="35" t="e">
        <f t="shared" si="0"/>
        <v>#N/A</v>
      </c>
      <c r="G6" s="35" t="e">
        <f t="shared" si="1"/>
        <v>#N/A</v>
      </c>
      <c r="H6" s="35" t="e">
        <f>IF(G6&gt;0,H5-(5*'Gen Calcs'!C$41),'Air calcs'!H5)</f>
        <v>#N/A</v>
      </c>
      <c r="I6" s="35" t="e">
        <f>VLOOKUP('Air calcs'!C6,TS!N$2:O$177,2)</f>
        <v>#N/A</v>
      </c>
      <c r="J6" s="40" t="e">
        <f>((MAX(I6:I$205)-Inputs!C$3)-(MAX(I6:I$205)-I6))*0.433+K6</f>
        <v>#N/A</v>
      </c>
      <c r="K6" s="35" t="e">
        <f>14.7*B6/((C$2-C6)*'Gen Calcs'!C$29/7.48)-14.7</f>
        <v>#N/A</v>
      </c>
      <c r="L6" s="35" t="e">
        <f>(H$2-H6)*'Gen Calcs'!C$29</f>
        <v>#N/A</v>
      </c>
      <c r="M6" s="35" t="e">
        <f>(MAX(I6:I$205)-I$205)*0.433</f>
        <v>#N/A</v>
      </c>
    </row>
    <row r="7" spans="1:13" x14ac:dyDescent="0.25">
      <c r="A7" s="35">
        <v>25</v>
      </c>
      <c r="B7" s="35">
        <f>A7*'Gen Calcs'!C$36</f>
        <v>250000</v>
      </c>
      <c r="C7" s="35" t="e">
        <f t="shared" si="2"/>
        <v>#N/A</v>
      </c>
      <c r="D7" s="35" t="e">
        <f>VLOOKUP(C7,TS!N$2:Z$177,11,TRUE)</f>
        <v>#N/A</v>
      </c>
      <c r="E7" s="35" t="e">
        <f>VLOOKUP(C7,TS!N$2:Z$177,13,TRUE)*1000</f>
        <v>#N/A</v>
      </c>
      <c r="F7" s="35" t="e">
        <f t="shared" si="0"/>
        <v>#N/A</v>
      </c>
      <c r="G7" s="35" t="e">
        <f t="shared" si="1"/>
        <v>#N/A</v>
      </c>
      <c r="H7" s="35" t="e">
        <f>IF(G7&gt;0,H6-(5*'Gen Calcs'!C$41),'Air calcs'!H6)</f>
        <v>#N/A</v>
      </c>
      <c r="I7" s="35" t="e">
        <f>VLOOKUP('Air calcs'!C7,TS!N$2:O$177,2)</f>
        <v>#N/A</v>
      </c>
      <c r="J7" s="40" t="e">
        <f>((MAX(I7:I$205)-Inputs!C$3)-(MAX(I7:I$205)-I7))*0.433+K7</f>
        <v>#N/A</v>
      </c>
      <c r="K7" s="35" t="e">
        <f>14.7*B7/((C$2-C7)*'Gen Calcs'!C$29/7.48)-14.7</f>
        <v>#N/A</v>
      </c>
      <c r="L7" s="35" t="e">
        <f>(H$2-H7)*'Gen Calcs'!C$29</f>
        <v>#N/A</v>
      </c>
      <c r="M7" s="35" t="e">
        <f>(MAX(I7:I$205)-I$205)*0.433</f>
        <v>#N/A</v>
      </c>
    </row>
    <row r="8" spans="1:13" x14ac:dyDescent="0.25">
      <c r="A8" s="35">
        <v>30</v>
      </c>
      <c r="B8" s="35">
        <f>A8*'Gen Calcs'!C$36</f>
        <v>300000</v>
      </c>
      <c r="C8" s="35" t="e">
        <f t="shared" si="2"/>
        <v>#N/A</v>
      </c>
      <c r="D8" s="35" t="e">
        <f>VLOOKUP(C8,TS!N$2:Z$177,11,TRUE)</f>
        <v>#N/A</v>
      </c>
      <c r="E8" s="35" t="e">
        <f>VLOOKUP(C8,TS!N$2:Z$177,13,TRUE)*1000</f>
        <v>#N/A</v>
      </c>
      <c r="F8" s="35" t="e">
        <f t="shared" si="0"/>
        <v>#N/A</v>
      </c>
      <c r="G8" s="35" t="e">
        <f t="shared" si="1"/>
        <v>#N/A</v>
      </c>
      <c r="H8" s="35" t="e">
        <f>IF(G8&gt;0,H7-(5*'Gen Calcs'!C$41),'Air calcs'!H7)</f>
        <v>#N/A</v>
      </c>
      <c r="I8" s="35" t="e">
        <f>VLOOKUP('Air calcs'!C8,TS!N$2:O$177,2)</f>
        <v>#N/A</v>
      </c>
      <c r="J8" s="40" t="e">
        <f>((MAX(I8:I$205)-Inputs!C$3)-(MAX(I8:I$205)-I8))*0.433+K8</f>
        <v>#N/A</v>
      </c>
      <c r="K8" s="35" t="e">
        <f>14.7*B8/((C$2-C8)*'Gen Calcs'!C$29/7.48)-14.7</f>
        <v>#N/A</v>
      </c>
      <c r="L8" s="35" t="e">
        <f>(H$2-H8)*'Gen Calcs'!C$29</f>
        <v>#N/A</v>
      </c>
      <c r="M8" s="35" t="e">
        <f>(MAX(I8:I$205)-I$205)*0.433</f>
        <v>#N/A</v>
      </c>
    </row>
    <row r="9" spans="1:13" x14ac:dyDescent="0.25">
      <c r="A9" s="35">
        <v>35</v>
      </c>
      <c r="B9" s="35">
        <f>A9*'Gen Calcs'!C$36</f>
        <v>350000</v>
      </c>
      <c r="C9" s="35" t="e">
        <f t="shared" si="2"/>
        <v>#N/A</v>
      </c>
      <c r="D9" s="35" t="e">
        <f>VLOOKUP(C9,TS!N$2:Z$177,11,TRUE)</f>
        <v>#N/A</v>
      </c>
      <c r="E9" s="35" t="e">
        <f>VLOOKUP(C9,TS!N$2:Z$177,13,TRUE)*1000</f>
        <v>#N/A</v>
      </c>
      <c r="F9" s="35" t="e">
        <f t="shared" si="0"/>
        <v>#N/A</v>
      </c>
      <c r="G9" s="35" t="e">
        <f t="shared" si="1"/>
        <v>#N/A</v>
      </c>
      <c r="H9" s="35" t="e">
        <f>IF(G9&gt;0,H8-(5*'Gen Calcs'!C$41),'Air calcs'!H8)</f>
        <v>#N/A</v>
      </c>
      <c r="I9" s="35" t="e">
        <f>VLOOKUP('Air calcs'!C9,TS!N$2:O$177,2)</f>
        <v>#N/A</v>
      </c>
      <c r="J9" s="40" t="e">
        <f>((MAX(I9:I$205)-Inputs!C$3)-(MAX(I9:I$205)-I9))*0.433+K9</f>
        <v>#N/A</v>
      </c>
      <c r="K9" s="35" t="e">
        <f>14.7*B9/((C$2-C9)*'Gen Calcs'!C$29/7.48)-14.7</f>
        <v>#N/A</v>
      </c>
      <c r="L9" s="35" t="e">
        <f>(H$2-H9)*'Gen Calcs'!C$29</f>
        <v>#N/A</v>
      </c>
      <c r="M9" s="35" t="e">
        <f>(MAX(I9:I$205)-I$205)*0.433</f>
        <v>#N/A</v>
      </c>
    </row>
    <row r="10" spans="1:13" x14ac:dyDescent="0.25">
      <c r="A10" s="35">
        <v>40</v>
      </c>
      <c r="B10" s="35">
        <f>A10*'Gen Calcs'!C$36</f>
        <v>400000</v>
      </c>
      <c r="C10" s="35" t="e">
        <f t="shared" si="2"/>
        <v>#N/A</v>
      </c>
      <c r="D10" s="35" t="e">
        <f>VLOOKUP(C10,TS!N$2:Z$177,11,TRUE)</f>
        <v>#N/A</v>
      </c>
      <c r="E10" s="35" t="e">
        <f>VLOOKUP(C10,TS!N$2:Z$177,13,TRUE)*1000</f>
        <v>#N/A</v>
      </c>
      <c r="F10" s="35" t="e">
        <f t="shared" si="0"/>
        <v>#N/A</v>
      </c>
      <c r="G10" s="35" t="e">
        <f t="shared" si="1"/>
        <v>#N/A</v>
      </c>
      <c r="H10" s="35" t="e">
        <f>IF(G10&gt;0,H9-(5*'Gen Calcs'!C$41),'Air calcs'!H9)</f>
        <v>#N/A</v>
      </c>
      <c r="I10" s="35" t="e">
        <f>VLOOKUP('Air calcs'!C10,TS!N$2:O$177,2)</f>
        <v>#N/A</v>
      </c>
      <c r="J10" s="40" t="e">
        <f>((MAX(I10:I$205)-Inputs!C$3)-(MAX(I10:I$205)-I10))*0.433+K10</f>
        <v>#N/A</v>
      </c>
      <c r="K10" s="35" t="e">
        <f>14.7*B10/((C$2-C10)*'Gen Calcs'!C$29/7.48)-14.7</f>
        <v>#N/A</v>
      </c>
      <c r="L10" s="35" t="e">
        <f>(H$2-H10)*'Gen Calcs'!C$29</f>
        <v>#N/A</v>
      </c>
      <c r="M10" s="35" t="e">
        <f>(MAX(I10:I$205)-I$205)*0.433</f>
        <v>#N/A</v>
      </c>
    </row>
    <row r="11" spans="1:13" x14ac:dyDescent="0.25">
      <c r="A11" s="35">
        <v>45</v>
      </c>
      <c r="B11" s="35">
        <f>A11*'Gen Calcs'!C$36</f>
        <v>450000</v>
      </c>
      <c r="C11" s="35" t="e">
        <f t="shared" si="2"/>
        <v>#N/A</v>
      </c>
      <c r="D11" s="35" t="e">
        <f>VLOOKUP(C11,TS!N$2:Z$177,11,TRUE)</f>
        <v>#N/A</v>
      </c>
      <c r="E11" s="35" t="e">
        <f>VLOOKUP(C11,TS!N$2:Z$177,13,TRUE)*1000</f>
        <v>#N/A</v>
      </c>
      <c r="F11" s="35" t="e">
        <f t="shared" si="0"/>
        <v>#N/A</v>
      </c>
      <c r="G11" s="35" t="e">
        <f t="shared" si="1"/>
        <v>#N/A</v>
      </c>
      <c r="H11" s="35" t="e">
        <f>IF(G11&gt;0,H10-(5*'Gen Calcs'!C$41),'Air calcs'!H10)</f>
        <v>#N/A</v>
      </c>
      <c r="I11" s="35" t="e">
        <f>VLOOKUP('Air calcs'!C11,TS!N$2:O$177,2)</f>
        <v>#N/A</v>
      </c>
      <c r="J11" s="40" t="e">
        <f>((MAX(I11:I$205)-Inputs!C$3)-(MAX(I11:I$205)-I11))*0.433+K11</f>
        <v>#N/A</v>
      </c>
      <c r="K11" s="35" t="e">
        <f>14.7*B11/((C$2-C11)*'Gen Calcs'!C$29/7.48)-14.7</f>
        <v>#N/A</v>
      </c>
      <c r="L11" s="35" t="e">
        <f>(H$2-H11)*'Gen Calcs'!C$29</f>
        <v>#N/A</v>
      </c>
      <c r="M11" s="35" t="e">
        <f>(MAX(I11:I$205)-I$205)*0.433</f>
        <v>#N/A</v>
      </c>
    </row>
    <row r="12" spans="1:13" x14ac:dyDescent="0.25">
      <c r="A12" s="35">
        <v>50</v>
      </c>
      <c r="B12" s="35">
        <f>A12*'Gen Calcs'!C$36</f>
        <v>500000</v>
      </c>
      <c r="C12" s="35" t="e">
        <f t="shared" si="2"/>
        <v>#N/A</v>
      </c>
      <c r="D12" s="35" t="e">
        <f>VLOOKUP(C12,TS!N$2:Z$177,11,TRUE)</f>
        <v>#N/A</v>
      </c>
      <c r="E12" s="35" t="e">
        <f>VLOOKUP(C12,TS!N$2:Z$177,13,TRUE)*1000</f>
        <v>#N/A</v>
      </c>
      <c r="F12" s="35" t="e">
        <f t="shared" si="0"/>
        <v>#N/A</v>
      </c>
      <c r="G12" s="35" t="e">
        <f t="shared" si="1"/>
        <v>#N/A</v>
      </c>
      <c r="H12" s="35" t="e">
        <f>IF(G12&gt;0,H11-(5*'Gen Calcs'!C$41),'Air calcs'!H11)</f>
        <v>#N/A</v>
      </c>
      <c r="I12" s="35" t="e">
        <f>VLOOKUP('Air calcs'!C12,TS!N$2:O$177,2)</f>
        <v>#N/A</v>
      </c>
      <c r="J12" s="40" t="e">
        <f>((MAX(I12:I$205)-Inputs!C$3)-(MAX(I12:I$205)-I12))*0.433+K12</f>
        <v>#N/A</v>
      </c>
      <c r="K12" s="35" t="e">
        <f>14.7*B12/((C$2-C12)*'Gen Calcs'!C$29/7.48)-14.7</f>
        <v>#N/A</v>
      </c>
      <c r="L12" s="35" t="e">
        <f>(H$2-H12)*'Gen Calcs'!C$29</f>
        <v>#N/A</v>
      </c>
      <c r="M12" s="35" t="e">
        <f>(MAX(I12:I$205)-I$205)*0.433</f>
        <v>#N/A</v>
      </c>
    </row>
    <row r="13" spans="1:13" x14ac:dyDescent="0.25">
      <c r="A13" s="35">
        <v>55</v>
      </c>
      <c r="B13" s="35">
        <f>A13*'Gen Calcs'!C$36</f>
        <v>550000</v>
      </c>
      <c r="C13" s="35" t="e">
        <f t="shared" si="2"/>
        <v>#N/A</v>
      </c>
      <c r="D13" s="35" t="e">
        <f>VLOOKUP(C13,TS!N$2:Z$177,11,TRUE)</f>
        <v>#N/A</v>
      </c>
      <c r="E13" s="35" t="e">
        <f>VLOOKUP(C13,TS!N$2:Z$177,13,TRUE)*1000</f>
        <v>#N/A</v>
      </c>
      <c r="F13" s="35" t="e">
        <f t="shared" si="0"/>
        <v>#N/A</v>
      </c>
      <c r="G13" s="35" t="e">
        <f t="shared" si="1"/>
        <v>#N/A</v>
      </c>
      <c r="H13" s="35" t="e">
        <f>IF(G13&gt;0,H12-(5*'Gen Calcs'!C$41),'Air calcs'!H12)</f>
        <v>#N/A</v>
      </c>
      <c r="I13" s="35" t="e">
        <f>VLOOKUP('Air calcs'!C13,TS!N$2:O$177,2)</f>
        <v>#N/A</v>
      </c>
      <c r="J13" s="40" t="e">
        <f>((MAX(I13:I$205)-Inputs!C$3)-(MAX(I13:I$205)-I13))*0.433+K13</f>
        <v>#N/A</v>
      </c>
      <c r="K13" s="35" t="e">
        <f>14.7*B13/((C$2-C13)*'Gen Calcs'!C$29/7.48)-14.7</f>
        <v>#N/A</v>
      </c>
      <c r="L13" s="35" t="e">
        <f>(H$2-H13)*'Gen Calcs'!C$29</f>
        <v>#N/A</v>
      </c>
      <c r="M13" s="35" t="e">
        <f>(MAX(I13:I$205)-I$205)*0.433</f>
        <v>#N/A</v>
      </c>
    </row>
    <row r="14" spans="1:13" x14ac:dyDescent="0.25">
      <c r="A14" s="35">
        <v>60</v>
      </c>
      <c r="B14" s="35">
        <f>A14*'Gen Calcs'!C$36</f>
        <v>600000</v>
      </c>
      <c r="C14" s="35" t="e">
        <f t="shared" si="2"/>
        <v>#N/A</v>
      </c>
      <c r="D14" s="35" t="e">
        <f>VLOOKUP(C14,TS!N$2:Z$177,11,TRUE)</f>
        <v>#N/A</v>
      </c>
      <c r="E14" s="35" t="e">
        <f>VLOOKUP(C14,TS!N$2:Z$177,13,TRUE)*1000</f>
        <v>#N/A</v>
      </c>
      <c r="F14" s="35" t="e">
        <f t="shared" si="0"/>
        <v>#N/A</v>
      </c>
      <c r="G14" s="35" t="e">
        <f t="shared" si="1"/>
        <v>#N/A</v>
      </c>
      <c r="H14" s="35" t="e">
        <f>IF(G14&gt;0,H13-(5*'Gen Calcs'!C$41),'Air calcs'!H13)</f>
        <v>#N/A</v>
      </c>
      <c r="I14" s="35" t="e">
        <f>VLOOKUP('Air calcs'!C14,TS!N$2:O$177,2)</f>
        <v>#N/A</v>
      </c>
      <c r="J14" s="40" t="e">
        <f>((MAX(I14:I$205)-Inputs!C$3)-(MAX(I14:I$205)-I14))*0.433+K14</f>
        <v>#N/A</v>
      </c>
      <c r="K14" s="35" t="e">
        <f>14.7*B14/((C$2-C14)*'Gen Calcs'!C$29/7.48)-14.7</f>
        <v>#N/A</v>
      </c>
      <c r="L14" s="35" t="e">
        <f>(H$2-H14)*'Gen Calcs'!C$29</f>
        <v>#N/A</v>
      </c>
      <c r="M14" s="35" t="e">
        <f>(MAX(I14:I$205)-I$205)*0.433</f>
        <v>#N/A</v>
      </c>
    </row>
    <row r="15" spans="1:13" x14ac:dyDescent="0.25">
      <c r="A15" s="35">
        <v>65</v>
      </c>
      <c r="B15" s="35">
        <f>A15*'Gen Calcs'!C$36</f>
        <v>650000</v>
      </c>
      <c r="C15" s="35" t="e">
        <f t="shared" si="2"/>
        <v>#N/A</v>
      </c>
      <c r="D15" s="35" t="e">
        <f>VLOOKUP(C15,TS!N$2:Z$177,11,TRUE)</f>
        <v>#N/A</v>
      </c>
      <c r="E15" s="35" t="e">
        <f>VLOOKUP(C15,TS!N$2:Z$177,13,TRUE)*1000</f>
        <v>#N/A</v>
      </c>
      <c r="F15" s="35" t="e">
        <f t="shared" si="0"/>
        <v>#N/A</v>
      </c>
      <c r="G15" s="35" t="e">
        <f t="shared" si="1"/>
        <v>#N/A</v>
      </c>
      <c r="H15" s="35" t="e">
        <f>IF(G15&gt;0,H14-(5*'Gen Calcs'!C$41),'Air calcs'!H14)</f>
        <v>#N/A</v>
      </c>
      <c r="I15" s="35" t="e">
        <f>VLOOKUP('Air calcs'!C15,TS!N$2:O$177,2)</f>
        <v>#N/A</v>
      </c>
      <c r="J15" s="40" t="e">
        <f>((MAX(I15:I$205)-Inputs!C$3)-(MAX(I15:I$205)-I15))*0.433+K15</f>
        <v>#N/A</v>
      </c>
      <c r="K15" s="35" t="e">
        <f>14.7*B15/((C$2-C15)*'Gen Calcs'!C$29/7.48)-14.7</f>
        <v>#N/A</v>
      </c>
      <c r="L15" s="35" t="e">
        <f>(H$2-H15)*'Gen Calcs'!C$29</f>
        <v>#N/A</v>
      </c>
      <c r="M15" s="35" t="e">
        <f>(MAX(I15:I$205)-I$205)*0.433</f>
        <v>#N/A</v>
      </c>
    </row>
    <row r="16" spans="1:13" x14ac:dyDescent="0.25">
      <c r="A16" s="35">
        <v>70</v>
      </c>
      <c r="B16" s="35">
        <f>A16*'Gen Calcs'!C$36</f>
        <v>700000</v>
      </c>
      <c r="C16" s="35" t="e">
        <f t="shared" si="2"/>
        <v>#N/A</v>
      </c>
      <c r="D16" s="35" t="e">
        <f>VLOOKUP(C16,TS!N$2:Z$177,11,TRUE)</f>
        <v>#N/A</v>
      </c>
      <c r="E16" s="35" t="e">
        <f>VLOOKUP(C16,TS!N$2:Z$177,13,TRUE)*1000</f>
        <v>#N/A</v>
      </c>
      <c r="F16" s="35" t="e">
        <f t="shared" si="0"/>
        <v>#N/A</v>
      </c>
      <c r="G16" s="35" t="e">
        <f t="shared" si="1"/>
        <v>#N/A</v>
      </c>
      <c r="H16" s="35" t="e">
        <f>IF(G16&gt;0,H15-(5*'Gen Calcs'!C$41),'Air calcs'!H15)</f>
        <v>#N/A</v>
      </c>
      <c r="I16" s="35" t="e">
        <f>VLOOKUP('Air calcs'!C16,TS!N$2:O$177,2)</f>
        <v>#N/A</v>
      </c>
      <c r="J16" s="40" t="e">
        <f>((MAX(I16:I$205)-Inputs!C$3)-(MAX(I16:I$205)-I16))*0.433+K16</f>
        <v>#N/A</v>
      </c>
      <c r="K16" s="35" t="e">
        <f>14.7*B16/((C$2-C16)*'Gen Calcs'!C$29/7.48)-14.7</f>
        <v>#N/A</v>
      </c>
      <c r="L16" s="35" t="e">
        <f>(H$2-H16)*'Gen Calcs'!C$29</f>
        <v>#N/A</v>
      </c>
      <c r="M16" s="35" t="e">
        <f>(MAX(I16:I$205)-I$205)*0.433</f>
        <v>#N/A</v>
      </c>
    </row>
    <row r="17" spans="1:13" x14ac:dyDescent="0.25">
      <c r="A17" s="35">
        <v>75</v>
      </c>
      <c r="B17" s="35">
        <f>A17*'Gen Calcs'!C$36</f>
        <v>750000</v>
      </c>
      <c r="C17" s="35" t="e">
        <f t="shared" si="2"/>
        <v>#N/A</v>
      </c>
      <c r="D17" s="35" t="e">
        <f>VLOOKUP(C17,TS!N$2:Z$177,11,TRUE)</f>
        <v>#N/A</v>
      </c>
      <c r="E17" s="35" t="e">
        <f>VLOOKUP(C17,TS!N$2:Z$177,13,TRUE)*1000</f>
        <v>#N/A</v>
      </c>
      <c r="F17" s="35" t="e">
        <f t="shared" si="0"/>
        <v>#N/A</v>
      </c>
      <c r="G17" s="35" t="e">
        <f t="shared" si="1"/>
        <v>#N/A</v>
      </c>
      <c r="H17" s="35" t="e">
        <f>IF(G17&gt;0,H16-(5*'Gen Calcs'!C$41),'Air calcs'!H16)</f>
        <v>#N/A</v>
      </c>
      <c r="I17" s="35" t="e">
        <f>VLOOKUP('Air calcs'!C17,TS!N$2:O$177,2)</f>
        <v>#N/A</v>
      </c>
      <c r="J17" s="40" t="e">
        <f>((MAX(I17:I$205)-Inputs!C$3)-(MAX(I17:I$205)-I17))*0.433+K17</f>
        <v>#N/A</v>
      </c>
      <c r="K17" s="35" t="e">
        <f>14.7*B17/((C$2-C17)*'Gen Calcs'!C$29/7.48)-14.7</f>
        <v>#N/A</v>
      </c>
      <c r="L17" s="35" t="e">
        <f>(H$2-H17)*'Gen Calcs'!C$29</f>
        <v>#N/A</v>
      </c>
      <c r="M17" s="35" t="e">
        <f>(MAX(I17:I$205)-I$205)*0.433</f>
        <v>#N/A</v>
      </c>
    </row>
    <row r="18" spans="1:13" x14ac:dyDescent="0.25">
      <c r="A18" s="35">
        <v>80</v>
      </c>
      <c r="B18" s="35">
        <f>A18*'Gen Calcs'!C$36</f>
        <v>800000</v>
      </c>
      <c r="C18" s="35" t="e">
        <f t="shared" si="2"/>
        <v>#N/A</v>
      </c>
      <c r="D18" s="35" t="e">
        <f>VLOOKUP(C18,TS!N$2:Z$177,11,TRUE)</f>
        <v>#N/A</v>
      </c>
      <c r="E18" s="35" t="e">
        <f>VLOOKUP(C18,TS!N$2:Z$177,13,TRUE)*1000</f>
        <v>#N/A</v>
      </c>
      <c r="F18" s="35" t="e">
        <f t="shared" si="0"/>
        <v>#N/A</v>
      </c>
      <c r="G18" s="35" t="e">
        <f t="shared" si="1"/>
        <v>#N/A</v>
      </c>
      <c r="H18" s="35" t="e">
        <f>IF(G18&gt;0,H17-(5*'Gen Calcs'!C$41),'Air calcs'!H17)</f>
        <v>#N/A</v>
      </c>
      <c r="I18" s="35" t="e">
        <f>VLOOKUP('Air calcs'!C18,TS!N$2:O$177,2)</f>
        <v>#N/A</v>
      </c>
      <c r="J18" s="40" t="e">
        <f>((MAX(I18:I$205)-Inputs!C$3)-(MAX(I18:I$205)-I18))*0.433+K18</f>
        <v>#N/A</v>
      </c>
      <c r="K18" s="35" t="e">
        <f>14.7*B18/((C$2-C18)*'Gen Calcs'!C$29/7.48)-14.7</f>
        <v>#N/A</v>
      </c>
      <c r="L18" s="35" t="e">
        <f>(H$2-H18)*'Gen Calcs'!C$29</f>
        <v>#N/A</v>
      </c>
      <c r="M18" s="35" t="e">
        <f>(MAX(I18:I$205)-I$205)*0.433</f>
        <v>#N/A</v>
      </c>
    </row>
    <row r="19" spans="1:13" x14ac:dyDescent="0.25">
      <c r="A19" s="35">
        <v>85</v>
      </c>
      <c r="B19" s="35">
        <f>A19*'Gen Calcs'!C$36</f>
        <v>850000</v>
      </c>
      <c r="C19" s="35" t="e">
        <f t="shared" si="2"/>
        <v>#N/A</v>
      </c>
      <c r="D19" s="35" t="e">
        <f>VLOOKUP(C19,TS!N$2:Z$177,11,TRUE)</f>
        <v>#N/A</v>
      </c>
      <c r="E19" s="35" t="e">
        <f>VLOOKUP(C19,TS!N$2:Z$177,13,TRUE)*1000</f>
        <v>#N/A</v>
      </c>
      <c r="F19" s="35" t="e">
        <f t="shared" si="0"/>
        <v>#N/A</v>
      </c>
      <c r="G19" s="35" t="e">
        <f t="shared" si="1"/>
        <v>#N/A</v>
      </c>
      <c r="H19" s="35" t="e">
        <f>IF(G19&gt;0,H18-(5*'Gen Calcs'!C$41),'Air calcs'!H18)</f>
        <v>#N/A</v>
      </c>
      <c r="I19" s="35" t="e">
        <f>VLOOKUP('Air calcs'!C19,TS!N$2:O$177,2)</f>
        <v>#N/A</v>
      </c>
      <c r="J19" s="40" t="e">
        <f>((MAX(I19:I$205)-Inputs!C$3)-(MAX(I19:I$205)-I19))*0.433+K19</f>
        <v>#N/A</v>
      </c>
      <c r="K19" s="35" t="e">
        <f>14.7*B19/((C$2-C19)*'Gen Calcs'!C$29/7.48)-14.7</f>
        <v>#N/A</v>
      </c>
      <c r="L19" s="35" t="e">
        <f>(H$2-H19)*'Gen Calcs'!C$29</f>
        <v>#N/A</v>
      </c>
      <c r="M19" s="35" t="e">
        <f>(MAX(I19:I$205)-I$205)*0.433</f>
        <v>#N/A</v>
      </c>
    </row>
    <row r="20" spans="1:13" x14ac:dyDescent="0.25">
      <c r="A20" s="35">
        <v>90</v>
      </c>
      <c r="B20" s="35">
        <f>A20*'Gen Calcs'!C$36</f>
        <v>900000</v>
      </c>
      <c r="C20" s="35" t="e">
        <f t="shared" si="2"/>
        <v>#N/A</v>
      </c>
      <c r="D20" s="35" t="e">
        <f>VLOOKUP(C20,TS!N$2:Z$177,11,TRUE)</f>
        <v>#N/A</v>
      </c>
      <c r="E20" s="35" t="e">
        <f>VLOOKUP(C20,TS!N$2:Z$177,13,TRUE)*1000</f>
        <v>#N/A</v>
      </c>
      <c r="F20" s="35" t="e">
        <f t="shared" si="0"/>
        <v>#N/A</v>
      </c>
      <c r="G20" s="35" t="e">
        <f t="shared" si="1"/>
        <v>#N/A</v>
      </c>
      <c r="H20" s="35" t="e">
        <f>IF(G20&gt;0,H19-(5*'Gen Calcs'!C$41),'Air calcs'!H19)</f>
        <v>#N/A</v>
      </c>
      <c r="I20" s="35" t="e">
        <f>VLOOKUP('Air calcs'!C20,TS!N$2:O$177,2)</f>
        <v>#N/A</v>
      </c>
      <c r="J20" s="40" t="e">
        <f>((MAX(I20:I$205)-Inputs!C$3)-(MAX(I20:I$205)-I20))*0.433+K20</f>
        <v>#N/A</v>
      </c>
      <c r="K20" s="35" t="e">
        <f>14.7*B20/((C$2-C20)*'Gen Calcs'!C$29/7.48)-14.7</f>
        <v>#N/A</v>
      </c>
      <c r="L20" s="35" t="e">
        <f>(H$2-H20)*'Gen Calcs'!C$29</f>
        <v>#N/A</v>
      </c>
      <c r="M20" s="35" t="e">
        <f>(MAX(I20:I$205)-I$205)*0.433</f>
        <v>#N/A</v>
      </c>
    </row>
    <row r="21" spans="1:13" x14ac:dyDescent="0.25">
      <c r="A21" s="35">
        <v>95</v>
      </c>
      <c r="B21" s="35">
        <f>A21*'Gen Calcs'!C$36</f>
        <v>950000</v>
      </c>
      <c r="C21" s="35" t="e">
        <f t="shared" si="2"/>
        <v>#N/A</v>
      </c>
      <c r="D21" s="35" t="e">
        <f>VLOOKUP(C21,TS!N$2:Z$177,11,TRUE)</f>
        <v>#N/A</v>
      </c>
      <c r="E21" s="35" t="e">
        <f>VLOOKUP(C21,TS!N$2:Z$177,13,TRUE)*1000</f>
        <v>#N/A</v>
      </c>
      <c r="F21" s="35" t="e">
        <f t="shared" si="0"/>
        <v>#N/A</v>
      </c>
      <c r="G21" s="35" t="e">
        <f t="shared" si="1"/>
        <v>#N/A</v>
      </c>
      <c r="H21" s="35" t="e">
        <f>IF(G21&gt;0,H20-(5*'Gen Calcs'!C$41),'Air calcs'!H20)</f>
        <v>#N/A</v>
      </c>
      <c r="I21" s="35" t="e">
        <f>VLOOKUP('Air calcs'!C21,TS!N$2:O$177,2)</f>
        <v>#N/A</v>
      </c>
      <c r="J21" s="40" t="e">
        <f>((MAX(I21:I$205)-Inputs!C$3)-(MAX(I21:I$205)-I21))*0.433+K21</f>
        <v>#N/A</v>
      </c>
      <c r="K21" s="35" t="e">
        <f>14.7*B21/((C$2-C21)*'Gen Calcs'!C$29/7.48)-14.7</f>
        <v>#N/A</v>
      </c>
      <c r="L21" s="35" t="e">
        <f>(H$2-H21)*'Gen Calcs'!C$29</f>
        <v>#N/A</v>
      </c>
      <c r="M21" s="35" t="e">
        <f>(MAX(I21:I$205)-I$205)*0.433</f>
        <v>#N/A</v>
      </c>
    </row>
    <row r="22" spans="1:13" x14ac:dyDescent="0.25">
      <c r="A22" s="35">
        <v>100</v>
      </c>
      <c r="B22" s="35">
        <f>A22*'Gen Calcs'!C$36</f>
        <v>1000000</v>
      </c>
      <c r="C22" s="35" t="e">
        <f t="shared" si="2"/>
        <v>#N/A</v>
      </c>
      <c r="D22" s="35" t="e">
        <f>VLOOKUP(C22,TS!N$2:Z$177,11,TRUE)</f>
        <v>#N/A</v>
      </c>
      <c r="E22" s="35" t="e">
        <f>VLOOKUP(C22,TS!N$2:Z$177,13,TRUE)*1000</f>
        <v>#N/A</v>
      </c>
      <c r="F22" s="35" t="e">
        <f t="shared" si="0"/>
        <v>#N/A</v>
      </c>
      <c r="G22" s="35" t="e">
        <f t="shared" si="1"/>
        <v>#N/A</v>
      </c>
      <c r="H22" s="35" t="e">
        <f>IF(G22&gt;0,H21-(5*'Gen Calcs'!C$41),'Air calcs'!H21)</f>
        <v>#N/A</v>
      </c>
      <c r="I22" s="35" t="e">
        <f>VLOOKUP('Air calcs'!C22,TS!N$2:O$177,2)</f>
        <v>#N/A</v>
      </c>
      <c r="J22" s="40" t="e">
        <f>((MAX(I22:I$205)-Inputs!C$3)-(MAX(I22:I$205)-I22))*0.433+K22</f>
        <v>#N/A</v>
      </c>
      <c r="K22" s="35" t="e">
        <f>14.7*B22/((C$2-C22)*'Gen Calcs'!C$29/7.48)-14.7</f>
        <v>#N/A</v>
      </c>
      <c r="L22" s="35" t="e">
        <f>(H$2-H22)*'Gen Calcs'!C$29</f>
        <v>#N/A</v>
      </c>
      <c r="M22" s="35" t="e">
        <f>(MAX(I22:I$205)-I$205)*0.433</f>
        <v>#N/A</v>
      </c>
    </row>
    <row r="23" spans="1:13" x14ac:dyDescent="0.25">
      <c r="A23" s="35">
        <v>105</v>
      </c>
      <c r="B23" s="35">
        <f>A23*'Gen Calcs'!C$36</f>
        <v>1050000</v>
      </c>
      <c r="C23" s="35" t="e">
        <f t="shared" si="2"/>
        <v>#N/A</v>
      </c>
      <c r="D23" s="35" t="e">
        <f>VLOOKUP(C23,TS!N$2:Z$177,11,TRUE)</f>
        <v>#N/A</v>
      </c>
      <c r="E23" s="35" t="e">
        <f>VLOOKUP(C23,TS!N$2:Z$177,13,TRUE)*1000</f>
        <v>#N/A</v>
      </c>
      <c r="F23" s="35" t="e">
        <f t="shared" si="0"/>
        <v>#N/A</v>
      </c>
      <c r="G23" s="35" t="e">
        <f t="shared" si="1"/>
        <v>#N/A</v>
      </c>
      <c r="H23" s="35" t="e">
        <f>IF(G23&gt;0,H22-(5*'Gen Calcs'!C$41),'Air calcs'!H22)</f>
        <v>#N/A</v>
      </c>
      <c r="I23" s="35" t="e">
        <f>VLOOKUP('Air calcs'!C23,TS!N$2:O$177,2)</f>
        <v>#N/A</v>
      </c>
      <c r="J23" s="40" t="e">
        <f>((MAX(I23:I$205)-Inputs!C$3)-(MAX(I23:I$205)-I23))*0.433+K23</f>
        <v>#N/A</v>
      </c>
      <c r="K23" s="35" t="e">
        <f>14.7*B23/((C$2-C23)*'Gen Calcs'!C$29/7.48)-14.7</f>
        <v>#N/A</v>
      </c>
      <c r="L23" s="35" t="e">
        <f>(H$2-H23)*'Gen Calcs'!C$29</f>
        <v>#N/A</v>
      </c>
      <c r="M23" s="35" t="e">
        <f>(MAX(I23:I$205)-I$205)*0.433</f>
        <v>#N/A</v>
      </c>
    </row>
    <row r="24" spans="1:13" x14ac:dyDescent="0.25">
      <c r="A24" s="35">
        <v>110</v>
      </c>
      <c r="B24" s="35">
        <f>A24*'Gen Calcs'!C$36</f>
        <v>1100000</v>
      </c>
      <c r="C24" s="35" t="e">
        <f t="shared" si="2"/>
        <v>#N/A</v>
      </c>
      <c r="D24" s="35" t="e">
        <f>VLOOKUP(C24,TS!N$2:Z$177,11,TRUE)</f>
        <v>#N/A</v>
      </c>
      <c r="E24" s="35" t="e">
        <f>VLOOKUP(C24,TS!N$2:Z$177,13,TRUE)*1000</f>
        <v>#N/A</v>
      </c>
      <c r="F24" s="35" t="e">
        <f t="shared" si="0"/>
        <v>#N/A</v>
      </c>
      <c r="G24" s="35" t="e">
        <f t="shared" si="1"/>
        <v>#N/A</v>
      </c>
      <c r="H24" s="35" t="e">
        <f>IF(G24&gt;0,H23-(5*'Gen Calcs'!C$41),'Air calcs'!H23)</f>
        <v>#N/A</v>
      </c>
      <c r="I24" s="35" t="e">
        <f>VLOOKUP('Air calcs'!C24,TS!N$2:O$177,2)</f>
        <v>#N/A</v>
      </c>
      <c r="J24" s="40" t="e">
        <f>((MAX(I24:I$205)-Inputs!C$3)-(MAX(I24:I$205)-I24))*0.433+K24</f>
        <v>#N/A</v>
      </c>
      <c r="K24" s="35" t="e">
        <f>14.7*B24/((C$2-C24)*'Gen Calcs'!C$29/7.48)-14.7</f>
        <v>#N/A</v>
      </c>
      <c r="L24" s="35" t="e">
        <f>(H$2-H24)*'Gen Calcs'!C$29</f>
        <v>#N/A</v>
      </c>
      <c r="M24" s="35" t="e">
        <f>(MAX(I24:I$205)-I$205)*0.433</f>
        <v>#N/A</v>
      </c>
    </row>
    <row r="25" spans="1:13" x14ac:dyDescent="0.25">
      <c r="A25" s="35">
        <v>115</v>
      </c>
      <c r="B25" s="35">
        <f>A25*'Gen Calcs'!C$36</f>
        <v>1150000</v>
      </c>
      <c r="C25" s="35" t="e">
        <f t="shared" si="2"/>
        <v>#N/A</v>
      </c>
      <c r="D25" s="35" t="e">
        <f>VLOOKUP(C25,TS!N$2:Z$177,11,TRUE)</f>
        <v>#N/A</v>
      </c>
      <c r="E25" s="35" t="e">
        <f>VLOOKUP(C25,TS!N$2:Z$177,13,TRUE)*1000</f>
        <v>#N/A</v>
      </c>
      <c r="F25" s="35" t="e">
        <f t="shared" si="0"/>
        <v>#N/A</v>
      </c>
      <c r="G25" s="35" t="e">
        <f t="shared" si="1"/>
        <v>#N/A</v>
      </c>
      <c r="H25" s="35" t="e">
        <f>IF(G25&gt;0,H24-(5*'Gen Calcs'!C$41),'Air calcs'!H24)</f>
        <v>#N/A</v>
      </c>
      <c r="I25" s="35" t="e">
        <f>VLOOKUP('Air calcs'!C25,TS!N$2:O$177,2)</f>
        <v>#N/A</v>
      </c>
      <c r="J25" s="40" t="e">
        <f>((MAX(I25:I$205)-Inputs!C$3)-(MAX(I25:I$205)-I25))*0.433+K25</f>
        <v>#N/A</v>
      </c>
      <c r="K25" s="35" t="e">
        <f>14.7*B25/((C$2-C25)*'Gen Calcs'!C$29/7.48)-14.7</f>
        <v>#N/A</v>
      </c>
      <c r="L25" s="35" t="e">
        <f>(H$2-H25)*'Gen Calcs'!C$29</f>
        <v>#N/A</v>
      </c>
      <c r="M25" s="35" t="e">
        <f>(MAX(I25:I$205)-I$205)*0.433</f>
        <v>#N/A</v>
      </c>
    </row>
    <row r="26" spans="1:13" x14ac:dyDescent="0.25">
      <c r="A26" s="35">
        <v>120</v>
      </c>
      <c r="B26" s="35">
        <f>A26*'Gen Calcs'!C$36</f>
        <v>1200000</v>
      </c>
      <c r="C26" s="35" t="e">
        <f t="shared" si="2"/>
        <v>#N/A</v>
      </c>
      <c r="D26" s="35" t="e">
        <f>VLOOKUP(C26,TS!N$2:Z$177,11,TRUE)</f>
        <v>#N/A</v>
      </c>
      <c r="E26" s="35" t="e">
        <f>VLOOKUP(C26,TS!N$2:Z$177,13,TRUE)*1000</f>
        <v>#N/A</v>
      </c>
      <c r="F26" s="35" t="e">
        <f t="shared" si="0"/>
        <v>#N/A</v>
      </c>
      <c r="G26" s="35" t="e">
        <f t="shared" si="1"/>
        <v>#N/A</v>
      </c>
      <c r="H26" s="35" t="e">
        <f>IF(G26&gt;0,H25-(5*'Gen Calcs'!C$41),'Air calcs'!H25)</f>
        <v>#N/A</v>
      </c>
      <c r="I26" s="35" t="e">
        <f>VLOOKUP('Air calcs'!C26,TS!N$2:O$177,2)</f>
        <v>#N/A</v>
      </c>
      <c r="J26" s="40" t="e">
        <f>((MAX(I26:I$205)-Inputs!C$3)-(MAX(I26:I$205)-I26))*0.433+K26</f>
        <v>#N/A</v>
      </c>
      <c r="K26" s="35" t="e">
        <f>14.7*B26/((C$2-C26)*'Gen Calcs'!C$29/7.48)-14.7</f>
        <v>#N/A</v>
      </c>
      <c r="L26" s="35" t="e">
        <f>(H$2-H26)*'Gen Calcs'!C$29</f>
        <v>#N/A</v>
      </c>
      <c r="M26" s="35" t="e">
        <f>(MAX(I26:I$205)-I$205)*0.433</f>
        <v>#N/A</v>
      </c>
    </row>
    <row r="27" spans="1:13" x14ac:dyDescent="0.25">
      <c r="A27" s="35">
        <v>125</v>
      </c>
      <c r="B27" s="35">
        <f>A27*'Gen Calcs'!C$36</f>
        <v>1250000</v>
      </c>
      <c r="C27" s="35" t="e">
        <f t="shared" si="2"/>
        <v>#N/A</v>
      </c>
      <c r="D27" s="35" t="e">
        <f>VLOOKUP(C27,TS!N$2:Z$177,11,TRUE)</f>
        <v>#N/A</v>
      </c>
      <c r="E27" s="35" t="e">
        <f>VLOOKUP(C27,TS!N$2:Z$177,13,TRUE)*1000</f>
        <v>#N/A</v>
      </c>
      <c r="F27" s="35" t="e">
        <f t="shared" si="0"/>
        <v>#N/A</v>
      </c>
      <c r="G27" s="35" t="e">
        <f t="shared" si="1"/>
        <v>#N/A</v>
      </c>
      <c r="H27" s="35" t="e">
        <f>IF(G27&gt;0,H26-(5*'Gen Calcs'!C$41),'Air calcs'!H26)</f>
        <v>#N/A</v>
      </c>
      <c r="I27" s="35" t="e">
        <f>VLOOKUP('Air calcs'!C27,TS!N$2:O$177,2)</f>
        <v>#N/A</v>
      </c>
      <c r="J27" s="40" t="e">
        <f>((MAX(I27:I$205)-Inputs!C$3)-(MAX(I27:I$205)-I27))*0.433+K27</f>
        <v>#N/A</v>
      </c>
      <c r="K27" s="35" t="e">
        <f>14.7*B27/((C$2-C27)*'Gen Calcs'!C$29/7.48)-14.7</f>
        <v>#N/A</v>
      </c>
      <c r="L27" s="35" t="e">
        <f>(H$2-H27)*'Gen Calcs'!C$29</f>
        <v>#N/A</v>
      </c>
      <c r="M27" s="35" t="e">
        <f>(MAX(I27:I$205)-I$205)*0.433</f>
        <v>#N/A</v>
      </c>
    </row>
    <row r="28" spans="1:13" x14ac:dyDescent="0.25">
      <c r="A28" s="35">
        <v>130</v>
      </c>
      <c r="B28" s="35">
        <f>A28*'Gen Calcs'!C$36</f>
        <v>1300000</v>
      </c>
      <c r="C28" s="35" t="e">
        <f t="shared" si="2"/>
        <v>#N/A</v>
      </c>
      <c r="D28" s="35" t="e">
        <f>VLOOKUP(C28,TS!N$2:Z$177,11,TRUE)</f>
        <v>#N/A</v>
      </c>
      <c r="E28" s="35" t="e">
        <f>VLOOKUP(C28,TS!N$2:Z$177,13,TRUE)*1000</f>
        <v>#N/A</v>
      </c>
      <c r="F28" s="35" t="e">
        <f t="shared" si="0"/>
        <v>#N/A</v>
      </c>
      <c r="G28" s="35" t="e">
        <f t="shared" si="1"/>
        <v>#N/A</v>
      </c>
      <c r="H28" s="35" t="e">
        <f>IF(G28&gt;0,H27-(5*'Gen Calcs'!C$41),'Air calcs'!H27)</f>
        <v>#N/A</v>
      </c>
      <c r="I28" s="35" t="e">
        <f>VLOOKUP('Air calcs'!C28,TS!N$2:O$177,2)</f>
        <v>#N/A</v>
      </c>
      <c r="J28" s="40" t="e">
        <f>((MAX(I28:I$205)-Inputs!C$3)-(MAX(I28:I$205)-I28))*0.433+K28</f>
        <v>#N/A</v>
      </c>
      <c r="K28" s="35" t="e">
        <f>14.7*B28/((C$2-C28)*'Gen Calcs'!C$29/7.48)-14.7</f>
        <v>#N/A</v>
      </c>
      <c r="L28" s="35" t="e">
        <f>(H$2-H28)*'Gen Calcs'!C$29</f>
        <v>#N/A</v>
      </c>
      <c r="M28" s="35" t="e">
        <f>(MAX(I28:I$205)-I$205)*0.433</f>
        <v>#N/A</v>
      </c>
    </row>
    <row r="29" spans="1:13" x14ac:dyDescent="0.25">
      <c r="A29" s="35">
        <v>135</v>
      </c>
      <c r="B29" s="35">
        <f>A29*'Gen Calcs'!C$36</f>
        <v>1350000</v>
      </c>
      <c r="C29" s="35" t="e">
        <f t="shared" si="2"/>
        <v>#N/A</v>
      </c>
      <c r="D29" s="35" t="e">
        <f>VLOOKUP(C29,TS!N$2:Z$177,11,TRUE)</f>
        <v>#N/A</v>
      </c>
      <c r="E29" s="35" t="e">
        <f>VLOOKUP(C29,TS!N$2:Z$177,13,TRUE)*1000</f>
        <v>#N/A</v>
      </c>
      <c r="F29" s="35" t="e">
        <f t="shared" si="0"/>
        <v>#N/A</v>
      </c>
      <c r="G29" s="35" t="e">
        <f t="shared" si="1"/>
        <v>#N/A</v>
      </c>
      <c r="H29" s="35" t="e">
        <f>IF(G29&gt;0,H28-(5*'Gen Calcs'!C$41),'Air calcs'!H28)</f>
        <v>#N/A</v>
      </c>
      <c r="I29" s="35" t="e">
        <f>VLOOKUP('Air calcs'!C29,TS!N$2:O$177,2)</f>
        <v>#N/A</v>
      </c>
      <c r="J29" s="40" t="e">
        <f>((MAX(I29:I$205)-Inputs!C$3)-(MAX(I29:I$205)-I29))*0.433+K29</f>
        <v>#N/A</v>
      </c>
      <c r="K29" s="35" t="e">
        <f>14.7*B29/((C$2-C29)*'Gen Calcs'!C$29/7.48)-14.7</f>
        <v>#N/A</v>
      </c>
      <c r="L29" s="35" t="e">
        <f>(H$2-H29)*'Gen Calcs'!C$29</f>
        <v>#N/A</v>
      </c>
      <c r="M29" s="35" t="e">
        <f>(MAX(I29:I$205)-I$205)*0.433</f>
        <v>#N/A</v>
      </c>
    </row>
    <row r="30" spans="1:13" x14ac:dyDescent="0.25">
      <c r="A30" s="35">
        <v>140</v>
      </c>
      <c r="B30" s="35">
        <f>A30*'Gen Calcs'!C$36</f>
        <v>1400000</v>
      </c>
      <c r="C30" s="35" t="e">
        <f t="shared" si="2"/>
        <v>#N/A</v>
      </c>
      <c r="D30" s="35" t="e">
        <f>VLOOKUP(C30,TS!N$2:Z$177,11,TRUE)</f>
        <v>#N/A</v>
      </c>
      <c r="E30" s="35" t="e">
        <f>VLOOKUP(C30,TS!N$2:Z$177,13,TRUE)*1000</f>
        <v>#N/A</v>
      </c>
      <c r="F30" s="35" t="e">
        <f t="shared" si="0"/>
        <v>#N/A</v>
      </c>
      <c r="G30" s="35" t="e">
        <f t="shared" si="1"/>
        <v>#N/A</v>
      </c>
      <c r="H30" s="35" t="e">
        <f>IF(G30&gt;0,H29-(5*'Gen Calcs'!C$41),'Air calcs'!H29)</f>
        <v>#N/A</v>
      </c>
      <c r="I30" s="35" t="e">
        <f>VLOOKUP('Air calcs'!C30,TS!N$2:O$177,2)</f>
        <v>#N/A</v>
      </c>
      <c r="J30" s="40" t="e">
        <f>((MAX(I30:I$205)-Inputs!C$3)-(MAX(I30:I$205)-I30))*0.433+K30</f>
        <v>#N/A</v>
      </c>
      <c r="K30" s="35" t="e">
        <f>14.7*B30/((C$2-C30)*'Gen Calcs'!C$29/7.48)-14.7</f>
        <v>#N/A</v>
      </c>
      <c r="L30" s="35" t="e">
        <f>(H$2-H30)*'Gen Calcs'!C$29</f>
        <v>#N/A</v>
      </c>
      <c r="M30" s="35" t="e">
        <f>(MAX(I30:I$205)-I$205)*0.433</f>
        <v>#N/A</v>
      </c>
    </row>
    <row r="31" spans="1:13" x14ac:dyDescent="0.25">
      <c r="A31" s="35">
        <v>145</v>
      </c>
      <c r="B31" s="35">
        <f>A31*'Gen Calcs'!C$36</f>
        <v>1450000</v>
      </c>
      <c r="C31" s="35" t="e">
        <f t="shared" si="2"/>
        <v>#N/A</v>
      </c>
      <c r="D31" s="35" t="e">
        <f>VLOOKUP(C31,TS!N$2:Z$177,11,TRUE)</f>
        <v>#N/A</v>
      </c>
      <c r="E31" s="35" t="e">
        <f>VLOOKUP(C31,TS!N$2:Z$177,13,TRUE)*1000</f>
        <v>#N/A</v>
      </c>
      <c r="F31" s="35" t="e">
        <f t="shared" si="0"/>
        <v>#N/A</v>
      </c>
      <c r="G31" s="35" t="e">
        <f t="shared" si="1"/>
        <v>#N/A</v>
      </c>
      <c r="H31" s="35" t="e">
        <f>IF(G31&gt;0,H30-(5*'Gen Calcs'!C$41),'Air calcs'!H30)</f>
        <v>#N/A</v>
      </c>
      <c r="I31" s="35" t="e">
        <f>VLOOKUP('Air calcs'!C31,TS!N$2:O$177,2)</f>
        <v>#N/A</v>
      </c>
      <c r="J31" s="40" t="e">
        <f>((MAX(I31:I$205)-Inputs!C$3)-(MAX(I31:I$205)-I31))*0.433+K31</f>
        <v>#N/A</v>
      </c>
      <c r="K31" s="35" t="e">
        <f>14.7*B31/((C$2-C31)*'Gen Calcs'!C$29/7.48)-14.7</f>
        <v>#N/A</v>
      </c>
      <c r="L31" s="35" t="e">
        <f>(H$2-H31)*'Gen Calcs'!C$29</f>
        <v>#N/A</v>
      </c>
      <c r="M31" s="35" t="e">
        <f>(MAX(I31:I$205)-I$205)*0.433</f>
        <v>#N/A</v>
      </c>
    </row>
    <row r="32" spans="1:13" x14ac:dyDescent="0.25">
      <c r="A32" s="35">
        <v>150</v>
      </c>
      <c r="B32" s="35">
        <f>A32*'Gen Calcs'!C$36</f>
        <v>1500000</v>
      </c>
      <c r="C32" s="35" t="e">
        <f t="shared" si="2"/>
        <v>#N/A</v>
      </c>
      <c r="D32" s="35" t="e">
        <f>VLOOKUP(C32,TS!N$2:Z$177,11,TRUE)</f>
        <v>#N/A</v>
      </c>
      <c r="E32" s="35" t="e">
        <f>VLOOKUP(C32,TS!N$2:Z$177,13,TRUE)*1000</f>
        <v>#N/A</v>
      </c>
      <c r="F32" s="35" t="e">
        <f t="shared" si="0"/>
        <v>#N/A</v>
      </c>
      <c r="G32" s="35" t="e">
        <f t="shared" si="1"/>
        <v>#N/A</v>
      </c>
      <c r="H32" s="35" t="e">
        <f>IF(G32&gt;0,H31-(5*'Gen Calcs'!C$41),'Air calcs'!H31)</f>
        <v>#N/A</v>
      </c>
      <c r="I32" s="35" t="e">
        <f>VLOOKUP('Air calcs'!C32,TS!N$2:O$177,2)</f>
        <v>#N/A</v>
      </c>
      <c r="J32" s="40" t="e">
        <f>((MAX(I32:I$205)-Inputs!C$3)-(MAX(I32:I$205)-I32))*0.433+K32</f>
        <v>#N/A</v>
      </c>
      <c r="K32" s="35" t="e">
        <f>14.7*B32/((C$2-C32)*'Gen Calcs'!C$29/7.48)-14.7</f>
        <v>#N/A</v>
      </c>
      <c r="L32" s="35" t="e">
        <f>(H$2-H32)*'Gen Calcs'!C$29</f>
        <v>#N/A</v>
      </c>
      <c r="M32" s="35" t="e">
        <f>(MAX(I32:I$205)-I$205)*0.433</f>
        <v>#N/A</v>
      </c>
    </row>
    <row r="33" spans="1:13" x14ac:dyDescent="0.25">
      <c r="A33" s="35">
        <v>155</v>
      </c>
      <c r="B33" s="35">
        <f>A33*'Gen Calcs'!C$36</f>
        <v>1550000</v>
      </c>
      <c r="C33" s="35" t="e">
        <f t="shared" si="2"/>
        <v>#N/A</v>
      </c>
      <c r="D33" s="35" t="e">
        <f>VLOOKUP(C33,TS!N$2:Z$177,11,TRUE)</f>
        <v>#N/A</v>
      </c>
      <c r="E33" s="35" t="e">
        <f>VLOOKUP(C33,TS!N$2:Z$177,13,TRUE)*1000</f>
        <v>#N/A</v>
      </c>
      <c r="F33" s="35" t="e">
        <f t="shared" si="0"/>
        <v>#N/A</v>
      </c>
      <c r="G33" s="35" t="e">
        <f t="shared" si="1"/>
        <v>#N/A</v>
      </c>
      <c r="H33" s="35" t="e">
        <f>IF(G33&gt;0,H32-(5*'Gen Calcs'!C$41),'Air calcs'!H32)</f>
        <v>#N/A</v>
      </c>
      <c r="I33" s="35" t="e">
        <f>VLOOKUP('Air calcs'!C33,TS!N$2:O$177,2)</f>
        <v>#N/A</v>
      </c>
      <c r="J33" s="40" t="e">
        <f>((MAX(I33:I$205)-Inputs!C$3)-(MAX(I33:I$205)-I33))*0.433+K33</f>
        <v>#N/A</v>
      </c>
      <c r="K33" s="35" t="e">
        <f>14.7*B33/((C$2-C33)*'Gen Calcs'!C$29/7.48)-14.7</f>
        <v>#N/A</v>
      </c>
      <c r="L33" s="35" t="e">
        <f>(H$2-H33)*'Gen Calcs'!C$29</f>
        <v>#N/A</v>
      </c>
      <c r="M33" s="35" t="e">
        <f>(MAX(I33:I$205)-I$205)*0.433</f>
        <v>#N/A</v>
      </c>
    </row>
    <row r="34" spans="1:13" x14ac:dyDescent="0.25">
      <c r="A34" s="35">
        <v>160</v>
      </c>
      <c r="B34" s="35">
        <f>A34*'Gen Calcs'!C$36</f>
        <v>1600000</v>
      </c>
      <c r="C34" s="35" t="e">
        <f t="shared" si="2"/>
        <v>#N/A</v>
      </c>
      <c r="D34" s="35" t="e">
        <f>VLOOKUP(C34,TS!N$2:Z$177,11,TRUE)</f>
        <v>#N/A</v>
      </c>
      <c r="E34" s="35" t="e">
        <f>VLOOKUP(C34,TS!N$2:Z$177,13,TRUE)*1000</f>
        <v>#N/A</v>
      </c>
      <c r="F34" s="35" t="e">
        <f t="shared" si="0"/>
        <v>#N/A</v>
      </c>
      <c r="G34" s="35" t="e">
        <f t="shared" si="1"/>
        <v>#N/A</v>
      </c>
      <c r="H34" s="35" t="e">
        <f>IF(G34&gt;0,H33-(5*'Gen Calcs'!C$41),'Air calcs'!H33)</f>
        <v>#N/A</v>
      </c>
      <c r="I34" s="35" t="e">
        <f>VLOOKUP('Air calcs'!C34,TS!N$2:O$177,2)</f>
        <v>#N/A</v>
      </c>
      <c r="J34" s="40" t="e">
        <f>((MAX(I34:I$205)-Inputs!C$3)-(MAX(I34:I$205)-I34))*0.433+K34</f>
        <v>#N/A</v>
      </c>
      <c r="K34" s="35" t="e">
        <f>14.7*B34/((C$2-C34)*'Gen Calcs'!C$29/7.48)-14.7</f>
        <v>#N/A</v>
      </c>
      <c r="L34" s="35" t="e">
        <f>(H$2-H34)*'Gen Calcs'!C$29</f>
        <v>#N/A</v>
      </c>
      <c r="M34" s="35" t="e">
        <f>(MAX(I34:I$205)-I$205)*0.433</f>
        <v>#N/A</v>
      </c>
    </row>
    <row r="35" spans="1:13" x14ac:dyDescent="0.25">
      <c r="A35" s="35">
        <v>165</v>
      </c>
      <c r="B35" s="35">
        <f>A35*'Gen Calcs'!C$36</f>
        <v>1650000</v>
      </c>
      <c r="C35" s="35" t="e">
        <f t="shared" si="2"/>
        <v>#N/A</v>
      </c>
      <c r="D35" s="35" t="e">
        <f>VLOOKUP(C35,TS!N$2:Z$177,11,TRUE)</f>
        <v>#N/A</v>
      </c>
      <c r="E35" s="35" t="e">
        <f>VLOOKUP(C35,TS!N$2:Z$177,13,TRUE)*1000</f>
        <v>#N/A</v>
      </c>
      <c r="F35" s="35" t="e">
        <f t="shared" si="0"/>
        <v>#N/A</v>
      </c>
      <c r="G35" s="35" t="e">
        <f t="shared" si="1"/>
        <v>#N/A</v>
      </c>
      <c r="H35" s="35" t="e">
        <f>IF(G35&gt;0,H34-(5*'Gen Calcs'!C$41),'Air calcs'!H34)</f>
        <v>#N/A</v>
      </c>
      <c r="I35" s="35" t="e">
        <f>VLOOKUP('Air calcs'!C35,TS!N$2:O$177,2)</f>
        <v>#N/A</v>
      </c>
      <c r="J35" s="40" t="e">
        <f>((MAX(I35:I$205)-Inputs!C$3)-(MAX(I35:I$205)-I35))*0.433+K35</f>
        <v>#N/A</v>
      </c>
      <c r="K35" s="35" t="e">
        <f>14.7*B35/((C$2-C35)*'Gen Calcs'!C$29/7.48)-14.7</f>
        <v>#N/A</v>
      </c>
      <c r="L35" s="35" t="e">
        <f>(H$2-H35)*'Gen Calcs'!C$29</f>
        <v>#N/A</v>
      </c>
      <c r="M35" s="35" t="e">
        <f>(MAX(I35:I$205)-I$205)*0.433</f>
        <v>#N/A</v>
      </c>
    </row>
    <row r="36" spans="1:13" x14ac:dyDescent="0.25">
      <c r="A36" s="35">
        <v>170</v>
      </c>
      <c r="B36" s="35">
        <f>A36*'Gen Calcs'!C$36</f>
        <v>1700000</v>
      </c>
      <c r="C36" s="35" t="e">
        <f t="shared" si="2"/>
        <v>#N/A</v>
      </c>
      <c r="D36" s="35" t="e">
        <f>VLOOKUP(C36,TS!N$2:Z$177,11,TRUE)</f>
        <v>#N/A</v>
      </c>
      <c r="E36" s="35" t="e">
        <f>VLOOKUP(C36,TS!N$2:Z$177,13,TRUE)*1000</f>
        <v>#N/A</v>
      </c>
      <c r="F36" s="35" t="e">
        <f t="shared" si="0"/>
        <v>#N/A</v>
      </c>
      <c r="G36" s="35" t="e">
        <f t="shared" si="1"/>
        <v>#N/A</v>
      </c>
      <c r="H36" s="35" t="e">
        <f>IF(G36&gt;0,H35-(5*'Gen Calcs'!C$41),'Air calcs'!H35)</f>
        <v>#N/A</v>
      </c>
      <c r="I36" s="35" t="e">
        <f>VLOOKUP('Air calcs'!C36,TS!N$2:O$177,2)</f>
        <v>#N/A</v>
      </c>
      <c r="J36" s="40" t="e">
        <f>((MAX(I36:I$205)-Inputs!C$3)-(MAX(I36:I$205)-I36))*0.433+K36</f>
        <v>#N/A</v>
      </c>
      <c r="K36" s="35" t="e">
        <f>14.7*B36/((C$2-C36)*'Gen Calcs'!C$29/7.48)-14.7</f>
        <v>#N/A</v>
      </c>
      <c r="L36" s="35" t="e">
        <f>(H$2-H36)*'Gen Calcs'!C$29</f>
        <v>#N/A</v>
      </c>
      <c r="M36" s="35" t="e">
        <f>(MAX(I36:I$205)-I$205)*0.433</f>
        <v>#N/A</v>
      </c>
    </row>
    <row r="37" spans="1:13" x14ac:dyDescent="0.25">
      <c r="A37" s="35">
        <v>175</v>
      </c>
      <c r="B37" s="35">
        <f>A37*'Gen Calcs'!C$36</f>
        <v>1750000</v>
      </c>
      <c r="C37" s="35" t="e">
        <f t="shared" si="2"/>
        <v>#N/A</v>
      </c>
      <c r="D37" s="35" t="e">
        <f>VLOOKUP(C37,TS!N$2:Z$177,11,TRUE)</f>
        <v>#N/A</v>
      </c>
      <c r="E37" s="35" t="e">
        <f>VLOOKUP(C37,TS!N$2:Z$177,13,TRUE)*1000</f>
        <v>#N/A</v>
      </c>
      <c r="F37" s="35" t="e">
        <f t="shared" si="0"/>
        <v>#N/A</v>
      </c>
      <c r="G37" s="35" t="e">
        <f t="shared" si="1"/>
        <v>#N/A</v>
      </c>
      <c r="H37" s="35" t="e">
        <f>IF(G37&gt;0,H36-(5*'Gen Calcs'!C$41),'Air calcs'!H36)</f>
        <v>#N/A</v>
      </c>
      <c r="I37" s="35" t="e">
        <f>VLOOKUP('Air calcs'!C37,TS!N$2:O$177,2)</f>
        <v>#N/A</v>
      </c>
      <c r="J37" s="40" t="e">
        <f>((MAX(I37:I$205)-Inputs!C$3)-(MAX(I37:I$205)-I37))*0.433+K37</f>
        <v>#N/A</v>
      </c>
      <c r="K37" s="35" t="e">
        <f>14.7*B37/((C$2-C37)*'Gen Calcs'!C$29/7.48)-14.7</f>
        <v>#N/A</v>
      </c>
      <c r="L37" s="35" t="e">
        <f>(H$2-H37)*'Gen Calcs'!C$29</f>
        <v>#N/A</v>
      </c>
      <c r="M37" s="35" t="e">
        <f>(MAX(I37:I$205)-I$205)*0.433</f>
        <v>#N/A</v>
      </c>
    </row>
    <row r="38" spans="1:13" x14ac:dyDescent="0.25">
      <c r="A38" s="35">
        <v>180</v>
      </c>
      <c r="B38" s="35">
        <f>A38*'Gen Calcs'!C$36</f>
        <v>1800000</v>
      </c>
      <c r="C38" s="35" t="e">
        <f t="shared" si="2"/>
        <v>#N/A</v>
      </c>
      <c r="D38" s="35" t="e">
        <f>VLOOKUP(C38,TS!N$2:Z$177,11,TRUE)</f>
        <v>#N/A</v>
      </c>
      <c r="E38" s="35" t="e">
        <f>VLOOKUP(C38,TS!N$2:Z$177,13,TRUE)*1000</f>
        <v>#N/A</v>
      </c>
      <c r="F38" s="35" t="e">
        <f t="shared" si="0"/>
        <v>#N/A</v>
      </c>
      <c r="G38" s="35" t="e">
        <f t="shared" si="1"/>
        <v>#N/A</v>
      </c>
      <c r="H38" s="35" t="e">
        <f>IF(G38&gt;0,H37-(5*'Gen Calcs'!C$41),'Air calcs'!H37)</f>
        <v>#N/A</v>
      </c>
      <c r="I38" s="35" t="e">
        <f>VLOOKUP('Air calcs'!C38,TS!N$2:O$177,2)</f>
        <v>#N/A</v>
      </c>
      <c r="J38" s="40" t="e">
        <f>((MAX(I38:I$205)-Inputs!C$3)-(MAX(I38:I$205)-I38))*0.433+K38</f>
        <v>#N/A</v>
      </c>
      <c r="K38" s="35" t="e">
        <f>14.7*B38/((C$2-C38)*'Gen Calcs'!C$29/7.48)-14.7</f>
        <v>#N/A</v>
      </c>
      <c r="L38" s="35" t="e">
        <f>(H$2-H38)*'Gen Calcs'!C$29</f>
        <v>#N/A</v>
      </c>
      <c r="M38" s="35" t="e">
        <f>(MAX(I38:I$205)-I$205)*0.433</f>
        <v>#N/A</v>
      </c>
    </row>
    <row r="39" spans="1:13" x14ac:dyDescent="0.25">
      <c r="A39" s="35">
        <v>185</v>
      </c>
      <c r="B39" s="35">
        <f>A39*'Gen Calcs'!C$36</f>
        <v>1850000</v>
      </c>
      <c r="C39" s="35" t="e">
        <f t="shared" si="2"/>
        <v>#N/A</v>
      </c>
      <c r="D39" s="35" t="e">
        <f>VLOOKUP(C39,TS!N$2:Z$177,11,TRUE)</f>
        <v>#N/A</v>
      </c>
      <c r="E39" s="35" t="e">
        <f>VLOOKUP(C39,TS!N$2:Z$177,13,TRUE)*1000</f>
        <v>#N/A</v>
      </c>
      <c r="F39" s="35" t="e">
        <f t="shared" si="0"/>
        <v>#N/A</v>
      </c>
      <c r="G39" s="35" t="e">
        <f t="shared" si="1"/>
        <v>#N/A</v>
      </c>
      <c r="H39" s="35" t="e">
        <f>IF(G39&gt;0,H38-(5*'Gen Calcs'!C$41),'Air calcs'!H38)</f>
        <v>#N/A</v>
      </c>
      <c r="I39" s="35" t="e">
        <f>VLOOKUP('Air calcs'!C39,TS!N$2:O$177,2)</f>
        <v>#N/A</v>
      </c>
      <c r="J39" s="40" t="e">
        <f>((MAX(I39:I$205)-Inputs!C$3)-(MAX(I39:I$205)-I39))*0.433+K39</f>
        <v>#N/A</v>
      </c>
      <c r="K39" s="35" t="e">
        <f>14.7*B39/((C$2-C39)*'Gen Calcs'!C$29/7.48)-14.7</f>
        <v>#N/A</v>
      </c>
      <c r="L39" s="35" t="e">
        <f>(H$2-H39)*'Gen Calcs'!C$29</f>
        <v>#N/A</v>
      </c>
      <c r="M39" s="35" t="e">
        <f>(MAX(I39:I$205)-I$205)*0.433</f>
        <v>#N/A</v>
      </c>
    </row>
    <row r="40" spans="1:13" x14ac:dyDescent="0.25">
      <c r="A40" s="35">
        <v>190</v>
      </c>
      <c r="B40" s="35">
        <f>A40*'Gen Calcs'!C$36</f>
        <v>1900000</v>
      </c>
      <c r="C40" s="35" t="e">
        <f t="shared" si="2"/>
        <v>#N/A</v>
      </c>
      <c r="D40" s="35" t="e">
        <f>VLOOKUP(C40,TS!N$2:Z$177,11,TRUE)</f>
        <v>#N/A</v>
      </c>
      <c r="E40" s="35" t="e">
        <f>VLOOKUP(C40,TS!N$2:Z$177,13,TRUE)*1000</f>
        <v>#N/A</v>
      </c>
      <c r="F40" s="35" t="e">
        <f t="shared" si="0"/>
        <v>#N/A</v>
      </c>
      <c r="G40" s="35" t="e">
        <f t="shared" si="1"/>
        <v>#N/A</v>
      </c>
      <c r="H40" s="35" t="e">
        <f>IF(G40&gt;0,H39-(5*'Gen Calcs'!C$41),'Air calcs'!H39)</f>
        <v>#N/A</v>
      </c>
      <c r="I40" s="35" t="e">
        <f>VLOOKUP('Air calcs'!C40,TS!N$2:O$177,2)</f>
        <v>#N/A</v>
      </c>
      <c r="J40" s="40" t="e">
        <f>((MAX(I40:I$205)-Inputs!C$3)-(MAX(I40:I$205)-I40))*0.433+K40</f>
        <v>#N/A</v>
      </c>
      <c r="K40" s="35" t="e">
        <f>14.7*B40/((C$2-C40)*'Gen Calcs'!C$29/7.48)-14.7</f>
        <v>#N/A</v>
      </c>
      <c r="L40" s="35" t="e">
        <f>(H$2-H40)*'Gen Calcs'!C$29</f>
        <v>#N/A</v>
      </c>
      <c r="M40" s="35" t="e">
        <f>(MAX(I40:I$205)-I$205)*0.433</f>
        <v>#N/A</v>
      </c>
    </row>
    <row r="41" spans="1:13" x14ac:dyDescent="0.25">
      <c r="A41" s="35">
        <v>195</v>
      </c>
      <c r="B41" s="35">
        <f>A41*'Gen Calcs'!C$36</f>
        <v>1950000</v>
      </c>
      <c r="C41" s="35" t="e">
        <f t="shared" si="2"/>
        <v>#N/A</v>
      </c>
      <c r="D41" s="35" t="e">
        <f>VLOOKUP(C41,TS!N$2:Z$177,11,TRUE)</f>
        <v>#N/A</v>
      </c>
      <c r="E41" s="35" t="e">
        <f>VLOOKUP(C41,TS!N$2:Z$177,13,TRUE)*1000</f>
        <v>#N/A</v>
      </c>
      <c r="F41" s="35" t="e">
        <f t="shared" si="0"/>
        <v>#N/A</v>
      </c>
      <c r="G41" s="35" t="e">
        <f t="shared" si="1"/>
        <v>#N/A</v>
      </c>
      <c r="H41" s="35" t="e">
        <f>IF(G41&gt;0,H40-(5*'Gen Calcs'!C$41),'Air calcs'!H40)</f>
        <v>#N/A</v>
      </c>
      <c r="I41" s="35" t="e">
        <f>VLOOKUP('Air calcs'!C41,TS!N$2:O$177,2)</f>
        <v>#N/A</v>
      </c>
      <c r="J41" s="40" t="e">
        <f>((MAX(I41:I$205)-Inputs!C$3)-(MAX(I41:I$205)-I41))*0.433+K41</f>
        <v>#N/A</v>
      </c>
      <c r="K41" s="35" t="e">
        <f>14.7*B41/((C$2-C41)*'Gen Calcs'!C$29/7.48)-14.7</f>
        <v>#N/A</v>
      </c>
      <c r="L41" s="35" t="e">
        <f>(H$2-H41)*'Gen Calcs'!C$29</f>
        <v>#N/A</v>
      </c>
      <c r="M41" s="35" t="e">
        <f>(MAX(I41:I$205)-I$205)*0.433</f>
        <v>#N/A</v>
      </c>
    </row>
    <row r="42" spans="1:13" x14ac:dyDescent="0.25">
      <c r="A42" s="35">
        <v>200</v>
      </c>
      <c r="B42" s="35">
        <f>A42*'Gen Calcs'!C$36</f>
        <v>2000000</v>
      </c>
      <c r="C42" s="35" t="e">
        <f t="shared" si="2"/>
        <v>#N/A</v>
      </c>
      <c r="D42" s="35" t="e">
        <f>VLOOKUP(C42,TS!N$2:Z$177,11,TRUE)</f>
        <v>#N/A</v>
      </c>
      <c r="E42" s="35" t="e">
        <f>VLOOKUP(C42,TS!N$2:Z$177,13,TRUE)*1000</f>
        <v>#N/A</v>
      </c>
      <c r="F42" s="35" t="e">
        <f t="shared" si="0"/>
        <v>#N/A</v>
      </c>
      <c r="G42" s="35" t="e">
        <f t="shared" si="1"/>
        <v>#N/A</v>
      </c>
      <c r="H42" s="35" t="e">
        <f>IF(G42&gt;0,H41-(5*'Gen Calcs'!C$41),'Air calcs'!H41)</f>
        <v>#N/A</v>
      </c>
      <c r="I42" s="35" t="e">
        <f>VLOOKUP('Air calcs'!C42,TS!N$2:O$177,2)</f>
        <v>#N/A</v>
      </c>
      <c r="J42" s="40" t="e">
        <f>((MAX(I42:I$205)-Inputs!C$3)-(MAX(I42:I$205)-I42))*0.433+K42</f>
        <v>#N/A</v>
      </c>
      <c r="K42" s="35" t="e">
        <f>14.7*B42/((C$2-C42)*'Gen Calcs'!C$29/7.48)-14.7</f>
        <v>#N/A</v>
      </c>
      <c r="L42" s="35" t="e">
        <f>(H$2-H42)*'Gen Calcs'!C$29</f>
        <v>#N/A</v>
      </c>
      <c r="M42" s="35" t="e">
        <f>(MAX(I42:I$205)-I$205)*0.433</f>
        <v>#N/A</v>
      </c>
    </row>
    <row r="43" spans="1:13" x14ac:dyDescent="0.25">
      <c r="A43" s="35">
        <v>205</v>
      </c>
      <c r="B43" s="35">
        <f>A43*'Gen Calcs'!C$36</f>
        <v>2050000</v>
      </c>
      <c r="C43" s="35" t="e">
        <f t="shared" si="2"/>
        <v>#N/A</v>
      </c>
      <c r="D43" s="35" t="e">
        <f>VLOOKUP(C43,TS!N$2:Z$177,11,TRUE)</f>
        <v>#N/A</v>
      </c>
      <c r="E43" s="35" t="e">
        <f>VLOOKUP(C43,TS!N$2:Z$177,13,TRUE)*1000</f>
        <v>#N/A</v>
      </c>
      <c r="F43" s="35" t="e">
        <f t="shared" si="0"/>
        <v>#N/A</v>
      </c>
      <c r="G43" s="35" t="e">
        <f t="shared" si="1"/>
        <v>#N/A</v>
      </c>
      <c r="H43" s="35" t="e">
        <f>IF(G43&gt;0,H42-(5*'Gen Calcs'!C$41),'Air calcs'!H42)</f>
        <v>#N/A</v>
      </c>
      <c r="I43" s="35" t="e">
        <f>VLOOKUP('Air calcs'!C43,TS!N$2:O$177,2)</f>
        <v>#N/A</v>
      </c>
      <c r="J43" s="40" t="e">
        <f>((MAX(I43:I$205)-Inputs!C$3)-(MAX(I43:I$205)-I43))*0.433+K43</f>
        <v>#N/A</v>
      </c>
      <c r="K43" s="35" t="e">
        <f>14.7*B43/((C$2-C43)*'Gen Calcs'!C$29/7.48)-14.7</f>
        <v>#N/A</v>
      </c>
      <c r="L43" s="35" t="e">
        <f>(H$2-H43)*'Gen Calcs'!C$29</f>
        <v>#N/A</v>
      </c>
      <c r="M43" s="35" t="e">
        <f>(MAX(I43:I$205)-I$205)*0.433</f>
        <v>#N/A</v>
      </c>
    </row>
    <row r="44" spans="1:13" x14ac:dyDescent="0.25">
      <c r="A44" s="35">
        <v>210</v>
      </c>
      <c r="B44" s="35">
        <f>A44*'Gen Calcs'!C$36</f>
        <v>2100000</v>
      </c>
      <c r="C44" s="35" t="e">
        <f t="shared" si="2"/>
        <v>#N/A</v>
      </c>
      <c r="D44" s="35" t="e">
        <f>VLOOKUP(C44,TS!N$2:Z$177,11,TRUE)</f>
        <v>#N/A</v>
      </c>
      <c r="E44" s="35" t="e">
        <f>VLOOKUP(C44,TS!N$2:Z$177,13,TRUE)*1000</f>
        <v>#N/A</v>
      </c>
      <c r="F44" s="35" t="e">
        <f t="shared" si="0"/>
        <v>#N/A</v>
      </c>
      <c r="G44" s="35" t="e">
        <f t="shared" si="1"/>
        <v>#N/A</v>
      </c>
      <c r="H44" s="35" t="e">
        <f>IF(G44&gt;0,H43-(5*'Gen Calcs'!C$41),'Air calcs'!H43)</f>
        <v>#N/A</v>
      </c>
      <c r="I44" s="35" t="e">
        <f>VLOOKUP('Air calcs'!C44,TS!N$2:O$177,2)</f>
        <v>#N/A</v>
      </c>
      <c r="J44" s="40" t="e">
        <f>((MAX(I44:I$205)-Inputs!C$3)-(MAX(I44:I$205)-I44))*0.433+K44</f>
        <v>#N/A</v>
      </c>
      <c r="K44" s="35" t="e">
        <f>14.7*B44/((C$2-C44)*'Gen Calcs'!C$29/7.48)-14.7</f>
        <v>#N/A</v>
      </c>
      <c r="L44" s="35" t="e">
        <f>(H$2-H44)*'Gen Calcs'!C$29</f>
        <v>#N/A</v>
      </c>
      <c r="M44" s="35" t="e">
        <f>(MAX(I44:I$205)-I$205)*0.433</f>
        <v>#N/A</v>
      </c>
    </row>
    <row r="45" spans="1:13" x14ac:dyDescent="0.25">
      <c r="A45" s="35">
        <v>215</v>
      </c>
      <c r="B45" s="35">
        <f>A45*'Gen Calcs'!C$36</f>
        <v>2150000</v>
      </c>
      <c r="C45" s="35" t="e">
        <f t="shared" si="2"/>
        <v>#N/A</v>
      </c>
      <c r="D45" s="35" t="e">
        <f>VLOOKUP(C45,TS!N$2:Z$177,11,TRUE)</f>
        <v>#N/A</v>
      </c>
      <c r="E45" s="35" t="e">
        <f>VLOOKUP(C45,TS!N$2:Z$177,13,TRUE)*1000</f>
        <v>#N/A</v>
      </c>
      <c r="F45" s="35" t="e">
        <f t="shared" si="0"/>
        <v>#N/A</v>
      </c>
      <c r="G45" s="35" t="e">
        <f t="shared" si="1"/>
        <v>#N/A</v>
      </c>
      <c r="H45" s="35" t="e">
        <f>IF(G45&gt;0,H44-(5*'Gen Calcs'!C$41),'Air calcs'!H44)</f>
        <v>#N/A</v>
      </c>
      <c r="I45" s="35" t="e">
        <f>VLOOKUP('Air calcs'!C45,TS!N$2:O$177,2)</f>
        <v>#N/A</v>
      </c>
      <c r="J45" s="40" t="e">
        <f>((MAX(I45:I$205)-Inputs!C$3)-(MAX(I45:I$205)-I45))*0.433+K45</f>
        <v>#N/A</v>
      </c>
      <c r="K45" s="35" t="e">
        <f>14.7*B45/((C$2-C45)*'Gen Calcs'!C$29/7.48)-14.7</f>
        <v>#N/A</v>
      </c>
      <c r="L45" s="35" t="e">
        <f>(H$2-H45)*'Gen Calcs'!C$29</f>
        <v>#N/A</v>
      </c>
      <c r="M45" s="35" t="e">
        <f>(MAX(I45:I$205)-I$205)*0.433</f>
        <v>#N/A</v>
      </c>
    </row>
    <row r="46" spans="1:13" x14ac:dyDescent="0.25">
      <c r="A46" s="35">
        <v>220</v>
      </c>
      <c r="B46" s="35">
        <f>A46*'Gen Calcs'!C$36</f>
        <v>2200000</v>
      </c>
      <c r="C46" s="35" t="e">
        <f t="shared" si="2"/>
        <v>#N/A</v>
      </c>
      <c r="D46" s="35" t="e">
        <f>VLOOKUP(C46,TS!N$2:Z$177,11,TRUE)</f>
        <v>#N/A</v>
      </c>
      <c r="E46" s="35" t="e">
        <f>VLOOKUP(C46,TS!N$2:Z$177,13,TRUE)*1000</f>
        <v>#N/A</v>
      </c>
      <c r="F46" s="35" t="e">
        <f t="shared" si="0"/>
        <v>#N/A</v>
      </c>
      <c r="G46" s="35" t="e">
        <f t="shared" si="1"/>
        <v>#N/A</v>
      </c>
      <c r="H46" s="35" t="e">
        <f>IF(G46&gt;0,H45-(5*'Gen Calcs'!C$41),'Air calcs'!H45)</f>
        <v>#N/A</v>
      </c>
      <c r="I46" s="35" t="e">
        <f>VLOOKUP('Air calcs'!C46,TS!N$2:O$177,2)</f>
        <v>#N/A</v>
      </c>
      <c r="J46" s="40" t="e">
        <f>((MAX(I46:I$205)-Inputs!C$3)-(MAX(I46:I$205)-I46))*0.433+K46</f>
        <v>#N/A</v>
      </c>
      <c r="K46" s="35" t="e">
        <f>14.7*B46/((C$2-C46)*'Gen Calcs'!C$29/7.48)-14.7</f>
        <v>#N/A</v>
      </c>
      <c r="L46" s="35" t="e">
        <f>(H$2-H46)*'Gen Calcs'!C$29</f>
        <v>#N/A</v>
      </c>
      <c r="M46" s="35" t="e">
        <f>(MAX(I46:I$205)-I$205)*0.433</f>
        <v>#N/A</v>
      </c>
    </row>
    <row r="47" spans="1:13" x14ac:dyDescent="0.25">
      <c r="A47" s="35">
        <v>225</v>
      </c>
      <c r="B47" s="35">
        <f>A47*'Gen Calcs'!C$36</f>
        <v>2250000</v>
      </c>
      <c r="C47" s="35" t="e">
        <f t="shared" si="2"/>
        <v>#N/A</v>
      </c>
      <c r="D47" s="35" t="e">
        <f>VLOOKUP(C47,TS!N$2:Z$177,11,TRUE)</f>
        <v>#N/A</v>
      </c>
      <c r="E47" s="35" t="e">
        <f>VLOOKUP(C47,TS!N$2:Z$177,13,TRUE)*1000</f>
        <v>#N/A</v>
      </c>
      <c r="F47" s="35" t="e">
        <f t="shared" si="0"/>
        <v>#N/A</v>
      </c>
      <c r="G47" s="35" t="e">
        <f t="shared" si="1"/>
        <v>#N/A</v>
      </c>
      <c r="H47" s="35" t="e">
        <f>IF(G47&gt;0,H46-(5*'Gen Calcs'!C$41),'Air calcs'!H46)</f>
        <v>#N/A</v>
      </c>
      <c r="I47" s="35" t="e">
        <f>VLOOKUP('Air calcs'!C47,TS!N$2:O$177,2)</f>
        <v>#N/A</v>
      </c>
      <c r="J47" s="40" t="e">
        <f>((MAX(I47:I$205)-Inputs!C$3)-(MAX(I47:I$205)-I47))*0.433+K47</f>
        <v>#N/A</v>
      </c>
      <c r="K47" s="35" t="e">
        <f>14.7*B47/((C$2-C47)*'Gen Calcs'!C$29/7.48)-14.7</f>
        <v>#N/A</v>
      </c>
      <c r="L47" s="35" t="e">
        <f>(H$2-H47)*'Gen Calcs'!C$29</f>
        <v>#N/A</v>
      </c>
      <c r="M47" s="35" t="e">
        <f>(MAX(I47:I$205)-I$205)*0.433</f>
        <v>#N/A</v>
      </c>
    </row>
    <row r="48" spans="1:13" x14ac:dyDescent="0.25">
      <c r="A48" s="35">
        <v>230</v>
      </c>
      <c r="B48" s="35">
        <f>A48*'Gen Calcs'!C$36</f>
        <v>2300000</v>
      </c>
      <c r="C48" s="35" t="e">
        <f t="shared" si="2"/>
        <v>#N/A</v>
      </c>
      <c r="D48" s="35" t="e">
        <f>VLOOKUP(C48,TS!N$2:Z$177,11,TRUE)</f>
        <v>#N/A</v>
      </c>
      <c r="E48" s="35" t="e">
        <f>VLOOKUP(C48,TS!N$2:Z$177,13,TRUE)*1000</f>
        <v>#N/A</v>
      </c>
      <c r="F48" s="35" t="e">
        <f t="shared" si="0"/>
        <v>#N/A</v>
      </c>
      <c r="G48" s="35" t="e">
        <f t="shared" si="1"/>
        <v>#N/A</v>
      </c>
      <c r="H48" s="35" t="e">
        <f>IF(G48&gt;0,H47-(5*'Gen Calcs'!C$41),'Air calcs'!H47)</f>
        <v>#N/A</v>
      </c>
      <c r="I48" s="35" t="e">
        <f>VLOOKUP('Air calcs'!C48,TS!N$2:O$177,2)</f>
        <v>#N/A</v>
      </c>
      <c r="J48" s="40" t="e">
        <f>((MAX(I48:I$205)-Inputs!C$3)-(MAX(I48:I$205)-I48))*0.433+K48</f>
        <v>#N/A</v>
      </c>
      <c r="K48" s="35" t="e">
        <f>14.7*B48/((C$2-C48)*'Gen Calcs'!C$29/7.48)-14.7</f>
        <v>#N/A</v>
      </c>
      <c r="L48" s="35" t="e">
        <f>(H$2-H48)*'Gen Calcs'!C$29</f>
        <v>#N/A</v>
      </c>
      <c r="M48" s="35" t="e">
        <f>(MAX(I48:I$205)-I$205)*0.433</f>
        <v>#N/A</v>
      </c>
    </row>
    <row r="49" spans="1:13" x14ac:dyDescent="0.25">
      <c r="A49" s="35">
        <v>235</v>
      </c>
      <c r="B49" s="35">
        <f>A49*'Gen Calcs'!C$36</f>
        <v>2350000</v>
      </c>
      <c r="C49" s="35" t="e">
        <f t="shared" si="2"/>
        <v>#N/A</v>
      </c>
      <c r="D49" s="35" t="e">
        <f>VLOOKUP(C49,TS!N$2:Z$177,11,TRUE)</f>
        <v>#N/A</v>
      </c>
      <c r="E49" s="35" t="e">
        <f>VLOOKUP(C49,TS!N$2:Z$177,13,TRUE)*1000</f>
        <v>#N/A</v>
      </c>
      <c r="F49" s="35" t="e">
        <f t="shared" si="0"/>
        <v>#N/A</v>
      </c>
      <c r="G49" s="35" t="e">
        <f t="shared" si="1"/>
        <v>#N/A</v>
      </c>
      <c r="H49" s="35" t="e">
        <f>IF(G49&gt;0,H48-(5*'Gen Calcs'!C$41),'Air calcs'!H48)</f>
        <v>#N/A</v>
      </c>
      <c r="I49" s="35" t="e">
        <f>VLOOKUP('Air calcs'!C49,TS!N$2:O$177,2)</f>
        <v>#N/A</v>
      </c>
      <c r="J49" s="40" t="e">
        <f>((MAX(I49:I$205)-Inputs!C$3)-(MAX(I49:I$205)-I49))*0.433+K49</f>
        <v>#N/A</v>
      </c>
      <c r="K49" s="35" t="e">
        <f>14.7*B49/((C$2-C49)*'Gen Calcs'!C$29/7.48)-14.7</f>
        <v>#N/A</v>
      </c>
      <c r="L49" s="35" t="e">
        <f>(H$2-H49)*'Gen Calcs'!C$29</f>
        <v>#N/A</v>
      </c>
      <c r="M49" s="35" t="e">
        <f>(MAX(I49:I$205)-I$205)*0.433</f>
        <v>#N/A</v>
      </c>
    </row>
    <row r="50" spans="1:13" x14ac:dyDescent="0.25">
      <c r="A50" s="35">
        <v>240</v>
      </c>
      <c r="B50" s="35">
        <f>A50*'Gen Calcs'!C$36</f>
        <v>2400000</v>
      </c>
      <c r="C50" s="35" t="e">
        <f t="shared" si="2"/>
        <v>#N/A</v>
      </c>
      <c r="D50" s="35" t="e">
        <f>VLOOKUP(C50,TS!N$2:Z$177,11,TRUE)</f>
        <v>#N/A</v>
      </c>
      <c r="E50" s="35" t="e">
        <f>VLOOKUP(C50,TS!N$2:Z$177,13,TRUE)*1000</f>
        <v>#N/A</v>
      </c>
      <c r="F50" s="35" t="e">
        <f t="shared" si="0"/>
        <v>#N/A</v>
      </c>
      <c r="G50" s="35" t="e">
        <f t="shared" si="1"/>
        <v>#N/A</v>
      </c>
      <c r="H50" s="35" t="e">
        <f>IF(G50&gt;0,H49-(5*'Gen Calcs'!C$41),'Air calcs'!H49)</f>
        <v>#N/A</v>
      </c>
      <c r="I50" s="35" t="e">
        <f>VLOOKUP('Air calcs'!C50,TS!N$2:O$177,2)</f>
        <v>#N/A</v>
      </c>
      <c r="J50" s="40" t="e">
        <f>((MAX(I50:I$205)-Inputs!C$3)-(MAX(I50:I$205)-I50))*0.433+K50</f>
        <v>#N/A</v>
      </c>
      <c r="K50" s="35" t="e">
        <f>14.7*B50/((C$2-C50)*'Gen Calcs'!C$29/7.48)-14.7</f>
        <v>#N/A</v>
      </c>
      <c r="L50" s="35" t="e">
        <f>(H$2-H50)*'Gen Calcs'!C$29</f>
        <v>#N/A</v>
      </c>
      <c r="M50" s="35" t="e">
        <f>(MAX(I50:I$205)-I$205)*0.433</f>
        <v>#N/A</v>
      </c>
    </row>
    <row r="51" spans="1:13" x14ac:dyDescent="0.25">
      <c r="A51" s="35">
        <v>245</v>
      </c>
      <c r="B51" s="35">
        <f>A51*'Gen Calcs'!C$36</f>
        <v>2450000</v>
      </c>
      <c r="C51" s="35" t="e">
        <f t="shared" si="2"/>
        <v>#N/A</v>
      </c>
      <c r="D51" s="35" t="e">
        <f>VLOOKUP(C51,TS!N$2:Z$177,11,TRUE)</f>
        <v>#N/A</v>
      </c>
      <c r="E51" s="35" t="e">
        <f>VLOOKUP(C51,TS!N$2:Z$177,13,TRUE)*1000</f>
        <v>#N/A</v>
      </c>
      <c r="F51" s="35" t="e">
        <f t="shared" si="0"/>
        <v>#N/A</v>
      </c>
      <c r="G51" s="35" t="e">
        <f t="shared" si="1"/>
        <v>#N/A</v>
      </c>
      <c r="H51" s="35" t="e">
        <f>IF(G51&gt;0,H50-(5*'Gen Calcs'!C$41),'Air calcs'!H50)</f>
        <v>#N/A</v>
      </c>
      <c r="I51" s="35" t="e">
        <f>VLOOKUP('Air calcs'!C51,TS!N$2:O$177,2)</f>
        <v>#N/A</v>
      </c>
      <c r="J51" s="40" t="e">
        <f>((MAX(I51:I$205)-Inputs!C$3)-(MAX(I51:I$205)-I51))*0.433+K51</f>
        <v>#N/A</v>
      </c>
      <c r="K51" s="35" t="e">
        <f>14.7*B51/((C$2-C51)*'Gen Calcs'!C$29/7.48)-14.7</f>
        <v>#N/A</v>
      </c>
      <c r="L51" s="35" t="e">
        <f>(H$2-H51)*'Gen Calcs'!C$29</f>
        <v>#N/A</v>
      </c>
      <c r="M51" s="35" t="e">
        <f>(MAX(I51:I$205)-I$205)*0.433</f>
        <v>#N/A</v>
      </c>
    </row>
    <row r="52" spans="1:13" x14ac:dyDescent="0.25">
      <c r="A52" s="35">
        <v>250</v>
      </c>
      <c r="B52" s="35">
        <f>A52*'Gen Calcs'!C$36</f>
        <v>2500000</v>
      </c>
      <c r="C52" s="35" t="e">
        <f t="shared" si="2"/>
        <v>#N/A</v>
      </c>
      <c r="D52" s="35" t="e">
        <f>VLOOKUP(C52,TS!N$2:Z$177,11,TRUE)</f>
        <v>#N/A</v>
      </c>
      <c r="E52" s="35" t="e">
        <f>VLOOKUP(C52,TS!N$2:Z$177,13,TRUE)*1000</f>
        <v>#N/A</v>
      </c>
      <c r="F52" s="35" t="e">
        <f t="shared" si="0"/>
        <v>#N/A</v>
      </c>
      <c r="G52" s="35" t="e">
        <f t="shared" si="1"/>
        <v>#N/A</v>
      </c>
      <c r="H52" s="35" t="e">
        <f>IF(G52&gt;0,H51-(5*'Gen Calcs'!C$41),'Air calcs'!H51)</f>
        <v>#N/A</v>
      </c>
      <c r="I52" s="35" t="e">
        <f>VLOOKUP('Air calcs'!C52,TS!N$2:O$177,2)</f>
        <v>#N/A</v>
      </c>
      <c r="J52" s="40" t="e">
        <f>((MAX(I52:I$205)-Inputs!C$3)-(MAX(I52:I$205)-I52))*0.433+K52</f>
        <v>#N/A</v>
      </c>
      <c r="K52" s="35" t="e">
        <f>14.7*B52/((C$2-C52)*'Gen Calcs'!C$29/7.48)-14.7</f>
        <v>#N/A</v>
      </c>
      <c r="L52" s="35" t="e">
        <f>(H$2-H52)*'Gen Calcs'!C$29</f>
        <v>#N/A</v>
      </c>
      <c r="M52" s="35" t="e">
        <f>(MAX(I52:I$205)-I$205)*0.433</f>
        <v>#N/A</v>
      </c>
    </row>
    <row r="53" spans="1:13" x14ac:dyDescent="0.25">
      <c r="A53" s="35">
        <v>255</v>
      </c>
      <c r="B53" s="35">
        <f>A53*'Gen Calcs'!C$36</f>
        <v>2550000</v>
      </c>
      <c r="C53" s="35" t="e">
        <f t="shared" si="2"/>
        <v>#N/A</v>
      </c>
      <c r="D53" s="35" t="e">
        <f>VLOOKUP(C53,TS!N$2:Z$177,11,TRUE)</f>
        <v>#N/A</v>
      </c>
      <c r="E53" s="35" t="e">
        <f>VLOOKUP(C53,TS!N$2:Z$177,13,TRUE)*1000</f>
        <v>#N/A</v>
      </c>
      <c r="F53" s="35" t="e">
        <f t="shared" si="0"/>
        <v>#N/A</v>
      </c>
      <c r="G53" s="35" t="e">
        <f t="shared" si="1"/>
        <v>#N/A</v>
      </c>
      <c r="H53" s="35" t="e">
        <f>IF(G53&gt;0,H52-(5*'Gen Calcs'!C$41),'Air calcs'!H52)</f>
        <v>#N/A</v>
      </c>
      <c r="I53" s="35" t="e">
        <f>VLOOKUP('Air calcs'!C53,TS!N$2:O$177,2)</f>
        <v>#N/A</v>
      </c>
      <c r="J53" s="40" t="e">
        <f>((MAX(I53:I$205)-Inputs!C$3)-(MAX(I53:I$205)-I53))*0.433+K53</f>
        <v>#N/A</v>
      </c>
      <c r="K53" s="35" t="e">
        <f>14.7*B53/((C$2-C53)*'Gen Calcs'!C$29/7.48)-14.7</f>
        <v>#N/A</v>
      </c>
      <c r="L53" s="35" t="e">
        <f>(H$2-H53)*'Gen Calcs'!C$29</f>
        <v>#N/A</v>
      </c>
      <c r="M53" s="35" t="e">
        <f>(MAX(I53:I$205)-I$205)*0.433</f>
        <v>#N/A</v>
      </c>
    </row>
    <row r="54" spans="1:13" x14ac:dyDescent="0.25">
      <c r="A54" s="35">
        <v>260</v>
      </c>
      <c r="B54" s="35">
        <f>A54*'Gen Calcs'!C$36</f>
        <v>2600000</v>
      </c>
      <c r="C54" s="35" t="e">
        <f t="shared" si="2"/>
        <v>#N/A</v>
      </c>
      <c r="D54" s="35" t="e">
        <f>VLOOKUP(C54,TS!N$2:Z$177,11,TRUE)</f>
        <v>#N/A</v>
      </c>
      <c r="E54" s="35" t="e">
        <f>VLOOKUP(C54,TS!N$2:Z$177,13,TRUE)*1000</f>
        <v>#N/A</v>
      </c>
      <c r="F54" s="35" t="e">
        <f t="shared" si="0"/>
        <v>#N/A</v>
      </c>
      <c r="G54" s="35" t="e">
        <f t="shared" si="1"/>
        <v>#N/A</v>
      </c>
      <c r="H54" s="35" t="e">
        <f>IF(G54&gt;0,H53-(5*'Gen Calcs'!C$41),'Air calcs'!H53)</f>
        <v>#N/A</v>
      </c>
      <c r="I54" s="35" t="e">
        <f>VLOOKUP('Air calcs'!C54,TS!N$2:O$177,2)</f>
        <v>#N/A</v>
      </c>
      <c r="J54" s="40" t="e">
        <f>((MAX(I54:I$205)-Inputs!C$3)-(MAX(I54:I$205)-I54))*0.433+K54</f>
        <v>#N/A</v>
      </c>
      <c r="K54" s="35" t="e">
        <f>14.7*B54/((C$2-C54)*'Gen Calcs'!C$29/7.48)-14.7</f>
        <v>#N/A</v>
      </c>
      <c r="L54" s="35" t="e">
        <f>(H$2-H54)*'Gen Calcs'!C$29</f>
        <v>#N/A</v>
      </c>
      <c r="M54" s="35" t="e">
        <f>(MAX(I54:I$205)-I$205)*0.433</f>
        <v>#N/A</v>
      </c>
    </row>
    <row r="55" spans="1:13" x14ac:dyDescent="0.25">
      <c r="A55" s="35">
        <v>265</v>
      </c>
      <c r="B55" s="35">
        <f>A55*'Gen Calcs'!C$36</f>
        <v>2650000</v>
      </c>
      <c r="C55" s="35" t="e">
        <f t="shared" si="2"/>
        <v>#N/A</v>
      </c>
      <c r="D55" s="35" t="e">
        <f>VLOOKUP(C55,TS!N$2:Z$177,11,TRUE)</f>
        <v>#N/A</v>
      </c>
      <c r="E55" s="35" t="e">
        <f>VLOOKUP(C55,TS!N$2:Z$177,13,TRUE)*1000</f>
        <v>#N/A</v>
      </c>
      <c r="F55" s="35" t="e">
        <f t="shared" si="0"/>
        <v>#N/A</v>
      </c>
      <c r="G55" s="35" t="e">
        <f t="shared" si="1"/>
        <v>#N/A</v>
      </c>
      <c r="H55" s="35" t="e">
        <f>IF(G55&gt;0,H54-(5*'Gen Calcs'!C$41),'Air calcs'!H54)</f>
        <v>#N/A</v>
      </c>
      <c r="I55" s="35" t="e">
        <f>VLOOKUP('Air calcs'!C55,TS!N$2:O$177,2)</f>
        <v>#N/A</v>
      </c>
      <c r="J55" s="40" t="e">
        <f>((MAX(I55:I$205)-Inputs!C$3)-(MAX(I55:I$205)-I55))*0.433+K55</f>
        <v>#N/A</v>
      </c>
      <c r="K55" s="35" t="e">
        <f>14.7*B55/((C$2-C55)*'Gen Calcs'!C$29/7.48)-14.7</f>
        <v>#N/A</v>
      </c>
      <c r="L55" s="35" t="e">
        <f>(H$2-H55)*'Gen Calcs'!C$29</f>
        <v>#N/A</v>
      </c>
      <c r="M55" s="35" t="e">
        <f>(MAX(I55:I$205)-I$205)*0.433</f>
        <v>#N/A</v>
      </c>
    </row>
    <row r="56" spans="1:13" x14ac:dyDescent="0.25">
      <c r="A56" s="35">
        <v>270</v>
      </c>
      <c r="B56" s="35">
        <f>A56*'Gen Calcs'!C$36</f>
        <v>2700000</v>
      </c>
      <c r="C56" s="35" t="e">
        <f t="shared" si="2"/>
        <v>#N/A</v>
      </c>
      <c r="D56" s="35" t="e">
        <f>VLOOKUP(C56,TS!N$2:Z$177,11,TRUE)</f>
        <v>#N/A</v>
      </c>
      <c r="E56" s="35" t="e">
        <f>VLOOKUP(C56,TS!N$2:Z$177,13,TRUE)*1000</f>
        <v>#N/A</v>
      </c>
      <c r="F56" s="35" t="e">
        <f t="shared" si="0"/>
        <v>#N/A</v>
      </c>
      <c r="G56" s="35" t="e">
        <f t="shared" si="1"/>
        <v>#N/A</v>
      </c>
      <c r="H56" s="35" t="e">
        <f>IF(G56&gt;0,H55-(5*'Gen Calcs'!C$41),'Air calcs'!H55)</f>
        <v>#N/A</v>
      </c>
      <c r="I56" s="35" t="e">
        <f>VLOOKUP('Air calcs'!C56,TS!N$2:O$177,2)</f>
        <v>#N/A</v>
      </c>
      <c r="J56" s="40" t="e">
        <f>((MAX(I56:I$205)-Inputs!C$3)-(MAX(I56:I$205)-I56))*0.433+K56</f>
        <v>#N/A</v>
      </c>
      <c r="K56" s="35" t="e">
        <f>14.7*B56/((C$2-C56)*'Gen Calcs'!C$29/7.48)-14.7</f>
        <v>#N/A</v>
      </c>
      <c r="L56" s="35" t="e">
        <f>(H$2-H56)*'Gen Calcs'!C$29</f>
        <v>#N/A</v>
      </c>
      <c r="M56" s="35" t="e">
        <f>(MAX(I56:I$205)-I$205)*0.433</f>
        <v>#N/A</v>
      </c>
    </row>
    <row r="57" spans="1:13" x14ac:dyDescent="0.25">
      <c r="A57" s="35">
        <v>275</v>
      </c>
      <c r="B57" s="35">
        <f>A57*'Gen Calcs'!C$36</f>
        <v>2750000</v>
      </c>
      <c r="C57" s="35" t="e">
        <f t="shared" si="2"/>
        <v>#N/A</v>
      </c>
      <c r="D57" s="35" t="e">
        <f>VLOOKUP(C57,TS!N$2:Z$177,11,TRUE)</f>
        <v>#N/A</v>
      </c>
      <c r="E57" s="35" t="e">
        <f>VLOOKUP(C57,TS!N$2:Z$177,13,TRUE)*1000</f>
        <v>#N/A</v>
      </c>
      <c r="F57" s="35" t="e">
        <f t="shared" si="0"/>
        <v>#N/A</v>
      </c>
      <c r="G57" s="35" t="e">
        <f t="shared" si="1"/>
        <v>#N/A</v>
      </c>
      <c r="H57" s="35" t="e">
        <f>IF(G57&gt;0,H56-(5*'Gen Calcs'!C$41),'Air calcs'!H56)</f>
        <v>#N/A</v>
      </c>
      <c r="I57" s="35" t="e">
        <f>VLOOKUP('Air calcs'!C57,TS!N$2:O$177,2)</f>
        <v>#N/A</v>
      </c>
      <c r="J57" s="40" t="e">
        <f>((MAX(I57:I$205)-Inputs!C$3)-(MAX(I57:I$205)-I57))*0.433+K57</f>
        <v>#N/A</v>
      </c>
      <c r="K57" s="35" t="e">
        <f>14.7*B57/((C$2-C57)*'Gen Calcs'!C$29/7.48)-14.7</f>
        <v>#N/A</v>
      </c>
      <c r="L57" s="35" t="e">
        <f>(H$2-H57)*'Gen Calcs'!C$29</f>
        <v>#N/A</v>
      </c>
      <c r="M57" s="35" t="e">
        <f>(MAX(I57:I$205)-I$205)*0.433</f>
        <v>#N/A</v>
      </c>
    </row>
    <row r="58" spans="1:13" x14ac:dyDescent="0.25">
      <c r="A58" s="35">
        <v>280</v>
      </c>
      <c r="B58" s="35">
        <f>A58*'Gen Calcs'!C$36</f>
        <v>2800000</v>
      </c>
      <c r="C58" s="35" t="e">
        <f t="shared" si="2"/>
        <v>#N/A</v>
      </c>
      <c r="D58" s="35" t="e">
        <f>VLOOKUP(C58,TS!N$2:Z$177,11,TRUE)</f>
        <v>#N/A</v>
      </c>
      <c r="E58" s="35" t="e">
        <f>VLOOKUP(C58,TS!N$2:Z$177,13,TRUE)*1000</f>
        <v>#N/A</v>
      </c>
      <c r="F58" s="35" t="e">
        <f t="shared" si="0"/>
        <v>#N/A</v>
      </c>
      <c r="G58" s="35" t="e">
        <f t="shared" si="1"/>
        <v>#N/A</v>
      </c>
      <c r="H58" s="35" t="e">
        <f>IF(G58&gt;0,H57-(5*'Gen Calcs'!C$41),'Air calcs'!H57)</f>
        <v>#N/A</v>
      </c>
      <c r="I58" s="35" t="e">
        <f>VLOOKUP('Air calcs'!C58,TS!N$2:O$177,2)</f>
        <v>#N/A</v>
      </c>
      <c r="J58" s="40" t="e">
        <f>((MAX(I58:I$205)-Inputs!C$3)-(MAX(I58:I$205)-I58))*0.433+K58</f>
        <v>#N/A</v>
      </c>
      <c r="K58" s="35" t="e">
        <f>14.7*B58/((C$2-C58)*'Gen Calcs'!C$29/7.48)-14.7</f>
        <v>#N/A</v>
      </c>
      <c r="L58" s="35" t="e">
        <f>(H$2-H58)*'Gen Calcs'!C$29</f>
        <v>#N/A</v>
      </c>
      <c r="M58" s="35" t="e">
        <f>(MAX(I58:I$205)-I$205)*0.433</f>
        <v>#N/A</v>
      </c>
    </row>
    <row r="59" spans="1:13" x14ac:dyDescent="0.25">
      <c r="A59" s="35">
        <v>285</v>
      </c>
      <c r="B59" s="35">
        <f>A59*'Gen Calcs'!C$36</f>
        <v>2850000</v>
      </c>
      <c r="C59" s="35" t="e">
        <f t="shared" si="2"/>
        <v>#N/A</v>
      </c>
      <c r="D59" s="35" t="e">
        <f>VLOOKUP(C59,TS!N$2:Z$177,11,TRUE)</f>
        <v>#N/A</v>
      </c>
      <c r="E59" s="35" t="e">
        <f>VLOOKUP(C59,TS!N$2:Z$177,13,TRUE)*1000</f>
        <v>#N/A</v>
      </c>
      <c r="F59" s="35" t="e">
        <f t="shared" si="0"/>
        <v>#N/A</v>
      </c>
      <c r="G59" s="35" t="e">
        <f t="shared" si="1"/>
        <v>#N/A</v>
      </c>
      <c r="H59" s="35" t="e">
        <f>IF(G59&gt;0,H58-(5*'Gen Calcs'!C$41),'Air calcs'!H58)</f>
        <v>#N/A</v>
      </c>
      <c r="I59" s="35" t="e">
        <f>VLOOKUP('Air calcs'!C59,TS!N$2:O$177,2)</f>
        <v>#N/A</v>
      </c>
      <c r="J59" s="40" t="e">
        <f>((MAX(I59:I$205)-Inputs!C$3)-(MAX(I59:I$205)-I59))*0.433+K59</f>
        <v>#N/A</v>
      </c>
      <c r="K59" s="35" t="e">
        <f>14.7*B59/((C$2-C59)*'Gen Calcs'!C$29/7.48)-14.7</f>
        <v>#N/A</v>
      </c>
      <c r="L59" s="35" t="e">
        <f>(H$2-H59)*'Gen Calcs'!C$29</f>
        <v>#N/A</v>
      </c>
      <c r="M59" s="35" t="e">
        <f>(MAX(I59:I$205)-I$205)*0.433</f>
        <v>#N/A</v>
      </c>
    </row>
    <row r="60" spans="1:13" x14ac:dyDescent="0.25">
      <c r="A60" s="35">
        <v>290</v>
      </c>
      <c r="B60" s="35">
        <f>A60*'Gen Calcs'!C$36</f>
        <v>2900000</v>
      </c>
      <c r="C60" s="35" t="e">
        <f t="shared" si="2"/>
        <v>#N/A</v>
      </c>
      <c r="D60" s="35" t="e">
        <f>VLOOKUP(C60,TS!N$2:Z$177,11,TRUE)</f>
        <v>#N/A</v>
      </c>
      <c r="E60" s="35" t="e">
        <f>VLOOKUP(C60,TS!N$2:Z$177,13,TRUE)*1000</f>
        <v>#N/A</v>
      </c>
      <c r="F60" s="35" t="e">
        <f t="shared" si="0"/>
        <v>#N/A</v>
      </c>
      <c r="G60" s="35" t="e">
        <f t="shared" si="1"/>
        <v>#N/A</v>
      </c>
      <c r="H60" s="35" t="e">
        <f>IF(G60&gt;0,H59-(5*'Gen Calcs'!C$41),'Air calcs'!H59)</f>
        <v>#N/A</v>
      </c>
      <c r="I60" s="35" t="e">
        <f>VLOOKUP('Air calcs'!C60,TS!N$2:O$177,2)</f>
        <v>#N/A</v>
      </c>
      <c r="J60" s="40" t="e">
        <f>((MAX(I60:I$205)-Inputs!C$3)-(MAX(I60:I$205)-I60))*0.433+K60</f>
        <v>#N/A</v>
      </c>
      <c r="K60" s="35" t="e">
        <f>14.7*B60/((C$2-C60)*'Gen Calcs'!C$29/7.48)-14.7</f>
        <v>#N/A</v>
      </c>
      <c r="L60" s="35" t="e">
        <f>(H$2-H60)*'Gen Calcs'!C$29</f>
        <v>#N/A</v>
      </c>
      <c r="M60" s="35" t="e">
        <f>(MAX(I60:I$205)-I$205)*0.433</f>
        <v>#N/A</v>
      </c>
    </row>
    <row r="61" spans="1:13" x14ac:dyDescent="0.25">
      <c r="A61" s="35">
        <v>295</v>
      </c>
      <c r="B61" s="35">
        <f>A61*'Gen Calcs'!C$36</f>
        <v>2950000</v>
      </c>
      <c r="C61" s="35" t="e">
        <f t="shared" si="2"/>
        <v>#N/A</v>
      </c>
      <c r="D61" s="35" t="e">
        <f>VLOOKUP(C61,TS!N$2:Z$177,11,TRUE)</f>
        <v>#N/A</v>
      </c>
      <c r="E61" s="35" t="e">
        <f>VLOOKUP(C61,TS!N$2:Z$177,13,TRUE)*1000</f>
        <v>#N/A</v>
      </c>
      <c r="F61" s="35" t="e">
        <f t="shared" si="0"/>
        <v>#N/A</v>
      </c>
      <c r="G61" s="35" t="e">
        <f t="shared" si="1"/>
        <v>#N/A</v>
      </c>
      <c r="H61" s="35" t="e">
        <f>IF(G61&gt;0,H60-(5*'Gen Calcs'!C$41),'Air calcs'!H60)</f>
        <v>#N/A</v>
      </c>
      <c r="I61" s="35" t="e">
        <f>VLOOKUP('Air calcs'!C61,TS!N$2:O$177,2)</f>
        <v>#N/A</v>
      </c>
      <c r="J61" s="40" t="e">
        <f>((MAX(I61:I$205)-Inputs!C$3)-(MAX(I61:I$205)-I61))*0.433+K61</f>
        <v>#N/A</v>
      </c>
      <c r="K61" s="35" t="e">
        <f>14.7*B61/((C$2-C61)*'Gen Calcs'!C$29/7.48)-14.7</f>
        <v>#N/A</v>
      </c>
      <c r="L61" s="35" t="e">
        <f>(H$2-H61)*'Gen Calcs'!C$29</f>
        <v>#N/A</v>
      </c>
      <c r="M61" s="35" t="e">
        <f>(MAX(I61:I$205)-I$205)*0.433</f>
        <v>#N/A</v>
      </c>
    </row>
    <row r="62" spans="1:13" x14ac:dyDescent="0.25">
      <c r="A62" s="35">
        <v>300</v>
      </c>
      <c r="B62" s="35">
        <f>A62*'Gen Calcs'!C$36</f>
        <v>3000000</v>
      </c>
      <c r="C62" s="35" t="e">
        <f t="shared" si="2"/>
        <v>#N/A</v>
      </c>
      <c r="D62" s="35" t="e">
        <f>VLOOKUP(C62,TS!N$2:Z$177,11,TRUE)</f>
        <v>#N/A</v>
      </c>
      <c r="E62" s="35" t="e">
        <f>VLOOKUP(C62,TS!N$2:Z$177,13,TRUE)*1000</f>
        <v>#N/A</v>
      </c>
      <c r="F62" s="35" t="e">
        <f t="shared" si="0"/>
        <v>#N/A</v>
      </c>
      <c r="G62" s="35" t="e">
        <f t="shared" si="1"/>
        <v>#N/A</v>
      </c>
      <c r="H62" s="35" t="e">
        <f>IF(G62&gt;0,H61-(5*'Gen Calcs'!C$41),'Air calcs'!H61)</f>
        <v>#N/A</v>
      </c>
      <c r="I62" s="35" t="e">
        <f>VLOOKUP('Air calcs'!C62,TS!N$2:O$177,2)</f>
        <v>#N/A</v>
      </c>
      <c r="J62" s="40" t="e">
        <f>((MAX(I62:I$205)-Inputs!C$3)-(MAX(I62:I$205)-I62))*0.433+K62</f>
        <v>#N/A</v>
      </c>
      <c r="K62" s="35" t="e">
        <f>14.7*B62/((C$2-C62)*'Gen Calcs'!C$29/7.48)-14.7</f>
        <v>#N/A</v>
      </c>
      <c r="L62" s="35" t="e">
        <f>(H$2-H62)*'Gen Calcs'!C$29</f>
        <v>#N/A</v>
      </c>
      <c r="M62" s="35" t="e">
        <f>(MAX(I62:I$205)-I$205)*0.433</f>
        <v>#N/A</v>
      </c>
    </row>
    <row r="63" spans="1:13" x14ac:dyDescent="0.25">
      <c r="A63" s="35">
        <v>305</v>
      </c>
      <c r="B63" s="35">
        <f>A63*'Gen Calcs'!C$36</f>
        <v>3050000</v>
      </c>
      <c r="C63" s="35" t="e">
        <f t="shared" si="2"/>
        <v>#N/A</v>
      </c>
      <c r="D63" s="35" t="e">
        <f>VLOOKUP(C63,TS!N$2:Z$177,11,TRUE)</f>
        <v>#N/A</v>
      </c>
      <c r="E63" s="35" t="e">
        <f>VLOOKUP(C63,TS!N$2:Z$177,13,TRUE)*1000</f>
        <v>#N/A</v>
      </c>
      <c r="F63" s="35" t="e">
        <f t="shared" si="0"/>
        <v>#N/A</v>
      </c>
      <c r="G63" s="35" t="e">
        <f t="shared" si="1"/>
        <v>#N/A</v>
      </c>
      <c r="H63" s="35" t="e">
        <f>IF(G63&gt;0,H62-(5*'Gen Calcs'!C$41),'Air calcs'!H62)</f>
        <v>#N/A</v>
      </c>
      <c r="I63" s="35" t="e">
        <f>VLOOKUP('Air calcs'!C63,TS!N$2:O$177,2)</f>
        <v>#N/A</v>
      </c>
      <c r="J63" s="40" t="e">
        <f>((MAX(I63:I$205)-Inputs!C$3)-(MAX(I63:I$205)-I63))*0.433+K63</f>
        <v>#N/A</v>
      </c>
      <c r="K63" s="35" t="e">
        <f>14.7*B63/((C$2-C63)*'Gen Calcs'!C$29/7.48)-14.7</f>
        <v>#N/A</v>
      </c>
      <c r="L63" s="35" t="e">
        <f>(H$2-H63)*'Gen Calcs'!C$29</f>
        <v>#N/A</v>
      </c>
      <c r="M63" s="35" t="e">
        <f>(MAX(I63:I$205)-I$205)*0.433</f>
        <v>#N/A</v>
      </c>
    </row>
    <row r="64" spans="1:13" x14ac:dyDescent="0.25">
      <c r="A64" s="35">
        <v>310</v>
      </c>
      <c r="B64" s="35">
        <f>A64*'Gen Calcs'!C$36</f>
        <v>3100000</v>
      </c>
      <c r="C64" s="35" t="e">
        <f t="shared" si="2"/>
        <v>#N/A</v>
      </c>
      <c r="D64" s="35" t="e">
        <f>VLOOKUP(C64,TS!N$2:Z$177,11,TRUE)</f>
        <v>#N/A</v>
      </c>
      <c r="E64" s="35" t="e">
        <f>VLOOKUP(C64,TS!N$2:Z$177,13,TRUE)*1000</f>
        <v>#N/A</v>
      </c>
      <c r="F64" s="35" t="e">
        <f t="shared" si="0"/>
        <v>#N/A</v>
      </c>
      <c r="G64" s="35" t="e">
        <f t="shared" si="1"/>
        <v>#N/A</v>
      </c>
      <c r="H64" s="35" t="e">
        <f>IF(G64&gt;0,H63-(5*'Gen Calcs'!C$41),'Air calcs'!H63)</f>
        <v>#N/A</v>
      </c>
      <c r="I64" s="35" t="e">
        <f>VLOOKUP('Air calcs'!C64,TS!N$2:O$177,2)</f>
        <v>#N/A</v>
      </c>
      <c r="J64" s="40" t="e">
        <f>((MAX(I64:I$205)-Inputs!C$3)-(MAX(I64:I$205)-I64))*0.433+K64</f>
        <v>#N/A</v>
      </c>
      <c r="K64" s="35" t="e">
        <f>14.7*B64/((C$2-C64)*'Gen Calcs'!C$29/7.48)-14.7</f>
        <v>#N/A</v>
      </c>
      <c r="L64" s="35" t="e">
        <f>(H$2-H64)*'Gen Calcs'!C$29</f>
        <v>#N/A</v>
      </c>
      <c r="M64" s="35" t="e">
        <f>(MAX(I64:I$205)-I$205)*0.433</f>
        <v>#N/A</v>
      </c>
    </row>
    <row r="65" spans="1:13" x14ac:dyDescent="0.25">
      <c r="A65" s="35">
        <v>315</v>
      </c>
      <c r="B65" s="35">
        <f>A65*'Gen Calcs'!C$36</f>
        <v>3150000</v>
      </c>
      <c r="C65" s="35" t="e">
        <f t="shared" si="2"/>
        <v>#N/A</v>
      </c>
      <c r="D65" s="35" t="e">
        <f>VLOOKUP(C65,TS!N$2:Z$177,11,TRUE)</f>
        <v>#N/A</v>
      </c>
      <c r="E65" s="35" t="e">
        <f>VLOOKUP(C65,TS!N$2:Z$177,13,TRUE)*1000</f>
        <v>#N/A</v>
      </c>
      <c r="F65" s="35" t="e">
        <f t="shared" si="0"/>
        <v>#N/A</v>
      </c>
      <c r="G65" s="35" t="e">
        <f t="shared" si="1"/>
        <v>#N/A</v>
      </c>
      <c r="H65" s="35" t="e">
        <f>IF(G65&gt;0,H64-(5*'Gen Calcs'!C$41),'Air calcs'!H64)</f>
        <v>#N/A</v>
      </c>
      <c r="I65" s="35" t="e">
        <f>VLOOKUP('Air calcs'!C65,TS!N$2:O$177,2)</f>
        <v>#N/A</v>
      </c>
      <c r="J65" s="40" t="e">
        <f>((MAX(I65:I$205)-Inputs!C$3)-(MAX(I65:I$205)-I65))*0.433+K65</f>
        <v>#N/A</v>
      </c>
      <c r="K65" s="35" t="e">
        <f>14.7*B65/((C$2-C65)*'Gen Calcs'!C$29/7.48)-14.7</f>
        <v>#N/A</v>
      </c>
      <c r="L65" s="35" t="e">
        <f>(H$2-H65)*'Gen Calcs'!C$29</f>
        <v>#N/A</v>
      </c>
      <c r="M65" s="35" t="e">
        <f>(MAX(I65:I$205)-I$205)*0.433</f>
        <v>#N/A</v>
      </c>
    </row>
    <row r="66" spans="1:13" x14ac:dyDescent="0.25">
      <c r="A66" s="35">
        <v>320</v>
      </c>
      <c r="B66" s="35">
        <f>A66*'Gen Calcs'!C$36</f>
        <v>3200000</v>
      </c>
      <c r="C66" s="35" t="e">
        <f t="shared" si="2"/>
        <v>#N/A</v>
      </c>
      <c r="D66" s="35" t="e">
        <f>VLOOKUP(C66,TS!N$2:Z$177,11,TRUE)</f>
        <v>#N/A</v>
      </c>
      <c r="E66" s="35" t="e">
        <f>VLOOKUP(C66,TS!N$2:Z$177,13,TRUE)*1000</f>
        <v>#N/A</v>
      </c>
      <c r="F66" s="35" t="e">
        <f t="shared" si="0"/>
        <v>#N/A</v>
      </c>
      <c r="G66" s="35" t="e">
        <f t="shared" si="1"/>
        <v>#N/A</v>
      </c>
      <c r="H66" s="35" t="e">
        <f>IF(G66&gt;0,H65-(5*'Gen Calcs'!C$41),'Air calcs'!H65)</f>
        <v>#N/A</v>
      </c>
      <c r="I66" s="35" t="e">
        <f>VLOOKUP('Air calcs'!C66,TS!N$2:O$177,2)</f>
        <v>#N/A</v>
      </c>
      <c r="J66" s="40" t="e">
        <f>((MAX(I66:I$205)-Inputs!C$3)-(MAX(I66:I$205)-I66))*0.433+K66</f>
        <v>#N/A</v>
      </c>
      <c r="K66" s="35" t="e">
        <f>14.7*B66/((C$2-C66)*'Gen Calcs'!C$29/7.48)-14.7</f>
        <v>#N/A</v>
      </c>
      <c r="L66" s="35" t="e">
        <f>(H$2-H66)*'Gen Calcs'!C$29</f>
        <v>#N/A</v>
      </c>
      <c r="M66" s="35" t="e">
        <f>(MAX(I66:I$205)-I$205)*0.433</f>
        <v>#N/A</v>
      </c>
    </row>
    <row r="67" spans="1:13" x14ac:dyDescent="0.25">
      <c r="A67" s="35">
        <v>325</v>
      </c>
      <c r="B67" s="35">
        <f>A67*'Gen Calcs'!C$36</f>
        <v>3250000</v>
      </c>
      <c r="C67" s="35" t="e">
        <f t="shared" si="2"/>
        <v>#N/A</v>
      </c>
      <c r="D67" s="35" t="e">
        <f>VLOOKUP(C67,TS!N$2:Z$177,11,TRUE)</f>
        <v>#N/A</v>
      </c>
      <c r="E67" s="35" t="e">
        <f>VLOOKUP(C67,TS!N$2:Z$177,13,TRUE)*1000</f>
        <v>#N/A</v>
      </c>
      <c r="F67" s="35" t="e">
        <f t="shared" ref="F67:F130" si="3">IF(B67&gt;D67,1,0)</f>
        <v>#N/A</v>
      </c>
      <c r="G67" s="35" t="e">
        <f t="shared" ref="G67:G130" si="4">IF(B67&gt;E67,1,0)</f>
        <v>#N/A</v>
      </c>
      <c r="H67" s="35" t="e">
        <f>IF(G67&gt;0,H66-(5*'Gen Calcs'!C$41),'Air calcs'!H66)</f>
        <v>#N/A</v>
      </c>
      <c r="I67" s="35" t="e">
        <f>VLOOKUP('Air calcs'!C67,TS!N$2:O$177,2)</f>
        <v>#N/A</v>
      </c>
      <c r="J67" s="40" t="e">
        <f>((MAX(I67:I$205)-Inputs!C$3)-(MAX(I67:I$205)-I67))*0.433+K67</f>
        <v>#N/A</v>
      </c>
      <c r="K67" s="35" t="e">
        <f>14.7*B67/((C$2-C67)*'Gen Calcs'!C$29/7.48)-14.7</f>
        <v>#N/A</v>
      </c>
      <c r="L67" s="35" t="e">
        <f>(H$2-H67)*'Gen Calcs'!C$29</f>
        <v>#N/A</v>
      </c>
      <c r="M67" s="35" t="e">
        <f>(MAX(I67:I$205)-I$205)*0.433</f>
        <v>#N/A</v>
      </c>
    </row>
    <row r="68" spans="1:13" x14ac:dyDescent="0.25">
      <c r="A68" s="35">
        <v>330</v>
      </c>
      <c r="B68" s="35">
        <f>A68*'Gen Calcs'!C$36</f>
        <v>3300000</v>
      </c>
      <c r="C68" s="35" t="e">
        <f t="shared" si="2"/>
        <v>#N/A</v>
      </c>
      <c r="D68" s="35" t="e">
        <f>VLOOKUP(C68,TS!N$2:Z$177,11,TRUE)</f>
        <v>#N/A</v>
      </c>
      <c r="E68" s="35" t="e">
        <f>VLOOKUP(C68,TS!N$2:Z$177,13,TRUE)*1000</f>
        <v>#N/A</v>
      </c>
      <c r="F68" s="35" t="e">
        <f t="shared" si="3"/>
        <v>#N/A</v>
      </c>
      <c r="G68" s="35" t="e">
        <f t="shared" si="4"/>
        <v>#N/A</v>
      </c>
      <c r="H68" s="35" t="e">
        <f>IF(G68&gt;0,H67-(5*'Gen Calcs'!C$41),'Air calcs'!H67)</f>
        <v>#N/A</v>
      </c>
      <c r="I68" s="35" t="e">
        <f>VLOOKUP('Air calcs'!C68,TS!N$2:O$177,2)</f>
        <v>#N/A</v>
      </c>
      <c r="J68" s="40" t="e">
        <f>((MAX(I68:I$205)-Inputs!C$3)-(MAX(I68:I$205)-I68))*0.433+K68</f>
        <v>#N/A</v>
      </c>
      <c r="K68" s="35" t="e">
        <f>14.7*B68/((C$2-C68)*'Gen Calcs'!C$29/7.48)-14.7</f>
        <v>#N/A</v>
      </c>
      <c r="L68" s="35" t="e">
        <f>(H$2-H68)*'Gen Calcs'!C$29</f>
        <v>#N/A</v>
      </c>
      <c r="M68" s="35" t="e">
        <f>(MAX(I68:I$205)-I$205)*0.433</f>
        <v>#N/A</v>
      </c>
    </row>
    <row r="69" spans="1:13" x14ac:dyDescent="0.25">
      <c r="A69" s="35">
        <v>335</v>
      </c>
      <c r="B69" s="35">
        <f>A69*'Gen Calcs'!C$36</f>
        <v>3350000</v>
      </c>
      <c r="C69" s="35" t="e">
        <f t="shared" ref="C69:C132" si="5">H68</f>
        <v>#N/A</v>
      </c>
      <c r="D69" s="35" t="e">
        <f>VLOOKUP(C69,TS!N$2:Z$177,11,TRUE)</f>
        <v>#N/A</v>
      </c>
      <c r="E69" s="35" t="e">
        <f>VLOOKUP(C69,TS!N$2:Z$177,13,TRUE)*1000</f>
        <v>#N/A</v>
      </c>
      <c r="F69" s="35" t="e">
        <f t="shared" si="3"/>
        <v>#N/A</v>
      </c>
      <c r="G69" s="35" t="e">
        <f t="shared" si="4"/>
        <v>#N/A</v>
      </c>
      <c r="H69" s="35" t="e">
        <f>IF(G69&gt;0,H68-(5*'Gen Calcs'!C$41),'Air calcs'!H68)</f>
        <v>#N/A</v>
      </c>
      <c r="I69" s="35" t="e">
        <f>VLOOKUP('Air calcs'!C69,TS!N$2:O$177,2)</f>
        <v>#N/A</v>
      </c>
      <c r="J69" s="40" t="e">
        <f>((MAX(I69:I$205)-Inputs!C$3)-(MAX(I69:I$205)-I69))*0.433+K69</f>
        <v>#N/A</v>
      </c>
      <c r="K69" s="35" t="e">
        <f>14.7*B69/((C$2-C69)*'Gen Calcs'!C$29/7.48)-14.7</f>
        <v>#N/A</v>
      </c>
      <c r="L69" s="35" t="e">
        <f>(H$2-H69)*'Gen Calcs'!C$29</f>
        <v>#N/A</v>
      </c>
      <c r="M69" s="35" t="e">
        <f>(MAX(I69:I$205)-I$205)*0.433</f>
        <v>#N/A</v>
      </c>
    </row>
    <row r="70" spans="1:13" x14ac:dyDescent="0.25">
      <c r="A70" s="35">
        <v>340</v>
      </c>
      <c r="B70" s="35">
        <f>A70*'Gen Calcs'!C$36</f>
        <v>3400000</v>
      </c>
      <c r="C70" s="35" t="e">
        <f t="shared" si="5"/>
        <v>#N/A</v>
      </c>
      <c r="D70" s="35" t="e">
        <f>VLOOKUP(C70,TS!N$2:Z$177,11,TRUE)</f>
        <v>#N/A</v>
      </c>
      <c r="E70" s="35" t="e">
        <f>VLOOKUP(C70,TS!N$2:Z$177,13,TRUE)*1000</f>
        <v>#N/A</v>
      </c>
      <c r="F70" s="35" t="e">
        <f t="shared" si="3"/>
        <v>#N/A</v>
      </c>
      <c r="G70" s="35" t="e">
        <f t="shared" si="4"/>
        <v>#N/A</v>
      </c>
      <c r="H70" s="35" t="e">
        <f>IF(G70&gt;0,H69-(5*'Gen Calcs'!C$41),'Air calcs'!H69)</f>
        <v>#N/A</v>
      </c>
      <c r="I70" s="35" t="e">
        <f>VLOOKUP('Air calcs'!C70,TS!N$2:O$177,2)</f>
        <v>#N/A</v>
      </c>
      <c r="J70" s="40" t="e">
        <f>((MAX(I70:I$205)-Inputs!C$3)-(MAX(I70:I$205)-I70))*0.433+K70</f>
        <v>#N/A</v>
      </c>
      <c r="K70" s="35" t="e">
        <f>14.7*B70/((C$2-C70)*'Gen Calcs'!C$29/7.48)-14.7</f>
        <v>#N/A</v>
      </c>
      <c r="L70" s="35" t="e">
        <f>(H$2-H70)*'Gen Calcs'!C$29</f>
        <v>#N/A</v>
      </c>
      <c r="M70" s="35" t="e">
        <f>(MAX(I70:I$205)-I$205)*0.433</f>
        <v>#N/A</v>
      </c>
    </row>
    <row r="71" spans="1:13" x14ac:dyDescent="0.25">
      <c r="A71" s="35">
        <v>345</v>
      </c>
      <c r="B71" s="35">
        <f>A71*'Gen Calcs'!C$36</f>
        <v>3450000</v>
      </c>
      <c r="C71" s="35" t="e">
        <f t="shared" si="5"/>
        <v>#N/A</v>
      </c>
      <c r="D71" s="35" t="e">
        <f>VLOOKUP(C71,TS!N$2:Z$177,11,TRUE)</f>
        <v>#N/A</v>
      </c>
      <c r="E71" s="35" t="e">
        <f>VLOOKUP(C71,TS!N$2:Z$177,13,TRUE)*1000</f>
        <v>#N/A</v>
      </c>
      <c r="F71" s="35" t="e">
        <f t="shared" si="3"/>
        <v>#N/A</v>
      </c>
      <c r="G71" s="35" t="e">
        <f t="shared" si="4"/>
        <v>#N/A</v>
      </c>
      <c r="H71" s="35" t="e">
        <f>IF(G71&gt;0,H70-(5*'Gen Calcs'!C$41),'Air calcs'!H70)</f>
        <v>#N/A</v>
      </c>
      <c r="I71" s="35" t="e">
        <f>VLOOKUP('Air calcs'!C71,TS!N$2:O$177,2)</f>
        <v>#N/A</v>
      </c>
      <c r="J71" s="40" t="e">
        <f>((MAX(I71:I$205)-Inputs!C$3)-(MAX(I71:I$205)-I71))*0.433+K71</f>
        <v>#N/A</v>
      </c>
      <c r="K71" s="35" t="e">
        <f>14.7*B71/((C$2-C71)*'Gen Calcs'!C$29/7.48)-14.7</f>
        <v>#N/A</v>
      </c>
      <c r="L71" s="35" t="e">
        <f>(H$2-H71)*'Gen Calcs'!C$29</f>
        <v>#N/A</v>
      </c>
      <c r="M71" s="35" t="e">
        <f>(MAX(I71:I$205)-I$205)*0.433</f>
        <v>#N/A</v>
      </c>
    </row>
    <row r="72" spans="1:13" x14ac:dyDescent="0.25">
      <c r="A72" s="35">
        <v>350</v>
      </c>
      <c r="B72" s="35">
        <f>A72*'Gen Calcs'!C$36</f>
        <v>3500000</v>
      </c>
      <c r="C72" s="35" t="e">
        <f t="shared" si="5"/>
        <v>#N/A</v>
      </c>
      <c r="D72" s="35" t="e">
        <f>VLOOKUP(C72,TS!N$2:Z$177,11,TRUE)</f>
        <v>#N/A</v>
      </c>
      <c r="E72" s="35" t="e">
        <f>VLOOKUP(C72,TS!N$2:Z$177,13,TRUE)*1000</f>
        <v>#N/A</v>
      </c>
      <c r="F72" s="35" t="e">
        <f t="shared" si="3"/>
        <v>#N/A</v>
      </c>
      <c r="G72" s="35" t="e">
        <f t="shared" si="4"/>
        <v>#N/A</v>
      </c>
      <c r="H72" s="35" t="e">
        <f>IF(G72&gt;0,H71-(5*'Gen Calcs'!C$41),'Air calcs'!H71)</f>
        <v>#N/A</v>
      </c>
      <c r="I72" s="35" t="e">
        <f>VLOOKUP('Air calcs'!C72,TS!N$2:O$177,2)</f>
        <v>#N/A</v>
      </c>
      <c r="J72" s="40" t="e">
        <f>((MAX(I72:I$205)-Inputs!C$3)-(MAX(I72:I$205)-I72))*0.433+K72</f>
        <v>#N/A</v>
      </c>
      <c r="K72" s="35" t="e">
        <f>14.7*B72/((C$2-C72)*'Gen Calcs'!C$29/7.48)-14.7</f>
        <v>#N/A</v>
      </c>
      <c r="L72" s="35" t="e">
        <f>(H$2-H72)*'Gen Calcs'!C$29</f>
        <v>#N/A</v>
      </c>
      <c r="M72" s="35" t="e">
        <f>(MAX(I72:I$205)-I$205)*0.433</f>
        <v>#N/A</v>
      </c>
    </row>
    <row r="73" spans="1:13" x14ac:dyDescent="0.25">
      <c r="A73" s="35">
        <v>355</v>
      </c>
      <c r="B73" s="35">
        <f>A73*'Gen Calcs'!C$36</f>
        <v>3550000</v>
      </c>
      <c r="C73" s="35" t="e">
        <f t="shared" si="5"/>
        <v>#N/A</v>
      </c>
      <c r="D73" s="35" t="e">
        <f>VLOOKUP(C73,TS!N$2:Z$177,11,TRUE)</f>
        <v>#N/A</v>
      </c>
      <c r="E73" s="35" t="e">
        <f>VLOOKUP(C73,TS!N$2:Z$177,13,TRUE)*1000</f>
        <v>#N/A</v>
      </c>
      <c r="F73" s="35" t="e">
        <f t="shared" si="3"/>
        <v>#N/A</v>
      </c>
      <c r="G73" s="35" t="e">
        <f t="shared" si="4"/>
        <v>#N/A</v>
      </c>
      <c r="H73" s="35" t="e">
        <f>IF(G73&gt;0,H72-(5*'Gen Calcs'!C$41),'Air calcs'!H72)</f>
        <v>#N/A</v>
      </c>
      <c r="I73" s="35" t="e">
        <f>VLOOKUP('Air calcs'!C73,TS!N$2:O$177,2)</f>
        <v>#N/A</v>
      </c>
      <c r="J73" s="40" t="e">
        <f>((MAX(I73:I$205)-Inputs!C$3)-(MAX(I73:I$205)-I73))*0.433+K73</f>
        <v>#N/A</v>
      </c>
      <c r="K73" s="35" t="e">
        <f>14.7*B73/((C$2-C73)*'Gen Calcs'!C$29/7.48)-14.7</f>
        <v>#N/A</v>
      </c>
      <c r="L73" s="35" t="e">
        <f>(H$2-H73)*'Gen Calcs'!C$29</f>
        <v>#N/A</v>
      </c>
      <c r="M73" s="35" t="e">
        <f>(MAX(I73:I$205)-I$205)*0.433</f>
        <v>#N/A</v>
      </c>
    </row>
    <row r="74" spans="1:13" x14ac:dyDescent="0.25">
      <c r="A74" s="35">
        <v>360</v>
      </c>
      <c r="B74" s="35">
        <f>A74*'Gen Calcs'!C$36</f>
        <v>3600000</v>
      </c>
      <c r="C74" s="35" t="e">
        <f t="shared" si="5"/>
        <v>#N/A</v>
      </c>
      <c r="D74" s="35" t="e">
        <f>VLOOKUP(C74,TS!N$2:Z$177,11,TRUE)</f>
        <v>#N/A</v>
      </c>
      <c r="E74" s="35" t="e">
        <f>VLOOKUP(C74,TS!N$2:Z$177,13,TRUE)*1000</f>
        <v>#N/A</v>
      </c>
      <c r="F74" s="35" t="e">
        <f t="shared" si="3"/>
        <v>#N/A</v>
      </c>
      <c r="G74" s="35" t="e">
        <f t="shared" si="4"/>
        <v>#N/A</v>
      </c>
      <c r="H74" s="35" t="e">
        <f>IF(G74&gt;0,H73-(5*'Gen Calcs'!C$41),'Air calcs'!H73)</f>
        <v>#N/A</v>
      </c>
      <c r="I74" s="35" t="e">
        <f>VLOOKUP('Air calcs'!C74,TS!N$2:O$177,2)</f>
        <v>#N/A</v>
      </c>
      <c r="J74" s="40" t="e">
        <f>((MAX(I74:I$205)-Inputs!C$3)-(MAX(I74:I$205)-I74))*0.433+K74</f>
        <v>#N/A</v>
      </c>
      <c r="K74" s="35" t="e">
        <f>14.7*B74/((C$2-C74)*'Gen Calcs'!C$29/7.48)-14.7</f>
        <v>#N/A</v>
      </c>
      <c r="L74" s="35" t="e">
        <f>(H$2-H74)*'Gen Calcs'!C$29</f>
        <v>#N/A</v>
      </c>
      <c r="M74" s="35" t="e">
        <f>(MAX(I74:I$205)-I$205)*0.433</f>
        <v>#N/A</v>
      </c>
    </row>
    <row r="75" spans="1:13" x14ac:dyDescent="0.25">
      <c r="A75" s="35">
        <v>365</v>
      </c>
      <c r="B75" s="35">
        <f>A75*'Gen Calcs'!C$36</f>
        <v>3650000</v>
      </c>
      <c r="C75" s="35" t="e">
        <f t="shared" si="5"/>
        <v>#N/A</v>
      </c>
      <c r="D75" s="35" t="e">
        <f>VLOOKUP(C75,TS!N$2:Z$177,11,TRUE)</f>
        <v>#N/A</v>
      </c>
      <c r="E75" s="35" t="e">
        <f>VLOOKUP(C75,TS!N$2:Z$177,13,TRUE)*1000</f>
        <v>#N/A</v>
      </c>
      <c r="F75" s="35" t="e">
        <f t="shared" si="3"/>
        <v>#N/A</v>
      </c>
      <c r="G75" s="35" t="e">
        <f t="shared" si="4"/>
        <v>#N/A</v>
      </c>
      <c r="H75" s="35" t="e">
        <f>IF(G75&gt;0,H74-(5*'Gen Calcs'!C$41),'Air calcs'!H74)</f>
        <v>#N/A</v>
      </c>
      <c r="I75" s="35" t="e">
        <f>VLOOKUP('Air calcs'!C75,TS!N$2:O$177,2)</f>
        <v>#N/A</v>
      </c>
      <c r="J75" s="40" t="e">
        <f>((MAX(I75:I$205)-Inputs!C$3)-(MAX(I75:I$205)-I75))*0.433+K75</f>
        <v>#N/A</v>
      </c>
      <c r="K75" s="35" t="e">
        <f>14.7*B75/((C$2-C75)*'Gen Calcs'!C$29/7.48)-14.7</f>
        <v>#N/A</v>
      </c>
      <c r="L75" s="35" t="e">
        <f>(H$2-H75)*'Gen Calcs'!C$29</f>
        <v>#N/A</v>
      </c>
      <c r="M75" s="35" t="e">
        <f>(MAX(I75:I$205)-I$205)*0.433</f>
        <v>#N/A</v>
      </c>
    </row>
    <row r="76" spans="1:13" x14ac:dyDescent="0.25">
      <c r="A76" s="35">
        <v>370</v>
      </c>
      <c r="B76" s="35">
        <f>A76*'Gen Calcs'!C$36</f>
        <v>3700000</v>
      </c>
      <c r="C76" s="35" t="e">
        <f t="shared" si="5"/>
        <v>#N/A</v>
      </c>
      <c r="D76" s="35" t="e">
        <f>VLOOKUP(C76,TS!N$2:Z$177,11,TRUE)</f>
        <v>#N/A</v>
      </c>
      <c r="E76" s="35" t="e">
        <f>VLOOKUP(C76,TS!N$2:Z$177,13,TRUE)*1000</f>
        <v>#N/A</v>
      </c>
      <c r="F76" s="35" t="e">
        <f t="shared" si="3"/>
        <v>#N/A</v>
      </c>
      <c r="G76" s="35" t="e">
        <f t="shared" si="4"/>
        <v>#N/A</v>
      </c>
      <c r="H76" s="35" t="e">
        <f>IF(G76&gt;0,H75-(5*'Gen Calcs'!C$41),'Air calcs'!H75)</f>
        <v>#N/A</v>
      </c>
      <c r="I76" s="35" t="e">
        <f>VLOOKUP('Air calcs'!C76,TS!N$2:O$177,2)</f>
        <v>#N/A</v>
      </c>
      <c r="J76" s="40" t="e">
        <f>((MAX(I76:I$205)-Inputs!C$3)-(MAX(I76:I$205)-I76))*0.433+K76</f>
        <v>#N/A</v>
      </c>
      <c r="K76" s="35" t="e">
        <f>14.7*B76/((C$2-C76)*'Gen Calcs'!C$29/7.48)-14.7</f>
        <v>#N/A</v>
      </c>
      <c r="L76" s="35" t="e">
        <f>(H$2-H76)*'Gen Calcs'!C$29</f>
        <v>#N/A</v>
      </c>
      <c r="M76" s="35" t="e">
        <f>(MAX(I76:I$205)-I$205)*0.433</f>
        <v>#N/A</v>
      </c>
    </row>
    <row r="77" spans="1:13" x14ac:dyDescent="0.25">
      <c r="A77" s="35">
        <v>375</v>
      </c>
      <c r="B77" s="35">
        <f>A77*'Gen Calcs'!C$36</f>
        <v>3750000</v>
      </c>
      <c r="C77" s="35" t="e">
        <f t="shared" si="5"/>
        <v>#N/A</v>
      </c>
      <c r="D77" s="35" t="e">
        <f>VLOOKUP(C77,TS!N$2:Z$177,11,TRUE)</f>
        <v>#N/A</v>
      </c>
      <c r="E77" s="35" t="e">
        <f>VLOOKUP(C77,TS!N$2:Z$177,13,TRUE)*1000</f>
        <v>#N/A</v>
      </c>
      <c r="F77" s="35" t="e">
        <f t="shared" si="3"/>
        <v>#N/A</v>
      </c>
      <c r="G77" s="35" t="e">
        <f t="shared" si="4"/>
        <v>#N/A</v>
      </c>
      <c r="H77" s="35" t="e">
        <f>IF(G77&gt;0,H76-(5*'Gen Calcs'!C$41),'Air calcs'!H76)</f>
        <v>#N/A</v>
      </c>
      <c r="I77" s="35" t="e">
        <f>VLOOKUP('Air calcs'!C77,TS!N$2:O$177,2)</f>
        <v>#N/A</v>
      </c>
      <c r="J77" s="40" t="e">
        <f>((MAX(I77:I$205)-Inputs!C$3)-(MAX(I77:I$205)-I77))*0.433+K77</f>
        <v>#N/A</v>
      </c>
      <c r="K77" s="35" t="e">
        <f>14.7*B77/((C$2-C77)*'Gen Calcs'!C$29/7.48)-14.7</f>
        <v>#N/A</v>
      </c>
      <c r="L77" s="35" t="e">
        <f>(H$2-H77)*'Gen Calcs'!C$29</f>
        <v>#N/A</v>
      </c>
      <c r="M77" s="35" t="e">
        <f>(MAX(I77:I$205)-I$205)*0.433</f>
        <v>#N/A</v>
      </c>
    </row>
    <row r="78" spans="1:13" x14ac:dyDescent="0.25">
      <c r="A78" s="35">
        <v>380</v>
      </c>
      <c r="B78" s="35">
        <f>A78*'Gen Calcs'!C$36</f>
        <v>3800000</v>
      </c>
      <c r="C78" s="35" t="e">
        <f t="shared" si="5"/>
        <v>#N/A</v>
      </c>
      <c r="D78" s="35" t="e">
        <f>VLOOKUP(C78,TS!N$2:Z$177,11,TRUE)</f>
        <v>#N/A</v>
      </c>
      <c r="E78" s="35" t="e">
        <f>VLOOKUP(C78,TS!N$2:Z$177,13,TRUE)*1000</f>
        <v>#N/A</v>
      </c>
      <c r="F78" s="35" t="e">
        <f t="shared" si="3"/>
        <v>#N/A</v>
      </c>
      <c r="G78" s="35" t="e">
        <f t="shared" si="4"/>
        <v>#N/A</v>
      </c>
      <c r="H78" s="35" t="e">
        <f>IF(G78&gt;0,H77-(5*'Gen Calcs'!C$41),'Air calcs'!H77)</f>
        <v>#N/A</v>
      </c>
      <c r="I78" s="35" t="e">
        <f>VLOOKUP('Air calcs'!C78,TS!N$2:O$177,2)</f>
        <v>#N/A</v>
      </c>
      <c r="J78" s="40" t="e">
        <f>((MAX(I78:I$205)-Inputs!C$3)-(MAX(I78:I$205)-I78))*0.433+K78</f>
        <v>#N/A</v>
      </c>
      <c r="K78" s="35" t="e">
        <f>14.7*B78/((C$2-C78)*'Gen Calcs'!C$29/7.48)-14.7</f>
        <v>#N/A</v>
      </c>
      <c r="L78" s="35" t="e">
        <f>(H$2-H78)*'Gen Calcs'!C$29</f>
        <v>#N/A</v>
      </c>
      <c r="M78" s="35" t="e">
        <f>(MAX(I78:I$205)-I$205)*0.433</f>
        <v>#N/A</v>
      </c>
    </row>
    <row r="79" spans="1:13" x14ac:dyDescent="0.25">
      <c r="A79" s="35">
        <v>385</v>
      </c>
      <c r="B79" s="35">
        <f>A79*'Gen Calcs'!C$36</f>
        <v>3850000</v>
      </c>
      <c r="C79" s="35" t="e">
        <f t="shared" si="5"/>
        <v>#N/A</v>
      </c>
      <c r="D79" s="35" t="e">
        <f>VLOOKUP(C79,TS!N$2:Z$177,11,TRUE)</f>
        <v>#N/A</v>
      </c>
      <c r="E79" s="35" t="e">
        <f>VLOOKUP(C79,TS!N$2:Z$177,13,TRUE)*1000</f>
        <v>#N/A</v>
      </c>
      <c r="F79" s="35" t="e">
        <f t="shared" si="3"/>
        <v>#N/A</v>
      </c>
      <c r="G79" s="35" t="e">
        <f t="shared" si="4"/>
        <v>#N/A</v>
      </c>
      <c r="H79" s="35" t="e">
        <f>IF(G79&gt;0,H78-(5*'Gen Calcs'!C$41),'Air calcs'!H78)</f>
        <v>#N/A</v>
      </c>
      <c r="I79" s="35" t="e">
        <f>VLOOKUP('Air calcs'!C79,TS!N$2:O$177,2)</f>
        <v>#N/A</v>
      </c>
      <c r="J79" s="40" t="e">
        <f>((MAX(I79:I$205)-Inputs!C$3)-(MAX(I79:I$205)-I79))*0.433+K79</f>
        <v>#N/A</v>
      </c>
      <c r="K79" s="35" t="e">
        <f>14.7*B79/((C$2-C79)*'Gen Calcs'!C$29/7.48)-14.7</f>
        <v>#N/A</v>
      </c>
      <c r="L79" s="35" t="e">
        <f>(H$2-H79)*'Gen Calcs'!C$29</f>
        <v>#N/A</v>
      </c>
      <c r="M79" s="35" t="e">
        <f>(MAX(I79:I$205)-I$205)*0.433</f>
        <v>#N/A</v>
      </c>
    </row>
    <row r="80" spans="1:13" x14ac:dyDescent="0.25">
      <c r="A80" s="35">
        <v>390</v>
      </c>
      <c r="B80" s="35">
        <f>A80*'Gen Calcs'!C$36</f>
        <v>3900000</v>
      </c>
      <c r="C80" s="35" t="e">
        <f t="shared" si="5"/>
        <v>#N/A</v>
      </c>
      <c r="D80" s="35" t="e">
        <f>VLOOKUP(C80,TS!N$2:Z$177,11,TRUE)</f>
        <v>#N/A</v>
      </c>
      <c r="E80" s="35" t="e">
        <f>VLOOKUP(C80,TS!N$2:Z$177,13,TRUE)*1000</f>
        <v>#N/A</v>
      </c>
      <c r="F80" s="35" t="e">
        <f t="shared" si="3"/>
        <v>#N/A</v>
      </c>
      <c r="G80" s="35" t="e">
        <f t="shared" si="4"/>
        <v>#N/A</v>
      </c>
      <c r="H80" s="35" t="e">
        <f>IF(G80&gt;0,H79-(5*'Gen Calcs'!C$41),'Air calcs'!H79)</f>
        <v>#N/A</v>
      </c>
      <c r="I80" s="35" t="e">
        <f>VLOOKUP('Air calcs'!C80,TS!N$2:O$177,2)</f>
        <v>#N/A</v>
      </c>
      <c r="J80" s="40" t="e">
        <f>((MAX(I80:I$205)-Inputs!C$3)-(MAX(I80:I$205)-I80))*0.433+K80</f>
        <v>#N/A</v>
      </c>
      <c r="K80" s="35" t="e">
        <f>14.7*B80/((C$2-C80)*'Gen Calcs'!C$29/7.48)-14.7</f>
        <v>#N/A</v>
      </c>
      <c r="L80" s="35" t="e">
        <f>(H$2-H80)*'Gen Calcs'!C$29</f>
        <v>#N/A</v>
      </c>
      <c r="M80" s="35" t="e">
        <f>(MAX(I80:I$205)-I$205)*0.433</f>
        <v>#N/A</v>
      </c>
    </row>
    <row r="81" spans="1:13" x14ac:dyDescent="0.25">
      <c r="A81" s="35">
        <v>395</v>
      </c>
      <c r="B81" s="35">
        <f>A81*'Gen Calcs'!C$36</f>
        <v>3950000</v>
      </c>
      <c r="C81" s="35" t="e">
        <f t="shared" si="5"/>
        <v>#N/A</v>
      </c>
      <c r="D81" s="35" t="e">
        <f>VLOOKUP(C81,TS!N$2:Z$177,11,TRUE)</f>
        <v>#N/A</v>
      </c>
      <c r="E81" s="35" t="e">
        <f>VLOOKUP(C81,TS!N$2:Z$177,13,TRUE)*1000</f>
        <v>#N/A</v>
      </c>
      <c r="F81" s="35" t="e">
        <f t="shared" si="3"/>
        <v>#N/A</v>
      </c>
      <c r="G81" s="35" t="e">
        <f t="shared" si="4"/>
        <v>#N/A</v>
      </c>
      <c r="H81" s="35" t="e">
        <f>IF(G81&gt;0,H80-(5*'Gen Calcs'!C$41),'Air calcs'!H80)</f>
        <v>#N/A</v>
      </c>
      <c r="I81" s="35" t="e">
        <f>VLOOKUP('Air calcs'!C81,TS!N$2:O$177,2)</f>
        <v>#N/A</v>
      </c>
      <c r="J81" s="40" t="e">
        <f>((MAX(I81:I$205)-Inputs!C$3)-(MAX(I81:I$205)-I81))*0.433+K81</f>
        <v>#N/A</v>
      </c>
      <c r="K81" s="35" t="e">
        <f>14.7*B81/((C$2-C81)*'Gen Calcs'!C$29/7.48)-14.7</f>
        <v>#N/A</v>
      </c>
      <c r="L81" s="35" t="e">
        <f>(H$2-H81)*'Gen Calcs'!C$29</f>
        <v>#N/A</v>
      </c>
      <c r="M81" s="35" t="e">
        <f>(MAX(I81:I$205)-I$205)*0.433</f>
        <v>#N/A</v>
      </c>
    </row>
    <row r="82" spans="1:13" x14ac:dyDescent="0.25">
      <c r="A82" s="35">
        <v>400</v>
      </c>
      <c r="B82" s="35">
        <f>A82*'Gen Calcs'!C$36</f>
        <v>4000000</v>
      </c>
      <c r="C82" s="35" t="e">
        <f t="shared" si="5"/>
        <v>#N/A</v>
      </c>
      <c r="D82" s="35" t="e">
        <f>VLOOKUP(C82,TS!N$2:Z$177,11,TRUE)</f>
        <v>#N/A</v>
      </c>
      <c r="E82" s="35" t="e">
        <f>VLOOKUP(C82,TS!N$2:Z$177,13,TRUE)*1000</f>
        <v>#N/A</v>
      </c>
      <c r="F82" s="35" t="e">
        <f t="shared" si="3"/>
        <v>#N/A</v>
      </c>
      <c r="G82" s="35" t="e">
        <f t="shared" si="4"/>
        <v>#N/A</v>
      </c>
      <c r="H82" s="35" t="e">
        <f>IF(G82&gt;0,H81-(5*'Gen Calcs'!C$41),'Air calcs'!H81)</f>
        <v>#N/A</v>
      </c>
      <c r="I82" s="35" t="e">
        <f>VLOOKUP('Air calcs'!C82,TS!N$2:O$177,2)</f>
        <v>#N/A</v>
      </c>
      <c r="J82" s="40" t="e">
        <f>((MAX(I82:I$205)-Inputs!C$3)-(MAX(I82:I$205)-I82))*0.433+K82</f>
        <v>#N/A</v>
      </c>
      <c r="K82" s="35" t="e">
        <f>14.7*B82/((C$2-C82)*'Gen Calcs'!C$29/7.48)-14.7</f>
        <v>#N/A</v>
      </c>
      <c r="L82" s="35" t="e">
        <f>(H$2-H82)*'Gen Calcs'!C$29</f>
        <v>#N/A</v>
      </c>
      <c r="M82" s="35" t="e">
        <f>(MAX(I82:I$205)-I$205)*0.433</f>
        <v>#N/A</v>
      </c>
    </row>
    <row r="83" spans="1:13" x14ac:dyDescent="0.25">
      <c r="A83" s="35">
        <v>405</v>
      </c>
      <c r="B83" s="35">
        <f>A83*'Gen Calcs'!C$36</f>
        <v>4050000</v>
      </c>
      <c r="C83" s="35" t="e">
        <f t="shared" si="5"/>
        <v>#N/A</v>
      </c>
      <c r="D83" s="35" t="e">
        <f>VLOOKUP(C83,TS!N$2:Z$177,11,TRUE)</f>
        <v>#N/A</v>
      </c>
      <c r="E83" s="35" t="e">
        <f>VLOOKUP(C83,TS!N$2:Z$177,13,TRUE)*1000</f>
        <v>#N/A</v>
      </c>
      <c r="F83" s="35" t="e">
        <f t="shared" si="3"/>
        <v>#N/A</v>
      </c>
      <c r="G83" s="35" t="e">
        <f t="shared" si="4"/>
        <v>#N/A</v>
      </c>
      <c r="H83" s="35" t="e">
        <f>IF(G83&gt;0,H82-(5*'Gen Calcs'!C$41),'Air calcs'!H82)</f>
        <v>#N/A</v>
      </c>
      <c r="I83" s="35" t="e">
        <f>VLOOKUP('Air calcs'!C83,TS!N$2:O$177,2)</f>
        <v>#N/A</v>
      </c>
      <c r="J83" s="40" t="e">
        <f>((MAX(I83:I$205)-Inputs!C$3)-(MAX(I83:I$205)-I83))*0.433+K83</f>
        <v>#N/A</v>
      </c>
      <c r="K83" s="35" t="e">
        <f>14.7*B83/((C$2-C83)*'Gen Calcs'!C$29/7.48)-14.7</f>
        <v>#N/A</v>
      </c>
      <c r="L83" s="35" t="e">
        <f>(H$2-H83)*'Gen Calcs'!C$29</f>
        <v>#N/A</v>
      </c>
      <c r="M83" s="35" t="e">
        <f>(MAX(I83:I$205)-I$205)*0.433</f>
        <v>#N/A</v>
      </c>
    </row>
    <row r="84" spans="1:13" x14ac:dyDescent="0.25">
      <c r="A84" s="35">
        <v>410</v>
      </c>
      <c r="B84" s="35">
        <f>A84*'Gen Calcs'!C$36</f>
        <v>4100000</v>
      </c>
      <c r="C84" s="35" t="e">
        <f t="shared" si="5"/>
        <v>#N/A</v>
      </c>
      <c r="D84" s="35" t="e">
        <f>VLOOKUP(C84,TS!N$2:Z$177,11,TRUE)</f>
        <v>#N/A</v>
      </c>
      <c r="E84" s="35" t="e">
        <f>VLOOKUP(C84,TS!N$2:Z$177,13,TRUE)*1000</f>
        <v>#N/A</v>
      </c>
      <c r="F84" s="35" t="e">
        <f t="shared" si="3"/>
        <v>#N/A</v>
      </c>
      <c r="G84" s="35" t="e">
        <f t="shared" si="4"/>
        <v>#N/A</v>
      </c>
      <c r="H84" s="35" t="e">
        <f>IF(G84&gt;0,H83-(5*'Gen Calcs'!C$41),'Air calcs'!H83)</f>
        <v>#N/A</v>
      </c>
      <c r="I84" s="35" t="e">
        <f>VLOOKUP('Air calcs'!C84,TS!N$2:O$177,2)</f>
        <v>#N/A</v>
      </c>
      <c r="J84" s="40" t="e">
        <f>((MAX(I84:I$205)-Inputs!C$3)-(MAX(I84:I$205)-I84))*0.433+K84</f>
        <v>#N/A</v>
      </c>
      <c r="K84" s="35" t="e">
        <f>14.7*B84/((C$2-C84)*'Gen Calcs'!C$29/7.48)-14.7</f>
        <v>#N/A</v>
      </c>
      <c r="L84" s="35" t="e">
        <f>(H$2-H84)*'Gen Calcs'!C$29</f>
        <v>#N/A</v>
      </c>
      <c r="M84" s="35" t="e">
        <f>(MAX(I84:I$205)-I$205)*0.433</f>
        <v>#N/A</v>
      </c>
    </row>
    <row r="85" spans="1:13" x14ac:dyDescent="0.25">
      <c r="A85" s="35">
        <v>415</v>
      </c>
      <c r="B85" s="35">
        <f>A85*'Gen Calcs'!C$36</f>
        <v>4150000</v>
      </c>
      <c r="C85" s="35" t="e">
        <f t="shared" si="5"/>
        <v>#N/A</v>
      </c>
      <c r="D85" s="35" t="e">
        <f>VLOOKUP(C85,TS!N$2:Z$177,11,TRUE)</f>
        <v>#N/A</v>
      </c>
      <c r="E85" s="35" t="e">
        <f>VLOOKUP(C85,TS!N$2:Z$177,13,TRUE)*1000</f>
        <v>#N/A</v>
      </c>
      <c r="F85" s="35" t="e">
        <f t="shared" si="3"/>
        <v>#N/A</v>
      </c>
      <c r="G85" s="35" t="e">
        <f t="shared" si="4"/>
        <v>#N/A</v>
      </c>
      <c r="H85" s="35" t="e">
        <f>IF(G85&gt;0,H84-(5*'Gen Calcs'!C$41),'Air calcs'!H84)</f>
        <v>#N/A</v>
      </c>
      <c r="I85" s="35" t="e">
        <f>VLOOKUP('Air calcs'!C85,TS!N$2:O$177,2)</f>
        <v>#N/A</v>
      </c>
      <c r="J85" s="40" t="e">
        <f>((MAX(I85:I$205)-Inputs!C$3)-(MAX(I85:I$205)-I85))*0.433+K85</f>
        <v>#N/A</v>
      </c>
      <c r="K85" s="35" t="e">
        <f>14.7*B85/((C$2-C85)*'Gen Calcs'!C$29/7.48)-14.7</f>
        <v>#N/A</v>
      </c>
      <c r="L85" s="35" t="e">
        <f>(H$2-H85)*'Gen Calcs'!C$29</f>
        <v>#N/A</v>
      </c>
      <c r="M85" s="35" t="e">
        <f>(MAX(I85:I$205)-I$205)*0.433</f>
        <v>#N/A</v>
      </c>
    </row>
    <row r="86" spans="1:13" x14ac:dyDescent="0.25">
      <c r="A86" s="35">
        <v>420</v>
      </c>
      <c r="B86" s="35">
        <f>A86*'Gen Calcs'!C$36</f>
        <v>4200000</v>
      </c>
      <c r="C86" s="35" t="e">
        <f t="shared" si="5"/>
        <v>#N/A</v>
      </c>
      <c r="D86" s="35" t="e">
        <f>VLOOKUP(C86,TS!N$2:Z$177,11,TRUE)</f>
        <v>#N/A</v>
      </c>
      <c r="E86" s="35" t="e">
        <f>VLOOKUP(C86,TS!N$2:Z$177,13,TRUE)*1000</f>
        <v>#N/A</v>
      </c>
      <c r="F86" s="35" t="e">
        <f t="shared" si="3"/>
        <v>#N/A</v>
      </c>
      <c r="G86" s="35" t="e">
        <f t="shared" si="4"/>
        <v>#N/A</v>
      </c>
      <c r="H86" s="35" t="e">
        <f>IF(G86&gt;0,H85-(5*'Gen Calcs'!C$41),'Air calcs'!H85)</f>
        <v>#N/A</v>
      </c>
      <c r="I86" s="35" t="e">
        <f>VLOOKUP('Air calcs'!C86,TS!N$2:O$177,2)</f>
        <v>#N/A</v>
      </c>
      <c r="J86" s="40" t="e">
        <f>((MAX(I86:I$205)-Inputs!C$3)-(MAX(I86:I$205)-I86))*0.433+K86</f>
        <v>#N/A</v>
      </c>
      <c r="K86" s="35" t="e">
        <f>14.7*B86/((C$2-C86)*'Gen Calcs'!C$29/7.48)-14.7</f>
        <v>#N/A</v>
      </c>
      <c r="L86" s="35" t="e">
        <f>(H$2-H86)*'Gen Calcs'!C$29</f>
        <v>#N/A</v>
      </c>
      <c r="M86" s="35" t="e">
        <f>(MAX(I86:I$205)-I$205)*0.433</f>
        <v>#N/A</v>
      </c>
    </row>
    <row r="87" spans="1:13" x14ac:dyDescent="0.25">
      <c r="A87" s="35">
        <v>425</v>
      </c>
      <c r="B87" s="35">
        <f>A87*'Gen Calcs'!C$36</f>
        <v>4250000</v>
      </c>
      <c r="C87" s="35" t="e">
        <f t="shared" si="5"/>
        <v>#N/A</v>
      </c>
      <c r="D87" s="35" t="e">
        <f>VLOOKUP(C87,TS!N$2:Z$177,11,TRUE)</f>
        <v>#N/A</v>
      </c>
      <c r="E87" s="35" t="e">
        <f>VLOOKUP(C87,TS!N$2:Z$177,13,TRUE)*1000</f>
        <v>#N/A</v>
      </c>
      <c r="F87" s="35" t="e">
        <f t="shared" si="3"/>
        <v>#N/A</v>
      </c>
      <c r="G87" s="35" t="e">
        <f t="shared" si="4"/>
        <v>#N/A</v>
      </c>
      <c r="H87" s="35" t="e">
        <f>IF(G87&gt;0,H86-(5*'Gen Calcs'!C$41),'Air calcs'!H86)</f>
        <v>#N/A</v>
      </c>
      <c r="I87" s="35" t="e">
        <f>VLOOKUP('Air calcs'!C87,TS!N$2:O$177,2)</f>
        <v>#N/A</v>
      </c>
      <c r="J87" s="40" t="e">
        <f>((MAX(I87:I$205)-Inputs!C$3)-(MAX(I87:I$205)-I87))*0.433+K87</f>
        <v>#N/A</v>
      </c>
      <c r="K87" s="35" t="e">
        <f>14.7*B87/((C$2-C87)*'Gen Calcs'!C$29/7.48)-14.7</f>
        <v>#N/A</v>
      </c>
      <c r="L87" s="35" t="e">
        <f>(H$2-H87)*'Gen Calcs'!C$29</f>
        <v>#N/A</v>
      </c>
      <c r="M87" s="35" t="e">
        <f>(MAX(I87:I$205)-I$205)*0.433</f>
        <v>#N/A</v>
      </c>
    </row>
    <row r="88" spans="1:13" x14ac:dyDescent="0.25">
      <c r="A88" s="35">
        <v>430</v>
      </c>
      <c r="B88" s="35">
        <f>A88*'Gen Calcs'!C$36</f>
        <v>4300000</v>
      </c>
      <c r="C88" s="35" t="e">
        <f t="shared" si="5"/>
        <v>#N/A</v>
      </c>
      <c r="D88" s="35" t="e">
        <f>VLOOKUP(C88,TS!N$2:Z$177,11,TRUE)</f>
        <v>#N/A</v>
      </c>
      <c r="E88" s="35" t="e">
        <f>VLOOKUP(C88,TS!N$2:Z$177,13,TRUE)*1000</f>
        <v>#N/A</v>
      </c>
      <c r="F88" s="35" t="e">
        <f t="shared" si="3"/>
        <v>#N/A</v>
      </c>
      <c r="G88" s="35" t="e">
        <f t="shared" si="4"/>
        <v>#N/A</v>
      </c>
      <c r="H88" s="35" t="e">
        <f>IF(G88&gt;0,H87-(5*'Gen Calcs'!C$41),'Air calcs'!H87)</f>
        <v>#N/A</v>
      </c>
      <c r="I88" s="35" t="e">
        <f>VLOOKUP('Air calcs'!C88,TS!N$2:O$177,2)</f>
        <v>#N/A</v>
      </c>
      <c r="J88" s="40" t="e">
        <f>((MAX(I88:I$205)-Inputs!C$3)-(MAX(I88:I$205)-I88))*0.433+K88</f>
        <v>#N/A</v>
      </c>
      <c r="K88" s="35" t="e">
        <f>14.7*B88/((C$2-C88)*'Gen Calcs'!C$29/7.48)-14.7</f>
        <v>#N/A</v>
      </c>
      <c r="L88" s="35" t="e">
        <f>(H$2-H88)*'Gen Calcs'!C$29</f>
        <v>#N/A</v>
      </c>
      <c r="M88" s="35" t="e">
        <f>(MAX(I88:I$205)-I$205)*0.433</f>
        <v>#N/A</v>
      </c>
    </row>
    <row r="89" spans="1:13" x14ac:dyDescent="0.25">
      <c r="A89" s="35">
        <v>435</v>
      </c>
      <c r="B89" s="35">
        <f>A89*'Gen Calcs'!C$36</f>
        <v>4350000</v>
      </c>
      <c r="C89" s="35" t="e">
        <f t="shared" si="5"/>
        <v>#N/A</v>
      </c>
      <c r="D89" s="35" t="e">
        <f>VLOOKUP(C89,TS!N$2:Z$177,11,TRUE)</f>
        <v>#N/A</v>
      </c>
      <c r="E89" s="35" t="e">
        <f>VLOOKUP(C89,TS!N$2:Z$177,13,TRUE)*1000</f>
        <v>#N/A</v>
      </c>
      <c r="F89" s="35" t="e">
        <f t="shared" si="3"/>
        <v>#N/A</v>
      </c>
      <c r="G89" s="35" t="e">
        <f t="shared" si="4"/>
        <v>#N/A</v>
      </c>
      <c r="H89" s="35" t="e">
        <f>IF(G89&gt;0,H88-(5*'Gen Calcs'!C$41),'Air calcs'!H88)</f>
        <v>#N/A</v>
      </c>
      <c r="I89" s="35" t="e">
        <f>VLOOKUP('Air calcs'!C89,TS!N$2:O$177,2)</f>
        <v>#N/A</v>
      </c>
      <c r="J89" s="40" t="e">
        <f>((MAX(I89:I$205)-Inputs!C$3)-(MAX(I89:I$205)-I89))*0.433+K89</f>
        <v>#N/A</v>
      </c>
      <c r="K89" s="35" t="e">
        <f>14.7*B89/((C$2-C89)*'Gen Calcs'!C$29/7.48)-14.7</f>
        <v>#N/A</v>
      </c>
      <c r="L89" s="35" t="e">
        <f>(H$2-H89)*'Gen Calcs'!C$29</f>
        <v>#N/A</v>
      </c>
      <c r="M89" s="35" t="e">
        <f>(MAX(I89:I$205)-I$205)*0.433</f>
        <v>#N/A</v>
      </c>
    </row>
    <row r="90" spans="1:13" x14ac:dyDescent="0.25">
      <c r="A90" s="35">
        <v>440</v>
      </c>
      <c r="B90" s="35">
        <f>A90*'Gen Calcs'!C$36</f>
        <v>4400000</v>
      </c>
      <c r="C90" s="35" t="e">
        <f t="shared" si="5"/>
        <v>#N/A</v>
      </c>
      <c r="D90" s="35" t="e">
        <f>VLOOKUP(C90,TS!N$2:Z$177,11,TRUE)</f>
        <v>#N/A</v>
      </c>
      <c r="E90" s="35" t="e">
        <f>VLOOKUP(C90,TS!N$2:Z$177,13,TRUE)*1000</f>
        <v>#N/A</v>
      </c>
      <c r="F90" s="35" t="e">
        <f t="shared" si="3"/>
        <v>#N/A</v>
      </c>
      <c r="G90" s="35" t="e">
        <f t="shared" si="4"/>
        <v>#N/A</v>
      </c>
      <c r="H90" s="35" t="e">
        <f>IF(G90&gt;0,H89-(5*'Gen Calcs'!C$41),'Air calcs'!H89)</f>
        <v>#N/A</v>
      </c>
      <c r="I90" s="35" t="e">
        <f>VLOOKUP('Air calcs'!C90,TS!N$2:O$177,2)</f>
        <v>#N/A</v>
      </c>
      <c r="J90" s="40" t="e">
        <f>((MAX(I90:I$205)-Inputs!C$3)-(MAX(I90:I$205)-I90))*0.433+K90</f>
        <v>#N/A</v>
      </c>
      <c r="K90" s="35" t="e">
        <f>14.7*B90/((C$2-C90)*'Gen Calcs'!C$29/7.48)-14.7</f>
        <v>#N/A</v>
      </c>
      <c r="L90" s="35" t="e">
        <f>(H$2-H90)*'Gen Calcs'!C$29</f>
        <v>#N/A</v>
      </c>
      <c r="M90" s="35" t="e">
        <f>(MAX(I90:I$205)-I$205)*0.433</f>
        <v>#N/A</v>
      </c>
    </row>
    <row r="91" spans="1:13" x14ac:dyDescent="0.25">
      <c r="A91" s="35">
        <v>445</v>
      </c>
      <c r="B91" s="35">
        <f>A91*'Gen Calcs'!C$36</f>
        <v>4450000</v>
      </c>
      <c r="C91" s="35" t="e">
        <f t="shared" si="5"/>
        <v>#N/A</v>
      </c>
      <c r="D91" s="35" t="e">
        <f>VLOOKUP(C91,TS!N$2:Z$177,11,TRUE)</f>
        <v>#N/A</v>
      </c>
      <c r="E91" s="35" t="e">
        <f>VLOOKUP(C91,TS!N$2:Z$177,13,TRUE)*1000</f>
        <v>#N/A</v>
      </c>
      <c r="F91" s="35" t="e">
        <f t="shared" si="3"/>
        <v>#N/A</v>
      </c>
      <c r="G91" s="35" t="e">
        <f t="shared" si="4"/>
        <v>#N/A</v>
      </c>
      <c r="H91" s="35" t="e">
        <f>IF(G91&gt;0,H90-(5*'Gen Calcs'!C$41),'Air calcs'!H90)</f>
        <v>#N/A</v>
      </c>
      <c r="I91" s="35" t="e">
        <f>VLOOKUP('Air calcs'!C91,TS!N$2:O$177,2)</f>
        <v>#N/A</v>
      </c>
      <c r="J91" s="40" t="e">
        <f>((MAX(I91:I$205)-Inputs!C$3)-(MAX(I91:I$205)-I91))*0.433+K91</f>
        <v>#N/A</v>
      </c>
      <c r="K91" s="35" t="e">
        <f>14.7*B91/((C$2-C91)*'Gen Calcs'!C$29/7.48)-14.7</f>
        <v>#N/A</v>
      </c>
      <c r="L91" s="35" t="e">
        <f>(H$2-H91)*'Gen Calcs'!C$29</f>
        <v>#N/A</v>
      </c>
      <c r="M91" s="35" t="e">
        <f>(MAX(I91:I$205)-I$205)*0.433</f>
        <v>#N/A</v>
      </c>
    </row>
    <row r="92" spans="1:13" x14ac:dyDescent="0.25">
      <c r="A92" s="35">
        <v>450</v>
      </c>
      <c r="B92" s="35">
        <f>A92*'Gen Calcs'!C$36</f>
        <v>4500000</v>
      </c>
      <c r="C92" s="35" t="e">
        <f t="shared" si="5"/>
        <v>#N/A</v>
      </c>
      <c r="D92" s="35" t="e">
        <f>VLOOKUP(C92,TS!N$2:Z$177,11,TRUE)</f>
        <v>#N/A</v>
      </c>
      <c r="E92" s="35" t="e">
        <f>VLOOKUP(C92,TS!N$2:Z$177,13,TRUE)*1000</f>
        <v>#N/A</v>
      </c>
      <c r="F92" s="35" t="e">
        <f t="shared" si="3"/>
        <v>#N/A</v>
      </c>
      <c r="G92" s="35" t="e">
        <f t="shared" si="4"/>
        <v>#N/A</v>
      </c>
      <c r="H92" s="35" t="e">
        <f>IF(G92&gt;0,H91-(5*'Gen Calcs'!C$41),'Air calcs'!H91)</f>
        <v>#N/A</v>
      </c>
      <c r="I92" s="35" t="e">
        <f>VLOOKUP('Air calcs'!C92,TS!N$2:O$177,2)</f>
        <v>#N/A</v>
      </c>
      <c r="J92" s="40" t="e">
        <f>((MAX(I92:I$205)-Inputs!C$3)-(MAX(I92:I$205)-I92))*0.433+K92</f>
        <v>#N/A</v>
      </c>
      <c r="K92" s="35" t="e">
        <f>14.7*B92/((C$2-C92)*'Gen Calcs'!C$29/7.48)-14.7</f>
        <v>#N/A</v>
      </c>
      <c r="L92" s="35" t="e">
        <f>(H$2-H92)*'Gen Calcs'!C$29</f>
        <v>#N/A</v>
      </c>
      <c r="M92" s="35" t="e">
        <f>(MAX(I92:I$205)-I$205)*0.433</f>
        <v>#N/A</v>
      </c>
    </row>
    <row r="93" spans="1:13" x14ac:dyDescent="0.25">
      <c r="A93" s="35">
        <v>455</v>
      </c>
      <c r="B93" s="35">
        <f>A93*'Gen Calcs'!C$36</f>
        <v>4550000</v>
      </c>
      <c r="C93" s="35" t="e">
        <f t="shared" si="5"/>
        <v>#N/A</v>
      </c>
      <c r="D93" s="35" t="e">
        <f>VLOOKUP(C93,TS!N$2:Z$177,11,TRUE)</f>
        <v>#N/A</v>
      </c>
      <c r="E93" s="35" t="e">
        <f>VLOOKUP(C93,TS!N$2:Z$177,13,TRUE)*1000</f>
        <v>#N/A</v>
      </c>
      <c r="F93" s="35" t="e">
        <f t="shared" si="3"/>
        <v>#N/A</v>
      </c>
      <c r="G93" s="35" t="e">
        <f t="shared" si="4"/>
        <v>#N/A</v>
      </c>
      <c r="H93" s="35" t="e">
        <f>IF(G93&gt;0,H92-(5*'Gen Calcs'!C$41),'Air calcs'!H92)</f>
        <v>#N/A</v>
      </c>
      <c r="I93" s="35" t="e">
        <f>VLOOKUP('Air calcs'!C93,TS!N$2:O$177,2)</f>
        <v>#N/A</v>
      </c>
      <c r="J93" s="40" t="e">
        <f>((MAX(I93:I$205)-Inputs!C$3)-(MAX(I93:I$205)-I93))*0.433+K93</f>
        <v>#N/A</v>
      </c>
      <c r="K93" s="35" t="e">
        <f>14.7*B93/((C$2-C93)*'Gen Calcs'!C$29/7.48)-14.7</f>
        <v>#N/A</v>
      </c>
      <c r="L93" s="35" t="e">
        <f>(H$2-H93)*'Gen Calcs'!C$29</f>
        <v>#N/A</v>
      </c>
      <c r="M93" s="35" t="e">
        <f>(MAX(I93:I$205)-I$205)*0.433</f>
        <v>#N/A</v>
      </c>
    </row>
    <row r="94" spans="1:13" x14ac:dyDescent="0.25">
      <c r="A94" s="35">
        <v>460</v>
      </c>
      <c r="B94" s="35">
        <f>A94*'Gen Calcs'!C$36</f>
        <v>4600000</v>
      </c>
      <c r="C94" s="35" t="e">
        <f t="shared" si="5"/>
        <v>#N/A</v>
      </c>
      <c r="D94" s="35" t="e">
        <f>VLOOKUP(C94,TS!N$2:Z$177,11,TRUE)</f>
        <v>#N/A</v>
      </c>
      <c r="E94" s="35" t="e">
        <f>VLOOKUP(C94,TS!N$2:Z$177,13,TRUE)*1000</f>
        <v>#N/A</v>
      </c>
      <c r="F94" s="35" t="e">
        <f t="shared" si="3"/>
        <v>#N/A</v>
      </c>
      <c r="G94" s="35" t="e">
        <f t="shared" si="4"/>
        <v>#N/A</v>
      </c>
      <c r="H94" s="35" t="e">
        <f>IF(G94&gt;0,H93-(5*'Gen Calcs'!C$41),'Air calcs'!H93)</f>
        <v>#N/A</v>
      </c>
      <c r="I94" s="35" t="e">
        <f>VLOOKUP('Air calcs'!C94,TS!N$2:O$177,2)</f>
        <v>#N/A</v>
      </c>
      <c r="J94" s="40" t="e">
        <f>((MAX(I94:I$205)-Inputs!C$3)-(MAX(I94:I$205)-I94))*0.433+K94</f>
        <v>#N/A</v>
      </c>
      <c r="K94" s="35" t="e">
        <f>14.7*B94/((C$2-C94)*'Gen Calcs'!C$29/7.48)-14.7</f>
        <v>#N/A</v>
      </c>
      <c r="L94" s="35" t="e">
        <f>(H$2-H94)*'Gen Calcs'!C$29</f>
        <v>#N/A</v>
      </c>
      <c r="M94" s="35" t="e">
        <f>(MAX(I94:I$205)-I$205)*0.433</f>
        <v>#N/A</v>
      </c>
    </row>
    <row r="95" spans="1:13" x14ac:dyDescent="0.25">
      <c r="A95" s="35">
        <v>465</v>
      </c>
      <c r="B95" s="35">
        <f>A95*'Gen Calcs'!C$36</f>
        <v>4650000</v>
      </c>
      <c r="C95" s="35" t="e">
        <f t="shared" si="5"/>
        <v>#N/A</v>
      </c>
      <c r="D95" s="35" t="e">
        <f>VLOOKUP(C95,TS!N$2:Z$177,11,TRUE)</f>
        <v>#N/A</v>
      </c>
      <c r="E95" s="35" t="e">
        <f>VLOOKUP(C95,TS!N$2:Z$177,13,TRUE)*1000</f>
        <v>#N/A</v>
      </c>
      <c r="F95" s="35" t="e">
        <f t="shared" si="3"/>
        <v>#N/A</v>
      </c>
      <c r="G95" s="35" t="e">
        <f t="shared" si="4"/>
        <v>#N/A</v>
      </c>
      <c r="H95" s="35" t="e">
        <f>IF(G95&gt;0,H94-(5*'Gen Calcs'!C$41),'Air calcs'!H94)</f>
        <v>#N/A</v>
      </c>
      <c r="I95" s="35" t="e">
        <f>VLOOKUP('Air calcs'!C95,TS!N$2:O$177,2)</f>
        <v>#N/A</v>
      </c>
      <c r="J95" s="40" t="e">
        <f>((MAX(I95:I$205)-Inputs!C$3)-(MAX(I95:I$205)-I95))*0.433+K95</f>
        <v>#N/A</v>
      </c>
      <c r="K95" s="35" t="e">
        <f>14.7*B95/((C$2-C95)*'Gen Calcs'!C$29/7.48)-14.7</f>
        <v>#N/A</v>
      </c>
      <c r="L95" s="35" t="e">
        <f>(H$2-H95)*'Gen Calcs'!C$29</f>
        <v>#N/A</v>
      </c>
      <c r="M95" s="35" t="e">
        <f>(MAX(I95:I$205)-I$205)*0.433</f>
        <v>#N/A</v>
      </c>
    </row>
    <row r="96" spans="1:13" x14ac:dyDescent="0.25">
      <c r="A96" s="35">
        <v>470</v>
      </c>
      <c r="B96" s="35">
        <f>A96*'Gen Calcs'!C$36</f>
        <v>4700000</v>
      </c>
      <c r="C96" s="35" t="e">
        <f t="shared" si="5"/>
        <v>#N/A</v>
      </c>
      <c r="D96" s="35" t="e">
        <f>VLOOKUP(C96,TS!N$2:Z$177,11,TRUE)</f>
        <v>#N/A</v>
      </c>
      <c r="E96" s="35" t="e">
        <f>VLOOKUP(C96,TS!N$2:Z$177,13,TRUE)*1000</f>
        <v>#N/A</v>
      </c>
      <c r="F96" s="35" t="e">
        <f t="shared" si="3"/>
        <v>#N/A</v>
      </c>
      <c r="G96" s="35" t="e">
        <f t="shared" si="4"/>
        <v>#N/A</v>
      </c>
      <c r="H96" s="35" t="e">
        <f>IF(G96&gt;0,H95-(5*'Gen Calcs'!C$41),'Air calcs'!H95)</f>
        <v>#N/A</v>
      </c>
      <c r="I96" s="35" t="e">
        <f>VLOOKUP('Air calcs'!C96,TS!N$2:O$177,2)</f>
        <v>#N/A</v>
      </c>
      <c r="J96" s="40" t="e">
        <f>((MAX(I96:I$205)-Inputs!C$3)-(MAX(I96:I$205)-I96))*0.433+K96</f>
        <v>#N/A</v>
      </c>
      <c r="K96" s="35" t="e">
        <f>14.7*B96/((C$2-C96)*'Gen Calcs'!C$29/7.48)-14.7</f>
        <v>#N/A</v>
      </c>
      <c r="L96" s="35" t="e">
        <f>(H$2-H96)*'Gen Calcs'!C$29</f>
        <v>#N/A</v>
      </c>
      <c r="M96" s="35" t="e">
        <f>(MAX(I96:I$205)-I$205)*0.433</f>
        <v>#N/A</v>
      </c>
    </row>
    <row r="97" spans="1:13" x14ac:dyDescent="0.25">
      <c r="A97" s="35">
        <v>475</v>
      </c>
      <c r="B97" s="35">
        <f>A97*'Gen Calcs'!C$36</f>
        <v>4750000</v>
      </c>
      <c r="C97" s="35" t="e">
        <f t="shared" si="5"/>
        <v>#N/A</v>
      </c>
      <c r="D97" s="35" t="e">
        <f>VLOOKUP(C97,TS!N$2:Z$177,11,TRUE)</f>
        <v>#N/A</v>
      </c>
      <c r="E97" s="35" t="e">
        <f>VLOOKUP(C97,TS!N$2:Z$177,13,TRUE)*1000</f>
        <v>#N/A</v>
      </c>
      <c r="F97" s="35" t="e">
        <f t="shared" si="3"/>
        <v>#N/A</v>
      </c>
      <c r="G97" s="35" t="e">
        <f t="shared" si="4"/>
        <v>#N/A</v>
      </c>
      <c r="H97" s="35" t="e">
        <f>IF(G97&gt;0,H96-(5*'Gen Calcs'!C$41),'Air calcs'!H96)</f>
        <v>#N/A</v>
      </c>
      <c r="I97" s="35" t="e">
        <f>VLOOKUP('Air calcs'!C97,TS!N$2:O$177,2)</f>
        <v>#N/A</v>
      </c>
      <c r="J97" s="40" t="e">
        <f>((MAX(I97:I$205)-Inputs!C$3)-(MAX(I97:I$205)-I97))*0.433+K97</f>
        <v>#N/A</v>
      </c>
      <c r="K97" s="35" t="e">
        <f>14.7*B97/((C$2-C97)*'Gen Calcs'!C$29/7.48)-14.7</f>
        <v>#N/A</v>
      </c>
      <c r="L97" s="35" t="e">
        <f>(H$2-H97)*'Gen Calcs'!C$29</f>
        <v>#N/A</v>
      </c>
      <c r="M97" s="35" t="e">
        <f>(MAX(I97:I$205)-I$205)*0.433</f>
        <v>#N/A</v>
      </c>
    </row>
    <row r="98" spans="1:13" x14ac:dyDescent="0.25">
      <c r="A98" s="35">
        <v>480</v>
      </c>
      <c r="B98" s="35">
        <f>A98*'Gen Calcs'!C$36</f>
        <v>4800000</v>
      </c>
      <c r="C98" s="35" t="e">
        <f t="shared" si="5"/>
        <v>#N/A</v>
      </c>
      <c r="D98" s="35" t="e">
        <f>VLOOKUP(C98,TS!N$2:Z$177,11,TRUE)</f>
        <v>#N/A</v>
      </c>
      <c r="E98" s="35" t="e">
        <f>VLOOKUP(C98,TS!N$2:Z$177,13,TRUE)*1000</f>
        <v>#N/A</v>
      </c>
      <c r="F98" s="35" t="e">
        <f t="shared" si="3"/>
        <v>#N/A</v>
      </c>
      <c r="G98" s="35" t="e">
        <f t="shared" si="4"/>
        <v>#N/A</v>
      </c>
      <c r="H98" s="35" t="e">
        <f>IF(G98&gt;0,H97-(5*'Gen Calcs'!C$41),'Air calcs'!H97)</f>
        <v>#N/A</v>
      </c>
      <c r="I98" s="35" t="e">
        <f>VLOOKUP('Air calcs'!C98,TS!N$2:O$177,2)</f>
        <v>#N/A</v>
      </c>
      <c r="J98" s="40" t="e">
        <f>((MAX(I98:I$205)-Inputs!C$3)-(MAX(I98:I$205)-I98))*0.433+K98</f>
        <v>#N/A</v>
      </c>
      <c r="K98" s="35" t="e">
        <f>14.7*B98/((C$2-C98)*'Gen Calcs'!C$29/7.48)-14.7</f>
        <v>#N/A</v>
      </c>
      <c r="L98" s="35" t="e">
        <f>(H$2-H98)*'Gen Calcs'!C$29</f>
        <v>#N/A</v>
      </c>
      <c r="M98" s="35" t="e">
        <f>(MAX(I98:I$205)-I$205)*0.433</f>
        <v>#N/A</v>
      </c>
    </row>
    <row r="99" spans="1:13" x14ac:dyDescent="0.25">
      <c r="A99" s="35">
        <v>485</v>
      </c>
      <c r="B99" s="35">
        <f>A99*'Gen Calcs'!C$36</f>
        <v>4850000</v>
      </c>
      <c r="C99" s="35" t="e">
        <f t="shared" si="5"/>
        <v>#N/A</v>
      </c>
      <c r="D99" s="35" t="e">
        <f>VLOOKUP(C99,TS!N$2:Z$177,11,TRUE)</f>
        <v>#N/A</v>
      </c>
      <c r="E99" s="35" t="e">
        <f>VLOOKUP(C99,TS!N$2:Z$177,13,TRUE)*1000</f>
        <v>#N/A</v>
      </c>
      <c r="F99" s="35" t="e">
        <f t="shared" si="3"/>
        <v>#N/A</v>
      </c>
      <c r="G99" s="35" t="e">
        <f t="shared" si="4"/>
        <v>#N/A</v>
      </c>
      <c r="H99" s="35" t="e">
        <f>IF(G99&gt;0,H98-(5*'Gen Calcs'!C$41),'Air calcs'!H98)</f>
        <v>#N/A</v>
      </c>
      <c r="I99" s="35" t="e">
        <f>VLOOKUP('Air calcs'!C99,TS!N$2:O$177,2)</f>
        <v>#N/A</v>
      </c>
      <c r="J99" s="40" t="e">
        <f>((MAX(I99:I$205)-Inputs!C$3)-(MAX(I99:I$205)-I99))*0.433+K99</f>
        <v>#N/A</v>
      </c>
      <c r="K99" s="35" t="e">
        <f>14.7*B99/((C$2-C99)*'Gen Calcs'!C$29/7.48)-14.7</f>
        <v>#N/A</v>
      </c>
      <c r="L99" s="35" t="e">
        <f>(H$2-H99)*'Gen Calcs'!C$29</f>
        <v>#N/A</v>
      </c>
      <c r="M99" s="35" t="e">
        <f>(MAX(I99:I$205)-I$205)*0.433</f>
        <v>#N/A</v>
      </c>
    </row>
    <row r="100" spans="1:13" x14ac:dyDescent="0.25">
      <c r="A100" s="35">
        <v>490</v>
      </c>
      <c r="B100" s="35">
        <f>A100*'Gen Calcs'!C$36</f>
        <v>4900000</v>
      </c>
      <c r="C100" s="35" t="e">
        <f t="shared" si="5"/>
        <v>#N/A</v>
      </c>
      <c r="D100" s="35" t="e">
        <f>VLOOKUP(C100,TS!N$2:Z$177,11,TRUE)</f>
        <v>#N/A</v>
      </c>
      <c r="E100" s="35" t="e">
        <f>VLOOKUP(C100,TS!N$2:Z$177,13,TRUE)*1000</f>
        <v>#N/A</v>
      </c>
      <c r="F100" s="35" t="e">
        <f t="shared" si="3"/>
        <v>#N/A</v>
      </c>
      <c r="G100" s="35" t="e">
        <f t="shared" si="4"/>
        <v>#N/A</v>
      </c>
      <c r="H100" s="35" t="e">
        <f>IF(G100&gt;0,H99-(5*'Gen Calcs'!C$41),'Air calcs'!H99)</f>
        <v>#N/A</v>
      </c>
      <c r="I100" s="35" t="e">
        <f>VLOOKUP('Air calcs'!C100,TS!N$2:O$177,2)</f>
        <v>#N/A</v>
      </c>
      <c r="J100" s="40" t="e">
        <f>((MAX(I100:I$205)-Inputs!C$3)-(MAX(I100:I$205)-I100))*0.433+K100</f>
        <v>#N/A</v>
      </c>
      <c r="K100" s="35" t="e">
        <f>14.7*B100/((C$2-C100)*'Gen Calcs'!C$29/7.48)-14.7</f>
        <v>#N/A</v>
      </c>
      <c r="L100" s="35" t="e">
        <f>(H$2-H100)*'Gen Calcs'!C$29</f>
        <v>#N/A</v>
      </c>
      <c r="M100" s="35" t="e">
        <f>(MAX(I100:I$205)-I$205)*0.433</f>
        <v>#N/A</v>
      </c>
    </row>
    <row r="101" spans="1:13" x14ac:dyDescent="0.25">
      <c r="A101" s="35">
        <v>495</v>
      </c>
      <c r="B101" s="35">
        <f>A101*'Gen Calcs'!C$36</f>
        <v>4950000</v>
      </c>
      <c r="C101" s="35" t="e">
        <f t="shared" si="5"/>
        <v>#N/A</v>
      </c>
      <c r="D101" s="35" t="e">
        <f>VLOOKUP(C101,TS!N$2:Z$177,11,TRUE)</f>
        <v>#N/A</v>
      </c>
      <c r="E101" s="35" t="e">
        <f>VLOOKUP(C101,TS!N$2:Z$177,13,TRUE)*1000</f>
        <v>#N/A</v>
      </c>
      <c r="F101" s="35" t="e">
        <f t="shared" si="3"/>
        <v>#N/A</v>
      </c>
      <c r="G101" s="35" t="e">
        <f t="shared" si="4"/>
        <v>#N/A</v>
      </c>
      <c r="H101" s="35" t="e">
        <f>IF(G101&gt;0,H100-(5*'Gen Calcs'!C$41),'Air calcs'!H100)</f>
        <v>#N/A</v>
      </c>
      <c r="I101" s="35" t="e">
        <f>VLOOKUP('Air calcs'!C101,TS!N$2:O$177,2)</f>
        <v>#N/A</v>
      </c>
      <c r="J101" s="40" t="e">
        <f>((MAX(I101:I$205)-Inputs!C$3)-(MAX(I101:I$205)-I101))*0.433+K101</f>
        <v>#N/A</v>
      </c>
      <c r="K101" s="35" t="e">
        <f>14.7*B101/((C$2-C101)*'Gen Calcs'!C$29/7.48)-14.7</f>
        <v>#N/A</v>
      </c>
      <c r="L101" s="35" t="e">
        <f>(H$2-H101)*'Gen Calcs'!C$29</f>
        <v>#N/A</v>
      </c>
      <c r="M101" s="35" t="e">
        <f>(MAX(I101:I$205)-I$205)*0.433</f>
        <v>#N/A</v>
      </c>
    </row>
    <row r="102" spans="1:13" x14ac:dyDescent="0.25">
      <c r="A102" s="35">
        <v>500</v>
      </c>
      <c r="B102" s="35">
        <f>A102*'Gen Calcs'!C$36</f>
        <v>5000000</v>
      </c>
      <c r="C102" s="35" t="e">
        <f t="shared" si="5"/>
        <v>#N/A</v>
      </c>
      <c r="D102" s="35" t="e">
        <f>VLOOKUP(C102,TS!N$2:Z$177,11,TRUE)</f>
        <v>#N/A</v>
      </c>
      <c r="E102" s="35" t="e">
        <f>VLOOKUP(C102,TS!N$2:Z$177,13,TRUE)*1000</f>
        <v>#N/A</v>
      </c>
      <c r="F102" s="35" t="e">
        <f t="shared" si="3"/>
        <v>#N/A</v>
      </c>
      <c r="G102" s="35" t="e">
        <f t="shared" si="4"/>
        <v>#N/A</v>
      </c>
      <c r="H102" s="35" t="e">
        <f>IF(G102&gt;0,H101-(5*'Gen Calcs'!C$41),'Air calcs'!H101)</f>
        <v>#N/A</v>
      </c>
      <c r="I102" s="35" t="e">
        <f>VLOOKUP('Air calcs'!C102,TS!N$2:O$177,2)</f>
        <v>#N/A</v>
      </c>
      <c r="J102" s="40" t="e">
        <f>((MAX(I102:I$205)-Inputs!C$3)-(MAX(I102:I$205)-I102))*0.433+K102</f>
        <v>#N/A</v>
      </c>
      <c r="K102" s="35" t="e">
        <f>14.7*B102/((C$2-C102)*'Gen Calcs'!C$29/7.48)-14.7</f>
        <v>#N/A</v>
      </c>
      <c r="L102" s="35" t="e">
        <f>(H$2-H102)*'Gen Calcs'!C$29</f>
        <v>#N/A</v>
      </c>
      <c r="M102" s="35" t="e">
        <f>(MAX(I102:I$205)-I$205)*0.433</f>
        <v>#N/A</v>
      </c>
    </row>
    <row r="103" spans="1:13" x14ac:dyDescent="0.25">
      <c r="A103" s="35">
        <v>505</v>
      </c>
      <c r="B103" s="35">
        <f>A103*'Gen Calcs'!C$36</f>
        <v>5050000</v>
      </c>
      <c r="C103" s="35" t="e">
        <f t="shared" si="5"/>
        <v>#N/A</v>
      </c>
      <c r="D103" s="35" t="e">
        <f>VLOOKUP(C103,TS!N$2:Z$177,11,TRUE)</f>
        <v>#N/A</v>
      </c>
      <c r="E103" s="35" t="e">
        <f>VLOOKUP(C103,TS!N$2:Z$177,13,TRUE)*1000</f>
        <v>#N/A</v>
      </c>
      <c r="F103" s="35" t="e">
        <f t="shared" si="3"/>
        <v>#N/A</v>
      </c>
      <c r="G103" s="35" t="e">
        <f t="shared" si="4"/>
        <v>#N/A</v>
      </c>
      <c r="H103" s="35" t="e">
        <f>IF(G103&gt;0,H102-(5*'Gen Calcs'!C$41),'Air calcs'!H102)</f>
        <v>#N/A</v>
      </c>
      <c r="I103" s="35" t="e">
        <f>VLOOKUP('Air calcs'!C103,TS!N$2:O$177,2)</f>
        <v>#N/A</v>
      </c>
      <c r="J103" s="40" t="e">
        <f>((MAX(I103:I$205)-Inputs!C$3)-(MAX(I103:I$205)-I103))*0.433+K103</f>
        <v>#N/A</v>
      </c>
      <c r="K103" s="35" t="e">
        <f>14.7*B103/((C$2-C103)*'Gen Calcs'!C$29/7.48)-14.7</f>
        <v>#N/A</v>
      </c>
      <c r="L103" s="35" t="e">
        <f>(H$2-H103)*'Gen Calcs'!C$29</f>
        <v>#N/A</v>
      </c>
      <c r="M103" s="35" t="e">
        <f>(MAX(I103:I$205)-I$205)*0.433</f>
        <v>#N/A</v>
      </c>
    </row>
    <row r="104" spans="1:13" x14ac:dyDescent="0.25">
      <c r="A104" s="35">
        <v>510</v>
      </c>
      <c r="B104" s="35">
        <f>A104*'Gen Calcs'!C$36</f>
        <v>5100000</v>
      </c>
      <c r="C104" s="35" t="e">
        <f t="shared" si="5"/>
        <v>#N/A</v>
      </c>
      <c r="D104" s="35" t="e">
        <f>VLOOKUP(C104,TS!N$2:Z$177,11,TRUE)</f>
        <v>#N/A</v>
      </c>
      <c r="E104" s="35" t="e">
        <f>VLOOKUP(C104,TS!N$2:Z$177,13,TRUE)*1000</f>
        <v>#N/A</v>
      </c>
      <c r="F104" s="35" t="e">
        <f t="shared" si="3"/>
        <v>#N/A</v>
      </c>
      <c r="G104" s="35" t="e">
        <f t="shared" si="4"/>
        <v>#N/A</v>
      </c>
      <c r="H104" s="35" t="e">
        <f>IF(G104&gt;0,H103-(5*'Gen Calcs'!C$41),'Air calcs'!H103)</f>
        <v>#N/A</v>
      </c>
      <c r="I104" s="35" t="e">
        <f>VLOOKUP('Air calcs'!C104,TS!N$2:O$177,2)</f>
        <v>#N/A</v>
      </c>
      <c r="J104" s="40" t="e">
        <f>((MAX(I104:I$205)-Inputs!C$3)-(MAX(I104:I$205)-I104))*0.433+K104</f>
        <v>#N/A</v>
      </c>
      <c r="K104" s="35" t="e">
        <f>14.7*B104/((C$2-C104)*'Gen Calcs'!C$29/7.48)-14.7</f>
        <v>#N/A</v>
      </c>
      <c r="L104" s="35" t="e">
        <f>(H$2-H104)*'Gen Calcs'!C$29</f>
        <v>#N/A</v>
      </c>
      <c r="M104" s="35" t="e">
        <f>(MAX(I104:I$205)-I$205)*0.433</f>
        <v>#N/A</v>
      </c>
    </row>
    <row r="105" spans="1:13" x14ac:dyDescent="0.25">
      <c r="A105" s="35">
        <v>515</v>
      </c>
      <c r="B105" s="35">
        <f>A105*'Gen Calcs'!C$36</f>
        <v>5150000</v>
      </c>
      <c r="C105" s="35" t="e">
        <f t="shared" si="5"/>
        <v>#N/A</v>
      </c>
      <c r="D105" s="35" t="e">
        <f>VLOOKUP(C105,TS!N$2:Z$177,11,TRUE)</f>
        <v>#N/A</v>
      </c>
      <c r="E105" s="35" t="e">
        <f>VLOOKUP(C105,TS!N$2:Z$177,13,TRUE)*1000</f>
        <v>#N/A</v>
      </c>
      <c r="F105" s="35" t="e">
        <f t="shared" si="3"/>
        <v>#N/A</v>
      </c>
      <c r="G105" s="35" t="e">
        <f t="shared" si="4"/>
        <v>#N/A</v>
      </c>
      <c r="H105" s="35" t="e">
        <f>IF(G105&gt;0,H104-(5*'Gen Calcs'!C$41),'Air calcs'!H104)</f>
        <v>#N/A</v>
      </c>
      <c r="I105" s="35" t="e">
        <f>VLOOKUP('Air calcs'!C105,TS!N$2:O$177,2)</f>
        <v>#N/A</v>
      </c>
      <c r="J105" s="40" t="e">
        <f>((MAX(I105:I$205)-Inputs!C$3)-(MAX(I105:I$205)-I105))*0.433+K105</f>
        <v>#N/A</v>
      </c>
      <c r="K105" s="35" t="e">
        <f>14.7*B105/((C$2-C105)*'Gen Calcs'!C$29/7.48)-14.7</f>
        <v>#N/A</v>
      </c>
      <c r="L105" s="35" t="e">
        <f>(H$2-H105)*'Gen Calcs'!C$29</f>
        <v>#N/A</v>
      </c>
      <c r="M105" s="35" t="e">
        <f>(MAX(I105:I$205)-I$205)*0.433</f>
        <v>#N/A</v>
      </c>
    </row>
    <row r="106" spans="1:13" x14ac:dyDescent="0.25">
      <c r="A106" s="35">
        <v>520</v>
      </c>
      <c r="B106" s="35">
        <f>A106*'Gen Calcs'!C$36</f>
        <v>5200000</v>
      </c>
      <c r="C106" s="35" t="e">
        <f t="shared" si="5"/>
        <v>#N/A</v>
      </c>
      <c r="D106" s="35" t="e">
        <f>VLOOKUP(C106,TS!N$2:Z$177,11,TRUE)</f>
        <v>#N/A</v>
      </c>
      <c r="E106" s="35" t="e">
        <f>VLOOKUP(C106,TS!N$2:Z$177,13,TRUE)*1000</f>
        <v>#N/A</v>
      </c>
      <c r="F106" s="35" t="e">
        <f t="shared" si="3"/>
        <v>#N/A</v>
      </c>
      <c r="G106" s="35" t="e">
        <f t="shared" si="4"/>
        <v>#N/A</v>
      </c>
      <c r="H106" s="35" t="e">
        <f>IF(G106&gt;0,H105-(5*'Gen Calcs'!C$41),'Air calcs'!H105)</f>
        <v>#N/A</v>
      </c>
      <c r="I106" s="35" t="e">
        <f>VLOOKUP('Air calcs'!C106,TS!N$2:O$177,2)</f>
        <v>#N/A</v>
      </c>
      <c r="J106" s="40" t="e">
        <f>((MAX(I106:I$205)-Inputs!C$3)-(MAX(I106:I$205)-I106))*0.433+K106</f>
        <v>#N/A</v>
      </c>
      <c r="K106" s="35" t="e">
        <f>14.7*B106/((C$2-C106)*'Gen Calcs'!C$29/7.48)-14.7</f>
        <v>#N/A</v>
      </c>
      <c r="L106" s="35" t="e">
        <f>(H$2-H106)*'Gen Calcs'!C$29</f>
        <v>#N/A</v>
      </c>
      <c r="M106" s="35" t="e">
        <f>(MAX(I106:I$205)-I$205)*0.433</f>
        <v>#N/A</v>
      </c>
    </row>
    <row r="107" spans="1:13" x14ac:dyDescent="0.25">
      <c r="A107" s="35">
        <v>525</v>
      </c>
      <c r="B107" s="35">
        <f>A107*'Gen Calcs'!C$36</f>
        <v>5250000</v>
      </c>
      <c r="C107" s="35" t="e">
        <f t="shared" si="5"/>
        <v>#N/A</v>
      </c>
      <c r="D107" s="35" t="e">
        <f>VLOOKUP(C107,TS!N$2:Z$177,11,TRUE)</f>
        <v>#N/A</v>
      </c>
      <c r="E107" s="35" t="e">
        <f>VLOOKUP(C107,TS!N$2:Z$177,13,TRUE)*1000</f>
        <v>#N/A</v>
      </c>
      <c r="F107" s="35" t="e">
        <f t="shared" si="3"/>
        <v>#N/A</v>
      </c>
      <c r="G107" s="35" t="e">
        <f t="shared" si="4"/>
        <v>#N/A</v>
      </c>
      <c r="H107" s="35" t="e">
        <f>IF(G107&gt;0,H106-(5*'Gen Calcs'!C$41),'Air calcs'!H106)</f>
        <v>#N/A</v>
      </c>
      <c r="I107" s="35" t="e">
        <f>VLOOKUP('Air calcs'!C107,TS!N$2:O$177,2)</f>
        <v>#N/A</v>
      </c>
      <c r="J107" s="40" t="e">
        <f>((MAX(I107:I$205)-Inputs!C$3)-(MAX(I107:I$205)-I107))*0.433+K107</f>
        <v>#N/A</v>
      </c>
      <c r="K107" s="35" t="e">
        <f>14.7*B107/((C$2-C107)*'Gen Calcs'!C$29/7.48)-14.7</f>
        <v>#N/A</v>
      </c>
      <c r="L107" s="35" t="e">
        <f>(H$2-H107)*'Gen Calcs'!C$29</f>
        <v>#N/A</v>
      </c>
      <c r="M107" s="35" t="e">
        <f>(MAX(I107:I$205)-I$205)*0.433</f>
        <v>#N/A</v>
      </c>
    </row>
    <row r="108" spans="1:13" x14ac:dyDescent="0.25">
      <c r="A108" s="35">
        <v>530</v>
      </c>
      <c r="B108" s="35">
        <f>A108*'Gen Calcs'!C$36</f>
        <v>5300000</v>
      </c>
      <c r="C108" s="35" t="e">
        <f t="shared" si="5"/>
        <v>#N/A</v>
      </c>
      <c r="D108" s="35" t="e">
        <f>VLOOKUP(C108,TS!N$2:Z$177,11,TRUE)</f>
        <v>#N/A</v>
      </c>
      <c r="E108" s="35" t="e">
        <f>VLOOKUP(C108,TS!N$2:Z$177,13,TRUE)*1000</f>
        <v>#N/A</v>
      </c>
      <c r="F108" s="35" t="e">
        <f t="shared" si="3"/>
        <v>#N/A</v>
      </c>
      <c r="G108" s="35" t="e">
        <f t="shared" si="4"/>
        <v>#N/A</v>
      </c>
      <c r="H108" s="35" t="e">
        <f>IF(G108&gt;0,H107-(5*'Gen Calcs'!C$41),'Air calcs'!H107)</f>
        <v>#N/A</v>
      </c>
      <c r="I108" s="35" t="e">
        <f>VLOOKUP('Air calcs'!C108,TS!N$2:O$177,2)</f>
        <v>#N/A</v>
      </c>
      <c r="J108" s="40" t="e">
        <f>((MAX(I108:I$205)-Inputs!C$3)-(MAX(I108:I$205)-I108))*0.433+K108</f>
        <v>#N/A</v>
      </c>
      <c r="K108" s="35" t="e">
        <f>14.7*B108/((C$2-C108)*'Gen Calcs'!C$29/7.48)-14.7</f>
        <v>#N/A</v>
      </c>
      <c r="L108" s="35" t="e">
        <f>(H$2-H108)*'Gen Calcs'!C$29</f>
        <v>#N/A</v>
      </c>
      <c r="M108" s="35" t="e">
        <f>(MAX(I108:I$205)-I$205)*0.433</f>
        <v>#N/A</v>
      </c>
    </row>
    <row r="109" spans="1:13" x14ac:dyDescent="0.25">
      <c r="A109" s="35">
        <v>535</v>
      </c>
      <c r="B109" s="35">
        <f>A109*'Gen Calcs'!C$36</f>
        <v>5350000</v>
      </c>
      <c r="C109" s="35" t="e">
        <f t="shared" si="5"/>
        <v>#N/A</v>
      </c>
      <c r="D109" s="35" t="e">
        <f>VLOOKUP(C109,TS!N$2:Z$177,11,TRUE)</f>
        <v>#N/A</v>
      </c>
      <c r="E109" s="35" t="e">
        <f>VLOOKUP(C109,TS!N$2:Z$177,13,TRUE)*1000</f>
        <v>#N/A</v>
      </c>
      <c r="F109" s="35" t="e">
        <f t="shared" si="3"/>
        <v>#N/A</v>
      </c>
      <c r="G109" s="35" t="e">
        <f t="shared" si="4"/>
        <v>#N/A</v>
      </c>
      <c r="H109" s="35" t="e">
        <f>IF(G109&gt;0,H108-(5*'Gen Calcs'!C$41),'Air calcs'!H108)</f>
        <v>#N/A</v>
      </c>
      <c r="I109" s="35" t="e">
        <f>VLOOKUP('Air calcs'!C109,TS!N$2:O$177,2)</f>
        <v>#N/A</v>
      </c>
      <c r="J109" s="40" t="e">
        <f>((MAX(I109:I$205)-Inputs!C$3)-(MAX(I109:I$205)-I109))*0.433+K109</f>
        <v>#N/A</v>
      </c>
      <c r="K109" s="35" t="e">
        <f>14.7*B109/((C$2-C109)*'Gen Calcs'!C$29/7.48)-14.7</f>
        <v>#N/A</v>
      </c>
      <c r="L109" s="35" t="e">
        <f>(H$2-H109)*'Gen Calcs'!C$29</f>
        <v>#N/A</v>
      </c>
      <c r="M109" s="35" t="e">
        <f>(MAX(I109:I$205)-I$205)*0.433</f>
        <v>#N/A</v>
      </c>
    </row>
    <row r="110" spans="1:13" x14ac:dyDescent="0.25">
      <c r="A110" s="35">
        <v>540</v>
      </c>
      <c r="B110" s="35">
        <f>A110*'Gen Calcs'!C$36</f>
        <v>5400000</v>
      </c>
      <c r="C110" s="35" t="e">
        <f t="shared" si="5"/>
        <v>#N/A</v>
      </c>
      <c r="D110" s="35" t="e">
        <f>VLOOKUP(C110,TS!N$2:Z$177,11,TRUE)</f>
        <v>#N/A</v>
      </c>
      <c r="E110" s="35" t="e">
        <f>VLOOKUP(C110,TS!N$2:Z$177,13,TRUE)*1000</f>
        <v>#N/A</v>
      </c>
      <c r="F110" s="35" t="e">
        <f t="shared" si="3"/>
        <v>#N/A</v>
      </c>
      <c r="G110" s="35" t="e">
        <f t="shared" si="4"/>
        <v>#N/A</v>
      </c>
      <c r="H110" s="35" t="e">
        <f>IF(G110&gt;0,H109-(5*'Gen Calcs'!C$41),'Air calcs'!H109)</f>
        <v>#N/A</v>
      </c>
      <c r="I110" s="35" t="e">
        <f>VLOOKUP('Air calcs'!C110,TS!N$2:O$177,2)</f>
        <v>#N/A</v>
      </c>
      <c r="J110" s="40" t="e">
        <f>((MAX(I110:I$205)-Inputs!C$3)-(MAX(I110:I$205)-I110))*0.433+K110</f>
        <v>#N/A</v>
      </c>
      <c r="K110" s="35" t="e">
        <f>14.7*B110/((C$2-C110)*'Gen Calcs'!C$29/7.48)-14.7</f>
        <v>#N/A</v>
      </c>
      <c r="L110" s="35" t="e">
        <f>(H$2-H110)*'Gen Calcs'!C$29</f>
        <v>#N/A</v>
      </c>
      <c r="M110" s="35" t="e">
        <f>(MAX(I110:I$205)-I$205)*0.433</f>
        <v>#N/A</v>
      </c>
    </row>
    <row r="111" spans="1:13" x14ac:dyDescent="0.25">
      <c r="A111" s="35">
        <v>545</v>
      </c>
      <c r="B111" s="35">
        <f>A111*'Gen Calcs'!C$36</f>
        <v>5450000</v>
      </c>
      <c r="C111" s="35" t="e">
        <f t="shared" si="5"/>
        <v>#N/A</v>
      </c>
      <c r="D111" s="35" t="e">
        <f>VLOOKUP(C111,TS!N$2:Z$177,11,TRUE)</f>
        <v>#N/A</v>
      </c>
      <c r="E111" s="35" t="e">
        <f>VLOOKUP(C111,TS!N$2:Z$177,13,TRUE)*1000</f>
        <v>#N/A</v>
      </c>
      <c r="F111" s="35" t="e">
        <f t="shared" si="3"/>
        <v>#N/A</v>
      </c>
      <c r="G111" s="35" t="e">
        <f t="shared" si="4"/>
        <v>#N/A</v>
      </c>
      <c r="H111" s="35" t="e">
        <f>IF(G111&gt;0,H110-(5*'Gen Calcs'!C$41),'Air calcs'!H110)</f>
        <v>#N/A</v>
      </c>
      <c r="I111" s="35" t="e">
        <f>VLOOKUP('Air calcs'!C111,TS!N$2:O$177,2)</f>
        <v>#N/A</v>
      </c>
      <c r="J111" s="40" t="e">
        <f>((MAX(I111:I$205)-Inputs!C$3)-(MAX(I111:I$205)-I111))*0.433+K111</f>
        <v>#N/A</v>
      </c>
      <c r="K111" s="35" t="e">
        <f>14.7*B111/((C$2-C111)*'Gen Calcs'!C$29/7.48)-14.7</f>
        <v>#N/A</v>
      </c>
      <c r="L111" s="35" t="e">
        <f>(H$2-H111)*'Gen Calcs'!C$29</f>
        <v>#N/A</v>
      </c>
      <c r="M111" s="35" t="e">
        <f>(MAX(I111:I$205)-I$205)*0.433</f>
        <v>#N/A</v>
      </c>
    </row>
    <row r="112" spans="1:13" x14ac:dyDescent="0.25">
      <c r="A112" s="35">
        <v>550</v>
      </c>
      <c r="B112" s="35">
        <f>A112*'Gen Calcs'!C$36</f>
        <v>5500000</v>
      </c>
      <c r="C112" s="35" t="e">
        <f t="shared" si="5"/>
        <v>#N/A</v>
      </c>
      <c r="D112" s="35" t="e">
        <f>VLOOKUP(C112,TS!N$2:Z$177,11,TRUE)</f>
        <v>#N/A</v>
      </c>
      <c r="E112" s="35" t="e">
        <f>VLOOKUP(C112,TS!N$2:Z$177,13,TRUE)*1000</f>
        <v>#N/A</v>
      </c>
      <c r="F112" s="35" t="e">
        <f t="shared" si="3"/>
        <v>#N/A</v>
      </c>
      <c r="G112" s="35" t="e">
        <f t="shared" si="4"/>
        <v>#N/A</v>
      </c>
      <c r="H112" s="35" t="e">
        <f>IF(G112&gt;0,H111-(5*'Gen Calcs'!C$41),'Air calcs'!H111)</f>
        <v>#N/A</v>
      </c>
      <c r="I112" s="35" t="e">
        <f>VLOOKUP('Air calcs'!C112,TS!N$2:O$177,2)</f>
        <v>#N/A</v>
      </c>
      <c r="J112" s="40" t="e">
        <f>((MAX(I112:I$205)-Inputs!C$3)-(MAX(I112:I$205)-I112))*0.433+K112</f>
        <v>#N/A</v>
      </c>
      <c r="K112" s="35" t="e">
        <f>14.7*B112/((C$2-C112)*'Gen Calcs'!C$29/7.48)-14.7</f>
        <v>#N/A</v>
      </c>
      <c r="L112" s="35" t="e">
        <f>(H$2-H112)*'Gen Calcs'!C$29</f>
        <v>#N/A</v>
      </c>
      <c r="M112" s="35" t="e">
        <f>(MAX(I112:I$205)-I$205)*0.433</f>
        <v>#N/A</v>
      </c>
    </row>
    <row r="113" spans="1:13" x14ac:dyDescent="0.25">
      <c r="A113" s="35">
        <v>555</v>
      </c>
      <c r="B113" s="35">
        <f>A113*'Gen Calcs'!C$36</f>
        <v>5550000</v>
      </c>
      <c r="C113" s="35" t="e">
        <f t="shared" si="5"/>
        <v>#N/A</v>
      </c>
      <c r="D113" s="35" t="e">
        <f>VLOOKUP(C113,TS!N$2:Z$177,11,TRUE)</f>
        <v>#N/A</v>
      </c>
      <c r="E113" s="35" t="e">
        <f>VLOOKUP(C113,TS!N$2:Z$177,13,TRUE)*1000</f>
        <v>#N/A</v>
      </c>
      <c r="F113" s="35" t="e">
        <f t="shared" si="3"/>
        <v>#N/A</v>
      </c>
      <c r="G113" s="35" t="e">
        <f t="shared" si="4"/>
        <v>#N/A</v>
      </c>
      <c r="H113" s="35" t="e">
        <f>IF(G113&gt;0,H112-(5*'Gen Calcs'!C$41),'Air calcs'!H112)</f>
        <v>#N/A</v>
      </c>
      <c r="I113" s="35" t="e">
        <f>VLOOKUP('Air calcs'!C113,TS!N$2:O$177,2)</f>
        <v>#N/A</v>
      </c>
      <c r="J113" s="40" t="e">
        <f>((MAX(I113:I$205)-Inputs!C$3)-(MAX(I113:I$205)-I113))*0.433+K113</f>
        <v>#N/A</v>
      </c>
      <c r="K113" s="35" t="e">
        <f>14.7*B113/((C$2-C113)*'Gen Calcs'!C$29/7.48)-14.7</f>
        <v>#N/A</v>
      </c>
      <c r="L113" s="35" t="e">
        <f>(H$2-H113)*'Gen Calcs'!C$29</f>
        <v>#N/A</v>
      </c>
      <c r="M113" s="35" t="e">
        <f>(MAX(I113:I$205)-I$205)*0.433</f>
        <v>#N/A</v>
      </c>
    </row>
    <row r="114" spans="1:13" x14ac:dyDescent="0.25">
      <c r="A114" s="35">
        <v>560</v>
      </c>
      <c r="B114" s="35">
        <f>A114*'Gen Calcs'!C$36</f>
        <v>5600000</v>
      </c>
      <c r="C114" s="35" t="e">
        <f t="shared" si="5"/>
        <v>#N/A</v>
      </c>
      <c r="D114" s="35" t="e">
        <f>VLOOKUP(C114,TS!N$2:Z$177,11,TRUE)</f>
        <v>#N/A</v>
      </c>
      <c r="E114" s="35" t="e">
        <f>VLOOKUP(C114,TS!N$2:Z$177,13,TRUE)*1000</f>
        <v>#N/A</v>
      </c>
      <c r="F114" s="35" t="e">
        <f t="shared" si="3"/>
        <v>#N/A</v>
      </c>
      <c r="G114" s="35" t="e">
        <f t="shared" si="4"/>
        <v>#N/A</v>
      </c>
      <c r="H114" s="35" t="e">
        <f>IF(G114&gt;0,H113-(5*'Gen Calcs'!C$41),'Air calcs'!H113)</f>
        <v>#N/A</v>
      </c>
      <c r="I114" s="35" t="e">
        <f>VLOOKUP('Air calcs'!C114,TS!N$2:O$177,2)</f>
        <v>#N/A</v>
      </c>
      <c r="J114" s="40" t="e">
        <f>((MAX(I114:I$205)-Inputs!C$3)-(MAX(I114:I$205)-I114))*0.433+K114</f>
        <v>#N/A</v>
      </c>
      <c r="K114" s="35" t="e">
        <f>14.7*B114/((C$2-C114)*'Gen Calcs'!C$29/7.48)-14.7</f>
        <v>#N/A</v>
      </c>
      <c r="L114" s="35" t="e">
        <f>(H$2-H114)*'Gen Calcs'!C$29</f>
        <v>#N/A</v>
      </c>
      <c r="M114" s="35" t="e">
        <f>(MAX(I114:I$205)-I$205)*0.433</f>
        <v>#N/A</v>
      </c>
    </row>
    <row r="115" spans="1:13" x14ac:dyDescent="0.25">
      <c r="A115" s="35">
        <v>565</v>
      </c>
      <c r="B115" s="35">
        <f>A115*'Gen Calcs'!C$36</f>
        <v>5650000</v>
      </c>
      <c r="C115" s="35" t="e">
        <f t="shared" si="5"/>
        <v>#N/A</v>
      </c>
      <c r="D115" s="35" t="e">
        <f>VLOOKUP(C115,TS!N$2:Z$177,11,TRUE)</f>
        <v>#N/A</v>
      </c>
      <c r="E115" s="35" t="e">
        <f>VLOOKUP(C115,TS!N$2:Z$177,13,TRUE)*1000</f>
        <v>#N/A</v>
      </c>
      <c r="F115" s="35" t="e">
        <f t="shared" si="3"/>
        <v>#N/A</v>
      </c>
      <c r="G115" s="35" t="e">
        <f t="shared" si="4"/>
        <v>#N/A</v>
      </c>
      <c r="H115" s="35" t="e">
        <f>IF(G115&gt;0,H114-(5*'Gen Calcs'!C$41),'Air calcs'!H114)</f>
        <v>#N/A</v>
      </c>
      <c r="I115" s="35" t="e">
        <f>VLOOKUP('Air calcs'!C115,TS!N$2:O$177,2)</f>
        <v>#N/A</v>
      </c>
      <c r="J115" s="40" t="e">
        <f>((MAX(I115:I$205)-Inputs!C$3)-(MAX(I115:I$205)-I115))*0.433+K115</f>
        <v>#N/A</v>
      </c>
      <c r="K115" s="35" t="e">
        <f>14.7*B115/((C$2-C115)*'Gen Calcs'!C$29/7.48)-14.7</f>
        <v>#N/A</v>
      </c>
      <c r="L115" s="35" t="e">
        <f>(H$2-H115)*'Gen Calcs'!C$29</f>
        <v>#N/A</v>
      </c>
      <c r="M115" s="35" t="e">
        <f>(MAX(I115:I$205)-I$205)*0.433</f>
        <v>#N/A</v>
      </c>
    </row>
    <row r="116" spans="1:13" x14ac:dyDescent="0.25">
      <c r="A116" s="35">
        <v>570</v>
      </c>
      <c r="B116" s="35">
        <f>A116*'Gen Calcs'!C$36</f>
        <v>5700000</v>
      </c>
      <c r="C116" s="35" t="e">
        <f t="shared" si="5"/>
        <v>#N/A</v>
      </c>
      <c r="D116" s="35" t="e">
        <f>VLOOKUP(C116,TS!N$2:Z$177,11,TRUE)</f>
        <v>#N/A</v>
      </c>
      <c r="E116" s="35" t="e">
        <f>VLOOKUP(C116,TS!N$2:Z$177,13,TRUE)*1000</f>
        <v>#N/A</v>
      </c>
      <c r="F116" s="35" t="e">
        <f t="shared" si="3"/>
        <v>#N/A</v>
      </c>
      <c r="G116" s="35" t="e">
        <f t="shared" si="4"/>
        <v>#N/A</v>
      </c>
      <c r="H116" s="35" t="e">
        <f>IF(G116&gt;0,H115-(5*'Gen Calcs'!C$41),'Air calcs'!H115)</f>
        <v>#N/A</v>
      </c>
      <c r="I116" s="35" t="e">
        <f>VLOOKUP('Air calcs'!C116,TS!N$2:O$177,2)</f>
        <v>#N/A</v>
      </c>
      <c r="J116" s="40" t="e">
        <f>((MAX(I116:I$205)-Inputs!C$3)-(MAX(I116:I$205)-I116))*0.433+K116</f>
        <v>#N/A</v>
      </c>
      <c r="K116" s="35" t="e">
        <f>14.7*B116/((C$2-C116)*'Gen Calcs'!C$29/7.48)-14.7</f>
        <v>#N/A</v>
      </c>
      <c r="L116" s="35" t="e">
        <f>(H$2-H116)*'Gen Calcs'!C$29</f>
        <v>#N/A</v>
      </c>
      <c r="M116" s="35" t="e">
        <f>(MAX(I116:I$205)-I$205)*0.433</f>
        <v>#N/A</v>
      </c>
    </row>
    <row r="117" spans="1:13" x14ac:dyDescent="0.25">
      <c r="A117" s="35">
        <v>575</v>
      </c>
      <c r="B117" s="35">
        <f>A117*'Gen Calcs'!C$36</f>
        <v>5750000</v>
      </c>
      <c r="C117" s="35" t="e">
        <f t="shared" si="5"/>
        <v>#N/A</v>
      </c>
      <c r="D117" s="35" t="e">
        <f>VLOOKUP(C117,TS!N$2:Z$177,11,TRUE)</f>
        <v>#N/A</v>
      </c>
      <c r="E117" s="35" t="e">
        <f>VLOOKUP(C117,TS!N$2:Z$177,13,TRUE)*1000</f>
        <v>#N/A</v>
      </c>
      <c r="F117" s="35" t="e">
        <f t="shared" si="3"/>
        <v>#N/A</v>
      </c>
      <c r="G117" s="35" t="e">
        <f t="shared" si="4"/>
        <v>#N/A</v>
      </c>
      <c r="H117" s="35" t="e">
        <f>IF(G117&gt;0,H116-(5*'Gen Calcs'!C$41),'Air calcs'!H116)</f>
        <v>#N/A</v>
      </c>
      <c r="I117" s="35" t="e">
        <f>VLOOKUP('Air calcs'!C117,TS!N$2:O$177,2)</f>
        <v>#N/A</v>
      </c>
      <c r="J117" s="40" t="e">
        <f>((MAX(I117:I$205)-Inputs!C$3)-(MAX(I117:I$205)-I117))*0.433+K117</f>
        <v>#N/A</v>
      </c>
      <c r="K117" s="35" t="e">
        <f>14.7*B117/((C$2-C117)*'Gen Calcs'!C$29/7.48)-14.7</f>
        <v>#N/A</v>
      </c>
      <c r="L117" s="35" t="e">
        <f>(H$2-H117)*'Gen Calcs'!C$29</f>
        <v>#N/A</v>
      </c>
      <c r="M117" s="35" t="e">
        <f>(MAX(I117:I$205)-I$205)*0.433</f>
        <v>#N/A</v>
      </c>
    </row>
    <row r="118" spans="1:13" x14ac:dyDescent="0.25">
      <c r="A118" s="35">
        <v>580</v>
      </c>
      <c r="B118" s="35">
        <f>A118*'Gen Calcs'!C$36</f>
        <v>5800000</v>
      </c>
      <c r="C118" s="35" t="e">
        <f t="shared" si="5"/>
        <v>#N/A</v>
      </c>
      <c r="D118" s="35" t="e">
        <f>VLOOKUP(C118,TS!N$2:Z$177,11,TRUE)</f>
        <v>#N/A</v>
      </c>
      <c r="E118" s="35" t="e">
        <f>VLOOKUP(C118,TS!N$2:Z$177,13,TRUE)*1000</f>
        <v>#N/A</v>
      </c>
      <c r="F118" s="35" t="e">
        <f t="shared" si="3"/>
        <v>#N/A</v>
      </c>
      <c r="G118" s="35" t="e">
        <f t="shared" si="4"/>
        <v>#N/A</v>
      </c>
      <c r="H118" s="35" t="e">
        <f>IF(G118&gt;0,H117-(5*'Gen Calcs'!C$41),'Air calcs'!H117)</f>
        <v>#N/A</v>
      </c>
      <c r="I118" s="35" t="e">
        <f>VLOOKUP('Air calcs'!C118,TS!N$2:O$177,2)</f>
        <v>#N/A</v>
      </c>
      <c r="J118" s="40" t="e">
        <f>((MAX(I118:I$205)-Inputs!C$3)-(MAX(I118:I$205)-I118))*0.433+K118</f>
        <v>#N/A</v>
      </c>
      <c r="K118" s="35" t="e">
        <f>14.7*B118/((C$2-C118)*'Gen Calcs'!C$29/7.48)-14.7</f>
        <v>#N/A</v>
      </c>
      <c r="L118" s="35" t="e">
        <f>(H$2-H118)*'Gen Calcs'!C$29</f>
        <v>#N/A</v>
      </c>
      <c r="M118" s="35" t="e">
        <f>(MAX(I118:I$205)-I$205)*0.433</f>
        <v>#N/A</v>
      </c>
    </row>
    <row r="119" spans="1:13" x14ac:dyDescent="0.25">
      <c r="A119" s="35">
        <v>585</v>
      </c>
      <c r="B119" s="35">
        <f>A119*'Gen Calcs'!C$36</f>
        <v>5850000</v>
      </c>
      <c r="C119" s="35" t="e">
        <f t="shared" si="5"/>
        <v>#N/A</v>
      </c>
      <c r="D119" s="35" t="e">
        <f>VLOOKUP(C119,TS!N$2:Z$177,11,TRUE)</f>
        <v>#N/A</v>
      </c>
      <c r="E119" s="35" t="e">
        <f>VLOOKUP(C119,TS!N$2:Z$177,13,TRUE)*1000</f>
        <v>#N/A</v>
      </c>
      <c r="F119" s="35" t="e">
        <f t="shared" si="3"/>
        <v>#N/A</v>
      </c>
      <c r="G119" s="35" t="e">
        <f t="shared" si="4"/>
        <v>#N/A</v>
      </c>
      <c r="H119" s="35" t="e">
        <f>IF(G119&gt;0,H118-(5*'Gen Calcs'!C$41),'Air calcs'!H118)</f>
        <v>#N/A</v>
      </c>
      <c r="I119" s="35" t="e">
        <f>VLOOKUP('Air calcs'!C119,TS!N$2:O$177,2)</f>
        <v>#N/A</v>
      </c>
      <c r="J119" s="40" t="e">
        <f>((MAX(I119:I$205)-Inputs!C$3)-(MAX(I119:I$205)-I119))*0.433+K119</f>
        <v>#N/A</v>
      </c>
      <c r="K119" s="35" t="e">
        <f>14.7*B119/((C$2-C119)*'Gen Calcs'!C$29/7.48)-14.7</f>
        <v>#N/A</v>
      </c>
      <c r="L119" s="35" t="e">
        <f>(H$2-H119)*'Gen Calcs'!C$29</f>
        <v>#N/A</v>
      </c>
      <c r="M119" s="35" t="e">
        <f>(MAX(I119:I$205)-I$205)*0.433</f>
        <v>#N/A</v>
      </c>
    </row>
    <row r="120" spans="1:13" x14ac:dyDescent="0.25">
      <c r="A120" s="35">
        <v>590</v>
      </c>
      <c r="B120" s="35">
        <f>A120*'Gen Calcs'!C$36</f>
        <v>5900000</v>
      </c>
      <c r="C120" s="35" t="e">
        <f t="shared" si="5"/>
        <v>#N/A</v>
      </c>
      <c r="D120" s="35" t="e">
        <f>VLOOKUP(C120,TS!N$2:Z$177,11,TRUE)</f>
        <v>#N/A</v>
      </c>
      <c r="E120" s="35" t="e">
        <f>VLOOKUP(C120,TS!N$2:Z$177,13,TRUE)*1000</f>
        <v>#N/A</v>
      </c>
      <c r="F120" s="35" t="e">
        <f t="shared" si="3"/>
        <v>#N/A</v>
      </c>
      <c r="G120" s="35" t="e">
        <f t="shared" si="4"/>
        <v>#N/A</v>
      </c>
      <c r="H120" s="35" t="e">
        <f>IF(G120&gt;0,H119-(5*'Gen Calcs'!C$41),'Air calcs'!H119)</f>
        <v>#N/A</v>
      </c>
      <c r="I120" s="35" t="e">
        <f>VLOOKUP('Air calcs'!C120,TS!N$2:O$177,2)</f>
        <v>#N/A</v>
      </c>
      <c r="J120" s="40" t="e">
        <f>((MAX(I120:I$205)-Inputs!C$3)-(MAX(I120:I$205)-I120))*0.433+K120</f>
        <v>#N/A</v>
      </c>
      <c r="K120" s="35" t="e">
        <f>14.7*B120/((C$2-C120)*'Gen Calcs'!C$29/7.48)-14.7</f>
        <v>#N/A</v>
      </c>
      <c r="L120" s="35" t="e">
        <f>(H$2-H120)*'Gen Calcs'!C$29</f>
        <v>#N/A</v>
      </c>
      <c r="M120" s="35" t="e">
        <f>(MAX(I120:I$205)-I$205)*0.433</f>
        <v>#N/A</v>
      </c>
    </row>
    <row r="121" spans="1:13" x14ac:dyDescent="0.25">
      <c r="A121" s="35">
        <v>595</v>
      </c>
      <c r="B121" s="35">
        <f>A121*'Gen Calcs'!C$36</f>
        <v>5950000</v>
      </c>
      <c r="C121" s="35" t="e">
        <f t="shared" si="5"/>
        <v>#N/A</v>
      </c>
      <c r="D121" s="35" t="e">
        <f>VLOOKUP(C121,TS!N$2:Z$177,11,TRUE)</f>
        <v>#N/A</v>
      </c>
      <c r="E121" s="35" t="e">
        <f>VLOOKUP(C121,TS!N$2:Z$177,13,TRUE)*1000</f>
        <v>#N/A</v>
      </c>
      <c r="F121" s="35" t="e">
        <f t="shared" si="3"/>
        <v>#N/A</v>
      </c>
      <c r="G121" s="35" t="e">
        <f t="shared" si="4"/>
        <v>#N/A</v>
      </c>
      <c r="H121" s="35" t="e">
        <f>IF(G121&gt;0,H120-(5*'Gen Calcs'!C$41),'Air calcs'!H120)</f>
        <v>#N/A</v>
      </c>
      <c r="I121" s="35" t="e">
        <f>VLOOKUP('Air calcs'!C121,TS!N$2:O$177,2)</f>
        <v>#N/A</v>
      </c>
      <c r="J121" s="40" t="e">
        <f>((MAX(I121:I$205)-Inputs!C$3)-(MAX(I121:I$205)-I121))*0.433+K121</f>
        <v>#N/A</v>
      </c>
      <c r="K121" s="35" t="e">
        <f>14.7*B121/((C$2-C121)*'Gen Calcs'!C$29/7.48)-14.7</f>
        <v>#N/A</v>
      </c>
      <c r="L121" s="35" t="e">
        <f>(H$2-H121)*'Gen Calcs'!C$29</f>
        <v>#N/A</v>
      </c>
      <c r="M121" s="35" t="e">
        <f>(MAX(I121:I$205)-I$205)*0.433</f>
        <v>#N/A</v>
      </c>
    </row>
    <row r="122" spans="1:13" x14ac:dyDescent="0.25">
      <c r="A122" s="35">
        <v>600</v>
      </c>
      <c r="B122" s="35">
        <f>A122*'Gen Calcs'!C$36</f>
        <v>6000000</v>
      </c>
      <c r="C122" s="35" t="e">
        <f t="shared" si="5"/>
        <v>#N/A</v>
      </c>
      <c r="D122" s="35" t="e">
        <f>VLOOKUP(C122,TS!N$2:Z$177,11,TRUE)</f>
        <v>#N/A</v>
      </c>
      <c r="E122" s="35" t="e">
        <f>VLOOKUP(C122,TS!N$2:Z$177,13,TRUE)*1000</f>
        <v>#N/A</v>
      </c>
      <c r="F122" s="35" t="e">
        <f t="shared" si="3"/>
        <v>#N/A</v>
      </c>
      <c r="G122" s="35" t="e">
        <f t="shared" si="4"/>
        <v>#N/A</v>
      </c>
      <c r="H122" s="35" t="e">
        <f>IF(G122&gt;0,H121-(5*'Gen Calcs'!C$41),'Air calcs'!H121)</f>
        <v>#N/A</v>
      </c>
      <c r="I122" s="35" t="e">
        <f>VLOOKUP('Air calcs'!C122,TS!N$2:O$177,2)</f>
        <v>#N/A</v>
      </c>
      <c r="J122" s="40" t="e">
        <f>((MAX(I122:I$205)-Inputs!C$3)-(MAX(I122:I$205)-I122))*0.433+K122</f>
        <v>#N/A</v>
      </c>
      <c r="K122" s="35" t="e">
        <f>14.7*B122/((C$2-C122)*'Gen Calcs'!C$29/7.48)-14.7</f>
        <v>#N/A</v>
      </c>
      <c r="L122" s="35" t="e">
        <f>(H$2-H122)*'Gen Calcs'!C$29</f>
        <v>#N/A</v>
      </c>
      <c r="M122" s="35" t="e">
        <f>(MAX(I122:I$205)-I$205)*0.433</f>
        <v>#N/A</v>
      </c>
    </row>
    <row r="123" spans="1:13" x14ac:dyDescent="0.25">
      <c r="A123" s="35">
        <v>605</v>
      </c>
      <c r="B123" s="35">
        <f>A123*'Gen Calcs'!C$36</f>
        <v>6050000</v>
      </c>
      <c r="C123" s="35" t="e">
        <f t="shared" si="5"/>
        <v>#N/A</v>
      </c>
      <c r="D123" s="35" t="e">
        <f>VLOOKUP(C123,TS!N$2:Z$177,11,TRUE)</f>
        <v>#N/A</v>
      </c>
      <c r="E123" s="35" t="e">
        <f>VLOOKUP(C123,TS!N$2:Z$177,13,TRUE)*1000</f>
        <v>#N/A</v>
      </c>
      <c r="F123" s="35" t="e">
        <f t="shared" si="3"/>
        <v>#N/A</v>
      </c>
      <c r="G123" s="35" t="e">
        <f t="shared" si="4"/>
        <v>#N/A</v>
      </c>
      <c r="H123" s="35" t="e">
        <f>IF(G123&gt;0,H122-(5*'Gen Calcs'!C$41),'Air calcs'!H122)</f>
        <v>#N/A</v>
      </c>
      <c r="I123" s="35" t="e">
        <f>VLOOKUP('Air calcs'!C123,TS!N$2:O$177,2)</f>
        <v>#N/A</v>
      </c>
      <c r="J123" s="40" t="e">
        <f>((MAX(I123:I$205)-Inputs!C$3)-(MAX(I123:I$205)-I123))*0.433+K123</f>
        <v>#N/A</v>
      </c>
      <c r="K123" s="35" t="e">
        <f>14.7*B123/((C$2-C123)*'Gen Calcs'!C$29/7.48)-14.7</f>
        <v>#N/A</v>
      </c>
      <c r="L123" s="35" t="e">
        <f>(H$2-H123)*'Gen Calcs'!C$29</f>
        <v>#N/A</v>
      </c>
      <c r="M123" s="35" t="e">
        <f>(MAX(I123:I$205)-I$205)*0.433</f>
        <v>#N/A</v>
      </c>
    </row>
    <row r="124" spans="1:13" x14ac:dyDescent="0.25">
      <c r="A124" s="35">
        <v>610</v>
      </c>
      <c r="B124" s="35">
        <f>A124*'Gen Calcs'!C$36</f>
        <v>6100000</v>
      </c>
      <c r="C124" s="35" t="e">
        <f t="shared" si="5"/>
        <v>#N/A</v>
      </c>
      <c r="D124" s="35" t="e">
        <f>VLOOKUP(C124,TS!N$2:Z$177,11,TRUE)</f>
        <v>#N/A</v>
      </c>
      <c r="E124" s="35" t="e">
        <f>VLOOKUP(C124,TS!N$2:Z$177,13,TRUE)*1000</f>
        <v>#N/A</v>
      </c>
      <c r="F124" s="35" t="e">
        <f t="shared" si="3"/>
        <v>#N/A</v>
      </c>
      <c r="G124" s="35" t="e">
        <f t="shared" si="4"/>
        <v>#N/A</v>
      </c>
      <c r="H124" s="35" t="e">
        <f>IF(G124&gt;0,H123-(5*'Gen Calcs'!C$41),'Air calcs'!H123)</f>
        <v>#N/A</v>
      </c>
      <c r="I124" s="35" t="e">
        <f>VLOOKUP('Air calcs'!C124,TS!N$2:O$177,2)</f>
        <v>#N/A</v>
      </c>
      <c r="J124" s="40" t="e">
        <f>((MAX(I124:I$205)-Inputs!C$3)-(MAX(I124:I$205)-I124))*0.433+K124</f>
        <v>#N/A</v>
      </c>
      <c r="K124" s="35" t="e">
        <f>14.7*B124/((C$2-C124)*'Gen Calcs'!C$29/7.48)-14.7</f>
        <v>#N/A</v>
      </c>
      <c r="L124" s="35" t="e">
        <f>(H$2-H124)*'Gen Calcs'!C$29</f>
        <v>#N/A</v>
      </c>
      <c r="M124" s="35" t="e">
        <f>(MAX(I124:I$205)-I$205)*0.433</f>
        <v>#N/A</v>
      </c>
    </row>
    <row r="125" spans="1:13" x14ac:dyDescent="0.25">
      <c r="A125" s="35">
        <v>615</v>
      </c>
      <c r="B125" s="35">
        <f>A125*'Gen Calcs'!C$36</f>
        <v>6150000</v>
      </c>
      <c r="C125" s="35" t="e">
        <f t="shared" si="5"/>
        <v>#N/A</v>
      </c>
      <c r="D125" s="35" t="e">
        <f>VLOOKUP(C125,TS!N$2:Z$177,11,TRUE)</f>
        <v>#N/A</v>
      </c>
      <c r="E125" s="35" t="e">
        <f>VLOOKUP(C125,TS!N$2:Z$177,13,TRUE)*1000</f>
        <v>#N/A</v>
      </c>
      <c r="F125" s="35" t="e">
        <f t="shared" si="3"/>
        <v>#N/A</v>
      </c>
      <c r="G125" s="35" t="e">
        <f t="shared" si="4"/>
        <v>#N/A</v>
      </c>
      <c r="H125" s="35" t="e">
        <f>IF(G125&gt;0,H124-(5*'Gen Calcs'!C$41),'Air calcs'!H124)</f>
        <v>#N/A</v>
      </c>
      <c r="I125" s="35" t="e">
        <f>VLOOKUP('Air calcs'!C125,TS!N$2:O$177,2)</f>
        <v>#N/A</v>
      </c>
      <c r="J125" s="40" t="e">
        <f>((MAX(I125:I$205)-Inputs!C$3)-(MAX(I125:I$205)-I125))*0.433+K125</f>
        <v>#N/A</v>
      </c>
      <c r="K125" s="35" t="e">
        <f>14.7*B125/((C$2-C125)*'Gen Calcs'!C$29/7.48)-14.7</f>
        <v>#N/A</v>
      </c>
      <c r="L125" s="35" t="e">
        <f>(H$2-H125)*'Gen Calcs'!C$29</f>
        <v>#N/A</v>
      </c>
      <c r="M125" s="35" t="e">
        <f>(MAX(I125:I$205)-I$205)*0.433</f>
        <v>#N/A</v>
      </c>
    </row>
    <row r="126" spans="1:13" x14ac:dyDescent="0.25">
      <c r="A126" s="35">
        <v>620</v>
      </c>
      <c r="B126" s="35">
        <f>A126*'Gen Calcs'!C$36</f>
        <v>6200000</v>
      </c>
      <c r="C126" s="35" t="e">
        <f t="shared" si="5"/>
        <v>#N/A</v>
      </c>
      <c r="D126" s="35" t="e">
        <f>VLOOKUP(C126,TS!N$2:Z$177,11,TRUE)</f>
        <v>#N/A</v>
      </c>
      <c r="E126" s="35" t="e">
        <f>VLOOKUP(C126,TS!N$2:Z$177,13,TRUE)*1000</f>
        <v>#N/A</v>
      </c>
      <c r="F126" s="35" t="e">
        <f t="shared" si="3"/>
        <v>#N/A</v>
      </c>
      <c r="G126" s="35" t="e">
        <f t="shared" si="4"/>
        <v>#N/A</v>
      </c>
      <c r="H126" s="35" t="e">
        <f>IF(G126&gt;0,H125-(5*'Gen Calcs'!C$41),'Air calcs'!H125)</f>
        <v>#N/A</v>
      </c>
      <c r="I126" s="35" t="e">
        <f>VLOOKUP('Air calcs'!C126,TS!N$2:O$177,2)</f>
        <v>#N/A</v>
      </c>
      <c r="J126" s="40" t="e">
        <f>((MAX(I126:I$205)-Inputs!C$3)-(MAX(I126:I$205)-I126))*0.433+K126</f>
        <v>#N/A</v>
      </c>
      <c r="K126" s="35" t="e">
        <f>14.7*B126/((C$2-C126)*'Gen Calcs'!C$29/7.48)-14.7</f>
        <v>#N/A</v>
      </c>
      <c r="L126" s="35" t="e">
        <f>(H$2-H126)*'Gen Calcs'!C$29</f>
        <v>#N/A</v>
      </c>
      <c r="M126" s="35" t="e">
        <f>(MAX(I126:I$205)-I$205)*0.433</f>
        <v>#N/A</v>
      </c>
    </row>
    <row r="127" spans="1:13" x14ac:dyDescent="0.25">
      <c r="A127" s="35">
        <v>625</v>
      </c>
      <c r="B127" s="35">
        <f>A127*'Gen Calcs'!C$36</f>
        <v>6250000</v>
      </c>
      <c r="C127" s="35" t="e">
        <f t="shared" si="5"/>
        <v>#N/A</v>
      </c>
      <c r="D127" s="35" t="e">
        <f>VLOOKUP(C127,TS!N$2:Z$177,11,TRUE)</f>
        <v>#N/A</v>
      </c>
      <c r="E127" s="35" t="e">
        <f>VLOOKUP(C127,TS!N$2:Z$177,13,TRUE)*1000</f>
        <v>#N/A</v>
      </c>
      <c r="F127" s="35" t="e">
        <f t="shared" si="3"/>
        <v>#N/A</v>
      </c>
      <c r="G127" s="35" t="e">
        <f t="shared" si="4"/>
        <v>#N/A</v>
      </c>
      <c r="H127" s="35" t="e">
        <f>IF(G127&gt;0,H126-(5*'Gen Calcs'!C$41),'Air calcs'!H126)</f>
        <v>#N/A</v>
      </c>
      <c r="I127" s="35" t="e">
        <f>VLOOKUP('Air calcs'!C127,TS!N$2:O$177,2)</f>
        <v>#N/A</v>
      </c>
      <c r="J127" s="40" t="e">
        <f>((MAX(I127:I$205)-Inputs!C$3)-(MAX(I127:I$205)-I127))*0.433+K127</f>
        <v>#N/A</v>
      </c>
      <c r="K127" s="35" t="e">
        <f>14.7*B127/((C$2-C127)*'Gen Calcs'!C$29/7.48)-14.7</f>
        <v>#N/A</v>
      </c>
      <c r="L127" s="35" t="e">
        <f>(H$2-H127)*'Gen Calcs'!C$29</f>
        <v>#N/A</v>
      </c>
      <c r="M127" s="35" t="e">
        <f>(MAX(I127:I$205)-I$205)*0.433</f>
        <v>#N/A</v>
      </c>
    </row>
    <row r="128" spans="1:13" x14ac:dyDescent="0.25">
      <c r="A128" s="35">
        <v>630</v>
      </c>
      <c r="B128" s="35">
        <f>A128*'Gen Calcs'!C$36</f>
        <v>6300000</v>
      </c>
      <c r="C128" s="35" t="e">
        <f t="shared" si="5"/>
        <v>#N/A</v>
      </c>
      <c r="D128" s="35" t="e">
        <f>VLOOKUP(C128,TS!N$2:Z$177,11,TRUE)</f>
        <v>#N/A</v>
      </c>
      <c r="E128" s="35" t="e">
        <f>VLOOKUP(C128,TS!N$2:Z$177,13,TRUE)*1000</f>
        <v>#N/A</v>
      </c>
      <c r="F128" s="35" t="e">
        <f t="shared" si="3"/>
        <v>#N/A</v>
      </c>
      <c r="G128" s="35" t="e">
        <f t="shared" si="4"/>
        <v>#N/A</v>
      </c>
      <c r="H128" s="35" t="e">
        <f>IF(G128&gt;0,H127-(5*'Gen Calcs'!C$41),'Air calcs'!H127)</f>
        <v>#N/A</v>
      </c>
      <c r="I128" s="35" t="e">
        <f>VLOOKUP('Air calcs'!C128,TS!N$2:O$177,2)</f>
        <v>#N/A</v>
      </c>
      <c r="J128" s="40" t="e">
        <f>((MAX(I128:I$205)-Inputs!C$3)-(MAX(I128:I$205)-I128))*0.433+K128</f>
        <v>#N/A</v>
      </c>
      <c r="K128" s="35" t="e">
        <f>14.7*B128/((C$2-C128)*'Gen Calcs'!C$29/7.48)-14.7</f>
        <v>#N/A</v>
      </c>
      <c r="L128" s="35" t="e">
        <f>(H$2-H128)*'Gen Calcs'!C$29</f>
        <v>#N/A</v>
      </c>
      <c r="M128" s="35" t="e">
        <f>(MAX(I128:I$205)-I$205)*0.433</f>
        <v>#N/A</v>
      </c>
    </row>
    <row r="129" spans="1:13" x14ac:dyDescent="0.25">
      <c r="A129" s="35">
        <v>635</v>
      </c>
      <c r="B129" s="35">
        <f>A129*'Gen Calcs'!C$36</f>
        <v>6350000</v>
      </c>
      <c r="C129" s="35" t="e">
        <f t="shared" si="5"/>
        <v>#N/A</v>
      </c>
      <c r="D129" s="35" t="e">
        <f>VLOOKUP(C129,TS!N$2:Z$177,11,TRUE)</f>
        <v>#N/A</v>
      </c>
      <c r="E129" s="35" t="e">
        <f>VLOOKUP(C129,TS!N$2:Z$177,13,TRUE)*1000</f>
        <v>#N/A</v>
      </c>
      <c r="F129" s="35" t="e">
        <f t="shared" si="3"/>
        <v>#N/A</v>
      </c>
      <c r="G129" s="35" t="e">
        <f t="shared" si="4"/>
        <v>#N/A</v>
      </c>
      <c r="H129" s="35" t="e">
        <f>IF(G129&gt;0,H128-(5*'Gen Calcs'!C$41),'Air calcs'!H128)</f>
        <v>#N/A</v>
      </c>
      <c r="I129" s="35" t="e">
        <f>VLOOKUP('Air calcs'!C129,TS!N$2:O$177,2)</f>
        <v>#N/A</v>
      </c>
      <c r="J129" s="40" t="e">
        <f>((MAX(I129:I$205)-Inputs!C$3)-(MAX(I129:I$205)-I129))*0.433+K129</f>
        <v>#N/A</v>
      </c>
      <c r="K129" s="35" t="e">
        <f>14.7*B129/((C$2-C129)*'Gen Calcs'!C$29/7.48)-14.7</f>
        <v>#N/A</v>
      </c>
      <c r="L129" s="35" t="e">
        <f>(H$2-H129)*'Gen Calcs'!C$29</f>
        <v>#N/A</v>
      </c>
      <c r="M129" s="35" t="e">
        <f>(MAX(I129:I$205)-I$205)*0.433</f>
        <v>#N/A</v>
      </c>
    </row>
    <row r="130" spans="1:13" x14ac:dyDescent="0.25">
      <c r="A130" s="35">
        <v>640</v>
      </c>
      <c r="B130" s="35">
        <f>A130*'Gen Calcs'!C$36</f>
        <v>6400000</v>
      </c>
      <c r="C130" s="35" t="e">
        <f t="shared" si="5"/>
        <v>#N/A</v>
      </c>
      <c r="D130" s="35" t="e">
        <f>VLOOKUP(C130,TS!N$2:Z$177,11,TRUE)</f>
        <v>#N/A</v>
      </c>
      <c r="E130" s="35" t="e">
        <f>VLOOKUP(C130,TS!N$2:Z$177,13,TRUE)*1000</f>
        <v>#N/A</v>
      </c>
      <c r="F130" s="35" t="e">
        <f t="shared" si="3"/>
        <v>#N/A</v>
      </c>
      <c r="G130" s="35" t="e">
        <f t="shared" si="4"/>
        <v>#N/A</v>
      </c>
      <c r="H130" s="35" t="e">
        <f>IF(G130&gt;0,H129-(5*'Gen Calcs'!C$41),'Air calcs'!H129)</f>
        <v>#N/A</v>
      </c>
      <c r="I130" s="35" t="e">
        <f>VLOOKUP('Air calcs'!C130,TS!N$2:O$177,2)</f>
        <v>#N/A</v>
      </c>
      <c r="J130" s="40" t="e">
        <f>((MAX(I130:I$205)-Inputs!C$3)-(MAX(I130:I$205)-I130))*0.433+K130</f>
        <v>#N/A</v>
      </c>
      <c r="K130" s="35" t="e">
        <f>14.7*B130/((C$2-C130)*'Gen Calcs'!C$29/7.48)-14.7</f>
        <v>#N/A</v>
      </c>
      <c r="L130" s="35" t="e">
        <f>(H$2-H130)*'Gen Calcs'!C$29</f>
        <v>#N/A</v>
      </c>
      <c r="M130" s="35" t="e">
        <f>(MAX(I130:I$205)-I$205)*0.433</f>
        <v>#N/A</v>
      </c>
    </row>
    <row r="131" spans="1:13" x14ac:dyDescent="0.25">
      <c r="A131" s="35">
        <v>645</v>
      </c>
      <c r="B131" s="35">
        <f>A131*'Gen Calcs'!C$36</f>
        <v>6450000</v>
      </c>
      <c r="C131" s="35" t="e">
        <f t="shared" si="5"/>
        <v>#N/A</v>
      </c>
      <c r="D131" s="35" t="e">
        <f>VLOOKUP(C131,TS!N$2:Z$177,11,TRUE)</f>
        <v>#N/A</v>
      </c>
      <c r="E131" s="35" t="e">
        <f>VLOOKUP(C131,TS!N$2:Z$177,13,TRUE)*1000</f>
        <v>#N/A</v>
      </c>
      <c r="F131" s="35" t="e">
        <f t="shared" ref="F131:F194" si="6">IF(B131&gt;D131,1,0)</f>
        <v>#N/A</v>
      </c>
      <c r="G131" s="35" t="e">
        <f t="shared" ref="G131:G194" si="7">IF(B131&gt;E131,1,0)</f>
        <v>#N/A</v>
      </c>
      <c r="H131" s="35" t="e">
        <f>IF(G131&gt;0,H130-(5*'Gen Calcs'!C$41),'Air calcs'!H130)</f>
        <v>#N/A</v>
      </c>
      <c r="I131" s="35" t="e">
        <f>VLOOKUP('Air calcs'!C131,TS!N$2:O$177,2)</f>
        <v>#N/A</v>
      </c>
      <c r="J131" s="40" t="e">
        <f>((MAX(I131:I$205)-Inputs!C$3)-(MAX(I131:I$205)-I131))*0.433+K131</f>
        <v>#N/A</v>
      </c>
      <c r="K131" s="35" t="e">
        <f>14.7*B131/((C$2-C131)*'Gen Calcs'!C$29/7.48)-14.7</f>
        <v>#N/A</v>
      </c>
      <c r="L131" s="35" t="e">
        <f>(H$2-H131)*'Gen Calcs'!C$29</f>
        <v>#N/A</v>
      </c>
      <c r="M131" s="35" t="e">
        <f>(MAX(I131:I$205)-I$205)*0.433</f>
        <v>#N/A</v>
      </c>
    </row>
    <row r="132" spans="1:13" x14ac:dyDescent="0.25">
      <c r="A132" s="35">
        <v>650</v>
      </c>
      <c r="B132" s="35">
        <f>A132*'Gen Calcs'!C$36</f>
        <v>6500000</v>
      </c>
      <c r="C132" s="35" t="e">
        <f t="shared" si="5"/>
        <v>#N/A</v>
      </c>
      <c r="D132" s="35" t="e">
        <f>VLOOKUP(C132,TS!N$2:Z$177,11,TRUE)</f>
        <v>#N/A</v>
      </c>
      <c r="E132" s="35" t="e">
        <f>VLOOKUP(C132,TS!N$2:Z$177,13,TRUE)*1000</f>
        <v>#N/A</v>
      </c>
      <c r="F132" s="35" t="e">
        <f t="shared" si="6"/>
        <v>#N/A</v>
      </c>
      <c r="G132" s="35" t="e">
        <f t="shared" si="7"/>
        <v>#N/A</v>
      </c>
      <c r="H132" s="35" t="e">
        <f>IF(G132&gt;0,H131-(5*'Gen Calcs'!C$41),'Air calcs'!H131)</f>
        <v>#N/A</v>
      </c>
      <c r="I132" s="35" t="e">
        <f>VLOOKUP('Air calcs'!C132,TS!N$2:O$177,2)</f>
        <v>#N/A</v>
      </c>
      <c r="J132" s="40" t="e">
        <f>((MAX(I132:I$205)-Inputs!C$3)-(MAX(I132:I$205)-I132))*0.433+K132</f>
        <v>#N/A</v>
      </c>
      <c r="K132" s="35" t="e">
        <f>14.7*B132/((C$2-C132)*'Gen Calcs'!C$29/7.48)-14.7</f>
        <v>#N/A</v>
      </c>
      <c r="L132" s="35" t="e">
        <f>(H$2-H132)*'Gen Calcs'!C$29</f>
        <v>#N/A</v>
      </c>
      <c r="M132" s="35" t="e">
        <f>(MAX(I132:I$205)-I$205)*0.433</f>
        <v>#N/A</v>
      </c>
    </row>
    <row r="133" spans="1:13" x14ac:dyDescent="0.25">
      <c r="A133" s="35">
        <v>655</v>
      </c>
      <c r="B133" s="35">
        <f>A133*'Gen Calcs'!C$36</f>
        <v>6550000</v>
      </c>
      <c r="C133" s="35" t="e">
        <f t="shared" ref="C133:C196" si="8">H132</f>
        <v>#N/A</v>
      </c>
      <c r="D133" s="35" t="e">
        <f>VLOOKUP(C133,TS!N$2:Z$177,11,TRUE)</f>
        <v>#N/A</v>
      </c>
      <c r="E133" s="35" t="e">
        <f>VLOOKUP(C133,TS!N$2:Z$177,13,TRUE)*1000</f>
        <v>#N/A</v>
      </c>
      <c r="F133" s="35" t="e">
        <f t="shared" si="6"/>
        <v>#N/A</v>
      </c>
      <c r="G133" s="35" t="e">
        <f t="shared" si="7"/>
        <v>#N/A</v>
      </c>
      <c r="H133" s="35" t="e">
        <f>IF(G133&gt;0,H132-(5*'Gen Calcs'!C$41),'Air calcs'!H132)</f>
        <v>#N/A</v>
      </c>
      <c r="I133" s="35" t="e">
        <f>VLOOKUP('Air calcs'!C133,TS!N$2:O$177,2)</f>
        <v>#N/A</v>
      </c>
      <c r="J133" s="40" t="e">
        <f>((MAX(I133:I$205)-Inputs!C$3)-(MAX(I133:I$205)-I133))*0.433+K133</f>
        <v>#N/A</v>
      </c>
      <c r="K133" s="35" t="e">
        <f>14.7*B133/((C$2-C133)*'Gen Calcs'!C$29/7.48)-14.7</f>
        <v>#N/A</v>
      </c>
      <c r="L133" s="35" t="e">
        <f>(H$2-H133)*'Gen Calcs'!C$29</f>
        <v>#N/A</v>
      </c>
      <c r="M133" s="35" t="e">
        <f>(MAX(I133:I$205)-I$205)*0.433</f>
        <v>#N/A</v>
      </c>
    </row>
    <row r="134" spans="1:13" x14ac:dyDescent="0.25">
      <c r="A134" s="35">
        <v>660</v>
      </c>
      <c r="B134" s="35">
        <f>A134*'Gen Calcs'!C$36</f>
        <v>6600000</v>
      </c>
      <c r="C134" s="35" t="e">
        <f t="shared" si="8"/>
        <v>#N/A</v>
      </c>
      <c r="D134" s="35" t="e">
        <f>VLOOKUP(C134,TS!N$2:Z$177,11,TRUE)</f>
        <v>#N/A</v>
      </c>
      <c r="E134" s="35" t="e">
        <f>VLOOKUP(C134,TS!N$2:Z$177,13,TRUE)*1000</f>
        <v>#N/A</v>
      </c>
      <c r="F134" s="35" t="e">
        <f t="shared" si="6"/>
        <v>#N/A</v>
      </c>
      <c r="G134" s="35" t="e">
        <f t="shared" si="7"/>
        <v>#N/A</v>
      </c>
      <c r="H134" s="35" t="e">
        <f>IF(G134&gt;0,H133-(5*'Gen Calcs'!C$41),'Air calcs'!H133)</f>
        <v>#N/A</v>
      </c>
      <c r="I134" s="35" t="e">
        <f>VLOOKUP('Air calcs'!C134,TS!N$2:O$177,2)</f>
        <v>#N/A</v>
      </c>
      <c r="J134" s="40" t="e">
        <f>((MAX(I134:I$205)-Inputs!C$3)-(MAX(I134:I$205)-I134))*0.433+K134</f>
        <v>#N/A</v>
      </c>
      <c r="K134" s="35" t="e">
        <f>14.7*B134/((C$2-C134)*'Gen Calcs'!C$29/7.48)-14.7</f>
        <v>#N/A</v>
      </c>
      <c r="L134" s="35" t="e">
        <f>(H$2-H134)*'Gen Calcs'!C$29</f>
        <v>#N/A</v>
      </c>
      <c r="M134" s="35" t="e">
        <f>(MAX(I134:I$205)-I$205)*0.433</f>
        <v>#N/A</v>
      </c>
    </row>
    <row r="135" spans="1:13" x14ac:dyDescent="0.25">
      <c r="A135" s="35">
        <v>665</v>
      </c>
      <c r="B135" s="35">
        <f>A135*'Gen Calcs'!C$36</f>
        <v>6650000</v>
      </c>
      <c r="C135" s="35" t="e">
        <f t="shared" si="8"/>
        <v>#N/A</v>
      </c>
      <c r="D135" s="35" t="e">
        <f>VLOOKUP(C135,TS!N$2:Z$177,11,TRUE)</f>
        <v>#N/A</v>
      </c>
      <c r="E135" s="35" t="e">
        <f>VLOOKUP(C135,TS!N$2:Z$177,13,TRUE)*1000</f>
        <v>#N/A</v>
      </c>
      <c r="F135" s="35" t="e">
        <f t="shared" si="6"/>
        <v>#N/A</v>
      </c>
      <c r="G135" s="35" t="e">
        <f t="shared" si="7"/>
        <v>#N/A</v>
      </c>
      <c r="H135" s="35" t="e">
        <f>IF(G135&gt;0,H134-(5*'Gen Calcs'!C$41),'Air calcs'!H134)</f>
        <v>#N/A</v>
      </c>
      <c r="I135" s="35" t="e">
        <f>VLOOKUP('Air calcs'!C135,TS!N$2:O$177,2)</f>
        <v>#N/A</v>
      </c>
      <c r="J135" s="40" t="e">
        <f>((MAX(I135:I$205)-Inputs!C$3)-(MAX(I135:I$205)-I135))*0.433+K135</f>
        <v>#N/A</v>
      </c>
      <c r="K135" s="35" t="e">
        <f>14.7*B135/((C$2-C135)*'Gen Calcs'!C$29/7.48)-14.7</f>
        <v>#N/A</v>
      </c>
      <c r="L135" s="35" t="e">
        <f>(H$2-H135)*'Gen Calcs'!C$29</f>
        <v>#N/A</v>
      </c>
      <c r="M135" s="35" t="e">
        <f>(MAX(I135:I$205)-I$205)*0.433</f>
        <v>#N/A</v>
      </c>
    </row>
    <row r="136" spans="1:13" x14ac:dyDescent="0.25">
      <c r="A136" s="35">
        <v>670</v>
      </c>
      <c r="B136" s="35">
        <f>A136*'Gen Calcs'!C$36</f>
        <v>6700000</v>
      </c>
      <c r="C136" s="35" t="e">
        <f t="shared" si="8"/>
        <v>#N/A</v>
      </c>
      <c r="D136" s="35" t="e">
        <f>VLOOKUP(C136,TS!N$2:Z$177,11,TRUE)</f>
        <v>#N/A</v>
      </c>
      <c r="E136" s="35" t="e">
        <f>VLOOKUP(C136,TS!N$2:Z$177,13,TRUE)*1000</f>
        <v>#N/A</v>
      </c>
      <c r="F136" s="35" t="e">
        <f t="shared" si="6"/>
        <v>#N/A</v>
      </c>
      <c r="G136" s="35" t="e">
        <f t="shared" si="7"/>
        <v>#N/A</v>
      </c>
      <c r="H136" s="35" t="e">
        <f>IF(G136&gt;0,H135-(5*'Gen Calcs'!C$41),'Air calcs'!H135)</f>
        <v>#N/A</v>
      </c>
      <c r="I136" s="35" t="e">
        <f>VLOOKUP('Air calcs'!C136,TS!N$2:O$177,2)</f>
        <v>#N/A</v>
      </c>
      <c r="J136" s="40" t="e">
        <f>((MAX(I136:I$205)-Inputs!C$3)-(MAX(I136:I$205)-I136))*0.433+K136</f>
        <v>#N/A</v>
      </c>
      <c r="K136" s="35" t="e">
        <f>14.7*B136/((C$2-C136)*'Gen Calcs'!C$29/7.48)-14.7</f>
        <v>#N/A</v>
      </c>
      <c r="L136" s="35" t="e">
        <f>(H$2-H136)*'Gen Calcs'!C$29</f>
        <v>#N/A</v>
      </c>
      <c r="M136" s="35" t="e">
        <f>(MAX(I136:I$205)-I$205)*0.433</f>
        <v>#N/A</v>
      </c>
    </row>
    <row r="137" spans="1:13" x14ac:dyDescent="0.25">
      <c r="A137" s="35">
        <v>675</v>
      </c>
      <c r="B137" s="35">
        <f>A137*'Gen Calcs'!C$36</f>
        <v>6750000</v>
      </c>
      <c r="C137" s="35" t="e">
        <f t="shared" si="8"/>
        <v>#N/A</v>
      </c>
      <c r="D137" s="35" t="e">
        <f>VLOOKUP(C137,TS!N$2:Z$177,11,TRUE)</f>
        <v>#N/A</v>
      </c>
      <c r="E137" s="35" t="e">
        <f>VLOOKUP(C137,TS!N$2:Z$177,13,TRUE)*1000</f>
        <v>#N/A</v>
      </c>
      <c r="F137" s="35" t="e">
        <f t="shared" si="6"/>
        <v>#N/A</v>
      </c>
      <c r="G137" s="35" t="e">
        <f t="shared" si="7"/>
        <v>#N/A</v>
      </c>
      <c r="H137" s="35" t="e">
        <f>IF(G137&gt;0,H136-(5*'Gen Calcs'!C$41),'Air calcs'!H136)</f>
        <v>#N/A</v>
      </c>
      <c r="I137" s="35" t="e">
        <f>VLOOKUP('Air calcs'!C137,TS!N$2:O$177,2)</f>
        <v>#N/A</v>
      </c>
      <c r="J137" s="40" t="e">
        <f>((MAX(I137:I$205)-Inputs!C$3)-(MAX(I137:I$205)-I137))*0.433+K137</f>
        <v>#N/A</v>
      </c>
      <c r="K137" s="35" t="e">
        <f>14.7*B137/((C$2-C137)*'Gen Calcs'!C$29/7.48)-14.7</f>
        <v>#N/A</v>
      </c>
      <c r="L137" s="35" t="e">
        <f>(H$2-H137)*'Gen Calcs'!C$29</f>
        <v>#N/A</v>
      </c>
      <c r="M137" s="35" t="e">
        <f>(MAX(I137:I$205)-I$205)*0.433</f>
        <v>#N/A</v>
      </c>
    </row>
    <row r="138" spans="1:13" x14ac:dyDescent="0.25">
      <c r="A138" s="35">
        <v>680</v>
      </c>
      <c r="B138" s="35">
        <f>A138*'Gen Calcs'!C$36</f>
        <v>6800000</v>
      </c>
      <c r="C138" s="35" t="e">
        <f t="shared" si="8"/>
        <v>#N/A</v>
      </c>
      <c r="D138" s="35" t="e">
        <f>VLOOKUP(C138,TS!N$2:Z$177,11,TRUE)</f>
        <v>#N/A</v>
      </c>
      <c r="E138" s="35" t="e">
        <f>VLOOKUP(C138,TS!N$2:Z$177,13,TRUE)*1000</f>
        <v>#N/A</v>
      </c>
      <c r="F138" s="35" t="e">
        <f t="shared" si="6"/>
        <v>#N/A</v>
      </c>
      <c r="G138" s="35" t="e">
        <f t="shared" si="7"/>
        <v>#N/A</v>
      </c>
      <c r="H138" s="35" t="e">
        <f>IF(G138&gt;0,H137-(5*'Gen Calcs'!C$41),'Air calcs'!H137)</f>
        <v>#N/A</v>
      </c>
      <c r="I138" s="35" t="e">
        <f>VLOOKUP('Air calcs'!C138,TS!N$2:O$177,2)</f>
        <v>#N/A</v>
      </c>
      <c r="J138" s="40" t="e">
        <f>((MAX(I138:I$205)-Inputs!C$3)-(MAX(I138:I$205)-I138))*0.433+K138</f>
        <v>#N/A</v>
      </c>
      <c r="K138" s="35" t="e">
        <f>14.7*B138/((C$2-C138)*'Gen Calcs'!C$29/7.48)-14.7</f>
        <v>#N/A</v>
      </c>
      <c r="L138" s="35" t="e">
        <f>(H$2-H138)*'Gen Calcs'!C$29</f>
        <v>#N/A</v>
      </c>
      <c r="M138" s="35" t="e">
        <f>(MAX(I138:I$205)-I$205)*0.433</f>
        <v>#N/A</v>
      </c>
    </row>
    <row r="139" spans="1:13" x14ac:dyDescent="0.25">
      <c r="A139" s="35">
        <v>685</v>
      </c>
      <c r="B139" s="35">
        <f>A139*'Gen Calcs'!C$36</f>
        <v>6850000</v>
      </c>
      <c r="C139" s="35" t="e">
        <f t="shared" si="8"/>
        <v>#N/A</v>
      </c>
      <c r="D139" s="35" t="e">
        <f>VLOOKUP(C139,TS!N$2:Z$177,11,TRUE)</f>
        <v>#N/A</v>
      </c>
      <c r="E139" s="35" t="e">
        <f>VLOOKUP(C139,TS!N$2:Z$177,13,TRUE)*1000</f>
        <v>#N/A</v>
      </c>
      <c r="F139" s="35" t="e">
        <f t="shared" si="6"/>
        <v>#N/A</v>
      </c>
      <c r="G139" s="35" t="e">
        <f t="shared" si="7"/>
        <v>#N/A</v>
      </c>
      <c r="H139" s="35" t="e">
        <f>IF(G139&gt;0,H138-(5*'Gen Calcs'!C$41),'Air calcs'!H138)</f>
        <v>#N/A</v>
      </c>
      <c r="I139" s="35" t="e">
        <f>VLOOKUP('Air calcs'!C139,TS!N$2:O$177,2)</f>
        <v>#N/A</v>
      </c>
      <c r="J139" s="40" t="e">
        <f>((MAX(I139:I$205)-Inputs!C$3)-(MAX(I139:I$205)-I139))*0.433+K139</f>
        <v>#N/A</v>
      </c>
      <c r="K139" s="35" t="e">
        <f>14.7*B139/((C$2-C139)*'Gen Calcs'!C$29/7.48)-14.7</f>
        <v>#N/A</v>
      </c>
      <c r="L139" s="35" t="e">
        <f>(H$2-H139)*'Gen Calcs'!C$29</f>
        <v>#N/A</v>
      </c>
      <c r="M139" s="35" t="e">
        <f>(MAX(I139:I$205)-I$205)*0.433</f>
        <v>#N/A</v>
      </c>
    </row>
    <row r="140" spans="1:13" x14ac:dyDescent="0.25">
      <c r="A140" s="35">
        <v>690</v>
      </c>
      <c r="B140" s="35">
        <f>A140*'Gen Calcs'!C$36</f>
        <v>6900000</v>
      </c>
      <c r="C140" s="35" t="e">
        <f t="shared" si="8"/>
        <v>#N/A</v>
      </c>
      <c r="D140" s="35" t="e">
        <f>VLOOKUP(C140,TS!N$2:Z$177,11,TRUE)</f>
        <v>#N/A</v>
      </c>
      <c r="E140" s="35" t="e">
        <f>VLOOKUP(C140,TS!N$2:Z$177,13,TRUE)*1000</f>
        <v>#N/A</v>
      </c>
      <c r="F140" s="35" t="e">
        <f t="shared" si="6"/>
        <v>#N/A</v>
      </c>
      <c r="G140" s="35" t="e">
        <f t="shared" si="7"/>
        <v>#N/A</v>
      </c>
      <c r="H140" s="35" t="e">
        <f>IF(G140&gt;0,H139-(5*'Gen Calcs'!C$41),'Air calcs'!H139)</f>
        <v>#N/A</v>
      </c>
      <c r="I140" s="35" t="e">
        <f>VLOOKUP('Air calcs'!C140,TS!N$2:O$177,2)</f>
        <v>#N/A</v>
      </c>
      <c r="J140" s="40" t="e">
        <f>((MAX(I140:I$205)-Inputs!C$3)-(MAX(I140:I$205)-I140))*0.433+K140</f>
        <v>#N/A</v>
      </c>
      <c r="K140" s="35" t="e">
        <f>14.7*B140/((C$2-C140)*'Gen Calcs'!C$29/7.48)-14.7</f>
        <v>#N/A</v>
      </c>
      <c r="L140" s="35" t="e">
        <f>(H$2-H140)*'Gen Calcs'!C$29</f>
        <v>#N/A</v>
      </c>
      <c r="M140" s="35" t="e">
        <f>(MAX(I140:I$205)-I$205)*0.433</f>
        <v>#N/A</v>
      </c>
    </row>
    <row r="141" spans="1:13" x14ac:dyDescent="0.25">
      <c r="A141" s="35">
        <v>695</v>
      </c>
      <c r="B141" s="35">
        <f>A141*'Gen Calcs'!C$36</f>
        <v>6950000</v>
      </c>
      <c r="C141" s="35" t="e">
        <f t="shared" si="8"/>
        <v>#N/A</v>
      </c>
      <c r="D141" s="35" t="e">
        <f>VLOOKUP(C141,TS!N$2:Z$177,11,TRUE)</f>
        <v>#N/A</v>
      </c>
      <c r="E141" s="35" t="e">
        <f>VLOOKUP(C141,TS!N$2:Z$177,13,TRUE)*1000</f>
        <v>#N/A</v>
      </c>
      <c r="F141" s="35" t="e">
        <f t="shared" si="6"/>
        <v>#N/A</v>
      </c>
      <c r="G141" s="35" t="e">
        <f t="shared" si="7"/>
        <v>#N/A</v>
      </c>
      <c r="H141" s="35" t="e">
        <f>IF(G141&gt;0,H140-(5*'Gen Calcs'!C$41),'Air calcs'!H140)</f>
        <v>#N/A</v>
      </c>
      <c r="I141" s="35" t="e">
        <f>VLOOKUP('Air calcs'!C141,TS!N$2:O$177,2)</f>
        <v>#N/A</v>
      </c>
      <c r="J141" s="40" t="e">
        <f>((MAX(I141:I$205)-Inputs!C$3)-(MAX(I141:I$205)-I141))*0.433+K141</f>
        <v>#N/A</v>
      </c>
      <c r="K141" s="35" t="e">
        <f>14.7*B141/((C$2-C141)*'Gen Calcs'!C$29/7.48)-14.7</f>
        <v>#N/A</v>
      </c>
      <c r="L141" s="35" t="e">
        <f>(H$2-H141)*'Gen Calcs'!C$29</f>
        <v>#N/A</v>
      </c>
      <c r="M141" s="35" t="e">
        <f>(MAX(I141:I$205)-I$205)*0.433</f>
        <v>#N/A</v>
      </c>
    </row>
    <row r="142" spans="1:13" x14ac:dyDescent="0.25">
      <c r="A142" s="35">
        <v>700</v>
      </c>
      <c r="B142" s="35">
        <f>A142*'Gen Calcs'!C$36</f>
        <v>7000000</v>
      </c>
      <c r="C142" s="35" t="e">
        <f t="shared" si="8"/>
        <v>#N/A</v>
      </c>
      <c r="D142" s="35" t="e">
        <f>VLOOKUP(C142,TS!N$2:Z$177,11,TRUE)</f>
        <v>#N/A</v>
      </c>
      <c r="E142" s="35" t="e">
        <f>VLOOKUP(C142,TS!N$2:Z$177,13,TRUE)*1000</f>
        <v>#N/A</v>
      </c>
      <c r="F142" s="35" t="e">
        <f t="shared" si="6"/>
        <v>#N/A</v>
      </c>
      <c r="G142" s="35" t="e">
        <f t="shared" si="7"/>
        <v>#N/A</v>
      </c>
      <c r="H142" s="35" t="e">
        <f>IF(G142&gt;0,H141-(5*'Gen Calcs'!C$41),'Air calcs'!H141)</f>
        <v>#N/A</v>
      </c>
      <c r="I142" s="35" t="e">
        <f>VLOOKUP('Air calcs'!C142,TS!N$2:O$177,2)</f>
        <v>#N/A</v>
      </c>
      <c r="J142" s="40" t="e">
        <f>((MAX(I142:I$205)-Inputs!C$3)-(MAX(I142:I$205)-I142))*0.433+K142</f>
        <v>#N/A</v>
      </c>
      <c r="K142" s="35" t="e">
        <f>14.7*B142/((C$2-C142)*'Gen Calcs'!C$29/7.48)-14.7</f>
        <v>#N/A</v>
      </c>
      <c r="L142" s="35" t="e">
        <f>(H$2-H142)*'Gen Calcs'!C$29</f>
        <v>#N/A</v>
      </c>
      <c r="M142" s="35" t="e">
        <f>(MAX(I142:I$205)-I$205)*0.433</f>
        <v>#N/A</v>
      </c>
    </row>
    <row r="143" spans="1:13" x14ac:dyDescent="0.25">
      <c r="A143" s="35">
        <v>705</v>
      </c>
      <c r="B143" s="35">
        <f>A143*'Gen Calcs'!C$36</f>
        <v>7050000</v>
      </c>
      <c r="C143" s="35" t="e">
        <f t="shared" si="8"/>
        <v>#N/A</v>
      </c>
      <c r="D143" s="35" t="e">
        <f>VLOOKUP(C143,TS!N$2:Z$177,11,TRUE)</f>
        <v>#N/A</v>
      </c>
      <c r="E143" s="35" t="e">
        <f>VLOOKUP(C143,TS!N$2:Z$177,13,TRUE)*1000</f>
        <v>#N/A</v>
      </c>
      <c r="F143" s="35" t="e">
        <f t="shared" si="6"/>
        <v>#N/A</v>
      </c>
      <c r="G143" s="35" t="e">
        <f t="shared" si="7"/>
        <v>#N/A</v>
      </c>
      <c r="H143" s="35" t="e">
        <f>IF(G143&gt;0,H142-(5*'Gen Calcs'!C$41),'Air calcs'!H142)</f>
        <v>#N/A</v>
      </c>
      <c r="I143" s="35" t="e">
        <f>VLOOKUP('Air calcs'!C143,TS!N$2:O$177,2)</f>
        <v>#N/A</v>
      </c>
      <c r="J143" s="40" t="e">
        <f>((MAX(I143:I$205)-Inputs!C$3)-(MAX(I143:I$205)-I143))*0.433+K143</f>
        <v>#N/A</v>
      </c>
      <c r="K143" s="35" t="e">
        <f>14.7*B143/((C$2-C143)*'Gen Calcs'!C$29/7.48)-14.7</f>
        <v>#N/A</v>
      </c>
      <c r="L143" s="35" t="e">
        <f>(H$2-H143)*'Gen Calcs'!C$29</f>
        <v>#N/A</v>
      </c>
      <c r="M143" s="35" t="e">
        <f>(MAX(I143:I$205)-I$205)*0.433</f>
        <v>#N/A</v>
      </c>
    </row>
    <row r="144" spans="1:13" x14ac:dyDescent="0.25">
      <c r="A144" s="35">
        <v>710</v>
      </c>
      <c r="B144" s="35">
        <f>A144*'Gen Calcs'!C$36</f>
        <v>7100000</v>
      </c>
      <c r="C144" s="35" t="e">
        <f t="shared" si="8"/>
        <v>#N/A</v>
      </c>
      <c r="D144" s="35" t="e">
        <f>VLOOKUP(C144,TS!N$2:Z$177,11,TRUE)</f>
        <v>#N/A</v>
      </c>
      <c r="E144" s="35" t="e">
        <f>VLOOKUP(C144,TS!N$2:Z$177,13,TRUE)*1000</f>
        <v>#N/A</v>
      </c>
      <c r="F144" s="35" t="e">
        <f t="shared" si="6"/>
        <v>#N/A</v>
      </c>
      <c r="G144" s="35" t="e">
        <f t="shared" si="7"/>
        <v>#N/A</v>
      </c>
      <c r="H144" s="35" t="e">
        <f>IF(G144&gt;0,H143-(5*'Gen Calcs'!C$41),'Air calcs'!H143)</f>
        <v>#N/A</v>
      </c>
      <c r="I144" s="35" t="e">
        <f>VLOOKUP('Air calcs'!C144,TS!N$2:O$177,2)</f>
        <v>#N/A</v>
      </c>
      <c r="J144" s="40" t="e">
        <f>((MAX(I144:I$205)-Inputs!C$3)-(MAX(I144:I$205)-I144))*0.433+K144</f>
        <v>#N/A</v>
      </c>
      <c r="K144" s="35" t="e">
        <f>14.7*B144/((C$2-C144)*'Gen Calcs'!C$29/7.48)-14.7</f>
        <v>#N/A</v>
      </c>
      <c r="L144" s="35" t="e">
        <f>(H$2-H144)*'Gen Calcs'!C$29</f>
        <v>#N/A</v>
      </c>
      <c r="M144" s="35" t="e">
        <f>(MAX(I144:I$205)-I$205)*0.433</f>
        <v>#N/A</v>
      </c>
    </row>
    <row r="145" spans="1:13" x14ac:dyDescent="0.25">
      <c r="A145" s="35">
        <v>715</v>
      </c>
      <c r="B145" s="35">
        <f>A145*'Gen Calcs'!C$36</f>
        <v>7150000</v>
      </c>
      <c r="C145" s="35" t="e">
        <f t="shared" si="8"/>
        <v>#N/A</v>
      </c>
      <c r="D145" s="35" t="e">
        <f>VLOOKUP(C145,TS!N$2:Z$177,11,TRUE)</f>
        <v>#N/A</v>
      </c>
      <c r="E145" s="35" t="e">
        <f>VLOOKUP(C145,TS!N$2:Z$177,13,TRUE)*1000</f>
        <v>#N/A</v>
      </c>
      <c r="F145" s="35" t="e">
        <f t="shared" si="6"/>
        <v>#N/A</v>
      </c>
      <c r="G145" s="35" t="e">
        <f t="shared" si="7"/>
        <v>#N/A</v>
      </c>
      <c r="H145" s="35" t="e">
        <f>IF(G145&gt;0,H144-(5*'Gen Calcs'!C$41),'Air calcs'!H144)</f>
        <v>#N/A</v>
      </c>
      <c r="I145" s="35" t="e">
        <f>VLOOKUP('Air calcs'!C145,TS!N$2:O$177,2)</f>
        <v>#N/A</v>
      </c>
      <c r="J145" s="40" t="e">
        <f>((MAX(I145:I$205)-Inputs!C$3)-(MAX(I145:I$205)-I145))*0.433+K145</f>
        <v>#N/A</v>
      </c>
      <c r="K145" s="35" t="e">
        <f>14.7*B145/((C$2-C145)*'Gen Calcs'!C$29/7.48)-14.7</f>
        <v>#N/A</v>
      </c>
      <c r="L145" s="35" t="e">
        <f>(H$2-H145)*'Gen Calcs'!C$29</f>
        <v>#N/A</v>
      </c>
      <c r="M145" s="35" t="e">
        <f>(MAX(I145:I$205)-I$205)*0.433</f>
        <v>#N/A</v>
      </c>
    </row>
    <row r="146" spans="1:13" x14ac:dyDescent="0.25">
      <c r="A146" s="35">
        <v>720</v>
      </c>
      <c r="B146" s="35">
        <f>A146*'Gen Calcs'!C$36</f>
        <v>7200000</v>
      </c>
      <c r="C146" s="35" t="e">
        <f t="shared" si="8"/>
        <v>#N/A</v>
      </c>
      <c r="D146" s="35" t="e">
        <f>VLOOKUP(C146,TS!N$2:Z$177,11,TRUE)</f>
        <v>#N/A</v>
      </c>
      <c r="E146" s="35" t="e">
        <f>VLOOKUP(C146,TS!N$2:Z$177,13,TRUE)*1000</f>
        <v>#N/A</v>
      </c>
      <c r="F146" s="35" t="e">
        <f t="shared" si="6"/>
        <v>#N/A</v>
      </c>
      <c r="G146" s="35" t="e">
        <f t="shared" si="7"/>
        <v>#N/A</v>
      </c>
      <c r="H146" s="35" t="e">
        <f>IF(G146&gt;0,H145-(5*'Gen Calcs'!C$41),'Air calcs'!H145)</f>
        <v>#N/A</v>
      </c>
      <c r="I146" s="35" t="e">
        <f>VLOOKUP('Air calcs'!C146,TS!N$2:O$177,2)</f>
        <v>#N/A</v>
      </c>
      <c r="J146" s="40" t="e">
        <f>((MAX(I146:I$205)-Inputs!C$3)-(MAX(I146:I$205)-I146))*0.433+K146</f>
        <v>#N/A</v>
      </c>
      <c r="K146" s="35" t="e">
        <f>14.7*B146/((C$2-C146)*'Gen Calcs'!C$29/7.48)-14.7</f>
        <v>#N/A</v>
      </c>
      <c r="L146" s="35" t="e">
        <f>(H$2-H146)*'Gen Calcs'!C$29</f>
        <v>#N/A</v>
      </c>
      <c r="M146" s="35" t="e">
        <f>(MAX(I146:I$205)-I$205)*0.433</f>
        <v>#N/A</v>
      </c>
    </row>
    <row r="147" spans="1:13" x14ac:dyDescent="0.25">
      <c r="A147" s="35">
        <v>725</v>
      </c>
      <c r="B147" s="35">
        <f>A147*'Gen Calcs'!C$36</f>
        <v>7250000</v>
      </c>
      <c r="C147" s="35" t="e">
        <f t="shared" si="8"/>
        <v>#N/A</v>
      </c>
      <c r="D147" s="35" t="e">
        <f>VLOOKUP(C147,TS!N$2:Z$177,11,TRUE)</f>
        <v>#N/A</v>
      </c>
      <c r="E147" s="35" t="e">
        <f>VLOOKUP(C147,TS!N$2:Z$177,13,TRUE)*1000</f>
        <v>#N/A</v>
      </c>
      <c r="F147" s="35" t="e">
        <f t="shared" si="6"/>
        <v>#N/A</v>
      </c>
      <c r="G147" s="35" t="e">
        <f t="shared" si="7"/>
        <v>#N/A</v>
      </c>
      <c r="H147" s="35" t="e">
        <f>IF(G147&gt;0,H146-(5*'Gen Calcs'!C$41),'Air calcs'!H146)</f>
        <v>#N/A</v>
      </c>
      <c r="I147" s="35" t="e">
        <f>VLOOKUP('Air calcs'!C147,TS!N$2:O$177,2)</f>
        <v>#N/A</v>
      </c>
      <c r="J147" s="40" t="e">
        <f>((MAX(I147:I$205)-Inputs!C$3)-(MAX(I147:I$205)-I147))*0.433+K147</f>
        <v>#N/A</v>
      </c>
      <c r="K147" s="35" t="e">
        <f>14.7*B147/((C$2-C147)*'Gen Calcs'!C$29/7.48)-14.7</f>
        <v>#N/A</v>
      </c>
      <c r="L147" s="35" t="e">
        <f>(H$2-H147)*'Gen Calcs'!C$29</f>
        <v>#N/A</v>
      </c>
      <c r="M147" s="35" t="e">
        <f>(MAX(I147:I$205)-I$205)*0.433</f>
        <v>#N/A</v>
      </c>
    </row>
    <row r="148" spans="1:13" x14ac:dyDescent="0.25">
      <c r="A148" s="35">
        <v>730</v>
      </c>
      <c r="B148" s="35">
        <f>A148*'Gen Calcs'!C$36</f>
        <v>7300000</v>
      </c>
      <c r="C148" s="35" t="e">
        <f t="shared" si="8"/>
        <v>#N/A</v>
      </c>
      <c r="D148" s="35" t="e">
        <f>VLOOKUP(C148,TS!N$2:Z$177,11,TRUE)</f>
        <v>#N/A</v>
      </c>
      <c r="E148" s="35" t="e">
        <f>VLOOKUP(C148,TS!N$2:Z$177,13,TRUE)*1000</f>
        <v>#N/A</v>
      </c>
      <c r="F148" s="35" t="e">
        <f t="shared" si="6"/>
        <v>#N/A</v>
      </c>
      <c r="G148" s="35" t="e">
        <f t="shared" si="7"/>
        <v>#N/A</v>
      </c>
      <c r="H148" s="35" t="e">
        <f>IF(G148&gt;0,H147-(5*'Gen Calcs'!C$41),'Air calcs'!H147)</f>
        <v>#N/A</v>
      </c>
      <c r="I148" s="35" t="e">
        <f>VLOOKUP('Air calcs'!C148,TS!N$2:O$177,2)</f>
        <v>#N/A</v>
      </c>
      <c r="J148" s="40" t="e">
        <f>((MAX(I148:I$205)-Inputs!C$3)-(MAX(I148:I$205)-I148))*0.433+K148</f>
        <v>#N/A</v>
      </c>
      <c r="K148" s="35" t="e">
        <f>14.7*B148/((C$2-C148)*'Gen Calcs'!C$29/7.48)-14.7</f>
        <v>#N/A</v>
      </c>
      <c r="L148" s="35" t="e">
        <f>(H$2-H148)*'Gen Calcs'!C$29</f>
        <v>#N/A</v>
      </c>
      <c r="M148" s="35" t="e">
        <f>(MAX(I148:I$205)-I$205)*0.433</f>
        <v>#N/A</v>
      </c>
    </row>
    <row r="149" spans="1:13" x14ac:dyDescent="0.25">
      <c r="A149" s="35">
        <v>735</v>
      </c>
      <c r="B149" s="35">
        <f>A149*'Gen Calcs'!C$36</f>
        <v>7350000</v>
      </c>
      <c r="C149" s="35" t="e">
        <f t="shared" si="8"/>
        <v>#N/A</v>
      </c>
      <c r="D149" s="35" t="e">
        <f>VLOOKUP(C149,TS!N$2:Z$177,11,TRUE)</f>
        <v>#N/A</v>
      </c>
      <c r="E149" s="35" t="e">
        <f>VLOOKUP(C149,TS!N$2:Z$177,13,TRUE)*1000</f>
        <v>#N/A</v>
      </c>
      <c r="F149" s="35" t="e">
        <f t="shared" si="6"/>
        <v>#N/A</v>
      </c>
      <c r="G149" s="35" t="e">
        <f t="shared" si="7"/>
        <v>#N/A</v>
      </c>
      <c r="H149" s="35" t="e">
        <f>IF(G149&gt;0,H148-(5*'Gen Calcs'!C$41),'Air calcs'!H148)</f>
        <v>#N/A</v>
      </c>
      <c r="I149" s="35" t="e">
        <f>VLOOKUP('Air calcs'!C149,TS!N$2:O$177,2)</f>
        <v>#N/A</v>
      </c>
      <c r="J149" s="40" t="e">
        <f>((MAX(I149:I$205)-Inputs!C$3)-(MAX(I149:I$205)-I149))*0.433+K149</f>
        <v>#N/A</v>
      </c>
      <c r="K149" s="35" t="e">
        <f>14.7*B149/((C$2-C149)*'Gen Calcs'!C$29/7.48)-14.7</f>
        <v>#N/A</v>
      </c>
      <c r="L149" s="35" t="e">
        <f>(H$2-H149)*'Gen Calcs'!C$29</f>
        <v>#N/A</v>
      </c>
      <c r="M149" s="35" t="e">
        <f>(MAX(I149:I$205)-I$205)*0.433</f>
        <v>#N/A</v>
      </c>
    </row>
    <row r="150" spans="1:13" x14ac:dyDescent="0.25">
      <c r="A150" s="35">
        <v>740</v>
      </c>
      <c r="B150" s="35">
        <f>A150*'Gen Calcs'!C$36</f>
        <v>7400000</v>
      </c>
      <c r="C150" s="35" t="e">
        <f t="shared" si="8"/>
        <v>#N/A</v>
      </c>
      <c r="D150" s="35" t="e">
        <f>VLOOKUP(C150,TS!N$2:Z$177,11,TRUE)</f>
        <v>#N/A</v>
      </c>
      <c r="E150" s="35" t="e">
        <f>VLOOKUP(C150,TS!N$2:Z$177,13,TRUE)*1000</f>
        <v>#N/A</v>
      </c>
      <c r="F150" s="35" t="e">
        <f t="shared" si="6"/>
        <v>#N/A</v>
      </c>
      <c r="G150" s="35" t="e">
        <f t="shared" si="7"/>
        <v>#N/A</v>
      </c>
      <c r="H150" s="35" t="e">
        <f>IF(G150&gt;0,H149-(5*'Gen Calcs'!C$41),'Air calcs'!H149)</f>
        <v>#N/A</v>
      </c>
      <c r="I150" s="35" t="e">
        <f>VLOOKUP('Air calcs'!C150,TS!N$2:O$177,2)</f>
        <v>#N/A</v>
      </c>
      <c r="J150" s="40" t="e">
        <f>((MAX(I150:I$205)-Inputs!C$3)-(MAX(I150:I$205)-I150))*0.433+K150</f>
        <v>#N/A</v>
      </c>
      <c r="K150" s="35" t="e">
        <f>14.7*B150/((C$2-C150)*'Gen Calcs'!C$29/7.48)-14.7</f>
        <v>#N/A</v>
      </c>
      <c r="L150" s="35" t="e">
        <f>(H$2-H150)*'Gen Calcs'!C$29</f>
        <v>#N/A</v>
      </c>
      <c r="M150" s="35" t="e">
        <f>(MAX(I150:I$205)-I$205)*0.433</f>
        <v>#N/A</v>
      </c>
    </row>
    <row r="151" spans="1:13" x14ac:dyDescent="0.25">
      <c r="A151" s="35">
        <v>745</v>
      </c>
      <c r="B151" s="35">
        <f>A151*'Gen Calcs'!C$36</f>
        <v>7450000</v>
      </c>
      <c r="C151" s="35" t="e">
        <f t="shared" si="8"/>
        <v>#N/A</v>
      </c>
      <c r="D151" s="35" t="e">
        <f>VLOOKUP(C151,TS!N$2:Z$177,11,TRUE)</f>
        <v>#N/A</v>
      </c>
      <c r="E151" s="35" t="e">
        <f>VLOOKUP(C151,TS!N$2:Z$177,13,TRUE)*1000</f>
        <v>#N/A</v>
      </c>
      <c r="F151" s="35" t="e">
        <f t="shared" si="6"/>
        <v>#N/A</v>
      </c>
      <c r="G151" s="35" t="e">
        <f t="shared" si="7"/>
        <v>#N/A</v>
      </c>
      <c r="H151" s="35" t="e">
        <f>IF(G151&gt;0,H150-(5*'Gen Calcs'!C$41),'Air calcs'!H150)</f>
        <v>#N/A</v>
      </c>
      <c r="I151" s="35" t="e">
        <f>VLOOKUP('Air calcs'!C151,TS!N$2:O$177,2)</f>
        <v>#N/A</v>
      </c>
      <c r="J151" s="40" t="e">
        <f>((MAX(I151:I$205)-Inputs!C$3)-(MAX(I151:I$205)-I151))*0.433+K151</f>
        <v>#N/A</v>
      </c>
      <c r="K151" s="35" t="e">
        <f>14.7*B151/((C$2-C151)*'Gen Calcs'!C$29/7.48)-14.7</f>
        <v>#N/A</v>
      </c>
      <c r="L151" s="35" t="e">
        <f>(H$2-H151)*'Gen Calcs'!C$29</f>
        <v>#N/A</v>
      </c>
      <c r="M151" s="35" t="e">
        <f>(MAX(I151:I$205)-I$205)*0.433</f>
        <v>#N/A</v>
      </c>
    </row>
    <row r="152" spans="1:13" x14ac:dyDescent="0.25">
      <c r="A152" s="35">
        <v>750</v>
      </c>
      <c r="B152" s="35">
        <f>A152*'Gen Calcs'!C$36</f>
        <v>7500000</v>
      </c>
      <c r="C152" s="35" t="e">
        <f t="shared" si="8"/>
        <v>#N/A</v>
      </c>
      <c r="D152" s="35" t="e">
        <f>VLOOKUP(C152,TS!N$2:Z$177,11,TRUE)</f>
        <v>#N/A</v>
      </c>
      <c r="E152" s="35" t="e">
        <f>VLOOKUP(C152,TS!N$2:Z$177,13,TRUE)*1000</f>
        <v>#N/A</v>
      </c>
      <c r="F152" s="35" t="e">
        <f t="shared" si="6"/>
        <v>#N/A</v>
      </c>
      <c r="G152" s="35" t="e">
        <f t="shared" si="7"/>
        <v>#N/A</v>
      </c>
      <c r="H152" s="35" t="e">
        <f>IF(G152&gt;0,H151-(5*'Gen Calcs'!C$41),'Air calcs'!H151)</f>
        <v>#N/A</v>
      </c>
      <c r="I152" s="35" t="e">
        <f>VLOOKUP('Air calcs'!C152,TS!N$2:O$177,2)</f>
        <v>#N/A</v>
      </c>
      <c r="J152" s="40" t="e">
        <f>((MAX(I152:I$205)-Inputs!C$3)-(MAX(I152:I$205)-I152))*0.433+K152</f>
        <v>#N/A</v>
      </c>
      <c r="K152" s="35" t="e">
        <f>14.7*B152/((C$2-C152)*'Gen Calcs'!C$29/7.48)-14.7</f>
        <v>#N/A</v>
      </c>
      <c r="L152" s="35" t="e">
        <f>(H$2-H152)*'Gen Calcs'!C$29</f>
        <v>#N/A</v>
      </c>
      <c r="M152" s="35" t="e">
        <f>(MAX(I152:I$205)-I$205)*0.433</f>
        <v>#N/A</v>
      </c>
    </row>
    <row r="153" spans="1:13" x14ac:dyDescent="0.25">
      <c r="A153" s="35">
        <v>755</v>
      </c>
      <c r="B153" s="35">
        <f>A153*'Gen Calcs'!C$36</f>
        <v>7550000</v>
      </c>
      <c r="C153" s="35" t="e">
        <f t="shared" si="8"/>
        <v>#N/A</v>
      </c>
      <c r="D153" s="35" t="e">
        <f>VLOOKUP(C153,TS!N$2:Z$177,11,TRUE)</f>
        <v>#N/A</v>
      </c>
      <c r="E153" s="35" t="e">
        <f>VLOOKUP(C153,TS!N$2:Z$177,13,TRUE)*1000</f>
        <v>#N/A</v>
      </c>
      <c r="F153" s="35" t="e">
        <f t="shared" si="6"/>
        <v>#N/A</v>
      </c>
      <c r="G153" s="35" t="e">
        <f t="shared" si="7"/>
        <v>#N/A</v>
      </c>
      <c r="H153" s="35" t="e">
        <f>IF(G153&gt;0,H152-(5*'Gen Calcs'!C$41),'Air calcs'!H152)</f>
        <v>#N/A</v>
      </c>
      <c r="I153" s="35" t="e">
        <f>VLOOKUP('Air calcs'!C153,TS!N$2:O$177,2)</f>
        <v>#N/A</v>
      </c>
      <c r="J153" s="40" t="e">
        <f>((MAX(I153:I$205)-Inputs!C$3)-(MAX(I153:I$205)-I153))*0.433+K153</f>
        <v>#N/A</v>
      </c>
      <c r="K153" s="35" t="e">
        <f>14.7*B153/((C$2-C153)*'Gen Calcs'!C$29/7.48)-14.7</f>
        <v>#N/A</v>
      </c>
      <c r="L153" s="35" t="e">
        <f>(H$2-H153)*'Gen Calcs'!C$29</f>
        <v>#N/A</v>
      </c>
      <c r="M153" s="35" t="e">
        <f>(MAX(I153:I$205)-I$205)*0.433</f>
        <v>#N/A</v>
      </c>
    </row>
    <row r="154" spans="1:13" x14ac:dyDescent="0.25">
      <c r="A154" s="35">
        <v>760</v>
      </c>
      <c r="B154" s="35">
        <f>A154*'Gen Calcs'!C$36</f>
        <v>7600000</v>
      </c>
      <c r="C154" s="35" t="e">
        <f t="shared" si="8"/>
        <v>#N/A</v>
      </c>
      <c r="D154" s="35" t="e">
        <f>VLOOKUP(C154,TS!N$2:Z$177,11,TRUE)</f>
        <v>#N/A</v>
      </c>
      <c r="E154" s="35" t="e">
        <f>VLOOKUP(C154,TS!N$2:Z$177,13,TRUE)*1000</f>
        <v>#N/A</v>
      </c>
      <c r="F154" s="35" t="e">
        <f t="shared" si="6"/>
        <v>#N/A</v>
      </c>
      <c r="G154" s="35" t="e">
        <f t="shared" si="7"/>
        <v>#N/A</v>
      </c>
      <c r="H154" s="35" t="e">
        <f>IF(G154&gt;0,H153-(5*'Gen Calcs'!C$41),'Air calcs'!H153)</f>
        <v>#N/A</v>
      </c>
      <c r="I154" s="35" t="e">
        <f>VLOOKUP('Air calcs'!C154,TS!N$2:O$177,2)</f>
        <v>#N/A</v>
      </c>
      <c r="J154" s="40" t="e">
        <f>((MAX(I154:I$205)-Inputs!C$3)-(MAX(I154:I$205)-I154))*0.433+K154</f>
        <v>#N/A</v>
      </c>
      <c r="K154" s="35" t="e">
        <f>14.7*B154/((C$2-C154)*'Gen Calcs'!C$29/7.48)-14.7</f>
        <v>#N/A</v>
      </c>
      <c r="L154" s="35" t="e">
        <f>(H$2-H154)*'Gen Calcs'!C$29</f>
        <v>#N/A</v>
      </c>
      <c r="M154" s="35" t="e">
        <f>(MAX(I154:I$205)-I$205)*0.433</f>
        <v>#N/A</v>
      </c>
    </row>
    <row r="155" spans="1:13" x14ac:dyDescent="0.25">
      <c r="A155" s="35">
        <v>765</v>
      </c>
      <c r="B155" s="35">
        <f>A155*'Gen Calcs'!C$36</f>
        <v>7650000</v>
      </c>
      <c r="C155" s="35" t="e">
        <f t="shared" si="8"/>
        <v>#N/A</v>
      </c>
      <c r="D155" s="35" t="e">
        <f>VLOOKUP(C155,TS!N$2:Z$177,11,TRUE)</f>
        <v>#N/A</v>
      </c>
      <c r="E155" s="35" t="e">
        <f>VLOOKUP(C155,TS!N$2:Z$177,13,TRUE)*1000</f>
        <v>#N/A</v>
      </c>
      <c r="F155" s="35" t="e">
        <f t="shared" si="6"/>
        <v>#N/A</v>
      </c>
      <c r="G155" s="35" t="e">
        <f t="shared" si="7"/>
        <v>#N/A</v>
      </c>
      <c r="H155" s="35" t="e">
        <f>IF(G155&gt;0,H154-(5*'Gen Calcs'!C$41),'Air calcs'!H154)</f>
        <v>#N/A</v>
      </c>
      <c r="I155" s="35" t="e">
        <f>VLOOKUP('Air calcs'!C155,TS!N$2:O$177,2)</f>
        <v>#N/A</v>
      </c>
      <c r="J155" s="40" t="e">
        <f>((MAX(I155:I$205)-Inputs!C$3)-(MAX(I155:I$205)-I155))*0.433+K155</f>
        <v>#N/A</v>
      </c>
      <c r="K155" s="35" t="e">
        <f>14.7*B155/((C$2-C155)*'Gen Calcs'!C$29/7.48)-14.7</f>
        <v>#N/A</v>
      </c>
      <c r="L155" s="35" t="e">
        <f>(H$2-H155)*'Gen Calcs'!C$29</f>
        <v>#N/A</v>
      </c>
      <c r="M155" s="35" t="e">
        <f>(MAX(I155:I$205)-I$205)*0.433</f>
        <v>#N/A</v>
      </c>
    </row>
    <row r="156" spans="1:13" x14ac:dyDescent="0.25">
      <c r="A156" s="35">
        <v>770</v>
      </c>
      <c r="B156" s="35">
        <f>A156*'Gen Calcs'!C$36</f>
        <v>7700000</v>
      </c>
      <c r="C156" s="35" t="e">
        <f t="shared" si="8"/>
        <v>#N/A</v>
      </c>
      <c r="D156" s="35" t="e">
        <f>VLOOKUP(C156,TS!N$2:Z$177,11,TRUE)</f>
        <v>#N/A</v>
      </c>
      <c r="E156" s="35" t="e">
        <f>VLOOKUP(C156,TS!N$2:Z$177,13,TRUE)*1000</f>
        <v>#N/A</v>
      </c>
      <c r="F156" s="35" t="e">
        <f t="shared" si="6"/>
        <v>#N/A</v>
      </c>
      <c r="G156" s="35" t="e">
        <f t="shared" si="7"/>
        <v>#N/A</v>
      </c>
      <c r="H156" s="35" t="e">
        <f>IF(G156&gt;0,H155-(5*'Gen Calcs'!C$41),'Air calcs'!H155)</f>
        <v>#N/A</v>
      </c>
      <c r="I156" s="35" t="e">
        <f>VLOOKUP('Air calcs'!C156,TS!N$2:O$177,2)</f>
        <v>#N/A</v>
      </c>
      <c r="J156" s="40" t="e">
        <f>((MAX(I156:I$205)-Inputs!C$3)-(MAX(I156:I$205)-I156))*0.433+K156</f>
        <v>#N/A</v>
      </c>
      <c r="K156" s="35" t="e">
        <f>14.7*B156/((C$2-C156)*'Gen Calcs'!C$29/7.48)-14.7</f>
        <v>#N/A</v>
      </c>
      <c r="L156" s="35" t="e">
        <f>(H$2-H156)*'Gen Calcs'!C$29</f>
        <v>#N/A</v>
      </c>
      <c r="M156" s="35" t="e">
        <f>(MAX(I156:I$205)-I$205)*0.433</f>
        <v>#N/A</v>
      </c>
    </row>
    <row r="157" spans="1:13" x14ac:dyDescent="0.25">
      <c r="A157" s="35">
        <v>775</v>
      </c>
      <c r="B157" s="35">
        <f>A157*'Gen Calcs'!C$36</f>
        <v>7750000</v>
      </c>
      <c r="C157" s="35" t="e">
        <f t="shared" si="8"/>
        <v>#N/A</v>
      </c>
      <c r="D157" s="35" t="e">
        <f>VLOOKUP(C157,TS!N$2:Z$177,11,TRUE)</f>
        <v>#N/A</v>
      </c>
      <c r="E157" s="35" t="e">
        <f>VLOOKUP(C157,TS!N$2:Z$177,13,TRUE)*1000</f>
        <v>#N/A</v>
      </c>
      <c r="F157" s="35" t="e">
        <f t="shared" si="6"/>
        <v>#N/A</v>
      </c>
      <c r="G157" s="35" t="e">
        <f t="shared" si="7"/>
        <v>#N/A</v>
      </c>
      <c r="H157" s="35" t="e">
        <f>IF(G157&gt;0,H156-(5*'Gen Calcs'!C$41),'Air calcs'!H156)</f>
        <v>#N/A</v>
      </c>
      <c r="I157" s="35" t="e">
        <f>VLOOKUP('Air calcs'!C157,TS!N$2:O$177,2)</f>
        <v>#N/A</v>
      </c>
      <c r="J157" s="40" t="e">
        <f>((MAX(I157:I$205)-Inputs!C$3)-(MAX(I157:I$205)-I157))*0.433+K157</f>
        <v>#N/A</v>
      </c>
      <c r="K157" s="35" t="e">
        <f>14.7*B157/((C$2-C157)*'Gen Calcs'!C$29/7.48)-14.7</f>
        <v>#N/A</v>
      </c>
      <c r="L157" s="35" t="e">
        <f>(H$2-H157)*'Gen Calcs'!C$29</f>
        <v>#N/A</v>
      </c>
      <c r="M157" s="35" t="e">
        <f>(MAX(I157:I$205)-I$205)*0.433</f>
        <v>#N/A</v>
      </c>
    </row>
    <row r="158" spans="1:13" x14ac:dyDescent="0.25">
      <c r="A158" s="35">
        <v>780</v>
      </c>
      <c r="B158" s="35">
        <f>A158*'Gen Calcs'!C$36</f>
        <v>7800000</v>
      </c>
      <c r="C158" s="35" t="e">
        <f t="shared" si="8"/>
        <v>#N/A</v>
      </c>
      <c r="D158" s="35" t="e">
        <f>VLOOKUP(C158,TS!N$2:Z$177,11,TRUE)</f>
        <v>#N/A</v>
      </c>
      <c r="E158" s="35" t="e">
        <f>VLOOKUP(C158,TS!N$2:Z$177,13,TRUE)*1000</f>
        <v>#N/A</v>
      </c>
      <c r="F158" s="35" t="e">
        <f t="shared" si="6"/>
        <v>#N/A</v>
      </c>
      <c r="G158" s="35" t="e">
        <f t="shared" si="7"/>
        <v>#N/A</v>
      </c>
      <c r="H158" s="35" t="e">
        <f>IF(G158&gt;0,H157-(5*'Gen Calcs'!C$41),'Air calcs'!H157)</f>
        <v>#N/A</v>
      </c>
      <c r="I158" s="35" t="e">
        <f>VLOOKUP('Air calcs'!C158,TS!N$2:O$177,2)</f>
        <v>#N/A</v>
      </c>
      <c r="J158" s="40" t="e">
        <f>((MAX(I158:I$205)-Inputs!C$3)-(MAX(I158:I$205)-I158))*0.433+K158</f>
        <v>#N/A</v>
      </c>
      <c r="K158" s="35" t="e">
        <f>14.7*B158/((C$2-C158)*'Gen Calcs'!C$29/7.48)-14.7</f>
        <v>#N/A</v>
      </c>
      <c r="L158" s="35" t="e">
        <f>(H$2-H158)*'Gen Calcs'!C$29</f>
        <v>#N/A</v>
      </c>
      <c r="M158" s="35" t="e">
        <f>(MAX(I158:I$205)-I$205)*0.433</f>
        <v>#N/A</v>
      </c>
    </row>
    <row r="159" spans="1:13" x14ac:dyDescent="0.25">
      <c r="A159" s="35">
        <v>785</v>
      </c>
      <c r="B159" s="35">
        <f>A159*'Gen Calcs'!C$36</f>
        <v>7850000</v>
      </c>
      <c r="C159" s="35" t="e">
        <f t="shared" si="8"/>
        <v>#N/A</v>
      </c>
      <c r="D159" s="35" t="e">
        <f>VLOOKUP(C159,TS!N$2:Z$177,11,TRUE)</f>
        <v>#N/A</v>
      </c>
      <c r="E159" s="35" t="e">
        <f>VLOOKUP(C159,TS!N$2:Z$177,13,TRUE)*1000</f>
        <v>#N/A</v>
      </c>
      <c r="F159" s="35" t="e">
        <f t="shared" si="6"/>
        <v>#N/A</v>
      </c>
      <c r="G159" s="35" t="e">
        <f t="shared" si="7"/>
        <v>#N/A</v>
      </c>
      <c r="H159" s="35" t="e">
        <f>IF(G159&gt;0,H158-(5*'Gen Calcs'!C$41),'Air calcs'!H158)</f>
        <v>#N/A</v>
      </c>
      <c r="I159" s="35" t="e">
        <f>VLOOKUP('Air calcs'!C159,TS!N$2:O$177,2)</f>
        <v>#N/A</v>
      </c>
      <c r="J159" s="40" t="e">
        <f>((MAX(I159:I$205)-Inputs!C$3)-(MAX(I159:I$205)-I159))*0.433+K159</f>
        <v>#N/A</v>
      </c>
      <c r="K159" s="35" t="e">
        <f>14.7*B159/((C$2-C159)*'Gen Calcs'!C$29/7.48)-14.7</f>
        <v>#N/A</v>
      </c>
      <c r="L159" s="35" t="e">
        <f>(H$2-H159)*'Gen Calcs'!C$29</f>
        <v>#N/A</v>
      </c>
      <c r="M159" s="35" t="e">
        <f>(MAX(I159:I$205)-I$205)*0.433</f>
        <v>#N/A</v>
      </c>
    </row>
    <row r="160" spans="1:13" x14ac:dyDescent="0.25">
      <c r="A160" s="35">
        <v>790</v>
      </c>
      <c r="B160" s="35">
        <f>A160*'Gen Calcs'!C$36</f>
        <v>7900000</v>
      </c>
      <c r="C160" s="35" t="e">
        <f t="shared" si="8"/>
        <v>#N/A</v>
      </c>
      <c r="D160" s="35" t="e">
        <f>VLOOKUP(C160,TS!N$2:Z$177,11,TRUE)</f>
        <v>#N/A</v>
      </c>
      <c r="E160" s="35" t="e">
        <f>VLOOKUP(C160,TS!N$2:Z$177,13,TRUE)*1000</f>
        <v>#N/A</v>
      </c>
      <c r="F160" s="35" t="e">
        <f t="shared" si="6"/>
        <v>#N/A</v>
      </c>
      <c r="G160" s="35" t="e">
        <f t="shared" si="7"/>
        <v>#N/A</v>
      </c>
      <c r="H160" s="35" t="e">
        <f>IF(G160&gt;0,H159-(5*'Gen Calcs'!C$41),'Air calcs'!H159)</f>
        <v>#N/A</v>
      </c>
      <c r="I160" s="35" t="e">
        <f>VLOOKUP('Air calcs'!C160,TS!N$2:O$177,2)</f>
        <v>#N/A</v>
      </c>
      <c r="J160" s="40" t="e">
        <f>((MAX(I160:I$205)-Inputs!C$3)-(MAX(I160:I$205)-I160))*0.433+K160</f>
        <v>#N/A</v>
      </c>
      <c r="K160" s="35" t="e">
        <f>14.7*B160/((C$2-C160)*'Gen Calcs'!C$29/7.48)-14.7</f>
        <v>#N/A</v>
      </c>
      <c r="L160" s="35" t="e">
        <f>(H$2-H160)*'Gen Calcs'!C$29</f>
        <v>#N/A</v>
      </c>
      <c r="M160" s="35" t="e">
        <f>(MAX(I160:I$205)-I$205)*0.433</f>
        <v>#N/A</v>
      </c>
    </row>
    <row r="161" spans="1:13" x14ac:dyDescent="0.25">
      <c r="A161" s="35">
        <v>795</v>
      </c>
      <c r="B161" s="35">
        <f>A161*'Gen Calcs'!C$36</f>
        <v>7950000</v>
      </c>
      <c r="C161" s="35" t="e">
        <f t="shared" si="8"/>
        <v>#N/A</v>
      </c>
      <c r="D161" s="35" t="e">
        <f>VLOOKUP(C161,TS!N$2:Z$177,11,TRUE)</f>
        <v>#N/A</v>
      </c>
      <c r="E161" s="35" t="e">
        <f>VLOOKUP(C161,TS!N$2:Z$177,13,TRUE)*1000</f>
        <v>#N/A</v>
      </c>
      <c r="F161" s="35" t="e">
        <f t="shared" si="6"/>
        <v>#N/A</v>
      </c>
      <c r="G161" s="35" t="e">
        <f t="shared" si="7"/>
        <v>#N/A</v>
      </c>
      <c r="H161" s="35" t="e">
        <f>IF(G161&gt;0,H160-(5*'Gen Calcs'!C$41),'Air calcs'!H160)</f>
        <v>#N/A</v>
      </c>
      <c r="I161" s="35" t="e">
        <f>VLOOKUP('Air calcs'!C161,TS!N$2:O$177,2)</f>
        <v>#N/A</v>
      </c>
      <c r="J161" s="40" t="e">
        <f>((MAX(I161:I$205)-Inputs!C$3)-(MAX(I161:I$205)-I161))*0.433+K161</f>
        <v>#N/A</v>
      </c>
      <c r="K161" s="35" t="e">
        <f>14.7*B161/((C$2-C161)*'Gen Calcs'!C$29/7.48)-14.7</f>
        <v>#N/A</v>
      </c>
      <c r="L161" s="35" t="e">
        <f>(H$2-H161)*'Gen Calcs'!C$29</f>
        <v>#N/A</v>
      </c>
      <c r="M161" s="35" t="e">
        <f>(MAX(I161:I$205)-I$205)*0.433</f>
        <v>#N/A</v>
      </c>
    </row>
    <row r="162" spans="1:13" x14ac:dyDescent="0.25">
      <c r="A162" s="35">
        <v>800</v>
      </c>
      <c r="B162" s="35">
        <f>A162*'Gen Calcs'!C$36</f>
        <v>8000000</v>
      </c>
      <c r="C162" s="35" t="e">
        <f t="shared" si="8"/>
        <v>#N/A</v>
      </c>
      <c r="D162" s="35" t="e">
        <f>VLOOKUP(C162,TS!N$2:Z$177,11,TRUE)</f>
        <v>#N/A</v>
      </c>
      <c r="E162" s="35" t="e">
        <f>VLOOKUP(C162,TS!N$2:Z$177,13,TRUE)*1000</f>
        <v>#N/A</v>
      </c>
      <c r="F162" s="35" t="e">
        <f t="shared" si="6"/>
        <v>#N/A</v>
      </c>
      <c r="G162" s="35" t="e">
        <f t="shared" si="7"/>
        <v>#N/A</v>
      </c>
      <c r="H162" s="35" t="e">
        <f>IF(G162&gt;0,H161-(5*'Gen Calcs'!C$41),'Air calcs'!H161)</f>
        <v>#N/A</v>
      </c>
      <c r="I162" s="35" t="e">
        <f>VLOOKUP('Air calcs'!C162,TS!N$2:O$177,2)</f>
        <v>#N/A</v>
      </c>
      <c r="J162" s="40" t="e">
        <f>((MAX(I162:I$205)-Inputs!C$3)-(MAX(I162:I$205)-I162))*0.433+K162</f>
        <v>#N/A</v>
      </c>
      <c r="K162" s="35" t="e">
        <f>14.7*B162/((C$2-C162)*'Gen Calcs'!C$29/7.48)-14.7</f>
        <v>#N/A</v>
      </c>
      <c r="L162" s="35" t="e">
        <f>(H$2-H162)*'Gen Calcs'!C$29</f>
        <v>#N/A</v>
      </c>
      <c r="M162" s="35" t="e">
        <f>(MAX(I162:I$205)-I$205)*0.433</f>
        <v>#N/A</v>
      </c>
    </row>
    <row r="163" spans="1:13" x14ac:dyDescent="0.25">
      <c r="A163" s="35">
        <v>805</v>
      </c>
      <c r="B163" s="35">
        <f>A163*'Gen Calcs'!C$36</f>
        <v>8050000</v>
      </c>
      <c r="C163" s="35" t="e">
        <f t="shared" si="8"/>
        <v>#N/A</v>
      </c>
      <c r="D163" s="35" t="e">
        <f>VLOOKUP(C163,TS!N$2:Z$177,11,TRUE)</f>
        <v>#N/A</v>
      </c>
      <c r="E163" s="35" t="e">
        <f>VLOOKUP(C163,TS!N$2:Z$177,13,TRUE)*1000</f>
        <v>#N/A</v>
      </c>
      <c r="F163" s="35" t="e">
        <f t="shared" si="6"/>
        <v>#N/A</v>
      </c>
      <c r="G163" s="35" t="e">
        <f t="shared" si="7"/>
        <v>#N/A</v>
      </c>
      <c r="H163" s="35" t="e">
        <f>IF(G163&gt;0,H162-(5*'Gen Calcs'!C$41),'Air calcs'!H162)</f>
        <v>#N/A</v>
      </c>
      <c r="I163" s="35" t="e">
        <f>VLOOKUP('Air calcs'!C163,TS!N$2:O$177,2)</f>
        <v>#N/A</v>
      </c>
      <c r="J163" s="40" t="e">
        <f>((MAX(I163:I$205)-Inputs!C$3)-(MAX(I163:I$205)-I163))*0.433+K163</f>
        <v>#N/A</v>
      </c>
      <c r="K163" s="35" t="e">
        <f>14.7*B163/((C$2-C163)*'Gen Calcs'!C$29/7.48)-14.7</f>
        <v>#N/A</v>
      </c>
      <c r="L163" s="35" t="e">
        <f>(H$2-H163)*'Gen Calcs'!C$29</f>
        <v>#N/A</v>
      </c>
      <c r="M163" s="35" t="e">
        <f>(MAX(I163:I$205)-I$205)*0.433</f>
        <v>#N/A</v>
      </c>
    </row>
    <row r="164" spans="1:13" x14ac:dyDescent="0.25">
      <c r="A164" s="35">
        <v>810</v>
      </c>
      <c r="B164" s="35">
        <f>A164*'Gen Calcs'!C$36</f>
        <v>8100000</v>
      </c>
      <c r="C164" s="35" t="e">
        <f t="shared" si="8"/>
        <v>#N/A</v>
      </c>
      <c r="D164" s="35" t="e">
        <f>VLOOKUP(C164,TS!N$2:Z$177,11,TRUE)</f>
        <v>#N/A</v>
      </c>
      <c r="E164" s="35" t="e">
        <f>VLOOKUP(C164,TS!N$2:Z$177,13,TRUE)*1000</f>
        <v>#N/A</v>
      </c>
      <c r="F164" s="35" t="e">
        <f t="shared" si="6"/>
        <v>#N/A</v>
      </c>
      <c r="G164" s="35" t="e">
        <f t="shared" si="7"/>
        <v>#N/A</v>
      </c>
      <c r="H164" s="35" t="e">
        <f>IF(G164&gt;0,H163-(5*'Gen Calcs'!C$41),'Air calcs'!H163)</f>
        <v>#N/A</v>
      </c>
      <c r="I164" s="35" t="e">
        <f>VLOOKUP('Air calcs'!C164,TS!N$2:O$177,2)</f>
        <v>#N/A</v>
      </c>
      <c r="J164" s="40" t="e">
        <f>((MAX(I164:I$205)-Inputs!C$3)-(MAX(I164:I$205)-I164))*0.433+K164</f>
        <v>#N/A</v>
      </c>
      <c r="K164" s="35" t="e">
        <f>14.7*B164/((C$2-C164)*'Gen Calcs'!C$29/7.48)-14.7</f>
        <v>#N/A</v>
      </c>
      <c r="L164" s="35" t="e">
        <f>(H$2-H164)*'Gen Calcs'!C$29</f>
        <v>#N/A</v>
      </c>
      <c r="M164" s="35" t="e">
        <f>(MAX(I164:I$205)-I$205)*0.433</f>
        <v>#N/A</v>
      </c>
    </row>
    <row r="165" spans="1:13" x14ac:dyDescent="0.25">
      <c r="A165" s="35">
        <v>815</v>
      </c>
      <c r="B165" s="35">
        <f>A165*'Gen Calcs'!C$36</f>
        <v>8150000</v>
      </c>
      <c r="C165" s="35" t="e">
        <f t="shared" si="8"/>
        <v>#N/A</v>
      </c>
      <c r="D165" s="35" t="e">
        <f>VLOOKUP(C165,TS!N$2:Z$177,11,TRUE)</f>
        <v>#N/A</v>
      </c>
      <c r="E165" s="35" t="e">
        <f>VLOOKUP(C165,TS!N$2:Z$177,13,TRUE)*1000</f>
        <v>#N/A</v>
      </c>
      <c r="F165" s="35" t="e">
        <f t="shared" si="6"/>
        <v>#N/A</v>
      </c>
      <c r="G165" s="35" t="e">
        <f t="shared" si="7"/>
        <v>#N/A</v>
      </c>
      <c r="H165" s="35" t="e">
        <f>IF(G165&gt;0,H164-(5*'Gen Calcs'!C$41),'Air calcs'!H164)</f>
        <v>#N/A</v>
      </c>
      <c r="I165" s="35" t="e">
        <f>VLOOKUP('Air calcs'!C165,TS!N$2:O$177,2)</f>
        <v>#N/A</v>
      </c>
      <c r="J165" s="40" t="e">
        <f>((MAX(I165:I$205)-Inputs!C$3)-(MAX(I165:I$205)-I165))*0.433+K165</f>
        <v>#N/A</v>
      </c>
      <c r="K165" s="35" t="e">
        <f>14.7*B165/((C$2-C165)*'Gen Calcs'!C$29/7.48)-14.7</f>
        <v>#N/A</v>
      </c>
      <c r="L165" s="35" t="e">
        <f>(H$2-H165)*'Gen Calcs'!C$29</f>
        <v>#N/A</v>
      </c>
      <c r="M165" s="35" t="e">
        <f>(MAX(I165:I$205)-I$205)*0.433</f>
        <v>#N/A</v>
      </c>
    </row>
    <row r="166" spans="1:13" x14ac:dyDescent="0.25">
      <c r="A166" s="35">
        <v>820</v>
      </c>
      <c r="B166" s="35">
        <f>A166*'Gen Calcs'!C$36</f>
        <v>8200000</v>
      </c>
      <c r="C166" s="35" t="e">
        <f t="shared" si="8"/>
        <v>#N/A</v>
      </c>
      <c r="D166" s="35" t="e">
        <f>VLOOKUP(C166,TS!N$2:Z$177,11,TRUE)</f>
        <v>#N/A</v>
      </c>
      <c r="E166" s="35" t="e">
        <f>VLOOKUP(C166,TS!N$2:Z$177,13,TRUE)*1000</f>
        <v>#N/A</v>
      </c>
      <c r="F166" s="35" t="e">
        <f t="shared" si="6"/>
        <v>#N/A</v>
      </c>
      <c r="G166" s="35" t="e">
        <f t="shared" si="7"/>
        <v>#N/A</v>
      </c>
      <c r="H166" s="35" t="e">
        <f>IF(G166&gt;0,H165-(5*'Gen Calcs'!C$41),'Air calcs'!H165)</f>
        <v>#N/A</v>
      </c>
      <c r="I166" s="35" t="e">
        <f>VLOOKUP('Air calcs'!C166,TS!N$2:O$177,2)</f>
        <v>#N/A</v>
      </c>
      <c r="J166" s="40" t="e">
        <f>((MAX(I166:I$205)-Inputs!C$3)-(MAX(I166:I$205)-I166))*0.433+K166</f>
        <v>#N/A</v>
      </c>
      <c r="K166" s="35" t="e">
        <f>14.7*B166/((C$2-C166)*'Gen Calcs'!C$29/7.48)-14.7</f>
        <v>#N/A</v>
      </c>
      <c r="L166" s="35" t="e">
        <f>(H$2-H166)*'Gen Calcs'!C$29</f>
        <v>#N/A</v>
      </c>
      <c r="M166" s="35" t="e">
        <f>(MAX(I166:I$205)-I$205)*0.433</f>
        <v>#N/A</v>
      </c>
    </row>
    <row r="167" spans="1:13" x14ac:dyDescent="0.25">
      <c r="A167" s="35">
        <v>825</v>
      </c>
      <c r="B167" s="35">
        <f>A167*'Gen Calcs'!C$36</f>
        <v>8250000</v>
      </c>
      <c r="C167" s="35" t="e">
        <f t="shared" si="8"/>
        <v>#N/A</v>
      </c>
      <c r="D167" s="35" t="e">
        <f>VLOOKUP(C167,TS!N$2:Z$177,11,TRUE)</f>
        <v>#N/A</v>
      </c>
      <c r="E167" s="35" t="e">
        <f>VLOOKUP(C167,TS!N$2:Z$177,13,TRUE)*1000</f>
        <v>#N/A</v>
      </c>
      <c r="F167" s="35" t="e">
        <f t="shared" si="6"/>
        <v>#N/A</v>
      </c>
      <c r="G167" s="35" t="e">
        <f t="shared" si="7"/>
        <v>#N/A</v>
      </c>
      <c r="H167" s="35" t="e">
        <f>IF(G167&gt;0,H166-(5*'Gen Calcs'!C$41),'Air calcs'!H166)</f>
        <v>#N/A</v>
      </c>
      <c r="I167" s="35" t="e">
        <f>VLOOKUP('Air calcs'!C167,TS!N$2:O$177,2)</f>
        <v>#N/A</v>
      </c>
      <c r="J167" s="40" t="e">
        <f>((MAX(I167:I$205)-Inputs!C$3)-(MAX(I167:I$205)-I167))*0.433+K167</f>
        <v>#N/A</v>
      </c>
      <c r="K167" s="35" t="e">
        <f>14.7*B167/((C$2-C167)*'Gen Calcs'!C$29/7.48)-14.7</f>
        <v>#N/A</v>
      </c>
      <c r="L167" s="35" t="e">
        <f>(H$2-H167)*'Gen Calcs'!C$29</f>
        <v>#N/A</v>
      </c>
      <c r="M167" s="35" t="e">
        <f>(MAX(I167:I$205)-I$205)*0.433</f>
        <v>#N/A</v>
      </c>
    </row>
    <row r="168" spans="1:13" x14ac:dyDescent="0.25">
      <c r="A168" s="35">
        <v>830</v>
      </c>
      <c r="B168" s="35">
        <f>A168*'Gen Calcs'!C$36</f>
        <v>8300000</v>
      </c>
      <c r="C168" s="35" t="e">
        <f t="shared" si="8"/>
        <v>#N/A</v>
      </c>
      <c r="D168" s="35" t="e">
        <f>VLOOKUP(C168,TS!N$2:Z$177,11,TRUE)</f>
        <v>#N/A</v>
      </c>
      <c r="E168" s="35" t="e">
        <f>VLOOKUP(C168,TS!N$2:Z$177,13,TRUE)*1000</f>
        <v>#N/A</v>
      </c>
      <c r="F168" s="35" t="e">
        <f t="shared" si="6"/>
        <v>#N/A</v>
      </c>
      <c r="G168" s="35" t="e">
        <f t="shared" si="7"/>
        <v>#N/A</v>
      </c>
      <c r="H168" s="35" t="e">
        <f>IF(G168&gt;0,H167-(5*'Gen Calcs'!C$41),'Air calcs'!H167)</f>
        <v>#N/A</v>
      </c>
      <c r="I168" s="35" t="e">
        <f>VLOOKUP('Air calcs'!C168,TS!N$2:O$177,2)</f>
        <v>#N/A</v>
      </c>
      <c r="J168" s="40" t="e">
        <f>((MAX(I168:I$205)-Inputs!C$3)-(MAX(I168:I$205)-I168))*0.433+K168</f>
        <v>#N/A</v>
      </c>
      <c r="K168" s="35" t="e">
        <f>14.7*B168/((C$2-C168)*'Gen Calcs'!C$29/7.48)-14.7</f>
        <v>#N/A</v>
      </c>
      <c r="L168" s="35" t="e">
        <f>(H$2-H168)*'Gen Calcs'!C$29</f>
        <v>#N/A</v>
      </c>
      <c r="M168" s="35" t="e">
        <f>(MAX(I168:I$205)-I$205)*0.433</f>
        <v>#N/A</v>
      </c>
    </row>
    <row r="169" spans="1:13" x14ac:dyDescent="0.25">
      <c r="A169" s="35">
        <v>835</v>
      </c>
      <c r="B169" s="35">
        <f>A169*'Gen Calcs'!C$36</f>
        <v>8350000</v>
      </c>
      <c r="C169" s="35" t="e">
        <f t="shared" si="8"/>
        <v>#N/A</v>
      </c>
      <c r="D169" s="35" t="e">
        <f>VLOOKUP(C169,TS!N$2:Z$177,11,TRUE)</f>
        <v>#N/A</v>
      </c>
      <c r="E169" s="35" t="e">
        <f>VLOOKUP(C169,TS!N$2:Z$177,13,TRUE)*1000</f>
        <v>#N/A</v>
      </c>
      <c r="F169" s="35" t="e">
        <f t="shared" si="6"/>
        <v>#N/A</v>
      </c>
      <c r="G169" s="35" t="e">
        <f t="shared" si="7"/>
        <v>#N/A</v>
      </c>
      <c r="H169" s="35" t="e">
        <f>IF(G169&gt;0,H168-(5*'Gen Calcs'!C$41),'Air calcs'!H168)</f>
        <v>#N/A</v>
      </c>
      <c r="I169" s="35" t="e">
        <f>VLOOKUP('Air calcs'!C169,TS!N$2:O$177,2)</f>
        <v>#N/A</v>
      </c>
      <c r="J169" s="40" t="e">
        <f>((MAX(I169:I$205)-Inputs!C$3)-(MAX(I169:I$205)-I169))*0.433+K169</f>
        <v>#N/A</v>
      </c>
      <c r="K169" s="35" t="e">
        <f>14.7*B169/((C$2-C169)*'Gen Calcs'!C$29/7.48)-14.7</f>
        <v>#N/A</v>
      </c>
      <c r="L169" s="35" t="e">
        <f>(H$2-H169)*'Gen Calcs'!C$29</f>
        <v>#N/A</v>
      </c>
      <c r="M169" s="35" t="e">
        <f>(MAX(I169:I$205)-I$205)*0.433</f>
        <v>#N/A</v>
      </c>
    </row>
    <row r="170" spans="1:13" x14ac:dyDescent="0.25">
      <c r="A170" s="35">
        <v>840</v>
      </c>
      <c r="B170" s="35">
        <f>A170*'Gen Calcs'!C$36</f>
        <v>8400000</v>
      </c>
      <c r="C170" s="35" t="e">
        <f t="shared" si="8"/>
        <v>#N/A</v>
      </c>
      <c r="D170" s="35" t="e">
        <f>VLOOKUP(C170,TS!N$2:Z$177,11,TRUE)</f>
        <v>#N/A</v>
      </c>
      <c r="E170" s="35" t="e">
        <f>VLOOKUP(C170,TS!N$2:Z$177,13,TRUE)*1000</f>
        <v>#N/A</v>
      </c>
      <c r="F170" s="35" t="e">
        <f t="shared" si="6"/>
        <v>#N/A</v>
      </c>
      <c r="G170" s="35" t="e">
        <f t="shared" si="7"/>
        <v>#N/A</v>
      </c>
      <c r="H170" s="35" t="e">
        <f>IF(G170&gt;0,H169-(5*'Gen Calcs'!C$41),'Air calcs'!H169)</f>
        <v>#N/A</v>
      </c>
      <c r="I170" s="35" t="e">
        <f>VLOOKUP('Air calcs'!C170,TS!N$2:O$177,2)</f>
        <v>#N/A</v>
      </c>
      <c r="J170" s="40" t="e">
        <f>((MAX(I170:I$205)-Inputs!C$3)-(MAX(I170:I$205)-I170))*0.433+K170</f>
        <v>#N/A</v>
      </c>
      <c r="K170" s="35" t="e">
        <f>14.7*B170/((C$2-C170)*'Gen Calcs'!C$29/7.48)-14.7</f>
        <v>#N/A</v>
      </c>
      <c r="L170" s="35" t="e">
        <f>(H$2-H170)*'Gen Calcs'!C$29</f>
        <v>#N/A</v>
      </c>
      <c r="M170" s="35" t="e">
        <f>(MAX(I170:I$205)-I$205)*0.433</f>
        <v>#N/A</v>
      </c>
    </row>
    <row r="171" spans="1:13" x14ac:dyDescent="0.25">
      <c r="A171" s="35">
        <v>845</v>
      </c>
      <c r="B171" s="35">
        <f>A171*'Gen Calcs'!C$36</f>
        <v>8450000</v>
      </c>
      <c r="C171" s="35" t="e">
        <f t="shared" si="8"/>
        <v>#N/A</v>
      </c>
      <c r="D171" s="35" t="e">
        <f>VLOOKUP(C171,TS!N$2:Z$177,11,TRUE)</f>
        <v>#N/A</v>
      </c>
      <c r="E171" s="35" t="e">
        <f>VLOOKUP(C171,TS!N$2:Z$177,13,TRUE)*1000</f>
        <v>#N/A</v>
      </c>
      <c r="F171" s="35" t="e">
        <f t="shared" si="6"/>
        <v>#N/A</v>
      </c>
      <c r="G171" s="35" t="e">
        <f t="shared" si="7"/>
        <v>#N/A</v>
      </c>
      <c r="H171" s="35" t="e">
        <f>IF(G171&gt;0,H170-(5*'Gen Calcs'!C$41),'Air calcs'!H170)</f>
        <v>#N/A</v>
      </c>
      <c r="I171" s="35" t="e">
        <f>VLOOKUP('Air calcs'!C171,TS!N$2:O$177,2)</f>
        <v>#N/A</v>
      </c>
      <c r="J171" s="40" t="e">
        <f>((MAX(I171:I$205)-Inputs!C$3)-(MAX(I171:I$205)-I171))*0.433+K171</f>
        <v>#N/A</v>
      </c>
      <c r="K171" s="35" t="e">
        <f>14.7*B171/((C$2-C171)*'Gen Calcs'!C$29/7.48)-14.7</f>
        <v>#N/A</v>
      </c>
      <c r="L171" s="35" t="e">
        <f>(H$2-H171)*'Gen Calcs'!C$29</f>
        <v>#N/A</v>
      </c>
      <c r="M171" s="35" t="e">
        <f>(MAX(I171:I$205)-I$205)*0.433</f>
        <v>#N/A</v>
      </c>
    </row>
    <row r="172" spans="1:13" s="38" customFormat="1" x14ac:dyDescent="0.25">
      <c r="A172" s="36">
        <v>850</v>
      </c>
      <c r="B172" s="36">
        <f>A172*'Gen Calcs'!C$36</f>
        <v>8500000</v>
      </c>
      <c r="C172" s="36" t="e">
        <f t="shared" si="8"/>
        <v>#N/A</v>
      </c>
      <c r="D172" s="35" t="e">
        <f>VLOOKUP(C172,TS!N$2:Z$177,11,TRUE)</f>
        <v>#N/A</v>
      </c>
      <c r="E172" s="35" t="e">
        <f>VLOOKUP(C172,TS!N$2:Z$177,13,TRUE)*1000</f>
        <v>#N/A</v>
      </c>
      <c r="F172" s="36" t="e">
        <f t="shared" si="6"/>
        <v>#N/A</v>
      </c>
      <c r="G172" s="36" t="e">
        <f t="shared" si="7"/>
        <v>#N/A</v>
      </c>
      <c r="H172" s="36" t="e">
        <f>IF(G172&gt;0,H171-(5*'Gen Calcs'!C$41),'Air calcs'!H171)</f>
        <v>#N/A</v>
      </c>
      <c r="I172" s="35" t="e">
        <f>VLOOKUP('Air calcs'!C172,TS!N$2:O$177,2)</f>
        <v>#N/A</v>
      </c>
      <c r="J172" s="40" t="e">
        <f>((MAX(I172:I$205)-Inputs!C$3)-(MAX(I172:I$205)-I172))*0.433+K172</f>
        <v>#N/A</v>
      </c>
      <c r="K172" s="35" t="e">
        <f>14.7*B172/((C$2-C172)*'Gen Calcs'!C$29/7.48)-14.7</f>
        <v>#N/A</v>
      </c>
      <c r="L172" s="35" t="e">
        <f>(H$2-H172)*'Gen Calcs'!C$29</f>
        <v>#N/A</v>
      </c>
      <c r="M172" s="35" t="e">
        <f>(MAX(I172:I$205)-I$205)*0.433</f>
        <v>#N/A</v>
      </c>
    </row>
    <row r="173" spans="1:13" x14ac:dyDescent="0.25">
      <c r="A173" s="35">
        <v>855</v>
      </c>
      <c r="B173" s="35">
        <f>A173*'Gen Calcs'!C$36</f>
        <v>8550000</v>
      </c>
      <c r="C173" s="35" t="e">
        <f t="shared" si="8"/>
        <v>#N/A</v>
      </c>
      <c r="D173" s="35" t="e">
        <f>VLOOKUP(C173,TS!N$2:Z$177,11,TRUE)</f>
        <v>#N/A</v>
      </c>
      <c r="E173" s="35" t="e">
        <f>VLOOKUP(C173,TS!N$2:Z$177,13,TRUE)*1000</f>
        <v>#N/A</v>
      </c>
      <c r="F173" s="35" t="e">
        <f t="shared" si="6"/>
        <v>#N/A</v>
      </c>
      <c r="G173" s="35" t="e">
        <f t="shared" si="7"/>
        <v>#N/A</v>
      </c>
      <c r="H173" s="35" t="e">
        <f>IF(G173&gt;0,H172-(5*'Gen Calcs'!C$41),'Air calcs'!H172)</f>
        <v>#N/A</v>
      </c>
      <c r="I173" s="35" t="e">
        <f>VLOOKUP('Air calcs'!C173,TS!N$2:O$177,2)</f>
        <v>#N/A</v>
      </c>
      <c r="J173" s="40" t="e">
        <f>((MAX(I173:I$205)-Inputs!C$3)-(MAX(I173:I$205)-I173))*0.433+K173</f>
        <v>#N/A</v>
      </c>
      <c r="K173" s="35" t="e">
        <f>14.7*B173/((C$2-C173)*'Gen Calcs'!C$29/7.48)-14.7</f>
        <v>#N/A</v>
      </c>
      <c r="L173" s="35" t="e">
        <f>(H$2-H173)*'Gen Calcs'!C$29</f>
        <v>#N/A</v>
      </c>
      <c r="M173" s="35" t="e">
        <f>(MAX(I173:I$205)-I$205)*0.433</f>
        <v>#N/A</v>
      </c>
    </row>
    <row r="174" spans="1:13" x14ac:dyDescent="0.25">
      <c r="A174" s="35">
        <v>860</v>
      </c>
      <c r="B174" s="35">
        <f>A174*'Gen Calcs'!C$36</f>
        <v>8600000</v>
      </c>
      <c r="C174" s="35" t="e">
        <f t="shared" si="8"/>
        <v>#N/A</v>
      </c>
      <c r="D174" s="35" t="e">
        <f>VLOOKUP(C174,TS!N$2:Z$177,11,TRUE)</f>
        <v>#N/A</v>
      </c>
      <c r="E174" s="35" t="e">
        <f>VLOOKUP(C174,TS!N$2:Z$177,13,TRUE)*1000</f>
        <v>#N/A</v>
      </c>
      <c r="F174" s="35" t="e">
        <f t="shared" si="6"/>
        <v>#N/A</v>
      </c>
      <c r="G174" s="35" t="e">
        <f t="shared" si="7"/>
        <v>#N/A</v>
      </c>
      <c r="H174" s="35" t="e">
        <f>IF(G174&gt;0,H173-(5*'Gen Calcs'!C$41),'Air calcs'!H173)</f>
        <v>#N/A</v>
      </c>
      <c r="I174" s="35" t="e">
        <f>VLOOKUP('Air calcs'!C174,TS!N$2:O$177,2)</f>
        <v>#N/A</v>
      </c>
      <c r="J174" s="40" t="e">
        <f>((MAX(I174:I$205)-Inputs!C$3)-(MAX(I174:I$205)-I174))*0.433+K174</f>
        <v>#N/A</v>
      </c>
      <c r="K174" s="35" t="e">
        <f>14.7*B174/((C$2-C174)*'Gen Calcs'!C$29/7.48)-14.7</f>
        <v>#N/A</v>
      </c>
      <c r="L174" s="35" t="e">
        <f>(H$2-H174)*'Gen Calcs'!C$29</f>
        <v>#N/A</v>
      </c>
      <c r="M174" s="35" t="e">
        <f>(MAX(I174:I$205)-I$205)*0.433</f>
        <v>#N/A</v>
      </c>
    </row>
    <row r="175" spans="1:13" x14ac:dyDescent="0.25">
      <c r="A175" s="35">
        <v>865</v>
      </c>
      <c r="B175" s="35">
        <f>A175*'Gen Calcs'!C$36</f>
        <v>8650000</v>
      </c>
      <c r="C175" s="35" t="e">
        <f t="shared" si="8"/>
        <v>#N/A</v>
      </c>
      <c r="D175" s="35" t="e">
        <f>VLOOKUP(C175,TS!N$2:Z$177,11,TRUE)</f>
        <v>#N/A</v>
      </c>
      <c r="E175" s="35" t="e">
        <f>VLOOKUP(C175,TS!N$2:Z$177,13,TRUE)*1000</f>
        <v>#N/A</v>
      </c>
      <c r="F175" s="35" t="e">
        <f t="shared" si="6"/>
        <v>#N/A</v>
      </c>
      <c r="G175" s="35" t="e">
        <f t="shared" si="7"/>
        <v>#N/A</v>
      </c>
      <c r="H175" s="35" t="e">
        <f>IF(G175&gt;0,H174-(5*'Gen Calcs'!C$41),'Air calcs'!H174)</f>
        <v>#N/A</v>
      </c>
      <c r="I175" s="35" t="e">
        <f>VLOOKUP('Air calcs'!C175,TS!N$2:O$177,2)</f>
        <v>#N/A</v>
      </c>
      <c r="J175" s="40" t="e">
        <f>((MAX(I175:I$205)-Inputs!C$3)-(MAX(I175:I$205)-I175))*0.433+K175</f>
        <v>#N/A</v>
      </c>
      <c r="K175" s="35" t="e">
        <f>14.7*B175/((C$2-C175)*'Gen Calcs'!C$29/7.48)-14.7</f>
        <v>#N/A</v>
      </c>
      <c r="L175" s="35" t="e">
        <f>(H$2-H175)*'Gen Calcs'!C$29</f>
        <v>#N/A</v>
      </c>
      <c r="M175" s="35" t="e">
        <f>(MAX(I175:I$205)-I$205)*0.433</f>
        <v>#N/A</v>
      </c>
    </row>
    <row r="176" spans="1:13" x14ac:dyDescent="0.25">
      <c r="A176" s="35">
        <v>870</v>
      </c>
      <c r="B176" s="35">
        <f>A176*'Gen Calcs'!C$36</f>
        <v>8700000</v>
      </c>
      <c r="C176" s="35" t="e">
        <f t="shared" si="8"/>
        <v>#N/A</v>
      </c>
      <c r="D176" s="35" t="e">
        <f>VLOOKUP(C176,TS!N$2:Z$177,11,TRUE)</f>
        <v>#N/A</v>
      </c>
      <c r="E176" s="35" t="e">
        <f>VLOOKUP(C176,TS!N$2:Z$177,13,TRUE)*1000</f>
        <v>#N/A</v>
      </c>
      <c r="F176" s="35" t="e">
        <f t="shared" si="6"/>
        <v>#N/A</v>
      </c>
      <c r="G176" s="35" t="e">
        <f t="shared" si="7"/>
        <v>#N/A</v>
      </c>
      <c r="H176" s="35" t="e">
        <f>IF(G176&gt;0,H175-(5*'Gen Calcs'!C$41),'Air calcs'!H175)</f>
        <v>#N/A</v>
      </c>
      <c r="I176" s="35" t="e">
        <f>VLOOKUP('Air calcs'!C176,TS!N$2:O$177,2)</f>
        <v>#N/A</v>
      </c>
      <c r="J176" s="40" t="e">
        <f>((MAX(I176:I$205)-Inputs!C$3)-(MAX(I176:I$205)-I176))*0.433+K176</f>
        <v>#N/A</v>
      </c>
      <c r="K176" s="35" t="e">
        <f>14.7*B176/((C$2-C176)*'Gen Calcs'!C$29/7.48)-14.7</f>
        <v>#N/A</v>
      </c>
      <c r="L176" s="35" t="e">
        <f>(H$2-H176)*'Gen Calcs'!C$29</f>
        <v>#N/A</v>
      </c>
      <c r="M176" s="35" t="e">
        <f>(MAX(I176:I$205)-I$205)*0.433</f>
        <v>#N/A</v>
      </c>
    </row>
    <row r="177" spans="1:13" x14ac:dyDescent="0.25">
      <c r="A177" s="35">
        <v>875</v>
      </c>
      <c r="B177" s="35">
        <f>A177*'Gen Calcs'!C$36</f>
        <v>8750000</v>
      </c>
      <c r="C177" s="35" t="e">
        <f t="shared" si="8"/>
        <v>#N/A</v>
      </c>
      <c r="D177" s="35" t="e">
        <f>VLOOKUP(C177,TS!N$2:Z$177,11,TRUE)</f>
        <v>#N/A</v>
      </c>
      <c r="E177" s="35" t="e">
        <f>VLOOKUP(C177,TS!N$2:Z$177,13,TRUE)*1000</f>
        <v>#N/A</v>
      </c>
      <c r="F177" s="35" t="e">
        <f t="shared" si="6"/>
        <v>#N/A</v>
      </c>
      <c r="G177" s="35" t="e">
        <f t="shared" si="7"/>
        <v>#N/A</v>
      </c>
      <c r="H177" s="35" t="e">
        <f>IF(G177&gt;0,H176-(5*'Gen Calcs'!C$41),'Air calcs'!H176)</f>
        <v>#N/A</v>
      </c>
      <c r="I177" s="35" t="e">
        <f>VLOOKUP('Air calcs'!C177,TS!N$2:O$177,2)</f>
        <v>#N/A</v>
      </c>
      <c r="J177" s="40" t="e">
        <f>((MAX(I177:I$205)-Inputs!C$3)-(MAX(I177:I$205)-I177))*0.433+K177</f>
        <v>#N/A</v>
      </c>
      <c r="K177" s="35" t="e">
        <f>14.7*B177/((C$2-C177)*'Gen Calcs'!C$29/7.48)-14.7</f>
        <v>#N/A</v>
      </c>
      <c r="L177" s="35" t="e">
        <f>(H$2-H177)*'Gen Calcs'!C$29</f>
        <v>#N/A</v>
      </c>
      <c r="M177" s="35" t="e">
        <f>(MAX(I177:I$205)-I$205)*0.433</f>
        <v>#N/A</v>
      </c>
    </row>
    <row r="178" spans="1:13" x14ac:dyDescent="0.25">
      <c r="A178" s="35">
        <v>880</v>
      </c>
      <c r="B178" s="35">
        <f>A178*'Gen Calcs'!C$36</f>
        <v>8800000</v>
      </c>
      <c r="C178" s="35" t="e">
        <f t="shared" si="8"/>
        <v>#N/A</v>
      </c>
      <c r="D178" s="35" t="e">
        <f>VLOOKUP(C178,TS!N$2:Z$177,11,TRUE)</f>
        <v>#N/A</v>
      </c>
      <c r="E178" s="35" t="e">
        <f>VLOOKUP(C178,TS!N$2:Z$177,13,TRUE)*1000</f>
        <v>#N/A</v>
      </c>
      <c r="F178" s="35" t="e">
        <f t="shared" si="6"/>
        <v>#N/A</v>
      </c>
      <c r="G178" s="35" t="e">
        <f t="shared" si="7"/>
        <v>#N/A</v>
      </c>
      <c r="H178" s="35" t="e">
        <f>IF(G178&gt;0,H177-(5*'Gen Calcs'!C$41),'Air calcs'!H177)</f>
        <v>#N/A</v>
      </c>
      <c r="I178" s="35" t="e">
        <f>VLOOKUP('Air calcs'!C178,TS!N$2:O$177,2)</f>
        <v>#N/A</v>
      </c>
      <c r="J178" s="40" t="e">
        <f>((MAX(I178:I$205)-Inputs!C$3)-(MAX(I178:I$205)-I178))*0.433+K178</f>
        <v>#N/A</v>
      </c>
      <c r="K178" s="35" t="e">
        <f>14.7*B178/((C$2-C178)*'Gen Calcs'!C$29/7.48)-14.7</f>
        <v>#N/A</v>
      </c>
      <c r="L178" s="35" t="e">
        <f>(H$2-H178)*'Gen Calcs'!C$29</f>
        <v>#N/A</v>
      </c>
      <c r="M178" s="35" t="e">
        <f>(MAX(I178:I$205)-I$205)*0.433</f>
        <v>#N/A</v>
      </c>
    </row>
    <row r="179" spans="1:13" x14ac:dyDescent="0.25">
      <c r="A179" s="35">
        <v>885</v>
      </c>
      <c r="B179" s="35">
        <f>A179*'Gen Calcs'!C$36</f>
        <v>8850000</v>
      </c>
      <c r="C179" s="35" t="e">
        <f t="shared" si="8"/>
        <v>#N/A</v>
      </c>
      <c r="D179" s="35" t="e">
        <f>VLOOKUP(C179,TS!N$2:Z$177,11,TRUE)</f>
        <v>#N/A</v>
      </c>
      <c r="E179" s="35" t="e">
        <f>VLOOKUP(C179,TS!N$2:Z$177,13,TRUE)*1000</f>
        <v>#N/A</v>
      </c>
      <c r="F179" s="35" t="e">
        <f t="shared" si="6"/>
        <v>#N/A</v>
      </c>
      <c r="G179" s="35" t="e">
        <f t="shared" si="7"/>
        <v>#N/A</v>
      </c>
      <c r="H179" s="35" t="e">
        <f>IF(G179&gt;0,H178-(5*'Gen Calcs'!C$41),'Air calcs'!H178)</f>
        <v>#N/A</v>
      </c>
      <c r="I179" s="35" t="e">
        <f>VLOOKUP('Air calcs'!C179,TS!N$2:O$177,2)</f>
        <v>#N/A</v>
      </c>
      <c r="J179" s="40" t="e">
        <f>((MAX(I179:I$205)-Inputs!C$3)-(MAX(I179:I$205)-I179))*0.433+K179</f>
        <v>#N/A</v>
      </c>
      <c r="K179" s="35" t="e">
        <f>14.7*B179/((C$2-C179)*'Gen Calcs'!C$29/7.48)-14.7</f>
        <v>#N/A</v>
      </c>
      <c r="L179" s="35" t="e">
        <f>(H$2-H179)*'Gen Calcs'!C$29</f>
        <v>#N/A</v>
      </c>
      <c r="M179" s="35" t="e">
        <f>(MAX(I179:I$205)-I$205)*0.433</f>
        <v>#N/A</v>
      </c>
    </row>
    <row r="180" spans="1:13" x14ac:dyDescent="0.25">
      <c r="A180" s="35">
        <v>890</v>
      </c>
      <c r="B180" s="35">
        <f>A180*'Gen Calcs'!C$36</f>
        <v>8900000</v>
      </c>
      <c r="C180" s="35" t="e">
        <f t="shared" si="8"/>
        <v>#N/A</v>
      </c>
      <c r="D180" s="35" t="e">
        <f>VLOOKUP(C180,TS!N$2:Z$177,11,TRUE)</f>
        <v>#N/A</v>
      </c>
      <c r="E180" s="35" t="e">
        <f>VLOOKUP(C180,TS!N$2:Z$177,13,TRUE)*1000</f>
        <v>#N/A</v>
      </c>
      <c r="F180" s="35" t="e">
        <f t="shared" si="6"/>
        <v>#N/A</v>
      </c>
      <c r="G180" s="35" t="e">
        <f t="shared" si="7"/>
        <v>#N/A</v>
      </c>
      <c r="H180" s="35" t="e">
        <f>IF(G180&gt;0,H179-(5*'Gen Calcs'!C$41),'Air calcs'!H179)</f>
        <v>#N/A</v>
      </c>
      <c r="I180" s="35" t="e">
        <f>VLOOKUP('Air calcs'!C180,TS!N$2:O$177,2)</f>
        <v>#N/A</v>
      </c>
      <c r="J180" s="40" t="e">
        <f>((MAX(I180:I$205)-Inputs!C$3)-(MAX(I180:I$205)-I180))*0.433+K180</f>
        <v>#N/A</v>
      </c>
      <c r="K180" s="35" t="e">
        <f>14.7*B180/((C$2-C180)*'Gen Calcs'!C$29/7.48)-14.7</f>
        <v>#N/A</v>
      </c>
      <c r="L180" s="35" t="e">
        <f>(H$2-H180)*'Gen Calcs'!C$29</f>
        <v>#N/A</v>
      </c>
      <c r="M180" s="35" t="e">
        <f>(MAX(I180:I$205)-I$205)*0.433</f>
        <v>#N/A</v>
      </c>
    </row>
    <row r="181" spans="1:13" x14ac:dyDescent="0.25">
      <c r="A181" s="35">
        <v>895</v>
      </c>
      <c r="B181" s="35">
        <f>A181*'Gen Calcs'!C$36</f>
        <v>8950000</v>
      </c>
      <c r="C181" s="35" t="e">
        <f t="shared" si="8"/>
        <v>#N/A</v>
      </c>
      <c r="D181" s="35" t="e">
        <f>VLOOKUP(C181,TS!N$2:Z$177,11,TRUE)</f>
        <v>#N/A</v>
      </c>
      <c r="E181" s="35" t="e">
        <f>VLOOKUP(C181,TS!N$2:Z$177,13,TRUE)*1000</f>
        <v>#N/A</v>
      </c>
      <c r="F181" s="35" t="e">
        <f t="shared" si="6"/>
        <v>#N/A</v>
      </c>
      <c r="G181" s="35" t="e">
        <f t="shared" si="7"/>
        <v>#N/A</v>
      </c>
      <c r="H181" s="35" t="e">
        <f>IF(G181&gt;0,H180-(5*'Gen Calcs'!C$41),'Air calcs'!H180)</f>
        <v>#N/A</v>
      </c>
      <c r="I181" s="35" t="e">
        <f>VLOOKUP('Air calcs'!C181,TS!N$2:O$177,2)</f>
        <v>#N/A</v>
      </c>
      <c r="J181" s="40" t="e">
        <f>((MAX(I181:I$205)-Inputs!C$3)-(MAX(I181:I$205)-I181))*0.433+K181</f>
        <v>#N/A</v>
      </c>
      <c r="K181" s="35" t="e">
        <f>14.7*B181/((C$2-C181)*'Gen Calcs'!C$29/7.48)-14.7</f>
        <v>#N/A</v>
      </c>
      <c r="L181" s="35" t="e">
        <f>(H$2-H181)*'Gen Calcs'!C$29</f>
        <v>#N/A</v>
      </c>
      <c r="M181" s="35" t="e">
        <f>(MAX(I181:I$205)-I$205)*0.433</f>
        <v>#N/A</v>
      </c>
    </row>
    <row r="182" spans="1:13" x14ac:dyDescent="0.25">
      <c r="A182" s="35">
        <v>900</v>
      </c>
      <c r="B182" s="35">
        <f>A182*'Gen Calcs'!C$36</f>
        <v>9000000</v>
      </c>
      <c r="C182" s="35" t="e">
        <f t="shared" si="8"/>
        <v>#N/A</v>
      </c>
      <c r="D182" s="35" t="e">
        <f>VLOOKUP(C182,TS!N$2:Z$177,11,TRUE)</f>
        <v>#N/A</v>
      </c>
      <c r="E182" s="35" t="e">
        <f>VLOOKUP(C182,TS!N$2:Z$177,13,TRUE)*1000</f>
        <v>#N/A</v>
      </c>
      <c r="F182" s="35" t="e">
        <f t="shared" si="6"/>
        <v>#N/A</v>
      </c>
      <c r="G182" s="35" t="e">
        <f t="shared" si="7"/>
        <v>#N/A</v>
      </c>
      <c r="H182" s="35" t="e">
        <f>IF(G182&gt;0,H181-(5*'Gen Calcs'!C$41),'Air calcs'!H181)</f>
        <v>#N/A</v>
      </c>
      <c r="I182" s="35" t="e">
        <f>VLOOKUP('Air calcs'!C182,TS!N$2:O$177,2)</f>
        <v>#N/A</v>
      </c>
      <c r="J182" s="40" t="e">
        <f>((MAX(I182:I$205)-Inputs!C$3)-(MAX(I182:I$205)-I182))*0.433+K182</f>
        <v>#N/A</v>
      </c>
      <c r="K182" s="35" t="e">
        <f>14.7*B182/((C$2-C182)*'Gen Calcs'!C$29/7.48)-14.7</f>
        <v>#N/A</v>
      </c>
      <c r="L182" s="35" t="e">
        <f>(H$2-H182)*'Gen Calcs'!C$29</f>
        <v>#N/A</v>
      </c>
      <c r="M182" s="35" t="e">
        <f>(MAX(I182:I$205)-I$205)*0.433</f>
        <v>#N/A</v>
      </c>
    </row>
    <row r="183" spans="1:13" x14ac:dyDescent="0.25">
      <c r="A183" s="35">
        <v>905</v>
      </c>
      <c r="B183" s="35">
        <f>A183*'Gen Calcs'!C$36</f>
        <v>9050000</v>
      </c>
      <c r="C183" s="35" t="e">
        <f t="shared" si="8"/>
        <v>#N/A</v>
      </c>
      <c r="D183" s="35" t="e">
        <f>VLOOKUP(C183,TS!N$2:Z$177,11,TRUE)</f>
        <v>#N/A</v>
      </c>
      <c r="E183" s="35" t="e">
        <f>VLOOKUP(C183,TS!N$2:Z$177,13,TRUE)*1000</f>
        <v>#N/A</v>
      </c>
      <c r="F183" s="35" t="e">
        <f t="shared" si="6"/>
        <v>#N/A</v>
      </c>
      <c r="G183" s="35" t="e">
        <f t="shared" si="7"/>
        <v>#N/A</v>
      </c>
      <c r="H183" s="35" t="e">
        <f>IF(G183&gt;0,H182-(5*'Gen Calcs'!C$41),'Air calcs'!H182)</f>
        <v>#N/A</v>
      </c>
      <c r="I183" s="35" t="e">
        <f>VLOOKUP('Air calcs'!C183,TS!N$2:O$177,2)</f>
        <v>#N/A</v>
      </c>
      <c r="J183" s="40" t="e">
        <f>((MAX(I183:I$205)-Inputs!C$3)-(MAX(I183:I$205)-I183))*0.433+K183</f>
        <v>#N/A</v>
      </c>
      <c r="K183" s="35" t="e">
        <f>14.7*B183/((C$2-C183)*'Gen Calcs'!C$29/7.48)-14.7</f>
        <v>#N/A</v>
      </c>
      <c r="L183" s="35" t="e">
        <f>(H$2-H183)*'Gen Calcs'!C$29</f>
        <v>#N/A</v>
      </c>
      <c r="M183" s="35" t="e">
        <f>(MAX(I183:I$205)-I$205)*0.433</f>
        <v>#N/A</v>
      </c>
    </row>
    <row r="184" spans="1:13" x14ac:dyDescent="0.25">
      <c r="A184" s="35">
        <v>910</v>
      </c>
      <c r="B184" s="35">
        <f>A184*'Gen Calcs'!C$36</f>
        <v>9100000</v>
      </c>
      <c r="C184" s="35" t="e">
        <f t="shared" si="8"/>
        <v>#N/A</v>
      </c>
      <c r="D184" s="35" t="e">
        <f>VLOOKUP(C184,TS!N$2:Z$177,11,TRUE)</f>
        <v>#N/A</v>
      </c>
      <c r="E184" s="35" t="e">
        <f>VLOOKUP(C184,TS!N$2:Z$177,13,TRUE)*1000</f>
        <v>#N/A</v>
      </c>
      <c r="F184" s="35" t="e">
        <f t="shared" si="6"/>
        <v>#N/A</v>
      </c>
      <c r="G184" s="35" t="e">
        <f t="shared" si="7"/>
        <v>#N/A</v>
      </c>
      <c r="H184" s="35" t="e">
        <f>IF(G184&gt;0,H183-(5*'Gen Calcs'!C$41),'Air calcs'!H183)</f>
        <v>#N/A</v>
      </c>
      <c r="I184" s="35" t="e">
        <f>VLOOKUP('Air calcs'!C184,TS!N$2:O$177,2)</f>
        <v>#N/A</v>
      </c>
      <c r="J184" s="40" t="e">
        <f>((MAX(I184:I$205)-Inputs!C$3)-(MAX(I184:I$205)-I184))*0.433+K184</f>
        <v>#N/A</v>
      </c>
      <c r="K184" s="35" t="e">
        <f>14.7*B184/((C$2-C184)*'Gen Calcs'!C$29/7.48)-14.7</f>
        <v>#N/A</v>
      </c>
      <c r="L184" s="35" t="e">
        <f>(H$2-H184)*'Gen Calcs'!C$29</f>
        <v>#N/A</v>
      </c>
      <c r="M184" s="35" t="e">
        <f>(MAX(I184:I$205)-I$205)*0.433</f>
        <v>#N/A</v>
      </c>
    </row>
    <row r="185" spans="1:13" x14ac:dyDescent="0.25">
      <c r="A185" s="35">
        <v>915</v>
      </c>
      <c r="B185" s="35">
        <f>A185*'Gen Calcs'!C$36</f>
        <v>9150000</v>
      </c>
      <c r="C185" s="35" t="e">
        <f t="shared" si="8"/>
        <v>#N/A</v>
      </c>
      <c r="D185" s="35" t="e">
        <f>VLOOKUP(C185,TS!N$2:Z$177,11,TRUE)</f>
        <v>#N/A</v>
      </c>
      <c r="E185" s="35" t="e">
        <f>VLOOKUP(C185,TS!N$2:Z$177,13,TRUE)*1000</f>
        <v>#N/A</v>
      </c>
      <c r="F185" s="35" t="e">
        <f t="shared" si="6"/>
        <v>#N/A</v>
      </c>
      <c r="G185" s="35" t="e">
        <f t="shared" si="7"/>
        <v>#N/A</v>
      </c>
      <c r="H185" s="35" t="e">
        <f>IF(G185&gt;0,H184-(5*'Gen Calcs'!C$41),'Air calcs'!H184)</f>
        <v>#N/A</v>
      </c>
      <c r="I185" s="35" t="e">
        <f>VLOOKUP('Air calcs'!C185,TS!N$2:O$177,2)</f>
        <v>#N/A</v>
      </c>
      <c r="J185" s="40" t="e">
        <f>((MAX(I185:I$205)-Inputs!C$3)-(MAX(I185:I$205)-I185))*0.433+K185</f>
        <v>#N/A</v>
      </c>
      <c r="K185" s="35" t="e">
        <f>14.7*B185/((C$2-C185)*'Gen Calcs'!C$29/7.48)-14.7</f>
        <v>#N/A</v>
      </c>
      <c r="L185" s="35" t="e">
        <f>(H$2-H185)*'Gen Calcs'!C$29</f>
        <v>#N/A</v>
      </c>
      <c r="M185" s="35" t="e">
        <f>(MAX(I185:I$205)-I$205)*0.433</f>
        <v>#N/A</v>
      </c>
    </row>
    <row r="186" spans="1:13" x14ac:dyDescent="0.25">
      <c r="A186" s="35">
        <v>920</v>
      </c>
      <c r="B186" s="35">
        <f>A186*'Gen Calcs'!C$36</f>
        <v>9200000</v>
      </c>
      <c r="C186" s="35" t="e">
        <f t="shared" si="8"/>
        <v>#N/A</v>
      </c>
      <c r="D186" s="35" t="e">
        <f>VLOOKUP(C186,TS!N$2:Z$177,11,TRUE)</f>
        <v>#N/A</v>
      </c>
      <c r="E186" s="35" t="e">
        <f>VLOOKUP(C186,TS!N$2:Z$177,13,TRUE)*1000</f>
        <v>#N/A</v>
      </c>
      <c r="F186" s="35" t="e">
        <f t="shared" si="6"/>
        <v>#N/A</v>
      </c>
      <c r="G186" s="35" t="e">
        <f t="shared" si="7"/>
        <v>#N/A</v>
      </c>
      <c r="H186" s="35" t="e">
        <f>IF(G186&gt;0,H185-(5*'Gen Calcs'!C$41),'Air calcs'!H185)</f>
        <v>#N/A</v>
      </c>
      <c r="I186" s="35" t="e">
        <f>VLOOKUP('Air calcs'!C186,TS!N$2:O$177,2)</f>
        <v>#N/A</v>
      </c>
      <c r="J186" s="40" t="e">
        <f>((MAX(I186:I$205)-Inputs!C$3)-(MAX(I186:I$205)-I186))*0.433+K186</f>
        <v>#N/A</v>
      </c>
      <c r="K186" s="35" t="e">
        <f>14.7*B186/((C$2-C186)*'Gen Calcs'!C$29/7.48)-14.7</f>
        <v>#N/A</v>
      </c>
      <c r="L186" s="35" t="e">
        <f>(H$2-H186)*'Gen Calcs'!C$29</f>
        <v>#N/A</v>
      </c>
      <c r="M186" s="35" t="e">
        <f>(MAX(I186:I$205)-I$205)*0.433</f>
        <v>#N/A</v>
      </c>
    </row>
    <row r="187" spans="1:13" x14ac:dyDescent="0.25">
      <c r="A187" s="35">
        <v>925</v>
      </c>
      <c r="B187" s="35">
        <f>A187*'Gen Calcs'!C$36</f>
        <v>9250000</v>
      </c>
      <c r="C187" s="35" t="e">
        <f t="shared" si="8"/>
        <v>#N/A</v>
      </c>
      <c r="D187" s="35" t="e">
        <f>VLOOKUP(C187,TS!N$2:Z$177,11,TRUE)</f>
        <v>#N/A</v>
      </c>
      <c r="E187" s="35" t="e">
        <f>VLOOKUP(C187,TS!N$2:Z$177,13,TRUE)*1000</f>
        <v>#N/A</v>
      </c>
      <c r="F187" s="35" t="e">
        <f t="shared" si="6"/>
        <v>#N/A</v>
      </c>
      <c r="G187" s="35" t="e">
        <f t="shared" si="7"/>
        <v>#N/A</v>
      </c>
      <c r="H187" s="35" t="e">
        <f>IF(G187&gt;0,H186-(5*'Gen Calcs'!C$41),'Air calcs'!H186)</f>
        <v>#N/A</v>
      </c>
      <c r="I187" s="35" t="e">
        <f>VLOOKUP('Air calcs'!C187,TS!N$2:O$177,2)</f>
        <v>#N/A</v>
      </c>
      <c r="J187" s="40" t="e">
        <f>((MAX(I187:I$205)-Inputs!C$3)-(MAX(I187:I$205)-I187))*0.433+K187</f>
        <v>#N/A</v>
      </c>
      <c r="K187" s="35" t="e">
        <f>14.7*B187/((C$2-C187)*'Gen Calcs'!C$29/7.48)-14.7</f>
        <v>#N/A</v>
      </c>
      <c r="L187" s="35" t="e">
        <f>(H$2-H187)*'Gen Calcs'!C$29</f>
        <v>#N/A</v>
      </c>
      <c r="M187" s="35" t="e">
        <f>(MAX(I187:I$205)-I$205)*0.433</f>
        <v>#N/A</v>
      </c>
    </row>
    <row r="188" spans="1:13" x14ac:dyDescent="0.25">
      <c r="A188" s="35">
        <v>930</v>
      </c>
      <c r="B188" s="35">
        <f>A188*'Gen Calcs'!C$36</f>
        <v>9300000</v>
      </c>
      <c r="C188" s="35" t="e">
        <f t="shared" si="8"/>
        <v>#N/A</v>
      </c>
      <c r="D188" s="35" t="e">
        <f>VLOOKUP(C188,TS!N$2:Z$177,11,TRUE)</f>
        <v>#N/A</v>
      </c>
      <c r="E188" s="35" t="e">
        <f>VLOOKUP(C188,TS!N$2:Z$177,13,TRUE)*1000</f>
        <v>#N/A</v>
      </c>
      <c r="F188" s="35" t="e">
        <f t="shared" si="6"/>
        <v>#N/A</v>
      </c>
      <c r="G188" s="35" t="e">
        <f t="shared" si="7"/>
        <v>#N/A</v>
      </c>
      <c r="H188" s="35" t="e">
        <f>IF(G188&gt;0,H187-(5*'Gen Calcs'!C$41),'Air calcs'!H187)</f>
        <v>#N/A</v>
      </c>
      <c r="I188" s="35" t="e">
        <f>VLOOKUP('Air calcs'!C188,TS!N$2:O$177,2)</f>
        <v>#N/A</v>
      </c>
      <c r="J188" s="40" t="e">
        <f>((MAX(I188:I$205)-Inputs!C$3)-(MAX(I188:I$205)-I188))*0.433+K188</f>
        <v>#N/A</v>
      </c>
      <c r="K188" s="35" t="e">
        <f>14.7*B188/((C$2-C188)*'Gen Calcs'!C$29/7.48)-14.7</f>
        <v>#N/A</v>
      </c>
      <c r="L188" s="35" t="e">
        <f>(H$2-H188)*'Gen Calcs'!C$29</f>
        <v>#N/A</v>
      </c>
      <c r="M188" s="35" t="e">
        <f>(MAX(I188:I$205)-I$205)*0.433</f>
        <v>#N/A</v>
      </c>
    </row>
    <row r="189" spans="1:13" x14ac:dyDescent="0.25">
      <c r="A189" s="35">
        <v>935</v>
      </c>
      <c r="B189" s="35">
        <f>A189*'Gen Calcs'!C$36</f>
        <v>9350000</v>
      </c>
      <c r="C189" s="35" t="e">
        <f t="shared" si="8"/>
        <v>#N/A</v>
      </c>
      <c r="D189" s="35" t="e">
        <f>VLOOKUP(C189,TS!N$2:Z$177,11,TRUE)</f>
        <v>#N/A</v>
      </c>
      <c r="E189" s="35" t="e">
        <f>VLOOKUP(C189,TS!N$2:Z$177,13,TRUE)*1000</f>
        <v>#N/A</v>
      </c>
      <c r="F189" s="35" t="e">
        <f t="shared" si="6"/>
        <v>#N/A</v>
      </c>
      <c r="G189" s="35" t="e">
        <f t="shared" si="7"/>
        <v>#N/A</v>
      </c>
      <c r="H189" s="35" t="e">
        <f>IF(G189&gt;0,H188-(5*'Gen Calcs'!C$41),'Air calcs'!H188)</f>
        <v>#N/A</v>
      </c>
      <c r="I189" s="35" t="e">
        <f>VLOOKUP('Air calcs'!C189,TS!N$2:O$177,2)</f>
        <v>#N/A</v>
      </c>
      <c r="J189" s="40" t="e">
        <f>((MAX(I189:I$205)-Inputs!C$3)-(MAX(I189:I$205)-I189))*0.433+K189</f>
        <v>#N/A</v>
      </c>
      <c r="K189" s="35" t="e">
        <f>14.7*B189/((C$2-C189)*'Gen Calcs'!C$29/7.48)-14.7</f>
        <v>#N/A</v>
      </c>
      <c r="L189" s="35" t="e">
        <f>(H$2-H189)*'Gen Calcs'!C$29</f>
        <v>#N/A</v>
      </c>
      <c r="M189" s="35" t="e">
        <f>(MAX(I189:I$205)-I$205)*0.433</f>
        <v>#N/A</v>
      </c>
    </row>
    <row r="190" spans="1:13" x14ac:dyDescent="0.25">
      <c r="A190" s="35">
        <v>940</v>
      </c>
      <c r="B190" s="35">
        <f>A190*'Gen Calcs'!C$36</f>
        <v>9400000</v>
      </c>
      <c r="C190" s="35" t="e">
        <f t="shared" si="8"/>
        <v>#N/A</v>
      </c>
      <c r="D190" s="35" t="e">
        <f>VLOOKUP(C190,TS!N$2:Z$177,11,TRUE)</f>
        <v>#N/A</v>
      </c>
      <c r="E190" s="35" t="e">
        <f>VLOOKUP(C190,TS!N$2:Z$177,13,TRUE)*1000</f>
        <v>#N/A</v>
      </c>
      <c r="F190" s="35" t="e">
        <f t="shared" si="6"/>
        <v>#N/A</v>
      </c>
      <c r="G190" s="35" t="e">
        <f t="shared" si="7"/>
        <v>#N/A</v>
      </c>
      <c r="H190" s="35" t="e">
        <f>IF(G190&gt;0,H189-(5*'Gen Calcs'!C$41),'Air calcs'!H189)</f>
        <v>#N/A</v>
      </c>
      <c r="I190" s="35" t="e">
        <f>VLOOKUP('Air calcs'!C190,TS!N$2:O$177,2)</f>
        <v>#N/A</v>
      </c>
      <c r="J190" s="40" t="e">
        <f>((MAX(I190:I$205)-Inputs!C$3)-(MAX(I190:I$205)-I190))*0.433+K190</f>
        <v>#N/A</v>
      </c>
      <c r="K190" s="35" t="e">
        <f>14.7*B190/((C$2-C190)*'Gen Calcs'!C$29/7.48)-14.7</f>
        <v>#N/A</v>
      </c>
      <c r="L190" s="35" t="e">
        <f>(H$2-H190)*'Gen Calcs'!C$29</f>
        <v>#N/A</v>
      </c>
      <c r="M190" s="35" t="e">
        <f>(MAX(I190:I$205)-I$205)*0.433</f>
        <v>#N/A</v>
      </c>
    </row>
    <row r="191" spans="1:13" x14ac:dyDescent="0.25">
      <c r="A191" s="35">
        <v>945</v>
      </c>
      <c r="B191" s="35">
        <f>A191*'Gen Calcs'!C$36</f>
        <v>9450000</v>
      </c>
      <c r="C191" s="35" t="e">
        <f t="shared" si="8"/>
        <v>#N/A</v>
      </c>
      <c r="D191" s="35" t="e">
        <f>VLOOKUP(C191,TS!N$2:Z$177,11,TRUE)</f>
        <v>#N/A</v>
      </c>
      <c r="E191" s="35" t="e">
        <f>VLOOKUP(C191,TS!N$2:Z$177,13,TRUE)*1000</f>
        <v>#N/A</v>
      </c>
      <c r="F191" s="35" t="e">
        <f t="shared" si="6"/>
        <v>#N/A</v>
      </c>
      <c r="G191" s="35" t="e">
        <f t="shared" si="7"/>
        <v>#N/A</v>
      </c>
      <c r="H191" s="35" t="e">
        <f>IF(G191&gt;0,H190-(5*'Gen Calcs'!C$41),'Air calcs'!H190)</f>
        <v>#N/A</v>
      </c>
      <c r="I191" s="35" t="e">
        <f>VLOOKUP('Air calcs'!C191,TS!N$2:O$177,2)</f>
        <v>#N/A</v>
      </c>
      <c r="J191" s="40" t="e">
        <f>((MAX(I191:I$205)-Inputs!C$3)-(MAX(I191:I$205)-I191))*0.433+K191</f>
        <v>#N/A</v>
      </c>
      <c r="K191" s="35" t="e">
        <f>14.7*B191/((C$2-C191)*'Gen Calcs'!C$29/7.48)-14.7</f>
        <v>#N/A</v>
      </c>
      <c r="L191" s="35" t="e">
        <f>(H$2-H191)*'Gen Calcs'!C$29</f>
        <v>#N/A</v>
      </c>
      <c r="M191" s="35" t="e">
        <f>(MAX(I191:I$205)-I$205)*0.433</f>
        <v>#N/A</v>
      </c>
    </row>
    <row r="192" spans="1:13" x14ac:dyDescent="0.25">
      <c r="A192" s="35">
        <v>950</v>
      </c>
      <c r="B192" s="35">
        <f>A192*'Gen Calcs'!C$36</f>
        <v>9500000</v>
      </c>
      <c r="C192" s="35" t="e">
        <f t="shared" si="8"/>
        <v>#N/A</v>
      </c>
      <c r="D192" s="35" t="e">
        <f>VLOOKUP(C192,TS!N$2:Z$177,11,TRUE)</f>
        <v>#N/A</v>
      </c>
      <c r="E192" s="35" t="e">
        <f>VLOOKUP(C192,TS!N$2:Z$177,13,TRUE)*1000</f>
        <v>#N/A</v>
      </c>
      <c r="F192" s="35" t="e">
        <f t="shared" si="6"/>
        <v>#N/A</v>
      </c>
      <c r="G192" s="35" t="e">
        <f t="shared" si="7"/>
        <v>#N/A</v>
      </c>
      <c r="H192" s="35" t="e">
        <f>IF(G192&gt;0,H191-(5*'Gen Calcs'!C$41),'Air calcs'!H191)</f>
        <v>#N/A</v>
      </c>
      <c r="I192" s="35" t="e">
        <f>VLOOKUP('Air calcs'!C192,TS!N$2:O$177,2)</f>
        <v>#N/A</v>
      </c>
      <c r="J192" s="40" t="e">
        <f>((MAX(I192:I$205)-Inputs!C$3)-(MAX(I192:I$205)-I192))*0.433+K192</f>
        <v>#N/A</v>
      </c>
      <c r="K192" s="35" t="e">
        <f>14.7*B192/((C$2-C192)*'Gen Calcs'!C$29/7.48)-14.7</f>
        <v>#N/A</v>
      </c>
      <c r="L192" s="35" t="e">
        <f>(H$2-H192)*'Gen Calcs'!C$29</f>
        <v>#N/A</v>
      </c>
      <c r="M192" s="35" t="e">
        <f>(MAX(I192:I$205)-I$205)*0.433</f>
        <v>#N/A</v>
      </c>
    </row>
    <row r="193" spans="1:13" x14ac:dyDescent="0.25">
      <c r="A193" s="35">
        <v>955</v>
      </c>
      <c r="B193" s="35">
        <f>A193*'Gen Calcs'!C$36</f>
        <v>9550000</v>
      </c>
      <c r="C193" s="35" t="e">
        <f t="shared" si="8"/>
        <v>#N/A</v>
      </c>
      <c r="D193" s="35" t="e">
        <f>VLOOKUP(C193,TS!N$2:Z$177,11,TRUE)</f>
        <v>#N/A</v>
      </c>
      <c r="E193" s="35" t="e">
        <f>VLOOKUP(C193,TS!N$2:Z$177,13,TRUE)*1000</f>
        <v>#N/A</v>
      </c>
      <c r="F193" s="35" t="e">
        <f t="shared" si="6"/>
        <v>#N/A</v>
      </c>
      <c r="G193" s="35" t="e">
        <f t="shared" si="7"/>
        <v>#N/A</v>
      </c>
      <c r="H193" s="35" t="e">
        <f>IF(G193&gt;0,H192-(5*'Gen Calcs'!C$41),'Air calcs'!H192)</f>
        <v>#N/A</v>
      </c>
      <c r="I193" s="35" t="e">
        <f>VLOOKUP('Air calcs'!C193,TS!N$2:O$177,2)</f>
        <v>#N/A</v>
      </c>
      <c r="J193" s="40" t="e">
        <f>((MAX(I193:I$205)-Inputs!C$3)-(MAX(I193:I$205)-I193))*0.433+K193</f>
        <v>#N/A</v>
      </c>
      <c r="K193" s="35" t="e">
        <f>14.7*B193/((C$2-C193)*'Gen Calcs'!C$29/7.48)-14.7</f>
        <v>#N/A</v>
      </c>
      <c r="L193" s="35" t="e">
        <f>(H$2-H193)*'Gen Calcs'!C$29</f>
        <v>#N/A</v>
      </c>
      <c r="M193" s="35" t="e">
        <f>(MAX(I193:I$205)-I$205)*0.433</f>
        <v>#N/A</v>
      </c>
    </row>
    <row r="194" spans="1:13" x14ac:dyDescent="0.25">
      <c r="A194" s="35">
        <v>960</v>
      </c>
      <c r="B194" s="35">
        <f>A194*'Gen Calcs'!C$36</f>
        <v>9600000</v>
      </c>
      <c r="C194" s="35" t="e">
        <f t="shared" si="8"/>
        <v>#N/A</v>
      </c>
      <c r="D194" s="35" t="e">
        <f>VLOOKUP(C194,TS!N$2:Z$177,11,TRUE)</f>
        <v>#N/A</v>
      </c>
      <c r="E194" s="35" t="e">
        <f>VLOOKUP(C194,TS!N$2:Z$177,13,TRUE)*1000</f>
        <v>#N/A</v>
      </c>
      <c r="F194" s="35" t="e">
        <f t="shared" si="6"/>
        <v>#N/A</v>
      </c>
      <c r="G194" s="35" t="e">
        <f t="shared" si="7"/>
        <v>#N/A</v>
      </c>
      <c r="H194" s="35" t="e">
        <f>IF(G194&gt;0,H193-(5*'Gen Calcs'!C$41),'Air calcs'!H193)</f>
        <v>#N/A</v>
      </c>
      <c r="I194" s="35" t="e">
        <f>VLOOKUP('Air calcs'!C194,TS!N$2:O$177,2)</f>
        <v>#N/A</v>
      </c>
      <c r="J194" s="40" t="e">
        <f>((MAX(I194:I$205)-Inputs!C$3)-(MAX(I194:I$205)-I194))*0.433+K194</f>
        <v>#N/A</v>
      </c>
      <c r="K194" s="35" t="e">
        <f>14.7*B194/((C$2-C194)*'Gen Calcs'!C$29/7.48)-14.7</f>
        <v>#N/A</v>
      </c>
      <c r="L194" s="35" t="e">
        <f>(H$2-H194)*'Gen Calcs'!C$29</f>
        <v>#N/A</v>
      </c>
      <c r="M194" s="35" t="e">
        <f>(MAX(I194:I$205)-I$205)*0.433</f>
        <v>#N/A</v>
      </c>
    </row>
    <row r="195" spans="1:13" x14ac:dyDescent="0.25">
      <c r="A195" s="35">
        <v>965</v>
      </c>
      <c r="B195" s="35">
        <f>A195*'Gen Calcs'!C$36</f>
        <v>9650000</v>
      </c>
      <c r="C195" s="35" t="e">
        <f t="shared" si="8"/>
        <v>#N/A</v>
      </c>
      <c r="D195" s="35" t="e">
        <f>VLOOKUP(C195,TS!N$2:Z$177,11,TRUE)</f>
        <v>#N/A</v>
      </c>
      <c r="E195" s="35" t="e">
        <f>VLOOKUP(C195,TS!N$2:Z$177,13,TRUE)*1000</f>
        <v>#N/A</v>
      </c>
      <c r="F195" s="35" t="e">
        <f t="shared" ref="F195:F258" si="9">IF(B195&gt;D195,1,0)</f>
        <v>#N/A</v>
      </c>
      <c r="G195" s="35" t="e">
        <f t="shared" ref="G195:G258" si="10">IF(B195&gt;E195,1,0)</f>
        <v>#N/A</v>
      </c>
      <c r="H195" s="35" t="e">
        <f>IF(G195&gt;0,H194-(5*'Gen Calcs'!C$41),'Air calcs'!H194)</f>
        <v>#N/A</v>
      </c>
      <c r="I195" s="35" t="e">
        <f>VLOOKUP('Air calcs'!C195,TS!N$2:O$177,2)</f>
        <v>#N/A</v>
      </c>
      <c r="J195" s="40" t="e">
        <f>((MAX(I195:I$205)-Inputs!C$3)-(MAX(I195:I$205)-I195))*0.433+K195</f>
        <v>#N/A</v>
      </c>
      <c r="K195" s="35" t="e">
        <f>14.7*B195/((C$2-C195)*'Gen Calcs'!C$29/7.48)-14.7</f>
        <v>#N/A</v>
      </c>
      <c r="L195" s="35" t="e">
        <f>(H$2-H195)*'Gen Calcs'!C$29</f>
        <v>#N/A</v>
      </c>
      <c r="M195" s="35" t="e">
        <f>(MAX(I195:I$205)-I$205)*0.433</f>
        <v>#N/A</v>
      </c>
    </row>
    <row r="196" spans="1:13" x14ac:dyDescent="0.25">
      <c r="A196" s="35">
        <v>970</v>
      </c>
      <c r="B196" s="35">
        <f>A196*'Gen Calcs'!C$36</f>
        <v>9700000</v>
      </c>
      <c r="C196" s="35" t="e">
        <f t="shared" si="8"/>
        <v>#N/A</v>
      </c>
      <c r="D196" s="35" t="e">
        <f>VLOOKUP(C196,TS!N$2:Z$177,11,TRUE)</f>
        <v>#N/A</v>
      </c>
      <c r="E196" s="35" t="e">
        <f>VLOOKUP(C196,TS!N$2:Z$177,13,TRUE)*1000</f>
        <v>#N/A</v>
      </c>
      <c r="F196" s="35" t="e">
        <f t="shared" si="9"/>
        <v>#N/A</v>
      </c>
      <c r="G196" s="35" t="e">
        <f t="shared" si="10"/>
        <v>#N/A</v>
      </c>
      <c r="H196" s="35" t="e">
        <f>IF(G196&gt;0,H195-(5*'Gen Calcs'!C$41),'Air calcs'!H195)</f>
        <v>#N/A</v>
      </c>
      <c r="I196" s="35" t="e">
        <f>VLOOKUP('Air calcs'!C196,TS!N$2:O$177,2)</f>
        <v>#N/A</v>
      </c>
      <c r="J196" s="40" t="e">
        <f>((MAX(I196:I$205)-Inputs!C$3)-(MAX(I196:I$205)-I196))*0.433+K196</f>
        <v>#N/A</v>
      </c>
      <c r="K196" s="35" t="e">
        <f>14.7*B196/((C$2-C196)*'Gen Calcs'!C$29/7.48)-14.7</f>
        <v>#N/A</v>
      </c>
      <c r="L196" s="35" t="e">
        <f>(H$2-H196)*'Gen Calcs'!C$29</f>
        <v>#N/A</v>
      </c>
      <c r="M196" s="35" t="e">
        <f>(MAX(I196:I$205)-I$205)*0.433</f>
        <v>#N/A</v>
      </c>
    </row>
    <row r="197" spans="1:13" x14ac:dyDescent="0.25">
      <c r="A197" s="35">
        <v>975</v>
      </c>
      <c r="B197" s="35">
        <f>A197*'Gen Calcs'!C$36</f>
        <v>9750000</v>
      </c>
      <c r="C197" s="35" t="e">
        <f t="shared" ref="C197:C260" si="11">H196</f>
        <v>#N/A</v>
      </c>
      <c r="D197" s="35" t="e">
        <f>VLOOKUP(C197,TS!N$2:Z$177,11,TRUE)</f>
        <v>#N/A</v>
      </c>
      <c r="E197" s="35" t="e">
        <f>VLOOKUP(C197,TS!N$2:Z$177,13,TRUE)*1000</f>
        <v>#N/A</v>
      </c>
      <c r="F197" s="35" t="e">
        <f t="shared" si="9"/>
        <v>#N/A</v>
      </c>
      <c r="G197" s="35" t="e">
        <f t="shared" si="10"/>
        <v>#N/A</v>
      </c>
      <c r="H197" s="35" t="e">
        <f>IF(G197&gt;0,H196-(5*'Gen Calcs'!C$41),'Air calcs'!H196)</f>
        <v>#N/A</v>
      </c>
      <c r="I197" s="35" t="e">
        <f>VLOOKUP('Air calcs'!C197,TS!N$2:O$177,2)</f>
        <v>#N/A</v>
      </c>
      <c r="J197" s="40" t="e">
        <f>((MAX(I197:I$205)-Inputs!C$3)-(MAX(I197:I$205)-I197))*0.433+K197</f>
        <v>#N/A</v>
      </c>
      <c r="K197" s="35" t="e">
        <f>14.7*B197/((C$2-C197)*'Gen Calcs'!C$29/7.48)-14.7</f>
        <v>#N/A</v>
      </c>
      <c r="L197" s="35" t="e">
        <f>(H$2-H197)*'Gen Calcs'!C$29</f>
        <v>#N/A</v>
      </c>
      <c r="M197" s="35" t="e">
        <f>(MAX(I197:I$205)-I$205)*0.433</f>
        <v>#N/A</v>
      </c>
    </row>
    <row r="198" spans="1:13" x14ac:dyDescent="0.25">
      <c r="A198" s="35">
        <v>980</v>
      </c>
      <c r="B198" s="35">
        <f>A198*'Gen Calcs'!C$36</f>
        <v>9800000</v>
      </c>
      <c r="C198" s="35" t="e">
        <f t="shared" si="11"/>
        <v>#N/A</v>
      </c>
      <c r="D198" s="35" t="e">
        <f>VLOOKUP(C198,TS!N$2:Z$177,11,TRUE)</f>
        <v>#N/A</v>
      </c>
      <c r="E198" s="35" t="e">
        <f>VLOOKUP(C198,TS!N$2:Z$177,13,TRUE)*1000</f>
        <v>#N/A</v>
      </c>
      <c r="F198" s="35" t="e">
        <f t="shared" si="9"/>
        <v>#N/A</v>
      </c>
      <c r="G198" s="35" t="e">
        <f t="shared" si="10"/>
        <v>#N/A</v>
      </c>
      <c r="H198" s="35" t="e">
        <f>IF(G198&gt;0,H197-(5*'Gen Calcs'!C$41),'Air calcs'!H197)</f>
        <v>#N/A</v>
      </c>
      <c r="I198" s="35" t="e">
        <f>VLOOKUP('Air calcs'!C198,TS!N$2:O$177,2)</f>
        <v>#N/A</v>
      </c>
      <c r="J198" s="40" t="e">
        <f>((MAX(I198:I$205)-Inputs!C$3)-(MAX(I198:I$205)-I198))*0.433+K198</f>
        <v>#N/A</v>
      </c>
      <c r="K198" s="35" t="e">
        <f>14.7*B198/((C$2-C198)*'Gen Calcs'!C$29/7.48)-14.7</f>
        <v>#N/A</v>
      </c>
      <c r="L198" s="35" t="e">
        <f>(H$2-H198)*'Gen Calcs'!C$29</f>
        <v>#N/A</v>
      </c>
      <c r="M198" s="35" t="e">
        <f>(MAX(I198:I$205)-I$205)*0.433</f>
        <v>#N/A</v>
      </c>
    </row>
    <row r="199" spans="1:13" x14ac:dyDescent="0.25">
      <c r="A199" s="35">
        <v>985</v>
      </c>
      <c r="B199" s="35">
        <f>A199*'Gen Calcs'!C$36</f>
        <v>9850000</v>
      </c>
      <c r="C199" s="35" t="e">
        <f t="shared" si="11"/>
        <v>#N/A</v>
      </c>
      <c r="D199" s="35" t="e">
        <f>VLOOKUP(C199,TS!N$2:Z$177,11,TRUE)</f>
        <v>#N/A</v>
      </c>
      <c r="E199" s="35" t="e">
        <f>VLOOKUP(C199,TS!N$2:Z$177,13,TRUE)*1000</f>
        <v>#N/A</v>
      </c>
      <c r="F199" s="35" t="e">
        <f t="shared" si="9"/>
        <v>#N/A</v>
      </c>
      <c r="G199" s="35" t="e">
        <f t="shared" si="10"/>
        <v>#N/A</v>
      </c>
      <c r="H199" s="35" t="e">
        <f>IF(G199&gt;0,H198-(5*'Gen Calcs'!C$41),'Air calcs'!H198)</f>
        <v>#N/A</v>
      </c>
      <c r="I199" s="35" t="e">
        <f>VLOOKUP('Air calcs'!C199,TS!N$2:O$177,2)</f>
        <v>#N/A</v>
      </c>
      <c r="J199" s="40" t="e">
        <f>((MAX(I199:I$205)-Inputs!C$3)-(MAX(I199:I$205)-I199))*0.433+K199</f>
        <v>#N/A</v>
      </c>
      <c r="K199" s="35" t="e">
        <f>14.7*B199/((C$2-C199)*'Gen Calcs'!C$29/7.48)-14.7</f>
        <v>#N/A</v>
      </c>
      <c r="L199" s="35" t="e">
        <f>(H$2-H199)*'Gen Calcs'!C$29</f>
        <v>#N/A</v>
      </c>
      <c r="M199" s="35" t="e">
        <f>(MAX(I199:I$205)-I$205)*0.433</f>
        <v>#N/A</v>
      </c>
    </row>
    <row r="200" spans="1:13" x14ac:dyDescent="0.25">
      <c r="A200" s="35">
        <v>990</v>
      </c>
      <c r="B200" s="35">
        <f>A200*'Gen Calcs'!C$36</f>
        <v>9900000</v>
      </c>
      <c r="C200" s="35" t="e">
        <f t="shared" si="11"/>
        <v>#N/A</v>
      </c>
      <c r="D200" s="35" t="e">
        <f>VLOOKUP(C200,TS!N$2:Z$177,11,TRUE)</f>
        <v>#N/A</v>
      </c>
      <c r="E200" s="35" t="e">
        <f>VLOOKUP(C200,TS!N$2:Z$177,13,TRUE)*1000</f>
        <v>#N/A</v>
      </c>
      <c r="F200" s="35" t="e">
        <f t="shared" si="9"/>
        <v>#N/A</v>
      </c>
      <c r="G200" s="35" t="e">
        <f t="shared" si="10"/>
        <v>#N/A</v>
      </c>
      <c r="H200" s="35" t="e">
        <f>IF(G200&gt;0,H199-(5*'Gen Calcs'!C$41),'Air calcs'!H199)</f>
        <v>#N/A</v>
      </c>
      <c r="I200" s="35" t="e">
        <f>VLOOKUP('Air calcs'!C200,TS!N$2:O$177,2)</f>
        <v>#N/A</v>
      </c>
      <c r="J200" s="40" t="e">
        <f>((MAX(I200:I$205)-Inputs!C$3)-(MAX(I200:I$205)-I200))*0.433+K200</f>
        <v>#N/A</v>
      </c>
      <c r="K200" s="35" t="e">
        <f>14.7*B200/((C$2-C200)*'Gen Calcs'!C$29/7.48)-14.7</f>
        <v>#N/A</v>
      </c>
      <c r="L200" s="35" t="e">
        <f>(H$2-H200)*'Gen Calcs'!C$29</f>
        <v>#N/A</v>
      </c>
      <c r="M200" s="35" t="e">
        <f>(MAX(I200:I$205)-I$205)*0.433</f>
        <v>#N/A</v>
      </c>
    </row>
    <row r="201" spans="1:13" x14ac:dyDescent="0.25">
      <c r="A201" s="35">
        <v>995</v>
      </c>
      <c r="B201" s="35">
        <f>A201*'Gen Calcs'!C$36</f>
        <v>9950000</v>
      </c>
      <c r="C201" s="35" t="e">
        <f t="shared" si="11"/>
        <v>#N/A</v>
      </c>
      <c r="D201" s="35" t="e">
        <f>VLOOKUP(C201,TS!N$2:Z$177,11,TRUE)</f>
        <v>#N/A</v>
      </c>
      <c r="E201" s="35" t="e">
        <f>VLOOKUP(C201,TS!N$2:Z$177,13,TRUE)*1000</f>
        <v>#N/A</v>
      </c>
      <c r="F201" s="35" t="e">
        <f t="shared" si="9"/>
        <v>#N/A</v>
      </c>
      <c r="G201" s="35" t="e">
        <f t="shared" si="10"/>
        <v>#N/A</v>
      </c>
      <c r="H201" s="35" t="e">
        <f>IF(G201&gt;0,H200-(5*'Gen Calcs'!C$41),'Air calcs'!H200)</f>
        <v>#N/A</v>
      </c>
      <c r="I201" s="35" t="e">
        <f>VLOOKUP('Air calcs'!C201,TS!N$2:O$177,2)</f>
        <v>#N/A</v>
      </c>
      <c r="J201" s="40" t="e">
        <f>((MAX(I201:I$205)-Inputs!C$3)-(MAX(I201:I$205)-I201))*0.433+K201</f>
        <v>#N/A</v>
      </c>
      <c r="K201" s="35" t="e">
        <f>14.7*B201/((C$2-C201)*'Gen Calcs'!C$29/7.48)-14.7</f>
        <v>#N/A</v>
      </c>
      <c r="L201" s="35" t="e">
        <f>(H$2-H201)*'Gen Calcs'!C$29</f>
        <v>#N/A</v>
      </c>
      <c r="M201" s="35" t="e">
        <f>(MAX(I201:I$205)-I$205)*0.433</f>
        <v>#N/A</v>
      </c>
    </row>
    <row r="202" spans="1:13" x14ac:dyDescent="0.25">
      <c r="A202" s="35">
        <v>1000</v>
      </c>
      <c r="B202" s="35">
        <f>A202*'Gen Calcs'!C$36</f>
        <v>10000000</v>
      </c>
      <c r="C202" s="35" t="e">
        <f t="shared" si="11"/>
        <v>#N/A</v>
      </c>
      <c r="D202" s="35" t="e">
        <f>VLOOKUP(C202,TS!N$2:Z$177,11,TRUE)</f>
        <v>#N/A</v>
      </c>
      <c r="E202" s="35" t="e">
        <f>VLOOKUP(C202,TS!N$2:Z$177,13,TRUE)*1000</f>
        <v>#N/A</v>
      </c>
      <c r="F202" s="35" t="e">
        <f t="shared" si="9"/>
        <v>#N/A</v>
      </c>
      <c r="G202" s="35" t="e">
        <f t="shared" si="10"/>
        <v>#N/A</v>
      </c>
      <c r="H202" s="35" t="e">
        <f>IF(G202&gt;0,H201-(5*'Gen Calcs'!C$41),'Air calcs'!H201)</f>
        <v>#N/A</v>
      </c>
      <c r="I202" s="35" t="e">
        <f>VLOOKUP('Air calcs'!C202,TS!N$2:O$177,2)</f>
        <v>#N/A</v>
      </c>
      <c r="J202" s="40" t="e">
        <f>((MAX(I202:I$205)-Inputs!C$3)-(MAX(I202:I$205)-I202))*0.433+K202</f>
        <v>#N/A</v>
      </c>
      <c r="K202" s="35" t="e">
        <f>14.7*B202/((C$2-C202)*'Gen Calcs'!C$29/7.48)-14.7</f>
        <v>#N/A</v>
      </c>
      <c r="L202" s="35" t="e">
        <f>(H$2-H202)*'Gen Calcs'!C$29</f>
        <v>#N/A</v>
      </c>
      <c r="M202" s="35" t="e">
        <f>(MAX(I202:I$205)-I$205)*0.433</f>
        <v>#N/A</v>
      </c>
    </row>
    <row r="203" spans="1:13" x14ac:dyDescent="0.25">
      <c r="A203" s="35">
        <v>1005</v>
      </c>
      <c r="B203" s="35">
        <f>A203*'Gen Calcs'!C$36</f>
        <v>10050000</v>
      </c>
      <c r="C203" s="35" t="e">
        <f t="shared" si="11"/>
        <v>#N/A</v>
      </c>
      <c r="D203" s="35" t="e">
        <f>VLOOKUP(C203,TS!N$2:Z$177,11,TRUE)</f>
        <v>#N/A</v>
      </c>
      <c r="E203" s="35" t="e">
        <f>VLOOKUP(C203,TS!N$2:Z$177,13,TRUE)*1000</f>
        <v>#N/A</v>
      </c>
      <c r="F203" s="35" t="e">
        <f t="shared" si="9"/>
        <v>#N/A</v>
      </c>
      <c r="G203" s="35" t="e">
        <f t="shared" si="10"/>
        <v>#N/A</v>
      </c>
      <c r="H203" s="35" t="e">
        <f>IF(G203&gt;0,H202-(5*'Gen Calcs'!C$41),'Air calcs'!H202)</f>
        <v>#N/A</v>
      </c>
      <c r="I203" s="35" t="e">
        <f>VLOOKUP('Air calcs'!C203,TS!N$2:O$177,2)</f>
        <v>#N/A</v>
      </c>
      <c r="J203" s="40" t="e">
        <f>((MAX(I203:I$205)-Inputs!C$3)-(MAX(I203:I$205)-I203))*0.433+K203</f>
        <v>#N/A</v>
      </c>
      <c r="K203" s="35" t="e">
        <f>14.7*B203/((C$2-C203)*'Gen Calcs'!C$29/7.48)-14.7</f>
        <v>#N/A</v>
      </c>
      <c r="L203" s="35" t="e">
        <f>(H$2-H203)*'Gen Calcs'!C$29</f>
        <v>#N/A</v>
      </c>
      <c r="M203" s="35" t="e">
        <f>(MAX(I203:I$205)-I$205)*0.433</f>
        <v>#N/A</v>
      </c>
    </row>
    <row r="204" spans="1:13" x14ac:dyDescent="0.25">
      <c r="A204" s="35">
        <v>1010</v>
      </c>
      <c r="B204" s="35">
        <f>A204*'Gen Calcs'!C$36</f>
        <v>10100000</v>
      </c>
      <c r="C204" s="35" t="e">
        <f t="shared" si="11"/>
        <v>#N/A</v>
      </c>
      <c r="D204" s="35" t="e">
        <f>VLOOKUP(C204,TS!N$2:Z$177,11,TRUE)</f>
        <v>#N/A</v>
      </c>
      <c r="E204" s="35" t="e">
        <f>VLOOKUP(C204,TS!N$2:Z$177,13,TRUE)*1000</f>
        <v>#N/A</v>
      </c>
      <c r="F204" s="35" t="e">
        <f t="shared" si="9"/>
        <v>#N/A</v>
      </c>
      <c r="G204" s="35" t="e">
        <f t="shared" si="10"/>
        <v>#N/A</v>
      </c>
      <c r="H204" s="35" t="e">
        <f>IF(G204&gt;0,H203-(5*'Gen Calcs'!C$41),'Air calcs'!H203)</f>
        <v>#N/A</v>
      </c>
      <c r="I204" s="35" t="e">
        <f>VLOOKUP('Air calcs'!C204,TS!N$2:O$177,2)</f>
        <v>#N/A</v>
      </c>
      <c r="J204" s="40" t="e">
        <f>((MAX(I204:I$205)-Inputs!C$3)-(MAX(I204:I$205)-I204))*0.433+K204</f>
        <v>#N/A</v>
      </c>
      <c r="K204" s="35" t="e">
        <f>14.7*B204/((C$2-C204)*'Gen Calcs'!C$29/7.48)-14.7</f>
        <v>#N/A</v>
      </c>
      <c r="L204" s="35" t="e">
        <f>(H$2-H204)*'Gen Calcs'!C$29</f>
        <v>#N/A</v>
      </c>
      <c r="M204" s="35" t="e">
        <f>(MAX(I204:I$205)-I$205)*0.433</f>
        <v>#N/A</v>
      </c>
    </row>
    <row r="205" spans="1:13" x14ac:dyDescent="0.25">
      <c r="A205" s="35">
        <v>1015</v>
      </c>
      <c r="B205" s="35">
        <f>A205*'Gen Calcs'!C$36</f>
        <v>10150000</v>
      </c>
      <c r="C205" s="35" t="e">
        <f t="shared" si="11"/>
        <v>#N/A</v>
      </c>
      <c r="D205" s="35" t="e">
        <f>VLOOKUP(C205,TS!N$2:Z$177,11,TRUE)</f>
        <v>#N/A</v>
      </c>
      <c r="E205" s="35" t="e">
        <f>VLOOKUP(C205,TS!N$2:Z$177,13,TRUE)*1000</f>
        <v>#N/A</v>
      </c>
      <c r="F205" s="35" t="e">
        <f t="shared" si="9"/>
        <v>#N/A</v>
      </c>
      <c r="G205" s="35" t="e">
        <f t="shared" si="10"/>
        <v>#N/A</v>
      </c>
      <c r="H205" s="35" t="e">
        <f>IF(G205&gt;0,H204-(5*'Gen Calcs'!C$41),'Air calcs'!H204)</f>
        <v>#N/A</v>
      </c>
      <c r="I205" s="35" t="e">
        <f>VLOOKUP('Air calcs'!C205,TS!N$2:O$177,2)</f>
        <v>#N/A</v>
      </c>
      <c r="J205" s="40" t="e">
        <f>((MAX(I205:I$205)-Inputs!C$3)-(MAX(I205:I$205)-I205))*0.433+K205</f>
        <v>#N/A</v>
      </c>
      <c r="K205" s="35" t="e">
        <f>14.7*B205/((C$2-C205)*'Gen Calcs'!C$29/7.48)-14.7</f>
        <v>#N/A</v>
      </c>
      <c r="L205" s="35" t="e">
        <f>(H$2-H205)*'Gen Calcs'!C$29</f>
        <v>#N/A</v>
      </c>
      <c r="M205" s="35" t="e">
        <f>(MAX(I205:I$205)-I$205)*0.433</f>
        <v>#N/A</v>
      </c>
    </row>
    <row r="206" spans="1:13" x14ac:dyDescent="0.25">
      <c r="A206" s="35">
        <v>1020</v>
      </c>
      <c r="B206" s="35">
        <f>A206*'Gen Calcs'!C$36</f>
        <v>10200000</v>
      </c>
      <c r="C206" s="35" t="e">
        <f t="shared" si="11"/>
        <v>#N/A</v>
      </c>
      <c r="D206" s="35" t="e">
        <f>VLOOKUP(C206,TS!N$2:Z$177,11,TRUE)</f>
        <v>#N/A</v>
      </c>
      <c r="E206" s="35" t="e">
        <f>VLOOKUP(C206,TS!N$2:Z$177,13,TRUE)*1000</f>
        <v>#N/A</v>
      </c>
      <c r="F206" s="35" t="e">
        <f t="shared" si="9"/>
        <v>#N/A</v>
      </c>
      <c r="G206" s="35" t="e">
        <f t="shared" si="10"/>
        <v>#N/A</v>
      </c>
      <c r="H206" s="35" t="e">
        <f>IF(G206&gt;0,H205-(5*'Gen Calcs'!C$41),'Air calcs'!H205)</f>
        <v>#N/A</v>
      </c>
      <c r="I206" s="35" t="e">
        <f>VLOOKUP('Air calcs'!C206,TS!N$2:O$177,2)</f>
        <v>#N/A</v>
      </c>
    </row>
    <row r="207" spans="1:13" x14ac:dyDescent="0.25">
      <c r="A207" s="35">
        <v>1025</v>
      </c>
      <c r="B207" s="35">
        <f>A207*'Gen Calcs'!C$36</f>
        <v>10250000</v>
      </c>
      <c r="C207" s="35" t="e">
        <f t="shared" si="11"/>
        <v>#N/A</v>
      </c>
      <c r="D207" s="35" t="e">
        <f>VLOOKUP(C207,TS!N$2:Z$177,11,TRUE)</f>
        <v>#N/A</v>
      </c>
      <c r="E207" s="35" t="e">
        <f>VLOOKUP(C207,TS!N$2:Z$177,13,TRUE)*1000</f>
        <v>#N/A</v>
      </c>
      <c r="F207" s="35" t="e">
        <f t="shared" si="9"/>
        <v>#N/A</v>
      </c>
      <c r="G207" s="35" t="e">
        <f t="shared" si="10"/>
        <v>#N/A</v>
      </c>
      <c r="H207" s="35" t="e">
        <f>IF(G207&gt;0,H206-(5*'Gen Calcs'!C$41),'Air calcs'!H206)</f>
        <v>#N/A</v>
      </c>
      <c r="I207" s="35" t="e">
        <f>VLOOKUP('Air calcs'!C207,TS!N$2:O$177,2)</f>
        <v>#N/A</v>
      </c>
    </row>
    <row r="208" spans="1:13" x14ac:dyDescent="0.25">
      <c r="A208" s="35">
        <v>1030</v>
      </c>
      <c r="B208" s="35">
        <f>A208*'Gen Calcs'!C$36</f>
        <v>10300000</v>
      </c>
      <c r="C208" s="35" t="e">
        <f t="shared" si="11"/>
        <v>#N/A</v>
      </c>
      <c r="D208" s="35" t="e">
        <f>VLOOKUP(C208,TS!N$2:Z$177,11,TRUE)</f>
        <v>#N/A</v>
      </c>
      <c r="E208" s="35" t="e">
        <f>VLOOKUP(C208,TS!N$2:Z$177,13,TRUE)*1000</f>
        <v>#N/A</v>
      </c>
      <c r="F208" s="35" t="e">
        <f t="shared" si="9"/>
        <v>#N/A</v>
      </c>
      <c r="G208" s="35" t="e">
        <f t="shared" si="10"/>
        <v>#N/A</v>
      </c>
      <c r="H208" s="35" t="e">
        <f>IF(G208&gt;0,H207-(5*'Gen Calcs'!C$41),'Air calcs'!H207)</f>
        <v>#N/A</v>
      </c>
      <c r="I208" s="35" t="e">
        <f>VLOOKUP('Air calcs'!C208,TS!N$2:O$177,2)</f>
        <v>#N/A</v>
      </c>
    </row>
    <row r="209" spans="1:9" x14ac:dyDescent="0.25">
      <c r="A209" s="35">
        <v>1035</v>
      </c>
      <c r="B209" s="35">
        <f>A209*'Gen Calcs'!C$36</f>
        <v>10350000</v>
      </c>
      <c r="C209" s="35" t="e">
        <f t="shared" si="11"/>
        <v>#N/A</v>
      </c>
      <c r="D209" s="35" t="e">
        <f>VLOOKUP(C209,TS!N$2:Z$177,11,TRUE)</f>
        <v>#N/A</v>
      </c>
      <c r="E209" s="35" t="e">
        <f>VLOOKUP(C209,TS!N$2:Z$177,13,TRUE)*1000</f>
        <v>#N/A</v>
      </c>
      <c r="F209" s="35" t="e">
        <f t="shared" si="9"/>
        <v>#N/A</v>
      </c>
      <c r="G209" s="35" t="e">
        <f t="shared" si="10"/>
        <v>#N/A</v>
      </c>
      <c r="H209" s="35" t="e">
        <f>IF(G209&gt;0,H208-(5*'Gen Calcs'!C$41),'Air calcs'!H208)</f>
        <v>#N/A</v>
      </c>
      <c r="I209" s="35" t="e">
        <f>VLOOKUP('Air calcs'!C209,TS!N$2:O$177,2)</f>
        <v>#N/A</v>
      </c>
    </row>
    <row r="210" spans="1:9" x14ac:dyDescent="0.25">
      <c r="A210" s="35">
        <v>1040</v>
      </c>
      <c r="B210" s="35">
        <f>A210*'Gen Calcs'!C$36</f>
        <v>10400000</v>
      </c>
      <c r="C210" s="35" t="e">
        <f t="shared" si="11"/>
        <v>#N/A</v>
      </c>
      <c r="D210" s="35" t="e">
        <f>VLOOKUP(C210,TS!N$2:Z$177,11,TRUE)</f>
        <v>#N/A</v>
      </c>
      <c r="E210" s="35" t="e">
        <f>VLOOKUP(C210,TS!N$2:Z$177,13,TRUE)*1000</f>
        <v>#N/A</v>
      </c>
      <c r="F210" s="35" t="e">
        <f t="shared" si="9"/>
        <v>#N/A</v>
      </c>
      <c r="G210" s="35" t="e">
        <f t="shared" si="10"/>
        <v>#N/A</v>
      </c>
      <c r="H210" s="35" t="e">
        <f>IF(G210&gt;0,H209-(5*'Gen Calcs'!C$41),'Air calcs'!H209)</f>
        <v>#N/A</v>
      </c>
      <c r="I210" s="35" t="e">
        <f>VLOOKUP('Air calcs'!C210,TS!N$2:O$177,2)</f>
        <v>#N/A</v>
      </c>
    </row>
    <row r="211" spans="1:9" x14ac:dyDescent="0.25">
      <c r="A211" s="35">
        <v>1045</v>
      </c>
      <c r="B211" s="35">
        <f>A211*'Gen Calcs'!C$36</f>
        <v>10450000</v>
      </c>
      <c r="C211" s="35" t="e">
        <f t="shared" si="11"/>
        <v>#N/A</v>
      </c>
      <c r="D211" s="35" t="e">
        <f>VLOOKUP(C211,TS!N$2:Z$177,11,TRUE)</f>
        <v>#N/A</v>
      </c>
      <c r="E211" s="35" t="e">
        <f>VLOOKUP(C211,TS!N$2:Z$177,13,TRUE)*1000</f>
        <v>#N/A</v>
      </c>
      <c r="F211" s="35" t="e">
        <f t="shared" si="9"/>
        <v>#N/A</v>
      </c>
      <c r="G211" s="35" t="e">
        <f t="shared" si="10"/>
        <v>#N/A</v>
      </c>
      <c r="H211" s="35" t="e">
        <f>IF(G211&gt;0,H210-(5*'Gen Calcs'!C$41),'Air calcs'!H210)</f>
        <v>#N/A</v>
      </c>
      <c r="I211" s="35" t="e">
        <f>VLOOKUP('Air calcs'!C211,TS!N$2:O$177,2)</f>
        <v>#N/A</v>
      </c>
    </row>
    <row r="212" spans="1:9" x14ac:dyDescent="0.25">
      <c r="A212" s="35">
        <v>1050</v>
      </c>
      <c r="B212" s="35">
        <f>A212*'Gen Calcs'!C$36</f>
        <v>10500000</v>
      </c>
      <c r="C212" s="35" t="e">
        <f t="shared" si="11"/>
        <v>#N/A</v>
      </c>
      <c r="D212" s="35" t="e">
        <f>VLOOKUP(C212,TS!N$2:Z$177,11,TRUE)</f>
        <v>#N/A</v>
      </c>
      <c r="E212" s="35" t="e">
        <f>VLOOKUP(C212,TS!N$2:Z$177,13,TRUE)*1000</f>
        <v>#N/A</v>
      </c>
      <c r="F212" s="35" t="e">
        <f t="shared" si="9"/>
        <v>#N/A</v>
      </c>
      <c r="G212" s="35" t="e">
        <f t="shared" si="10"/>
        <v>#N/A</v>
      </c>
      <c r="H212" s="35" t="e">
        <f>IF(G212&gt;0,H211-(5*'Gen Calcs'!C$41),'Air calcs'!H211)</f>
        <v>#N/A</v>
      </c>
      <c r="I212" s="35" t="e">
        <f>VLOOKUP('Air calcs'!C212,TS!N$2:O$177,2)</f>
        <v>#N/A</v>
      </c>
    </row>
    <row r="213" spans="1:9" x14ac:dyDescent="0.25">
      <c r="A213" s="35">
        <v>1055</v>
      </c>
      <c r="B213" s="35">
        <f>A213*'Gen Calcs'!C$36</f>
        <v>10550000</v>
      </c>
      <c r="C213" s="35" t="e">
        <f t="shared" si="11"/>
        <v>#N/A</v>
      </c>
      <c r="D213" s="35" t="e">
        <f>VLOOKUP(C213,TS!N$2:Z$177,11,TRUE)</f>
        <v>#N/A</v>
      </c>
      <c r="E213" s="35" t="e">
        <f>VLOOKUP(C213,TS!N$2:Z$177,13,TRUE)*1000</f>
        <v>#N/A</v>
      </c>
      <c r="F213" s="35" t="e">
        <f t="shared" si="9"/>
        <v>#N/A</v>
      </c>
      <c r="G213" s="35" t="e">
        <f t="shared" si="10"/>
        <v>#N/A</v>
      </c>
      <c r="H213" s="35" t="e">
        <f>IF(G213&gt;0,H212-(5*'Gen Calcs'!C$41),'Air calcs'!H212)</f>
        <v>#N/A</v>
      </c>
      <c r="I213" s="35" t="e">
        <f>VLOOKUP('Air calcs'!C213,TS!N$2:O$177,2)</f>
        <v>#N/A</v>
      </c>
    </row>
    <row r="214" spans="1:9" x14ac:dyDescent="0.25">
      <c r="A214" s="35">
        <v>1060</v>
      </c>
      <c r="B214" s="35">
        <f>A214*'Gen Calcs'!C$36</f>
        <v>10600000</v>
      </c>
      <c r="C214" s="35" t="e">
        <f t="shared" si="11"/>
        <v>#N/A</v>
      </c>
      <c r="D214" s="35" t="e">
        <f>VLOOKUP(C214,TS!N$2:Z$177,11,TRUE)</f>
        <v>#N/A</v>
      </c>
      <c r="E214" s="35" t="e">
        <f>VLOOKUP(C214,TS!N$2:Z$177,13,TRUE)*1000</f>
        <v>#N/A</v>
      </c>
      <c r="F214" s="35" t="e">
        <f t="shared" si="9"/>
        <v>#N/A</v>
      </c>
      <c r="G214" s="35" t="e">
        <f t="shared" si="10"/>
        <v>#N/A</v>
      </c>
      <c r="H214" s="35" t="e">
        <f>IF(G214&gt;0,H213-(5*'Gen Calcs'!C$41),'Air calcs'!H213)</f>
        <v>#N/A</v>
      </c>
      <c r="I214" s="35" t="e">
        <f>VLOOKUP('Air calcs'!C214,TS!N$2:O$177,2)</f>
        <v>#N/A</v>
      </c>
    </row>
    <row r="215" spans="1:9" x14ac:dyDescent="0.25">
      <c r="A215" s="35">
        <v>1065</v>
      </c>
      <c r="B215" s="35">
        <f>A215*'Gen Calcs'!C$36</f>
        <v>10650000</v>
      </c>
      <c r="C215" s="35" t="e">
        <f t="shared" si="11"/>
        <v>#N/A</v>
      </c>
      <c r="D215" s="35" t="e">
        <f>VLOOKUP(C215,TS!N$2:Z$177,11,TRUE)</f>
        <v>#N/A</v>
      </c>
      <c r="E215" s="35" t="e">
        <f>VLOOKUP(C215,TS!N$2:Z$177,13,TRUE)*1000</f>
        <v>#N/A</v>
      </c>
      <c r="F215" s="35" t="e">
        <f t="shared" si="9"/>
        <v>#N/A</v>
      </c>
      <c r="G215" s="35" t="e">
        <f t="shared" si="10"/>
        <v>#N/A</v>
      </c>
      <c r="H215" s="35" t="e">
        <f>IF(G215&gt;0,H214-(5*'Gen Calcs'!C$41),'Air calcs'!H214)</f>
        <v>#N/A</v>
      </c>
      <c r="I215" s="35" t="e">
        <f>VLOOKUP('Air calcs'!C215,TS!N$2:O$177,2)</f>
        <v>#N/A</v>
      </c>
    </row>
    <row r="216" spans="1:9" x14ac:dyDescent="0.25">
      <c r="A216" s="35">
        <v>1070</v>
      </c>
      <c r="B216" s="35">
        <f>A216*'Gen Calcs'!C$36</f>
        <v>10700000</v>
      </c>
      <c r="C216" s="35" t="e">
        <f t="shared" si="11"/>
        <v>#N/A</v>
      </c>
      <c r="D216" s="35" t="e">
        <f>VLOOKUP(C216,TS!N$2:Z$177,11,TRUE)</f>
        <v>#N/A</v>
      </c>
      <c r="E216" s="35" t="e">
        <f>VLOOKUP(C216,TS!N$2:Z$177,13,TRUE)*1000</f>
        <v>#N/A</v>
      </c>
      <c r="F216" s="35" t="e">
        <f t="shared" si="9"/>
        <v>#N/A</v>
      </c>
      <c r="G216" s="35" t="e">
        <f t="shared" si="10"/>
        <v>#N/A</v>
      </c>
      <c r="H216" s="35" t="e">
        <f>IF(G216&gt;0,H215-(5*'Gen Calcs'!C$41),'Air calcs'!H215)</f>
        <v>#N/A</v>
      </c>
      <c r="I216" s="35" t="e">
        <f>VLOOKUP('Air calcs'!C216,TS!N$2:O$177,2)</f>
        <v>#N/A</v>
      </c>
    </row>
    <row r="217" spans="1:9" x14ac:dyDescent="0.25">
      <c r="A217" s="35">
        <v>1075</v>
      </c>
      <c r="B217" s="35">
        <f>A217*'Gen Calcs'!C$36</f>
        <v>10750000</v>
      </c>
      <c r="C217" s="35" t="e">
        <f t="shared" si="11"/>
        <v>#N/A</v>
      </c>
      <c r="D217" s="35" t="e">
        <f>VLOOKUP(C217,TS!N$2:Z$177,11,TRUE)</f>
        <v>#N/A</v>
      </c>
      <c r="E217" s="35" t="e">
        <f>VLOOKUP(C217,TS!N$2:Z$177,13,TRUE)*1000</f>
        <v>#N/A</v>
      </c>
      <c r="F217" s="35" t="e">
        <f t="shared" si="9"/>
        <v>#N/A</v>
      </c>
      <c r="G217" s="35" t="e">
        <f t="shared" si="10"/>
        <v>#N/A</v>
      </c>
      <c r="H217" s="35" t="e">
        <f>IF(G217&gt;0,H216-(5*'Gen Calcs'!C$41),'Air calcs'!H216)</f>
        <v>#N/A</v>
      </c>
      <c r="I217" s="35" t="e">
        <f>VLOOKUP('Air calcs'!C217,TS!N$2:O$177,2)</f>
        <v>#N/A</v>
      </c>
    </row>
    <row r="218" spans="1:9" x14ac:dyDescent="0.25">
      <c r="A218" s="35">
        <v>1080</v>
      </c>
      <c r="B218" s="35">
        <f>A218*'Gen Calcs'!C$36</f>
        <v>10800000</v>
      </c>
      <c r="C218" s="35" t="e">
        <f t="shared" si="11"/>
        <v>#N/A</v>
      </c>
      <c r="D218" s="35" t="e">
        <f>VLOOKUP(C218,TS!N$2:Z$177,11,TRUE)</f>
        <v>#N/A</v>
      </c>
      <c r="E218" s="35" t="e">
        <f>VLOOKUP(C218,TS!N$2:Z$177,13,TRUE)*1000</f>
        <v>#N/A</v>
      </c>
      <c r="F218" s="35" t="e">
        <f t="shared" si="9"/>
        <v>#N/A</v>
      </c>
      <c r="G218" s="35" t="e">
        <f t="shared" si="10"/>
        <v>#N/A</v>
      </c>
      <c r="H218" s="35" t="e">
        <f>IF(G218&gt;0,H217-(5*'Gen Calcs'!C$41),'Air calcs'!H217)</f>
        <v>#N/A</v>
      </c>
      <c r="I218" s="35" t="e">
        <f>VLOOKUP('Air calcs'!C218,TS!N$2:O$177,2)</f>
        <v>#N/A</v>
      </c>
    </row>
    <row r="219" spans="1:9" x14ac:dyDescent="0.25">
      <c r="A219" s="35">
        <v>1085</v>
      </c>
      <c r="B219" s="35">
        <f>A219*'Gen Calcs'!C$36</f>
        <v>10850000</v>
      </c>
      <c r="C219" s="35" t="e">
        <f t="shared" si="11"/>
        <v>#N/A</v>
      </c>
      <c r="D219" s="35" t="e">
        <f>VLOOKUP(C219,TS!N$2:Z$177,11,TRUE)</f>
        <v>#N/A</v>
      </c>
      <c r="E219" s="35" t="e">
        <f>VLOOKUP(C219,TS!N$2:Z$177,13,TRUE)*1000</f>
        <v>#N/A</v>
      </c>
      <c r="F219" s="35" t="e">
        <f t="shared" si="9"/>
        <v>#N/A</v>
      </c>
      <c r="G219" s="35" t="e">
        <f t="shared" si="10"/>
        <v>#N/A</v>
      </c>
      <c r="H219" s="35" t="e">
        <f>IF(G219&gt;0,H218-(5*'Gen Calcs'!C$41),'Air calcs'!H218)</f>
        <v>#N/A</v>
      </c>
      <c r="I219" s="35" t="e">
        <f>VLOOKUP('Air calcs'!C219,TS!N$2:O$177,2)</f>
        <v>#N/A</v>
      </c>
    </row>
    <row r="220" spans="1:9" x14ac:dyDescent="0.25">
      <c r="A220" s="35">
        <v>1090</v>
      </c>
      <c r="B220" s="35">
        <f>A220*'Gen Calcs'!C$36</f>
        <v>10900000</v>
      </c>
      <c r="C220" s="35" t="e">
        <f t="shared" si="11"/>
        <v>#N/A</v>
      </c>
      <c r="D220" s="35" t="e">
        <f>VLOOKUP(C220,TS!N$2:Z$177,11,TRUE)</f>
        <v>#N/A</v>
      </c>
      <c r="E220" s="35" t="e">
        <f>VLOOKUP(C220,TS!N$2:Z$177,13,TRUE)*1000</f>
        <v>#N/A</v>
      </c>
      <c r="F220" s="35" t="e">
        <f t="shared" si="9"/>
        <v>#N/A</v>
      </c>
      <c r="G220" s="35" t="e">
        <f t="shared" si="10"/>
        <v>#N/A</v>
      </c>
      <c r="H220" s="35" t="e">
        <f>IF(G220&gt;0,H219-(5*'Gen Calcs'!C$41),'Air calcs'!H219)</f>
        <v>#N/A</v>
      </c>
      <c r="I220" s="35" t="e">
        <f>VLOOKUP('Air calcs'!C220,TS!N$2:O$177,2)</f>
        <v>#N/A</v>
      </c>
    </row>
    <row r="221" spans="1:9" x14ac:dyDescent="0.25">
      <c r="A221" s="35">
        <v>1095</v>
      </c>
      <c r="B221" s="35">
        <f>A221*'Gen Calcs'!C$36</f>
        <v>10950000</v>
      </c>
      <c r="C221" s="35" t="e">
        <f t="shared" si="11"/>
        <v>#N/A</v>
      </c>
      <c r="D221" s="35" t="e">
        <f>VLOOKUP(C221,TS!N$2:Z$177,11,TRUE)</f>
        <v>#N/A</v>
      </c>
      <c r="E221" s="35" t="e">
        <f>VLOOKUP(C221,TS!N$2:Z$177,13,TRUE)*1000</f>
        <v>#N/A</v>
      </c>
      <c r="F221" s="35" t="e">
        <f t="shared" si="9"/>
        <v>#N/A</v>
      </c>
      <c r="G221" s="35" t="e">
        <f t="shared" si="10"/>
        <v>#N/A</v>
      </c>
      <c r="H221" s="35" t="e">
        <f>IF(G221&gt;0,H220-(5*'Gen Calcs'!C$41),'Air calcs'!H220)</f>
        <v>#N/A</v>
      </c>
      <c r="I221" s="35" t="e">
        <f>VLOOKUP('Air calcs'!C221,TS!N$2:O$177,2)</f>
        <v>#N/A</v>
      </c>
    </row>
    <row r="222" spans="1:9" x14ac:dyDescent="0.25">
      <c r="A222" s="35">
        <v>1100</v>
      </c>
      <c r="B222" s="35">
        <f>A222*'Gen Calcs'!C$36</f>
        <v>11000000</v>
      </c>
      <c r="C222" s="35" t="e">
        <f t="shared" si="11"/>
        <v>#N/A</v>
      </c>
      <c r="D222" s="35" t="e">
        <f>VLOOKUP(C222,TS!N$2:Z$177,11,TRUE)</f>
        <v>#N/A</v>
      </c>
      <c r="E222" s="35" t="e">
        <f>VLOOKUP(C222,TS!N$2:Z$177,13,TRUE)*1000</f>
        <v>#N/A</v>
      </c>
      <c r="F222" s="35" t="e">
        <f t="shared" si="9"/>
        <v>#N/A</v>
      </c>
      <c r="G222" s="35" t="e">
        <f t="shared" si="10"/>
        <v>#N/A</v>
      </c>
      <c r="H222" s="35" t="e">
        <f>IF(G222&gt;0,H221-(5*'Gen Calcs'!C$41),'Air calcs'!H221)</f>
        <v>#N/A</v>
      </c>
      <c r="I222" s="35" t="e">
        <f>VLOOKUP('Air calcs'!C222,TS!N$2:O$177,2)</f>
        <v>#N/A</v>
      </c>
    </row>
    <row r="223" spans="1:9" x14ac:dyDescent="0.25">
      <c r="A223" s="35">
        <v>1105</v>
      </c>
      <c r="B223" s="35">
        <f>A223*'Gen Calcs'!C$36</f>
        <v>11050000</v>
      </c>
      <c r="C223" s="35" t="e">
        <f t="shared" si="11"/>
        <v>#N/A</v>
      </c>
      <c r="D223" s="35" t="e">
        <f>VLOOKUP(C223,TS!N$2:Z$177,11,TRUE)</f>
        <v>#N/A</v>
      </c>
      <c r="E223" s="35" t="e">
        <f>VLOOKUP(C223,TS!N$2:Z$177,13,TRUE)*1000</f>
        <v>#N/A</v>
      </c>
      <c r="F223" s="35" t="e">
        <f t="shared" si="9"/>
        <v>#N/A</v>
      </c>
      <c r="G223" s="35" t="e">
        <f t="shared" si="10"/>
        <v>#N/A</v>
      </c>
      <c r="H223" s="35" t="e">
        <f>IF(G223&gt;0,H222-(5*'Gen Calcs'!C$41),'Air calcs'!H222)</f>
        <v>#N/A</v>
      </c>
      <c r="I223" s="35" t="e">
        <f>VLOOKUP('Air calcs'!C223,TS!N$2:O$177,2)</f>
        <v>#N/A</v>
      </c>
    </row>
    <row r="224" spans="1:9" x14ac:dyDescent="0.25">
      <c r="A224" s="35">
        <v>1110</v>
      </c>
      <c r="B224" s="35">
        <f>A224*'Gen Calcs'!C$36</f>
        <v>11100000</v>
      </c>
      <c r="C224" s="35" t="e">
        <f t="shared" si="11"/>
        <v>#N/A</v>
      </c>
      <c r="D224" s="35" t="e">
        <f>VLOOKUP(C224,TS!N$2:Z$177,11,TRUE)</f>
        <v>#N/A</v>
      </c>
      <c r="E224" s="35" t="e">
        <f>VLOOKUP(C224,TS!N$2:Z$177,13,TRUE)*1000</f>
        <v>#N/A</v>
      </c>
      <c r="F224" s="35" t="e">
        <f t="shared" si="9"/>
        <v>#N/A</v>
      </c>
      <c r="G224" s="35" t="e">
        <f t="shared" si="10"/>
        <v>#N/A</v>
      </c>
      <c r="H224" s="35" t="e">
        <f>IF(G224&gt;0,H223-(5*'Gen Calcs'!C$41),'Air calcs'!H223)</f>
        <v>#N/A</v>
      </c>
      <c r="I224" s="35" t="e">
        <f>VLOOKUP('Air calcs'!C224,TS!N$2:O$177,2)</f>
        <v>#N/A</v>
      </c>
    </row>
    <row r="225" spans="1:13" x14ac:dyDescent="0.25">
      <c r="A225" s="35">
        <v>1115</v>
      </c>
      <c r="B225" s="35">
        <f>A225*'Gen Calcs'!C$36</f>
        <v>11150000</v>
      </c>
      <c r="C225" s="35" t="e">
        <f t="shared" si="11"/>
        <v>#N/A</v>
      </c>
      <c r="D225" s="35" t="e">
        <f>VLOOKUP(C225,TS!N$2:Z$177,11,TRUE)</f>
        <v>#N/A</v>
      </c>
      <c r="E225" s="35" t="e">
        <f>VLOOKUP(C225,TS!N$2:Z$177,13,TRUE)*1000</f>
        <v>#N/A</v>
      </c>
      <c r="F225" s="35" t="e">
        <f t="shared" si="9"/>
        <v>#N/A</v>
      </c>
      <c r="G225" s="35" t="e">
        <f t="shared" si="10"/>
        <v>#N/A</v>
      </c>
      <c r="H225" s="35" t="e">
        <f>IF(G225&gt;0,H224-(5*'Gen Calcs'!C$41),'Air calcs'!H224)</f>
        <v>#N/A</v>
      </c>
      <c r="I225" s="35" t="e">
        <f>VLOOKUP('Air calcs'!C225,TS!N$2:O$177,2)</f>
        <v>#N/A</v>
      </c>
    </row>
    <row r="226" spans="1:13" x14ac:dyDescent="0.25">
      <c r="A226" s="35">
        <v>1120</v>
      </c>
      <c r="B226" s="35">
        <f>A226*'Gen Calcs'!C$36</f>
        <v>11200000</v>
      </c>
      <c r="C226" s="35" t="e">
        <f t="shared" si="11"/>
        <v>#N/A</v>
      </c>
      <c r="D226" s="35" t="e">
        <f>VLOOKUP(C226,TS!N$2:Z$177,11,TRUE)</f>
        <v>#N/A</v>
      </c>
      <c r="E226" s="35" t="e">
        <f>VLOOKUP(C226,TS!N$2:Z$177,13,TRUE)*1000</f>
        <v>#N/A</v>
      </c>
      <c r="F226" s="35" t="e">
        <f t="shared" si="9"/>
        <v>#N/A</v>
      </c>
      <c r="G226" s="35" t="e">
        <f t="shared" si="10"/>
        <v>#N/A</v>
      </c>
      <c r="H226" s="35" t="e">
        <f>IF(G226&gt;0,H225-(5*'Gen Calcs'!C$41),'Air calcs'!H225)</f>
        <v>#N/A</v>
      </c>
      <c r="I226" s="35" t="e">
        <f>VLOOKUP('Air calcs'!C226,TS!N$2:O$177,2)</f>
        <v>#N/A</v>
      </c>
    </row>
    <row r="227" spans="1:13" x14ac:dyDescent="0.25">
      <c r="A227" s="35">
        <v>1125</v>
      </c>
      <c r="B227" s="35">
        <f>A227*'Gen Calcs'!C$36</f>
        <v>11250000</v>
      </c>
      <c r="C227" s="35" t="e">
        <f t="shared" si="11"/>
        <v>#N/A</v>
      </c>
      <c r="D227" s="35" t="e">
        <f>VLOOKUP(C227,TS!N$2:Z$177,11,TRUE)</f>
        <v>#N/A</v>
      </c>
      <c r="E227" s="35" t="e">
        <f>VLOOKUP(C227,TS!N$2:Z$177,13,TRUE)*1000</f>
        <v>#N/A</v>
      </c>
      <c r="F227" s="35" t="e">
        <f t="shared" si="9"/>
        <v>#N/A</v>
      </c>
      <c r="G227" s="35" t="e">
        <f t="shared" si="10"/>
        <v>#N/A</v>
      </c>
      <c r="H227" s="35" t="e">
        <f>IF(G227&gt;0,H226-(5*'Gen Calcs'!C$41),'Air calcs'!H226)</f>
        <v>#N/A</v>
      </c>
      <c r="I227" s="35" t="e">
        <f>VLOOKUP('Air calcs'!C227,TS!N$2:O$177,2)</f>
        <v>#N/A</v>
      </c>
    </row>
    <row r="228" spans="1:13" x14ac:dyDescent="0.25">
      <c r="A228" s="35">
        <v>1130</v>
      </c>
      <c r="B228" s="35">
        <f>A228*'Gen Calcs'!C$36</f>
        <v>11300000</v>
      </c>
      <c r="C228" s="35" t="e">
        <f t="shared" si="11"/>
        <v>#N/A</v>
      </c>
      <c r="D228" s="35" t="e">
        <f>VLOOKUP(C228,TS!N$2:Z$177,11,TRUE)</f>
        <v>#N/A</v>
      </c>
      <c r="E228" s="35" t="e">
        <f>VLOOKUP(C228,TS!N$2:Z$177,13,TRUE)*1000</f>
        <v>#N/A</v>
      </c>
      <c r="F228" s="35" t="e">
        <f t="shared" si="9"/>
        <v>#N/A</v>
      </c>
      <c r="G228" s="35" t="e">
        <f t="shared" si="10"/>
        <v>#N/A</v>
      </c>
      <c r="H228" s="35" t="e">
        <f>IF(G228&gt;0,H227-(5*'Gen Calcs'!C$41),'Air calcs'!H227)</f>
        <v>#N/A</v>
      </c>
      <c r="I228" s="35" t="e">
        <f>VLOOKUP('Air calcs'!C228,TS!N$2:O$177,2)</f>
        <v>#N/A</v>
      </c>
    </row>
    <row r="229" spans="1:13" x14ac:dyDescent="0.25">
      <c r="A229" s="35">
        <v>1135</v>
      </c>
      <c r="B229" s="35">
        <f>A229*'Gen Calcs'!C$36</f>
        <v>11350000</v>
      </c>
      <c r="C229" s="35" t="e">
        <f t="shared" si="11"/>
        <v>#N/A</v>
      </c>
      <c r="D229" s="35" t="e">
        <f>VLOOKUP(C229,TS!N$2:Z$177,11,TRUE)</f>
        <v>#N/A</v>
      </c>
      <c r="E229" s="35" t="e">
        <f>VLOOKUP(C229,TS!N$2:Z$177,13,TRUE)*1000</f>
        <v>#N/A</v>
      </c>
      <c r="F229" s="35" t="e">
        <f t="shared" si="9"/>
        <v>#N/A</v>
      </c>
      <c r="G229" s="35" t="e">
        <f t="shared" si="10"/>
        <v>#N/A</v>
      </c>
      <c r="H229" s="35" t="e">
        <f>IF(G229&gt;0,H228-(5*'Gen Calcs'!C$41),'Air calcs'!H228)</f>
        <v>#N/A</v>
      </c>
      <c r="I229" s="35" t="e">
        <f>VLOOKUP('Air calcs'!C229,TS!N$2:O$177,2)</f>
        <v>#N/A</v>
      </c>
    </row>
    <row r="230" spans="1:13" x14ac:dyDescent="0.25">
      <c r="A230" s="35">
        <v>1140</v>
      </c>
      <c r="B230" s="35">
        <f>A230*'Gen Calcs'!C$36</f>
        <v>11400000</v>
      </c>
      <c r="C230" s="35" t="e">
        <f t="shared" si="11"/>
        <v>#N/A</v>
      </c>
      <c r="D230" s="35" t="e">
        <f>VLOOKUP(C230,TS!N$2:Z$177,11,TRUE)</f>
        <v>#N/A</v>
      </c>
      <c r="E230" s="35" t="e">
        <f>VLOOKUP(C230,TS!N$2:Z$177,13,TRUE)*1000</f>
        <v>#N/A</v>
      </c>
      <c r="F230" s="35" t="e">
        <f t="shared" si="9"/>
        <v>#N/A</v>
      </c>
      <c r="G230" s="35" t="e">
        <f t="shared" si="10"/>
        <v>#N/A</v>
      </c>
      <c r="H230" s="35" t="e">
        <f>IF(G230&gt;0,H229-(5*'Gen Calcs'!C$41),'Air calcs'!H229)</f>
        <v>#N/A</v>
      </c>
      <c r="I230" s="35" t="e">
        <f>VLOOKUP('Air calcs'!C230,TS!N$2:O$177,2)</f>
        <v>#N/A</v>
      </c>
    </row>
    <row r="231" spans="1:13" x14ac:dyDescent="0.25">
      <c r="A231" s="35">
        <v>1145</v>
      </c>
      <c r="B231" s="35">
        <f>A231*'Gen Calcs'!C$36</f>
        <v>11450000</v>
      </c>
      <c r="C231" s="35" t="e">
        <f t="shared" si="11"/>
        <v>#N/A</v>
      </c>
      <c r="D231" s="35" t="e">
        <f>VLOOKUP(C231,TS!N$2:Z$177,11,TRUE)</f>
        <v>#N/A</v>
      </c>
      <c r="E231" s="35" t="e">
        <f>VLOOKUP(C231,TS!N$2:Z$177,13,TRUE)*1000</f>
        <v>#N/A</v>
      </c>
      <c r="F231" s="35" t="e">
        <f t="shared" si="9"/>
        <v>#N/A</v>
      </c>
      <c r="G231" s="35" t="e">
        <f t="shared" si="10"/>
        <v>#N/A</v>
      </c>
      <c r="H231" s="35" t="e">
        <f>IF(G231&gt;0,H230-(5*'Gen Calcs'!C$41),'Air calcs'!H230)</f>
        <v>#N/A</v>
      </c>
      <c r="I231" s="35" t="e">
        <f>VLOOKUP('Air calcs'!C231,TS!N$2:O$177,2)</f>
        <v>#N/A</v>
      </c>
    </row>
    <row r="232" spans="1:13" x14ac:dyDescent="0.25">
      <c r="A232" s="35">
        <v>1150</v>
      </c>
      <c r="B232" s="35">
        <f>A232*'Gen Calcs'!C$36</f>
        <v>11500000</v>
      </c>
      <c r="C232" s="35" t="e">
        <f t="shared" si="11"/>
        <v>#N/A</v>
      </c>
      <c r="D232" s="35" t="e">
        <f>VLOOKUP(C232,TS!N$2:Z$177,11,TRUE)</f>
        <v>#N/A</v>
      </c>
      <c r="E232" s="35" t="e">
        <f>VLOOKUP(C232,TS!N$2:Z$177,13,TRUE)*1000</f>
        <v>#N/A</v>
      </c>
      <c r="F232" s="35" t="e">
        <f t="shared" si="9"/>
        <v>#N/A</v>
      </c>
      <c r="G232" s="35" t="e">
        <f t="shared" si="10"/>
        <v>#N/A</v>
      </c>
      <c r="H232" s="35" t="e">
        <f>IF(G232&gt;0,H231-(5*'Gen Calcs'!C$41),'Air calcs'!H231)</f>
        <v>#N/A</v>
      </c>
      <c r="I232" s="35" t="e">
        <f>VLOOKUP('Air calcs'!C232,TS!N$2:O$177,2)</f>
        <v>#N/A</v>
      </c>
    </row>
    <row r="233" spans="1:13" x14ac:dyDescent="0.25">
      <c r="A233" s="35">
        <v>1155</v>
      </c>
      <c r="B233" s="35">
        <f>A233*'Gen Calcs'!C$36</f>
        <v>11550000</v>
      </c>
      <c r="C233" s="35" t="e">
        <f t="shared" si="11"/>
        <v>#N/A</v>
      </c>
      <c r="D233" s="35" t="e">
        <f>VLOOKUP(C233,TS!N$2:Z$177,11,TRUE)</f>
        <v>#N/A</v>
      </c>
      <c r="E233" s="35" t="e">
        <f>VLOOKUP(C233,TS!N$2:Z$177,13,TRUE)*1000</f>
        <v>#N/A</v>
      </c>
      <c r="F233" s="35" t="e">
        <f t="shared" si="9"/>
        <v>#N/A</v>
      </c>
      <c r="G233" s="35" t="e">
        <f t="shared" si="10"/>
        <v>#N/A</v>
      </c>
      <c r="H233" s="35" t="e">
        <f>IF(G233&gt;0,H232-(5*'Gen Calcs'!C$41),'Air calcs'!H232)</f>
        <v>#N/A</v>
      </c>
      <c r="I233" s="35" t="e">
        <f>VLOOKUP('Air calcs'!C233,TS!N$2:O$177,2)</f>
        <v>#N/A</v>
      </c>
    </row>
    <row r="234" spans="1:13" s="39" customFormat="1" x14ac:dyDescent="0.25">
      <c r="A234" s="35">
        <v>1160</v>
      </c>
      <c r="B234" s="40">
        <f>A234*'Gen Calcs'!C$36</f>
        <v>11600000</v>
      </c>
      <c r="C234" s="40" t="e">
        <f t="shared" si="11"/>
        <v>#N/A</v>
      </c>
      <c r="D234" s="35" t="e">
        <f>VLOOKUP(C234,TS!N$2:Z$177,11,TRUE)</f>
        <v>#N/A</v>
      </c>
      <c r="E234" s="35" t="e">
        <f>VLOOKUP(C234,TS!N$2:Z$177,13,TRUE)*1000</f>
        <v>#N/A</v>
      </c>
      <c r="F234" s="40" t="e">
        <f t="shared" si="9"/>
        <v>#N/A</v>
      </c>
      <c r="G234" s="40" t="e">
        <f t="shared" si="10"/>
        <v>#N/A</v>
      </c>
      <c r="H234" s="40" t="e">
        <f>IF(G234&gt;0,H233-(5*'Gen Calcs'!C$41),'Air calcs'!H233)</f>
        <v>#N/A</v>
      </c>
      <c r="I234" s="35" t="e">
        <f>VLOOKUP('Air calcs'!C234,TS!N$2:O$177,2)</f>
        <v>#N/A</v>
      </c>
      <c r="J234" s="40"/>
      <c r="K234" s="40"/>
      <c r="L234" s="40"/>
      <c r="M234" s="40"/>
    </row>
    <row r="235" spans="1:13" x14ac:dyDescent="0.25">
      <c r="A235" s="35">
        <v>1165</v>
      </c>
      <c r="B235" s="35">
        <f>A235*'Gen Calcs'!C$36</f>
        <v>11650000</v>
      </c>
      <c r="C235" s="35" t="e">
        <f t="shared" si="11"/>
        <v>#N/A</v>
      </c>
      <c r="D235" s="35" t="e">
        <f>VLOOKUP(C235,TS!N$2:Z$177,11,TRUE)</f>
        <v>#N/A</v>
      </c>
      <c r="E235" s="35" t="e">
        <f>VLOOKUP(C235,TS!N$2:Z$177,13,TRUE)*1000</f>
        <v>#N/A</v>
      </c>
      <c r="F235" s="35" t="e">
        <f t="shared" si="9"/>
        <v>#N/A</v>
      </c>
      <c r="G235" s="35" t="e">
        <f t="shared" si="10"/>
        <v>#N/A</v>
      </c>
      <c r="H235" s="35" t="e">
        <f>IF(G235&gt;0,H234-(5*'Gen Calcs'!C$41),'Air calcs'!H234)</f>
        <v>#N/A</v>
      </c>
      <c r="I235" s="35" t="e">
        <f>VLOOKUP('Air calcs'!C235,TS!N$2:O$177,2)</f>
        <v>#N/A</v>
      </c>
    </row>
    <row r="236" spans="1:13" x14ac:dyDescent="0.25">
      <c r="A236" s="35">
        <v>1170</v>
      </c>
      <c r="B236" s="35">
        <f>A236*'Gen Calcs'!C$36</f>
        <v>11700000</v>
      </c>
      <c r="C236" s="35" t="e">
        <f t="shared" si="11"/>
        <v>#N/A</v>
      </c>
      <c r="D236" s="35" t="e">
        <f>VLOOKUP(C236,TS!N$2:Z$177,11,TRUE)</f>
        <v>#N/A</v>
      </c>
      <c r="E236" s="35" t="e">
        <f>VLOOKUP(C236,TS!N$2:Z$177,13,TRUE)*1000</f>
        <v>#N/A</v>
      </c>
      <c r="F236" s="35" t="e">
        <f t="shared" si="9"/>
        <v>#N/A</v>
      </c>
      <c r="G236" s="35" t="e">
        <f t="shared" si="10"/>
        <v>#N/A</v>
      </c>
      <c r="H236" s="35" t="e">
        <f>IF(G236&gt;0,H235-(5*'Gen Calcs'!C$41),'Air calcs'!H235)</f>
        <v>#N/A</v>
      </c>
      <c r="I236" s="35" t="e">
        <f>VLOOKUP('Air calcs'!C236,TS!N$2:O$177,2)</f>
        <v>#N/A</v>
      </c>
    </row>
    <row r="237" spans="1:13" x14ac:dyDescent="0.25">
      <c r="A237" s="35">
        <v>1175</v>
      </c>
      <c r="B237" s="35">
        <f>A237*'Gen Calcs'!C$36</f>
        <v>11750000</v>
      </c>
      <c r="C237" s="35" t="e">
        <f t="shared" si="11"/>
        <v>#N/A</v>
      </c>
      <c r="D237" s="35" t="e">
        <f>VLOOKUP(C237,TS!N$2:Z$177,11,TRUE)</f>
        <v>#N/A</v>
      </c>
      <c r="E237" s="35" t="e">
        <f>VLOOKUP(C237,TS!N$2:Z$177,13,TRUE)*1000</f>
        <v>#N/A</v>
      </c>
      <c r="F237" s="35" t="e">
        <f t="shared" si="9"/>
        <v>#N/A</v>
      </c>
      <c r="G237" s="35" t="e">
        <f t="shared" si="10"/>
        <v>#N/A</v>
      </c>
      <c r="H237" s="35" t="e">
        <f>IF(G237&gt;0,H236-(5*'Gen Calcs'!C$41),'Air calcs'!H236)</f>
        <v>#N/A</v>
      </c>
      <c r="I237" s="35" t="e">
        <f>VLOOKUP('Air calcs'!C237,TS!N$2:O$177,2)</f>
        <v>#N/A</v>
      </c>
    </row>
    <row r="238" spans="1:13" x14ac:dyDescent="0.25">
      <c r="A238" s="35">
        <v>1180</v>
      </c>
      <c r="B238" s="35">
        <f>A238*'Gen Calcs'!C$36</f>
        <v>11800000</v>
      </c>
      <c r="C238" s="35" t="e">
        <f t="shared" si="11"/>
        <v>#N/A</v>
      </c>
      <c r="D238" s="35" t="e">
        <f>VLOOKUP(C238,TS!N$2:Z$177,11,TRUE)</f>
        <v>#N/A</v>
      </c>
      <c r="E238" s="35" t="e">
        <f>VLOOKUP(C238,TS!N$2:Z$177,13,TRUE)*1000</f>
        <v>#N/A</v>
      </c>
      <c r="F238" s="35" t="e">
        <f t="shared" si="9"/>
        <v>#N/A</v>
      </c>
      <c r="G238" s="35" t="e">
        <f t="shared" si="10"/>
        <v>#N/A</v>
      </c>
      <c r="H238" s="35" t="e">
        <f>IF(G238&gt;0,H237-(5*'Gen Calcs'!C$41),'Air calcs'!H237)</f>
        <v>#N/A</v>
      </c>
      <c r="I238" s="35" t="e">
        <f>VLOOKUP('Air calcs'!C238,TS!N$2:O$177,2)</f>
        <v>#N/A</v>
      </c>
    </row>
    <row r="239" spans="1:13" x14ac:dyDescent="0.25">
      <c r="A239" s="35">
        <v>1185</v>
      </c>
      <c r="B239" s="35">
        <f>A239*'Gen Calcs'!C$36</f>
        <v>11850000</v>
      </c>
      <c r="C239" s="35" t="e">
        <f t="shared" si="11"/>
        <v>#N/A</v>
      </c>
      <c r="D239" s="35" t="e">
        <f>VLOOKUP(C239,TS!N$2:Z$177,11,TRUE)</f>
        <v>#N/A</v>
      </c>
      <c r="E239" s="35" t="e">
        <f>VLOOKUP(C239,TS!N$2:Z$177,13,TRUE)*1000</f>
        <v>#N/A</v>
      </c>
      <c r="F239" s="35" t="e">
        <f t="shared" si="9"/>
        <v>#N/A</v>
      </c>
      <c r="G239" s="35" t="e">
        <f t="shared" si="10"/>
        <v>#N/A</v>
      </c>
      <c r="H239" s="35" t="e">
        <f>IF(G239&gt;0,H238-(5*'Gen Calcs'!C$41),'Air calcs'!H238)</f>
        <v>#N/A</v>
      </c>
      <c r="I239" s="35" t="e">
        <f>VLOOKUP('Air calcs'!C239,TS!N$2:O$177,2)</f>
        <v>#N/A</v>
      </c>
    </row>
    <row r="240" spans="1:13" x14ac:dyDescent="0.25">
      <c r="A240" s="35">
        <v>1190</v>
      </c>
      <c r="B240" s="35">
        <f>A240*'Gen Calcs'!C$36</f>
        <v>11900000</v>
      </c>
      <c r="C240" s="35" t="e">
        <f t="shared" si="11"/>
        <v>#N/A</v>
      </c>
      <c r="D240" s="35" t="e">
        <f>VLOOKUP(C240,TS!N$2:Z$177,11,TRUE)</f>
        <v>#N/A</v>
      </c>
      <c r="E240" s="35" t="e">
        <f>VLOOKUP(C240,TS!N$2:Z$177,13,TRUE)*1000</f>
        <v>#N/A</v>
      </c>
      <c r="F240" s="35" t="e">
        <f t="shared" si="9"/>
        <v>#N/A</v>
      </c>
      <c r="G240" s="35" t="e">
        <f t="shared" si="10"/>
        <v>#N/A</v>
      </c>
      <c r="H240" s="35" t="e">
        <f>IF(G240&gt;0,H239-(5*'Gen Calcs'!C$41),'Air calcs'!H239)</f>
        <v>#N/A</v>
      </c>
      <c r="I240" s="35" t="e">
        <f>VLOOKUP('Air calcs'!C240,TS!N$2:O$177,2)</f>
        <v>#N/A</v>
      </c>
    </row>
    <row r="241" spans="1:9" x14ac:dyDescent="0.25">
      <c r="A241" s="35">
        <v>1195</v>
      </c>
      <c r="B241" s="35">
        <f>A241*'Gen Calcs'!C$36</f>
        <v>11950000</v>
      </c>
      <c r="C241" s="35" t="e">
        <f t="shared" si="11"/>
        <v>#N/A</v>
      </c>
      <c r="D241" s="35" t="e">
        <f>VLOOKUP(C241,TS!N$2:Z$177,11,TRUE)</f>
        <v>#N/A</v>
      </c>
      <c r="E241" s="35" t="e">
        <f>VLOOKUP(C241,TS!N$2:Z$177,13,TRUE)*1000</f>
        <v>#N/A</v>
      </c>
      <c r="F241" s="35" t="e">
        <f t="shared" si="9"/>
        <v>#N/A</v>
      </c>
      <c r="G241" s="35" t="e">
        <f t="shared" si="10"/>
        <v>#N/A</v>
      </c>
      <c r="H241" s="35" t="e">
        <f>IF(G241&gt;0,H240-(5*'Gen Calcs'!C$41),'Air calcs'!H240)</f>
        <v>#N/A</v>
      </c>
      <c r="I241" s="35" t="e">
        <f>VLOOKUP('Air calcs'!C241,TS!N$2:O$177,2)</f>
        <v>#N/A</v>
      </c>
    </row>
    <row r="242" spans="1:9" x14ac:dyDescent="0.25">
      <c r="A242" s="35">
        <v>1200</v>
      </c>
      <c r="B242" s="35">
        <f>A242*'Gen Calcs'!C$36</f>
        <v>12000000</v>
      </c>
      <c r="C242" s="35" t="e">
        <f t="shared" si="11"/>
        <v>#N/A</v>
      </c>
      <c r="D242" s="35" t="e">
        <f>VLOOKUP(C242,TS!N$2:Z$177,11,TRUE)</f>
        <v>#N/A</v>
      </c>
      <c r="E242" s="35" t="e">
        <f>VLOOKUP(C242,TS!N$2:Z$177,13,TRUE)*1000</f>
        <v>#N/A</v>
      </c>
      <c r="F242" s="35" t="e">
        <f t="shared" si="9"/>
        <v>#N/A</v>
      </c>
      <c r="G242" s="35" t="e">
        <f t="shared" si="10"/>
        <v>#N/A</v>
      </c>
      <c r="H242" s="35" t="e">
        <f>IF(G242&gt;0,H241-(5*'Gen Calcs'!C$41),'Air calcs'!H241)</f>
        <v>#N/A</v>
      </c>
      <c r="I242" s="35" t="e">
        <f>VLOOKUP('Air calcs'!C242,TS!N$2:O$177,2)</f>
        <v>#N/A</v>
      </c>
    </row>
    <row r="243" spans="1:9" x14ac:dyDescent="0.25">
      <c r="A243" s="35">
        <v>1205</v>
      </c>
      <c r="B243" s="35">
        <f>A243*'Gen Calcs'!C$36</f>
        <v>12050000</v>
      </c>
      <c r="C243" s="35" t="e">
        <f t="shared" si="11"/>
        <v>#N/A</v>
      </c>
      <c r="D243" s="35" t="e">
        <f>VLOOKUP(C243,TS!N$2:Z$177,11,TRUE)</f>
        <v>#N/A</v>
      </c>
      <c r="E243" s="35" t="e">
        <f>VLOOKUP(C243,TS!N$2:Z$177,13,TRUE)*1000</f>
        <v>#N/A</v>
      </c>
      <c r="F243" s="35" t="e">
        <f t="shared" si="9"/>
        <v>#N/A</v>
      </c>
      <c r="G243" s="35" t="e">
        <f t="shared" si="10"/>
        <v>#N/A</v>
      </c>
      <c r="H243" s="35" t="e">
        <f>IF(G243&gt;0,H242-(5*'Gen Calcs'!C$41),'Air calcs'!H242)</f>
        <v>#N/A</v>
      </c>
      <c r="I243" s="35" t="e">
        <f>VLOOKUP('Air calcs'!C243,TS!N$2:O$177,2)</f>
        <v>#N/A</v>
      </c>
    </row>
    <row r="244" spans="1:9" x14ac:dyDescent="0.25">
      <c r="A244" s="35">
        <v>1210</v>
      </c>
      <c r="B244" s="35">
        <f>A244*'Gen Calcs'!C$36</f>
        <v>12100000</v>
      </c>
      <c r="C244" s="35" t="e">
        <f t="shared" si="11"/>
        <v>#N/A</v>
      </c>
      <c r="D244" s="35" t="e">
        <f>VLOOKUP(C244,TS!N$2:Z$177,11,TRUE)</f>
        <v>#N/A</v>
      </c>
      <c r="E244" s="35" t="e">
        <f>VLOOKUP(C244,TS!N$2:Z$177,13,TRUE)*1000</f>
        <v>#N/A</v>
      </c>
      <c r="F244" s="35" t="e">
        <f t="shared" si="9"/>
        <v>#N/A</v>
      </c>
      <c r="G244" s="35" t="e">
        <f t="shared" si="10"/>
        <v>#N/A</v>
      </c>
      <c r="H244" s="35" t="e">
        <f>IF(G244&gt;0,H243-(5*'Gen Calcs'!C$41),'Air calcs'!H243)</f>
        <v>#N/A</v>
      </c>
      <c r="I244" s="35" t="e">
        <f>VLOOKUP('Air calcs'!C244,TS!N$2:O$177,2)</f>
        <v>#N/A</v>
      </c>
    </row>
    <row r="245" spans="1:9" x14ac:dyDescent="0.25">
      <c r="A245" s="35">
        <v>1215</v>
      </c>
      <c r="B245" s="35">
        <f>A245*'Gen Calcs'!C$36</f>
        <v>12150000</v>
      </c>
      <c r="C245" s="35" t="e">
        <f t="shared" si="11"/>
        <v>#N/A</v>
      </c>
      <c r="D245" s="35" t="e">
        <f>VLOOKUP(C245,TS!N$2:Z$177,11,TRUE)</f>
        <v>#N/A</v>
      </c>
      <c r="E245" s="35" t="e">
        <f>VLOOKUP(C245,TS!N$2:Z$177,13,TRUE)*1000</f>
        <v>#N/A</v>
      </c>
      <c r="F245" s="35" t="e">
        <f t="shared" si="9"/>
        <v>#N/A</v>
      </c>
      <c r="G245" s="35" t="e">
        <f t="shared" si="10"/>
        <v>#N/A</v>
      </c>
      <c r="H245" s="35" t="e">
        <f>IF(G245&gt;0,H244-(5*'Gen Calcs'!C$41),'Air calcs'!H244)</f>
        <v>#N/A</v>
      </c>
      <c r="I245" s="35" t="e">
        <f>VLOOKUP('Air calcs'!C245,TS!N$2:O$177,2)</f>
        <v>#N/A</v>
      </c>
    </row>
    <row r="246" spans="1:9" x14ac:dyDescent="0.25">
      <c r="A246" s="35">
        <v>1220</v>
      </c>
      <c r="B246" s="35">
        <f>A246*'Gen Calcs'!C$36</f>
        <v>12200000</v>
      </c>
      <c r="C246" s="35" t="e">
        <f t="shared" si="11"/>
        <v>#N/A</v>
      </c>
      <c r="D246" s="35" t="e">
        <f>VLOOKUP(C246,TS!N$2:Z$177,11,TRUE)</f>
        <v>#N/A</v>
      </c>
      <c r="E246" s="35" t="e">
        <f>VLOOKUP(C246,TS!N$2:Z$177,13,TRUE)*1000</f>
        <v>#N/A</v>
      </c>
      <c r="F246" s="35" t="e">
        <f t="shared" si="9"/>
        <v>#N/A</v>
      </c>
      <c r="G246" s="35" t="e">
        <f t="shared" si="10"/>
        <v>#N/A</v>
      </c>
      <c r="H246" s="35" t="e">
        <f>IF(G246&gt;0,H245-(5*'Gen Calcs'!C$41),'Air calcs'!H245)</f>
        <v>#N/A</v>
      </c>
      <c r="I246" s="35" t="e">
        <f>VLOOKUP('Air calcs'!C246,TS!N$2:O$177,2)</f>
        <v>#N/A</v>
      </c>
    </row>
    <row r="247" spans="1:9" x14ac:dyDescent="0.25">
      <c r="A247" s="35">
        <v>1225</v>
      </c>
      <c r="B247" s="35">
        <f>A247*'Gen Calcs'!C$36</f>
        <v>12250000</v>
      </c>
      <c r="C247" s="35" t="e">
        <f t="shared" si="11"/>
        <v>#N/A</v>
      </c>
      <c r="D247" s="35" t="e">
        <f>VLOOKUP(C247,TS!N$2:Z$177,11,TRUE)</f>
        <v>#N/A</v>
      </c>
      <c r="E247" s="35" t="e">
        <f>VLOOKUP(C247,TS!N$2:Z$177,13,TRUE)*1000</f>
        <v>#N/A</v>
      </c>
      <c r="F247" s="35" t="e">
        <f t="shared" si="9"/>
        <v>#N/A</v>
      </c>
      <c r="G247" s="35" t="e">
        <f t="shared" si="10"/>
        <v>#N/A</v>
      </c>
      <c r="H247" s="35" t="e">
        <f>IF(G247&gt;0,H246-(5*'Gen Calcs'!C$41),'Air calcs'!H246)</f>
        <v>#N/A</v>
      </c>
      <c r="I247" s="35" t="e">
        <f>VLOOKUP('Air calcs'!C247,TS!N$2:O$177,2)</f>
        <v>#N/A</v>
      </c>
    </row>
    <row r="248" spans="1:9" x14ac:dyDescent="0.25">
      <c r="A248" s="35">
        <v>1230</v>
      </c>
      <c r="B248" s="35">
        <f>A248*'Gen Calcs'!C$36</f>
        <v>12300000</v>
      </c>
      <c r="C248" s="35" t="e">
        <f t="shared" si="11"/>
        <v>#N/A</v>
      </c>
      <c r="D248" s="35" t="e">
        <f>VLOOKUP(C248,TS!N$2:Z$177,11,TRUE)</f>
        <v>#N/A</v>
      </c>
      <c r="E248" s="35" t="e">
        <f>VLOOKUP(C248,TS!N$2:Z$177,13,TRUE)*1000</f>
        <v>#N/A</v>
      </c>
      <c r="F248" s="35" t="e">
        <f t="shared" si="9"/>
        <v>#N/A</v>
      </c>
      <c r="G248" s="35" t="e">
        <f t="shared" si="10"/>
        <v>#N/A</v>
      </c>
      <c r="H248" s="35" t="e">
        <f>IF(G248&gt;0,H247-(5*'Gen Calcs'!C$41),'Air calcs'!H247)</f>
        <v>#N/A</v>
      </c>
      <c r="I248" s="35" t="e">
        <f>VLOOKUP('Air calcs'!C248,TS!N$2:O$177,2)</f>
        <v>#N/A</v>
      </c>
    </row>
    <row r="249" spans="1:9" x14ac:dyDescent="0.25">
      <c r="A249" s="35">
        <v>1235</v>
      </c>
      <c r="B249" s="35">
        <f>A249*'Gen Calcs'!C$36</f>
        <v>12350000</v>
      </c>
      <c r="C249" s="35" t="e">
        <f t="shared" si="11"/>
        <v>#N/A</v>
      </c>
      <c r="D249" s="35" t="e">
        <f>VLOOKUP(C249,TS!N$2:Z$177,11,TRUE)</f>
        <v>#N/A</v>
      </c>
      <c r="E249" s="35" t="e">
        <f>VLOOKUP(C249,TS!N$2:Z$177,13,TRUE)*1000</f>
        <v>#N/A</v>
      </c>
      <c r="F249" s="35" t="e">
        <f t="shared" si="9"/>
        <v>#N/A</v>
      </c>
      <c r="G249" s="35" t="e">
        <f t="shared" si="10"/>
        <v>#N/A</v>
      </c>
      <c r="H249" s="35" t="e">
        <f>IF(G249&gt;0,H248-(5*'Gen Calcs'!C$41),'Air calcs'!H248)</f>
        <v>#N/A</v>
      </c>
      <c r="I249" s="35" t="e">
        <f>VLOOKUP('Air calcs'!C249,TS!N$2:O$177,2)</f>
        <v>#N/A</v>
      </c>
    </row>
    <row r="250" spans="1:9" x14ac:dyDescent="0.25">
      <c r="A250" s="35">
        <v>1240</v>
      </c>
      <c r="B250" s="35">
        <f>A250*'Gen Calcs'!C$36</f>
        <v>12400000</v>
      </c>
      <c r="C250" s="35" t="e">
        <f t="shared" si="11"/>
        <v>#N/A</v>
      </c>
      <c r="D250" s="35" t="e">
        <f>VLOOKUP(C250,TS!N$2:Z$177,11,TRUE)</f>
        <v>#N/A</v>
      </c>
      <c r="E250" s="35" t="e">
        <f>VLOOKUP(C250,TS!N$2:Z$177,13,TRUE)*1000</f>
        <v>#N/A</v>
      </c>
      <c r="F250" s="35" t="e">
        <f t="shared" si="9"/>
        <v>#N/A</v>
      </c>
      <c r="G250" s="35" t="e">
        <f t="shared" si="10"/>
        <v>#N/A</v>
      </c>
      <c r="H250" s="35" t="e">
        <f>IF(G250&gt;0,H249-(5*'Gen Calcs'!C$41),'Air calcs'!H249)</f>
        <v>#N/A</v>
      </c>
      <c r="I250" s="35" t="e">
        <f>VLOOKUP('Air calcs'!C250,TS!N$2:O$177,2)</f>
        <v>#N/A</v>
      </c>
    </row>
    <row r="251" spans="1:9" x14ac:dyDescent="0.25">
      <c r="A251" s="35">
        <v>1245</v>
      </c>
      <c r="B251" s="35">
        <f>A251*'Gen Calcs'!C$36</f>
        <v>12450000</v>
      </c>
      <c r="C251" s="35" t="e">
        <f t="shared" si="11"/>
        <v>#N/A</v>
      </c>
      <c r="D251" s="35" t="e">
        <f>VLOOKUP(C251,TS!N$2:Z$177,11,TRUE)</f>
        <v>#N/A</v>
      </c>
      <c r="E251" s="35" t="e">
        <f>VLOOKUP(C251,TS!N$2:Z$177,13,TRUE)*1000</f>
        <v>#N/A</v>
      </c>
      <c r="F251" s="35" t="e">
        <f t="shared" si="9"/>
        <v>#N/A</v>
      </c>
      <c r="G251" s="35" t="e">
        <f t="shared" si="10"/>
        <v>#N/A</v>
      </c>
      <c r="H251" s="35" t="e">
        <f>IF(G251&gt;0,H250-(5*'Gen Calcs'!C$41),'Air calcs'!H250)</f>
        <v>#N/A</v>
      </c>
      <c r="I251" s="35" t="e">
        <f>VLOOKUP('Air calcs'!C251,TS!N$2:O$177,2)</f>
        <v>#N/A</v>
      </c>
    </row>
    <row r="252" spans="1:9" x14ac:dyDescent="0.25">
      <c r="A252" s="35">
        <v>1250</v>
      </c>
      <c r="B252" s="35">
        <f>A252*'Gen Calcs'!C$36</f>
        <v>12500000</v>
      </c>
      <c r="C252" s="35" t="e">
        <f t="shared" si="11"/>
        <v>#N/A</v>
      </c>
      <c r="D252" s="35" t="e">
        <f>VLOOKUP(C252,TS!N$2:Z$177,11,TRUE)</f>
        <v>#N/A</v>
      </c>
      <c r="E252" s="35" t="e">
        <f>VLOOKUP(C252,TS!N$2:Z$177,13,TRUE)*1000</f>
        <v>#N/A</v>
      </c>
      <c r="F252" s="35" t="e">
        <f t="shared" si="9"/>
        <v>#N/A</v>
      </c>
      <c r="G252" s="35" t="e">
        <f t="shared" si="10"/>
        <v>#N/A</v>
      </c>
      <c r="H252" s="35" t="e">
        <f>IF(G252&gt;0,H251-(5*'Gen Calcs'!C$41),'Air calcs'!H251)</f>
        <v>#N/A</v>
      </c>
      <c r="I252" s="35" t="e">
        <f>VLOOKUP('Air calcs'!C252,TS!N$2:O$177,2)</f>
        <v>#N/A</v>
      </c>
    </row>
    <row r="253" spans="1:9" x14ac:dyDescent="0.25">
      <c r="A253" s="35">
        <v>1255</v>
      </c>
      <c r="B253" s="35">
        <f>A253*'Gen Calcs'!C$36</f>
        <v>12550000</v>
      </c>
      <c r="C253" s="35" t="e">
        <f t="shared" si="11"/>
        <v>#N/A</v>
      </c>
      <c r="D253" s="35" t="e">
        <f>VLOOKUP(C253,TS!N$2:Z$177,11,TRUE)</f>
        <v>#N/A</v>
      </c>
      <c r="E253" s="35" t="e">
        <f>VLOOKUP(C253,TS!N$2:Z$177,13,TRUE)*1000</f>
        <v>#N/A</v>
      </c>
      <c r="F253" s="35" t="e">
        <f t="shared" si="9"/>
        <v>#N/A</v>
      </c>
      <c r="G253" s="35" t="e">
        <f t="shared" si="10"/>
        <v>#N/A</v>
      </c>
      <c r="H253" s="35" t="e">
        <f>IF(G253&gt;0,H252-(5*'Gen Calcs'!C$41),'Air calcs'!H252)</f>
        <v>#N/A</v>
      </c>
      <c r="I253" s="35" t="e">
        <f>VLOOKUP('Air calcs'!C253,TS!N$2:O$177,2)</f>
        <v>#N/A</v>
      </c>
    </row>
    <row r="254" spans="1:9" x14ac:dyDescent="0.25">
      <c r="A254" s="35">
        <v>1260</v>
      </c>
      <c r="B254" s="35">
        <f>A254*'Gen Calcs'!C$36</f>
        <v>12600000</v>
      </c>
      <c r="C254" s="35" t="e">
        <f t="shared" si="11"/>
        <v>#N/A</v>
      </c>
      <c r="D254" s="35" t="e">
        <f>VLOOKUP(C254,TS!N$2:Z$177,11,TRUE)</f>
        <v>#N/A</v>
      </c>
      <c r="E254" s="35" t="e">
        <f>VLOOKUP(C254,TS!N$2:Z$177,13,TRUE)*1000</f>
        <v>#N/A</v>
      </c>
      <c r="F254" s="35" t="e">
        <f t="shared" si="9"/>
        <v>#N/A</v>
      </c>
      <c r="G254" s="35" t="e">
        <f t="shared" si="10"/>
        <v>#N/A</v>
      </c>
      <c r="H254" s="35" t="e">
        <f>IF(G254&gt;0,H253-(5*'Gen Calcs'!C$41),'Air calcs'!H253)</f>
        <v>#N/A</v>
      </c>
      <c r="I254" s="35" t="e">
        <f>VLOOKUP('Air calcs'!C254,TS!N$2:O$177,2)</f>
        <v>#N/A</v>
      </c>
    </row>
    <row r="255" spans="1:9" x14ac:dyDescent="0.25">
      <c r="A255" s="35">
        <v>1265</v>
      </c>
      <c r="B255" s="35">
        <f>A255*'Gen Calcs'!C$36</f>
        <v>12650000</v>
      </c>
      <c r="C255" s="35" t="e">
        <f t="shared" si="11"/>
        <v>#N/A</v>
      </c>
      <c r="D255" s="35" t="e">
        <f>VLOOKUP(C255,TS!N$2:Z$177,11,TRUE)</f>
        <v>#N/A</v>
      </c>
      <c r="E255" s="35" t="e">
        <f>VLOOKUP(C255,TS!N$2:Z$177,13,TRUE)*1000</f>
        <v>#N/A</v>
      </c>
      <c r="F255" s="35" t="e">
        <f t="shared" si="9"/>
        <v>#N/A</v>
      </c>
      <c r="G255" s="35" t="e">
        <f t="shared" si="10"/>
        <v>#N/A</v>
      </c>
      <c r="H255" s="35" t="e">
        <f>IF(G255&gt;0,H254-(5*'Gen Calcs'!C$41),'Air calcs'!H254)</f>
        <v>#N/A</v>
      </c>
      <c r="I255" s="35" t="e">
        <f>VLOOKUP('Air calcs'!C255,TS!N$2:O$177,2)</f>
        <v>#N/A</v>
      </c>
    </row>
    <row r="256" spans="1:9" x14ac:dyDescent="0.25">
      <c r="A256" s="35">
        <v>1270</v>
      </c>
      <c r="B256" s="35">
        <f>A256*'Gen Calcs'!C$36</f>
        <v>12700000</v>
      </c>
      <c r="C256" s="35" t="e">
        <f t="shared" si="11"/>
        <v>#N/A</v>
      </c>
      <c r="D256" s="35" t="e">
        <f>VLOOKUP(C256,TS!N$2:Z$177,11,TRUE)</f>
        <v>#N/A</v>
      </c>
      <c r="E256" s="35" t="e">
        <f>VLOOKUP(C256,TS!N$2:Z$177,13,TRUE)*1000</f>
        <v>#N/A</v>
      </c>
      <c r="F256" s="35" t="e">
        <f t="shared" si="9"/>
        <v>#N/A</v>
      </c>
      <c r="G256" s="35" t="e">
        <f t="shared" si="10"/>
        <v>#N/A</v>
      </c>
      <c r="H256" s="35" t="e">
        <f>IF(G256&gt;0,H255-(5*'Gen Calcs'!C$41),'Air calcs'!H255)</f>
        <v>#N/A</v>
      </c>
      <c r="I256" s="35" t="e">
        <f>VLOOKUP('Air calcs'!C256,TS!N$2:O$177,2)</f>
        <v>#N/A</v>
      </c>
    </row>
    <row r="257" spans="1:9" x14ac:dyDescent="0.25">
      <c r="A257" s="35">
        <v>1275</v>
      </c>
      <c r="B257" s="35">
        <f>A257*'Gen Calcs'!C$36</f>
        <v>12750000</v>
      </c>
      <c r="C257" s="35" t="e">
        <f t="shared" si="11"/>
        <v>#N/A</v>
      </c>
      <c r="D257" s="35" t="e">
        <f>VLOOKUP(C257,TS!N$2:Z$177,11,TRUE)</f>
        <v>#N/A</v>
      </c>
      <c r="E257" s="35" t="e">
        <f>VLOOKUP(C257,TS!N$2:Z$177,13,TRUE)*1000</f>
        <v>#N/A</v>
      </c>
      <c r="F257" s="35" t="e">
        <f t="shared" si="9"/>
        <v>#N/A</v>
      </c>
      <c r="G257" s="35" t="e">
        <f t="shared" si="10"/>
        <v>#N/A</v>
      </c>
      <c r="H257" s="35" t="e">
        <f>IF(G257&gt;0,H256-(5*'Gen Calcs'!C$41),'Air calcs'!H256)</f>
        <v>#N/A</v>
      </c>
      <c r="I257" s="35" t="e">
        <f>VLOOKUP('Air calcs'!C257,TS!N$2:O$177,2)</f>
        <v>#N/A</v>
      </c>
    </row>
    <row r="258" spans="1:9" x14ac:dyDescent="0.25">
      <c r="A258" s="35">
        <v>1280</v>
      </c>
      <c r="B258" s="35">
        <f>A258*'Gen Calcs'!C$36</f>
        <v>12800000</v>
      </c>
      <c r="C258" s="35" t="e">
        <f t="shared" si="11"/>
        <v>#N/A</v>
      </c>
      <c r="D258" s="35" t="e">
        <f>VLOOKUP(C258,TS!N$2:Z$177,11,TRUE)</f>
        <v>#N/A</v>
      </c>
      <c r="E258" s="35" t="e">
        <f>VLOOKUP(C258,TS!N$2:Z$177,13,TRUE)*1000</f>
        <v>#N/A</v>
      </c>
      <c r="F258" s="35" t="e">
        <f t="shared" si="9"/>
        <v>#N/A</v>
      </c>
      <c r="G258" s="35" t="e">
        <f t="shared" si="10"/>
        <v>#N/A</v>
      </c>
      <c r="H258" s="35" t="e">
        <f>IF(G258&gt;0,H257-(5*'Gen Calcs'!C$41),'Air calcs'!H257)</f>
        <v>#N/A</v>
      </c>
      <c r="I258" s="35" t="e">
        <f>VLOOKUP('Air calcs'!C258,TS!N$2:O$177,2)</f>
        <v>#N/A</v>
      </c>
    </row>
    <row r="259" spans="1:9" x14ac:dyDescent="0.25">
      <c r="A259" s="35">
        <v>1285</v>
      </c>
      <c r="B259" s="35">
        <f>A259*'Gen Calcs'!C$36</f>
        <v>12850000</v>
      </c>
      <c r="C259" s="35" t="e">
        <f t="shared" si="11"/>
        <v>#N/A</v>
      </c>
      <c r="D259" s="35" t="e">
        <f>VLOOKUP(C259,TS!N$2:Z$177,11,TRUE)</f>
        <v>#N/A</v>
      </c>
      <c r="E259" s="35" t="e">
        <f>VLOOKUP(C259,TS!N$2:Z$177,13,TRUE)*1000</f>
        <v>#N/A</v>
      </c>
      <c r="F259" s="35" t="e">
        <f t="shared" ref="F259:F322" si="12">IF(B259&gt;D259,1,0)</f>
        <v>#N/A</v>
      </c>
      <c r="G259" s="35" t="e">
        <f t="shared" ref="G259:G322" si="13">IF(B259&gt;E259,1,0)</f>
        <v>#N/A</v>
      </c>
      <c r="H259" s="35" t="e">
        <f>IF(G259&gt;0,H258-(5*'Gen Calcs'!C$41),'Air calcs'!H258)</f>
        <v>#N/A</v>
      </c>
      <c r="I259" s="35" t="e">
        <f>VLOOKUP('Air calcs'!C259,TS!N$2:O$177,2)</f>
        <v>#N/A</v>
      </c>
    </row>
    <row r="260" spans="1:9" x14ac:dyDescent="0.25">
      <c r="A260" s="35">
        <v>1290</v>
      </c>
      <c r="B260" s="35">
        <f>A260*'Gen Calcs'!C$36</f>
        <v>12900000</v>
      </c>
      <c r="C260" s="35" t="e">
        <f t="shared" si="11"/>
        <v>#N/A</v>
      </c>
      <c r="D260" s="35" t="e">
        <f>VLOOKUP(C260,TS!N$2:Z$177,11,TRUE)</f>
        <v>#N/A</v>
      </c>
      <c r="E260" s="35" t="e">
        <f>VLOOKUP(C260,TS!N$2:Z$177,13,TRUE)*1000</f>
        <v>#N/A</v>
      </c>
      <c r="F260" s="35" t="e">
        <f t="shared" si="12"/>
        <v>#N/A</v>
      </c>
      <c r="G260" s="35" t="e">
        <f t="shared" si="13"/>
        <v>#N/A</v>
      </c>
      <c r="H260" s="35" t="e">
        <f>IF(G260&gt;0,H259-(5*'Gen Calcs'!C$41),'Air calcs'!H259)</f>
        <v>#N/A</v>
      </c>
      <c r="I260" s="35" t="e">
        <f>VLOOKUP('Air calcs'!C260,TS!N$2:O$177,2)</f>
        <v>#N/A</v>
      </c>
    </row>
    <row r="261" spans="1:9" x14ac:dyDescent="0.25">
      <c r="A261" s="35">
        <v>1295</v>
      </c>
      <c r="B261" s="35">
        <f>A261*'Gen Calcs'!C$36</f>
        <v>12950000</v>
      </c>
      <c r="C261" s="35" t="e">
        <f t="shared" ref="C261:C324" si="14">H260</f>
        <v>#N/A</v>
      </c>
      <c r="D261" s="35" t="e">
        <f>VLOOKUP(C261,TS!N$2:Z$177,11,TRUE)</f>
        <v>#N/A</v>
      </c>
      <c r="E261" s="35" t="e">
        <f>VLOOKUP(C261,TS!N$2:Z$177,13,TRUE)*1000</f>
        <v>#N/A</v>
      </c>
      <c r="F261" s="35" t="e">
        <f t="shared" si="12"/>
        <v>#N/A</v>
      </c>
      <c r="G261" s="35" t="e">
        <f t="shared" si="13"/>
        <v>#N/A</v>
      </c>
      <c r="H261" s="35" t="e">
        <f>IF(G261&gt;0,H260-(5*'Gen Calcs'!C$41),'Air calcs'!H260)</f>
        <v>#N/A</v>
      </c>
      <c r="I261" s="35" t="e">
        <f>VLOOKUP('Air calcs'!C261,TS!N$2:O$177,2)</f>
        <v>#N/A</v>
      </c>
    </row>
    <row r="262" spans="1:9" x14ac:dyDescent="0.25">
      <c r="A262" s="35">
        <v>1300</v>
      </c>
      <c r="B262" s="35">
        <f>A262*'Gen Calcs'!C$36</f>
        <v>13000000</v>
      </c>
      <c r="C262" s="35" t="e">
        <f t="shared" si="14"/>
        <v>#N/A</v>
      </c>
      <c r="D262" s="35" t="e">
        <f>VLOOKUP(C262,TS!N$2:Z$177,11,TRUE)</f>
        <v>#N/A</v>
      </c>
      <c r="E262" s="35" t="e">
        <f>VLOOKUP(C262,TS!N$2:Z$177,13,TRUE)*1000</f>
        <v>#N/A</v>
      </c>
      <c r="F262" s="35" t="e">
        <f t="shared" si="12"/>
        <v>#N/A</v>
      </c>
      <c r="G262" s="35" t="e">
        <f t="shared" si="13"/>
        <v>#N/A</v>
      </c>
      <c r="H262" s="35" t="e">
        <f>IF(G262&gt;0,H261-(5*'Gen Calcs'!C$41),'Air calcs'!H261)</f>
        <v>#N/A</v>
      </c>
      <c r="I262" s="35" t="e">
        <f>VLOOKUP('Air calcs'!C262,TS!N$2:O$177,2)</f>
        <v>#N/A</v>
      </c>
    </row>
    <row r="263" spans="1:9" x14ac:dyDescent="0.25">
      <c r="A263" s="35">
        <v>1305</v>
      </c>
      <c r="B263" s="35">
        <f>A263*'Gen Calcs'!C$36</f>
        <v>13050000</v>
      </c>
      <c r="C263" s="35" t="e">
        <f t="shared" si="14"/>
        <v>#N/A</v>
      </c>
      <c r="D263" s="35" t="e">
        <f>VLOOKUP(C263,TS!N$2:Z$177,11,TRUE)</f>
        <v>#N/A</v>
      </c>
      <c r="E263" s="35" t="e">
        <f>VLOOKUP(C263,TS!N$2:Z$177,13,TRUE)*1000</f>
        <v>#N/A</v>
      </c>
      <c r="F263" s="35" t="e">
        <f t="shared" si="12"/>
        <v>#N/A</v>
      </c>
      <c r="G263" s="35" t="e">
        <f t="shared" si="13"/>
        <v>#N/A</v>
      </c>
      <c r="H263" s="35" t="e">
        <f>IF(G263&gt;0,H262-(5*'Gen Calcs'!C$41),'Air calcs'!H262)</f>
        <v>#N/A</v>
      </c>
      <c r="I263" s="35" t="e">
        <f>VLOOKUP('Air calcs'!C263,TS!N$2:O$177,2)</f>
        <v>#N/A</v>
      </c>
    </row>
    <row r="264" spans="1:9" x14ac:dyDescent="0.25">
      <c r="A264" s="35">
        <v>1310</v>
      </c>
      <c r="B264" s="35">
        <f>A264*'Gen Calcs'!C$36</f>
        <v>13100000</v>
      </c>
      <c r="C264" s="35" t="e">
        <f t="shared" si="14"/>
        <v>#N/A</v>
      </c>
      <c r="D264" s="35" t="e">
        <f>VLOOKUP(C264,TS!N$2:Z$177,11,TRUE)</f>
        <v>#N/A</v>
      </c>
      <c r="E264" s="35" t="e">
        <f>VLOOKUP(C264,TS!N$2:Z$177,13,TRUE)*1000</f>
        <v>#N/A</v>
      </c>
      <c r="F264" s="35" t="e">
        <f t="shared" si="12"/>
        <v>#N/A</v>
      </c>
      <c r="G264" s="35" t="e">
        <f t="shared" si="13"/>
        <v>#N/A</v>
      </c>
      <c r="H264" s="35" t="e">
        <f>IF(G264&gt;0,H263-(5*'Gen Calcs'!C$41),'Air calcs'!H263)</f>
        <v>#N/A</v>
      </c>
      <c r="I264" s="35" t="e">
        <f>VLOOKUP('Air calcs'!C264,TS!N$2:O$177,2)</f>
        <v>#N/A</v>
      </c>
    </row>
    <row r="265" spans="1:9" x14ac:dyDescent="0.25">
      <c r="A265" s="35">
        <v>1315</v>
      </c>
      <c r="B265" s="35">
        <f>A265*'Gen Calcs'!C$36</f>
        <v>13150000</v>
      </c>
      <c r="C265" s="35" t="e">
        <f t="shared" si="14"/>
        <v>#N/A</v>
      </c>
      <c r="D265" s="35" t="e">
        <f>VLOOKUP(C265,TS!N$2:Z$177,11,TRUE)</f>
        <v>#N/A</v>
      </c>
      <c r="E265" s="35" t="e">
        <f>VLOOKUP(C265,TS!N$2:Z$177,13,TRUE)*1000</f>
        <v>#N/A</v>
      </c>
      <c r="F265" s="35" t="e">
        <f t="shared" si="12"/>
        <v>#N/A</v>
      </c>
      <c r="G265" s="35" t="e">
        <f t="shared" si="13"/>
        <v>#N/A</v>
      </c>
      <c r="H265" s="35" t="e">
        <f>IF(G265&gt;0,H264-(5*'Gen Calcs'!C$41),'Air calcs'!H264)</f>
        <v>#N/A</v>
      </c>
      <c r="I265" s="35" t="e">
        <f>VLOOKUP('Air calcs'!C265,TS!N$2:O$177,2)</f>
        <v>#N/A</v>
      </c>
    </row>
    <row r="266" spans="1:9" x14ac:dyDescent="0.25">
      <c r="A266" s="35">
        <v>1320</v>
      </c>
      <c r="B266" s="35">
        <f>A266*'Gen Calcs'!C$36</f>
        <v>13200000</v>
      </c>
      <c r="C266" s="35" t="e">
        <f t="shared" si="14"/>
        <v>#N/A</v>
      </c>
      <c r="D266" s="35" t="e">
        <f>VLOOKUP(C266,TS!N$2:Z$177,11,TRUE)</f>
        <v>#N/A</v>
      </c>
      <c r="E266" s="35" t="e">
        <f>VLOOKUP(C266,TS!N$2:Z$177,13,TRUE)*1000</f>
        <v>#N/A</v>
      </c>
      <c r="F266" s="35" t="e">
        <f t="shared" si="12"/>
        <v>#N/A</v>
      </c>
      <c r="G266" s="35" t="e">
        <f t="shared" si="13"/>
        <v>#N/A</v>
      </c>
      <c r="H266" s="35" t="e">
        <f>IF(G266&gt;0,H265-(5*'Gen Calcs'!C$41),'Air calcs'!H265)</f>
        <v>#N/A</v>
      </c>
      <c r="I266" s="35" t="e">
        <f>VLOOKUP('Air calcs'!C266,TS!N$2:O$177,2)</f>
        <v>#N/A</v>
      </c>
    </row>
    <row r="267" spans="1:9" x14ac:dyDescent="0.25">
      <c r="A267" s="35">
        <v>1325</v>
      </c>
      <c r="B267" s="35">
        <f>A267*'Gen Calcs'!C$36</f>
        <v>13250000</v>
      </c>
      <c r="C267" s="35" t="e">
        <f t="shared" si="14"/>
        <v>#N/A</v>
      </c>
      <c r="D267" s="35" t="e">
        <f>VLOOKUP(C267,TS!N$2:Z$177,11,TRUE)</f>
        <v>#N/A</v>
      </c>
      <c r="E267" s="35" t="e">
        <f>VLOOKUP(C267,TS!N$2:Z$177,13,TRUE)*1000</f>
        <v>#N/A</v>
      </c>
      <c r="F267" s="35" t="e">
        <f t="shared" si="12"/>
        <v>#N/A</v>
      </c>
      <c r="G267" s="35" t="e">
        <f t="shared" si="13"/>
        <v>#N/A</v>
      </c>
      <c r="H267" s="35" t="e">
        <f>IF(G267&gt;0,H266-(5*'Gen Calcs'!C$41),'Air calcs'!H266)</f>
        <v>#N/A</v>
      </c>
      <c r="I267" s="35" t="e">
        <f>VLOOKUP('Air calcs'!C267,TS!N$2:O$177,2)</f>
        <v>#N/A</v>
      </c>
    </row>
    <row r="268" spans="1:9" x14ac:dyDescent="0.25">
      <c r="A268" s="35">
        <v>1330</v>
      </c>
      <c r="B268" s="35">
        <f>A268*'Gen Calcs'!C$36</f>
        <v>13300000</v>
      </c>
      <c r="C268" s="35" t="e">
        <f t="shared" si="14"/>
        <v>#N/A</v>
      </c>
      <c r="D268" s="35" t="e">
        <f>VLOOKUP(C268,TS!N$2:Z$177,11,TRUE)</f>
        <v>#N/A</v>
      </c>
      <c r="E268" s="35" t="e">
        <f>VLOOKUP(C268,TS!N$2:Z$177,13,TRUE)*1000</f>
        <v>#N/A</v>
      </c>
      <c r="F268" s="35" t="e">
        <f t="shared" si="12"/>
        <v>#N/A</v>
      </c>
      <c r="G268" s="35" t="e">
        <f t="shared" si="13"/>
        <v>#N/A</v>
      </c>
      <c r="H268" s="35" t="e">
        <f>IF(G268&gt;0,H267-(5*'Gen Calcs'!C$41),'Air calcs'!H267)</f>
        <v>#N/A</v>
      </c>
      <c r="I268" s="35" t="e">
        <f>VLOOKUP('Air calcs'!C268,TS!N$2:O$177,2)</f>
        <v>#N/A</v>
      </c>
    </row>
    <row r="269" spans="1:9" x14ac:dyDescent="0.25">
      <c r="A269" s="35">
        <v>1335</v>
      </c>
      <c r="B269" s="35">
        <f>A269*'Gen Calcs'!C$36</f>
        <v>13350000</v>
      </c>
      <c r="C269" s="35" t="e">
        <f t="shared" si="14"/>
        <v>#N/A</v>
      </c>
      <c r="D269" s="35" t="e">
        <f>VLOOKUP(C269,TS!N$2:Z$177,11,TRUE)</f>
        <v>#N/A</v>
      </c>
      <c r="E269" s="35" t="e">
        <f>VLOOKUP(C269,TS!N$2:Z$177,13,TRUE)*1000</f>
        <v>#N/A</v>
      </c>
      <c r="F269" s="35" t="e">
        <f t="shared" si="12"/>
        <v>#N/A</v>
      </c>
      <c r="G269" s="35" t="e">
        <f t="shared" si="13"/>
        <v>#N/A</v>
      </c>
      <c r="H269" s="35" t="e">
        <f>IF(G269&gt;0,H268-(5*'Gen Calcs'!C$41),'Air calcs'!H268)</f>
        <v>#N/A</v>
      </c>
      <c r="I269" s="35" t="e">
        <f>VLOOKUP('Air calcs'!C269,TS!N$2:O$177,2)</f>
        <v>#N/A</v>
      </c>
    </row>
    <row r="270" spans="1:9" x14ac:dyDescent="0.25">
      <c r="A270" s="35">
        <v>1340</v>
      </c>
      <c r="B270" s="35">
        <f>A270*'Gen Calcs'!C$36</f>
        <v>13400000</v>
      </c>
      <c r="C270" s="35" t="e">
        <f t="shared" si="14"/>
        <v>#N/A</v>
      </c>
      <c r="D270" s="35" t="e">
        <f>VLOOKUP(C270,TS!N$2:Z$177,11,TRUE)</f>
        <v>#N/A</v>
      </c>
      <c r="E270" s="35" t="e">
        <f>VLOOKUP(C270,TS!N$2:Z$177,13,TRUE)*1000</f>
        <v>#N/A</v>
      </c>
      <c r="F270" s="35" t="e">
        <f t="shared" si="12"/>
        <v>#N/A</v>
      </c>
      <c r="G270" s="35" t="e">
        <f t="shared" si="13"/>
        <v>#N/A</v>
      </c>
      <c r="H270" s="35" t="e">
        <f>IF(G270&gt;0,H269-(5*'Gen Calcs'!C$41),'Air calcs'!H269)</f>
        <v>#N/A</v>
      </c>
      <c r="I270" s="35" t="e">
        <f>VLOOKUP('Air calcs'!C270,TS!N$2:O$177,2)</f>
        <v>#N/A</v>
      </c>
    </row>
    <row r="271" spans="1:9" x14ac:dyDescent="0.25">
      <c r="A271" s="35">
        <v>1345</v>
      </c>
      <c r="B271" s="35">
        <f>A271*'Gen Calcs'!C$36</f>
        <v>13450000</v>
      </c>
      <c r="C271" s="35" t="e">
        <f t="shared" si="14"/>
        <v>#N/A</v>
      </c>
      <c r="D271" s="35" t="e">
        <f>VLOOKUP(C271,TS!N$2:Z$177,11,TRUE)</f>
        <v>#N/A</v>
      </c>
      <c r="E271" s="35" t="e">
        <f>VLOOKUP(C271,TS!N$2:Z$177,13,TRUE)*1000</f>
        <v>#N/A</v>
      </c>
      <c r="F271" s="35" t="e">
        <f t="shared" si="12"/>
        <v>#N/A</v>
      </c>
      <c r="G271" s="35" t="e">
        <f t="shared" si="13"/>
        <v>#N/A</v>
      </c>
      <c r="H271" s="35" t="e">
        <f>IF(G271&gt;0,H270-(5*'Gen Calcs'!C$41),'Air calcs'!H270)</f>
        <v>#N/A</v>
      </c>
      <c r="I271" s="35" t="e">
        <f>VLOOKUP('Air calcs'!C271,TS!N$2:O$177,2)</f>
        <v>#N/A</v>
      </c>
    </row>
    <row r="272" spans="1:9" x14ac:dyDescent="0.25">
      <c r="A272" s="35">
        <v>1350</v>
      </c>
      <c r="B272" s="35">
        <f>A272*'Gen Calcs'!C$36</f>
        <v>13500000</v>
      </c>
      <c r="C272" s="35" t="e">
        <f t="shared" si="14"/>
        <v>#N/A</v>
      </c>
      <c r="D272" s="35" t="e">
        <f>VLOOKUP(C272,TS!N$2:Z$177,11,TRUE)</f>
        <v>#N/A</v>
      </c>
      <c r="E272" s="35" t="e">
        <f>VLOOKUP(C272,TS!N$2:Z$177,13,TRUE)*1000</f>
        <v>#N/A</v>
      </c>
      <c r="F272" s="35" t="e">
        <f t="shared" si="12"/>
        <v>#N/A</v>
      </c>
      <c r="G272" s="35" t="e">
        <f t="shared" si="13"/>
        <v>#N/A</v>
      </c>
      <c r="H272" s="35" t="e">
        <f>IF(G272&gt;0,H271-(5*'Gen Calcs'!C$41),'Air calcs'!H271)</f>
        <v>#N/A</v>
      </c>
      <c r="I272" s="35" t="e">
        <f>VLOOKUP('Air calcs'!C272,TS!N$2:O$177,2)</f>
        <v>#N/A</v>
      </c>
    </row>
    <row r="273" spans="1:9" x14ac:dyDescent="0.25">
      <c r="A273" s="35">
        <v>1355</v>
      </c>
      <c r="B273" s="35">
        <f>A273*'Gen Calcs'!C$36</f>
        <v>13550000</v>
      </c>
      <c r="C273" s="35" t="e">
        <f t="shared" si="14"/>
        <v>#N/A</v>
      </c>
      <c r="D273" s="35" t="e">
        <f>VLOOKUP(C273,TS!N$2:Z$177,11,TRUE)</f>
        <v>#N/A</v>
      </c>
      <c r="E273" s="35" t="e">
        <f>VLOOKUP(C273,TS!N$2:Z$177,13,TRUE)*1000</f>
        <v>#N/A</v>
      </c>
      <c r="F273" s="35" t="e">
        <f t="shared" si="12"/>
        <v>#N/A</v>
      </c>
      <c r="G273" s="35" t="e">
        <f t="shared" si="13"/>
        <v>#N/A</v>
      </c>
      <c r="H273" s="35" t="e">
        <f>IF(G273&gt;0,H272-(5*'Gen Calcs'!C$41),'Air calcs'!H272)</f>
        <v>#N/A</v>
      </c>
      <c r="I273" s="35" t="e">
        <f>VLOOKUP('Air calcs'!C273,TS!N$2:O$177,2)</f>
        <v>#N/A</v>
      </c>
    </row>
    <row r="274" spans="1:9" x14ac:dyDescent="0.25">
      <c r="A274" s="35">
        <v>1360</v>
      </c>
      <c r="B274" s="35">
        <f>A274*'Gen Calcs'!C$36</f>
        <v>13600000</v>
      </c>
      <c r="C274" s="35" t="e">
        <f t="shared" si="14"/>
        <v>#N/A</v>
      </c>
      <c r="D274" s="35" t="e">
        <f>VLOOKUP(C274,TS!N$2:Z$177,11,TRUE)</f>
        <v>#N/A</v>
      </c>
      <c r="E274" s="35" t="e">
        <f>VLOOKUP(C274,TS!N$2:Z$177,13,TRUE)*1000</f>
        <v>#N/A</v>
      </c>
      <c r="F274" s="35" t="e">
        <f t="shared" si="12"/>
        <v>#N/A</v>
      </c>
      <c r="G274" s="35" t="e">
        <f t="shared" si="13"/>
        <v>#N/A</v>
      </c>
      <c r="H274" s="35" t="e">
        <f>IF(G274&gt;0,H273-(5*'Gen Calcs'!C$41),'Air calcs'!H273)</f>
        <v>#N/A</v>
      </c>
      <c r="I274" s="35" t="e">
        <f>VLOOKUP('Air calcs'!C274,TS!N$2:O$177,2)</f>
        <v>#N/A</v>
      </c>
    </row>
    <row r="275" spans="1:9" x14ac:dyDescent="0.25">
      <c r="A275" s="35">
        <v>1365</v>
      </c>
      <c r="B275" s="35">
        <f>A275*'Gen Calcs'!C$36</f>
        <v>13650000</v>
      </c>
      <c r="C275" s="35" t="e">
        <f t="shared" si="14"/>
        <v>#N/A</v>
      </c>
      <c r="D275" s="35" t="e">
        <f>VLOOKUP(C275,TS!N$2:Z$177,11,TRUE)</f>
        <v>#N/A</v>
      </c>
      <c r="E275" s="35" t="e">
        <f>VLOOKUP(C275,TS!N$2:Z$177,13,TRUE)*1000</f>
        <v>#N/A</v>
      </c>
      <c r="F275" s="35" t="e">
        <f t="shared" si="12"/>
        <v>#N/A</v>
      </c>
      <c r="G275" s="35" t="e">
        <f t="shared" si="13"/>
        <v>#N/A</v>
      </c>
      <c r="H275" s="35" t="e">
        <f>IF(G275&gt;0,H274-(5*'Gen Calcs'!C$41),'Air calcs'!H274)</f>
        <v>#N/A</v>
      </c>
      <c r="I275" s="35" t="e">
        <f>VLOOKUP('Air calcs'!C275,TS!N$2:O$177,2)</f>
        <v>#N/A</v>
      </c>
    </row>
    <row r="276" spans="1:9" x14ac:dyDescent="0.25">
      <c r="A276" s="35">
        <v>1370</v>
      </c>
      <c r="B276" s="35">
        <f>A276*'Gen Calcs'!C$36</f>
        <v>13700000</v>
      </c>
      <c r="C276" s="35" t="e">
        <f t="shared" si="14"/>
        <v>#N/A</v>
      </c>
      <c r="D276" s="35" t="e">
        <f>VLOOKUP(C276,TS!N$2:Z$177,11,TRUE)</f>
        <v>#N/A</v>
      </c>
      <c r="E276" s="35" t="e">
        <f>VLOOKUP(C276,TS!N$2:Z$177,13,TRUE)*1000</f>
        <v>#N/A</v>
      </c>
      <c r="F276" s="35" t="e">
        <f t="shared" si="12"/>
        <v>#N/A</v>
      </c>
      <c r="G276" s="35" t="e">
        <f t="shared" si="13"/>
        <v>#N/A</v>
      </c>
      <c r="H276" s="35" t="e">
        <f>IF(G276&gt;0,H275-(5*'Gen Calcs'!C$41),'Air calcs'!H275)</f>
        <v>#N/A</v>
      </c>
      <c r="I276" s="35" t="e">
        <f>VLOOKUP('Air calcs'!C276,TS!N$2:O$177,2)</f>
        <v>#N/A</v>
      </c>
    </row>
    <row r="277" spans="1:9" x14ac:dyDescent="0.25">
      <c r="A277" s="35">
        <v>1375</v>
      </c>
      <c r="B277" s="35">
        <f>A277*'Gen Calcs'!C$36</f>
        <v>13750000</v>
      </c>
      <c r="C277" s="35" t="e">
        <f t="shared" si="14"/>
        <v>#N/A</v>
      </c>
      <c r="D277" s="35" t="e">
        <f>VLOOKUP(C277,TS!N$2:Z$177,11,TRUE)</f>
        <v>#N/A</v>
      </c>
      <c r="E277" s="35" t="e">
        <f>VLOOKUP(C277,TS!N$2:Z$177,13,TRUE)*1000</f>
        <v>#N/A</v>
      </c>
      <c r="F277" s="35" t="e">
        <f t="shared" si="12"/>
        <v>#N/A</v>
      </c>
      <c r="G277" s="35" t="e">
        <f t="shared" si="13"/>
        <v>#N/A</v>
      </c>
      <c r="H277" s="35" t="e">
        <f>IF(G277&gt;0,H276-(5*'Gen Calcs'!C$41),'Air calcs'!H276)</f>
        <v>#N/A</v>
      </c>
      <c r="I277" s="35" t="e">
        <f>VLOOKUP('Air calcs'!C277,TS!N$2:O$177,2)</f>
        <v>#N/A</v>
      </c>
    </row>
    <row r="278" spans="1:9" x14ac:dyDescent="0.25">
      <c r="A278" s="35">
        <v>1380</v>
      </c>
      <c r="B278" s="35">
        <f>A278*'Gen Calcs'!C$36</f>
        <v>13800000</v>
      </c>
      <c r="C278" s="35" t="e">
        <f t="shared" si="14"/>
        <v>#N/A</v>
      </c>
      <c r="D278" s="35" t="e">
        <f>VLOOKUP(C278,TS!N$2:Z$177,11,TRUE)</f>
        <v>#N/A</v>
      </c>
      <c r="E278" s="35" t="e">
        <f>VLOOKUP(C278,TS!N$2:Z$177,13,TRUE)*1000</f>
        <v>#N/A</v>
      </c>
      <c r="F278" s="35" t="e">
        <f t="shared" si="12"/>
        <v>#N/A</v>
      </c>
      <c r="G278" s="35" t="e">
        <f t="shared" si="13"/>
        <v>#N/A</v>
      </c>
      <c r="H278" s="35" t="e">
        <f>IF(G278&gt;0,H277-(5*'Gen Calcs'!C$41),'Air calcs'!H277)</f>
        <v>#N/A</v>
      </c>
      <c r="I278" s="35" t="e">
        <f>VLOOKUP('Air calcs'!C278,TS!N$2:O$177,2)</f>
        <v>#N/A</v>
      </c>
    </row>
    <row r="279" spans="1:9" x14ac:dyDescent="0.25">
      <c r="A279" s="35">
        <v>1385</v>
      </c>
      <c r="B279" s="35">
        <f>A279*'Gen Calcs'!C$36</f>
        <v>13850000</v>
      </c>
      <c r="C279" s="35" t="e">
        <f t="shared" si="14"/>
        <v>#N/A</v>
      </c>
      <c r="D279" s="35" t="e">
        <f>VLOOKUP(C279,TS!N$2:Z$177,11,TRUE)</f>
        <v>#N/A</v>
      </c>
      <c r="E279" s="35" t="e">
        <f>VLOOKUP(C279,TS!N$2:Z$177,13,TRUE)*1000</f>
        <v>#N/A</v>
      </c>
      <c r="F279" s="35" t="e">
        <f t="shared" si="12"/>
        <v>#N/A</v>
      </c>
      <c r="G279" s="35" t="e">
        <f t="shared" si="13"/>
        <v>#N/A</v>
      </c>
      <c r="H279" s="35" t="e">
        <f>IF(G279&gt;0,H278-(5*'Gen Calcs'!C$41),'Air calcs'!H278)</f>
        <v>#N/A</v>
      </c>
      <c r="I279" s="35" t="e">
        <f>VLOOKUP('Air calcs'!C279,TS!N$2:O$177,2)</f>
        <v>#N/A</v>
      </c>
    </row>
    <row r="280" spans="1:9" x14ac:dyDescent="0.25">
      <c r="A280" s="35">
        <v>1390</v>
      </c>
      <c r="B280" s="35">
        <f>A280*'Gen Calcs'!C$36</f>
        <v>13900000</v>
      </c>
      <c r="C280" s="35" t="e">
        <f t="shared" si="14"/>
        <v>#N/A</v>
      </c>
      <c r="D280" s="35" t="e">
        <f>VLOOKUP(C280,TS!N$2:Z$177,11,TRUE)</f>
        <v>#N/A</v>
      </c>
      <c r="E280" s="35" t="e">
        <f>VLOOKUP(C280,TS!N$2:Z$177,13,TRUE)*1000</f>
        <v>#N/A</v>
      </c>
      <c r="F280" s="35" t="e">
        <f t="shared" si="12"/>
        <v>#N/A</v>
      </c>
      <c r="G280" s="35" t="e">
        <f t="shared" si="13"/>
        <v>#N/A</v>
      </c>
      <c r="H280" s="35" t="e">
        <f>IF(G280&gt;0,H279-(5*'Gen Calcs'!C$41),'Air calcs'!H279)</f>
        <v>#N/A</v>
      </c>
      <c r="I280" s="35" t="e">
        <f>VLOOKUP('Air calcs'!C280,TS!N$2:O$177,2)</f>
        <v>#N/A</v>
      </c>
    </row>
    <row r="281" spans="1:9" x14ac:dyDescent="0.25">
      <c r="A281" s="35">
        <v>1395</v>
      </c>
      <c r="B281" s="35">
        <f>A281*'Gen Calcs'!C$36</f>
        <v>13950000</v>
      </c>
      <c r="C281" s="35" t="e">
        <f t="shared" si="14"/>
        <v>#N/A</v>
      </c>
      <c r="D281" s="35" t="e">
        <f>VLOOKUP(C281,TS!N$2:Z$177,11,TRUE)</f>
        <v>#N/A</v>
      </c>
      <c r="E281" s="35" t="e">
        <f>VLOOKUP(C281,TS!N$2:Z$177,13,TRUE)*1000</f>
        <v>#N/A</v>
      </c>
      <c r="F281" s="35" t="e">
        <f t="shared" si="12"/>
        <v>#N/A</v>
      </c>
      <c r="G281" s="35" t="e">
        <f t="shared" si="13"/>
        <v>#N/A</v>
      </c>
      <c r="H281" s="35" t="e">
        <f>IF(G281&gt;0,H280-(5*'Gen Calcs'!C$41),'Air calcs'!H280)</f>
        <v>#N/A</v>
      </c>
      <c r="I281" s="35" t="e">
        <f>VLOOKUP('Air calcs'!C281,TS!N$2:O$177,2)</f>
        <v>#N/A</v>
      </c>
    </row>
    <row r="282" spans="1:9" x14ac:dyDescent="0.25">
      <c r="A282" s="35">
        <v>1400</v>
      </c>
      <c r="B282" s="35">
        <f>A282*'Gen Calcs'!C$36</f>
        <v>14000000</v>
      </c>
      <c r="C282" s="35" t="e">
        <f t="shared" si="14"/>
        <v>#N/A</v>
      </c>
      <c r="D282" s="35" t="e">
        <f>VLOOKUP(C282,TS!N$2:Z$177,11,TRUE)</f>
        <v>#N/A</v>
      </c>
      <c r="E282" s="35" t="e">
        <f>VLOOKUP(C282,TS!N$2:Z$177,13,TRUE)*1000</f>
        <v>#N/A</v>
      </c>
      <c r="F282" s="35" t="e">
        <f t="shared" si="12"/>
        <v>#N/A</v>
      </c>
      <c r="G282" s="35" t="e">
        <f t="shared" si="13"/>
        <v>#N/A</v>
      </c>
      <c r="H282" s="35" t="e">
        <f>IF(G282&gt;0,H281-(5*'Gen Calcs'!C$41),'Air calcs'!H281)</f>
        <v>#N/A</v>
      </c>
      <c r="I282" s="35" t="e">
        <f>VLOOKUP('Air calcs'!C282,TS!N$2:O$177,2)</f>
        <v>#N/A</v>
      </c>
    </row>
    <row r="283" spans="1:9" x14ac:dyDescent="0.25">
      <c r="A283" s="35">
        <v>1405</v>
      </c>
      <c r="B283" s="35">
        <f>A283*'Gen Calcs'!C$36</f>
        <v>14050000</v>
      </c>
      <c r="C283" s="35" t="e">
        <f t="shared" si="14"/>
        <v>#N/A</v>
      </c>
      <c r="D283" s="35" t="e">
        <f>VLOOKUP(C283,TS!N$2:Z$177,11,TRUE)</f>
        <v>#N/A</v>
      </c>
      <c r="E283" s="35" t="e">
        <f>VLOOKUP(C283,TS!N$2:Z$177,13,TRUE)*1000</f>
        <v>#N/A</v>
      </c>
      <c r="F283" s="35" t="e">
        <f t="shared" si="12"/>
        <v>#N/A</v>
      </c>
      <c r="G283" s="35" t="e">
        <f t="shared" si="13"/>
        <v>#N/A</v>
      </c>
      <c r="H283" s="35" t="e">
        <f>IF(G283&gt;0,H282-(5*'Gen Calcs'!C$41),'Air calcs'!H282)</f>
        <v>#N/A</v>
      </c>
      <c r="I283" s="35" t="e">
        <f>VLOOKUP('Air calcs'!C283,TS!N$2:O$177,2)</f>
        <v>#N/A</v>
      </c>
    </row>
    <row r="284" spans="1:9" x14ac:dyDescent="0.25">
      <c r="A284" s="35">
        <v>1410</v>
      </c>
      <c r="B284" s="35">
        <f>A284*'Gen Calcs'!C$36</f>
        <v>14100000</v>
      </c>
      <c r="C284" s="35" t="e">
        <f t="shared" si="14"/>
        <v>#N/A</v>
      </c>
      <c r="D284" s="35" t="e">
        <f>VLOOKUP(C284,TS!N$2:Z$177,11,TRUE)</f>
        <v>#N/A</v>
      </c>
      <c r="E284" s="35" t="e">
        <f>VLOOKUP(C284,TS!N$2:Z$177,13,TRUE)*1000</f>
        <v>#N/A</v>
      </c>
      <c r="F284" s="35" t="e">
        <f t="shared" si="12"/>
        <v>#N/A</v>
      </c>
      <c r="G284" s="35" t="e">
        <f t="shared" si="13"/>
        <v>#N/A</v>
      </c>
      <c r="H284" s="35" t="e">
        <f>IF(G284&gt;0,H283-(5*'Gen Calcs'!C$41),'Air calcs'!H283)</f>
        <v>#N/A</v>
      </c>
      <c r="I284" s="35" t="e">
        <f>VLOOKUP('Air calcs'!C284,TS!N$2:O$177,2)</f>
        <v>#N/A</v>
      </c>
    </row>
    <row r="285" spans="1:9" x14ac:dyDescent="0.25">
      <c r="A285" s="35">
        <v>1415</v>
      </c>
      <c r="B285" s="35">
        <f>A285*'Gen Calcs'!C$36</f>
        <v>14150000</v>
      </c>
      <c r="C285" s="35" t="e">
        <f t="shared" si="14"/>
        <v>#N/A</v>
      </c>
      <c r="D285" s="35" t="e">
        <f>VLOOKUP(C285,TS!N$2:Z$177,11,TRUE)</f>
        <v>#N/A</v>
      </c>
      <c r="E285" s="35" t="e">
        <f>VLOOKUP(C285,TS!N$2:Z$177,13,TRUE)*1000</f>
        <v>#N/A</v>
      </c>
      <c r="F285" s="35" t="e">
        <f t="shared" si="12"/>
        <v>#N/A</v>
      </c>
      <c r="G285" s="35" t="e">
        <f t="shared" si="13"/>
        <v>#N/A</v>
      </c>
      <c r="H285" s="35" t="e">
        <f>IF(G285&gt;0,H284-(5*'Gen Calcs'!C$41),'Air calcs'!H284)</f>
        <v>#N/A</v>
      </c>
      <c r="I285" s="35" t="e">
        <f>VLOOKUP('Air calcs'!C285,TS!N$2:O$177,2)</f>
        <v>#N/A</v>
      </c>
    </row>
    <row r="286" spans="1:9" x14ac:dyDescent="0.25">
      <c r="A286" s="35">
        <v>1420</v>
      </c>
      <c r="B286" s="35">
        <f>A286*'Gen Calcs'!C$36</f>
        <v>14200000</v>
      </c>
      <c r="C286" s="35" t="e">
        <f t="shared" si="14"/>
        <v>#N/A</v>
      </c>
      <c r="D286" s="35" t="e">
        <f>VLOOKUP(C286,TS!N$2:Z$177,11,TRUE)</f>
        <v>#N/A</v>
      </c>
      <c r="E286" s="35" t="e">
        <f>VLOOKUP(C286,TS!N$2:Z$177,13,TRUE)*1000</f>
        <v>#N/A</v>
      </c>
      <c r="F286" s="35" t="e">
        <f t="shared" si="12"/>
        <v>#N/A</v>
      </c>
      <c r="G286" s="35" t="e">
        <f t="shared" si="13"/>
        <v>#N/A</v>
      </c>
      <c r="H286" s="35" t="e">
        <f>IF(G286&gt;0,H285-(5*'Gen Calcs'!C$41),'Air calcs'!H285)</f>
        <v>#N/A</v>
      </c>
      <c r="I286" s="35" t="e">
        <f>VLOOKUP('Air calcs'!C286,TS!N$2:O$177,2)</f>
        <v>#N/A</v>
      </c>
    </row>
    <row r="287" spans="1:9" x14ac:dyDescent="0.25">
      <c r="A287" s="35">
        <v>1425</v>
      </c>
      <c r="B287" s="35">
        <f>A287*'Gen Calcs'!C$36</f>
        <v>14250000</v>
      </c>
      <c r="C287" s="35" t="e">
        <f t="shared" si="14"/>
        <v>#N/A</v>
      </c>
      <c r="D287" s="35" t="e">
        <f>VLOOKUP(C287,TS!N$2:Z$177,11,TRUE)</f>
        <v>#N/A</v>
      </c>
      <c r="E287" s="35" t="e">
        <f>VLOOKUP(C287,TS!N$2:Z$177,13,TRUE)*1000</f>
        <v>#N/A</v>
      </c>
      <c r="F287" s="35" t="e">
        <f t="shared" si="12"/>
        <v>#N/A</v>
      </c>
      <c r="G287" s="35" t="e">
        <f t="shared" si="13"/>
        <v>#N/A</v>
      </c>
      <c r="H287" s="35" t="e">
        <f>IF(G287&gt;0,H286-(5*'Gen Calcs'!C$41),'Air calcs'!H286)</f>
        <v>#N/A</v>
      </c>
      <c r="I287" s="35" t="e">
        <f>VLOOKUP('Air calcs'!C287,TS!N$2:O$177,2)</f>
        <v>#N/A</v>
      </c>
    </row>
    <row r="288" spans="1:9" x14ac:dyDescent="0.25">
      <c r="A288" s="35">
        <v>1430</v>
      </c>
      <c r="B288" s="35">
        <f>A288*'Gen Calcs'!C$36</f>
        <v>14300000</v>
      </c>
      <c r="C288" s="35" t="e">
        <f t="shared" si="14"/>
        <v>#N/A</v>
      </c>
      <c r="D288" s="35" t="e">
        <f>VLOOKUP(C288,TS!N$2:Z$177,11,TRUE)</f>
        <v>#N/A</v>
      </c>
      <c r="E288" s="35" t="e">
        <f>VLOOKUP(C288,TS!N$2:Z$177,13,TRUE)*1000</f>
        <v>#N/A</v>
      </c>
      <c r="F288" s="35" t="e">
        <f t="shared" si="12"/>
        <v>#N/A</v>
      </c>
      <c r="G288" s="35" t="e">
        <f t="shared" si="13"/>
        <v>#N/A</v>
      </c>
      <c r="H288" s="35" t="e">
        <f>IF(G288&gt;0,H287-(5*'Gen Calcs'!C$41),'Air calcs'!H287)</f>
        <v>#N/A</v>
      </c>
      <c r="I288" s="35" t="e">
        <f>VLOOKUP('Air calcs'!C288,TS!N$2:O$177,2)</f>
        <v>#N/A</v>
      </c>
    </row>
    <row r="289" spans="1:9" x14ac:dyDescent="0.25">
      <c r="A289" s="35">
        <v>1435</v>
      </c>
      <c r="B289" s="35">
        <f>A289*'Gen Calcs'!C$36</f>
        <v>14350000</v>
      </c>
      <c r="C289" s="35" t="e">
        <f t="shared" si="14"/>
        <v>#N/A</v>
      </c>
      <c r="D289" s="35" t="e">
        <f>VLOOKUP(C289,TS!N$2:Z$177,11,TRUE)</f>
        <v>#N/A</v>
      </c>
      <c r="E289" s="35" t="e">
        <f>VLOOKUP(C289,TS!N$2:Z$177,13,TRUE)*1000</f>
        <v>#N/A</v>
      </c>
      <c r="F289" s="35" t="e">
        <f t="shared" si="12"/>
        <v>#N/A</v>
      </c>
      <c r="G289" s="35" t="e">
        <f t="shared" si="13"/>
        <v>#N/A</v>
      </c>
      <c r="H289" s="35" t="e">
        <f>IF(G289&gt;0,H288-(5*'Gen Calcs'!C$41),'Air calcs'!H288)</f>
        <v>#N/A</v>
      </c>
      <c r="I289" s="35" t="e">
        <f>VLOOKUP('Air calcs'!C289,TS!N$2:O$177,2)</f>
        <v>#N/A</v>
      </c>
    </row>
    <row r="290" spans="1:9" x14ac:dyDescent="0.25">
      <c r="A290" s="35">
        <v>1440</v>
      </c>
      <c r="B290" s="35">
        <f>A290*'Gen Calcs'!C$36</f>
        <v>14400000</v>
      </c>
      <c r="C290" s="35" t="e">
        <f t="shared" si="14"/>
        <v>#N/A</v>
      </c>
      <c r="D290" s="35" t="e">
        <f>VLOOKUP(C290,TS!N$2:Z$177,11,TRUE)</f>
        <v>#N/A</v>
      </c>
      <c r="E290" s="35" t="e">
        <f>VLOOKUP(C290,TS!N$2:Z$177,13,TRUE)*1000</f>
        <v>#N/A</v>
      </c>
      <c r="F290" s="35" t="e">
        <f t="shared" si="12"/>
        <v>#N/A</v>
      </c>
      <c r="G290" s="35" t="e">
        <f t="shared" si="13"/>
        <v>#N/A</v>
      </c>
      <c r="H290" s="35" t="e">
        <f>IF(G290&gt;0,H289-(5*'Gen Calcs'!C$41),'Air calcs'!H289)</f>
        <v>#N/A</v>
      </c>
      <c r="I290" s="35" t="e">
        <f>VLOOKUP('Air calcs'!C290,TS!N$2:O$177,2)</f>
        <v>#N/A</v>
      </c>
    </row>
    <row r="291" spans="1:9" x14ac:dyDescent="0.25">
      <c r="A291" s="35">
        <v>1445</v>
      </c>
      <c r="B291" s="35">
        <f>A291*'Gen Calcs'!C$36</f>
        <v>14450000</v>
      </c>
      <c r="C291" s="35" t="e">
        <f t="shared" si="14"/>
        <v>#N/A</v>
      </c>
      <c r="D291" s="35" t="e">
        <f>VLOOKUP(C291,TS!N$2:Z$177,11,TRUE)</f>
        <v>#N/A</v>
      </c>
      <c r="E291" s="35" t="e">
        <f>VLOOKUP(C291,TS!N$2:Z$177,13,TRUE)*1000</f>
        <v>#N/A</v>
      </c>
      <c r="F291" s="35" t="e">
        <f t="shared" si="12"/>
        <v>#N/A</v>
      </c>
      <c r="G291" s="35" t="e">
        <f t="shared" si="13"/>
        <v>#N/A</v>
      </c>
      <c r="H291" s="35" t="e">
        <f>IF(G291&gt;0,H290-(5*'Gen Calcs'!C$41),'Air calcs'!H290)</f>
        <v>#N/A</v>
      </c>
      <c r="I291" s="35" t="e">
        <f>VLOOKUP('Air calcs'!C291,TS!N$2:O$177,2)</f>
        <v>#N/A</v>
      </c>
    </row>
    <row r="292" spans="1:9" x14ac:dyDescent="0.25">
      <c r="A292" s="35">
        <v>1450</v>
      </c>
      <c r="B292" s="35">
        <f>A292*'Gen Calcs'!C$36</f>
        <v>14500000</v>
      </c>
      <c r="C292" s="35" t="e">
        <f t="shared" si="14"/>
        <v>#N/A</v>
      </c>
      <c r="D292" s="35" t="e">
        <f>VLOOKUP(C292,TS!N$2:Z$177,11,TRUE)</f>
        <v>#N/A</v>
      </c>
      <c r="E292" s="35" t="e">
        <f>VLOOKUP(C292,TS!N$2:Z$177,13,TRUE)*1000</f>
        <v>#N/A</v>
      </c>
      <c r="F292" s="35" t="e">
        <f t="shared" si="12"/>
        <v>#N/A</v>
      </c>
      <c r="G292" s="35" t="e">
        <f t="shared" si="13"/>
        <v>#N/A</v>
      </c>
      <c r="H292" s="35" t="e">
        <f>IF(G292&gt;0,H291-(5*'Gen Calcs'!C$41),'Air calcs'!H291)</f>
        <v>#N/A</v>
      </c>
      <c r="I292" s="35" t="e">
        <f>VLOOKUP('Air calcs'!C292,TS!N$2:O$177,2)</f>
        <v>#N/A</v>
      </c>
    </row>
    <row r="293" spans="1:9" x14ac:dyDescent="0.25">
      <c r="A293" s="35">
        <v>1455</v>
      </c>
      <c r="B293" s="35">
        <f>A293*'Gen Calcs'!C$36</f>
        <v>14550000</v>
      </c>
      <c r="C293" s="35" t="e">
        <f t="shared" si="14"/>
        <v>#N/A</v>
      </c>
      <c r="D293" s="35" t="e">
        <f>VLOOKUP(C293,TS!N$2:Z$177,11,TRUE)</f>
        <v>#N/A</v>
      </c>
      <c r="E293" s="35" t="e">
        <f>VLOOKUP(C293,TS!N$2:Z$177,13,TRUE)*1000</f>
        <v>#N/A</v>
      </c>
      <c r="F293" s="35" t="e">
        <f t="shared" si="12"/>
        <v>#N/A</v>
      </c>
      <c r="G293" s="35" t="e">
        <f t="shared" si="13"/>
        <v>#N/A</v>
      </c>
      <c r="H293" s="35" t="e">
        <f>IF(G293&gt;0,H292-(5*'Gen Calcs'!C$41),'Air calcs'!H292)</f>
        <v>#N/A</v>
      </c>
      <c r="I293" s="35" t="e">
        <f>VLOOKUP('Air calcs'!C293,TS!N$2:O$177,2)</f>
        <v>#N/A</v>
      </c>
    </row>
    <row r="294" spans="1:9" x14ac:dyDescent="0.25">
      <c r="A294" s="35">
        <v>1460</v>
      </c>
      <c r="B294" s="35">
        <f>A294*'Gen Calcs'!C$36</f>
        <v>14600000</v>
      </c>
      <c r="C294" s="35" t="e">
        <f t="shared" si="14"/>
        <v>#N/A</v>
      </c>
      <c r="D294" s="35" t="e">
        <f>VLOOKUP(C294,TS!N$2:Z$177,11,TRUE)</f>
        <v>#N/A</v>
      </c>
      <c r="E294" s="35" t="e">
        <f>VLOOKUP(C294,TS!N$2:Z$177,13,TRUE)*1000</f>
        <v>#N/A</v>
      </c>
      <c r="F294" s="35" t="e">
        <f t="shared" si="12"/>
        <v>#N/A</v>
      </c>
      <c r="G294" s="35" t="e">
        <f t="shared" si="13"/>
        <v>#N/A</v>
      </c>
      <c r="H294" s="35" t="e">
        <f>IF(G294&gt;0,H293-(5*'Gen Calcs'!C$41),'Air calcs'!H293)</f>
        <v>#N/A</v>
      </c>
      <c r="I294" s="35" t="e">
        <f>VLOOKUP('Air calcs'!C294,TS!N$2:O$177,2)</f>
        <v>#N/A</v>
      </c>
    </row>
    <row r="295" spans="1:9" x14ac:dyDescent="0.25">
      <c r="A295" s="35">
        <v>1465</v>
      </c>
      <c r="B295" s="35">
        <f>A295*'Gen Calcs'!C$36</f>
        <v>14650000</v>
      </c>
      <c r="C295" s="35" t="e">
        <f t="shared" si="14"/>
        <v>#N/A</v>
      </c>
      <c r="D295" s="35" t="e">
        <f>VLOOKUP(C295,TS!N$2:Z$177,11,TRUE)</f>
        <v>#N/A</v>
      </c>
      <c r="E295" s="35" t="e">
        <f>VLOOKUP(C295,TS!N$2:Z$177,13,TRUE)*1000</f>
        <v>#N/A</v>
      </c>
      <c r="F295" s="35" t="e">
        <f t="shared" si="12"/>
        <v>#N/A</v>
      </c>
      <c r="G295" s="35" t="e">
        <f t="shared" si="13"/>
        <v>#N/A</v>
      </c>
      <c r="H295" s="35" t="e">
        <f>IF(G295&gt;0,H294-(5*'Gen Calcs'!C$41),'Air calcs'!H294)</f>
        <v>#N/A</v>
      </c>
      <c r="I295" s="35" t="e">
        <f>VLOOKUP('Air calcs'!C295,TS!N$2:O$177,2)</f>
        <v>#N/A</v>
      </c>
    </row>
    <row r="296" spans="1:9" x14ac:dyDescent="0.25">
      <c r="A296" s="35">
        <v>1470</v>
      </c>
      <c r="B296" s="35">
        <f>A296*'Gen Calcs'!C$36</f>
        <v>14700000</v>
      </c>
      <c r="C296" s="35" t="e">
        <f t="shared" si="14"/>
        <v>#N/A</v>
      </c>
      <c r="D296" s="35" t="e">
        <f>VLOOKUP(C296,TS!N$2:Z$177,11,TRUE)</f>
        <v>#N/A</v>
      </c>
      <c r="E296" s="35" t="e">
        <f>VLOOKUP(C296,TS!N$2:Z$177,13,TRUE)*1000</f>
        <v>#N/A</v>
      </c>
      <c r="F296" s="35" t="e">
        <f t="shared" si="12"/>
        <v>#N/A</v>
      </c>
      <c r="G296" s="35" t="e">
        <f t="shared" si="13"/>
        <v>#N/A</v>
      </c>
      <c r="H296" s="35" t="e">
        <f>IF(G296&gt;0,H295-(5*'Gen Calcs'!C$41),'Air calcs'!H295)</f>
        <v>#N/A</v>
      </c>
      <c r="I296" s="35" t="e">
        <f>VLOOKUP('Air calcs'!C296,TS!N$2:O$177,2)</f>
        <v>#N/A</v>
      </c>
    </row>
    <row r="297" spans="1:9" x14ac:dyDescent="0.25">
      <c r="A297" s="35">
        <v>1475</v>
      </c>
      <c r="B297" s="35">
        <f>A297*'Gen Calcs'!C$36</f>
        <v>14750000</v>
      </c>
      <c r="C297" s="35" t="e">
        <f t="shared" si="14"/>
        <v>#N/A</v>
      </c>
      <c r="D297" s="35" t="e">
        <f>VLOOKUP(C297,TS!N$2:Z$177,11,TRUE)</f>
        <v>#N/A</v>
      </c>
      <c r="E297" s="35" t="e">
        <f>VLOOKUP(C297,TS!N$2:Z$177,13,TRUE)*1000</f>
        <v>#N/A</v>
      </c>
      <c r="F297" s="35" t="e">
        <f t="shared" si="12"/>
        <v>#N/A</v>
      </c>
      <c r="G297" s="35" t="e">
        <f t="shared" si="13"/>
        <v>#N/A</v>
      </c>
      <c r="H297" s="35" t="e">
        <f>IF(G297&gt;0,H296-(5*'Gen Calcs'!C$41),'Air calcs'!H296)</f>
        <v>#N/A</v>
      </c>
      <c r="I297" s="35" t="e">
        <f>VLOOKUP('Air calcs'!C297,TS!N$2:O$177,2)</f>
        <v>#N/A</v>
      </c>
    </row>
    <row r="298" spans="1:9" x14ac:dyDescent="0.25">
      <c r="A298" s="35">
        <v>1480</v>
      </c>
      <c r="B298" s="35">
        <f>A298*'Gen Calcs'!C$36</f>
        <v>14800000</v>
      </c>
      <c r="C298" s="35" t="e">
        <f t="shared" si="14"/>
        <v>#N/A</v>
      </c>
      <c r="D298" s="35" t="e">
        <f>VLOOKUP(C298,TS!N$2:Z$177,11,TRUE)</f>
        <v>#N/A</v>
      </c>
      <c r="E298" s="35" t="e">
        <f>VLOOKUP(C298,TS!N$2:Z$177,13,TRUE)*1000</f>
        <v>#N/A</v>
      </c>
      <c r="F298" s="35" t="e">
        <f t="shared" si="12"/>
        <v>#N/A</v>
      </c>
      <c r="G298" s="35" t="e">
        <f t="shared" si="13"/>
        <v>#N/A</v>
      </c>
      <c r="H298" s="35" t="e">
        <f>IF(G298&gt;0,H297-(5*'Gen Calcs'!C$41),'Air calcs'!H297)</f>
        <v>#N/A</v>
      </c>
      <c r="I298" s="35" t="e">
        <f>VLOOKUP('Air calcs'!C298,TS!N$2:O$177,2)</f>
        <v>#N/A</v>
      </c>
    </row>
    <row r="299" spans="1:9" x14ac:dyDescent="0.25">
      <c r="A299" s="35">
        <v>1485</v>
      </c>
      <c r="B299" s="35">
        <f>A299*'Gen Calcs'!C$36</f>
        <v>14850000</v>
      </c>
      <c r="C299" s="35" t="e">
        <f t="shared" si="14"/>
        <v>#N/A</v>
      </c>
      <c r="D299" s="35" t="e">
        <f>VLOOKUP(C299,TS!N$2:Z$177,11,TRUE)</f>
        <v>#N/A</v>
      </c>
      <c r="E299" s="35" t="e">
        <f>VLOOKUP(C299,TS!N$2:Z$177,13,TRUE)*1000</f>
        <v>#N/A</v>
      </c>
      <c r="F299" s="35" t="e">
        <f t="shared" si="12"/>
        <v>#N/A</v>
      </c>
      <c r="G299" s="35" t="e">
        <f t="shared" si="13"/>
        <v>#N/A</v>
      </c>
      <c r="H299" s="35" t="e">
        <f>IF(G299&gt;0,H298-(5*'Gen Calcs'!C$41),'Air calcs'!H298)</f>
        <v>#N/A</v>
      </c>
      <c r="I299" s="35" t="e">
        <f>VLOOKUP('Air calcs'!C299,TS!N$2:O$177,2)</f>
        <v>#N/A</v>
      </c>
    </row>
    <row r="300" spans="1:9" x14ac:dyDescent="0.25">
      <c r="A300" s="35">
        <v>1490</v>
      </c>
      <c r="B300" s="35">
        <f>A300*'Gen Calcs'!C$36</f>
        <v>14900000</v>
      </c>
      <c r="C300" s="35" t="e">
        <f t="shared" si="14"/>
        <v>#N/A</v>
      </c>
      <c r="D300" s="35" t="e">
        <f>VLOOKUP(C300,TS!N$2:Z$177,11,TRUE)</f>
        <v>#N/A</v>
      </c>
      <c r="E300" s="35" t="e">
        <f>VLOOKUP(C300,TS!N$2:Z$177,13,TRUE)*1000</f>
        <v>#N/A</v>
      </c>
      <c r="F300" s="35" t="e">
        <f t="shared" si="12"/>
        <v>#N/A</v>
      </c>
      <c r="G300" s="35" t="e">
        <f t="shared" si="13"/>
        <v>#N/A</v>
      </c>
      <c r="H300" s="35" t="e">
        <f>IF(G300&gt;0,H299-(5*'Gen Calcs'!C$41),'Air calcs'!H299)</f>
        <v>#N/A</v>
      </c>
      <c r="I300" s="35" t="e">
        <f>VLOOKUP('Air calcs'!C300,TS!N$2:O$177,2)</f>
        <v>#N/A</v>
      </c>
    </row>
    <row r="301" spans="1:9" x14ac:dyDescent="0.25">
      <c r="A301" s="35">
        <v>1495</v>
      </c>
      <c r="B301" s="35">
        <f>A301*'Gen Calcs'!C$36</f>
        <v>14950000</v>
      </c>
      <c r="C301" s="35" t="e">
        <f t="shared" si="14"/>
        <v>#N/A</v>
      </c>
      <c r="D301" s="35" t="e">
        <f>VLOOKUP(C301,TS!N$2:Z$177,11,TRUE)</f>
        <v>#N/A</v>
      </c>
      <c r="E301" s="35" t="e">
        <f>VLOOKUP(C301,TS!N$2:Z$177,13,TRUE)*1000</f>
        <v>#N/A</v>
      </c>
      <c r="F301" s="35" t="e">
        <f t="shared" si="12"/>
        <v>#N/A</v>
      </c>
      <c r="G301" s="35" t="e">
        <f t="shared" si="13"/>
        <v>#N/A</v>
      </c>
      <c r="H301" s="35" t="e">
        <f>IF(G301&gt;0,H300-(5*'Gen Calcs'!C$41),'Air calcs'!H300)</f>
        <v>#N/A</v>
      </c>
      <c r="I301" s="35" t="e">
        <f>VLOOKUP('Air calcs'!C301,TS!N$2:O$177,2)</f>
        <v>#N/A</v>
      </c>
    </row>
    <row r="302" spans="1:9" x14ac:dyDescent="0.25">
      <c r="A302" s="35">
        <v>1500</v>
      </c>
      <c r="B302" s="35">
        <f>A302*'Gen Calcs'!C$36</f>
        <v>15000000</v>
      </c>
      <c r="C302" s="35" t="e">
        <f t="shared" si="14"/>
        <v>#N/A</v>
      </c>
      <c r="D302" s="35" t="e">
        <f>VLOOKUP(C302,TS!N$2:Z$177,11,TRUE)</f>
        <v>#N/A</v>
      </c>
      <c r="E302" s="35" t="e">
        <f>VLOOKUP(C302,TS!N$2:Z$177,13,TRUE)*1000</f>
        <v>#N/A</v>
      </c>
      <c r="F302" s="35" t="e">
        <f t="shared" si="12"/>
        <v>#N/A</v>
      </c>
      <c r="G302" s="35" t="e">
        <f t="shared" si="13"/>
        <v>#N/A</v>
      </c>
      <c r="H302" s="35" t="e">
        <f>IF(G302&gt;0,H301-(5*'Gen Calcs'!C$41),'Air calcs'!H301)</f>
        <v>#N/A</v>
      </c>
      <c r="I302" s="35" t="e">
        <f>VLOOKUP('Air calcs'!C302,TS!N$2:O$177,2)</f>
        <v>#N/A</v>
      </c>
    </row>
    <row r="303" spans="1:9" x14ac:dyDescent="0.25">
      <c r="A303" s="35">
        <v>1505</v>
      </c>
      <c r="B303" s="35">
        <f>A303*'Gen Calcs'!C$36</f>
        <v>15050000</v>
      </c>
      <c r="C303" s="35" t="e">
        <f t="shared" si="14"/>
        <v>#N/A</v>
      </c>
      <c r="D303" s="35" t="e">
        <f>VLOOKUP(C303,TS!N$2:Z$177,11,TRUE)</f>
        <v>#N/A</v>
      </c>
      <c r="E303" s="35" t="e">
        <f>VLOOKUP(C303,TS!N$2:Z$177,13,TRUE)*1000</f>
        <v>#N/A</v>
      </c>
      <c r="F303" s="35" t="e">
        <f t="shared" si="12"/>
        <v>#N/A</v>
      </c>
      <c r="G303" s="35" t="e">
        <f t="shared" si="13"/>
        <v>#N/A</v>
      </c>
      <c r="H303" s="35" t="e">
        <f>IF(G303&gt;0,H302-(5*'Gen Calcs'!C$41),'Air calcs'!H302)</f>
        <v>#N/A</v>
      </c>
      <c r="I303" s="35" t="e">
        <f>VLOOKUP('Air calcs'!C303,TS!N$2:O$177,2)</f>
        <v>#N/A</v>
      </c>
    </row>
    <row r="304" spans="1:9" x14ac:dyDescent="0.25">
      <c r="A304" s="35">
        <v>1510</v>
      </c>
      <c r="B304" s="35">
        <f>A304*'Gen Calcs'!C$36</f>
        <v>15100000</v>
      </c>
      <c r="C304" s="35" t="e">
        <f t="shared" si="14"/>
        <v>#N/A</v>
      </c>
      <c r="D304" s="35" t="e">
        <f>VLOOKUP(C304,TS!N$2:Z$177,11,TRUE)</f>
        <v>#N/A</v>
      </c>
      <c r="E304" s="35" t="e">
        <f>VLOOKUP(C304,TS!N$2:Z$177,13,TRUE)*1000</f>
        <v>#N/A</v>
      </c>
      <c r="F304" s="35" t="e">
        <f t="shared" si="12"/>
        <v>#N/A</v>
      </c>
      <c r="G304" s="35" t="e">
        <f t="shared" si="13"/>
        <v>#N/A</v>
      </c>
      <c r="H304" s="35" t="e">
        <f>IF(G304&gt;0,H303-(5*'Gen Calcs'!C$41),'Air calcs'!H303)</f>
        <v>#N/A</v>
      </c>
      <c r="I304" s="35" t="e">
        <f>VLOOKUP('Air calcs'!C304,TS!N$2:O$177,2)</f>
        <v>#N/A</v>
      </c>
    </row>
    <row r="305" spans="1:9" x14ac:dyDescent="0.25">
      <c r="A305" s="35">
        <v>1515</v>
      </c>
      <c r="B305" s="35">
        <f>A305*'Gen Calcs'!C$36</f>
        <v>15150000</v>
      </c>
      <c r="C305" s="35" t="e">
        <f t="shared" si="14"/>
        <v>#N/A</v>
      </c>
      <c r="D305" s="35" t="e">
        <f>VLOOKUP(C305,TS!N$2:Z$177,11,TRUE)</f>
        <v>#N/A</v>
      </c>
      <c r="E305" s="35" t="e">
        <f>VLOOKUP(C305,TS!N$2:Z$177,13,TRUE)*1000</f>
        <v>#N/A</v>
      </c>
      <c r="F305" s="35" t="e">
        <f t="shared" si="12"/>
        <v>#N/A</v>
      </c>
      <c r="G305" s="35" t="e">
        <f t="shared" si="13"/>
        <v>#N/A</v>
      </c>
      <c r="H305" s="35" t="e">
        <f>IF(G305&gt;0,H304-(5*'Gen Calcs'!C$41),'Air calcs'!H304)</f>
        <v>#N/A</v>
      </c>
      <c r="I305" s="35" t="e">
        <f>VLOOKUP('Air calcs'!C305,TS!N$2:O$177,2)</f>
        <v>#N/A</v>
      </c>
    </row>
    <row r="306" spans="1:9" x14ac:dyDescent="0.25">
      <c r="A306" s="35">
        <v>1520</v>
      </c>
      <c r="B306" s="35">
        <f>A306*'Gen Calcs'!C$36</f>
        <v>15200000</v>
      </c>
      <c r="C306" s="35" t="e">
        <f t="shared" si="14"/>
        <v>#N/A</v>
      </c>
      <c r="D306" s="35" t="e">
        <f>VLOOKUP(C306,TS!N$2:Z$177,11,TRUE)</f>
        <v>#N/A</v>
      </c>
      <c r="E306" s="35" t="e">
        <f>VLOOKUP(C306,TS!N$2:Z$177,13,TRUE)*1000</f>
        <v>#N/A</v>
      </c>
      <c r="F306" s="35" t="e">
        <f t="shared" si="12"/>
        <v>#N/A</v>
      </c>
      <c r="G306" s="35" t="e">
        <f t="shared" si="13"/>
        <v>#N/A</v>
      </c>
      <c r="H306" s="35" t="e">
        <f>IF(G306&gt;0,H305-(5*'Gen Calcs'!C$41),'Air calcs'!H305)</f>
        <v>#N/A</v>
      </c>
      <c r="I306" s="35" t="e">
        <f>VLOOKUP('Air calcs'!C306,TS!N$2:O$177,2)</f>
        <v>#N/A</v>
      </c>
    </row>
    <row r="307" spans="1:9" x14ac:dyDescent="0.25">
      <c r="A307" s="35">
        <v>1525</v>
      </c>
      <c r="B307" s="35">
        <f>A307*'Gen Calcs'!C$36</f>
        <v>15250000</v>
      </c>
      <c r="C307" s="35" t="e">
        <f t="shared" si="14"/>
        <v>#N/A</v>
      </c>
      <c r="D307" s="35" t="e">
        <f>VLOOKUP(C307,TS!N$2:Z$177,11,TRUE)</f>
        <v>#N/A</v>
      </c>
      <c r="E307" s="35" t="e">
        <f>VLOOKUP(C307,TS!N$2:Z$177,13,TRUE)*1000</f>
        <v>#N/A</v>
      </c>
      <c r="F307" s="35" t="e">
        <f t="shared" si="12"/>
        <v>#N/A</v>
      </c>
      <c r="G307" s="35" t="e">
        <f t="shared" si="13"/>
        <v>#N/A</v>
      </c>
      <c r="H307" s="35" t="e">
        <f>IF(G307&gt;0,H306-(5*'Gen Calcs'!C$41),'Air calcs'!H306)</f>
        <v>#N/A</v>
      </c>
      <c r="I307" s="35" t="e">
        <f>VLOOKUP('Air calcs'!C307,TS!N$2:O$177,2)</f>
        <v>#N/A</v>
      </c>
    </row>
    <row r="308" spans="1:9" x14ac:dyDescent="0.25">
      <c r="A308" s="35">
        <v>1530</v>
      </c>
      <c r="B308" s="35">
        <f>A308*'Gen Calcs'!C$36</f>
        <v>15300000</v>
      </c>
      <c r="C308" s="35" t="e">
        <f t="shared" si="14"/>
        <v>#N/A</v>
      </c>
      <c r="D308" s="35" t="e">
        <f>VLOOKUP(C308,TS!N$2:Z$177,11,TRUE)</f>
        <v>#N/A</v>
      </c>
      <c r="E308" s="35" t="e">
        <f>VLOOKUP(C308,TS!N$2:Z$177,13,TRUE)*1000</f>
        <v>#N/A</v>
      </c>
      <c r="F308" s="35" t="e">
        <f t="shared" si="12"/>
        <v>#N/A</v>
      </c>
      <c r="G308" s="35" t="e">
        <f t="shared" si="13"/>
        <v>#N/A</v>
      </c>
      <c r="H308" s="35" t="e">
        <f>IF(G308&gt;0,H307-(5*'Gen Calcs'!C$41),'Air calcs'!H307)</f>
        <v>#N/A</v>
      </c>
      <c r="I308" s="35" t="e">
        <f>VLOOKUP('Air calcs'!C308,TS!N$2:O$177,2)</f>
        <v>#N/A</v>
      </c>
    </row>
    <row r="309" spans="1:9" x14ac:dyDescent="0.25">
      <c r="A309" s="35">
        <v>1535</v>
      </c>
      <c r="B309" s="35">
        <f>A309*'Gen Calcs'!C$36</f>
        <v>15350000</v>
      </c>
      <c r="C309" s="35" t="e">
        <f t="shared" si="14"/>
        <v>#N/A</v>
      </c>
      <c r="D309" s="35" t="e">
        <f>VLOOKUP(C309,TS!N$2:Z$177,11,TRUE)</f>
        <v>#N/A</v>
      </c>
      <c r="E309" s="35" t="e">
        <f>VLOOKUP(C309,TS!N$2:Z$177,13,TRUE)*1000</f>
        <v>#N/A</v>
      </c>
      <c r="F309" s="35" t="e">
        <f t="shared" si="12"/>
        <v>#N/A</v>
      </c>
      <c r="G309" s="35" t="e">
        <f t="shared" si="13"/>
        <v>#N/A</v>
      </c>
      <c r="H309" s="35" t="e">
        <f>IF(G309&gt;0,H308-(5*'Gen Calcs'!C$41),'Air calcs'!H308)</f>
        <v>#N/A</v>
      </c>
      <c r="I309" s="35" t="e">
        <f>VLOOKUP('Air calcs'!C309,TS!N$2:O$177,2)</f>
        <v>#N/A</v>
      </c>
    </row>
    <row r="310" spans="1:9" x14ac:dyDescent="0.25">
      <c r="A310" s="35">
        <v>1540</v>
      </c>
      <c r="B310" s="35">
        <f>A310*'Gen Calcs'!C$36</f>
        <v>15400000</v>
      </c>
      <c r="C310" s="35" t="e">
        <f t="shared" si="14"/>
        <v>#N/A</v>
      </c>
      <c r="D310" s="35" t="e">
        <f>VLOOKUP(C310,TS!N$2:Z$177,11,TRUE)</f>
        <v>#N/A</v>
      </c>
      <c r="E310" s="35" t="e">
        <f>VLOOKUP(C310,TS!N$2:Z$177,13,TRUE)*1000</f>
        <v>#N/A</v>
      </c>
      <c r="F310" s="35" t="e">
        <f t="shared" si="12"/>
        <v>#N/A</v>
      </c>
      <c r="G310" s="35" t="e">
        <f t="shared" si="13"/>
        <v>#N/A</v>
      </c>
      <c r="H310" s="35" t="e">
        <f>IF(G310&gt;0,H309-(5*'Gen Calcs'!C$41),'Air calcs'!H309)</f>
        <v>#N/A</v>
      </c>
      <c r="I310" s="35" t="e">
        <f>VLOOKUP('Air calcs'!C310,TS!N$2:O$177,2)</f>
        <v>#N/A</v>
      </c>
    </row>
    <row r="311" spans="1:9" x14ac:dyDescent="0.25">
      <c r="A311" s="35">
        <v>1545</v>
      </c>
      <c r="B311" s="35">
        <f>A311*'Gen Calcs'!C$36</f>
        <v>15450000</v>
      </c>
      <c r="C311" s="35" t="e">
        <f t="shared" si="14"/>
        <v>#N/A</v>
      </c>
      <c r="D311" s="35" t="e">
        <f>VLOOKUP(C311,TS!N$2:Z$177,11,TRUE)</f>
        <v>#N/A</v>
      </c>
      <c r="E311" s="35" t="e">
        <f>VLOOKUP(C311,TS!N$2:Z$177,13,TRUE)*1000</f>
        <v>#N/A</v>
      </c>
      <c r="F311" s="35" t="e">
        <f t="shared" si="12"/>
        <v>#N/A</v>
      </c>
      <c r="G311" s="35" t="e">
        <f t="shared" si="13"/>
        <v>#N/A</v>
      </c>
      <c r="H311" s="35" t="e">
        <f>IF(G311&gt;0,H310-(5*'Gen Calcs'!C$41),'Air calcs'!H310)</f>
        <v>#N/A</v>
      </c>
      <c r="I311" s="35" t="e">
        <f>VLOOKUP('Air calcs'!C311,TS!N$2:O$177,2)</f>
        <v>#N/A</v>
      </c>
    </row>
    <row r="312" spans="1:9" x14ac:dyDescent="0.25">
      <c r="A312" s="35">
        <v>1550</v>
      </c>
      <c r="B312" s="35">
        <f>A312*'Gen Calcs'!C$36</f>
        <v>15500000</v>
      </c>
      <c r="C312" s="35" t="e">
        <f t="shared" si="14"/>
        <v>#N/A</v>
      </c>
      <c r="D312" s="35" t="e">
        <f>VLOOKUP(C312,TS!N$2:Z$177,11,TRUE)</f>
        <v>#N/A</v>
      </c>
      <c r="E312" s="35" t="e">
        <f>VLOOKUP(C312,TS!N$2:Z$177,13,TRUE)*1000</f>
        <v>#N/A</v>
      </c>
      <c r="F312" s="35" t="e">
        <f t="shared" si="12"/>
        <v>#N/A</v>
      </c>
      <c r="G312" s="35" t="e">
        <f t="shared" si="13"/>
        <v>#N/A</v>
      </c>
      <c r="H312" s="35" t="e">
        <f>IF(G312&gt;0,H311-(5*'Gen Calcs'!C$41),'Air calcs'!H311)</f>
        <v>#N/A</v>
      </c>
      <c r="I312" s="35" t="e">
        <f>VLOOKUP('Air calcs'!C312,TS!N$2:O$177,2)</f>
        <v>#N/A</v>
      </c>
    </row>
    <row r="313" spans="1:9" x14ac:dyDescent="0.25">
      <c r="A313" s="35">
        <v>1555</v>
      </c>
      <c r="B313" s="35">
        <f>A313*'Gen Calcs'!C$36</f>
        <v>15550000</v>
      </c>
      <c r="C313" s="35" t="e">
        <f t="shared" si="14"/>
        <v>#N/A</v>
      </c>
      <c r="D313" s="35" t="e">
        <f>VLOOKUP(C313,TS!N$2:Z$177,11,TRUE)</f>
        <v>#N/A</v>
      </c>
      <c r="E313" s="35" t="e">
        <f>VLOOKUP(C313,TS!N$2:Z$177,13,TRUE)*1000</f>
        <v>#N/A</v>
      </c>
      <c r="F313" s="35" t="e">
        <f t="shared" si="12"/>
        <v>#N/A</v>
      </c>
      <c r="G313" s="35" t="e">
        <f t="shared" si="13"/>
        <v>#N/A</v>
      </c>
      <c r="H313" s="35" t="e">
        <f>IF(G313&gt;0,H312-(5*'Gen Calcs'!C$41),'Air calcs'!H312)</f>
        <v>#N/A</v>
      </c>
      <c r="I313" s="35" t="e">
        <f>VLOOKUP('Air calcs'!C313,TS!N$2:O$177,2)</f>
        <v>#N/A</v>
      </c>
    </row>
    <row r="314" spans="1:9" x14ac:dyDescent="0.25">
      <c r="A314" s="35">
        <v>1560</v>
      </c>
      <c r="B314" s="35">
        <f>A314*'Gen Calcs'!C$36</f>
        <v>15600000</v>
      </c>
      <c r="C314" s="35" t="e">
        <f t="shared" si="14"/>
        <v>#N/A</v>
      </c>
      <c r="D314" s="35" t="e">
        <f>VLOOKUP(C314,TS!N$2:Z$177,11,TRUE)</f>
        <v>#N/A</v>
      </c>
      <c r="E314" s="35" t="e">
        <f>VLOOKUP(C314,TS!N$2:Z$177,13,TRUE)*1000</f>
        <v>#N/A</v>
      </c>
      <c r="F314" s="35" t="e">
        <f t="shared" si="12"/>
        <v>#N/A</v>
      </c>
      <c r="G314" s="35" t="e">
        <f t="shared" si="13"/>
        <v>#N/A</v>
      </c>
      <c r="H314" s="35" t="e">
        <f>IF(G314&gt;0,H313-(5*'Gen Calcs'!C$41),'Air calcs'!H313)</f>
        <v>#N/A</v>
      </c>
      <c r="I314" s="35" t="e">
        <f>VLOOKUP('Air calcs'!C314,TS!N$2:O$177,2)</f>
        <v>#N/A</v>
      </c>
    </row>
    <row r="315" spans="1:9" x14ac:dyDescent="0.25">
      <c r="A315" s="35">
        <v>1565</v>
      </c>
      <c r="B315" s="35">
        <f>A315*'Gen Calcs'!C$36</f>
        <v>15650000</v>
      </c>
      <c r="C315" s="35" t="e">
        <f t="shared" si="14"/>
        <v>#N/A</v>
      </c>
      <c r="D315" s="35" t="e">
        <f>VLOOKUP(C315,TS!N$2:Z$177,11,TRUE)</f>
        <v>#N/A</v>
      </c>
      <c r="E315" s="35" t="e">
        <f>VLOOKUP(C315,TS!N$2:Z$177,13,TRUE)*1000</f>
        <v>#N/A</v>
      </c>
      <c r="F315" s="35" t="e">
        <f t="shared" si="12"/>
        <v>#N/A</v>
      </c>
      <c r="G315" s="35" t="e">
        <f t="shared" si="13"/>
        <v>#N/A</v>
      </c>
      <c r="H315" s="35" t="e">
        <f>IF(G315&gt;0,H314-(5*'Gen Calcs'!C$41),'Air calcs'!H314)</f>
        <v>#N/A</v>
      </c>
      <c r="I315" s="35" t="e">
        <f>VLOOKUP('Air calcs'!C315,TS!N$2:O$177,2)</f>
        <v>#N/A</v>
      </c>
    </row>
    <row r="316" spans="1:9" x14ac:dyDescent="0.25">
      <c r="A316" s="35">
        <v>1570</v>
      </c>
      <c r="B316" s="35">
        <f>A316*'Gen Calcs'!C$36</f>
        <v>15700000</v>
      </c>
      <c r="C316" s="35" t="e">
        <f t="shared" si="14"/>
        <v>#N/A</v>
      </c>
      <c r="D316" s="35" t="e">
        <f>VLOOKUP(C316,TS!N$2:Z$177,11,TRUE)</f>
        <v>#N/A</v>
      </c>
      <c r="E316" s="35" t="e">
        <f>VLOOKUP(C316,TS!N$2:Z$177,13,TRUE)*1000</f>
        <v>#N/A</v>
      </c>
      <c r="F316" s="35" t="e">
        <f t="shared" si="12"/>
        <v>#N/A</v>
      </c>
      <c r="G316" s="35" t="e">
        <f t="shared" si="13"/>
        <v>#N/A</v>
      </c>
      <c r="H316" s="35" t="e">
        <f>IF(G316&gt;0,H315-(5*'Gen Calcs'!C$41),'Air calcs'!H315)</f>
        <v>#N/A</v>
      </c>
      <c r="I316" s="35" t="e">
        <f>VLOOKUP('Air calcs'!C316,TS!N$2:O$177,2)</f>
        <v>#N/A</v>
      </c>
    </row>
    <row r="317" spans="1:9" x14ac:dyDescent="0.25">
      <c r="A317" s="35">
        <v>1575</v>
      </c>
      <c r="B317" s="35">
        <f>A317*'Gen Calcs'!C$36</f>
        <v>15750000</v>
      </c>
      <c r="C317" s="35" t="e">
        <f t="shared" si="14"/>
        <v>#N/A</v>
      </c>
      <c r="D317" s="35" t="e">
        <f>VLOOKUP(C317,TS!N$2:Z$177,11,TRUE)</f>
        <v>#N/A</v>
      </c>
      <c r="E317" s="35" t="e">
        <f>VLOOKUP(C317,TS!N$2:Z$177,13,TRUE)*1000</f>
        <v>#N/A</v>
      </c>
      <c r="F317" s="35" t="e">
        <f t="shared" si="12"/>
        <v>#N/A</v>
      </c>
      <c r="G317" s="35" t="e">
        <f t="shared" si="13"/>
        <v>#N/A</v>
      </c>
      <c r="H317" s="35" t="e">
        <f>IF(G317&gt;0,H316-(5*'Gen Calcs'!C$41),'Air calcs'!H316)</f>
        <v>#N/A</v>
      </c>
      <c r="I317" s="35" t="e">
        <f>VLOOKUP('Air calcs'!C317,TS!N$2:O$177,2)</f>
        <v>#N/A</v>
      </c>
    </row>
    <row r="318" spans="1:9" x14ac:dyDescent="0.25">
      <c r="A318" s="35">
        <v>1580</v>
      </c>
      <c r="B318" s="35">
        <f>A318*'Gen Calcs'!C$36</f>
        <v>15800000</v>
      </c>
      <c r="C318" s="35" t="e">
        <f t="shared" si="14"/>
        <v>#N/A</v>
      </c>
      <c r="D318" s="35" t="e">
        <f>VLOOKUP(C318,TS!N$2:Z$177,11,TRUE)</f>
        <v>#N/A</v>
      </c>
      <c r="E318" s="35" t="e">
        <f>VLOOKUP(C318,TS!N$2:Z$177,13,TRUE)*1000</f>
        <v>#N/A</v>
      </c>
      <c r="F318" s="35" t="e">
        <f t="shared" si="12"/>
        <v>#N/A</v>
      </c>
      <c r="G318" s="35" t="e">
        <f t="shared" si="13"/>
        <v>#N/A</v>
      </c>
      <c r="H318" s="35" t="e">
        <f>IF(G318&gt;0,H317-(5*'Gen Calcs'!C$41),'Air calcs'!H317)</f>
        <v>#N/A</v>
      </c>
      <c r="I318" s="35" t="e">
        <f>VLOOKUP('Air calcs'!C318,TS!N$2:O$177,2)</f>
        <v>#N/A</v>
      </c>
    </row>
    <row r="319" spans="1:9" x14ac:dyDescent="0.25">
      <c r="A319" s="35">
        <v>1585</v>
      </c>
      <c r="B319" s="35">
        <f>A319*'Gen Calcs'!C$36</f>
        <v>15850000</v>
      </c>
      <c r="C319" s="35" t="e">
        <f t="shared" si="14"/>
        <v>#N/A</v>
      </c>
      <c r="D319" s="35" t="e">
        <f>VLOOKUP(C319,TS!N$2:Z$177,11,TRUE)</f>
        <v>#N/A</v>
      </c>
      <c r="E319" s="35" t="e">
        <f>VLOOKUP(C319,TS!N$2:Z$177,13,TRUE)*1000</f>
        <v>#N/A</v>
      </c>
      <c r="F319" s="35" t="e">
        <f t="shared" si="12"/>
        <v>#N/A</v>
      </c>
      <c r="G319" s="35" t="e">
        <f t="shared" si="13"/>
        <v>#N/A</v>
      </c>
      <c r="H319" s="35" t="e">
        <f>IF(G319&gt;0,H318-(5*'Gen Calcs'!C$41),'Air calcs'!H318)</f>
        <v>#N/A</v>
      </c>
      <c r="I319" s="35" t="e">
        <f>VLOOKUP('Air calcs'!C319,TS!N$2:O$177,2)</f>
        <v>#N/A</v>
      </c>
    </row>
    <row r="320" spans="1:9" x14ac:dyDescent="0.25">
      <c r="A320" s="35">
        <v>1590</v>
      </c>
      <c r="B320" s="35">
        <f>A320*'Gen Calcs'!C$36</f>
        <v>15900000</v>
      </c>
      <c r="C320" s="35" t="e">
        <f t="shared" si="14"/>
        <v>#N/A</v>
      </c>
      <c r="D320" s="35" t="e">
        <f>VLOOKUP(C320,TS!N$2:Z$177,11,TRUE)</f>
        <v>#N/A</v>
      </c>
      <c r="E320" s="35" t="e">
        <f>VLOOKUP(C320,TS!N$2:Z$177,13,TRUE)*1000</f>
        <v>#N/A</v>
      </c>
      <c r="F320" s="35" t="e">
        <f t="shared" si="12"/>
        <v>#N/A</v>
      </c>
      <c r="G320" s="35" t="e">
        <f t="shared" si="13"/>
        <v>#N/A</v>
      </c>
      <c r="H320" s="35" t="e">
        <f>IF(G320&gt;0,H319-(5*'Gen Calcs'!C$41),'Air calcs'!H319)</f>
        <v>#N/A</v>
      </c>
      <c r="I320" s="35" t="e">
        <f>VLOOKUP('Air calcs'!C320,TS!N$2:O$177,2)</f>
        <v>#N/A</v>
      </c>
    </row>
    <row r="321" spans="1:9" x14ac:dyDescent="0.25">
      <c r="A321" s="35">
        <v>1595</v>
      </c>
      <c r="B321" s="35">
        <f>A321*'Gen Calcs'!C$36</f>
        <v>15950000</v>
      </c>
      <c r="C321" s="35" t="e">
        <f t="shared" si="14"/>
        <v>#N/A</v>
      </c>
      <c r="D321" s="35" t="e">
        <f>VLOOKUP(C321,TS!N$2:Z$177,11,TRUE)</f>
        <v>#N/A</v>
      </c>
      <c r="E321" s="35" t="e">
        <f>VLOOKUP(C321,TS!N$2:Z$177,13,TRUE)*1000</f>
        <v>#N/A</v>
      </c>
      <c r="F321" s="35" t="e">
        <f t="shared" si="12"/>
        <v>#N/A</v>
      </c>
      <c r="G321" s="35" t="e">
        <f t="shared" si="13"/>
        <v>#N/A</v>
      </c>
      <c r="H321" s="35" t="e">
        <f>IF(G321&gt;0,H320-(5*'Gen Calcs'!C$41),'Air calcs'!H320)</f>
        <v>#N/A</v>
      </c>
      <c r="I321" s="35" t="e">
        <f>VLOOKUP('Air calcs'!C321,TS!N$2:O$177,2)</f>
        <v>#N/A</v>
      </c>
    </row>
    <row r="322" spans="1:9" x14ac:dyDescent="0.25">
      <c r="A322" s="35">
        <v>1600</v>
      </c>
      <c r="B322" s="35">
        <f>A322*'Gen Calcs'!C$36</f>
        <v>16000000</v>
      </c>
      <c r="C322" s="35" t="e">
        <f t="shared" si="14"/>
        <v>#N/A</v>
      </c>
      <c r="D322" s="35" t="e">
        <f>VLOOKUP(C322,TS!N$2:Z$177,11,TRUE)</f>
        <v>#N/A</v>
      </c>
      <c r="E322" s="35" t="e">
        <f>VLOOKUP(C322,TS!N$2:Z$177,13,TRUE)*1000</f>
        <v>#N/A</v>
      </c>
      <c r="F322" s="35" t="e">
        <f t="shared" si="12"/>
        <v>#N/A</v>
      </c>
      <c r="G322" s="35" t="e">
        <f t="shared" si="13"/>
        <v>#N/A</v>
      </c>
      <c r="H322" s="35" t="e">
        <f>IF(G322&gt;0,H321-(5*'Gen Calcs'!C$41),'Air calcs'!H321)</f>
        <v>#N/A</v>
      </c>
      <c r="I322" s="35" t="e">
        <f>VLOOKUP('Air calcs'!C322,TS!N$2:O$177,2)</f>
        <v>#N/A</v>
      </c>
    </row>
    <row r="323" spans="1:9" x14ac:dyDescent="0.25">
      <c r="A323" s="35">
        <v>1605</v>
      </c>
      <c r="B323" s="35">
        <f>A323*'Gen Calcs'!C$36</f>
        <v>16050000</v>
      </c>
      <c r="C323" s="35" t="e">
        <f t="shared" si="14"/>
        <v>#N/A</v>
      </c>
      <c r="D323" s="35" t="e">
        <f>VLOOKUP(C323,TS!N$2:Z$177,11,TRUE)</f>
        <v>#N/A</v>
      </c>
      <c r="E323" s="35" t="e">
        <f>VLOOKUP(C323,TS!N$2:Z$177,13,TRUE)*1000</f>
        <v>#N/A</v>
      </c>
      <c r="F323" s="35" t="e">
        <f t="shared" ref="F323:F377" si="15">IF(B323&gt;D323,1,0)</f>
        <v>#N/A</v>
      </c>
      <c r="G323" s="35" t="e">
        <f t="shared" ref="G323:G377" si="16">IF(B323&gt;E323,1,0)</f>
        <v>#N/A</v>
      </c>
      <c r="H323" s="35" t="e">
        <f>IF(G323&gt;0,H322-(5*'Gen Calcs'!C$41),'Air calcs'!H322)</f>
        <v>#N/A</v>
      </c>
      <c r="I323" s="35" t="e">
        <f>VLOOKUP('Air calcs'!C323,TS!N$2:O$177,2)</f>
        <v>#N/A</v>
      </c>
    </row>
    <row r="324" spans="1:9" x14ac:dyDescent="0.25">
      <c r="A324" s="35">
        <v>1610</v>
      </c>
      <c r="B324" s="35">
        <f>A324*'Gen Calcs'!C$36</f>
        <v>16100000</v>
      </c>
      <c r="C324" s="35" t="e">
        <f t="shared" si="14"/>
        <v>#N/A</v>
      </c>
      <c r="D324" s="35" t="e">
        <f>VLOOKUP(C324,TS!N$2:Z$177,11,TRUE)</f>
        <v>#N/A</v>
      </c>
      <c r="E324" s="35" t="e">
        <f>VLOOKUP(C324,TS!N$2:Z$177,13,TRUE)*1000</f>
        <v>#N/A</v>
      </c>
      <c r="F324" s="35" t="e">
        <f t="shared" si="15"/>
        <v>#N/A</v>
      </c>
      <c r="G324" s="35" t="e">
        <f t="shared" si="16"/>
        <v>#N/A</v>
      </c>
      <c r="H324" s="35" t="e">
        <f>IF(G324&gt;0,H323-(5*'Gen Calcs'!C$41),'Air calcs'!H323)</f>
        <v>#N/A</v>
      </c>
      <c r="I324" s="35" t="e">
        <f>VLOOKUP('Air calcs'!C324,TS!N$2:O$177,2)</f>
        <v>#N/A</v>
      </c>
    </row>
    <row r="325" spans="1:9" x14ac:dyDescent="0.25">
      <c r="A325" s="35">
        <v>1615</v>
      </c>
      <c r="B325" s="35">
        <f>A325*'Gen Calcs'!C$36</f>
        <v>16150000</v>
      </c>
      <c r="C325" s="35" t="e">
        <f t="shared" ref="C325:C377" si="17">H324</f>
        <v>#N/A</v>
      </c>
      <c r="D325" s="35" t="e">
        <f>VLOOKUP(C325,TS!N$2:Z$177,11,TRUE)</f>
        <v>#N/A</v>
      </c>
      <c r="E325" s="35" t="e">
        <f>VLOOKUP(C325,TS!N$2:Z$177,13,TRUE)*1000</f>
        <v>#N/A</v>
      </c>
      <c r="F325" s="35" t="e">
        <f t="shared" si="15"/>
        <v>#N/A</v>
      </c>
      <c r="G325" s="35" t="e">
        <f t="shared" si="16"/>
        <v>#N/A</v>
      </c>
      <c r="H325" s="35" t="e">
        <f>IF(G325&gt;0,H324-(5*'Gen Calcs'!C$41),'Air calcs'!H324)</f>
        <v>#N/A</v>
      </c>
      <c r="I325" s="35" t="e">
        <f>VLOOKUP('Air calcs'!C325,TS!N$2:O$177,2)</f>
        <v>#N/A</v>
      </c>
    </row>
    <row r="326" spans="1:9" x14ac:dyDescent="0.25">
      <c r="A326" s="35">
        <v>1620</v>
      </c>
      <c r="B326" s="35">
        <f>A326*'Gen Calcs'!C$36</f>
        <v>16200000</v>
      </c>
      <c r="C326" s="35" t="e">
        <f t="shared" si="17"/>
        <v>#N/A</v>
      </c>
      <c r="D326" s="35" t="e">
        <f>VLOOKUP(C326,TS!N$2:Z$177,11,TRUE)</f>
        <v>#N/A</v>
      </c>
      <c r="E326" s="35" t="e">
        <f>VLOOKUP(C326,TS!N$2:Z$177,13,TRUE)*1000</f>
        <v>#N/A</v>
      </c>
      <c r="F326" s="35" t="e">
        <f t="shared" si="15"/>
        <v>#N/A</v>
      </c>
      <c r="G326" s="35" t="e">
        <f t="shared" si="16"/>
        <v>#N/A</v>
      </c>
      <c r="H326" s="35" t="e">
        <f>IF(G326&gt;0,H325-(5*'Gen Calcs'!C$41),'Air calcs'!H325)</f>
        <v>#N/A</v>
      </c>
      <c r="I326" s="35" t="e">
        <f>VLOOKUP('Air calcs'!C326,TS!N$2:O$177,2)</f>
        <v>#N/A</v>
      </c>
    </row>
    <row r="327" spans="1:9" x14ac:dyDescent="0.25">
      <c r="A327" s="35">
        <v>1625</v>
      </c>
      <c r="B327" s="35">
        <f>A327*'Gen Calcs'!C$36</f>
        <v>16250000</v>
      </c>
      <c r="C327" s="35" t="e">
        <f t="shared" si="17"/>
        <v>#N/A</v>
      </c>
      <c r="D327" s="35" t="e">
        <f>VLOOKUP(C327,TS!N$2:Z$177,11,TRUE)</f>
        <v>#N/A</v>
      </c>
      <c r="E327" s="35" t="e">
        <f>VLOOKUP(C327,TS!N$2:Z$177,13,TRUE)*1000</f>
        <v>#N/A</v>
      </c>
      <c r="F327" s="35" t="e">
        <f t="shared" si="15"/>
        <v>#N/A</v>
      </c>
      <c r="G327" s="35" t="e">
        <f t="shared" si="16"/>
        <v>#N/A</v>
      </c>
      <c r="H327" s="35" t="e">
        <f>IF(G327&gt;0,H326-(5*'Gen Calcs'!C$41),'Air calcs'!H326)</f>
        <v>#N/A</v>
      </c>
      <c r="I327" s="35" t="e">
        <f>VLOOKUP('Air calcs'!C327,TS!N$2:O$177,2)</f>
        <v>#N/A</v>
      </c>
    </row>
    <row r="328" spans="1:9" x14ac:dyDescent="0.25">
      <c r="A328" s="35">
        <v>1630</v>
      </c>
      <c r="B328" s="35">
        <f>A328*'Gen Calcs'!C$36</f>
        <v>16300000</v>
      </c>
      <c r="C328" s="35" t="e">
        <f t="shared" si="17"/>
        <v>#N/A</v>
      </c>
      <c r="D328" s="35" t="e">
        <f>VLOOKUP(C328,TS!N$2:Z$177,11,TRUE)</f>
        <v>#N/A</v>
      </c>
      <c r="E328" s="35" t="e">
        <f>VLOOKUP(C328,TS!N$2:Z$177,13,TRUE)*1000</f>
        <v>#N/A</v>
      </c>
      <c r="F328" s="35" t="e">
        <f t="shared" si="15"/>
        <v>#N/A</v>
      </c>
      <c r="G328" s="35" t="e">
        <f t="shared" si="16"/>
        <v>#N/A</v>
      </c>
      <c r="H328" s="35" t="e">
        <f>IF(G328&gt;0,H327-(5*'Gen Calcs'!C$41),'Air calcs'!H327)</f>
        <v>#N/A</v>
      </c>
      <c r="I328" s="35" t="e">
        <f>VLOOKUP('Air calcs'!C328,TS!N$2:O$177,2)</f>
        <v>#N/A</v>
      </c>
    </row>
    <row r="329" spans="1:9" x14ac:dyDescent="0.25">
      <c r="A329" s="35">
        <v>1635</v>
      </c>
      <c r="B329" s="35">
        <f>A329*'Gen Calcs'!C$36</f>
        <v>16350000</v>
      </c>
      <c r="C329" s="35" t="e">
        <f t="shared" si="17"/>
        <v>#N/A</v>
      </c>
      <c r="D329" s="35" t="e">
        <f>VLOOKUP(C329,TS!N$2:Z$177,11,TRUE)</f>
        <v>#N/A</v>
      </c>
      <c r="E329" s="35" t="e">
        <f>VLOOKUP(C329,TS!N$2:Z$177,13,TRUE)*1000</f>
        <v>#N/A</v>
      </c>
      <c r="F329" s="35" t="e">
        <f t="shared" si="15"/>
        <v>#N/A</v>
      </c>
      <c r="G329" s="35" t="e">
        <f t="shared" si="16"/>
        <v>#N/A</v>
      </c>
      <c r="H329" s="35" t="e">
        <f>IF(G329&gt;0,H328-(5*'Gen Calcs'!C$41),'Air calcs'!H328)</f>
        <v>#N/A</v>
      </c>
      <c r="I329" s="35" t="e">
        <f>VLOOKUP('Air calcs'!C329,TS!N$2:O$177,2)</f>
        <v>#N/A</v>
      </c>
    </row>
    <row r="330" spans="1:9" x14ac:dyDescent="0.25">
      <c r="A330" s="35">
        <v>1640</v>
      </c>
      <c r="B330" s="35">
        <f>A330*'Gen Calcs'!C$36</f>
        <v>16400000</v>
      </c>
      <c r="C330" s="35" t="e">
        <f t="shared" si="17"/>
        <v>#N/A</v>
      </c>
      <c r="D330" s="35" t="e">
        <f>VLOOKUP(C330,TS!N$2:Z$177,11,TRUE)</f>
        <v>#N/A</v>
      </c>
      <c r="E330" s="35" t="e">
        <f>VLOOKUP(C330,TS!N$2:Z$177,13,TRUE)*1000</f>
        <v>#N/A</v>
      </c>
      <c r="F330" s="35" t="e">
        <f t="shared" si="15"/>
        <v>#N/A</v>
      </c>
      <c r="G330" s="35" t="e">
        <f t="shared" si="16"/>
        <v>#N/A</v>
      </c>
      <c r="H330" s="35" t="e">
        <f>IF(G330&gt;0,H329-(5*'Gen Calcs'!C$41),'Air calcs'!H329)</f>
        <v>#N/A</v>
      </c>
      <c r="I330" s="35" t="e">
        <f>VLOOKUP('Air calcs'!C330,TS!N$2:O$177,2)</f>
        <v>#N/A</v>
      </c>
    </row>
    <row r="331" spans="1:9" x14ac:dyDescent="0.25">
      <c r="A331" s="35">
        <v>1645</v>
      </c>
      <c r="B331" s="35">
        <f>A331*'Gen Calcs'!C$36</f>
        <v>16450000</v>
      </c>
      <c r="C331" s="35" t="e">
        <f t="shared" si="17"/>
        <v>#N/A</v>
      </c>
      <c r="D331" s="35" t="e">
        <f>VLOOKUP(C331,TS!N$2:Z$177,11,TRUE)</f>
        <v>#N/A</v>
      </c>
      <c r="E331" s="35" t="e">
        <f>VLOOKUP(C331,TS!N$2:Z$177,13,TRUE)*1000</f>
        <v>#N/A</v>
      </c>
      <c r="F331" s="35" t="e">
        <f t="shared" si="15"/>
        <v>#N/A</v>
      </c>
      <c r="G331" s="35" t="e">
        <f t="shared" si="16"/>
        <v>#N/A</v>
      </c>
      <c r="H331" s="35" t="e">
        <f>IF(G331&gt;0,H330-(5*'Gen Calcs'!C$41),'Air calcs'!H330)</f>
        <v>#N/A</v>
      </c>
      <c r="I331" s="35" t="e">
        <f>VLOOKUP('Air calcs'!C331,TS!N$2:O$177,2)</f>
        <v>#N/A</v>
      </c>
    </row>
    <row r="332" spans="1:9" x14ac:dyDescent="0.25">
      <c r="A332" s="35">
        <v>1650</v>
      </c>
      <c r="B332" s="35">
        <f>A332*'Gen Calcs'!C$36</f>
        <v>16500000</v>
      </c>
      <c r="C332" s="35" t="e">
        <f t="shared" si="17"/>
        <v>#N/A</v>
      </c>
      <c r="D332" s="35" t="e">
        <f>VLOOKUP(C332,TS!N$2:Z$177,11,TRUE)</f>
        <v>#N/A</v>
      </c>
      <c r="E332" s="35" t="e">
        <f>VLOOKUP(C332,TS!N$2:Z$177,13,TRUE)*1000</f>
        <v>#N/A</v>
      </c>
      <c r="F332" s="35" t="e">
        <f t="shared" si="15"/>
        <v>#N/A</v>
      </c>
      <c r="G332" s="35" t="e">
        <f t="shared" si="16"/>
        <v>#N/A</v>
      </c>
      <c r="H332" s="35" t="e">
        <f>IF(G332&gt;0,H331-(5*'Gen Calcs'!C$41),'Air calcs'!H331)</f>
        <v>#N/A</v>
      </c>
      <c r="I332" s="35" t="e">
        <f>VLOOKUP('Air calcs'!C332,TS!N$2:O$177,2)</f>
        <v>#N/A</v>
      </c>
    </row>
    <row r="333" spans="1:9" x14ac:dyDescent="0.25">
      <c r="A333" s="35">
        <v>1655</v>
      </c>
      <c r="B333" s="35">
        <f>A333*'Gen Calcs'!C$36</f>
        <v>16550000</v>
      </c>
      <c r="C333" s="35" t="e">
        <f t="shared" si="17"/>
        <v>#N/A</v>
      </c>
      <c r="D333" s="35" t="e">
        <f>VLOOKUP(C333,TS!N$2:Z$177,11,TRUE)</f>
        <v>#N/A</v>
      </c>
      <c r="E333" s="35" t="e">
        <f>VLOOKUP(C333,TS!N$2:Z$177,13,TRUE)*1000</f>
        <v>#N/A</v>
      </c>
      <c r="F333" s="35" t="e">
        <f t="shared" si="15"/>
        <v>#N/A</v>
      </c>
      <c r="G333" s="35" t="e">
        <f t="shared" si="16"/>
        <v>#N/A</v>
      </c>
      <c r="H333" s="35" t="e">
        <f>IF(G333&gt;0,H332-(5*'Gen Calcs'!C$41),'Air calcs'!H332)</f>
        <v>#N/A</v>
      </c>
      <c r="I333" s="35" t="e">
        <f>VLOOKUP('Air calcs'!C333,TS!N$2:O$177,2)</f>
        <v>#N/A</v>
      </c>
    </row>
    <row r="334" spans="1:9" x14ac:dyDescent="0.25">
      <c r="A334" s="35">
        <v>1660</v>
      </c>
      <c r="B334" s="35">
        <f>A334*'Gen Calcs'!C$36</f>
        <v>16600000</v>
      </c>
      <c r="C334" s="35" t="e">
        <f t="shared" si="17"/>
        <v>#N/A</v>
      </c>
      <c r="D334" s="35" t="e">
        <f>VLOOKUP(C334,TS!N$2:Z$177,11,TRUE)</f>
        <v>#N/A</v>
      </c>
      <c r="E334" s="35" t="e">
        <f>VLOOKUP(C334,TS!N$2:Z$177,13,TRUE)*1000</f>
        <v>#N/A</v>
      </c>
      <c r="F334" s="35" t="e">
        <f t="shared" si="15"/>
        <v>#N/A</v>
      </c>
      <c r="G334" s="35" t="e">
        <f t="shared" si="16"/>
        <v>#N/A</v>
      </c>
      <c r="H334" s="35" t="e">
        <f>IF(G334&gt;0,H333-(5*'Gen Calcs'!C$41),'Air calcs'!H333)</f>
        <v>#N/A</v>
      </c>
      <c r="I334" s="35" t="e">
        <f>VLOOKUP('Air calcs'!C334,TS!N$2:O$177,2)</f>
        <v>#N/A</v>
      </c>
    </row>
    <row r="335" spans="1:9" x14ac:dyDescent="0.25">
      <c r="A335" s="35">
        <v>1665</v>
      </c>
      <c r="B335" s="35">
        <f>A335*'Gen Calcs'!C$36</f>
        <v>16650000</v>
      </c>
      <c r="C335" s="35" t="e">
        <f t="shared" si="17"/>
        <v>#N/A</v>
      </c>
      <c r="D335" s="35" t="e">
        <f>VLOOKUP(C335,TS!N$2:Z$177,11,TRUE)</f>
        <v>#N/A</v>
      </c>
      <c r="E335" s="35" t="e">
        <f>VLOOKUP(C335,TS!N$2:Z$177,13,TRUE)*1000</f>
        <v>#N/A</v>
      </c>
      <c r="F335" s="35" t="e">
        <f t="shared" si="15"/>
        <v>#N/A</v>
      </c>
      <c r="G335" s="35" t="e">
        <f t="shared" si="16"/>
        <v>#N/A</v>
      </c>
      <c r="H335" s="35" t="e">
        <f>IF(G335&gt;0,H334-(5*'Gen Calcs'!C$41),'Air calcs'!H334)</f>
        <v>#N/A</v>
      </c>
      <c r="I335" s="35" t="e">
        <f>VLOOKUP('Air calcs'!C335,TS!N$2:O$177,2)</f>
        <v>#N/A</v>
      </c>
    </row>
    <row r="336" spans="1:9" x14ac:dyDescent="0.25">
      <c r="A336" s="35">
        <v>1670</v>
      </c>
      <c r="B336" s="35">
        <f>A336*'Gen Calcs'!C$36</f>
        <v>16700000</v>
      </c>
      <c r="C336" s="35" t="e">
        <f t="shared" si="17"/>
        <v>#N/A</v>
      </c>
      <c r="D336" s="35" t="e">
        <f>VLOOKUP(C336,TS!N$2:Z$177,11,TRUE)</f>
        <v>#N/A</v>
      </c>
      <c r="E336" s="35" t="e">
        <f>VLOOKUP(C336,TS!N$2:Z$177,13,TRUE)*1000</f>
        <v>#N/A</v>
      </c>
      <c r="F336" s="35" t="e">
        <f t="shared" si="15"/>
        <v>#N/A</v>
      </c>
      <c r="G336" s="35" t="e">
        <f t="shared" si="16"/>
        <v>#N/A</v>
      </c>
      <c r="H336" s="35" t="e">
        <f>IF(G336&gt;0,H335-(5*'Gen Calcs'!C$41),'Air calcs'!H335)</f>
        <v>#N/A</v>
      </c>
      <c r="I336" s="35" t="e">
        <f>VLOOKUP('Air calcs'!C336,TS!N$2:O$177,2)</f>
        <v>#N/A</v>
      </c>
    </row>
    <row r="337" spans="1:9" x14ac:dyDescent="0.25">
      <c r="A337" s="35">
        <v>1675</v>
      </c>
      <c r="B337" s="35">
        <f>A337*'Gen Calcs'!C$36</f>
        <v>16750000</v>
      </c>
      <c r="C337" s="35" t="e">
        <f t="shared" si="17"/>
        <v>#N/A</v>
      </c>
      <c r="D337" s="35" t="e">
        <f>VLOOKUP(C337,TS!N$2:Z$177,11,TRUE)</f>
        <v>#N/A</v>
      </c>
      <c r="E337" s="35" t="e">
        <f>VLOOKUP(C337,TS!N$2:Z$177,13,TRUE)*1000</f>
        <v>#N/A</v>
      </c>
      <c r="F337" s="35" t="e">
        <f t="shared" si="15"/>
        <v>#N/A</v>
      </c>
      <c r="G337" s="35" t="e">
        <f t="shared" si="16"/>
        <v>#N/A</v>
      </c>
      <c r="H337" s="35" t="e">
        <f>IF(G337&gt;0,H336-(5*'Gen Calcs'!C$41),'Air calcs'!H336)</f>
        <v>#N/A</v>
      </c>
      <c r="I337" s="35" t="e">
        <f>VLOOKUP('Air calcs'!C337,TS!N$2:O$177,2)</f>
        <v>#N/A</v>
      </c>
    </row>
    <row r="338" spans="1:9" x14ac:dyDescent="0.25">
      <c r="A338" s="35">
        <v>1680</v>
      </c>
      <c r="B338" s="35">
        <f>A338*'Gen Calcs'!C$36</f>
        <v>16800000</v>
      </c>
      <c r="C338" s="35" t="e">
        <f t="shared" si="17"/>
        <v>#N/A</v>
      </c>
      <c r="D338" s="35" t="e">
        <f>VLOOKUP(C338,TS!N$2:Z$177,11,TRUE)</f>
        <v>#N/A</v>
      </c>
      <c r="E338" s="35" t="e">
        <f>VLOOKUP(C338,TS!N$2:Z$177,13,TRUE)*1000</f>
        <v>#N/A</v>
      </c>
      <c r="F338" s="35" t="e">
        <f t="shared" si="15"/>
        <v>#N/A</v>
      </c>
      <c r="G338" s="35" t="e">
        <f t="shared" si="16"/>
        <v>#N/A</v>
      </c>
      <c r="H338" s="35" t="e">
        <f>IF(G338&gt;0,H337-(5*'Gen Calcs'!C$41),'Air calcs'!H337)</f>
        <v>#N/A</v>
      </c>
      <c r="I338" s="35" t="e">
        <f>VLOOKUP('Air calcs'!C338,TS!N$2:O$177,2)</f>
        <v>#N/A</v>
      </c>
    </row>
    <row r="339" spans="1:9" x14ac:dyDescent="0.25">
      <c r="A339" s="35">
        <v>1685</v>
      </c>
      <c r="B339" s="35">
        <f>A339*'Gen Calcs'!C$36</f>
        <v>16850000</v>
      </c>
      <c r="C339" s="35" t="e">
        <f t="shared" si="17"/>
        <v>#N/A</v>
      </c>
      <c r="D339" s="35" t="e">
        <f>VLOOKUP(C339,TS!N$2:Z$177,11,TRUE)</f>
        <v>#N/A</v>
      </c>
      <c r="E339" s="35" t="e">
        <f>VLOOKUP(C339,TS!N$2:Z$177,13,TRUE)*1000</f>
        <v>#N/A</v>
      </c>
      <c r="F339" s="35" t="e">
        <f t="shared" si="15"/>
        <v>#N/A</v>
      </c>
      <c r="G339" s="35" t="e">
        <f t="shared" si="16"/>
        <v>#N/A</v>
      </c>
      <c r="H339" s="35" t="e">
        <f>IF(G339&gt;0,H338-(5*'Gen Calcs'!C$41),'Air calcs'!H338)</f>
        <v>#N/A</v>
      </c>
      <c r="I339" s="35" t="e">
        <f>VLOOKUP('Air calcs'!C339,TS!N$2:O$177,2)</f>
        <v>#N/A</v>
      </c>
    </row>
    <row r="340" spans="1:9" x14ac:dyDescent="0.25">
      <c r="A340" s="35">
        <v>1690</v>
      </c>
      <c r="B340" s="35">
        <f>A340*'Gen Calcs'!C$36</f>
        <v>16900000</v>
      </c>
      <c r="C340" s="35" t="e">
        <f t="shared" si="17"/>
        <v>#N/A</v>
      </c>
      <c r="D340" s="35" t="e">
        <f>VLOOKUP(C340,TS!N$2:Z$177,11,TRUE)</f>
        <v>#N/A</v>
      </c>
      <c r="E340" s="35" t="e">
        <f>VLOOKUP(C340,TS!N$2:Z$177,13,TRUE)*1000</f>
        <v>#N/A</v>
      </c>
      <c r="F340" s="35" t="e">
        <f t="shared" si="15"/>
        <v>#N/A</v>
      </c>
      <c r="G340" s="35" t="e">
        <f t="shared" si="16"/>
        <v>#N/A</v>
      </c>
      <c r="H340" s="35" t="e">
        <f>IF(G340&gt;0,H339-(5*'Gen Calcs'!C$41),'Air calcs'!H339)</f>
        <v>#N/A</v>
      </c>
      <c r="I340" s="35" t="e">
        <f>VLOOKUP('Air calcs'!C340,TS!N$2:O$177,2)</f>
        <v>#N/A</v>
      </c>
    </row>
    <row r="341" spans="1:9" x14ac:dyDescent="0.25">
      <c r="A341" s="35">
        <v>1695</v>
      </c>
      <c r="B341" s="35">
        <f>A341*'Gen Calcs'!C$36</f>
        <v>16950000</v>
      </c>
      <c r="C341" s="35" t="e">
        <f t="shared" si="17"/>
        <v>#N/A</v>
      </c>
      <c r="D341" s="35" t="e">
        <f>VLOOKUP(C341,TS!N$2:Z$177,11,TRUE)</f>
        <v>#N/A</v>
      </c>
      <c r="E341" s="35" t="e">
        <f>VLOOKUP(C341,TS!N$2:Z$177,13,TRUE)*1000</f>
        <v>#N/A</v>
      </c>
      <c r="F341" s="35" t="e">
        <f t="shared" si="15"/>
        <v>#N/A</v>
      </c>
      <c r="G341" s="35" t="e">
        <f t="shared" si="16"/>
        <v>#N/A</v>
      </c>
      <c r="H341" s="35" t="e">
        <f>IF(G341&gt;0,H340-(5*'Gen Calcs'!C$41),'Air calcs'!H340)</f>
        <v>#N/A</v>
      </c>
      <c r="I341" s="35" t="e">
        <f>VLOOKUP('Air calcs'!C341,TS!N$2:O$177,2)</f>
        <v>#N/A</v>
      </c>
    </row>
    <row r="342" spans="1:9" x14ac:dyDescent="0.25">
      <c r="A342" s="35">
        <v>1700</v>
      </c>
      <c r="B342" s="35">
        <f>A342*'Gen Calcs'!C$36</f>
        <v>17000000</v>
      </c>
      <c r="C342" s="35" t="e">
        <f t="shared" si="17"/>
        <v>#N/A</v>
      </c>
      <c r="D342" s="35" t="e">
        <f>VLOOKUP(C342,TS!N$2:Z$177,11,TRUE)</f>
        <v>#N/A</v>
      </c>
      <c r="E342" s="35" t="e">
        <f>VLOOKUP(C342,TS!N$2:Z$177,13,TRUE)*1000</f>
        <v>#N/A</v>
      </c>
      <c r="F342" s="35" t="e">
        <f t="shared" si="15"/>
        <v>#N/A</v>
      </c>
      <c r="G342" s="35" t="e">
        <f t="shared" si="16"/>
        <v>#N/A</v>
      </c>
      <c r="H342" s="35" t="e">
        <f>IF(G342&gt;0,H341-(5*'Gen Calcs'!C$41),'Air calcs'!H341)</f>
        <v>#N/A</v>
      </c>
      <c r="I342" s="35" t="e">
        <f>VLOOKUP('Air calcs'!C342,TS!N$2:O$177,2)</f>
        <v>#N/A</v>
      </c>
    </row>
    <row r="343" spans="1:9" x14ac:dyDescent="0.25">
      <c r="A343" s="35">
        <v>1705</v>
      </c>
      <c r="B343" s="35">
        <f>A343*'Gen Calcs'!C$36</f>
        <v>17050000</v>
      </c>
      <c r="C343" s="35" t="e">
        <f t="shared" si="17"/>
        <v>#N/A</v>
      </c>
      <c r="D343" s="35" t="e">
        <f>VLOOKUP(C343,TS!N$2:Z$177,11,TRUE)</f>
        <v>#N/A</v>
      </c>
      <c r="E343" s="35" t="e">
        <f>VLOOKUP(C343,TS!N$2:Z$177,13,TRUE)*1000</f>
        <v>#N/A</v>
      </c>
      <c r="F343" s="35" t="e">
        <f t="shared" si="15"/>
        <v>#N/A</v>
      </c>
      <c r="G343" s="35" t="e">
        <f t="shared" si="16"/>
        <v>#N/A</v>
      </c>
      <c r="H343" s="35" t="e">
        <f>IF(G343&gt;0,H342-(5*'Gen Calcs'!C$41),'Air calcs'!H342)</f>
        <v>#N/A</v>
      </c>
      <c r="I343" s="35" t="e">
        <f>VLOOKUP('Air calcs'!C343,TS!N$2:O$177,2)</f>
        <v>#N/A</v>
      </c>
    </row>
    <row r="344" spans="1:9" x14ac:dyDescent="0.25">
      <c r="A344" s="35">
        <v>1710</v>
      </c>
      <c r="B344" s="35">
        <f>A344*'Gen Calcs'!C$36</f>
        <v>17100000</v>
      </c>
      <c r="C344" s="35" t="e">
        <f t="shared" si="17"/>
        <v>#N/A</v>
      </c>
      <c r="D344" s="35" t="e">
        <f>VLOOKUP(C344,TS!N$2:Z$177,11,TRUE)</f>
        <v>#N/A</v>
      </c>
      <c r="E344" s="35" t="e">
        <f>VLOOKUP(C344,TS!N$2:Z$177,13,TRUE)*1000</f>
        <v>#N/A</v>
      </c>
      <c r="F344" s="35" t="e">
        <f t="shared" si="15"/>
        <v>#N/A</v>
      </c>
      <c r="G344" s="35" t="e">
        <f t="shared" si="16"/>
        <v>#N/A</v>
      </c>
      <c r="H344" s="35" t="e">
        <f>IF(G344&gt;0,H343-(5*'Gen Calcs'!C$41),'Air calcs'!H343)</f>
        <v>#N/A</v>
      </c>
      <c r="I344" s="35" t="e">
        <f>VLOOKUP('Air calcs'!C344,TS!N$2:O$177,2)</f>
        <v>#N/A</v>
      </c>
    </row>
    <row r="345" spans="1:9" x14ac:dyDescent="0.25">
      <c r="A345" s="35">
        <v>1715</v>
      </c>
      <c r="B345" s="35">
        <f>A345*'Gen Calcs'!C$36</f>
        <v>17150000</v>
      </c>
      <c r="C345" s="35" t="e">
        <f t="shared" si="17"/>
        <v>#N/A</v>
      </c>
      <c r="D345" s="35" t="e">
        <f>VLOOKUP(C345,TS!N$2:Z$177,11,TRUE)</f>
        <v>#N/A</v>
      </c>
      <c r="E345" s="35" t="e">
        <f>VLOOKUP(C345,TS!N$2:Z$177,13,TRUE)*1000</f>
        <v>#N/A</v>
      </c>
      <c r="F345" s="35" t="e">
        <f t="shared" si="15"/>
        <v>#N/A</v>
      </c>
      <c r="G345" s="35" t="e">
        <f t="shared" si="16"/>
        <v>#N/A</v>
      </c>
      <c r="H345" s="35" t="e">
        <f>IF(G345&gt;0,H344-(5*'Gen Calcs'!C$41),'Air calcs'!H344)</f>
        <v>#N/A</v>
      </c>
      <c r="I345" s="35" t="e">
        <f>VLOOKUP('Air calcs'!C345,TS!N$2:O$177,2)</f>
        <v>#N/A</v>
      </c>
    </row>
    <row r="346" spans="1:9" x14ac:dyDescent="0.25">
      <c r="A346" s="35">
        <v>1720</v>
      </c>
      <c r="B346" s="35">
        <f>A346*'Gen Calcs'!C$36</f>
        <v>17200000</v>
      </c>
      <c r="C346" s="35" t="e">
        <f t="shared" si="17"/>
        <v>#N/A</v>
      </c>
      <c r="D346" s="35" t="e">
        <f>VLOOKUP(C346,TS!N$2:Z$177,11,TRUE)</f>
        <v>#N/A</v>
      </c>
      <c r="E346" s="35" t="e">
        <f>VLOOKUP(C346,TS!N$2:Z$177,13,TRUE)*1000</f>
        <v>#N/A</v>
      </c>
      <c r="F346" s="35" t="e">
        <f t="shared" si="15"/>
        <v>#N/A</v>
      </c>
      <c r="G346" s="35" t="e">
        <f t="shared" si="16"/>
        <v>#N/A</v>
      </c>
      <c r="H346" s="35" t="e">
        <f>IF(G346&gt;0,H345-(5*'Gen Calcs'!C$41),'Air calcs'!H345)</f>
        <v>#N/A</v>
      </c>
      <c r="I346" s="35" t="e">
        <f>VLOOKUP('Air calcs'!C346,TS!N$2:O$177,2)</f>
        <v>#N/A</v>
      </c>
    </row>
    <row r="347" spans="1:9" x14ac:dyDescent="0.25">
      <c r="A347" s="35">
        <v>1725</v>
      </c>
      <c r="B347" s="35">
        <f>A347*'Gen Calcs'!C$36</f>
        <v>17250000</v>
      </c>
      <c r="C347" s="35" t="e">
        <f t="shared" si="17"/>
        <v>#N/A</v>
      </c>
      <c r="D347" s="35" t="e">
        <f>VLOOKUP(C347,TS!N$2:Z$177,11,TRUE)</f>
        <v>#N/A</v>
      </c>
      <c r="E347" s="35" t="e">
        <f>VLOOKUP(C347,TS!N$2:Z$177,13,TRUE)*1000</f>
        <v>#N/A</v>
      </c>
      <c r="F347" s="35" t="e">
        <f t="shared" si="15"/>
        <v>#N/A</v>
      </c>
      <c r="G347" s="35" t="e">
        <f t="shared" si="16"/>
        <v>#N/A</v>
      </c>
      <c r="H347" s="35" t="e">
        <f>IF(G347&gt;0,H346-(5*'Gen Calcs'!C$41),'Air calcs'!H346)</f>
        <v>#N/A</v>
      </c>
      <c r="I347" s="35" t="e">
        <f>VLOOKUP('Air calcs'!C347,TS!N$2:O$177,2)</f>
        <v>#N/A</v>
      </c>
    </row>
    <row r="348" spans="1:9" x14ac:dyDescent="0.25">
      <c r="A348" s="35">
        <v>1730</v>
      </c>
      <c r="B348" s="35">
        <f>A348*'Gen Calcs'!C$36</f>
        <v>17300000</v>
      </c>
      <c r="C348" s="35" t="e">
        <f t="shared" si="17"/>
        <v>#N/A</v>
      </c>
      <c r="D348" s="35" t="e">
        <f>VLOOKUP(C348,TS!N$2:Z$177,11,TRUE)</f>
        <v>#N/A</v>
      </c>
      <c r="E348" s="35" t="e">
        <f>VLOOKUP(C348,TS!N$2:Z$177,13,TRUE)*1000</f>
        <v>#N/A</v>
      </c>
      <c r="F348" s="35" t="e">
        <f t="shared" si="15"/>
        <v>#N/A</v>
      </c>
      <c r="G348" s="35" t="e">
        <f t="shared" si="16"/>
        <v>#N/A</v>
      </c>
      <c r="H348" s="35" t="e">
        <f>IF(G348&gt;0,H347-(5*'Gen Calcs'!C$41),'Air calcs'!H347)</f>
        <v>#N/A</v>
      </c>
      <c r="I348" s="35" t="e">
        <f>VLOOKUP('Air calcs'!C348,TS!N$2:O$177,2)</f>
        <v>#N/A</v>
      </c>
    </row>
    <row r="349" spans="1:9" x14ac:dyDescent="0.25">
      <c r="A349" s="35">
        <v>1735</v>
      </c>
      <c r="B349" s="35">
        <f>A349*'Gen Calcs'!C$36</f>
        <v>17350000</v>
      </c>
      <c r="C349" s="35" t="e">
        <f t="shared" si="17"/>
        <v>#N/A</v>
      </c>
      <c r="D349" s="35" t="e">
        <f>VLOOKUP(C349,TS!N$2:Z$177,11,TRUE)</f>
        <v>#N/A</v>
      </c>
      <c r="E349" s="35" t="e">
        <f>VLOOKUP(C349,TS!N$2:Z$177,13,TRUE)*1000</f>
        <v>#N/A</v>
      </c>
      <c r="F349" s="35" t="e">
        <f t="shared" si="15"/>
        <v>#N/A</v>
      </c>
      <c r="G349" s="35" t="e">
        <f t="shared" si="16"/>
        <v>#N/A</v>
      </c>
      <c r="H349" s="35" t="e">
        <f>IF(G349&gt;0,H348-(5*'Gen Calcs'!C$41),'Air calcs'!H348)</f>
        <v>#N/A</v>
      </c>
      <c r="I349" s="35" t="e">
        <f>VLOOKUP('Air calcs'!C349,TS!N$2:O$177,2)</f>
        <v>#N/A</v>
      </c>
    </row>
    <row r="350" spans="1:9" x14ac:dyDescent="0.25">
      <c r="A350" s="35">
        <v>1740</v>
      </c>
      <c r="B350" s="35">
        <f>A350*'Gen Calcs'!C$36</f>
        <v>17400000</v>
      </c>
      <c r="C350" s="35" t="e">
        <f t="shared" si="17"/>
        <v>#N/A</v>
      </c>
      <c r="D350" s="35" t="e">
        <f>VLOOKUP(C350,TS!N$2:Z$177,11,TRUE)</f>
        <v>#N/A</v>
      </c>
      <c r="E350" s="35" t="e">
        <f>VLOOKUP(C350,TS!N$2:Z$177,13,TRUE)*1000</f>
        <v>#N/A</v>
      </c>
      <c r="F350" s="35" t="e">
        <f t="shared" si="15"/>
        <v>#N/A</v>
      </c>
      <c r="G350" s="35" t="e">
        <f t="shared" si="16"/>
        <v>#N/A</v>
      </c>
      <c r="H350" s="35" t="e">
        <f>IF(G350&gt;0,H349-(5*'Gen Calcs'!C$41),'Air calcs'!H349)</f>
        <v>#N/A</v>
      </c>
      <c r="I350" s="35" t="e">
        <f>VLOOKUP('Air calcs'!C350,TS!N$2:O$177,2)</f>
        <v>#N/A</v>
      </c>
    </row>
    <row r="351" spans="1:9" x14ac:dyDescent="0.25">
      <c r="A351" s="35">
        <v>1745</v>
      </c>
      <c r="B351" s="35">
        <f>A351*'Gen Calcs'!C$36</f>
        <v>17450000</v>
      </c>
      <c r="C351" s="35" t="e">
        <f t="shared" si="17"/>
        <v>#N/A</v>
      </c>
      <c r="D351" s="35" t="e">
        <f>VLOOKUP(C351,TS!N$2:Z$177,11,TRUE)</f>
        <v>#N/A</v>
      </c>
      <c r="E351" s="35" t="e">
        <f>VLOOKUP(C351,TS!N$2:Z$177,13,TRUE)*1000</f>
        <v>#N/A</v>
      </c>
      <c r="F351" s="35" t="e">
        <f t="shared" si="15"/>
        <v>#N/A</v>
      </c>
      <c r="G351" s="35" t="e">
        <f t="shared" si="16"/>
        <v>#N/A</v>
      </c>
      <c r="H351" s="35" t="e">
        <f>IF(G351&gt;0,H350-(5*'Gen Calcs'!C$41),'Air calcs'!H350)</f>
        <v>#N/A</v>
      </c>
      <c r="I351" s="35" t="e">
        <f>VLOOKUP('Air calcs'!C351,TS!N$2:O$177,2)</f>
        <v>#N/A</v>
      </c>
    </row>
    <row r="352" spans="1:9" x14ac:dyDescent="0.25">
      <c r="A352" s="35">
        <v>1750</v>
      </c>
      <c r="B352" s="35">
        <f>A352*'Gen Calcs'!C$36</f>
        <v>17500000</v>
      </c>
      <c r="C352" s="35" t="e">
        <f t="shared" si="17"/>
        <v>#N/A</v>
      </c>
      <c r="D352" s="35" t="e">
        <f>VLOOKUP(C352,TS!N$2:Z$177,11,TRUE)</f>
        <v>#N/A</v>
      </c>
      <c r="E352" s="35" t="e">
        <f>VLOOKUP(C352,TS!N$2:Z$177,13,TRUE)*1000</f>
        <v>#N/A</v>
      </c>
      <c r="F352" s="35" t="e">
        <f t="shared" si="15"/>
        <v>#N/A</v>
      </c>
      <c r="G352" s="35" t="e">
        <f t="shared" si="16"/>
        <v>#N/A</v>
      </c>
      <c r="H352" s="35" t="e">
        <f>IF(G352&gt;0,H351-(5*'Gen Calcs'!C$41),'Air calcs'!H351)</f>
        <v>#N/A</v>
      </c>
      <c r="I352" s="35" t="e">
        <f>VLOOKUP('Air calcs'!C352,TS!N$2:O$177,2)</f>
        <v>#N/A</v>
      </c>
    </row>
    <row r="353" spans="1:9" x14ac:dyDescent="0.25">
      <c r="A353" s="35">
        <v>1755</v>
      </c>
      <c r="B353" s="35">
        <f>A353*'Gen Calcs'!C$36</f>
        <v>17550000</v>
      </c>
      <c r="C353" s="35" t="e">
        <f t="shared" si="17"/>
        <v>#N/A</v>
      </c>
      <c r="D353" s="35" t="e">
        <f>VLOOKUP(C353,TS!N$2:Z$177,11,TRUE)</f>
        <v>#N/A</v>
      </c>
      <c r="E353" s="35" t="e">
        <f>VLOOKUP(C353,TS!N$2:Z$177,13,TRUE)*1000</f>
        <v>#N/A</v>
      </c>
      <c r="F353" s="35" t="e">
        <f t="shared" si="15"/>
        <v>#N/A</v>
      </c>
      <c r="G353" s="35" t="e">
        <f t="shared" si="16"/>
        <v>#N/A</v>
      </c>
      <c r="H353" s="35" t="e">
        <f>IF(G353&gt;0,H352-(5*'Gen Calcs'!C$41),'Air calcs'!H352)</f>
        <v>#N/A</v>
      </c>
      <c r="I353" s="35" t="e">
        <f>VLOOKUP('Air calcs'!C353,TS!N$2:O$177,2)</f>
        <v>#N/A</v>
      </c>
    </row>
    <row r="354" spans="1:9" x14ac:dyDescent="0.25">
      <c r="A354" s="35">
        <v>1760</v>
      </c>
      <c r="B354" s="35">
        <f>A354*'Gen Calcs'!C$36</f>
        <v>17600000</v>
      </c>
      <c r="C354" s="35" t="e">
        <f t="shared" si="17"/>
        <v>#N/A</v>
      </c>
      <c r="D354" s="35" t="e">
        <f>VLOOKUP(C354,TS!N$2:Z$177,11,TRUE)</f>
        <v>#N/A</v>
      </c>
      <c r="E354" s="35" t="e">
        <f>VLOOKUP(C354,TS!N$2:Z$177,13,TRUE)*1000</f>
        <v>#N/A</v>
      </c>
      <c r="F354" s="35" t="e">
        <f t="shared" si="15"/>
        <v>#N/A</v>
      </c>
      <c r="G354" s="35" t="e">
        <f t="shared" si="16"/>
        <v>#N/A</v>
      </c>
      <c r="H354" s="35" t="e">
        <f>IF(G354&gt;0,H353-(5*'Gen Calcs'!C$41),'Air calcs'!H353)</f>
        <v>#N/A</v>
      </c>
      <c r="I354" s="35" t="e">
        <f>VLOOKUP('Air calcs'!C354,TS!N$2:O$177,2)</f>
        <v>#N/A</v>
      </c>
    </row>
    <row r="355" spans="1:9" x14ac:dyDescent="0.25">
      <c r="A355" s="35">
        <v>1765</v>
      </c>
      <c r="B355" s="35">
        <f>A355*'Gen Calcs'!C$36</f>
        <v>17650000</v>
      </c>
      <c r="C355" s="35" t="e">
        <f t="shared" si="17"/>
        <v>#N/A</v>
      </c>
      <c r="D355" s="35" t="e">
        <f>VLOOKUP(C355,TS!N$2:Z$177,11,TRUE)</f>
        <v>#N/A</v>
      </c>
      <c r="E355" s="35" t="e">
        <f>VLOOKUP(C355,TS!N$2:Z$177,13,TRUE)*1000</f>
        <v>#N/A</v>
      </c>
      <c r="F355" s="35" t="e">
        <f t="shared" si="15"/>
        <v>#N/A</v>
      </c>
      <c r="G355" s="35" t="e">
        <f t="shared" si="16"/>
        <v>#N/A</v>
      </c>
      <c r="H355" s="35" t="e">
        <f>IF(G355&gt;0,H354-(5*'Gen Calcs'!C$41),'Air calcs'!H354)</f>
        <v>#N/A</v>
      </c>
      <c r="I355" s="35" t="e">
        <f>VLOOKUP('Air calcs'!C355,TS!N$2:O$177,2)</f>
        <v>#N/A</v>
      </c>
    </row>
    <row r="356" spans="1:9" x14ac:dyDescent="0.25">
      <c r="A356" s="35">
        <v>1770</v>
      </c>
      <c r="B356" s="35">
        <f>A356*'Gen Calcs'!C$36</f>
        <v>17700000</v>
      </c>
      <c r="C356" s="35" t="e">
        <f t="shared" si="17"/>
        <v>#N/A</v>
      </c>
      <c r="D356" s="35" t="e">
        <f>VLOOKUP(C356,TS!N$2:Z$177,11,TRUE)</f>
        <v>#N/A</v>
      </c>
      <c r="E356" s="35" t="e">
        <f>VLOOKUP(C356,TS!N$2:Z$177,13,TRUE)*1000</f>
        <v>#N/A</v>
      </c>
      <c r="F356" s="35" t="e">
        <f t="shared" si="15"/>
        <v>#N/A</v>
      </c>
      <c r="G356" s="35" t="e">
        <f t="shared" si="16"/>
        <v>#N/A</v>
      </c>
      <c r="H356" s="35" t="e">
        <f>IF(G356&gt;0,H355-(5*'Gen Calcs'!C$41),'Air calcs'!H355)</f>
        <v>#N/A</v>
      </c>
      <c r="I356" s="35" t="e">
        <f>VLOOKUP('Air calcs'!C356,TS!N$2:O$177,2)</f>
        <v>#N/A</v>
      </c>
    </row>
    <row r="357" spans="1:9" x14ac:dyDescent="0.25">
      <c r="A357" s="35">
        <v>1775</v>
      </c>
      <c r="B357" s="35">
        <f>A357*'Gen Calcs'!C$36</f>
        <v>17750000</v>
      </c>
      <c r="C357" s="35" t="e">
        <f t="shared" si="17"/>
        <v>#N/A</v>
      </c>
      <c r="D357" s="35" t="e">
        <f>VLOOKUP(C357,TS!N$2:Z$177,11,TRUE)</f>
        <v>#N/A</v>
      </c>
      <c r="E357" s="35" t="e">
        <f>VLOOKUP(C357,TS!N$2:Z$177,13,TRUE)*1000</f>
        <v>#N/A</v>
      </c>
      <c r="F357" s="35" t="e">
        <f t="shared" si="15"/>
        <v>#N/A</v>
      </c>
      <c r="G357" s="35" t="e">
        <f t="shared" si="16"/>
        <v>#N/A</v>
      </c>
      <c r="H357" s="35" t="e">
        <f>IF(G357&gt;0,H356-(5*'Gen Calcs'!C$41),'Air calcs'!H356)</f>
        <v>#N/A</v>
      </c>
      <c r="I357" s="35" t="e">
        <f>VLOOKUP('Air calcs'!C357,TS!N$2:O$177,2)</f>
        <v>#N/A</v>
      </c>
    </row>
    <row r="358" spans="1:9" x14ac:dyDescent="0.25">
      <c r="A358" s="35">
        <v>1780</v>
      </c>
      <c r="B358" s="35">
        <f>A358*'Gen Calcs'!C$36</f>
        <v>17800000</v>
      </c>
      <c r="C358" s="35" t="e">
        <f t="shared" si="17"/>
        <v>#N/A</v>
      </c>
      <c r="D358" s="35" t="e">
        <f>VLOOKUP(C358,TS!N$2:Z$177,11,TRUE)</f>
        <v>#N/A</v>
      </c>
      <c r="E358" s="35" t="e">
        <f>VLOOKUP(C358,TS!N$2:Z$177,13,TRUE)*1000</f>
        <v>#N/A</v>
      </c>
      <c r="F358" s="35" t="e">
        <f t="shared" si="15"/>
        <v>#N/A</v>
      </c>
      <c r="G358" s="35" t="e">
        <f t="shared" si="16"/>
        <v>#N/A</v>
      </c>
      <c r="H358" s="35" t="e">
        <f>IF(G358&gt;0,H357-(5*'Gen Calcs'!C$41),'Air calcs'!H357)</f>
        <v>#N/A</v>
      </c>
      <c r="I358" s="35" t="e">
        <f>VLOOKUP('Air calcs'!C358,TS!N$2:O$177,2)</f>
        <v>#N/A</v>
      </c>
    </row>
    <row r="359" spans="1:9" x14ac:dyDescent="0.25">
      <c r="A359" s="35">
        <v>1785</v>
      </c>
      <c r="B359" s="35">
        <f>A359*'Gen Calcs'!C$36</f>
        <v>17850000</v>
      </c>
      <c r="C359" s="35" t="e">
        <f t="shared" si="17"/>
        <v>#N/A</v>
      </c>
      <c r="D359" s="35" t="e">
        <f>VLOOKUP(C359,TS!N$2:Z$177,11,TRUE)</f>
        <v>#N/A</v>
      </c>
      <c r="E359" s="35" t="e">
        <f>VLOOKUP(C359,TS!N$2:Z$177,13,TRUE)*1000</f>
        <v>#N/A</v>
      </c>
      <c r="F359" s="35" t="e">
        <f t="shared" si="15"/>
        <v>#N/A</v>
      </c>
      <c r="G359" s="35" t="e">
        <f t="shared" si="16"/>
        <v>#N/A</v>
      </c>
      <c r="H359" s="35" t="e">
        <f>IF(G359&gt;0,H358-(5*'Gen Calcs'!C$41),'Air calcs'!H358)</f>
        <v>#N/A</v>
      </c>
      <c r="I359" s="35" t="e">
        <f>VLOOKUP('Air calcs'!C359,TS!N$2:O$177,2)</f>
        <v>#N/A</v>
      </c>
    </row>
    <row r="360" spans="1:9" x14ac:dyDescent="0.25">
      <c r="A360" s="35">
        <v>1790</v>
      </c>
      <c r="B360" s="35">
        <f>A360*'Gen Calcs'!C$36</f>
        <v>17900000</v>
      </c>
      <c r="C360" s="35" t="e">
        <f t="shared" si="17"/>
        <v>#N/A</v>
      </c>
      <c r="D360" s="35" t="e">
        <f>VLOOKUP(C360,TS!N$2:Z$177,11,TRUE)</f>
        <v>#N/A</v>
      </c>
      <c r="E360" s="35" t="e">
        <f>VLOOKUP(C360,TS!N$2:Z$177,13,TRUE)*1000</f>
        <v>#N/A</v>
      </c>
      <c r="F360" s="35" t="e">
        <f t="shared" si="15"/>
        <v>#N/A</v>
      </c>
      <c r="G360" s="35" t="e">
        <f t="shared" si="16"/>
        <v>#N/A</v>
      </c>
      <c r="H360" s="35" t="e">
        <f>IF(G360&gt;0,H359-(5*'Gen Calcs'!C$41),'Air calcs'!H359)</f>
        <v>#N/A</v>
      </c>
      <c r="I360" s="35" t="e">
        <f>VLOOKUP('Air calcs'!C360,TS!N$2:O$177,2)</f>
        <v>#N/A</v>
      </c>
    </row>
    <row r="361" spans="1:9" x14ac:dyDescent="0.25">
      <c r="A361" s="35">
        <v>1795</v>
      </c>
      <c r="B361" s="35">
        <f>A361*'Gen Calcs'!C$36</f>
        <v>17950000</v>
      </c>
      <c r="C361" s="35" t="e">
        <f t="shared" si="17"/>
        <v>#N/A</v>
      </c>
      <c r="D361" s="35" t="e">
        <f>VLOOKUP(C361,TS!N$2:Z$177,11,TRUE)</f>
        <v>#N/A</v>
      </c>
      <c r="E361" s="35" t="e">
        <f>VLOOKUP(C361,TS!N$2:Z$177,13,TRUE)*1000</f>
        <v>#N/A</v>
      </c>
      <c r="F361" s="35" t="e">
        <f t="shared" si="15"/>
        <v>#N/A</v>
      </c>
      <c r="G361" s="35" t="e">
        <f t="shared" si="16"/>
        <v>#N/A</v>
      </c>
      <c r="H361" s="35" t="e">
        <f>IF(G361&gt;0,H360-(5*'Gen Calcs'!C$41),'Air calcs'!H360)</f>
        <v>#N/A</v>
      </c>
      <c r="I361" s="35" t="e">
        <f>VLOOKUP('Air calcs'!C361,TS!N$2:O$177,2)</f>
        <v>#N/A</v>
      </c>
    </row>
    <row r="362" spans="1:9" x14ac:dyDescent="0.25">
      <c r="A362" s="35">
        <v>1800</v>
      </c>
      <c r="B362" s="35">
        <f>A362*'Gen Calcs'!C$36</f>
        <v>18000000</v>
      </c>
      <c r="C362" s="35" t="e">
        <f t="shared" si="17"/>
        <v>#N/A</v>
      </c>
      <c r="D362" s="35" t="e">
        <f>VLOOKUP(C362,TS!N$2:Z$177,11,TRUE)</f>
        <v>#N/A</v>
      </c>
      <c r="E362" s="35" t="e">
        <f>VLOOKUP(C362,TS!N$2:Z$177,13,TRUE)*1000</f>
        <v>#N/A</v>
      </c>
      <c r="F362" s="35" t="e">
        <f t="shared" si="15"/>
        <v>#N/A</v>
      </c>
      <c r="G362" s="35" t="e">
        <f t="shared" si="16"/>
        <v>#N/A</v>
      </c>
      <c r="H362" s="35" t="e">
        <f>IF(G362&gt;0,H361-(5*'Gen Calcs'!C$41),'Air calcs'!H361)</f>
        <v>#N/A</v>
      </c>
      <c r="I362" s="35" t="e">
        <f>VLOOKUP('Air calcs'!C362,TS!N$2:O$177,2)</f>
        <v>#N/A</v>
      </c>
    </row>
    <row r="363" spans="1:9" x14ac:dyDescent="0.25">
      <c r="A363" s="35">
        <v>1805</v>
      </c>
      <c r="B363" s="35">
        <f>A363*'Gen Calcs'!C$36</f>
        <v>18050000</v>
      </c>
      <c r="C363" s="35" t="e">
        <f t="shared" si="17"/>
        <v>#N/A</v>
      </c>
      <c r="D363" s="35" t="e">
        <f>VLOOKUP(C363,TS!N$2:Z$177,11,TRUE)</f>
        <v>#N/A</v>
      </c>
      <c r="E363" s="35" t="e">
        <f>VLOOKUP(C363,TS!N$2:Z$177,13,TRUE)*1000</f>
        <v>#N/A</v>
      </c>
      <c r="F363" s="35" t="e">
        <f t="shared" si="15"/>
        <v>#N/A</v>
      </c>
      <c r="G363" s="35" t="e">
        <f t="shared" si="16"/>
        <v>#N/A</v>
      </c>
      <c r="H363" s="35" t="e">
        <f>IF(G363&gt;0,H362-(5*'Gen Calcs'!C$41),'Air calcs'!H362)</f>
        <v>#N/A</v>
      </c>
      <c r="I363" s="35" t="e">
        <f>VLOOKUP('Air calcs'!C363,TS!N$2:O$177,2)</f>
        <v>#N/A</v>
      </c>
    </row>
    <row r="364" spans="1:9" x14ac:dyDescent="0.25">
      <c r="A364" s="35">
        <v>1810</v>
      </c>
      <c r="B364" s="35">
        <f>A364*'Gen Calcs'!C$36</f>
        <v>18100000</v>
      </c>
      <c r="C364" s="35" t="e">
        <f t="shared" si="17"/>
        <v>#N/A</v>
      </c>
      <c r="D364" s="35" t="e">
        <f>VLOOKUP(C364,TS!N$2:Z$177,11,TRUE)</f>
        <v>#N/A</v>
      </c>
      <c r="E364" s="35" t="e">
        <f>VLOOKUP(C364,TS!N$2:Z$177,13,TRUE)*1000</f>
        <v>#N/A</v>
      </c>
      <c r="F364" s="35" t="e">
        <f t="shared" si="15"/>
        <v>#N/A</v>
      </c>
      <c r="G364" s="35" t="e">
        <f t="shared" si="16"/>
        <v>#N/A</v>
      </c>
      <c r="H364" s="35" t="e">
        <f>IF(G364&gt;0,H363-(5*'Gen Calcs'!C$41),'Air calcs'!H363)</f>
        <v>#N/A</v>
      </c>
      <c r="I364" s="35" t="e">
        <f>VLOOKUP('Air calcs'!C364,TS!N$2:O$177,2)</f>
        <v>#N/A</v>
      </c>
    </row>
    <row r="365" spans="1:9" x14ac:dyDescent="0.25">
      <c r="A365" s="35">
        <v>1815</v>
      </c>
      <c r="B365" s="35">
        <f>A365*'Gen Calcs'!C$36</f>
        <v>18150000</v>
      </c>
      <c r="C365" s="35" t="e">
        <f t="shared" si="17"/>
        <v>#N/A</v>
      </c>
      <c r="D365" s="35" t="e">
        <f>VLOOKUP(C365,TS!N$2:Z$177,11,TRUE)</f>
        <v>#N/A</v>
      </c>
      <c r="E365" s="35" t="e">
        <f>VLOOKUP(C365,TS!N$2:Z$177,13,TRUE)*1000</f>
        <v>#N/A</v>
      </c>
      <c r="F365" s="35" t="e">
        <f t="shared" si="15"/>
        <v>#N/A</v>
      </c>
      <c r="G365" s="35" t="e">
        <f t="shared" si="16"/>
        <v>#N/A</v>
      </c>
      <c r="H365" s="35" t="e">
        <f>IF(G365&gt;0,H364-(5*'Gen Calcs'!C$41),'Air calcs'!H364)</f>
        <v>#N/A</v>
      </c>
      <c r="I365" s="35" t="e">
        <f>VLOOKUP('Air calcs'!C365,TS!N$2:O$177,2)</f>
        <v>#N/A</v>
      </c>
    </row>
    <row r="366" spans="1:9" x14ac:dyDescent="0.25">
      <c r="A366" s="35">
        <v>1820</v>
      </c>
      <c r="B366" s="35">
        <f>A366*'Gen Calcs'!C$36</f>
        <v>18200000</v>
      </c>
      <c r="C366" s="35" t="e">
        <f t="shared" si="17"/>
        <v>#N/A</v>
      </c>
      <c r="D366" s="35" t="e">
        <f>VLOOKUP(C366,TS!N$2:Z$177,11,TRUE)</f>
        <v>#N/A</v>
      </c>
      <c r="E366" s="35" t="e">
        <f>VLOOKUP(C366,TS!N$2:Z$177,13,TRUE)*1000</f>
        <v>#N/A</v>
      </c>
      <c r="F366" s="35" t="e">
        <f t="shared" si="15"/>
        <v>#N/A</v>
      </c>
      <c r="G366" s="35" t="e">
        <f t="shared" si="16"/>
        <v>#N/A</v>
      </c>
      <c r="H366" s="35" t="e">
        <f>IF(G366&gt;0,H365-(5*'Gen Calcs'!C$41),'Air calcs'!H365)</f>
        <v>#N/A</v>
      </c>
      <c r="I366" s="35" t="e">
        <f>VLOOKUP('Air calcs'!C366,TS!N$2:O$177,2)</f>
        <v>#N/A</v>
      </c>
    </row>
    <row r="367" spans="1:9" x14ac:dyDescent="0.25">
      <c r="A367" s="35">
        <v>1825</v>
      </c>
      <c r="B367" s="35">
        <f>A367*'Gen Calcs'!C$36</f>
        <v>18250000</v>
      </c>
      <c r="C367" s="35" t="e">
        <f t="shared" si="17"/>
        <v>#N/A</v>
      </c>
      <c r="D367" s="35" t="e">
        <f>VLOOKUP(C367,TS!N$2:Z$177,11,TRUE)</f>
        <v>#N/A</v>
      </c>
      <c r="E367" s="35" t="e">
        <f>VLOOKUP(C367,TS!N$2:Z$177,13,TRUE)*1000</f>
        <v>#N/A</v>
      </c>
      <c r="F367" s="35" t="e">
        <f t="shared" si="15"/>
        <v>#N/A</v>
      </c>
      <c r="G367" s="35" t="e">
        <f t="shared" si="16"/>
        <v>#N/A</v>
      </c>
      <c r="H367" s="35" t="e">
        <f>IF(G367&gt;0,H366-(5*'Gen Calcs'!C$41),'Air calcs'!H366)</f>
        <v>#N/A</v>
      </c>
      <c r="I367" s="35" t="e">
        <f>VLOOKUP('Air calcs'!C367,TS!N$2:O$177,2)</f>
        <v>#N/A</v>
      </c>
    </row>
    <row r="368" spans="1:9" x14ac:dyDescent="0.25">
      <c r="A368" s="35">
        <v>1830</v>
      </c>
      <c r="B368" s="35">
        <f>A368*'Gen Calcs'!C$36</f>
        <v>18300000</v>
      </c>
      <c r="C368" s="35" t="e">
        <f t="shared" si="17"/>
        <v>#N/A</v>
      </c>
      <c r="D368" s="35" t="e">
        <f>VLOOKUP(C368,TS!N$2:Z$177,11,TRUE)</f>
        <v>#N/A</v>
      </c>
      <c r="E368" s="35" t="e">
        <f>VLOOKUP(C368,TS!N$2:Z$177,13,TRUE)*1000</f>
        <v>#N/A</v>
      </c>
      <c r="F368" s="35" t="e">
        <f t="shared" si="15"/>
        <v>#N/A</v>
      </c>
      <c r="G368" s="35" t="e">
        <f t="shared" si="16"/>
        <v>#N/A</v>
      </c>
      <c r="H368" s="35" t="e">
        <f>IF(G368&gt;0,H367-(5*'Gen Calcs'!C$41),'Air calcs'!H367)</f>
        <v>#N/A</v>
      </c>
      <c r="I368" s="35" t="e">
        <f>VLOOKUP('Air calcs'!C368,TS!N$2:O$177,2)</f>
        <v>#N/A</v>
      </c>
    </row>
    <row r="369" spans="1:9" x14ac:dyDescent="0.25">
      <c r="A369" s="35">
        <v>1835</v>
      </c>
      <c r="B369" s="35">
        <f>A369*'Gen Calcs'!C$36</f>
        <v>18350000</v>
      </c>
      <c r="C369" s="35" t="e">
        <f t="shared" si="17"/>
        <v>#N/A</v>
      </c>
      <c r="D369" s="35" t="e">
        <f>VLOOKUP(C369,TS!N$2:Z$177,11,TRUE)</f>
        <v>#N/A</v>
      </c>
      <c r="E369" s="35" t="e">
        <f>VLOOKUP(C369,TS!N$2:Z$177,13,TRUE)*1000</f>
        <v>#N/A</v>
      </c>
      <c r="F369" s="35" t="e">
        <f t="shared" si="15"/>
        <v>#N/A</v>
      </c>
      <c r="G369" s="35" t="e">
        <f t="shared" si="16"/>
        <v>#N/A</v>
      </c>
      <c r="H369" s="35" t="e">
        <f>IF(G369&gt;0,H368-(5*'Gen Calcs'!C$41),'Air calcs'!H368)</f>
        <v>#N/A</v>
      </c>
      <c r="I369" s="35" t="e">
        <f>VLOOKUP('Air calcs'!C369,TS!N$2:O$177,2)</f>
        <v>#N/A</v>
      </c>
    </row>
    <row r="370" spans="1:9" x14ac:dyDescent="0.25">
      <c r="A370" s="35">
        <v>1840</v>
      </c>
      <c r="B370" s="35">
        <f>A370*'Gen Calcs'!C$36</f>
        <v>18400000</v>
      </c>
      <c r="C370" s="35" t="e">
        <f t="shared" si="17"/>
        <v>#N/A</v>
      </c>
      <c r="D370" s="35" t="e">
        <f>VLOOKUP(C370,TS!N$2:Z$177,11,TRUE)</f>
        <v>#N/A</v>
      </c>
      <c r="E370" s="35" t="e">
        <f>VLOOKUP(C370,TS!N$2:Z$177,13,TRUE)*1000</f>
        <v>#N/A</v>
      </c>
      <c r="F370" s="35" t="e">
        <f t="shared" si="15"/>
        <v>#N/A</v>
      </c>
      <c r="G370" s="35" t="e">
        <f t="shared" si="16"/>
        <v>#N/A</v>
      </c>
      <c r="H370" s="35" t="e">
        <f>IF(G370&gt;0,H369-(5*'Gen Calcs'!C$41),'Air calcs'!H369)</f>
        <v>#N/A</v>
      </c>
      <c r="I370" s="35" t="e">
        <f>VLOOKUP('Air calcs'!C370,TS!N$2:O$177,2)</f>
        <v>#N/A</v>
      </c>
    </row>
    <row r="371" spans="1:9" x14ac:dyDescent="0.25">
      <c r="A371" s="35">
        <v>1845</v>
      </c>
      <c r="B371" s="35">
        <f>A371*'Gen Calcs'!C$36</f>
        <v>18450000</v>
      </c>
      <c r="C371" s="35" t="e">
        <f t="shared" si="17"/>
        <v>#N/A</v>
      </c>
      <c r="D371" s="35" t="e">
        <f>VLOOKUP(C371,TS!N$2:Z$177,11,TRUE)</f>
        <v>#N/A</v>
      </c>
      <c r="E371" s="35" t="e">
        <f>VLOOKUP(C371,TS!N$2:Z$177,13,TRUE)*1000</f>
        <v>#N/A</v>
      </c>
      <c r="F371" s="35" t="e">
        <f t="shared" si="15"/>
        <v>#N/A</v>
      </c>
      <c r="G371" s="35" t="e">
        <f t="shared" si="16"/>
        <v>#N/A</v>
      </c>
      <c r="H371" s="35" t="e">
        <f>IF(G371&gt;0,H370-(5*'Gen Calcs'!C$41),'Air calcs'!H370)</f>
        <v>#N/A</v>
      </c>
      <c r="I371" s="35" t="e">
        <f>VLOOKUP('Air calcs'!C371,TS!N$2:O$177,2)</f>
        <v>#N/A</v>
      </c>
    </row>
    <row r="372" spans="1:9" x14ac:dyDescent="0.25">
      <c r="A372" s="35">
        <v>1850</v>
      </c>
      <c r="B372" s="35">
        <f>A372*'Gen Calcs'!C$36</f>
        <v>18500000</v>
      </c>
      <c r="C372" s="35" t="e">
        <f t="shared" si="17"/>
        <v>#N/A</v>
      </c>
      <c r="D372" s="35" t="e">
        <f>VLOOKUP(C372,TS!N$2:Z$177,11,TRUE)</f>
        <v>#N/A</v>
      </c>
      <c r="E372" s="35" t="e">
        <f>VLOOKUP(C372,TS!N$2:Z$177,13,TRUE)*1000</f>
        <v>#N/A</v>
      </c>
      <c r="F372" s="35" t="e">
        <f t="shared" si="15"/>
        <v>#N/A</v>
      </c>
      <c r="G372" s="35" t="e">
        <f t="shared" si="16"/>
        <v>#N/A</v>
      </c>
      <c r="H372" s="35" t="e">
        <f>IF(G372&gt;0,H371-(5*'Gen Calcs'!C$41),'Air calcs'!H371)</f>
        <v>#N/A</v>
      </c>
      <c r="I372" s="35" t="e">
        <f>VLOOKUP('Air calcs'!C372,TS!N$2:O$177,2)</f>
        <v>#N/A</v>
      </c>
    </row>
    <row r="373" spans="1:9" x14ac:dyDescent="0.25">
      <c r="A373" s="35">
        <v>1855</v>
      </c>
      <c r="B373" s="35">
        <f>A373*'Gen Calcs'!C$36</f>
        <v>18550000</v>
      </c>
      <c r="C373" s="35" t="e">
        <f t="shared" si="17"/>
        <v>#N/A</v>
      </c>
      <c r="D373" s="35" t="e">
        <f>VLOOKUP(C373,TS!N$2:Z$177,11,TRUE)</f>
        <v>#N/A</v>
      </c>
      <c r="E373" s="35" t="e">
        <f>VLOOKUP(C373,TS!N$2:Z$177,13,TRUE)*1000</f>
        <v>#N/A</v>
      </c>
      <c r="F373" s="35" t="e">
        <f t="shared" si="15"/>
        <v>#N/A</v>
      </c>
      <c r="G373" s="35" t="e">
        <f t="shared" si="16"/>
        <v>#N/A</v>
      </c>
      <c r="H373" s="35" t="e">
        <f>IF(G373&gt;0,H372-(5*'Gen Calcs'!C$41),'Air calcs'!H372)</f>
        <v>#N/A</v>
      </c>
      <c r="I373" s="35" t="e">
        <f>VLOOKUP('Air calcs'!C373,TS!N$2:O$177,2)</f>
        <v>#N/A</v>
      </c>
    </row>
    <row r="374" spans="1:9" x14ac:dyDescent="0.25">
      <c r="A374" s="35">
        <v>1860</v>
      </c>
      <c r="B374" s="35">
        <f>A374*'Gen Calcs'!C$36</f>
        <v>18600000</v>
      </c>
      <c r="C374" s="35" t="e">
        <f t="shared" si="17"/>
        <v>#N/A</v>
      </c>
      <c r="D374" s="35" t="e">
        <f>VLOOKUP(C374,TS!N$2:Z$177,11,TRUE)</f>
        <v>#N/A</v>
      </c>
      <c r="E374" s="35" t="e">
        <f>VLOOKUP(C374,TS!N$2:Z$177,13,TRUE)*1000</f>
        <v>#N/A</v>
      </c>
      <c r="F374" s="35" t="e">
        <f t="shared" si="15"/>
        <v>#N/A</v>
      </c>
      <c r="G374" s="35" t="e">
        <f t="shared" si="16"/>
        <v>#N/A</v>
      </c>
      <c r="H374" s="35" t="e">
        <f>IF(G374&gt;0,H373-(5*'Gen Calcs'!C$41),'Air calcs'!H373)</f>
        <v>#N/A</v>
      </c>
      <c r="I374" s="35" t="e">
        <f>VLOOKUP('Air calcs'!C374,TS!N$2:O$177,2)</f>
        <v>#N/A</v>
      </c>
    </row>
    <row r="375" spans="1:9" x14ac:dyDescent="0.25">
      <c r="A375" s="35">
        <v>1865</v>
      </c>
      <c r="B375" s="35">
        <f>A375*'Gen Calcs'!C$36</f>
        <v>18650000</v>
      </c>
      <c r="C375" s="35" t="e">
        <f t="shared" si="17"/>
        <v>#N/A</v>
      </c>
      <c r="D375" s="35" t="e">
        <f>VLOOKUP(C375,TS!N$2:Z$177,11,TRUE)</f>
        <v>#N/A</v>
      </c>
      <c r="E375" s="35" t="e">
        <f>VLOOKUP(C375,TS!N$2:Z$177,13,TRUE)*1000</f>
        <v>#N/A</v>
      </c>
      <c r="F375" s="35" t="e">
        <f t="shared" si="15"/>
        <v>#N/A</v>
      </c>
      <c r="G375" s="35" t="e">
        <f t="shared" si="16"/>
        <v>#N/A</v>
      </c>
      <c r="H375" s="35" t="e">
        <f>IF(G375&gt;0,H374-(5*'Gen Calcs'!C$41),'Air calcs'!H374)</f>
        <v>#N/A</v>
      </c>
      <c r="I375" s="35" t="e">
        <f>VLOOKUP('Air calcs'!C375,TS!N$2:O$177,2)</f>
        <v>#N/A</v>
      </c>
    </row>
    <row r="376" spans="1:9" x14ac:dyDescent="0.25">
      <c r="A376" s="35">
        <v>1870</v>
      </c>
      <c r="B376" s="35">
        <f>A376*'Gen Calcs'!C$36</f>
        <v>18700000</v>
      </c>
      <c r="C376" s="35" t="e">
        <f t="shared" si="17"/>
        <v>#N/A</v>
      </c>
      <c r="D376" s="35" t="e">
        <f>VLOOKUP(C376,TS!N$2:Z$177,11,TRUE)</f>
        <v>#N/A</v>
      </c>
      <c r="E376" s="35" t="e">
        <f>VLOOKUP(C376,TS!N$2:Z$177,13,TRUE)*1000</f>
        <v>#N/A</v>
      </c>
      <c r="F376" s="35" t="e">
        <f t="shared" si="15"/>
        <v>#N/A</v>
      </c>
      <c r="G376" s="35" t="e">
        <f t="shared" si="16"/>
        <v>#N/A</v>
      </c>
      <c r="H376" s="35" t="e">
        <f>IF(G376&gt;0,H375-(5*'Gen Calcs'!C$41),'Air calcs'!H375)</f>
        <v>#N/A</v>
      </c>
      <c r="I376" s="35" t="e">
        <f>VLOOKUP('Air calcs'!C376,TS!N$2:O$177,2)</f>
        <v>#N/A</v>
      </c>
    </row>
    <row r="377" spans="1:9" x14ac:dyDescent="0.25">
      <c r="A377" s="35">
        <v>1875</v>
      </c>
      <c r="B377" s="35">
        <f>A377*'Gen Calcs'!C$36</f>
        <v>18750000</v>
      </c>
      <c r="C377" s="35" t="e">
        <f t="shared" si="17"/>
        <v>#N/A</v>
      </c>
      <c r="D377" s="35" t="e">
        <f>VLOOKUP(C377,TS!N$2:Z$177,11,TRUE)</f>
        <v>#N/A</v>
      </c>
      <c r="E377" s="35" t="e">
        <f>VLOOKUP(C377,TS!N$2:Z$177,13,TRUE)*1000</f>
        <v>#N/A</v>
      </c>
      <c r="F377" s="35" t="e">
        <f t="shared" si="15"/>
        <v>#N/A</v>
      </c>
      <c r="G377" s="35" t="e">
        <f t="shared" si="16"/>
        <v>#N/A</v>
      </c>
      <c r="H377" s="35" t="e">
        <f>IF(G377&gt;0,H376-(5*'Gen Calcs'!C$41),'Air calcs'!H376)</f>
        <v>#N/A</v>
      </c>
      <c r="I377" s="35" t="e">
        <f>VLOOKUP('Air calcs'!C377,TS!N$2:O$177,2)</f>
        <v>#N/A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34EE3-CDB6-40AB-997E-B8058283D3B9}">
  <dimension ref="A1:P45"/>
  <sheetViews>
    <sheetView zoomScaleNormal="100" workbookViewId="0">
      <selection activeCell="C4" sqref="C4"/>
    </sheetView>
  </sheetViews>
  <sheetFormatPr defaultRowHeight="15" x14ac:dyDescent="0.25"/>
  <cols>
    <col min="1" max="1" width="21.28515625" customWidth="1"/>
    <col min="2" max="2" width="9.140625" style="35"/>
    <col min="4" max="4" width="9.5703125" bestFit="1" customWidth="1"/>
    <col min="11" max="14" width="9.140625" customWidth="1"/>
    <col min="15" max="15" width="64.7109375" customWidth="1"/>
    <col min="16" max="16" width="82.7109375" bestFit="1" customWidth="1"/>
  </cols>
  <sheetData>
    <row r="1" spans="1:16" s="33" customFormat="1" ht="60" x14ac:dyDescent="0.25">
      <c r="A1" s="33" t="s">
        <v>66</v>
      </c>
      <c r="B1" s="41" t="s">
        <v>76</v>
      </c>
      <c r="C1" s="33" t="s">
        <v>78</v>
      </c>
      <c r="D1" s="33" t="s">
        <v>95</v>
      </c>
      <c r="E1" s="33" t="s">
        <v>96</v>
      </c>
      <c r="F1" s="33" t="s">
        <v>68</v>
      </c>
      <c r="G1" s="33" t="s">
        <v>117</v>
      </c>
      <c r="H1" s="33" t="s">
        <v>69</v>
      </c>
      <c r="I1" s="33" t="s">
        <v>118</v>
      </c>
      <c r="J1" s="33" t="s">
        <v>72</v>
      </c>
      <c r="K1" s="33" t="s">
        <v>73</v>
      </c>
      <c r="L1" s="33" t="s">
        <v>74</v>
      </c>
      <c r="M1" s="33" t="s">
        <v>70</v>
      </c>
      <c r="N1" s="33" t="s">
        <v>71</v>
      </c>
      <c r="O1" s="33" t="s">
        <v>115</v>
      </c>
      <c r="P1" s="33" t="s">
        <v>67</v>
      </c>
    </row>
    <row r="2" spans="1:16" x14ac:dyDescent="0.25">
      <c r="A2" t="s">
        <v>88</v>
      </c>
      <c r="B2" s="35">
        <v>65.400000000000006</v>
      </c>
      <c r="C2">
        <v>4202599</v>
      </c>
      <c r="D2" s="34" t="e">
        <f>VLOOKUP(B2,TS!N$2:AD$177,26,TRUE)</f>
        <v>#N/A</v>
      </c>
      <c r="E2" s="34" t="e">
        <f>VLOOKUP(B2,TS!N$2:AD$177,25,TRUE)</f>
        <v>#N/A</v>
      </c>
      <c r="F2" t="e">
        <f>MAX(TS!#REF!)</f>
        <v>#REF!</v>
      </c>
      <c r="G2" s="34" t="e">
        <f>MAX(TS!#REF!)</f>
        <v>#REF!</v>
      </c>
      <c r="H2" t="e">
        <f>MAX(TS!#REF!)</f>
        <v>#REF!</v>
      </c>
      <c r="J2">
        <v>4000</v>
      </c>
      <c r="O2" t="s">
        <v>79</v>
      </c>
    </row>
    <row r="3" spans="1:16" x14ac:dyDescent="0.25">
      <c r="B3" s="35">
        <v>65.400000000000006</v>
      </c>
      <c r="C3">
        <v>4202599</v>
      </c>
      <c r="D3" s="34" t="e">
        <f>VLOOKUP(B3,TS!N$2:AD$177,26,TRUE)</f>
        <v>#N/A</v>
      </c>
      <c r="E3" s="34" t="e">
        <f>VLOOKUP(B3,TS!N$2:AD$177,25,TRUE)</f>
        <v>#N/A</v>
      </c>
      <c r="F3" t="e">
        <f>MAX(TS!#REF!)</f>
        <v>#REF!</v>
      </c>
      <c r="G3" s="34" t="e">
        <f>MAX(TS!#REF!)</f>
        <v>#REF!</v>
      </c>
      <c r="H3" t="e">
        <f>MAX(TS!#REF!)</f>
        <v>#REF!</v>
      </c>
      <c r="J3">
        <v>4000</v>
      </c>
      <c r="O3" t="s">
        <v>86</v>
      </c>
    </row>
    <row r="4" spans="1:16" x14ac:dyDescent="0.25">
      <c r="B4" s="35">
        <v>66</v>
      </c>
      <c r="C4" s="34">
        <f>(B4-B$3)*'Gen Calcs'!C$29</f>
        <v>214626.69930969912</v>
      </c>
      <c r="D4" s="34" t="e">
        <f>VLOOKUP(B4,TS!N$2:AD$177,26,TRUE)</f>
        <v>#N/A</v>
      </c>
      <c r="E4" s="34" t="e">
        <f>VLOOKUP(B4,TS!N$2:AD$177,25,TRUE)</f>
        <v>#N/A</v>
      </c>
      <c r="G4" s="34"/>
    </row>
    <row r="5" spans="1:16" x14ac:dyDescent="0.25">
      <c r="B5" s="35">
        <v>67</v>
      </c>
      <c r="C5" s="34">
        <f>(B5-B$3)*'Gen Calcs'!C$29</f>
        <v>572337.8648258677</v>
      </c>
      <c r="D5" s="34" t="e">
        <f>VLOOKUP(B5,TS!N$2:AD$177,26,TRUE)</f>
        <v>#N/A</v>
      </c>
      <c r="E5" s="34" t="e">
        <f>VLOOKUP(B5,TS!N$2:AD$177,25,TRUE)</f>
        <v>#N/A</v>
      </c>
      <c r="G5" s="34"/>
    </row>
    <row r="6" spans="1:16" x14ac:dyDescent="0.25">
      <c r="B6" s="35">
        <v>68</v>
      </c>
      <c r="C6" s="34">
        <f>(B6-B$3)*'Gen Calcs'!C$29</f>
        <v>930049.03034203628</v>
      </c>
      <c r="D6" s="34" t="e">
        <f>VLOOKUP(B6,TS!N$2:AD$177,26,TRUE)</f>
        <v>#N/A</v>
      </c>
      <c r="E6" s="34" t="e">
        <f>VLOOKUP(B6,TS!N$2:AD$177,25,TRUE)</f>
        <v>#N/A</v>
      </c>
      <c r="G6" s="34"/>
    </row>
    <row r="7" spans="1:16" x14ac:dyDescent="0.25">
      <c r="B7" s="35">
        <v>69</v>
      </c>
      <c r="C7" s="34">
        <f>(B7-B$3)*'Gen Calcs'!C$29</f>
        <v>1287760.1958582047</v>
      </c>
      <c r="D7" s="34" t="e">
        <f>VLOOKUP(B7,TS!N$2:AD$177,26,TRUE)</f>
        <v>#N/A</v>
      </c>
      <c r="E7" s="34" t="e">
        <f>VLOOKUP(B7,TS!N$2:AD$177,25,TRUE)</f>
        <v>#N/A</v>
      </c>
      <c r="G7" s="34"/>
    </row>
    <row r="8" spans="1:16" x14ac:dyDescent="0.25">
      <c r="B8" s="35">
        <v>70</v>
      </c>
      <c r="C8" s="34">
        <f>(B8-B$3)*'Gen Calcs'!C$29</f>
        <v>1645471.3613743733</v>
      </c>
      <c r="D8" s="34" t="e">
        <f>VLOOKUP(B8,TS!N$2:AD$177,26,TRUE)</f>
        <v>#N/A</v>
      </c>
      <c r="E8" s="34" t="e">
        <f>VLOOKUP(B8,TS!N$2:AD$177,25,TRUE)</f>
        <v>#N/A</v>
      </c>
      <c r="G8" s="34"/>
    </row>
    <row r="9" spans="1:16" x14ac:dyDescent="0.25">
      <c r="B9" s="35">
        <v>71</v>
      </c>
      <c r="C9" s="34">
        <f>(B9-B$3)*'Gen Calcs'!C$29</f>
        <v>2003182.5268905419</v>
      </c>
      <c r="D9" s="34" t="e">
        <f>VLOOKUP(B9,TS!N$2:AD$177,26,TRUE)</f>
        <v>#N/A</v>
      </c>
      <c r="E9" s="34" t="e">
        <f>VLOOKUP(B9,TS!N$2:AD$177,25,TRUE)</f>
        <v>#N/A</v>
      </c>
      <c r="G9" s="34"/>
    </row>
    <row r="10" spans="1:16" x14ac:dyDescent="0.25">
      <c r="B10" s="36">
        <v>71.25</v>
      </c>
      <c r="C10" s="37">
        <f>(B10-B$3)*'Gen Calcs'!C$29</f>
        <v>2092610.3182695841</v>
      </c>
      <c r="D10" s="37" t="e">
        <f>VLOOKUP(B10,TS!N$2:AD$177,26,TRUE)</f>
        <v>#N/A</v>
      </c>
      <c r="E10" s="37" t="e">
        <f>VLOOKUP(B10,TS!N$2:AD$177,25,TRUE)</f>
        <v>#N/A</v>
      </c>
      <c r="F10" s="38"/>
      <c r="G10" s="37"/>
      <c r="H10" s="38"/>
      <c r="I10" s="38"/>
      <c r="J10" s="38"/>
      <c r="K10" s="38"/>
      <c r="L10" s="38"/>
      <c r="M10" s="38"/>
      <c r="N10" s="38"/>
      <c r="O10" s="38" t="s">
        <v>97</v>
      </c>
      <c r="P10" s="38"/>
    </row>
    <row r="11" spans="1:16" x14ac:dyDescent="0.25">
      <c r="B11" s="35">
        <v>72</v>
      </c>
      <c r="C11" s="34">
        <f>(B11-B$3)*'Gen Calcs'!C$29</f>
        <v>2360893.6924067107</v>
      </c>
      <c r="D11" s="34" t="e">
        <f>VLOOKUP(B11,TS!N$2:AD$177,26,TRUE)</f>
        <v>#N/A</v>
      </c>
      <c r="E11" s="34" t="e">
        <f>VLOOKUP(B11,TS!N$2:AD$177,25,TRUE)</f>
        <v>#N/A</v>
      </c>
      <c r="G11" s="34"/>
    </row>
    <row r="12" spans="1:16" x14ac:dyDescent="0.25">
      <c r="B12" s="35">
        <v>73</v>
      </c>
      <c r="C12" s="34">
        <f>(B12-B$3)*'Gen Calcs'!C$29</f>
        <v>2718604.857922879</v>
      </c>
      <c r="D12" s="34" t="e">
        <f>VLOOKUP(B12,TS!N$2:AD$177,26,TRUE)</f>
        <v>#N/A</v>
      </c>
      <c r="E12" s="34" t="e">
        <f>VLOOKUP(B12,TS!N$2:AD$177,25,TRUE)</f>
        <v>#N/A</v>
      </c>
      <c r="G12" s="34"/>
    </row>
    <row r="13" spans="1:16" x14ac:dyDescent="0.25">
      <c r="B13" s="35">
        <v>74</v>
      </c>
      <c r="C13" s="34">
        <f>(B13-B$3)*'Gen Calcs'!C$29</f>
        <v>3076316.0234390479</v>
      </c>
      <c r="D13" s="34" t="e">
        <f>VLOOKUP(B13,TS!N$2:AD$177,26,TRUE)</f>
        <v>#N/A</v>
      </c>
      <c r="E13" s="34" t="e">
        <f>VLOOKUP(B13,TS!N$2:AD$177,25,TRUE)</f>
        <v>#N/A</v>
      </c>
      <c r="G13" s="34"/>
    </row>
    <row r="14" spans="1:16" x14ac:dyDescent="0.25">
      <c r="B14" s="35">
        <v>74.5</v>
      </c>
      <c r="C14">
        <f>(B14-B$3)*'Gen Calcs'!C$29</f>
        <v>3255171.6061971318</v>
      </c>
      <c r="D14" s="34" t="e">
        <f>VLOOKUP(B14,TS!N$2:AD$177,26,TRUE)</f>
        <v>#N/A</v>
      </c>
      <c r="E14" s="34" t="e">
        <f>VLOOKUP(B14,TS!N$2:AD$177,25,TRUE)</f>
        <v>#N/A</v>
      </c>
    </row>
    <row r="15" spans="1:16" x14ac:dyDescent="0.25">
      <c r="B15" s="35">
        <v>75</v>
      </c>
      <c r="C15">
        <f>(B15-B$3)*'Gen Calcs'!C$29</f>
        <v>3434027.1889552162</v>
      </c>
      <c r="D15" s="34" t="e">
        <f>VLOOKUP(B15,TS!N$2:AD$177,26,TRUE)</f>
        <v>#N/A</v>
      </c>
      <c r="E15" s="34" t="e">
        <f>VLOOKUP(B15,TS!N$2:AD$177,25,TRUE)</f>
        <v>#N/A</v>
      </c>
    </row>
    <row r="16" spans="1:16" x14ac:dyDescent="0.25">
      <c r="B16" s="36">
        <v>75.239999999999995</v>
      </c>
      <c r="C16" s="38">
        <f>(B16-B$3)*'Gen Calcs'!C$29</f>
        <v>3519877.8686790951</v>
      </c>
      <c r="D16" s="37" t="e">
        <f>VLOOKUP(B16,TS!N$2:AD$177,26,TRUE)</f>
        <v>#N/A</v>
      </c>
      <c r="E16" s="37" t="e">
        <f>VLOOKUP(B16,TS!N$2:AD$177,25,TRUE)</f>
        <v>#N/A</v>
      </c>
      <c r="F16" s="38"/>
      <c r="G16" s="38"/>
      <c r="H16" s="38"/>
      <c r="I16" s="38"/>
      <c r="J16" s="38"/>
      <c r="K16" s="38"/>
      <c r="L16" s="38"/>
      <c r="M16" s="38"/>
      <c r="N16" s="38"/>
      <c r="O16" s="38" t="s">
        <v>98</v>
      </c>
      <c r="P16" s="38"/>
    </row>
    <row r="17" spans="1:16" x14ac:dyDescent="0.25">
      <c r="B17" s="35">
        <v>76.2</v>
      </c>
      <c r="C17">
        <f>(B17-B$3)*'Gen Calcs'!C$29</f>
        <v>3863280.5875746198</v>
      </c>
      <c r="D17" s="34" t="e">
        <f>VLOOKUP(B17,TS!N$2:AD$177,26,TRUE)</f>
        <v>#N/A</v>
      </c>
      <c r="E17" s="34" t="e">
        <f>VLOOKUP(B17,TS!N$2:AD$177,25,TRUE)</f>
        <v>#N/A</v>
      </c>
    </row>
    <row r="18" spans="1:16" x14ac:dyDescent="0.25">
      <c r="B18" s="36">
        <v>76.95</v>
      </c>
      <c r="C18" s="38">
        <f>(B18-B$3)*'Gen Calcs'!C$29</f>
        <v>4131563.9617117462</v>
      </c>
      <c r="D18" s="37" t="e">
        <f>VLOOKUP(B18,TS!N$2:AD$177,26,TRUE)</f>
        <v>#N/A</v>
      </c>
      <c r="E18" s="37" t="e">
        <f>VLOOKUP(B18,TS!N$2:AD$177,25,TRUE)</f>
        <v>#N/A</v>
      </c>
      <c r="F18" s="38"/>
      <c r="G18" s="38"/>
      <c r="H18" s="38"/>
      <c r="I18" s="38"/>
      <c r="J18" s="38"/>
      <c r="K18" s="38"/>
      <c r="L18" s="38"/>
      <c r="M18" s="38"/>
      <c r="N18" s="38"/>
      <c r="O18" s="38" t="s">
        <v>87</v>
      </c>
      <c r="P18" s="38"/>
    </row>
    <row r="19" spans="1:16" x14ac:dyDescent="0.25">
      <c r="B19" s="36">
        <v>77.14</v>
      </c>
      <c r="C19" s="38">
        <f>(B19-B$3)*'Gen Calcs'!C$29</f>
        <v>4199529.0831598174</v>
      </c>
      <c r="D19" s="37" t="e">
        <f>VLOOKUP(B19,TS!N$2:AD$177,26,TRUE)</f>
        <v>#N/A</v>
      </c>
      <c r="E19" s="37" t="e">
        <f>VLOOKUP(B19,TS!N$2:AD$177,25,TRUE)</f>
        <v>#N/A</v>
      </c>
      <c r="F19" s="38"/>
      <c r="G19" s="38"/>
      <c r="H19" s="38"/>
      <c r="I19" s="38"/>
      <c r="J19" s="38"/>
      <c r="K19" s="38"/>
      <c r="L19" s="38"/>
      <c r="M19" s="38"/>
      <c r="N19" s="38"/>
      <c r="O19" s="38" t="s">
        <v>77</v>
      </c>
      <c r="P19" s="38"/>
    </row>
    <row r="20" spans="1:16" x14ac:dyDescent="0.25">
      <c r="D20" s="34"/>
      <c r="E20" s="34"/>
    </row>
    <row r="21" spans="1:16" x14ac:dyDescent="0.25">
      <c r="A21" t="s">
        <v>89</v>
      </c>
      <c r="B21" s="35">
        <v>77.13</v>
      </c>
      <c r="C21" t="e">
        <f>VLOOKUP(B21,#REF!,10,TRUE)</f>
        <v>#REF!</v>
      </c>
      <c r="D21" s="34"/>
      <c r="E21" s="34"/>
      <c r="G21" t="e">
        <f>VLOOKUP(B21,#REF!,9,TRUE)</f>
        <v>#REF!</v>
      </c>
      <c r="I21" t="e">
        <f>VLOOKUP(B21,#REF!,11,TRUE)</f>
        <v>#REF!</v>
      </c>
      <c r="J21" s="35"/>
      <c r="L21" s="35">
        <f>'Gen Calcs'!C$39</f>
        <v>5000</v>
      </c>
      <c r="O21" t="s">
        <v>116</v>
      </c>
    </row>
    <row r="22" spans="1:16" x14ac:dyDescent="0.25">
      <c r="B22" s="35">
        <v>77</v>
      </c>
      <c r="C22" t="e">
        <f>VLOOKUP(B22,#REF!,10,TRUE)</f>
        <v>#REF!</v>
      </c>
      <c r="D22" s="34"/>
      <c r="E22" s="34"/>
      <c r="G22" t="e">
        <f>VLOOKUP(B22,#REF!,9,TRUE)</f>
        <v>#REF!</v>
      </c>
      <c r="I22" t="e">
        <f>VLOOKUP(B22,#REF!,11,TRUE)</f>
        <v>#REF!</v>
      </c>
      <c r="L22" s="35">
        <f>'Gen Calcs'!C$39</f>
        <v>5000</v>
      </c>
    </row>
    <row r="23" spans="1:16" x14ac:dyDescent="0.25">
      <c r="B23" s="35">
        <v>76</v>
      </c>
      <c r="C23" t="e">
        <f>VLOOKUP(B23,#REF!,10,TRUE)</f>
        <v>#REF!</v>
      </c>
      <c r="D23" s="34"/>
      <c r="E23" s="34"/>
      <c r="G23" t="e">
        <f>VLOOKUP(B23,#REF!,9,TRUE)</f>
        <v>#REF!</v>
      </c>
      <c r="I23" t="e">
        <f>VLOOKUP(B23,#REF!,11,TRUE)</f>
        <v>#REF!</v>
      </c>
      <c r="L23" s="35">
        <f>'Gen Calcs'!C$39</f>
        <v>5000</v>
      </c>
    </row>
    <row r="24" spans="1:16" x14ac:dyDescent="0.25">
      <c r="B24" s="35">
        <v>75</v>
      </c>
      <c r="C24" t="e">
        <f>VLOOKUP(B24,#REF!,10,TRUE)</f>
        <v>#REF!</v>
      </c>
      <c r="D24" s="34"/>
      <c r="E24" s="34"/>
      <c r="G24" t="e">
        <f>VLOOKUP(B24,#REF!,9,TRUE)</f>
        <v>#REF!</v>
      </c>
      <c r="I24" t="e">
        <f>VLOOKUP(B24,#REF!,11,TRUE)</f>
        <v>#REF!</v>
      </c>
      <c r="L24" s="35">
        <f>'Gen Calcs'!C$39</f>
        <v>5000</v>
      </c>
    </row>
    <row r="25" spans="1:16" x14ac:dyDescent="0.25">
      <c r="B25" s="35">
        <v>74</v>
      </c>
      <c r="C25" t="e">
        <f>VLOOKUP(B25,#REF!,10,TRUE)</f>
        <v>#REF!</v>
      </c>
      <c r="D25" s="34"/>
      <c r="E25" s="34"/>
      <c r="G25" t="e">
        <f>VLOOKUP(B25,#REF!,9,TRUE)</f>
        <v>#REF!</v>
      </c>
      <c r="I25" t="e">
        <f>VLOOKUP(B25,#REF!,11,TRUE)</f>
        <v>#REF!</v>
      </c>
      <c r="L25" s="35">
        <f>'Gen Calcs'!C$39</f>
        <v>5000</v>
      </c>
    </row>
    <row r="26" spans="1:16" x14ac:dyDescent="0.25">
      <c r="B26" s="35">
        <v>73</v>
      </c>
      <c r="C26" t="e">
        <f>VLOOKUP(B26,#REF!,10,TRUE)</f>
        <v>#REF!</v>
      </c>
      <c r="D26" s="34"/>
      <c r="E26" s="34"/>
      <c r="G26" t="e">
        <f>VLOOKUP(B26,#REF!,9,TRUE)</f>
        <v>#REF!</v>
      </c>
      <c r="I26" t="e">
        <f>VLOOKUP(B26,#REF!,11,TRUE)</f>
        <v>#REF!</v>
      </c>
      <c r="L26" s="35">
        <f>'Gen Calcs'!C$39</f>
        <v>5000</v>
      </c>
    </row>
    <row r="27" spans="1:16" x14ac:dyDescent="0.25">
      <c r="B27" s="35">
        <v>72</v>
      </c>
      <c r="C27" t="e">
        <f>VLOOKUP(B27,#REF!,10,TRUE)</f>
        <v>#REF!</v>
      </c>
      <c r="D27" s="34"/>
      <c r="E27" s="34"/>
      <c r="G27" t="e">
        <f>VLOOKUP(B27,#REF!,9,TRUE)</f>
        <v>#REF!</v>
      </c>
      <c r="I27" t="e">
        <f>VLOOKUP(B27,#REF!,11,TRUE)</f>
        <v>#REF!</v>
      </c>
      <c r="L27" s="35">
        <f>'Gen Calcs'!C$39</f>
        <v>5000</v>
      </c>
    </row>
    <row r="28" spans="1:16" x14ac:dyDescent="0.25">
      <c r="B28" s="35">
        <v>71</v>
      </c>
      <c r="C28" t="e">
        <f>VLOOKUP(B28,#REF!,10,TRUE)</f>
        <v>#REF!</v>
      </c>
      <c r="D28" s="34"/>
      <c r="E28" s="34"/>
      <c r="G28" t="e">
        <f>VLOOKUP(B28,#REF!,9,TRUE)</f>
        <v>#REF!</v>
      </c>
      <c r="I28" t="e">
        <f>VLOOKUP(B28,#REF!,11,TRUE)</f>
        <v>#REF!</v>
      </c>
      <c r="L28" s="35">
        <f>'Gen Calcs'!C$39</f>
        <v>5000</v>
      </c>
    </row>
    <row r="29" spans="1:16" s="38" customFormat="1" x14ac:dyDescent="0.25">
      <c r="B29" s="36">
        <v>70.61</v>
      </c>
      <c r="C29" s="38" t="e">
        <f>VLOOKUP(B29,#REF!,10,TRUE)</f>
        <v>#REF!</v>
      </c>
      <c r="D29" s="37"/>
      <c r="E29" s="37"/>
      <c r="G29" s="38" t="e">
        <f>VLOOKUP(B29,#REF!,9,TRUE)</f>
        <v>#REF!</v>
      </c>
      <c r="I29" s="38" t="e">
        <f>VLOOKUP(B29,#REF!,11,TRUE)</f>
        <v>#REF!</v>
      </c>
      <c r="L29" s="36">
        <f>'Gen Calcs'!C$39</f>
        <v>5000</v>
      </c>
      <c r="O29" s="38" t="s">
        <v>119</v>
      </c>
    </row>
    <row r="30" spans="1:16" s="38" customFormat="1" x14ac:dyDescent="0.25">
      <c r="B30" s="36">
        <v>70.400000000000006</v>
      </c>
      <c r="C30" s="38" t="e">
        <f>VLOOKUP(B30,#REF!,10,TRUE)</f>
        <v>#REF!</v>
      </c>
      <c r="D30" s="37"/>
      <c r="E30" s="37"/>
      <c r="G30" s="38" t="e">
        <f>VLOOKUP(B30,#REF!,9,TRUE)</f>
        <v>#REF!</v>
      </c>
      <c r="I30" s="38" t="e">
        <f>VLOOKUP(B30,#REF!,11,TRUE)</f>
        <v>#REF!</v>
      </c>
      <c r="L30" s="36">
        <f>'Gen Calcs'!C$39</f>
        <v>5000</v>
      </c>
      <c r="O30" s="38" t="s">
        <v>120</v>
      </c>
    </row>
    <row r="31" spans="1:16" s="38" customFormat="1" x14ac:dyDescent="0.25">
      <c r="B31" s="36">
        <v>70.33</v>
      </c>
      <c r="C31" s="38" t="e">
        <f>VLOOKUP(B31,#REF!,10,TRUE)</f>
        <v>#REF!</v>
      </c>
      <c r="D31" s="37"/>
      <c r="E31" s="37"/>
      <c r="G31" s="38" t="e">
        <f>VLOOKUP(B31,#REF!,9,TRUE)</f>
        <v>#REF!</v>
      </c>
      <c r="I31" s="38" t="e">
        <f>VLOOKUP(B31,#REF!,11,TRUE)</f>
        <v>#REF!</v>
      </c>
      <c r="L31" s="36">
        <f>'Gen Calcs'!C$39</f>
        <v>5000</v>
      </c>
      <c r="O31" s="38" t="s">
        <v>121</v>
      </c>
    </row>
    <row r="32" spans="1:16" s="38" customFormat="1" x14ac:dyDescent="0.25">
      <c r="B32" s="36">
        <v>70.25</v>
      </c>
      <c r="C32" s="38" t="e">
        <f>VLOOKUP(B32,#REF!,10,TRUE)</f>
        <v>#REF!</v>
      </c>
      <c r="D32" s="37"/>
      <c r="E32" s="37"/>
      <c r="G32" s="38" t="e">
        <f>VLOOKUP(B32,#REF!,9,TRUE)</f>
        <v>#REF!</v>
      </c>
      <c r="I32" s="38" t="e">
        <f>VLOOKUP(B32,#REF!,11,TRUE)</f>
        <v>#REF!</v>
      </c>
      <c r="L32" s="36">
        <f>'Gen Calcs'!C$39</f>
        <v>5000</v>
      </c>
      <c r="O32" s="38" t="s">
        <v>122</v>
      </c>
    </row>
    <row r="33" spans="2:15" s="38" customFormat="1" x14ac:dyDescent="0.25">
      <c r="B33" s="36">
        <v>70.180000000000007</v>
      </c>
      <c r="C33" s="38" t="e">
        <f>VLOOKUP(B33,#REF!,10,TRUE)</f>
        <v>#REF!</v>
      </c>
      <c r="D33" s="37"/>
      <c r="E33" s="37"/>
      <c r="G33" s="38" t="e">
        <f>VLOOKUP(B33,#REF!,9,TRUE)</f>
        <v>#REF!</v>
      </c>
      <c r="I33" s="38" t="e">
        <f>VLOOKUP(B33,#REF!,11,TRUE)</f>
        <v>#REF!</v>
      </c>
      <c r="L33" s="36">
        <f>'Gen Calcs'!C$39</f>
        <v>5000</v>
      </c>
      <c r="O33" s="38" t="s">
        <v>123</v>
      </c>
    </row>
    <row r="34" spans="2:15" x14ac:dyDescent="0.25">
      <c r="B34" s="35">
        <v>70</v>
      </c>
      <c r="C34" t="e">
        <f>VLOOKUP(B34,#REF!,10,TRUE)</f>
        <v>#REF!</v>
      </c>
      <c r="D34" s="34"/>
      <c r="E34" s="34"/>
      <c r="G34" t="e">
        <f>VLOOKUP(B34,#REF!,9,TRUE)</f>
        <v>#REF!</v>
      </c>
      <c r="I34" t="e">
        <f>VLOOKUP(B34,#REF!,11,TRUE)</f>
        <v>#REF!</v>
      </c>
      <c r="L34" s="35">
        <f>'Gen Calcs'!C$39</f>
        <v>5000</v>
      </c>
    </row>
    <row r="35" spans="2:15" s="38" customFormat="1" x14ac:dyDescent="0.25">
      <c r="B35" s="36">
        <v>69.34</v>
      </c>
      <c r="C35" s="38" t="e">
        <f>VLOOKUP(B35,#REF!,10,TRUE)</f>
        <v>#REF!</v>
      </c>
      <c r="D35" s="37"/>
      <c r="E35" s="37"/>
      <c r="G35" s="38" t="e">
        <f>VLOOKUP(B35,#REF!,9,TRUE)</f>
        <v>#REF!</v>
      </c>
      <c r="I35" s="38" t="e">
        <f>VLOOKUP(B35,#REF!,11,TRUE)</f>
        <v>#REF!</v>
      </c>
      <c r="L35" s="36">
        <f>'Gen Calcs'!C$39</f>
        <v>5000</v>
      </c>
      <c r="O35" s="38" t="s">
        <v>124</v>
      </c>
    </row>
    <row r="36" spans="2:15" x14ac:dyDescent="0.25">
      <c r="B36" s="35">
        <v>69</v>
      </c>
      <c r="C36" t="e">
        <f>VLOOKUP(B36,#REF!,10,TRUE)</f>
        <v>#REF!</v>
      </c>
      <c r="D36" s="34"/>
      <c r="E36" s="34"/>
      <c r="G36" t="e">
        <f>VLOOKUP(B36,#REF!,9,TRUE)</f>
        <v>#REF!</v>
      </c>
      <c r="I36" t="e">
        <f>VLOOKUP(B36,#REF!,11,TRUE)</f>
        <v>#REF!</v>
      </c>
      <c r="L36" s="35">
        <f>'Gen Calcs'!C$39</f>
        <v>5000</v>
      </c>
    </row>
    <row r="37" spans="2:15" s="38" customFormat="1" x14ac:dyDescent="0.25">
      <c r="B37" s="36">
        <v>68.64</v>
      </c>
      <c r="C37" s="38" t="e">
        <f>VLOOKUP(B37,#REF!,10,TRUE)</f>
        <v>#REF!</v>
      </c>
      <c r="D37" s="37"/>
      <c r="E37" s="37"/>
      <c r="G37" s="38" t="e">
        <f>VLOOKUP(B37,#REF!,9,TRUE)</f>
        <v>#REF!</v>
      </c>
      <c r="I37" s="38" t="e">
        <f>VLOOKUP(B37,#REF!,11,TRUE)</f>
        <v>#REF!</v>
      </c>
      <c r="L37" s="36">
        <f>'Gen Calcs'!C$39</f>
        <v>5000</v>
      </c>
      <c r="O37" s="38" t="s">
        <v>126</v>
      </c>
    </row>
    <row r="38" spans="2:15" x14ac:dyDescent="0.25">
      <c r="B38" s="35">
        <v>68</v>
      </c>
      <c r="C38" t="e">
        <f>VLOOKUP(B38,#REF!,10,TRUE)</f>
        <v>#REF!</v>
      </c>
      <c r="D38" s="34"/>
      <c r="E38" s="34"/>
      <c r="G38" t="e">
        <f>VLOOKUP(B38,#REF!,9,TRUE)</f>
        <v>#REF!</v>
      </c>
      <c r="I38" t="e">
        <f>VLOOKUP(B38,#REF!,11,TRUE)</f>
        <v>#REF!</v>
      </c>
      <c r="L38" s="35">
        <f>'Gen Calcs'!C$39</f>
        <v>5000</v>
      </c>
    </row>
    <row r="39" spans="2:15" s="38" customFormat="1" x14ac:dyDescent="0.25">
      <c r="B39" s="36">
        <v>67.59</v>
      </c>
      <c r="C39" s="38" t="e">
        <f>VLOOKUP(B39,#REF!,10,TRUE)</f>
        <v>#REF!</v>
      </c>
      <c r="D39" s="37"/>
      <c r="E39" s="37"/>
      <c r="G39" s="38" t="e">
        <f>VLOOKUP(B39,#REF!,9,TRUE)</f>
        <v>#REF!</v>
      </c>
      <c r="I39" s="38" t="e">
        <f>VLOOKUP(B39,#REF!,11,TRUE)</f>
        <v>#REF!</v>
      </c>
      <c r="L39" s="36">
        <f>'Gen Calcs'!C$39</f>
        <v>5000</v>
      </c>
      <c r="O39" s="38" t="s">
        <v>127</v>
      </c>
    </row>
    <row r="40" spans="2:15" x14ac:dyDescent="0.25">
      <c r="B40" s="35">
        <v>67</v>
      </c>
      <c r="C40" t="e">
        <f>VLOOKUP(B40,#REF!,10,TRUE)</f>
        <v>#REF!</v>
      </c>
      <c r="D40" s="34"/>
      <c r="E40" s="34"/>
      <c r="G40" t="e">
        <f>VLOOKUP(B40,#REF!,9,TRUE)</f>
        <v>#REF!</v>
      </c>
      <c r="I40" t="e">
        <f>VLOOKUP(B40,#REF!,11,TRUE)</f>
        <v>#REF!</v>
      </c>
      <c r="L40" s="35">
        <f>'Gen Calcs'!C$39</f>
        <v>5000</v>
      </c>
    </row>
    <row r="41" spans="2:15" s="38" customFormat="1" x14ac:dyDescent="0.25">
      <c r="B41" s="36">
        <v>66.61</v>
      </c>
      <c r="C41" s="38" t="e">
        <f>VLOOKUP(B41,#REF!,10,TRUE)</f>
        <v>#REF!</v>
      </c>
      <c r="D41" s="37"/>
      <c r="E41" s="37"/>
      <c r="G41" s="38" t="e">
        <f>VLOOKUP(B41,#REF!,9,TRUE)</f>
        <v>#REF!</v>
      </c>
      <c r="I41" s="38" t="e">
        <f>VLOOKUP(B41,#REF!,11,TRUE)</f>
        <v>#REF!</v>
      </c>
      <c r="L41" s="36">
        <f>'Gen Calcs'!C$39</f>
        <v>5000</v>
      </c>
      <c r="O41" s="38" t="s">
        <v>125</v>
      </c>
    </row>
    <row r="42" spans="2:15" s="38" customFormat="1" x14ac:dyDescent="0.25">
      <c r="B42" s="36">
        <v>66.33</v>
      </c>
      <c r="C42" s="38" t="e">
        <f>VLOOKUP(B42,#REF!,10,TRUE)</f>
        <v>#REF!</v>
      </c>
      <c r="D42" s="37"/>
      <c r="E42" s="37"/>
      <c r="G42" s="38" t="e">
        <f>VLOOKUP(B42,#REF!,9,TRUE)</f>
        <v>#REF!</v>
      </c>
      <c r="I42" s="38" t="e">
        <f>VLOOKUP(B42,#REF!,11,TRUE)</f>
        <v>#REF!</v>
      </c>
      <c r="L42" s="36">
        <f>'Gen Calcs'!C$39</f>
        <v>5000</v>
      </c>
      <c r="O42" s="38" t="s">
        <v>128</v>
      </c>
    </row>
    <row r="43" spans="2:15" s="38" customFormat="1" x14ac:dyDescent="0.25">
      <c r="B43" s="36">
        <v>66</v>
      </c>
      <c r="C43" s="38" t="e">
        <f>VLOOKUP(B43,#REF!,10,TRUE)</f>
        <v>#REF!</v>
      </c>
      <c r="D43" s="37"/>
      <c r="E43" s="37"/>
      <c r="G43" s="38" t="e">
        <f>VLOOKUP(B43,#REF!,9,TRUE)</f>
        <v>#REF!</v>
      </c>
      <c r="I43" s="38" t="e">
        <f>VLOOKUP(B43,#REF!,11,TRUE)</f>
        <v>#REF!</v>
      </c>
      <c r="L43" s="36">
        <f>'Gen Calcs'!C$39</f>
        <v>5000</v>
      </c>
      <c r="O43" s="38" t="s">
        <v>129</v>
      </c>
    </row>
    <row r="44" spans="2:15" x14ac:dyDescent="0.25">
      <c r="B44" s="35">
        <v>65.77</v>
      </c>
      <c r="C44" t="e">
        <f>VLOOKUP(B44,#REF!,10,TRUE)</f>
        <v>#REF!</v>
      </c>
      <c r="D44" s="34"/>
      <c r="E44" s="34"/>
      <c r="G44" t="e">
        <f>VLOOKUP(B44,#REF!,9,TRUE)</f>
        <v>#REF!</v>
      </c>
      <c r="I44" t="e">
        <f>VLOOKUP(B44,#REF!,11,TRUE)</f>
        <v>#REF!</v>
      </c>
      <c r="L44" s="35">
        <f>'Gen Calcs'!C$39</f>
        <v>5000</v>
      </c>
    </row>
    <row r="45" spans="2:15" x14ac:dyDescent="0.25">
      <c r="B45" s="35">
        <v>65.400000000000006</v>
      </c>
      <c r="C45">
        <f>C3</f>
        <v>4202599</v>
      </c>
      <c r="L45" s="35">
        <f>'Gen Calcs'!C$39</f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3</vt:i4>
      </vt:variant>
    </vt:vector>
  </HeadingPairs>
  <TitlesOfParts>
    <vt:vector size="8" baseType="lpstr">
      <vt:lpstr>TS</vt:lpstr>
      <vt:lpstr>Inputs</vt:lpstr>
      <vt:lpstr>Gen Calcs</vt:lpstr>
      <vt:lpstr>Air calcs</vt:lpstr>
      <vt:lpstr>1&amp;2 Instructions</vt:lpstr>
      <vt:lpstr>Pressure Profile</vt:lpstr>
      <vt:lpstr>Line FIll</vt:lpstr>
      <vt:lpstr>Dewater</vt:lpstr>
    </vt:vector>
  </TitlesOfParts>
  <Company>EQT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joshschultz@precisionpipelinellc.com</dc:creator>
  <cp:lastModifiedBy>Brendan O'Rourke</cp:lastModifiedBy>
  <cp:lastPrinted>2026-01-13T14:08:12Z</cp:lastPrinted>
  <dcterms:created xsi:type="dcterms:W3CDTF">2018-05-04T11:43:32Z</dcterms:created>
  <dcterms:modified xsi:type="dcterms:W3CDTF">2026-03-10T14:35:42Z</dcterms:modified>
</cp:coreProperties>
</file>